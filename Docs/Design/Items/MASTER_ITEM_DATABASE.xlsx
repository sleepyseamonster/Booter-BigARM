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4cdbc02b86994223" /></Relationships>
</file>

<file path=xl/workbook.xml><?xml version="1.0" encoding="utf-8"?>
<x:workbook xmlns:x="http://schemas.openxmlformats.org/spreadsheetml/2006/main">
  <x:sheets>
    <x:sheet xmlns:r="http://schemas.openxmlformats.org/officeDocument/2006/relationships" name="Items" sheetId="1" r:id="R1b93f867dca24cc2"/>
    <x:sheet xmlns:r="http://schemas.openxmlformats.org/officeDocument/2006/relationships" name="Variants" sheetId="2" r:id="R3b6086cc709641ab"/>
    <x:sheet xmlns:r="http://schemas.openxmlformats.org/officeDocument/2006/relationships" name="Recipes" sheetId="3" r:id="Rb96d3c4e635f4f81"/>
    <x:sheet xmlns:r="http://schemas.openxmlformats.org/officeDocument/2006/relationships" name="Categories" sheetId="4" r:id="R4f69a7a07cab47a1"/>
    <x:sheet xmlns:r="http://schemas.openxmlformats.org/officeDocument/2006/relationships" name="Guide" sheetId="5" r:id="Rf3d2cdd9802149fc"/>
    <x:sheet xmlns:r="http://schemas.openxmlformats.org/officeDocument/2006/relationships" name="Resource chains" sheetId="6" r:id="R4e4c274187474068"/>
    <x:sheet xmlns:r="http://schemas.openxmlformats.org/officeDocument/2006/relationships" name="Creature concepts" sheetId="7" r:id="R8aaf693b50c645f4"/>
    <x:sheet xmlns:r="http://schemas.openxmlformats.org/officeDocument/2006/relationships" name="Chemical concepts" sheetId="8" r:id="R3e63aec83c814b7a"/>
    <x:sheet xmlns:r="http://schemas.openxmlformats.org/officeDocument/2006/relationships" name="Container concepts" sheetId="9" r:id="R38770eba34174f6a"/>
    <x:sheet xmlns:r="http://schemas.openxmlformats.org/officeDocument/2006/relationships" name="Equipment concepts" sheetId="10" r:id="R445c0fe482634b0c"/>
    <x:sheet xmlns:r="http://schemas.openxmlformats.org/officeDocument/2006/relationships" name="Canister concepts" sheetId="11" r:id="Rf2999a391670423b"/>
    <x:sheet xmlns:r="http://schemas.openxmlformats.org/officeDocument/2006/relationships" name="Taxonomy" sheetId="12" r:id="Rb15cba41c5a54f46"/>
    <x:sheet xmlns:r="http://schemas.openxmlformats.org/officeDocument/2006/relationships" name="Item uses" sheetId="13" r:id="R1ce6ca66fc374e07"/>
    <x:sheet xmlns:r="http://schemas.openxmlformats.org/officeDocument/2006/relationships" name="Material routes" sheetId="14" r:id="Ra559636c3b574289"/>
    <x:sheet xmlns:r="http://schemas.openxmlformats.org/officeDocument/2006/relationships" name="Regional demand" sheetId="15" r:id="R641a4e6e21d048de"/>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00"/>
  </x:numFmts>
  <x:fonts count="6">
    <x:font>
      <x:sz val="11"/>
      <x:name val="Carlito"/>
    </x:font>
    <x:font>
      <x:sz val="10"/>
      <x:color rgb="FF252C32"/>
      <x:name val="Arial"/>
    </x:font>
    <x:font>
      <x:b/>
      <x:sz val="14"/>
      <x:color rgb="FF7A3F27"/>
      <x:name val="Arial"/>
    </x:font>
    <x:font>
      <x:b/>
      <x:sz val="10"/>
      <x:color rgb="FFFFFFFF"/>
      <x:name val="Arial"/>
    </x:font>
    <x:font>
      <x:b/>
      <x:sz val="10"/>
      <x:color rgb="FF423B35"/>
      <x:name val="Arial"/>
    </x:font>
    <x:font>
      <x:b/>
      <x:sz val="10"/>
      <x:color rgb="FF252C32"/>
      <x:name val="Arial"/>
    </x:font>
  </x:fonts>
  <x:fills count="33">
    <x:fill>
      <x:patternFill patternType="none"/>
    </x:fill>
    <x:fill>
      <x:patternFill patternType="gray125"/>
    </x:fill>
    <x:fill>
      <x:patternFill patternType="solid">
        <x:fgColor rgb="FF423B35"/>
      </x:patternFill>
    </x:fill>
    <x:fill>
      <x:patternFill patternType="solid">
        <x:fgColor rgb="FFF4F0E9"/>
      </x:patternFill>
    </x:fill>
    <x:fill>
      <x:patternFill patternType="solid">
        <x:fgColor rgb="FFFFFFFF"/>
      </x:patternFill>
    </x:fill>
    <x:fill>
      <x:patternFill patternType="solid">
        <x:fgColor rgb="FFFFF5D9"/>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3E9D2"/>
      </x:patternFill>
    </x:fill>
    <x:fill>
      <x:patternFill patternType="solid">
        <x:fgColor rgb="FFF3E9D2"/>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s>
  <x:borders count="1">
    <x:border>
      <x:left/>
      <x:right/>
      <x:top/>
      <x:bottom/>
      <x:diagonal/>
    </x:border>
  </x:borders>
  <x:cellStyleXfs count="1">
    <x:xf numFmtId="0" fontId="0" fillId="0" borderId="0"/>
  </x:cellStyleXfs>
  <x:cellXfs count="63">
    <x:xf numFmtId="0" fontId="0" fillId="0" borderId="0" xfId="0"/>
    <x:xf numFmtId="0" fontId="1" fillId="0" borderId="0" xfId="0" applyNumberFormat="1" applyFont="1" applyFill="1" applyBorder="1"/>
    <x:xf numFmtId="0" fontId="2" fillId="0" borderId="0" xfId="0" applyNumberFormat="1" applyFont="1" applyFill="1" applyBorder="1"/>
    <x:xf numFmtId="0" fontId="1" fillId="0" borderId="0" xfId="0" applyNumberFormat="1" applyFont="1" applyFill="1" applyBorder="1" applyAlignment="1">
      <x:alignment wrapText="1"/>
    </x:xf>
    <x:xf numFmtId="0" fontId="1" fillId="0"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3" fillId="2" borderId="0" xfId="0" applyNumberFormat="1" applyFont="1" applyFill="1" applyBorder="1" applyAlignment="1">
      <x:alignment vertical="top" wrapText="1"/>
    </x:xf>
    <x:xf numFmtId="0" fontId="3" fillId="2" borderId="0" xfId="0" applyNumberFormat="1" applyFont="1" applyFill="1" applyBorder="1" applyAlignment="1">
      <x:alignment horizontal="center" vertical="top" wrapText="1"/>
    </x:xf>
    <x:xf numFmtId="0" fontId="3" fillId="2" borderId="0" xfId="0" applyNumberFormat="1" applyFont="1" applyFill="1" applyBorder="1" applyAlignment="1">
      <x:alignment horizontal="center" vertical="center" wrapText="1"/>
    </x:xf>
    <x:xf numFmtId="0" fontId="1" fillId="3" borderId="0" xfId="0" applyNumberFormat="1" applyFont="1" applyFill="1" applyBorder="1" applyAlignment="1">
      <x:alignment vertical="top" wrapText="1"/>
    </x:xf>
    <x:xf numFmtId="0" fontId="3" fillId="4" borderId="0" xfId="0" applyNumberFormat="1" applyFont="1" applyFill="1" applyBorder="1" applyAlignment="1">
      <x:alignment horizontal="center" vertical="center" wrapText="1"/>
    </x:xf>
    <x:xf numFmtId="0" fontId="1" fillId="4" borderId="0" xfId="0" applyNumberFormat="1" applyFont="1" applyFill="1" applyBorder="1" applyAlignment="1">
      <x:alignment vertical="top" wrapText="1"/>
    </x:xf>
    <x:xf numFmtId="0" fontId="4" fillId="4" borderId="0" xfId="0" applyNumberFormat="1" applyFont="1" applyFill="1" applyBorder="1" applyAlignment="1">
      <x:alignment horizontal="center" vertical="center" wrapText="1"/>
    </x:xf>
    <x:xf numFmtId="200" fontId="1" fillId="3" borderId="0" xfId="0" applyNumberFormat="1" applyFont="1" applyFill="1" applyBorder="1" applyAlignment="1">
      <x:alignment vertical="top" wrapText="1"/>
    </x:xf>
    <x:xf numFmtId="200" fontId="1" fillId="0" borderId="0" xfId="0" applyNumberFormat="1" applyFont="1" applyFill="1" applyBorder="1" applyAlignment="1">
      <x:alignment vertical="top" wrapText="1"/>
    </x:xf>
    <x:xf numFmtId="201" fontId="1" fillId="3" borderId="0" xfId="0" applyNumberFormat="1" applyFont="1" applyFill="1" applyBorder="1" applyAlignment="1">
      <x:alignment vertical="top" wrapText="1"/>
    </x:xf>
    <x:xf numFmtId="201" fontId="1" fillId="0" borderId="0" xfId="0" applyNumberFormat="1" applyFont="1" applyFill="1" applyBorder="1" applyAlignment="1">
      <x:alignment vertical="top" wrapText="1"/>
    </x:xf>
    <x:xf numFmtId="0" fontId="1" fillId="5" borderId="0" xfId="0" applyNumberFormat="1" applyFont="1" applyFill="1" applyBorder="1" applyAlignment="1">
      <x:alignment vertical="top" wrapText="1"/>
    </x:xf>
    <x:xf numFmtId="0" fontId="1" fillId="0" borderId="0" xfId="0" applyNumberFormat="1" applyFont="1" applyFill="1" applyBorder="1">
      <x:extLst>
        <x:ext uri="{C7286773-470A-42A8-94C5-96B5CB345126}">
          <xfpb:xfComplement xmlns:xfpb="http://schemas.microsoft.com/office/spreadsheetml/2022/featurepropertybag" i="0"/>
        </x:ext>
      </x:extLst>
    </x:xf>
    <x:xf numFmtId="0" fontId="1"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1"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1" fillId="3"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1" fillId="6" borderId="0" xfId="0" applyNumberFormat="1" applyFont="1" applyFill="1" applyBorder="1" applyAlignment="1">
      <x:alignment vertical="top" wrapText="1"/>
    </x:xf>
    <x:xf numFmtId="0" fontId="1" fillId="7" borderId="0" xfId="0" applyNumberFormat="1" applyFont="1" applyFill="1" applyBorder="1" applyAlignment="1">
      <x:alignment vertical="top" wrapText="1"/>
    </x:xf>
    <x:xf numFmtId="0" fontId="1" fillId="8" borderId="0" xfId="0" applyNumberFormat="1" applyFont="1" applyFill="1" applyBorder="1" applyAlignment="1">
      <x:alignment vertical="top" wrapText="1"/>
    </x:xf>
    <x:xf numFmtId="0" fontId="3" fillId="8" borderId="0" xfId="0" applyNumberFormat="1" applyFont="1" applyFill="1" applyBorder="1" applyAlignment="1">
      <x:alignment vertical="top" wrapText="1"/>
    </x:xf>
    <x:xf numFmtId="0" fontId="1" fillId="9" borderId="0" xfId="0" applyNumberFormat="1" applyFont="1" applyFill="1" applyBorder="1" applyAlignment="1">
      <x:alignment vertical="top" wrapText="1"/>
    </x:xf>
    <x:xf numFmtId="0" fontId="1" fillId="10" borderId="0" xfId="0" applyNumberFormat="1" applyFont="1" applyFill="1" applyBorder="1" applyAlignment="1">
      <x:alignment vertical="top" wrapText="1"/>
    </x:xf>
    <x:xf numFmtId="0" fontId="1" fillId="11" borderId="0" xfId="0" applyNumberFormat="1" applyFont="1" applyFill="1" applyBorder="1" applyAlignment="1">
      <x:alignment vertical="top" wrapText="1"/>
    </x:xf>
    <x:xf numFmtId="0" fontId="1" fillId="12" borderId="0" xfId="0" applyNumberFormat="1" applyFont="1" applyFill="1" applyBorder="1" applyAlignment="1">
      <x:alignment vertical="top" wrapText="1"/>
    </x:xf>
    <x:xf numFmtId="0" fontId="1" fillId="13" borderId="0" xfId="0" applyNumberFormat="1" applyFont="1" applyFill="1" applyBorder="1" applyAlignment="1">
      <x:alignment vertical="top" wrapText="1"/>
    </x:xf>
    <x:xf numFmtId="0" fontId="1" fillId="14" borderId="0" xfId="0" applyNumberFormat="1" applyFont="1" applyFill="1" applyBorder="1" applyAlignment="1">
      <x:alignment vertical="top" wrapText="1"/>
    </x:xf>
    <x:xf numFmtId="0" fontId="1" fillId="15" borderId="0" xfId="0" applyNumberFormat="1" applyFont="1" applyFill="1" applyBorder="1" applyAlignment="1">
      <x:alignment vertical="top" wrapText="1"/>
    </x:xf>
    <x:xf numFmtId="0" fontId="1" fillId="16" borderId="0" xfId="0" applyNumberFormat="1" applyFont="1" applyFill="1" applyBorder="1" applyAlignment="1">
      <x:alignment vertical="top" wrapText="1"/>
    </x:xf>
    <x:xf numFmtId="0" fontId="1" fillId="17" borderId="0" xfId="0" applyNumberFormat="1" applyFont="1" applyFill="1" applyBorder="1" applyAlignment="1">
      <x:alignment vertical="top" wrapText="1"/>
    </x:xf>
    <x:xf numFmtId="0" fontId="3" fillId="17" borderId="0" xfId="0" applyNumberFormat="1" applyFont="1" applyFill="1" applyBorder="1" applyAlignment="1">
      <x:alignment vertical="top" wrapText="1"/>
    </x:xf>
    <x:xf numFmtId="0" fontId="1" fillId="18" borderId="0" xfId="0" applyNumberFormat="1" applyFont="1" applyFill="1" applyBorder="1" applyAlignment="1">
      <x:alignment vertical="top" wrapText="1"/>
    </x:xf>
    <x:xf numFmtId="0" fontId="1" fillId="19" borderId="0" xfId="0" applyNumberFormat="1" applyFont="1" applyFill="1" applyBorder="1" applyAlignment="1">
      <x:alignment vertical="top" wrapText="1"/>
    </x:xf>
    <x:xf numFmtId="0" fontId="0" fillId="0" borderId="0" xfId="0" applyNumberFormat="1" applyFont="1" applyFill="1" applyBorder="1" applyAlignment="1">
      <x:alignment wrapText="1"/>
    </x:xf>
    <x:xf numFmtId="0" fontId="1" fillId="20" borderId="0" xfId="0" applyNumberFormat="1" applyFont="1" applyFill="1" applyBorder="1" applyAlignment="1">
      <x:alignment vertical="top" wrapText="1"/>
    </x:xf>
    <x:xf numFmtId="0" fontId="3" fillId="20" borderId="0" xfId="0" applyNumberFormat="1" applyFont="1" applyFill="1" applyBorder="1" applyAlignment="1">
      <x:alignment vertical="top" wrapText="1"/>
    </x:xf>
    <x:xf numFmtId="0" fontId="0" fillId="0" borderId="0" xfId="0" applyNumberFormat="1" applyFont="1" applyFill="1" applyBorder="1" applyAlignment="1">
      <x:alignment vertical="top" wrapText="1"/>
    </x:xf>
    <x:xf numFmtId="0" fontId="1" fillId="21" borderId="0" xfId="0" applyNumberFormat="1" applyFont="1" applyFill="1" applyBorder="1" applyAlignment="1">
      <x:alignment vertical="top" wrapText="1"/>
    </x:xf>
    <x:xf numFmtId="0" fontId="1" fillId="22" borderId="0" xfId="0" applyNumberFormat="1" applyFont="1" applyFill="1" applyBorder="1" applyAlignment="1">
      <x:alignment vertical="top" wrapText="1"/>
    </x:xf>
    <x:xf numFmtId="0" fontId="1" fillId="23" borderId="0" xfId="0" applyNumberFormat="1" applyFont="1" applyFill="1" applyBorder="1" applyAlignment="1">
      <x:alignment vertical="top" wrapText="1"/>
    </x:xf>
    <x:xf numFmtId="0" fontId="3" fillId="23" borderId="0" xfId="0" applyNumberFormat="1" applyFont="1" applyFill="1" applyBorder="1" applyAlignment="1">
      <x:alignment vertical="top" wrapText="1"/>
    </x:xf>
    <x:xf numFmtId="0" fontId="1" fillId="24" borderId="0" xfId="0" applyNumberFormat="1" applyFont="1" applyFill="1" applyBorder="1" applyAlignment="1">
      <x:alignment vertical="top" wrapText="1"/>
    </x:xf>
    <x:xf numFmtId="0" fontId="1" fillId="25" borderId="0" xfId="0" applyNumberFormat="1" applyFont="1" applyFill="1" applyBorder="1" applyAlignment="1">
      <x:alignment vertical="top" wrapText="1"/>
    </x:xf>
    <x:xf numFmtId="0" fontId="1" fillId="26" borderId="0" xfId="0" applyNumberFormat="1" applyFont="1" applyFill="1" applyBorder="1" applyAlignment="1">
      <x:alignment vertical="top" wrapText="1"/>
    </x:xf>
    <x:xf numFmtId="0" fontId="1" fillId="27" borderId="0" xfId="0" applyNumberFormat="1" applyFont="1" applyFill="1" applyBorder="1" applyAlignment="1">
      <x:alignment vertical="top" wrapText="1"/>
    </x:xf>
    <x:xf numFmtId="0" fontId="1" fillId="28" borderId="0" xfId="0" applyNumberFormat="1" applyFont="1" applyFill="1" applyBorder="1" applyAlignment="1">
      <x:alignment vertical="top" wrapText="1"/>
    </x:xf>
    <x:xf numFmtId="0" fontId="3" fillId="28" borderId="0" xfId="0" applyNumberFormat="1" applyFont="1" applyFill="1" applyBorder="1" applyAlignment="1">
      <x:alignment vertical="top" wrapText="1"/>
    </x:xf>
    <x:xf numFmtId="0" fontId="1" fillId="29" borderId="0" xfId="0" applyNumberFormat="1" applyFont="1" applyFill="1" applyBorder="1" applyAlignment="1">
      <x:alignment vertical="top" wrapText="1"/>
    </x:xf>
    <x:xf numFmtId="0" fontId="3" fillId="29" borderId="0" xfId="0" applyNumberFormat="1" applyFont="1" applyFill="1" applyBorder="1" applyAlignment="1">
      <x:alignment vertical="top" wrapText="1"/>
    </x:xf>
    <x:xf numFmtId="0" fontId="5" fillId="2" borderId="0" xfId="0" applyNumberFormat="1" applyFont="1" applyFill="1" applyBorder="1" applyAlignment="1">
      <x:alignment vertical="top" wrapText="1"/>
    </x:xf>
    <x:xf numFmtId="0" fontId="5" fillId="30" borderId="0" xfId="0" applyNumberFormat="1" applyFont="1" applyFill="1" applyBorder="1" applyAlignment="1">
      <x:alignment vertical="top" wrapText="1"/>
    </x:xf>
    <x:xf numFmtId="0" fontId="3" fillId="30" borderId="0" xfId="0" applyNumberFormat="1" applyFont="1" applyFill="1" applyBorder="1" applyAlignment="1">
      <x:alignment vertical="top" wrapText="1"/>
    </x:xf>
    <x:xf numFmtId="0" fontId="3" fillId="31" borderId="0" xfId="0" applyNumberFormat="1" applyFont="1" applyFill="1" applyBorder="1" applyAlignment="1">
      <x:alignment horizontal="center" vertical="center" wrapText="1"/>
    </x:xf>
    <x:xf numFmtId="0" fontId="3" fillId="31" borderId="0" xfId="0" applyNumberFormat="1" applyFont="1" applyFill="1" applyBorder="1" applyAlignment="1">
      <x:alignment horizontal="center" vertical="top" wrapText="1"/>
    </x:xf>
    <x:xf numFmtId="0" fontId="0" fillId="31" borderId="0" xfId="0" applyNumberFormat="1" applyFont="1" applyFill="1" applyBorder="1" applyAlignment="1">
      <x:alignment vertical="top" wrapText="1"/>
    </x:xf>
    <x:xf numFmtId="0" fontId="3" fillId="31" borderId="0" xfId="0" applyNumberFormat="1" applyFont="1" applyFill="1" applyBorder="1" applyAlignment="1">
      <x:alignment vertical="top" wrapText="1"/>
    </x:xf>
    <x:xf numFmtId="0" fontId="1" fillId="32" borderId="0" xfId="0" applyNumberFormat="1" applyFont="1" applyFill="1" applyBorder="1" applyAlignment="1">
      <x:alignment vertical="top" wrapText="1"/>
    </x:xf>
    <x:xf numFmtId="0" fontId="3" fillId="32" borderId="0" xfId="0" applyNumberFormat="1" applyFont="1" applyFill="1" applyBorder="1" applyAlignment="1">
      <x:alignment vertical="top" wrapText="1"/>
    </x:xf>
  </x:cellXfs>
  <x:cellStyles count="1">
    <x:cellStyle name="Normal" xfId="0"/>
  </x:cellStyles>
  <x:dxfs count="4">
    <x:dxf>
      <x:font>
        <x:color rgb="FF8A5B22"/>
      </x:font>
    </x:dxf>
    <x:dxf>
      <x:font>
        <x:color rgb="FF87521B"/>
      </x:font>
      <x:fill>
        <x:patternFill>
          <x:bgColor rgb="FFFFF0D9"/>
        </x:patternFill>
      </x:fill>
    </x:dxf>
    <x:dxf>
      <x:font>
        <x:color rgb="FF87521B"/>
      </x:font>
      <x:fill>
        <x:patternFill>
          <x:bgColor rgb="FFFFF0D9"/>
        </x:patternFill>
      </x:fill>
    </x:dxf>
    <x:dxf>
      <x:font>
        <x:color rgb="FF87521B"/>
      </x:font>
      <x:fill>
        <x:patternFill>
          <x:bgColor rgb="FFFFF0D9"/>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c9fca0dc74c14363" /><Relationship Type="http://schemas.openxmlformats.org/officeDocument/2006/relationships/theme" Target="/xl/theme/theme1.xml" Id="R3aee8cf5dbf94bba" /><Relationship Type="http://schemas.microsoft.com/office/2022/11/relationships/FeaturePropertyBag" Target="/xl/featurePropertyBag/featurePropertyBag.xml" Id="R06a86e55087b4ef0" /><Relationship Type="http://schemas.openxmlformats.org/officeDocument/2006/relationships/sharedStrings" Target="/xl/sharedStrings.xml" Id="R46a2a7ef17dd4e5d" /><Relationship Type="http://schemas.openxmlformats.org/officeDocument/2006/relationships/worksheet" Target="/xl/worksheets/sheet1.xml" Id="R1b93f867dca24cc2" /><Relationship Type="http://schemas.openxmlformats.org/officeDocument/2006/relationships/worksheet" Target="/xl/worksheets/sheet2.xml" Id="R3b6086cc709641ab" /><Relationship Type="http://schemas.openxmlformats.org/officeDocument/2006/relationships/worksheet" Target="/xl/worksheets/sheet3.xml" Id="Rb96d3c4e635f4f81" /><Relationship Type="http://schemas.openxmlformats.org/officeDocument/2006/relationships/worksheet" Target="/xl/worksheets/sheet4.xml" Id="R4f69a7a07cab47a1" /><Relationship Type="http://schemas.openxmlformats.org/officeDocument/2006/relationships/worksheet" Target="/xl/worksheets/sheet5.xml" Id="Rf3d2cdd9802149fc" /><Relationship Type="http://schemas.openxmlformats.org/officeDocument/2006/relationships/worksheet" Target="/xl/worksheets/sheet6.xml" Id="R4e4c274187474068" /><Relationship Type="http://schemas.openxmlformats.org/officeDocument/2006/relationships/worksheet" Target="/xl/worksheets/sheet7.xml" Id="R8aaf693b50c645f4" /><Relationship Type="http://schemas.openxmlformats.org/officeDocument/2006/relationships/worksheet" Target="/xl/worksheets/sheet8.xml" Id="R3e63aec83c814b7a" /><Relationship Type="http://schemas.openxmlformats.org/officeDocument/2006/relationships/worksheet" Target="/xl/worksheets/sheet9.xml" Id="R38770eba34174f6a" /><Relationship Type="http://schemas.openxmlformats.org/officeDocument/2006/relationships/worksheet" Target="/xl/worksheets/sheet10.xml" Id="R445c0fe482634b0c" /><Relationship Type="http://schemas.openxmlformats.org/officeDocument/2006/relationships/worksheet" Target="/xl/worksheets/sheet11.xml" Id="Rf2999a391670423b" /><Relationship Type="http://schemas.openxmlformats.org/officeDocument/2006/relationships/worksheet" Target="/xl/worksheets/sheet12.xml" Id="Rb15cba41c5a54f46" /><Relationship Type="http://schemas.openxmlformats.org/officeDocument/2006/relationships/worksheet" Target="/xl/worksheets/sheet13.xml" Id="R1ce6ca66fc374e07" /><Relationship Type="http://schemas.openxmlformats.org/officeDocument/2006/relationships/worksheet" Target="/xl/worksheets/sheet14.xml" Id="Ra559636c3b574289" /><Relationship Type="http://schemas.openxmlformats.org/officeDocument/2006/relationships/worksheet" Target="/xl/worksheets/sheet15.xml" Id="R641a4e6e21d048de"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19" name="ItemsTable" displayName="ItemsTable" ref="A5:AH413" headerRowCount="1" totalsRowCount="0" totalsRowShown="0">
  <x:autoFilter ref="A5:AH413"/>
  <x:tableColumns count="34">
    <x:tableColumn id="1" name="Item ID"/>
    <x:tableColumn id="2" name="Item name"/>
    <x:tableColumn id="3" name="Category"/>
    <x:tableColumn id="4" name="Subtype"/>
    <x:tableColumn id="5" name="Implementation scope"/>
    <x:tableColumn id="6" name="Purpose"/>
    <x:tableColumn id="7" name="Equipment slot"/>
    <x:tableColumn id="8" name="Carrier metadata"/>
    <x:tableColumn id="9" name="Stack limit"/>
    <x:tableColumn id="10" name="Mass (game units)"/>
    <x:tableColumn id="11" name="Acquisition"/>
    <x:tableColumn id="12" name="Crafting / processing"/>
    <x:tableColumn id="13" name="Supported behavior"/>
    <x:tableColumn id="14" name="Limitations"/>
    <x:tableColumn id="15" name="Rarity"/>
    <x:tableColumn id="16" name="Trade value"/>
    <x:tableColumn id="17" name="Damage"/>
    <x:tableColumn id="18" name="Protection"/>
    <x:tableColumn id="19" name="Durability"/>
    <x:tableColumn id="20" name="Open design decisions"/>
    <x:tableColumn id="21" name="Search aliases"/>
    <x:tableColumn id="22" name="Sources"/>
    <x:tableColumn id="23" name="Item type"/>
    <x:tableColumn id="24" name="Processing stage"/>
    <x:tableColumn id="25" name="Origin family"/>
    <x:tableColumn id="26" name="Primary use"/>
    <x:tableColumn id="27" name="Material family"/>
    <x:tableColumn id="28" name="Physical form"/>
    <x:tableColumn id="29" name="Design status"/>
    <x:tableColumn id="30" name="Search terms"/>
    <x:tableColumn id="31" name="Classification basis"/>
    <x:tableColumn id="32" name="Material tier"/>
    <x:tableColumn id="33" name="Tier basis"/>
    <x:tableColumn id="34" name="Finished-item input tier"/>
  </x:tableColumns>
  <x:tableStyleInfo name="TableStyleMedium2" showFirstColumn="0" showLastColumn="0" showRowStripes="1" showColumnStripes="0"/>
</x:table>
</file>

<file path=xl/tables/table2.xml><?xml version="1.0" encoding="utf-8"?>
<x:table xmlns:x="http://schemas.openxmlformats.org/spreadsheetml/2006/main" id="2" name="VariantsTable" displayName="VariantsTable" ref="A5:M25" headerRowCount="1" totalsRowCount="0" totalsRowShown="0">
  <x:autoFilter ref="A5:M25"/>
  <x:tableColumns count="13">
    <x:tableColumn id="1" name="Item ID"/>
    <x:tableColumn id="2" name="Authored name"/>
    <x:tableColumn id="3" name="Definition scope"/>
    <x:tableColumn id="4" name="Unity category"/>
    <x:tableColumn id="5" name="Equipment slot"/>
    <x:tableColumn id="6" name="Field supply"/>
    <x:tableColumn id="7" name="Carrier metadata"/>
    <x:tableColumn id="8" name="Stack limit"/>
    <x:tableColumn id="9" name="Mass (game units)"/>
    <x:tableColumn id="10" name="Packing preference"/>
    <x:tableColumn id="11" name="Authored description"/>
    <x:tableColumn id="12" name="Column12"/>
    <x:tableColumn id="13" name="Source asset"/>
  </x:tableColumns>
  <x:tableStyleInfo name="TableStyleMedium2" showFirstColumn="0" showLastColumn="0" showRowStripes="1" showColumnStripes="0"/>
</x:table>
</file>

<file path=xl/tables/table3.xml><?xml version="1.0" encoding="utf-8"?>
<x:table xmlns:x="http://schemas.openxmlformats.org/spreadsheetml/2006/main" id="3" name="RecipesTable" displayName="RecipesTable" ref="A5:I15" headerRowCount="1" totalsRowCount="0" totalsRowShown="0">
  <x:autoFilter ref="A5:I15"/>
  <x:tableColumns count="9">
    <x:tableColumn id="1" name="Recipe / reference key"/>
    <x:tableColumn id="2" name="Station"/>
    <x:tableColumn id="3" name="Direction"/>
    <x:tableColumn id="4" name="Item ID"/>
    <x:tableColumn id="5" name="Quantity"/>
    <x:tableColumn id="6" name="Scope"/>
    <x:tableColumn id="7" name="Rules"/>
    <x:tableColumn id="8" name="Column8"/>
    <x:tableColumn id="9" name="Source"/>
  </x:tableColumns>
  <x:tableStyleInfo name="TableStyleMedium2" showFirstColumn="0" showLastColumn="0" showRowStripes="1" showColumnStripes="0"/>
</x:table>
</file>

<file path=xl/tables/table4.xml><?xml version="1.0" encoding="utf-8"?>
<x:table xmlns:x="http://schemas.openxmlformats.org/spreadsheetml/2006/main" id="16" name="CategoriesTable" displayName="CategoriesTable" ref="A5:E44" headerRowCount="1" totalsRowCount="0" totalsRowShown="0">
  <x:autoFilter ref="A5:E44"/>
  <x:tableColumns count="5">
    <x:tableColumn id="1" name="Category"/>
    <x:tableColumn id="2" name="Current coverage"/>
    <x:tableColumn id="3" name="Existing basis"/>
    <x:tableColumn id="4" name="Later brainstorming"/>
    <x:tableColumn id="5" name="Grouping"/>
  </x:tableColumns>
  <x:tableStyleInfo name="TableStyleMedium2" showFirstColumn="0" showLastColumn="0" showRowStripes="1" showColumnStripes="0"/>
</x:table>
</file>

<file path=xl/tables/table5.xml><?xml version="1.0" encoding="utf-8"?>
<x:table xmlns:x="http://schemas.openxmlformats.org/spreadsheetml/2006/main" id="5" name="GuideTable" displayName="GuideTable" ref="A5:B176" headerRowCount="1" totalsRowCount="0" totalsRowShown="0">
  <x:autoFilter ref="A5:B176"/>
  <x:tableColumns count="2">
    <x:tableColumn id="1" name="Topic"/>
    <x:tableColumn id="2" name="Guidance"/>
  </x:tableColumns>
  <x:tableStyleInfo name="TableStyleMedium2" showFirstColumn="0" showLastColumn="0" showRowStripes="1" showColumnStripes="0"/>
</x:table>
</file>

<file path=xl/tables/table6.xml><?xml version="1.0" encoding="utf-8"?>
<x:table xmlns:x="http://schemas.openxmlformats.org/spreadsheetml/2006/main" id="6" name="ResourcechainsTable" displayName="ResourcechainsTable" ref="A5:H34" headerRowCount="1" totalsRowCount="0" totalsRowShown="0">
  <x:autoFilter ref="A5:H34"/>
  <x:tableColumns count="8">
    <x:tableColumn id="1" name="Input concept ID"/>
    <x:tableColumn id="2" name="Output concept ID"/>
    <x:tableColumn id="3" name="Processing concept"/>
    <x:tableColumn id="4" name="Potential use"/>
    <x:tableColumn id="5" name="Work location"/>
    <x:tableColumn id="6" name="Open constraint"/>
    <x:tableColumn id="7" name="Status"/>
    <x:tableColumn id="8" name="Basis"/>
  </x:tableColumns>
  <x:tableStyleInfo name="TableStyleMedium2" showFirstColumn="0" showLastColumn="0" showRowStripes="1" showColumnStripes="0"/>
</x:table>
</file>

<file path=xl/tables/table7.xml><?xml version="1.0" encoding="utf-8"?>
<x:table xmlns:x="http://schemas.openxmlformats.org/spreadsheetml/2006/main" id="7" name="CreatureconceptsTable" displayName="CreatureconceptsTable" ref="A5:I10" headerRowCount="1" totalsRowCount="0" totalsRowShown="0">
  <x:autoFilter ref="A5:I10"/>
  <x:tableColumns count="9">
    <x:tableColumn id="1" name="Concept ID"/>
    <x:tableColumn id="2" name="Working description"/>
    <x:tableColumn id="3" name="Hybrid anatomy"/>
    <x:tableColumn id="4" name="Ecological role"/>
    <x:tableColumn id="5" name="Expedition decision"/>
    <x:tableColumn id="6" name="Resource concept IDs"/>
    <x:tableColumn id="7" name="Collection alternative"/>
    <x:tableColumn id="8" name="Open design issue"/>
    <x:tableColumn id="9" name="Status"/>
  </x:tableColumns>
  <x:tableStyleInfo name="TableStyleMedium2" showFirstColumn="0" showLastColumn="0" showRowStripes="1" showColumnStripes="0"/>
</x:table>
</file>

<file path=xl/tables/table8.xml><?xml version="1.0" encoding="utf-8"?>
<x:table xmlns:x="http://schemas.openxmlformats.org/spreadsheetml/2006/main" id="8" name="ChemicalConceptsTable" displayName="ChemicalConceptsTable" ref="A5:H17" headerRowCount="1" totalsRowCount="0" totalsRowShown="0">
  <x:autoFilter ref="A5:H17"/>
  <x:tableColumns count="8">
    <x:tableColumn id="1" name="Concept ID"/>
    <x:tableColumn id="2" name="Working label"/>
    <x:tableColumn id="3" name="Biological source / role"/>
    <x:tableColumn id="4" name="Human hazard"/>
    <x:tableColumn id="5" name="Potential material use"/>
    <x:tableColumn id="6" name="Design constraint"/>
    <x:tableColumn id="7" name="Source relationship"/>
    <x:tableColumn id="8" name="Reference"/>
  </x:tableColumns>
  <x:tableStyleInfo name="TableStyleMedium2" showFirstColumn="0" showLastColumn="0" showRowStripes="1" showColumnStripes="0"/>
</x:table>
</file>

<file path=xl/tables/table9.xml><?xml version="1.0" encoding="utf-8"?>
<x:table xmlns:x="http://schemas.openxmlformats.org/spreadsheetml/2006/main" id="9" name="ContainerConceptsTable" displayName="ContainerConceptsTable" ref="A5:K21" headerRowCount="1" totalsRowCount="0" totalsRowShown="0">
  <x:autoFilter ref="A5:K21"/>
  <x:tableColumns count="11">
    <x:tableColumn id="1" name="Concept ID"/>
    <x:tableColumn id="2" name="Working label"/>
    <x:tableColumn id="3" name="Form"/>
    <x:tableColumn id="4" name="Proposed materials"/>
    <x:tableColumn id="5" name="Purpose"/>
    <x:tableColumn id="6" name="Qualitative size"/>
    <x:tableColumn id="7" name="Closure concept"/>
    <x:tableColumn id="8" name="Contents / contact"/>
    <x:tableColumn id="9" name="Design constraint"/>
    <x:tableColumn id="10" name="Source relationship"/>
    <x:tableColumn id="11" name="References"/>
  </x:tableColumns>
  <x:tableStyleInfo name="TableStyleMedium2" showFirstColumn="0" showLastColumn="0" showRowStripes="1" showColumnStripes="0"/>
</x:table>
</file>

<file path=xl/tables/table10.xml><?xml version="1.0" encoding="utf-8"?>
<x:table xmlns:x="http://schemas.openxmlformats.org/spreadsheetml/2006/main" id="10" name="EquipmentConceptsTable" displayName="EquipmentConceptsTable" ref="A5:J22" headerRowCount="1" totalsRowCount="0" totalsRowShown="0">
  <x:autoFilter ref="A5:J22"/>
  <x:tableColumns count="10">
    <x:tableColumn id="1" name="Concept ID"/>
    <x:tableColumn id="2" name="Item family"/>
    <x:tableColumn id="3" name="Region / form"/>
    <x:tableColumn id="4" name="Crude concept"/>
    <x:tableColumn id="5" name="Serviceable concept"/>
    <x:tableColumn id="6" name="Elaborate concept"/>
    <x:tableColumn id="7" name="Material candidates"/>
    <x:tableColumn id="8" name="Design purpose"/>
    <x:tableColumn id="9" name="Open compatibility / ownership"/>
    <x:tableColumn id="10" name="Status / basis"/>
  </x:tableColumns>
  <x:tableStyleInfo name="TableStyleMedium2" showFirstColumn="0" showLastColumn="0" showRowStripes="1" showColumnStripes="0"/>
</x:table>
</file>

<file path=xl/tables/table11.xml><?xml version="1.0" encoding="utf-8"?>
<x:table xmlns:x="http://schemas.openxmlformats.org/spreadsheetml/2006/main" id="11" name="CanisterConceptsTable" displayName="CanisterConceptsTable" ref="A5:H20" headerRowCount="1" totalsRowCount="0" totalsRowShown="0">
  <x:autoFilter ref="A5:H20"/>
  <x:tableColumns count="8">
    <x:tableColumn id="1" name="Concept ID"/>
    <x:tableColumn id="2" name="Part / item"/>
    <x:tableColumn id="3" name="Category"/>
    <x:tableColumn id="4" name="Proposed role"/>
    <x:tableColumn id="5" name="Source relationship"/>
    <x:tableColumn id="6" name="Material candidates"/>
    <x:tableColumn id="7" name="Compatibility / boundary"/>
    <x:tableColumn id="8" name="Source proposal"/>
  </x:tableColumns>
  <x:tableStyleInfo name="TableStyleMedium2" showFirstColumn="0" showLastColumn="0" showRowStripes="1" showColumnStripes="0"/>
</x:table>
</file>

<file path=xl/tables/table12.xml><?xml version="1.0" encoding="utf-8"?>
<x:table xmlns:x="http://schemas.openxmlformats.org/spreadsheetml/2006/main" id="22" name="ItemTaxonomy" displayName="ItemTaxonomy" ref="A5:C209" headerRowCount="1" totalsRowCount="0" totalsRowShown="0">
  <x:autoFilter ref="A5:C209"/>
  <x:tableColumns count="3">
    <x:tableColumn id="1" name="Field"/>
    <x:tableColumn id="2" name="Allowed value"/>
    <x:tableColumn id="3" name="Definition / rule"/>
  </x:tableColumns>
  <x:tableStyleInfo name="TableStyleMedium2" showFirstColumn="0" showLastColumn="0" showRowStripes="1" showColumnStripes="0"/>
</x:table>
</file>

<file path=xl/tables/table13.xml><?xml version="1.0" encoding="utf-8"?>
<x:table xmlns:x="http://schemas.openxmlformats.org/spreadsheetml/2006/main" id="14" name="ItemUseRelationships" displayName="ItemUseRelationships" ref="A5:F572" headerRowCount="1" totalsRowCount="0" totalsRowShown="0">
  <x:autoFilter ref="A5:F572"/>
  <x:tableColumns count="6">
    <x:tableColumn id="1" name="Item ID"/>
    <x:tableColumn id="2" name="Item name"/>
    <x:tableColumn id="3" name="Category"/>
    <x:tableColumn id="4" name="Use role"/>
    <x:tableColumn id="5" name="Use"/>
    <x:tableColumn id="6" name="Basis"/>
  </x:tableColumns>
  <x:tableStyleInfo name="TableStyleMedium2" showFirstColumn="0" showLastColumn="0" showRowStripes="1" showColumnStripes="0"/>
</x:table>
</file>

<file path=xl/tables/table14.xml><?xml version="1.0" encoding="utf-8"?>
<x:table xmlns:x="http://schemas.openxmlformats.org/spreadsheetml/2006/main" id="20" name="MaterialRoutesTable" displayName="MaterialRoutesTable" ref="A5:J52" headerRowCount="1" totalsRowCount="0" totalsRowShown="0">
  <x:autoFilter ref="A5:J52"/>
  <x:tableColumns count="10">
    <x:tableColumn id="1" name="Route ID"/>
    <x:tableColumn id="2" name="Input item ID"/>
    <x:tableColumn id="3" name="Input name"/>
    <x:tableColumn id="4" name="Input tier"/>
    <x:tableColumn id="5" name="Output item ID"/>
    <x:tableColumn id="6" name="Output name"/>
    <x:tableColumn id="7" name="Output tier"/>
    <x:tableColumn id="8" name="Processing intent"/>
    <x:tableColumn id="9" name="Status / completeness"/>
    <x:tableColumn id="10" name="Source / basis"/>
  </x:tableColumns>
  <x:tableStyleInfo name="TableStyleMedium2" showFirstColumn="0" showLastColumn="0" showRowStripes="1" showColumnStripes="0"/>
</x:table>
</file>

<file path=xl/tables/table15.xml><?xml version="1.0" encoding="utf-8"?>
<x:table xmlns:x="http://schemas.openxmlformats.org/spreadsheetml/2006/main" id="21" name="RegionalDemandTable" displayName="RegionalDemandTable" ref="A5:H18" headerRowCount="1" totalsRowCount="0" totalsRowShown="0">
  <x:autoFilter ref="A5:H18"/>
  <x:tableColumns count="8">
    <x:tableColumn id="1" name="Region / people"/>
    <x:tableColumn id="2" name="Scope"/>
    <x:tableColumn id="3" name="Source-supported context"/>
    <x:tableColumn id="4" name="Proposed material / fashion direction"/>
    <x:tableColumn id="5" name="Candidate item IDs"/>
    <x:tableColumn id="6" name="Possible demand driver"/>
    <x:tableColumn id="7" name="Evidence boundary"/>
    <x:tableColumn id="8" name="Source record"/>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f21d4cf4548c4d62" /></Relationships>
</file>

<file path=xl/worksheets/_rels/sheet2.xml.rels>&#65279;<?xml version="1.0" encoding="utf-8"?><Relationships xmlns="http://schemas.openxmlformats.org/package/2006/relationships"><Relationship Type="http://schemas.openxmlformats.org/officeDocument/2006/relationships/table" Target="/xl/tables/table2.xml" Id="Re62792b1342a4d63" /></Relationships>
</file>

<file path=xl/worksheets/_rels/sheet3.xml.rels>&#65279;<?xml version="1.0" encoding="utf-8"?><Relationships xmlns="http://schemas.openxmlformats.org/package/2006/relationships"><Relationship Type="http://schemas.openxmlformats.org/officeDocument/2006/relationships/table" Target="/xl/tables/table3.xml" Id="R68a6e497a64842cb" /></Relationships>
</file>

<file path=xl/worksheets/_rels/sheet4.xml.rels>&#65279;<?xml version="1.0" encoding="utf-8"?><Relationships xmlns="http://schemas.openxmlformats.org/package/2006/relationships"><Relationship Type="http://schemas.openxmlformats.org/officeDocument/2006/relationships/table" Target="/xl/tables/table4.xml" Id="R39d1f00280a44b68" /></Relationships>
</file>

<file path=xl/worksheets/_rels/sheet5.xml.rels>&#65279;<?xml version="1.0" encoding="utf-8"?><Relationships xmlns="http://schemas.openxmlformats.org/package/2006/relationships"><Relationship Type="http://schemas.openxmlformats.org/officeDocument/2006/relationships/table" Target="/xl/tables/table5.xml" Id="R7260d1841a014ff3" /></Relationships>
</file>

<file path=xl/worksheets/_rels/sheet6.xml.rels>&#65279;<?xml version="1.0" encoding="utf-8"?><Relationships xmlns="http://schemas.openxmlformats.org/package/2006/relationships"><Relationship Type="http://schemas.openxmlformats.org/officeDocument/2006/relationships/table" Target="/xl/tables/table6.xml" Id="Rc92edb4750e84d7b" /></Relationships>
</file>

<file path=xl/worksheets/_rels/sheet7.xml.rels>&#65279;<?xml version="1.0" encoding="utf-8"?><Relationships xmlns="http://schemas.openxmlformats.org/package/2006/relationships"><Relationship Type="http://schemas.openxmlformats.org/officeDocument/2006/relationships/table" Target="/xl/tables/table7.xml" Id="R2c48e2085eb04a29" /></Relationships>
</file>

<file path=xl/worksheets/_rels/sheet8.xml.rels>&#65279;<?xml version="1.0" encoding="utf-8"?><Relationships xmlns="http://schemas.openxmlformats.org/package/2006/relationships"><Relationship Type="http://schemas.openxmlformats.org/officeDocument/2006/relationships/table" Target="/xl/tables/table8.xml" Id="R5bbceaede02545f9" /></Relationships>
</file>

<file path=xl/worksheets/_rels/sheet9.xml.rels>&#65279;<?xml version="1.0" encoding="utf-8"?><Relationships xmlns="http://schemas.openxmlformats.org/package/2006/relationships"><Relationship Type="http://schemas.openxmlformats.org/officeDocument/2006/relationships/table" Target="/xl/tables/table9.xml" Id="R1dbadab4876c4be6" /></Relationships>
</file>

<file path=xl/worksheets/_rels/sheet10.xml.rels>&#65279;<?xml version="1.0" encoding="utf-8"?><Relationships xmlns="http://schemas.openxmlformats.org/package/2006/relationships"><Relationship Type="http://schemas.openxmlformats.org/officeDocument/2006/relationships/table" Target="/xl/tables/table10.xml" Id="R7ecf6aa5008f4214" /></Relationships>
</file>

<file path=xl/worksheets/_rels/sheet11.xml.rels>&#65279;<?xml version="1.0" encoding="utf-8"?><Relationships xmlns="http://schemas.openxmlformats.org/package/2006/relationships"><Relationship Type="http://schemas.openxmlformats.org/officeDocument/2006/relationships/table" Target="/xl/tables/table11.xml" Id="R257e207aaee5463d" /></Relationships>
</file>

<file path=xl/worksheets/_rels/sheet12.xml.rels>&#65279;<?xml version="1.0" encoding="utf-8"?><Relationships xmlns="http://schemas.openxmlformats.org/package/2006/relationships"><Relationship Type="http://schemas.openxmlformats.org/officeDocument/2006/relationships/table" Target="/xl/tables/table12.xml" Id="R736da4d4f5c84215" /></Relationships>
</file>

<file path=xl/worksheets/_rels/sheet13.xml.rels>&#65279;<?xml version="1.0" encoding="utf-8"?><Relationships xmlns="http://schemas.openxmlformats.org/package/2006/relationships"><Relationship Type="http://schemas.openxmlformats.org/officeDocument/2006/relationships/table" Target="/xl/tables/table13.xml" Id="R6ec7c27af215453d" /></Relationships>
</file>

<file path=xl/worksheets/_rels/sheet14.xml.rels>&#65279;<?xml version="1.0" encoding="utf-8"?><Relationships xmlns="http://schemas.openxmlformats.org/package/2006/relationships"><Relationship Type="http://schemas.openxmlformats.org/officeDocument/2006/relationships/table" Target="/xl/tables/table14.xml" Id="R2253d5b21e794c6a" /></Relationships>
</file>

<file path=xl/worksheets/_rels/sheet15.xml.rels>&#65279;<?xml version="1.0" encoding="utf-8"?><Relationships xmlns="http://schemas.openxmlformats.org/package/2006/relationships"><Relationship Type="http://schemas.openxmlformats.org/officeDocument/2006/relationships/table" Target="/xl/tables/table15.xml" Id="R742d32b8ee724bb1" /></Relationships>
</file>

<file path=xl/worksheets/sheet1.xml><?xml version="1.0" encoding="utf-8"?>
<x:worksheet xmlns:x="http://schemas.openxmlformats.org/spreadsheetml/2006/main">
  <x:sheetPr>
    <x:tabColor rgb="FF7A3F27"/>
  </x:sheetPr>
  <x:sheetViews>
    <x:sheetView showGridLines="0" workbookViewId="0">
      <x:pane xSplit="2" ySplit="5" topLeftCell="C6" activePane="bottomRight" state="frozen"/>
    </x:sheetView>
  </x:sheetViews>
  <x:sheetFormatPr defaultRowHeight="15"/>
  <x:cols>
    <x:col min="1" max="1" width="33" hidden="0" customWidth="1"/>
    <x:col min="2" max="2" width="25" hidden="0" customWidth="1"/>
    <x:col min="3" max="3" width="24" hidden="0" customWidth="1"/>
    <x:col min="4" max="4" width="23" hidden="0" customWidth="1"/>
    <x:col min="5" max="5" width="33" hidden="0" customWidth="1"/>
    <x:col min="6" max="6" width="44" hidden="0" customWidth="1"/>
    <x:col min="7" max="7" width="23" hidden="0" customWidth="1"/>
    <x:col min="8" max="8" width="23" hidden="0" customWidth="1"/>
    <x:col min="9" max="9" width="13" hidden="0" customWidth="1"/>
    <x:col min="10" max="10" width="18" hidden="0" customWidth="1"/>
    <x:col min="11" max="11" width="35" hidden="0" customWidth="1"/>
    <x:col min="12" max="12" width="36" hidden="0" customWidth="1"/>
    <x:col min="13" max="13" width="42" hidden="0" customWidth="1"/>
    <x:col min="14" max="14" width="47" hidden="0" customWidth="1"/>
    <x:col min="15" max="15" width="16" hidden="0" customWidth="1"/>
    <x:col min="16" max="16" width="16" hidden="0" customWidth="1"/>
    <x:col min="17" max="17" width="16" hidden="0" customWidth="1"/>
    <x:col min="18" max="18" width="16" hidden="0" customWidth="1"/>
    <x:col min="19" max="19" width="16" hidden="0" customWidth="1"/>
    <x:col min="20" max="20" width="42" hidden="0" customWidth="1"/>
    <x:col min="21" max="21" width="42" hidden="0" customWidth="1"/>
    <x:col min="22" max="22" width="100" hidden="0" customWidth="1"/>
    <x:col min="23" max="23" width="24" hidden="0" customWidth="1"/>
    <x:col min="24" max="24" width="25" hidden="0" customWidth="1"/>
    <x:col min="25" max="25" width="29" hidden="0" customWidth="1"/>
    <x:col min="26" max="26" width="29" hidden="0" customWidth="1"/>
    <x:col min="27" max="27" width="28" hidden="0" customWidth="1"/>
    <x:col min="28" max="28" width="22" hidden="0" customWidth="1"/>
    <x:col min="29" max="29" width="25" hidden="0" customWidth="1"/>
    <x:col min="30" max="30" width="70" hidden="0" customWidth="1"/>
    <x:col min="31" max="31" width="55" hidden="0" customWidth="1"/>
    <x:col min="32" max="32" width="22" hidden="0" customWidth="1"/>
    <x:col min="33" max="33" width="64" hidden="0" customWidth="1"/>
    <x:col min="34" max="34" width="26" hidden="0" customWidth="1"/>
  </x:cols>
  <x:sheetData>
    <x:row r="1">
      <x:c r="A1" s="1"/>
      <x:c r="B1" s="1"/>
      <x:c r="C1" s="1"/>
      <x:c r="D1" s="1"/>
      <x:c r="E1" s="1"/>
      <x:c r="F1" s="1"/>
      <x:c r="G1" s="1"/>
      <x:c r="H1" s="1"/>
      <x:c r="I1" s="1"/>
      <x:c r="J1" s="1"/>
      <x:c r="K1" s="1"/>
      <x:c r="L1" s="1"/>
      <x:c r="M1" s="1"/>
      <x:c r="N1" s="1"/>
      <x:c r="O1" s="1"/>
      <x:c r="P1" s="1"/>
      <x:c r="Q1" s="1"/>
      <x:c r="R1" s="1"/>
      <x:c r="S1" s="1"/>
      <x:c r="T1" s="1"/>
      <x:c r="U1" s="1"/>
      <x:c r="V1" s="1"/>
    </x:row>
    <x:row r="2">
      <x:c r="A2" s="2" t="str">
        <x:v>Master item database</x:v>
      </x:c>
      <x:c r="B2" s="1"/>
      <x:c r="C2" s="1"/>
      <x:c r="D2" s="1"/>
      <x:c r="E2" s="1"/>
      <x:c r="F2" s="1"/>
      <x:c r="G2" s="1"/>
      <x:c r="H2" s="1"/>
      <x:c r="I2" s="1"/>
      <x:c r="J2" s="1"/>
      <x:c r="K2" s="1"/>
      <x:c r="L2" s="1"/>
      <x:c r="M2" s="1"/>
      <x:c r="N2" s="1"/>
      <x:c r="O2" s="1"/>
      <x:c r="P2" s="1"/>
      <x:c r="Q2" s="1"/>
      <x:c r="R2" s="1"/>
      <x:c r="S2" s="1"/>
      <x:c r="T2" s="1"/>
      <x:c r="U2" s="1"/>
      <x:c r="V2" s="1"/>
    </x:row>
    <x:row r="3">
      <x:c r="A3" s="1" t="str">
        <x:v>Material tiers AF:AH track refinement separately from rarity and finished products. Material routes and Regional demand hold sourced-context brainstorming.</x:v>
      </x:c>
      <x:c r="B3" s="1"/>
      <x:c r="C3" s="1"/>
      <x:c r="D3" s="1"/>
      <x:c r="E3" s="1"/>
      <x:c r="F3" s="1"/>
      <x:c r="G3" s="1"/>
      <x:c r="H3" s="1"/>
      <x:c r="I3" s="1"/>
      <x:c r="J3" s="1"/>
      <x:c r="K3" s="1"/>
      <x:c r="L3" s="1"/>
      <x:c r="M3" s="1"/>
      <x:c r="N3" s="1"/>
      <x:c r="O3" s="1"/>
      <x:c r="P3" s="1"/>
      <x:c r="Q3" s="1"/>
      <x:c r="R3" s="1"/>
      <x:c r="S3" s="1"/>
      <x:c r="T3" s="1"/>
      <x:c r="U3" s="1"/>
      <x:c r="V3" s="1"/>
    </x:row>
    <x:row r="4">
      <x:c r="A4" s="1"/>
      <x:c r="B4" s="1"/>
      <x:c r="C4" s="1"/>
      <x:c r="D4" s="1"/>
      <x:c r="E4" s="1"/>
      <x:c r="F4" s="1"/>
      <x:c r="G4" s="1"/>
      <x:c r="H4" s="1"/>
      <x:c r="I4" s="1"/>
      <x:c r="J4" s="1"/>
      <x:c r="K4" s="1"/>
      <x:c r="L4" s="1"/>
      <x:c r="M4" s="1"/>
      <x:c r="N4" s="1"/>
      <x:c r="O4" s="1"/>
      <x:c r="P4" s="1"/>
      <x:c r="Q4" s="1"/>
      <x:c r="R4" s="1"/>
      <x:c r="S4" s="1"/>
      <x:c r="T4" s="1"/>
      <x:c r="U4" s="1"/>
      <x:c r="V4" s="1"/>
    </x:row>
    <x:row r="5" ht="36" customHeight="1">
      <x:c r="A5" s="8" t="str">
        <x:v>Item ID</x:v>
      </x:c>
      <x:c r="B5" s="8" t="str">
        <x:v>Item name</x:v>
      </x:c>
      <x:c r="C5" s="8" t="str">
        <x:v>Category</x:v>
      </x:c>
      <x:c r="D5" s="8" t="str">
        <x:v>Subtype</x:v>
      </x:c>
      <x:c r="E5" s="8" t="str">
        <x:v>Implementation scope</x:v>
      </x:c>
      <x:c r="F5" s="8" t="str">
        <x:v>Purpose</x:v>
      </x:c>
      <x:c r="G5" s="8" t="str">
        <x:v>Equipment slot</x:v>
      </x:c>
      <x:c r="H5" s="8" t="str">
        <x:v>Carrier metadata</x:v>
      </x:c>
      <x:c r="I5" s="8" t="str">
        <x:v>Stack limit</x:v>
      </x:c>
      <x:c r="J5" s="8" t="str">
        <x:v>Mass (game units)</x:v>
      </x:c>
      <x:c r="K5" s="8" t="str">
        <x:v>Acquisition</x:v>
      </x:c>
      <x:c r="L5" s="8" t="str">
        <x:v>Crafting / processing</x:v>
      </x:c>
      <x:c r="M5" s="8" t="str">
        <x:v>Supported behavior</x:v>
      </x:c>
      <x:c r="N5" s="8" t="str">
        <x:v>Limitations</x:v>
      </x:c>
      <x:c r="O5" s="8" t="str">
        <x:v>Rarity</x:v>
      </x:c>
      <x:c r="P5" s="8" t="str">
        <x:v>Trade value</x:v>
      </x:c>
      <x:c r="Q5" s="8" t="str">
        <x:v>Damage</x:v>
      </x:c>
      <x:c r="R5" s="8" t="str">
        <x:v>Protection</x:v>
      </x:c>
      <x:c r="S5" s="8" t="str">
        <x:v>Durability</x:v>
      </x:c>
      <x:c r="T5" s="8" t="str">
        <x:v>Open design decisions</x:v>
      </x:c>
      <x:c r="U5" s="57" t="str">
        <x:v>Search aliases</x:v>
      </x:c>
      <x:c r="V5" s="12" t="str">
        <x:v>Sources</x:v>
      </x:c>
      <x:c r="W5" s="53" t="str">
        <x:v>Item type</x:v>
      </x:c>
      <x:c r="X5" s="53" t="str">
        <x:v>Processing stage</x:v>
      </x:c>
      <x:c r="Y5" s="53" t="str">
        <x:v>Origin family</x:v>
      </x:c>
      <x:c r="Z5" s="53" t="str">
        <x:v>Primary use</x:v>
      </x:c>
      <x:c r="AA5" s="53" t="str">
        <x:v>Material family</x:v>
      </x:c>
      <x:c r="AB5" s="53" t="str">
        <x:v>Physical form</x:v>
      </x:c>
      <x:c r="AC5" s="53" t="str">
        <x:v>Design status</x:v>
      </x:c>
      <x:c r="AD5" s="53" t="str">
        <x:v>Search terms</x:v>
      </x:c>
      <x:c r="AE5" s="53" t="str">
        <x:v>Classification basis</x:v>
      </x:c>
      <x:c r="AF5" s="62" t="str">
        <x:v>Material tier</x:v>
      </x:c>
      <x:c r="AG5" s="62" t="str">
        <x:v>Tier basis</x:v>
      </x:c>
      <x:c r="AH5" s="62" t="str">
        <x:v>Finished-item input tier</x:v>
      </x:c>
    </x:row>
    <x:row r="6" ht="48" customHeight="1">
      <x:c r="A6" s="9" t="str">
        <x:v>lab.salvage.drive_assembly</x:v>
      </x:c>
      <x:c r="B6" s="9" t="str">
        <x:v>Drive Assembly</x:v>
      </x:c>
      <x:c r="C6" s="9" t="str">
        <x:v>Crafting components</x:v>
      </x:c>
      <x:c r="D6" s="9" t="str">
        <x:v>Salvage</x:v>
      </x:c>
      <x:c r="E6" s="9" t="str">
        <x:v>Camp Loop trial</x:v>
      </x:c>
      <x:c r="F6" s="9" t="str">
        <x:v>Drive assembly removed from the dead machine.</x:v>
      </x:c>
      <x:c r="G6" s="9" t="str">
        <x:v>None</x:v>
      </x:c>
      <x:c r="H6" s="9" t="str">
        <x:v>Legger only</x:v>
      </x:c>
      <x:c r="I6" s="13" t="n">
        <x:v>1</x:v>
      </x:c>
      <x:c r="J6" s="15" t="n">
        <x:v>6</x:v>
      </x:c>
      <x:c r="K6" s="9" t="str">
        <x:v>Camp Loop wreck extraction</x:v>
      </x:c>
      <x:c r="L6" s="9" t="str">
        <x:v>No recipe authored</x:v>
      </x:c>
      <x:c r="M6" s="9" t="str">
        <x:v>Finite trial salvage reward</x:v>
      </x:c>
      <x:c r="N6" s="9" t="str">
        <x:v>Provisional salvage part</x:v>
      </x:c>
      <x:c r="O6" s="17"/>
      <x:c r="P6" s="17"/>
      <x:c r="Q6" s="17"/>
      <x:c r="R6" s="17"/>
      <x:c r="S6" s="17"/>
      <x:c r="T6" s="9" t="str">
        <x:v>Recipes, final name and production adoption</x:v>
      </x:c>
      <x:c r="U6" s="11"/>
      <x:c r="V6" s="9" t="str">
        <x:v>Assets/_Project/Settings/Studies/CampLoopSalvage/Part2.asset; Docs/Evidence/Gameplay/CampLoopSalvage20261014/README.md</x:v>
      </x:c>
      <x:c r="W6" s="4" t="str">
        <x:v>Crafting component</x:v>
      </x:c>
      <x:c r="X6" s="4" t="str">
        <x:v>Recovered part</x:v>
      </x:c>
      <x:c r="Y6" s="4" t="str">
        <x:v>Recovered machinery</x:v>
      </x:c>
      <x:c r="Z6" s="4" t="str">
        <x:v>Machinery repair</x:v>
      </x:c>
      <x:c r="AA6" s="4" t="str">
        <x:v>Mixed / unresolved</x:v>
      </x:c>
      <x:c r="AB6" s="4" t="str">
        <x:v>Assembly</x:v>
      </x:c>
      <x:c r="AC6" s="4" t="str">
        <x:v>Existing definition</x:v>
      </x:c>
      <x:c r="AD6" s="4" t="str">
        <x:f>LOWER(A6&amp;"; "&amp;B6&amp;"; "&amp;C6&amp;"; "&amp;D6&amp;"; "&amp;W6&amp;"; "&amp;X6&amp;"; "&amp;Y6&amp;"; "&amp;Z6&amp;"; "&amp;AA6&amp;"; "&amp;AB6&amp;"; "&amp;AC6&amp;"; "&amp;U6)</x:f>
        <x:v>lab.salvage.drive_assembly; drive assembly; crafting components; salvage; crafting component; recovered part; recovered machinery; machinery repair; mixed / unresolved; assembly; existing definition; </x:v>
      </x:c>
      <x:c r="AE6" s="4" t="str">
        <x:v>From current item description. Proposed uses retain their existing approval status.</x:v>
      </x:c>
      <x:c r="AF6" s="4" t="str">
        <x:v>Unassigned</x:v>
      </x:c>
      <x:c r="AG6" s="4" t="str">
        <x:v>Choose a material/part route before assigning a tier. Processing-stage labels alone do not prove chain depth.</x:v>
      </x:c>
      <x:c r="AH6" s="4" t="str">
        <x:v>Not applicable</x:v>
      </x:c>
    </x:row>
    <x:row r="7" ht="48" customHeight="1">
      <x:c r="A7" s="4" t="str">
        <x:v>lab.salvage.metal_plate</x:v>
      </x:c>
      <x:c r="B7" s="4" t="str">
        <x:v>Metal Plate</x:v>
      </x:c>
      <x:c r="C7" s="4" t="str">
        <x:v>Crafting components</x:v>
      </x:c>
      <x:c r="D7" s="4" t="str">
        <x:v>Salvage</x:v>
      </x:c>
      <x:c r="E7" s="4" t="str">
        <x:v>Camp Loop trial</x:v>
      </x:c>
      <x:c r="F7" s="4" t="str">
        <x:v>Plate removed from the dead machine.</x:v>
      </x:c>
      <x:c r="G7" s="4" t="str">
        <x:v>None</x:v>
      </x:c>
      <x:c r="H7" s="4" t="str">
        <x:v>Legger only</x:v>
      </x:c>
      <x:c r="I7" s="14" t="n">
        <x:v>20</x:v>
      </x:c>
      <x:c r="J7" s="16" t="n">
        <x:v>2</x:v>
      </x:c>
      <x:c r="K7" s="4" t="str">
        <x:v>Camp Loop wreck extraction</x:v>
      </x:c>
      <x:c r="L7" s="4" t="str">
        <x:v>No recipe authored</x:v>
      </x:c>
      <x:c r="M7" s="4" t="str">
        <x:v>Finite trial salvage reward</x:v>
      </x:c>
      <x:c r="N7" s="4" t="str">
        <x:v>Provisional salvage part</x:v>
      </x:c>
      <x:c r="O7" s="17"/>
      <x:c r="P7" s="17"/>
      <x:c r="Q7" s="17"/>
      <x:c r="R7" s="17"/>
      <x:c r="S7" s="17"/>
      <x:c r="T7" s="4" t="str">
        <x:v>Recipes, final name and production adoption</x:v>
      </x:c>
      <x:c r="U7" s="11"/>
      <x:c r="V7" s="4" t="str">
        <x:v>Assets/_Project/Settings/Studies/CampLoopSalvage/Part0.asset; Docs/Evidence/Gameplay/CampLoopSalvage20261014/README.md</x:v>
      </x:c>
      <x:c r="W7" s="4" t="str">
        <x:v>Crafting component</x:v>
      </x:c>
      <x:c r="X7" s="4" t="str">
        <x:v>Recovered part</x:v>
      </x:c>
      <x:c r="Y7" s="4" t="str">
        <x:v>Recovered machinery</x:v>
      </x:c>
      <x:c r="Z7" s="4" t="str">
        <x:v>Fabrication</x:v>
      </x:c>
      <x:c r="AA7" s="4" t="str">
        <x:v>Metal</x:v>
      </x:c>
      <x:c r="AB7" s="4" t="str">
        <x:v>Solid part</x:v>
      </x:c>
      <x:c r="AC7" s="4" t="str">
        <x:v>Existing definition</x:v>
      </x:c>
      <x:c r="AD7" s="4" t="str">
        <x:f>LOWER(A7&amp;"; "&amp;B7&amp;"; "&amp;C7&amp;"; "&amp;D7&amp;"; "&amp;W7&amp;"; "&amp;X7&amp;"; "&amp;Y7&amp;"; "&amp;Z7&amp;"; "&amp;AA7&amp;"; "&amp;AB7&amp;"; "&amp;AC7&amp;"; "&amp;U7)</x:f>
        <x:v>lab.salvage.metal_plate; metal plate; crafting components; salvage; crafting component; recovered part; recovered machinery; fabrication; metal; solid part; existing definition; </x:v>
      </x:c>
      <x:c r="AE7" s="4" t="str">
        <x:v>From current item description. Proposed uses retain their existing approval status.</x:v>
      </x:c>
      <x:c r="AF7" s="4" t="str">
        <x:v>Unassigned</x:v>
      </x:c>
      <x:c r="AG7" s="4" t="str">
        <x:v>Choose a material/part route before assigning a tier. Processing-stage labels alone do not prove chain depth.</x:v>
      </x:c>
      <x:c r="AH7" s="4" t="str">
        <x:v>Not applicable</x:v>
      </x:c>
    </x:row>
    <x:row r="8" ht="48" customHeight="1">
      <x:c r="A8" s="9" t="str">
        <x:v>lab.salvage.wire_bundle</x:v>
      </x:c>
      <x:c r="B8" s="9" t="str">
        <x:v>Wire Bundle</x:v>
      </x:c>
      <x:c r="C8" s="9" t="str">
        <x:v>Crafting components</x:v>
      </x:c>
      <x:c r="D8" s="9" t="str">
        <x:v>Salvage</x:v>
      </x:c>
      <x:c r="E8" s="9" t="str">
        <x:v>Camp Loop trial</x:v>
      </x:c>
      <x:c r="F8" s="9" t="str">
        <x:v>Wire bundle removed from the dead machine.</x:v>
      </x:c>
      <x:c r="G8" s="9" t="str">
        <x:v>None</x:v>
      </x:c>
      <x:c r="H8" s="9" t="str">
        <x:v>Legger only</x:v>
      </x:c>
      <x:c r="I8" s="13" t="n">
        <x:v>10</x:v>
      </x:c>
      <x:c r="J8" s="15" t="n">
        <x:v>0.5</x:v>
      </x:c>
      <x:c r="K8" s="9" t="str">
        <x:v>Camp Loop wreck extraction</x:v>
      </x:c>
      <x:c r="L8" s="9" t="str">
        <x:v>No recipe authored</x:v>
      </x:c>
      <x:c r="M8" s="9" t="str">
        <x:v>Finite trial salvage reward</x:v>
      </x:c>
      <x:c r="N8" s="9" t="str">
        <x:v>Provisional salvage part</x:v>
      </x:c>
      <x:c r="O8" s="17"/>
      <x:c r="P8" s="17"/>
      <x:c r="Q8" s="17"/>
      <x:c r="R8" s="17"/>
      <x:c r="S8" s="17"/>
      <x:c r="T8" s="9" t="str">
        <x:v>Recipes, final name and production adoption</x:v>
      </x:c>
      <x:c r="U8" s="11"/>
      <x:c r="V8" s="9" t="str">
        <x:v>Assets/_Project/Settings/Studies/CampLoopSalvage/Part1.asset; Docs/Evidence/Gameplay/CampLoopSalvage20261014/README.md</x:v>
      </x:c>
      <x:c r="W8" s="4" t="str">
        <x:v>Crafting component</x:v>
      </x:c>
      <x:c r="X8" s="4" t="str">
        <x:v>Recovered part</x:v>
      </x:c>
      <x:c r="Y8" s="4" t="str">
        <x:v>Recovered machinery</x:v>
      </x:c>
      <x:c r="Z8" s="4" t="str">
        <x:v>Electrical work</x:v>
      </x:c>
      <x:c r="AA8" s="4" t="str">
        <x:v>Metal</x:v>
      </x:c>
      <x:c r="AB8" s="4" t="str">
        <x:v>Bundle</x:v>
      </x:c>
      <x:c r="AC8" s="4" t="str">
        <x:v>Existing definition</x:v>
      </x:c>
      <x:c r="AD8" s="4" t="str">
        <x:f>LOWER(A8&amp;"; "&amp;B8&amp;"; "&amp;C8&amp;"; "&amp;D8&amp;"; "&amp;W8&amp;"; "&amp;X8&amp;"; "&amp;Y8&amp;"; "&amp;Z8&amp;"; "&amp;AA8&amp;"; "&amp;AB8&amp;"; "&amp;AC8&amp;"; "&amp;U8)</x:f>
        <x:v>lab.salvage.wire_bundle; wire bundle; crafting components; salvage; crafting component; recovered part; recovered machinery; electrical work; metal; bundle; existing definition; </x:v>
      </x:c>
      <x:c r="AE8" s="4" t="str">
        <x:v>From current item description. Proposed uses retain their existing approval status.</x:v>
      </x:c>
      <x:c r="AF8" s="4" t="str">
        <x:v>Unassigned</x:v>
      </x:c>
      <x:c r="AG8" s="4" t="str">
        <x:v>Choose a material/part route before assigning a tier. Processing-stage labels alone do not prove chain depth.</x:v>
      </x:c>
      <x:c r="AH8" s="4" t="str">
        <x:v>Not applicable</x:v>
      </x:c>
    </x:row>
    <x:row r="9" ht="48" customHeight="1">
      <x:c r="A9" s="4" t="str">
        <x:v>equipment.algae_canister</x:v>
      </x:c>
      <x:c r="B9" s="4" t="str">
        <x:v>Algae canister</x:v>
      </x:c>
      <x:c r="C9" s="4" t="str">
        <x:v>Equipment</x:v>
      </x:c>
      <x:c r="D9" s="4" t="str">
        <x:v>Survival</x:v>
      </x:c>
      <x:c r="E9" s="4" t="str">
        <x:v>Camp Loop trial</x:v>
      </x:c>
      <x:c r="F9" s="4" t="str">
        <x:v>Attached reserve for eating, drinking and treating injuries.</x:v>
      </x:c>
      <x:c r="G9" s="4" t="str">
        <x:v>Algae canister</x:v>
      </x:c>
      <x:c r="H9" s="4" t="str">
        <x:v>Booter only</x:v>
      </x:c>
      <x:c r="I9" s="14" t="n">
        <x:v>1</x:v>
      </x:c>
      <x:c r="J9" s="16" t="n">
        <x:v>0.8</x:v>
      </x:c>
      <x:c r="K9" s="4" t="str">
        <x:v>Starter fitted gear</x:v>
      </x:c>
      <x:c r="L9" s="4" t="str">
        <x:v>No recipe authored</x:v>
      </x:c>
      <x:c r="M9" s="4" t="str">
        <x:v>Existing living-algae reserve</x:v>
      </x:c>
      <x:c r="N9" s="4" t="str">
        <x:v>Cannot remove attachment; no sleep/Reserve restoration</x:v>
      </x:c>
      <x:c r="O9" s="17"/>
      <x:c r="P9" s="17"/>
      <x:c r="Q9" s="17"/>
      <x:c r="R9" s="17"/>
      <x:c r="S9" s="17"/>
      <x:c r="T9" s="4" t="str">
        <x:v>Swap/refill design and final balance</x:v>
      </x:c>
      <x:c r="U9" s="11" t="str">
        <x:v>injury treatment</x:v>
      </x:c>
      <x:c r="V9" s="4" t="str">
        <x:v>Assets/_Project/Settings/Items/CampLoopLoadout/AlgaeCanister.asset; Docs/Evidence/Gameplay/CampLoopLoadout20261014/README.md</x:v>
      </x:c>
      <x:c r="W9" s="4" t="str">
        <x:v>Container</x:v>
      </x:c>
      <x:c r="X9" s="4" t="str">
        <x:v>Finished item</x:v>
      </x:c>
      <x:c r="Y9" s="4" t="str">
        <x:v>Living culture</x:v>
      </x:c>
      <x:c r="Z9" s="4" t="str">
        <x:v>Survival provision</x:v>
      </x:c>
      <x:c r="AA9" s="4" t="str">
        <x:v>Mixed / unresolved</x:v>
      </x:c>
      <x:c r="AB9" s="4" t="str">
        <x:v>Assembly</x:v>
      </x:c>
      <x:c r="AC9" s="4" t="str">
        <x:v>Existing definition</x:v>
      </x:c>
      <x:c r="AD9" s="4" t="str">
        <x:f>LOWER(A9&amp;"; "&amp;B9&amp;"; "&amp;C9&amp;"; "&amp;D9&amp;"; "&amp;W9&amp;"; "&amp;X9&amp;"; "&amp;Y9&amp;"; "&amp;Z9&amp;"; "&amp;AA9&amp;"; "&amp;AB9&amp;"; "&amp;AC9&amp;"; "&amp;U9)</x:f>
        <x:v>equipment.algae_canister; algae canister; equipment; survival; container; finished item; living culture; survival provision; mixed / unresolved; assembly; existing definition; injury treatment</x:v>
      </x:c>
      <x:c r="AE9" s="4" t="str">
        <x:v>From current item description. Proposed uses retain their existing approval status.</x:v>
      </x:c>
      <x:c r="AF9" s="4" t="str">
        <x:v>Finished item</x:v>
      </x:c>
      <x:c r="AG9" s="4" t="str">
        <x:v>Completed gear, vessel, food or tool can stop at its chosen material tier; it need not climb to T4.</x:v>
      </x:c>
      <x:c r="AH9" s="4" t="str">
        <x:v>Unassigned</x:v>
      </x:c>
    </x:row>
    <x:row r="10" ht="48" customHeight="1">
      <x:c r="A10" s="9" t="str">
        <x:v>equipment.cloak</x:v>
      </x:c>
      <x:c r="B10" s="9" t="str">
        <x:v>Cloak</x:v>
      </x:c>
      <x:c r="C10" s="9" t="str">
        <x:v>Equipment</x:v>
      </x:c>
      <x:c r="D10" s="9" t="str">
        <x:v>Clothing</x:v>
      </x:c>
      <x:c r="E10" s="9" t="str">
        <x:v>Camp Loop trial</x:v>
      </x:c>
      <x:c r="F10" s="9" t="str">
        <x:v>Worn cloak becomes the camp blanket.</x:v>
      </x:c>
      <x:c r="G10" s="9" t="str">
        <x:v>Cloak</x:v>
      </x:c>
      <x:c r="H10" s="9" t="str">
        <x:v>Either carrier</x:v>
      </x:c>
      <x:c r="I10" s="13" t="n">
        <x:v>1</x:v>
      </x:c>
      <x:c r="J10" s="15" t="n">
        <x:v>1</x:v>
      </x:c>
      <x:c r="K10" s="9" t="str">
        <x:v>Starter fitted gear</x:v>
      </x:c>
      <x:c r="L10" s="9" t="str">
        <x:v>No recipe authored</x:v>
      </x:c>
      <x:c r="M10" s="9" t="str">
        <x:v>Worn and blanket presentation share ownership</x:v>
      </x:c>
      <x:c r="N10" s="9" t="str">
        <x:v>Blanket is not a second item; no extra healing bonus</x:v>
      </x:c>
      <x:c r="O10" s="17"/>
      <x:c r="P10" s="17"/>
      <x:c r="Q10" s="17"/>
      <x:c r="R10" s="17"/>
      <x:c r="S10" s="17"/>
      <x:c r="T10" s="9" t="str">
        <x:v>Protection and material progression; material composition unresolved under no-cloth rule</x:v>
      </x:c>
      <x:c r="U10" s="11" t="str">
        <x:v>camp rest</x:v>
      </x:c>
      <x:c r="V10" s="9" t="str">
        <x:v>Assets/_Project/Settings/Items/CampLoopLoadout/Cloak.asset; Docs/Evidence/Gameplay/CampLoopLoadout20261014/README.md</x:v>
      </x:c>
      <x:c r="W10" s="4" t="str">
        <x:v>Wearable</x:v>
      </x:c>
      <x:c r="X10" s="4" t="str">
        <x:v>Finished item</x:v>
      </x:c>
      <x:c r="Y10" s="4" t="str">
        <x:v>Unresolved</x:v>
      </x:c>
      <x:c r="Z10" s="4" t="str">
        <x:v>Clothing</x:v>
      </x:c>
      <x:c r="AA10" s="4" t="str">
        <x:v>Unresolved</x:v>
      </x:c>
      <x:c r="AB10" s="4" t="str">
        <x:v>Garment</x:v>
      </x:c>
      <x:c r="AC10" s="4" t="str">
        <x:v>Existing definition</x:v>
      </x:c>
      <x:c r="AD10" s="4" t="str">
        <x:f>LOWER(A10&amp;"; "&amp;B10&amp;"; "&amp;C10&amp;"; "&amp;D10&amp;"; "&amp;W10&amp;"; "&amp;X10&amp;"; "&amp;Y10&amp;"; "&amp;Z10&amp;"; "&amp;AA10&amp;"; "&amp;AB10&amp;"; "&amp;AC10&amp;"; "&amp;U10)</x:f>
        <x:v>equipment.cloak; cloak; equipment; clothing; wearable; finished item; unresolved; clothing; unresolved; garment; existing definition; camp rest</x:v>
      </x:c>
      <x:c r="AE10" s="4" t="str">
        <x:v>From current item description. Proposed uses retain their existing approval status.</x:v>
      </x:c>
      <x:c r="AF10" s="4" t="str">
        <x:v>Finished item</x:v>
      </x:c>
      <x:c r="AG10" s="4" t="str">
        <x:v>Completed gear, vessel, food or tool can stop at its chosen material tier; it need not climb to T4.</x:v>
      </x:c>
      <x:c r="AH10" s="4" t="str">
        <x:v>Unassigned</x:v>
      </x:c>
    </x:row>
    <x:row r="11" ht="48" customHeight="1">
      <x:c r="A11" s="4" t="str">
        <x:v>equipment.digging_tool</x:v>
      </x:c>
      <x:c r="B11" s="4" t="str">
        <x:v>Digging shovel axe</x:v>
      </x:c>
      <x:c r="C11" s="4" t="str">
        <x:v>Equipment</x:v>
      </x:c>
      <x:c r="D11" s="4" t="str">
        <x:v>Excavation</x:v>
      </x:c>
      <x:c r="E11" s="4" t="str">
        <x:v>Camp Loop trial</x:v>
      </x:c>
      <x:c r="F11" s="4" t="str">
        <x:v>Starter combined shovel and axe.</x:v>
      </x:c>
      <x:c r="G11" s="4" t="str">
        <x:v>Digging tool</x:v>
      </x:c>
      <x:c r="H11" s="4" t="str">
        <x:v>Either carrier</x:v>
      </x:c>
      <x:c r="I11" s="14" t="n">
        <x:v>1</x:v>
      </x:c>
      <x:c r="J11" s="16" t="n">
        <x:v>1.5</x:v>
      </x:c>
      <x:c r="K11" s="4" t="str">
        <x:v>Starter fitted gear</x:v>
      </x:c>
      <x:c r="L11" s="4" t="str">
        <x:v>No recipe authored</x:v>
      </x:c>
      <x:c r="M11" s="4" t="str">
        <x:v>Inventory ownership only</x:v>
      </x:c>
      <x:c r="N11" s="4" t="str">
        <x:v>No new mining prerequisite or combat action</x:v>
      </x:c>
      <x:c r="O11" s="17"/>
      <x:c r="P11" s="17"/>
      <x:c r="Q11" s="17"/>
      <x:c r="R11" s="17"/>
      <x:c r="S11" s="17"/>
      <x:c r="T11" s="4" t="str">
        <x:v>Final name, excavation behavior and progression</x:v>
      </x:c>
      <x:c r="U11" s="11"/>
      <x:c r="V11" s="4" t="str">
        <x:v>Assets/_Project/Settings/Items/CampLoopLoadout/DiggingTool.asset; Docs/Evidence/Gameplay/CampLoopLoadout20261014/README.md</x:v>
      </x:c>
      <x:c r="W11" s="4" t="str">
        <x:v>Tool</x:v>
      </x:c>
      <x:c r="X11" s="4" t="str">
        <x:v>Finished item</x:v>
      </x:c>
      <x:c r="Y11" s="4" t="str">
        <x:v>Unresolved</x:v>
      </x:c>
      <x:c r="Z11" s="4" t="str">
        <x:v>Excavation</x:v>
      </x:c>
      <x:c r="AA11" s="4" t="str">
        <x:v>Mixed / unresolved</x:v>
      </x:c>
      <x:c r="AB11" s="4" t="str">
        <x:v>Assembly</x:v>
      </x:c>
      <x:c r="AC11" s="4" t="str">
        <x:v>Existing definition</x:v>
      </x:c>
      <x:c r="AD11" s="4" t="str">
        <x:f>LOWER(A11&amp;"; "&amp;B11&amp;"; "&amp;C11&amp;"; "&amp;D11&amp;"; "&amp;W11&amp;"; "&amp;X11&amp;"; "&amp;Y11&amp;"; "&amp;Z11&amp;"; "&amp;AA11&amp;"; "&amp;AB11&amp;"; "&amp;AC11&amp;"; "&amp;U11)</x:f>
        <x:v>equipment.digging_tool; digging shovel axe; equipment; excavation; tool; finished item; unresolved; excavation; mixed / unresolved; assembly; existing definition; </x:v>
      </x:c>
      <x:c r="AE11" s="4" t="str">
        <x:v>From current item description. Proposed uses retain their existing approval status.</x:v>
      </x:c>
      <x:c r="AF11" s="4" t="str">
        <x:v>Finished item</x:v>
      </x:c>
      <x:c r="AG11" s="4" t="str">
        <x:v>Completed gear, vessel, food or tool can stop at its chosen material tier; it need not climb to T4.</x:v>
      </x:c>
      <x:c r="AH11" s="4" t="str">
        <x:v>Unassigned</x:v>
      </x:c>
    </x:row>
    <x:row r="12" ht="48" customHeight="1">
      <x:c r="A12" s="9" t="str">
        <x:v>tool.micro_dust_harvester</x:v>
      </x:c>
      <x:c r="B12" s="9" t="str">
        <x:v>Dust canister</x:v>
      </x:c>
      <x:c r="C12" s="9" t="str">
        <x:v>Equipment</x:v>
      </x:c>
      <x:c r="D12" s="9" t="str">
        <x:v>Harvesting</x:v>
      </x:c>
      <x:c r="E12" s="9" t="str">
        <x:v>Shared definition; trial variant/rules</x:v>
      </x:c>
      <x:c r="F12" s="9" t="str">
        <x:v>Deploy a canister to gather airborne dust.</x:v>
      </x:c>
      <x:c r="G12" s="9" t="str">
        <x:v>Dust canister</x:v>
      </x:c>
      <x:c r="H12" s="9" t="str">
        <x:v>Either carrier</x:v>
      </x:c>
      <x:c r="I12" s="13" t="n">
        <x:v>1</x:v>
      </x:c>
      <x:c r="J12" s="15" t="n">
        <x:v>0.8</x:v>
      </x:c>
      <x:c r="K12" s="9" t="str">
        <x:v>Starter dust equipment</x:v>
      </x:c>
      <x:c r="L12" s="9" t="str">
        <x:v>Reusable tool in charging loop</x:v>
      </x:c>
      <x:c r="M12" s="9" t="str">
        <x:v>Camp trial preserves instance and carried dust payload</x:v>
      </x:c>
      <x:c r="N12" s="9" t="str">
        <x:v>Filled recovery goes to cargo; empty may return to equipment slot</x:v>
      </x:c>
      <x:c r="O12" s="17"/>
      <x:c r="P12" s="17"/>
      <x:c r="Q12" s="17"/>
      <x:c r="R12" s="17"/>
      <x:c r="S12" s="17"/>
      <x:c r="T12" s="9" t="str">
        <x:v>Capacity and collection-rate tuning; final naming</x:v>
      </x:c>
      <x:c r="U12" s="11"/>
      <x:c r="V12" s="9" t="str">
        <x:v>Assets/_Project/Settings/Items/CampLoopLoadout/DustCanister.asset; Docs/Evidence/Gameplay/CampWorkstations20261014/README.md</x:v>
      </x:c>
      <x:c r="W12" s="4" t="str">
        <x:v>Tool</x:v>
      </x:c>
      <x:c r="X12" s="4" t="str">
        <x:v>Finished item</x:v>
      </x:c>
      <x:c r="Y12" s="4" t="str">
        <x:v>Unresolved</x:v>
      </x:c>
      <x:c r="Z12" s="4" t="str">
        <x:v>Resource collection</x:v>
      </x:c>
      <x:c r="AA12" s="4" t="str">
        <x:v>Mixed / unresolved</x:v>
      </x:c>
      <x:c r="AB12" s="4" t="str">
        <x:v>Assembly</x:v>
      </x:c>
      <x:c r="AC12" s="4" t="str">
        <x:v>Existing definition</x:v>
      </x:c>
      <x:c r="AD12" s="4" t="str">
        <x:f>LOWER(A12&amp;"; "&amp;B12&amp;"; "&amp;C12&amp;"; "&amp;D12&amp;"; "&amp;W12&amp;"; "&amp;X12&amp;"; "&amp;Y12&amp;"; "&amp;Z12&amp;"; "&amp;AA12&amp;"; "&amp;AB12&amp;"; "&amp;AC12&amp;"; "&amp;U12)</x:f>
        <x:v>tool.micro_dust_harvester; dust canister; equipment; harvesting; tool; finished item; unresolved; resource collection; mixed / unresolved; assembly; existing definition; </x:v>
      </x:c>
      <x:c r="AE12" s="4" t="str">
        <x:v>From current item description. Proposed uses retain their existing approval status.</x:v>
      </x:c>
      <x:c r="AF12" s="4" t="str">
        <x:v>Finished item</x:v>
      </x:c>
      <x:c r="AG12" s="4" t="str">
        <x:v>Completed gear, vessel, food or tool can stop at its chosen material tier; it need not climb to T4.</x:v>
      </x:c>
      <x:c r="AH12" s="4" t="str">
        <x:v>Unassigned</x:v>
      </x:c>
    </x:row>
    <x:row r="13" ht="48" customHeight="1">
      <x:c r="A13" s="4" t="str">
        <x:v>equipment.grappling_hook</x:v>
      </x:c>
      <x:c r="B13" s="4" t="str">
        <x:v>Grappling hook</x:v>
      </x:c>
      <x:c r="C13" s="4" t="str">
        <x:v>Equipment</x:v>
      </x:c>
      <x:c r="D13" s="4" t="str">
        <x:v>Traversal</x:v>
      </x:c>
      <x:c r="E13" s="4" t="str">
        <x:v>Camp Loop trial</x:v>
      </x:c>
      <x:c r="F13" s="4" t="str">
        <x:v>Terrain navigation gear.</x:v>
      </x:c>
      <x:c r="G13" s="4" t="str">
        <x:v>Grappling hook</x:v>
      </x:c>
      <x:c r="H13" s="4" t="str">
        <x:v>Either carrier</x:v>
      </x:c>
      <x:c r="I13" s="14" t="n">
        <x:v>1</x:v>
      </x:c>
      <x:c r="J13" s="16" t="n">
        <x:v>1</x:v>
      </x:c>
      <x:c r="K13" s="4" t="str">
        <x:v>Starter fitted gear</x:v>
      </x:c>
      <x:c r="L13" s="4" t="str">
        <x:v>No recipe authored</x:v>
      </x:c>
      <x:c r="M13" s="4" t="str">
        <x:v>Inventory ownership only</x:v>
      </x:c>
      <x:c r="N13" s="4" t="str">
        <x:v>Grapple traversal is not implemented</x:v>
      </x:c>
      <x:c r="O13" s="17"/>
      <x:c r="P13" s="17"/>
      <x:c r="Q13" s="17"/>
      <x:c r="R13" s="17"/>
      <x:c r="S13" s="17"/>
      <x:c r="T13" s="4" t="str">
        <x:v>Traversal rules and upgrades</x:v>
      </x:c>
      <x:c r="U13" s="11"/>
      <x:c r="V13" s="4" t="str">
        <x:v>Assets/_Project/Settings/Items/CampLoopLoadout/GrapplingHook.asset; Docs/Evidence/Gameplay/CampLoopLoadout20261014/README.md</x:v>
      </x:c>
      <x:c r="W13" s="4" t="str">
        <x:v>Tool</x:v>
      </x:c>
      <x:c r="X13" s="4" t="str">
        <x:v>Finished item</x:v>
      </x:c>
      <x:c r="Y13" s="4" t="str">
        <x:v>Unresolved</x:v>
      </x:c>
      <x:c r="Z13" s="4" t="str">
        <x:v>Traversal</x:v>
      </x:c>
      <x:c r="AA13" s="4" t="str">
        <x:v>Mixed / unresolved</x:v>
      </x:c>
      <x:c r="AB13" s="4" t="str">
        <x:v>Assembly</x:v>
      </x:c>
      <x:c r="AC13" s="4" t="str">
        <x:v>Existing definition</x:v>
      </x:c>
      <x:c r="AD13" s="4" t="str">
        <x:f>LOWER(A13&amp;"; "&amp;B13&amp;"; "&amp;C13&amp;"; "&amp;D13&amp;"; "&amp;W13&amp;"; "&amp;X13&amp;"; "&amp;Y13&amp;"; "&amp;Z13&amp;"; "&amp;AA13&amp;"; "&amp;AB13&amp;"; "&amp;AC13&amp;"; "&amp;U13)</x:f>
        <x:v>equipment.grappling_hook; grappling hook; equipment; traversal; tool; finished item; unresolved; traversal; mixed / unresolved; assembly; existing definition; </x:v>
      </x:c>
      <x:c r="AE13" s="4" t="str">
        <x:v>From current item description. Proposed uses retain their existing approval status.</x:v>
      </x:c>
      <x:c r="AF13" s="4" t="str">
        <x:v>Finished item</x:v>
      </x:c>
      <x:c r="AG13" s="4" t="str">
        <x:v>Completed gear, vessel, food or tool can stop at its chosen material tier; it need not climb to T4.</x:v>
      </x:c>
      <x:c r="AH13" s="4" t="str">
        <x:v>Unassigned</x:v>
      </x:c>
    </x:row>
    <x:row r="14" ht="48" customHeight="1">
      <x:c r="A14" s="9" t="str">
        <x:v>equipment.jacket</x:v>
      </x:c>
      <x:c r="B14" s="9" t="str">
        <x:v>Jacket</x:v>
      </x:c>
      <x:c r="C14" s="9" t="str">
        <x:v>Equipment</x:v>
      </x:c>
      <x:c r="D14" s="9" t="str">
        <x:v>Clothing</x:v>
      </x:c>
      <x:c r="E14" s="9" t="str">
        <x:v>Camp Loop trial</x:v>
      </x:c>
      <x:c r="F14" s="9" t="str">
        <x:v>Separate jacket equipment.</x:v>
      </x:c>
      <x:c r="G14" s="9" t="str">
        <x:v>Jacket</x:v>
      </x:c>
      <x:c r="H14" s="9" t="str">
        <x:v>Either carrier</x:v>
      </x:c>
      <x:c r="I14" s="13" t="n">
        <x:v>1</x:v>
      </x:c>
      <x:c r="J14" s="15" t="n">
        <x:v>1</x:v>
      </x:c>
      <x:c r="K14" s="9" t="str">
        <x:v>Starter fitted gear</x:v>
      </x:c>
      <x:c r="L14" s="9" t="str">
        <x:v>No recipe authored</x:v>
      </x:c>
      <x:c r="M14" s="9" t="str">
        <x:v>Inventory ownership only</x:v>
      </x:c>
      <x:c r="N14" s="9" t="str">
        <x:v>No protection or durability effects enabled</x:v>
      </x:c>
      <x:c r="O14" s="17"/>
      <x:c r="P14" s="17"/>
      <x:c r="Q14" s="17"/>
      <x:c r="R14" s="17"/>
      <x:c r="S14" s="17"/>
      <x:c r="T14" s="9" t="str">
        <x:v>Protection, exposure rules and progression; material composition unresolved under no-cloth rule</x:v>
      </x:c>
      <x:c r="U14" s="11"/>
      <x:c r="V14" s="9" t="str">
        <x:v>Assets/_Project/Settings/Items/CampLoopLoadout/Jacket.asset; Docs/Evidence/Gameplay/CampLoopLoadout20261014/README.md</x:v>
      </x:c>
      <x:c r="W14" s="4" t="str">
        <x:v>Wearable</x:v>
      </x:c>
      <x:c r="X14" s="4" t="str">
        <x:v>Finished item</x:v>
      </x:c>
      <x:c r="Y14" s="4" t="str">
        <x:v>Unresolved</x:v>
      </x:c>
      <x:c r="Z14" s="4" t="str">
        <x:v>Clothing</x:v>
      </x:c>
      <x:c r="AA14" s="4" t="str">
        <x:v>Unresolved</x:v>
      </x:c>
      <x:c r="AB14" s="4" t="str">
        <x:v>Garment</x:v>
      </x:c>
      <x:c r="AC14" s="4" t="str">
        <x:v>Existing definition</x:v>
      </x:c>
      <x:c r="AD14" s="4" t="str">
        <x:f>LOWER(A14&amp;"; "&amp;B14&amp;"; "&amp;C14&amp;"; "&amp;D14&amp;"; "&amp;W14&amp;"; "&amp;X14&amp;"; "&amp;Y14&amp;"; "&amp;Z14&amp;"; "&amp;AA14&amp;"; "&amp;AB14&amp;"; "&amp;AC14&amp;"; "&amp;U14)</x:f>
        <x:v>equipment.jacket; jacket; equipment; clothing; wearable; finished item; unresolved; clothing; unresolved; garment; existing definition; </x:v>
      </x:c>
      <x:c r="AE14" s="4" t="str">
        <x:v>From current item description. Proposed uses retain their existing approval status.</x:v>
      </x:c>
      <x:c r="AF14" s="4" t="str">
        <x:v>Finished item</x:v>
      </x:c>
      <x:c r="AG14" s="4" t="str">
        <x:v>Completed gear, vessel, food or tool can stop at its chosen material tier; it need not climb to T4.</x:v>
      </x:c>
      <x:c r="AH14" s="4" t="str">
        <x:v>Unassigned</x:v>
      </x:c>
    </x:row>
    <x:row r="15" ht="48" customHeight="1">
      <x:c r="A15" s="4" t="str">
        <x:v>equipment.arc_battery_charged</x:v>
      </x:c>
      <x:c r="B15" s="4" t="str">
        <x:v>Charged Arc Battery</x:v>
      </x:c>
      <x:c r="C15" s="4" t="str">
        <x:v>Field supplies</x:v>
      </x:c>
      <x:c r="D15" s="4" t="str">
        <x:v>Energy container</x:v>
      </x:c>
      <x:c r="E15" s="4" t="str">
        <x:v>Camp Loop trial</x:v>
      </x:c>
      <x:c r="F15" s="4" t="str">
        <x:v>Battery containing refined Arc Energy.</x:v>
      </x:c>
      <x:c r="G15" s="4" t="str">
        <x:v>None</x:v>
      </x:c>
      <x:c r="H15" s="4" t="str">
        <x:v>Either carrier</x:v>
      </x:c>
      <x:c r="I15" s="14" t="n">
        <x:v>1</x:v>
      </x:c>
      <x:c r="J15" s="16" t="n">
        <x:v>0.8</x:v>
      </x:c>
      <x:c r="K15" s="4" t="str">
        <x:v>Refinery: empty battery plus 10 canister dust</x:v>
      </x:c>
      <x:c r="L15" s="4" t="str">
        <x:v>Charging output</x:v>
      </x:c>
      <x:c r="M15" s="4" t="str">
        <x:v>Charged battery state</x:v>
      </x:c>
      <x:c r="N15" s="4" t="str">
        <x:v>No downstream energy consumer catalogued</x:v>
      </x:c>
      <x:c r="O15" s="17"/>
      <x:c r="P15" s="17"/>
      <x:c r="Q15" s="17"/>
      <x:c r="R15" s="17"/>
      <x:c r="S15" s="17"/>
      <x:c r="T15" s="4" t="str">
        <x:v>Discharge, reuse and powered equipment</x:v>
      </x:c>
      <x:c r="U15" s="11"/>
      <x:c r="V15" s="4" t="str">
        <x:v>Assets/_Project/Settings/Items/CampLoop/ChargedArcBattery.asset; Docs/Evidence/Gameplay/CampWorkstations20261014/README.md</x:v>
      </x:c>
      <x:c r="W15" s="4" t="str">
        <x:v>Energy storage</x:v>
      </x:c>
      <x:c r="X15" s="4" t="str">
        <x:v>Finished item</x:v>
      </x:c>
      <x:c r="Y15" s="4" t="str">
        <x:v>Manufactured / unresolved</x:v>
      </x:c>
      <x:c r="Z15" s="4" t="str">
        <x:v>Energy storage</x:v>
      </x:c>
      <x:c r="AA15" s="4" t="str">
        <x:v>Mixed / unresolved</x:v>
      </x:c>
      <x:c r="AB15" s="4" t="str">
        <x:v>Assembly</x:v>
      </x:c>
      <x:c r="AC15" s="4" t="str">
        <x:v>Existing definition</x:v>
      </x:c>
      <x:c r="AD15" s="4" t="str">
        <x:f>LOWER(A15&amp;"; "&amp;B15&amp;"; "&amp;C15&amp;"; "&amp;D15&amp;"; "&amp;W15&amp;"; "&amp;X15&amp;"; "&amp;Y15&amp;"; "&amp;Z15&amp;"; "&amp;AA15&amp;"; "&amp;AB15&amp;"; "&amp;AC15&amp;"; "&amp;U15)</x:f>
        <x:v>equipment.arc_battery_charged; charged arc battery; field supplies; energy container; energy storage; finished item; manufactured / unresolved; energy storage; mixed / unresolved; assembly; existing definition; </x:v>
      </x:c>
      <x:c r="AE15" s="4" t="str">
        <x:v>From current item description. Proposed uses retain their existing approval status.</x:v>
      </x:c>
      <x:c r="AF15" s="4" t="str">
        <x:v>Finished item</x:v>
      </x:c>
      <x:c r="AG15" s="4" t="str">
        <x:v>Completed gear, vessel, food or tool can stop at its chosen material tier; it need not climb to T4.</x:v>
      </x:c>
      <x:c r="AH15" s="4" t="str">
        <x:v>Unassigned</x:v>
      </x:c>
    </x:row>
    <x:row r="16" ht="48" customHeight="1">
      <x:c r="A16" s="9" t="str">
        <x:v>equipment.arc_battery_empty</x:v>
      </x:c>
      <x:c r="B16" s="9" t="str">
        <x:v>Empty Arc Battery</x:v>
      </x:c>
      <x:c r="C16" s="9" t="str">
        <x:v>Field supplies</x:v>
      </x:c>
      <x:c r="D16" s="9" t="str">
        <x:v>Energy container</x:v>
      </x:c>
      <x:c r="E16" s="9" t="str">
        <x:v>Camp Loop trial</x:v>
      </x:c>
      <x:c r="F16" s="9" t="str">
        <x:v>Empty battery for dust refinery.</x:v>
      </x:c>
      <x:c r="G16" s="9" t="str">
        <x:v>None</x:v>
      </x:c>
      <x:c r="H16" s="9" t="str">
        <x:v>Either carrier</x:v>
      </x:c>
      <x:c r="I16" s="13" t="n">
        <x:v>1</x:v>
      </x:c>
      <x:c r="J16" s="15" t="n">
        <x:v>0.8</x:v>
      </x:c>
      <x:c r="K16" s="9" t="str">
        <x:v>Workbench: 4 Ironstone Ore</x:v>
      </x:c>
      <x:c r="L16" s="9" t="str">
        <x:v>Charging input</x:v>
      </x:c>
      <x:c r="M16" s="9" t="str">
        <x:v>Refinery accepts empty battery</x:v>
      </x:c>
      <x:c r="N16" s="9" t="str">
        <x:v>ID prefix equipment does not mean fitted equipment</x:v>
      </x:c>
      <x:c r="O16" s="17"/>
      <x:c r="P16" s="17"/>
      <x:c r="Q16" s="17"/>
      <x:c r="R16" s="17"/>
      <x:c r="S16" s="17"/>
      <x:c r="T16" s="9" t="str">
        <x:v>Final capacity, reuse and downstream uses</x:v>
      </x:c>
      <x:c r="U16" s="11" t="str">
        <x:v>energy processing</x:v>
      </x:c>
      <x:c r="V16" s="9" t="str">
        <x:v>Assets/_Project/Settings/Items/CampLoop/EmptyArcBattery.asset; Docs/Evidence/Gameplay/CampWorkstations20261014/README.md</x:v>
      </x:c>
      <x:c r="W16" s="4" t="str">
        <x:v>Energy storage</x:v>
      </x:c>
      <x:c r="X16" s="4" t="str">
        <x:v>Finished item</x:v>
      </x:c>
      <x:c r="Y16" s="4" t="str">
        <x:v>Manufactured / unresolved</x:v>
      </x:c>
      <x:c r="Z16" s="4" t="str">
        <x:v>Energy storage</x:v>
      </x:c>
      <x:c r="AA16" s="4" t="str">
        <x:v>Mixed / unresolved</x:v>
      </x:c>
      <x:c r="AB16" s="4" t="str">
        <x:v>Assembly</x:v>
      </x:c>
      <x:c r="AC16" s="4" t="str">
        <x:v>Existing definition</x:v>
      </x:c>
      <x:c r="AD16" s="4" t="str">
        <x:f>LOWER(A16&amp;"; "&amp;B16&amp;"; "&amp;C16&amp;"; "&amp;D16&amp;"; "&amp;W16&amp;"; "&amp;X16&amp;"; "&amp;Y16&amp;"; "&amp;Z16&amp;"; "&amp;AA16&amp;"; "&amp;AB16&amp;"; "&amp;AC16&amp;"; "&amp;U16)</x:f>
        <x:v>equipment.arc_battery_empty; empty arc battery; field supplies; energy container; energy storage; finished item; manufactured / unresolved; energy storage; mixed / unresolved; assembly; existing definition; energy processing</x:v>
      </x:c>
      <x:c r="AE16" s="4" t="str">
        <x:v>From current item description. Proposed uses retain their existing approval status.</x:v>
      </x:c>
      <x:c r="AF16" s="4" t="str">
        <x:v>Finished item</x:v>
      </x:c>
      <x:c r="AG16" s="4" t="str">
        <x:v>Completed gear, vessel, food or tool can stop at its chosen material tier; it need not climb to T4.</x:v>
      </x:c>
      <x:c r="AH16" s="4" t="str">
        <x:v>T0</x:v>
      </x:c>
    </x:row>
    <x:row r="17" ht="48" customHeight="1">
      <x:c r="A17" s="4" t="str">
        <x:v>tool.popup_camp</x:v>
      </x:c>
      <x:c r="B17" s="4" t="str">
        <x:v>Pop-up camp</x:v>
      </x:c>
      <x:c r="C17" s="4" t="str">
        <x:v>Field supplies</x:v>
      </x:c>
      <x:c r="D17" s="4" t="str">
        <x:v>Camp bundle</x:v>
      </x:c>
      <x:c r="E17" s="4" t="str">
        <x:v>Shared definition; trial variant/rules</x:v>
      </x:c>
      <x:c r="F17" s="4" t="str">
        <x:v>Deploy reusable shade to rest or sleep.</x:v>
      </x:c>
      <x:c r="G17" s="4" t="str">
        <x:v>None</x:v>
      </x:c>
      <x:c r="H17" s="4" t="str">
        <x:v>Either carrier</x:v>
      </x:c>
      <x:c r="I17" s="14" t="n">
        <x:v>1</x:v>
      </x:c>
      <x:c r="J17" s="16" t="n">
        <x:v>2.5</x:v>
      </x:c>
      <x:c r="K17" s="4" t="str">
        <x:v>Starter supply bundle</x:v>
      </x:c>
      <x:c r="L17" s="4" t="str">
        <x:v>No recipe authored</x:v>
      </x:c>
      <x:c r="M17" s="4" t="str">
        <x:v>Existing camp rest/sleep actions</x:v>
      </x:c>
      <x:c r="N17" s="4" t="str">
        <x:v>One trial supply pocket; shared production definition is not a field supply</x:v>
      </x:c>
      <x:c r="O17" s="17"/>
      <x:c r="P17" s="17"/>
      <x:c r="Q17" s="17"/>
      <x:c r="R17" s="17"/>
      <x:c r="S17" s="17"/>
      <x:c r="T17" s="4" t="str">
        <x:v>Final camp kit and upgrade design; author shade-material direction: delicate inner wings. Existing prototype art/recipe unchanged; no duplicate shade item.</x:v>
      </x:c>
      <x:c r="U17" s="11" t="str">
        <x:v>sun shading; vertical sun shade shelter</x:v>
      </x:c>
      <x:c r="V17" s="4" t="str">
        <x:v>Assets/_Project/Settings/Items/CampLoopLoadout/PopupCamp.asset; Docs/Evidence/Gameplay/CampLoopLoadout20261014/README.md</x:v>
      </x:c>
      <x:c r="W17" s="4" t="str">
        <x:v>Shelter kit</x:v>
      </x:c>
      <x:c r="X17" s="4" t="str">
        <x:v>Finished item</x:v>
      </x:c>
      <x:c r="Y17" s="4" t="str">
        <x:v>Unresolved</x:v>
      </x:c>
      <x:c r="Z17" s="4" t="str">
        <x:v>Camp rest</x:v>
      </x:c>
      <x:c r="AA17" s="4" t="str">
        <x:v>Mixed / unresolved</x:v>
      </x:c>
      <x:c r="AB17" s="4" t="str">
        <x:v>Assembly</x:v>
      </x:c>
      <x:c r="AC17" s="4" t="str">
        <x:v>Existing definition</x:v>
      </x:c>
      <x:c r="AD17" s="4" t="str">
        <x:f>LOWER(A17&amp;"; "&amp;B17&amp;"; "&amp;C17&amp;"; "&amp;D17&amp;"; "&amp;W17&amp;"; "&amp;X17&amp;"; "&amp;Y17&amp;"; "&amp;Z17&amp;"; "&amp;AA17&amp;"; "&amp;AB17&amp;"; "&amp;AC17&amp;"; "&amp;U17)</x:f>
        <x:v>tool.popup_camp; pop-up camp; field supplies; camp bundle; shelter kit; finished item; unresolved; camp rest; mixed / unresolved; assembly; existing definition; sun shading; vertical sun shade shelter</x:v>
      </x:c>
      <x:c r="AE17" s="4" t="str">
        <x:v>From current item description. Proposed uses retain their existing approval status.</x:v>
      </x:c>
      <x:c r="AF17" s="4" t="str">
        <x:v>Finished item</x:v>
      </x:c>
      <x:c r="AG17" s="4" t="str">
        <x:v>Completed gear, vessel, food or tool can stop at its chosen material tier; it need not climb to T4.</x:v>
      </x:c>
      <x:c r="AH17" s="4" t="str">
        <x:v>Unassigned</x:v>
      </x:c>
    </x:row>
    <x:row r="18" ht="48" customHeight="1">
      <x:c r="A18" s="9" t="str">
        <x:v>resource.airborne_dust</x:v>
      </x:c>
      <x:c r="B18" s="9" t="str">
        <x:v>Airborne Dust</x:v>
      </x:c>
      <x:c r="C18" s="9" t="str">
        <x:v>Resources</x:v>
      </x:c>
      <x:c r="D18" s="9" t="str">
        <x:v>Airborne resource</x:v>
      </x:c>
      <x:c r="E18" s="9" t="str">
        <x:v>Shared definition; trial variant/rules</x:v>
      </x:c>
      <x:c r="F18" s="9" t="str">
        <x:v>Collect with the dust canister.</x:v>
      </x:c>
      <x:c r="G18" s="9" t="str">
        <x:v>None</x:v>
      </x:c>
      <x:c r="H18" s="9" t="str">
        <x:v>Legger only</x:v>
      </x:c>
      <x:c r="I18" s="13" t="n">
        <x:v>100</x:v>
      </x:c>
      <x:c r="J18" s="15" t="n">
        <x:v>0.05</x:v>
      </x:c>
      <x:c r="K18" s="9" t="str">
        <x:v>Deployed canister collection</x:v>
      </x:c>
      <x:c r="L18" s="9" t="str">
        <x:v>10 canister dust per charged battery</x:v>
      </x:c>
      <x:c r="M18" s="9" t="str">
        <x:v>Camp refinery input</x:v>
      </x:c>
      <x:c r="N18" s="9" t="str">
        <x:v>Mineral Dust is a different item and cannot substitute</x:v>
      </x:c>
      <x:c r="O18" s="17"/>
      <x:c r="P18" s="17"/>
      <x:c r="Q18" s="17"/>
      <x:c r="R18" s="17"/>
      <x:c r="S18" s="17"/>
      <x:c r="T18" s="9" t="str">
        <x:v>Final Arc Dust/Airborne Dust terminology</x:v>
      </x:c>
      <x:c r="U18" s="11"/>
      <x:c r="V18" s="9" t="str">
        <x:v>Assets/_Project/Settings/Items/Item_AirborneDust.asset; Docs/Evidence/Gameplay/CampWorkstations20261014/README.md</x:v>
      </x:c>
      <x:c r="W18" s="4" t="str">
        <x:v>Raw material</x:v>
      </x:c>
      <x:c r="X18" s="4" t="str">
        <x:v>Raw</x:v>
      </x:c>
      <x:c r="Y18" s="4" t="str">
        <x:v>Atmospheric</x:v>
      </x:c>
      <x:c r="Z18" s="4" t="str">
        <x:v>Energy processing</x:v>
      </x:c>
      <x:c r="AA18" s="4" t="str">
        <x:v>Unresolved</x:v>
      </x:c>
      <x:c r="AB18" s="4" t="str">
        <x:v>Particles</x:v>
      </x:c>
      <x:c r="AC18" s="4" t="str">
        <x:v>Existing definition</x:v>
      </x:c>
      <x:c r="AD18" s="4" t="str">
        <x:f>LOWER(A18&amp;"; "&amp;B18&amp;"; "&amp;C18&amp;"; "&amp;D18&amp;"; "&amp;W18&amp;"; "&amp;X18&amp;"; "&amp;Y18&amp;"; "&amp;Z18&amp;"; "&amp;AA18&amp;"; "&amp;AB18&amp;"; "&amp;AC18&amp;"; "&amp;U18)</x:f>
        <x:v>resource.airborne_dust; airborne dust; resources; airborne resource; raw material; raw; atmospheric; energy processing; unresolved; particles; existing definition; </x:v>
      </x:c>
      <x:c r="AE18" s="4" t="str">
        <x:v>From current item description. Proposed uses retain their existing approval status.</x:v>
      </x:c>
      <x:c r="AF18" s="4" t="str">
        <x:v>T0</x:v>
      </x:c>
      <x:c r="AG18" s="4" t="str">
        <x:v>Raw gathered/recovered craft input under the author T0 framework. This does not imply a naturally occurring pure metal.</x:v>
      </x:c>
      <x:c r="AH18" s="4" t="str">
        <x:v>Not applicable</x:v>
      </x:c>
    </x:row>
    <x:row r="19" ht="48" customHeight="1">
      <x:c r="A19" s="4" t="str">
        <x:v>lab.ironstone.aggregate</x:v>
      </x:c>
      <x:c r="B19" s="4" t="str">
        <x:v>Coarse Aggregate</x:v>
      </x:c>
      <x:c r="C19" s="4" t="str">
        <x:v>Resources</x:v>
      </x:c>
      <x:c r="D19" s="4" t="str">
        <x:v>Processed mineral</x:v>
      </x:c>
      <x:c r="E19" s="4" t="str">
        <x:v>Camp Loop trial</x:v>
      </x:c>
      <x:c r="F19" s="4" t="str">
        <x:v>Coarse dry-sorting product.</x:v>
      </x:c>
      <x:c r="G19" s="4" t="str">
        <x:v>None</x:v>
      </x:c>
      <x:c r="H19" s="4" t="str">
        <x:v>Legger only</x:v>
      </x:c>
      <x:c r="I19" s="14" t="n">
        <x:v>99</x:v>
      </x:c>
      <x:c r="J19" s="16" t="n">
        <x:v>0.75</x:v>
      </x:c>
      <x:c r="K19" s="4" t="str">
        <x:v>Dry sorting: 2 per batch</x:v>
      </x:c>
      <x:c r="L19" s="4" t="str">
        <x:v>Dry sorting output</x:v>
      </x:c>
      <x:c r="M19" s="4" t="str">
        <x:v>Provisional processing material</x:v>
      </x:c>
      <x:c r="N19" s="4" t="str">
        <x:v>No downstream recipe authored</x:v>
      </x:c>
      <x:c r="O19" s="17"/>
      <x:c r="P19" s="17"/>
      <x:c r="Q19" s="17"/>
      <x:c r="R19" s="17"/>
      <x:c r="S19" s="17"/>
      <x:c r="T19" s="4" t="str">
        <x:v>Uses and final name/yield</x:v>
      </x:c>
      <x:c r="U19" s="11"/>
      <x:c r="V19" s="4" t="str">
        <x:v>Assets/_Project/Settings/Items/CampLoopIronstone/0-CoarseAggregate.asset; Docs/Evidence/Gameplay/CampIronstone20261014/README.md</x:v>
      </x:c>
      <x:c r="W19" s="4" t="str">
        <x:v>Processed material</x:v>
      </x:c>
      <x:c r="X19" s="4" t="str">
        <x:v>Processed intermediate</x:v>
      </x:c>
      <x:c r="Y19" s="4" t="str">
        <x:v>Geological</x:v>
      </x:c>
      <x:c r="Z19" s="4" t="str">
        <x:v>Use unresolved</x:v>
      </x:c>
      <x:c r="AA19" s="4" t="str">
        <x:v>Mineral</x:v>
      </x:c>
      <x:c r="AB19" s="4" t="str">
        <x:v>Particles</x:v>
      </x:c>
      <x:c r="AC19" s="4" t="str">
        <x:v>Existing definition</x:v>
      </x:c>
      <x:c r="AD19" s="4" t="str">
        <x:f>LOWER(A19&amp;"; "&amp;B19&amp;"; "&amp;C19&amp;"; "&amp;D19&amp;"; "&amp;W19&amp;"; "&amp;X19&amp;"; "&amp;Y19&amp;"; "&amp;Z19&amp;"; "&amp;AA19&amp;"; "&amp;AB19&amp;"; "&amp;AC19&amp;"; "&amp;U19)</x:f>
        <x:v>lab.ironstone.aggregate; coarse aggregate; resources; processed mineral; processed material; processed intermediate; geological; use unresolved; mineral; particles; existing definition; </x:v>
      </x:c>
      <x:c r="AE19" s="4" t="str">
        <x:v>From current item description. Proposed uses retain their existing approval status.</x:v>
      </x:c>
      <x:c r="AF19" s="4" t="str">
        <x:v>Unassigned</x:v>
      </x:c>
      <x:c r="AG19" s="4" t="str">
        <x:v>Choose a material/part route before assigning a tier. Processing-stage labels alone do not prove chain depth.</x:v>
      </x:c>
      <x:c r="AH19" s="4" t="str">
        <x:v>Not applicable</x:v>
      </x:c>
    </x:row>
    <x:row r="20" ht="48" customHeight="1">
      <x:c r="A20" s="9" t="str">
        <x:v>lab.ironstone.concentrate</x:v>
      </x:c>
      <x:c r="B20" s="9" t="str">
        <x:v>Iron-rich Concentrate</x:v>
      </x:c>
      <x:c r="C20" s="9" t="str">
        <x:v>Resources</x:v>
      </x:c>
      <x:c r="D20" s="9" t="str">
        <x:v>Processed mineral</x:v>
      </x:c>
      <x:c r="E20" s="9" t="str">
        <x:v>Camp Loop trial</x:v>
      </x:c>
      <x:c r="F20" s="9" t="str">
        <x:v>Iron-rich dry-sorting product.</x:v>
      </x:c>
      <x:c r="G20" s="9" t="str">
        <x:v>None</x:v>
      </x:c>
      <x:c r="H20" s="9" t="str">
        <x:v>Legger only</x:v>
      </x:c>
      <x:c r="I20" s="13" t="n">
        <x:v>99</x:v>
      </x:c>
      <x:c r="J20" s="15" t="n">
        <x:v>2</x:v>
      </x:c>
      <x:c r="K20" s="9" t="str">
        <x:v>Dry sorting: 1 per batch</x:v>
      </x:c>
      <x:c r="L20" s="9" t="str">
        <x:v>Dry sorting output</x:v>
      </x:c>
      <x:c r="M20" s="9" t="str">
        <x:v>Provisional processing material</x:v>
      </x:c>
      <x:c r="N20" s="9" t="str">
        <x:v>Powered metal production is deferred</x:v>
      </x:c>
      <x:c r="O20" s="17"/>
      <x:c r="P20" s="17"/>
      <x:c r="Q20" s="17"/>
      <x:c r="R20" s="17"/>
      <x:c r="S20" s="17"/>
      <x:c r="T20" s="9" t="str">
        <x:v>Uses and final name/yield</x:v>
      </x:c>
      <x:c r="U20" s="11"/>
      <x:c r="V20" s="9" t="str">
        <x:v>Assets/_Project/Settings/Items/CampLoopIronstone/1-Iron-richConcentrate.asset; Docs/Evidence/Gameplay/CampIronstone20261014/README.md</x:v>
      </x:c>
      <x:c r="W20" s="4" t="str">
        <x:v>Processed material</x:v>
      </x:c>
      <x:c r="X20" s="4" t="str">
        <x:v>Processed intermediate</x:v>
      </x:c>
      <x:c r="Y20" s="4" t="str">
        <x:v>Geological</x:v>
      </x:c>
      <x:c r="Z20" s="4" t="str">
        <x:v>Metal refining</x:v>
      </x:c>
      <x:c r="AA20" s="4" t="str">
        <x:v>Mineral</x:v>
      </x:c>
      <x:c r="AB20" s="4" t="str">
        <x:v>Particles</x:v>
      </x:c>
      <x:c r="AC20" s="4" t="str">
        <x:v>Existing definition</x:v>
      </x:c>
      <x:c r="AD20" s="4" t="str">
        <x:f>LOWER(A20&amp;"; "&amp;B20&amp;"; "&amp;C20&amp;"; "&amp;D20&amp;"; "&amp;W20&amp;"; "&amp;X20&amp;"; "&amp;Y20&amp;"; "&amp;Z20&amp;"; "&amp;AA20&amp;"; "&amp;AB20&amp;"; "&amp;AC20&amp;"; "&amp;U20)</x:f>
        <x:v>lab.ironstone.concentrate; iron-rich concentrate; resources; processed mineral; processed material; processed intermediate; geological; metal refining; mineral; particles; existing definition; </x:v>
      </x:c>
      <x:c r="AE20" s="4" t="str">
        <x:v>From current item description. Proposed uses retain their existing approval status.</x:v>
      </x:c>
      <x:c r="AF20" s="4" t="str">
        <x:v>T1</x:v>
      </x:c>
      <x:c r="AG20" s="4" t="str">
        <x:v>Proposed game manufacturing tier from the candidate routes. Integrated operations may contain many work steps.</x:v>
      </x:c>
      <x:c r="AH20" s="4" t="str">
        <x:v>Not applicable</x:v>
      </x:c>
    </x:row>
    <x:row r="21" ht="48" customHeight="1">
      <x:c r="A21" s="4" t="str">
        <x:v>resource.ironstone_ore</x:v>
      </x:c>
      <x:c r="B21" s="4" t="str">
        <x:v>Ironstone Ore</x:v>
      </x:c>
      <x:c r="C21" s="4" t="str">
        <x:v>Resources</x:v>
      </x:c>
      <x:c r="D21" s="4" t="str">
        <x:v>Raw mineral</x:v>
      </x:c>
      <x:c r="E21" s="4" t="str">
        <x:v>Shared definition; trial variant/rules</x:v>
      </x:c>
      <x:c r="F21" s="4" t="str">
        <x:v>Gather exposed Ironstone deposits.</x:v>
      </x:c>
      <x:c r="G21" s="4" t="str">
        <x:v>None</x:v>
      </x:c>
      <x:c r="H21" s="4" t="str">
        <x:v>Legger only</x:v>
      </x:c>
      <x:c r="I21" s="14" t="n">
        <x:v>99</x:v>
      </x:c>
      <x:c r="J21" s="16" t="n">
        <x:v>1.25</x:v>
      </x:c>
      <x:c r="K21" s="4" t="str">
        <x:v>Ironstone gathering</x:v>
      </x:c>
      <x:c r="L21" s="4" t="str">
        <x:v>Input to empty battery and dry sorting</x:v>
      </x:c>
      <x:c r="M21" s="4" t="str">
        <x:v>Bulk resource</x:v>
      </x:c>
      <x:c r="N21" s="4" t="str">
        <x:v>Legger-only carrying; local storage also depends on owner policy</x:v>
      </x:c>
      <x:c r="O21" s="17"/>
      <x:c r="P21" s="17"/>
      <x:c r="Q21" s="17"/>
      <x:c r="R21" s="17"/>
      <x:c r="S21" s="17"/>
      <x:c r="T21" s="4" t="str">
        <x:v>Author wording: unprocessed iron-rich stones. Existing Ironstone Ore is the generic candidate; decide whether hematite/magnetite deserve separate resources.</x:v>
      </x:c>
      <x:c r="U21" s="11" t="str">
        <x:v>fabrication; unprocessed iron rich stone</x:v>
      </x:c>
      <x:c r="V21" s="4" t="str">
        <x:v>Assets/_Project/Settings/Items/Item_IronstoneOre.asset; Docs/Evidence/Gameplay/CampIronstone20261014/README.md</x:v>
      </x:c>
      <x:c r="W21" s="4" t="str">
        <x:v>Raw material</x:v>
      </x:c>
      <x:c r="X21" s="4" t="str">
        <x:v>Raw</x:v>
      </x:c>
      <x:c r="Y21" s="4" t="str">
        <x:v>Geological</x:v>
      </x:c>
      <x:c r="Z21" s="4" t="str">
        <x:v>Metal refining</x:v>
      </x:c>
      <x:c r="AA21" s="4" t="str">
        <x:v>Mineral</x:v>
      </x:c>
      <x:c r="AB21" s="4" t="str">
        <x:v>Rock</x:v>
      </x:c>
      <x:c r="AC21" s="4" t="str">
        <x:v>Existing definition</x:v>
      </x:c>
      <x:c r="AD21" s="4" t="str">
        <x:f>LOWER(A21&amp;"; "&amp;B21&amp;"; "&amp;C21&amp;"; "&amp;D21&amp;"; "&amp;W21&amp;"; "&amp;X21&amp;"; "&amp;Y21&amp;"; "&amp;Z21&amp;"; "&amp;AA21&amp;"; "&amp;AB21&amp;"; "&amp;AC21&amp;"; "&amp;U21)</x:f>
        <x:v>resource.ironstone_ore; ironstone ore; resources; raw mineral; raw material; raw; geological; metal refining; mineral; rock; existing definition; fabrication; unprocessed iron rich stone</x:v>
      </x:c>
      <x:c r="AE21" s="4" t="str">
        <x:v>From current item description. Proposed uses retain their existing approval status.</x:v>
      </x:c>
      <x:c r="AF21" s="4" t="str">
        <x:v>T0</x:v>
      </x:c>
      <x:c r="AG21" s="4" t="str">
        <x:v>Raw gathered/recovered craft input under the author T0 framework. This does not imply a naturally occurring pure metal.</x:v>
      </x:c>
      <x:c r="AH21" s="4" t="str">
        <x:v>Not applicable</x:v>
      </x:c>
    </x:row>
    <x:row r="22" ht="48" customHeight="1">
      <x:c r="A22" s="9" t="str">
        <x:v>lab.ironstone.mineral_dust</x:v>
      </x:c>
      <x:c r="B22" s="9" t="str">
        <x:v>Mineral Dust</x:v>
      </x:c>
      <x:c r="C22" s="9" t="str">
        <x:v>Resources</x:v>
      </x:c>
      <x:c r="D22" s="9" t="str">
        <x:v>Processed mineral</x:v>
      </x:c>
      <x:c r="E22" s="9" t="str">
        <x:v>Camp Loop trial</x:v>
      </x:c>
      <x:c r="F22" s="9" t="str">
        <x:v>Mineral fines from dry sorting.</x:v>
      </x:c>
      <x:c r="G22" s="9" t="str">
        <x:v>None</x:v>
      </x:c>
      <x:c r="H22" s="9" t="str">
        <x:v>Legger only</x:v>
      </x:c>
      <x:c r="I22" s="13" t="n">
        <x:v>99</x:v>
      </x:c>
      <x:c r="J22" s="15" t="n">
        <x:v>0.25</x:v>
      </x:c>
      <x:c r="K22" s="9" t="str">
        <x:v>Dry sorting: 2 per batch</x:v>
      </x:c>
      <x:c r="L22" s="9" t="str">
        <x:v>Dry sorting output</x:v>
      </x:c>
      <x:c r="M22" s="9" t="str">
        <x:v>Provisional processing material</x:v>
      </x:c>
      <x:c r="N22" s="9" t="str">
        <x:v>Cannot substitute for Arc/Airborne Dust</x:v>
      </x:c>
      <x:c r="O22" s="17"/>
      <x:c r="P22" s="17"/>
      <x:c r="Q22" s="17"/>
      <x:c r="R22" s="17"/>
      <x:c r="S22" s="17"/>
      <x:c r="T22" s="9" t="str">
        <x:v>Uses and final name/yield</x:v>
      </x:c>
      <x:c r="U22" s="11"/>
      <x:c r="V22" s="9" t="str">
        <x:v>Assets/_Project/Settings/Items/CampLoopIronstone/3-MineralDust.asset; Docs/Evidence/Gameplay/CampIronstone20261014/README.md</x:v>
      </x:c>
      <x:c r="W22" s="4" t="str">
        <x:v>Processed material</x:v>
      </x:c>
      <x:c r="X22" s="4" t="str">
        <x:v>Processed intermediate</x:v>
      </x:c>
      <x:c r="Y22" s="4" t="str">
        <x:v>Geological</x:v>
      </x:c>
      <x:c r="Z22" s="4" t="str">
        <x:v>Use unresolved</x:v>
      </x:c>
      <x:c r="AA22" s="4" t="str">
        <x:v>Mineral</x:v>
      </x:c>
      <x:c r="AB22" s="4" t="str">
        <x:v>Particles</x:v>
      </x:c>
      <x:c r="AC22" s="4" t="str">
        <x:v>Existing definition</x:v>
      </x:c>
      <x:c r="AD22" s="4" t="str">
        <x:f>LOWER(A22&amp;"; "&amp;B22&amp;"; "&amp;C22&amp;"; "&amp;D22&amp;"; "&amp;W22&amp;"; "&amp;X22&amp;"; "&amp;Y22&amp;"; "&amp;Z22&amp;"; "&amp;AA22&amp;"; "&amp;AB22&amp;"; "&amp;AC22&amp;"; "&amp;U22)</x:f>
        <x:v>lab.ironstone.mineral_dust; mineral dust; resources; processed mineral; processed material; processed intermediate; geological; use unresolved; mineral; particles; existing definition; </x:v>
      </x:c>
      <x:c r="AE22" s="4" t="str">
        <x:v>From current item description. Proposed uses retain their existing approval status.</x:v>
      </x:c>
      <x:c r="AF22" s="4" t="str">
        <x:v>Unassigned</x:v>
      </x:c>
      <x:c r="AG22" s="4" t="str">
        <x:v>Choose a material/part route before assigning a tier. Processing-stage labels alone do not prove chain depth.</x:v>
      </x:c>
      <x:c r="AH22" s="4" t="str">
        <x:v>Not applicable</x:v>
      </x:c>
    </x:row>
    <x:row r="23" ht="48" customHeight="1">
      <x:c r="A23" s="4" t="str">
        <x:v>lab.ironstone.sand</x:v>
      </x:c>
      <x:c r="B23" s="4" t="str">
        <x:v>Mineral Sand</x:v>
      </x:c>
      <x:c r="C23" s="4" t="str">
        <x:v>Resources</x:v>
      </x:c>
      <x:c r="D23" s="4" t="str">
        <x:v>Processed mineral</x:v>
      </x:c>
      <x:c r="E23" s="4" t="str">
        <x:v>Camp Loop trial</x:v>
      </x:c>
      <x:c r="F23" s="4" t="str">
        <x:v>Fine dry-sorting product.</x:v>
      </x:c>
      <x:c r="G23" s="4" t="str">
        <x:v>None</x:v>
      </x:c>
      <x:c r="H23" s="4" t="str">
        <x:v>Legger only</x:v>
      </x:c>
      <x:c r="I23" s="14" t="n">
        <x:v>99</x:v>
      </x:c>
      <x:c r="J23" s="16" t="n">
        <x:v>1</x:v>
      </x:c>
      <x:c r="K23" s="4" t="str">
        <x:v>Dry sorting: 1 per batch</x:v>
      </x:c>
      <x:c r="L23" s="4" t="str">
        <x:v>Dry sorting output</x:v>
      </x:c>
      <x:c r="M23" s="4" t="str">
        <x:v>Provisional processing material</x:v>
      </x:c>
      <x:c r="N23" s="4" t="str">
        <x:v>No downstream recipe authored</x:v>
      </x:c>
      <x:c r="O23" s="17"/>
      <x:c r="P23" s="17"/>
      <x:c r="Q23" s="17"/>
      <x:c r="R23" s="17"/>
      <x:c r="S23" s="17"/>
      <x:c r="T23" s="4" t="str">
        <x:v>Uses and final name/yield</x:v>
      </x:c>
      <x:c r="U23" s="11"/>
      <x:c r="V23" s="4" t="str">
        <x:v>Assets/_Project/Settings/Items/CampLoopIronstone/2-MineralSand.asset; Docs/Evidence/Gameplay/CampIronstone20261014/README.md</x:v>
      </x:c>
      <x:c r="W23" s="4" t="str">
        <x:v>Processed material</x:v>
      </x:c>
      <x:c r="X23" s="4" t="str">
        <x:v>Processed intermediate</x:v>
      </x:c>
      <x:c r="Y23" s="4" t="str">
        <x:v>Geological</x:v>
      </x:c>
      <x:c r="Z23" s="4" t="str">
        <x:v>Use unresolved</x:v>
      </x:c>
      <x:c r="AA23" s="4" t="str">
        <x:v>Mineral</x:v>
      </x:c>
      <x:c r="AB23" s="4" t="str">
        <x:v>Particles</x:v>
      </x:c>
      <x:c r="AC23" s="4" t="str">
        <x:v>Existing definition</x:v>
      </x:c>
      <x:c r="AD23" s="4" t="str">
        <x:f>LOWER(A23&amp;"; "&amp;B23&amp;"; "&amp;C23&amp;"; "&amp;D23&amp;"; "&amp;W23&amp;"; "&amp;X23&amp;"; "&amp;Y23&amp;"; "&amp;Z23&amp;"; "&amp;AA23&amp;"; "&amp;AB23&amp;"; "&amp;AC23&amp;"; "&amp;U23)</x:f>
        <x:v>lab.ironstone.sand; mineral sand; resources; processed mineral; processed material; processed intermediate; geological; use unresolved; mineral; particles; existing definition; </x:v>
      </x:c>
      <x:c r="AE23" s="4" t="str">
        <x:v>From current item description. Proposed uses retain their existing approval status.</x:v>
      </x:c>
      <x:c r="AF23" s="4" t="str">
        <x:v>Unassigned</x:v>
      </x:c>
      <x:c r="AG23" s="4" t="str">
        <x:v>Choose a material/part route before assigning a tier. Processing-stage labels alone do not prove chain depth.</x:v>
      </x:c>
      <x:c r="AH23" s="4" t="str">
        <x:v>Not applicable</x:v>
      </x:c>
    </x:row>
    <x:row r="24" ht="66" customHeight="1">
      <x:c r="A24" s="9" t="str">
        <x:v>proposal.gear.magnets</x:v>
      </x:c>
      <x:c r="B24" s="9" t="str">
        <x:v>Field magnets</x:v>
      </x:c>
      <x:c r="C24" s="9" t="str">
        <x:v>Equipment</x:v>
      </x:c>
      <x:c r="D24" s="9" t="str">
        <x:v>Magnetic recovery</x:v>
      </x:c>
      <x:c r="E24" s="9" t="str">
        <x:v>User direction; not implemented</x:v>
      </x:c>
      <x:c r="F24" s="9" t="str">
        <x:v>Carry magnets for field work. Proposed uses: recover ferrous fragments and hold small workpieces.</x:v>
      </x:c>
      <x:c r="G24" s="9" t="str">
        <x:v>Unassigned; no new slot approved</x:v>
      </x:c>
      <x:c r="H24" s="9" t="str">
        <x:v>Booter intended; storage TBD</x:v>
      </x:c>
      <x:c r="I24" s="13"/>
      <x:c r="J24" s="15"/>
      <x:c r="K24" s="9" t="str">
        <x:v>Booter-carried equipment requested by author</x:v>
      </x:c>
      <x:c r="L24" s="9" t="str">
        <x:v>Links to magnetite/iron and salvage chains</x:v>
      </x:c>
      <x:c r="M24" s="9" t="str">
        <x:v>Not implemented</x:v>
      </x:c>
      <x:c r="N24" s="9" t="str">
        <x:v>Magnet use, strength and mounting are proposals; not all materials are magnetic.</x:v>
      </x:c>
      <x:c r="O24" s="22"/>
      <x:c r="P24" s="22"/>
      <x:c r="Q24" s="22"/>
      <x:c r="R24" s="22"/>
      <x:c r="S24" s="22"/>
      <x:c r="T24" s="9" t="str">
        <x:v>Permanent versus powered; handling controls; carry location</x:v>
      </x:c>
      <x:c r="U24" s="11" t="str">
        <x:v>work holding</x:v>
      </x:c>
      <x:c r="V24" s="9" t="str">
        <x:v>User design direction, October 14, 2026; local brainstorming. New proposal unless explicitly marked User direction.</x:v>
      </x:c>
      <x:c r="W24" s="4" t="str">
        <x:v>Tool</x:v>
      </x:c>
      <x:c r="X24" s="4" t="str">
        <x:v>Finished item</x:v>
      </x:c>
      <x:c r="Y24" s="4" t="str">
        <x:v>Manufactured / unresolved</x:v>
      </x:c>
      <x:c r="Z24" s="4" t="str">
        <x:v>Resource collection</x:v>
      </x:c>
      <x:c r="AA24" s="4" t="str">
        <x:v>Mixed / unresolved</x:v>
      </x:c>
      <x:c r="AB24" s="4" t="str">
        <x:v>Assembly</x:v>
      </x:c>
      <x:c r="AC24" s="4" t="str">
        <x:v>Author direction</x:v>
      </x:c>
      <x:c r="AD24" s="4" t="str">
        <x:f>LOWER(A24&amp;"; "&amp;B24&amp;"; "&amp;C24&amp;"; "&amp;D24&amp;"; "&amp;W24&amp;"; "&amp;X24&amp;"; "&amp;Y24&amp;"; "&amp;Z24&amp;"; "&amp;AA24&amp;"; "&amp;AB24&amp;"; "&amp;AC24&amp;"; "&amp;U24)</x:f>
        <x:v>proposal.gear.magnets; field magnets; equipment; magnetic recovery; tool; finished item; manufactured / unresolved; resource collection; mixed / unresolved; assembly; author direction; work holding</x:v>
      </x:c>
      <x:c r="AE24" s="4" t="str">
        <x:v>From current item description. Proposed uses retain their existing approval status.</x:v>
      </x:c>
      <x:c r="AF24" s="4" t="str">
        <x:v>Finished item</x:v>
      </x:c>
      <x:c r="AG24" s="4" t="str">
        <x:v>Completed gear, vessel, food or tool can stop at its chosen material tier; it need not climb to T4.</x:v>
      </x:c>
      <x:c r="AH24" s="4" t="str">
        <x:v>Unassigned</x:v>
      </x:c>
    </x:row>
    <x:row r="25" ht="66" customHeight="1">
      <x:c r="A25" s="9" t="str">
        <x:v>proposal.gear.grounding_kit</x:v>
      </x:c>
      <x:c r="B25" s="9" t="str">
        <x:v>Static grounding kit</x:v>
      </x:c>
      <x:c r="C25" s="9" t="str">
        <x:v>Equipment</x:v>
      </x:c>
      <x:c r="D25" s="9" t="str">
        <x:v>Charge management</x:v>
      </x:c>
      <x:c r="E25" s="9" t="str">
        <x:v>User direction; not implemented</x:v>
      </x:c>
      <x:c r="F25" s="9" t="str">
        <x:v>Ground Booter against atmospheric static. Proposed kit: body contact, controlled discharge lead and ground contact.</x:v>
      </x:c>
      <x:c r="G25" s="9" t="str">
        <x:v>Unassigned; no new slot approved</x:v>
      </x:c>
      <x:c r="H25" s="9" t="str">
        <x:v>Booter intended; storage TBD</x:v>
      </x:c>
      <x:c r="I25" s="13"/>
      <x:c r="J25" s="15"/>
      <x:c r="K25" s="9" t="str">
        <x:v>Booter-carried equipment requested by author</x:v>
      </x:c>
      <x:c r="L25" s="9" t="str">
        <x:v>Potential conductive braid, graphite and insulating ceramic components</x:v>
      </x:c>
      <x:c r="M25" s="9" t="str">
        <x:v>Not implemented</x:v>
      </x:c>
      <x:c r="N25" s="9" t="str">
        <x:v>Fictional game mechanic to design; contact quality matters; no immunity to lightning assumed.</x:v>
      </x:c>
      <x:c r="O25" s="22"/>
      <x:c r="P25" s="22"/>
      <x:c r="Q25" s="22"/>
      <x:c r="R25" s="22"/>
      <x:c r="S25" s="22"/>
      <x:c r="T25" s="9" t="str">
        <x:v>Ground-contact suitability; deployment; feedback; relation to storms; carry location</x:v>
      </x:c>
      <x:c r="U25" s="11"/>
      <x:c r="V25" s="9" t="str">
        <x:v>User design direction, October 14, 2026; local brainstorming. New proposal unless explicitly marked User direction.</x:v>
      </x:c>
      <x:c r="W25" s="4" t="str">
        <x:v>Tool</x:v>
      </x:c>
      <x:c r="X25" s="4" t="str">
        <x:v>Finished item</x:v>
      </x:c>
      <x:c r="Y25" s="4" t="str">
        <x:v>Manufactured / unresolved</x:v>
      </x:c>
      <x:c r="Z25" s="4" t="str">
        <x:v>Static management</x:v>
      </x:c>
      <x:c r="AA25" s="4" t="str">
        <x:v>Mixed / unresolved</x:v>
      </x:c>
      <x:c r="AB25" s="4" t="str">
        <x:v>Assembly</x:v>
      </x:c>
      <x:c r="AC25" s="4" t="str">
        <x:v>Author direction</x:v>
      </x:c>
      <x:c r="AD25" s="4" t="str">
        <x:f>LOWER(A25&amp;"; "&amp;B25&amp;"; "&amp;C25&amp;"; "&amp;D25&amp;"; "&amp;W25&amp;"; "&amp;X25&amp;"; "&amp;Y25&amp;"; "&amp;Z25&amp;"; "&amp;AA25&amp;"; "&amp;AB25&amp;"; "&amp;AC25&amp;"; "&amp;U25)</x:f>
        <x:v>proposal.gear.grounding_kit; static grounding kit; equipment; charge management; tool; finished item; manufactured / unresolved; static management; mixed / unresolved; assembly; author direction; </x:v>
      </x:c>
      <x:c r="AE25" s="4" t="str">
        <x:v>From current item description. Proposed uses retain their existing approval status.</x:v>
      </x:c>
      <x:c r="AF25" s="4" t="str">
        <x:v>Finished item</x:v>
      </x:c>
      <x:c r="AG25" s="4" t="str">
        <x:v>Completed gear, vessel, food or tool can stop at its chosen material tier; it need not climb to T4.</x:v>
      </x:c>
      <x:c r="AH25" s="4" t="str">
        <x:v>Unassigned</x:v>
      </x:c>
    </x:row>
    <x:row r="26" ht="66" customHeight="1">
      <x:c r="A26" s="9" t="str">
        <x:v>proposal.natural.magnetite</x:v>
      </x:c>
      <x:c r="B26" s="9" t="str">
        <x:v>Magnetite-rich stone</x:v>
      </x:c>
      <x:c r="C26" s="9" t="str">
        <x:v>Resources</x:v>
      </x:c>
      <x:c r="D26" s="9" t="str">
        <x:v>Raw mineral</x:v>
      </x:c>
      <x:c r="E26" s="9" t="str">
        <x:v>New proposal</x:v>
      </x:c>
      <x:c r="F26" s="9" t="str">
        <x:v>Iron feed and magnetic tool research</x:v>
      </x:c>
      <x:c r="G26" s="9" t="str">
        <x:v>None</x:v>
      </x:c>
      <x:c r="H26" s="9" t="str">
        <x:v>Legger / local storage proposed</x:v>
      </x:c>
      <x:c r="I26" s="13"/>
      <x:c r="J26" s="15"/>
      <x:c r="K26" s="9" t="str">
        <x:v>Magnetic mineral seams and dense dark nodules</x:v>
      </x:c>
      <x:c r="L26" s="9" t="str">
        <x:v>Dry crush and magnetic separation</x:v>
      </x:c>
      <x:c r="M26" s="9" t="str">
        <x:v>Not implemented</x:v>
      </x:c>
      <x:c r="N26" s="9" t="str">
        <x:v>New deposit and processing design; no free natural liquid water.</x:v>
      </x:c>
      <x:c r="O26" s="22"/>
      <x:c r="P26" s="22"/>
      <x:c r="Q26" s="22"/>
      <x:c r="R26" s="22"/>
      <x:c r="S26" s="22"/>
      <x:c r="T26" s="9" t="str">
        <x:v>Distribution, collection tool, processing constraints and balance</x:v>
      </x:c>
      <x:c r="U26" s="11" t="str">
        <x:v>magnetic tools</x:v>
      </x:c>
      <x:c r="V26" s="9" t="str">
        <x:v>User design direction, October 14, 2026; local brainstorming. New proposal unless explicitly marked User direction.</x:v>
      </x:c>
      <x:c r="W26" s="4" t="str">
        <x:v>Raw material</x:v>
      </x:c>
      <x:c r="X26" s="4" t="str">
        <x:v>Raw</x:v>
      </x:c>
      <x:c r="Y26" s="4" t="str">
        <x:v>Geological</x:v>
      </x:c>
      <x:c r="Z26" s="4" t="str">
        <x:v>Metal refining</x:v>
      </x:c>
      <x:c r="AA26" s="4" t="str">
        <x:v>Mineral</x:v>
      </x:c>
      <x:c r="AB26" s="4" t="str">
        <x:v>Rock</x:v>
      </x:c>
      <x:c r="AC26" s="4" t="str">
        <x:v>Proposal</x:v>
      </x:c>
      <x:c r="AD26" s="4" t="str">
        <x:f>LOWER(A26&amp;"; "&amp;B26&amp;"; "&amp;C26&amp;"; "&amp;D26&amp;"; "&amp;W26&amp;"; "&amp;X26&amp;"; "&amp;Y26&amp;"; "&amp;Z26&amp;"; "&amp;AA26&amp;"; "&amp;AB26&amp;"; "&amp;AC26&amp;"; "&amp;U26)</x:f>
        <x:v>proposal.natural.magnetite; magnetite-rich stone; resources; raw mineral; raw material; raw; geological; metal refining; mineral; rock; proposal; magnetic tools</x:v>
      </x:c>
      <x:c r="AE26" s="4" t="str">
        <x:v>From current item description. Proposed uses retain their existing approval status.</x:v>
      </x:c>
      <x:c r="AF26" s="4" t="str">
        <x:v>T0</x:v>
      </x:c>
      <x:c r="AG26" s="4" t="str">
        <x:v>Raw gathered/recovered craft input under the author T0 framework. This does not imply a naturally occurring pure metal.</x:v>
      </x:c>
      <x:c r="AH26" s="4" t="str">
        <x:v>Not applicable</x:v>
      </x:c>
    </x:row>
    <x:row r="27" ht="66" customHeight="1">
      <x:c r="A27" s="9" t="str">
        <x:v>proposal.natural.silica</x:v>
      </x:c>
      <x:c r="B27" s="9" t="str">
        <x:v>Silica-rich grit</x:v>
      </x:c>
      <x:c r="C27" s="9" t="str">
        <x:v>Resources</x:v>
      </x:c>
      <x:c r="D27" s="9" t="str">
        <x:v>Raw mineral</x:v>
      </x:c>
      <x:c r="E27" s="9" t="str">
        <x:v>New proposal</x:v>
      </x:c>
      <x:c r="F27" s="9" t="str">
        <x:v>Sharpening, finishing and repair</x:v>
      </x:c>
      <x:c r="G27" s="9" t="str">
        <x:v>None</x:v>
      </x:c>
      <x:c r="H27" s="9" t="str">
        <x:v>Legger / local storage proposed</x:v>
      </x:c>
      <x:c r="I27" s="13"/>
      <x:c r="J27" s="15"/>
      <x:c r="K27" s="9" t="str">
        <x:v>Dry canyon scree and exposed mineral beds</x:v>
      </x:c>
      <x:c r="L27" s="9" t="str">
        <x:v>Grade into abrasive; high-heat glass route left open</x:v>
      </x:c>
      <x:c r="M27" s="9" t="str">
        <x:v>Not implemented</x:v>
      </x:c>
      <x:c r="N27" s="9" t="str">
        <x:v>New deposit and processing design; no free natural liquid water.</x:v>
      </x:c>
      <x:c r="O27" s="22"/>
      <x:c r="P27" s="22"/>
      <x:c r="Q27" s="22"/>
      <x:c r="R27" s="22"/>
      <x:c r="S27" s="22"/>
      <x:c r="T27" s="9" t="str">
        <x:v>Distribution, collection tool, processing constraints and balance</x:v>
      </x:c>
      <x:c r="U27" s="11" t="str">
        <x:v>glass and ceramics</x:v>
      </x:c>
      <x:c r="V27" s="9" t="str">
        <x:v>User design direction, October 14, 2026; local brainstorming. New proposal unless explicitly marked User direction.</x:v>
      </x:c>
      <x:c r="W27" s="4" t="str">
        <x:v>Raw material</x:v>
      </x:c>
      <x:c r="X27" s="4" t="str">
        <x:v>Raw</x:v>
      </x:c>
      <x:c r="Y27" s="4" t="str">
        <x:v>Geological</x:v>
      </x:c>
      <x:c r="Z27" s="4" t="str">
        <x:v>Surface finishing</x:v>
      </x:c>
      <x:c r="AA27" s="4" t="str">
        <x:v>Mineral</x:v>
      </x:c>
      <x:c r="AB27" s="4" t="str">
        <x:v>Particles</x:v>
      </x:c>
      <x:c r="AC27" s="4" t="str">
        <x:v>Proposal</x:v>
      </x:c>
      <x:c r="AD27" s="4" t="str">
        <x:f>LOWER(A27&amp;"; "&amp;B27&amp;"; "&amp;C27&amp;"; "&amp;D27&amp;"; "&amp;W27&amp;"; "&amp;X27&amp;"; "&amp;Y27&amp;"; "&amp;Z27&amp;"; "&amp;AA27&amp;"; "&amp;AB27&amp;"; "&amp;AC27&amp;"; "&amp;U27)</x:f>
        <x:v>proposal.natural.silica; silica-rich grit; resources; raw mineral; raw material; raw; geological; surface finishing; mineral; particles; proposal; glass and ceramics</x:v>
      </x:c>
      <x:c r="AE27" s="4" t="str">
        <x:v>From current item description. Proposed uses retain their existing approval status.</x:v>
      </x:c>
      <x:c r="AF27" s="4" t="str">
        <x:v>T0</x:v>
      </x:c>
      <x:c r="AG27" s="4" t="str">
        <x:v>Raw gathered/recovered craft input under the author T0 framework. This does not imply a naturally occurring pure metal.</x:v>
      </x:c>
      <x:c r="AH27" s="4" t="str">
        <x:v>Not applicable</x:v>
      </x:c>
    </x:row>
    <x:row r="28" ht="66" customHeight="1">
      <x:c r="A28" s="9" t="str">
        <x:v>proposal.natural.alumina</x:v>
      </x:c>
      <x:c r="B28" s="9" t="str">
        <x:v>Alumina-rich rock</x:v>
      </x:c>
      <x:c r="C28" s="9" t="str">
        <x:v>Resources</x:v>
      </x:c>
      <x:c r="D28" s="9" t="str">
        <x:v>Raw mineral</x:v>
      </x:c>
      <x:c r="E28" s="9" t="str">
        <x:v>New proposal</x:v>
      </x:c>
      <x:c r="F28" s="9" t="str">
        <x:v>Hard ceramic and electrical separation parts</x:v>
      </x:c>
      <x:c r="G28" s="9" t="str">
        <x:v>None</x:v>
      </x:c>
      <x:c r="H28" s="9" t="str">
        <x:v>Legger / local storage proposed</x:v>
      </x:c>
      <x:c r="I28" s="13"/>
      <x:c r="J28" s="15"/>
      <x:c r="K28" s="9" t="str">
        <x:v>Authored mineral outcrops</x:v>
      </x:c>
      <x:c r="L28" s="9" t="str">
        <x:v>Crush, grade and fire with suitable binder</x:v>
      </x:c>
      <x:c r="M28" s="9" t="str">
        <x:v>Not implemented</x:v>
      </x:c>
      <x:c r="N28" s="9" t="str">
        <x:v>New deposit and processing design; no free natural liquid water.</x:v>
      </x:c>
      <x:c r="O28" s="22"/>
      <x:c r="P28" s="22"/>
      <x:c r="Q28" s="22"/>
      <x:c r="R28" s="22"/>
      <x:c r="S28" s="22"/>
      <x:c r="T28" s="9" t="str">
        <x:v>Distribution, collection tool, processing constraints and balance</x:v>
      </x:c>
      <x:c r="U28" s="11" t="str">
        <x:v>electrical insulation</x:v>
      </x:c>
      <x:c r="V28" s="9" t="str">
        <x:v>User design direction, October 14, 2026; local brainstorming. New proposal unless explicitly marked User direction.</x:v>
      </x:c>
      <x:c r="W28" s="4" t="str">
        <x:v>Raw material</x:v>
      </x:c>
      <x:c r="X28" s="4" t="str">
        <x:v>Raw</x:v>
      </x:c>
      <x:c r="Y28" s="4" t="str">
        <x:v>Geological</x:v>
      </x:c>
      <x:c r="Z28" s="4" t="str">
        <x:v>Glass and ceramics</x:v>
      </x:c>
      <x:c r="AA28" s="4" t="str">
        <x:v>Mineral</x:v>
      </x:c>
      <x:c r="AB28" s="4" t="str">
        <x:v>Rock</x:v>
      </x:c>
      <x:c r="AC28" s="4" t="str">
        <x:v>Proposal</x:v>
      </x:c>
      <x:c r="AD28" s="4" t="str">
        <x:f>LOWER(A28&amp;"; "&amp;B28&amp;"; "&amp;C28&amp;"; "&amp;D28&amp;"; "&amp;W28&amp;"; "&amp;X28&amp;"; "&amp;Y28&amp;"; "&amp;Z28&amp;"; "&amp;AA28&amp;"; "&amp;AB28&amp;"; "&amp;AC28&amp;"; "&amp;U28)</x:f>
        <x:v>proposal.natural.alumina; alumina-rich rock; resources; raw mineral; raw material; raw; geological; glass and ceramics; mineral; rock; proposal; electrical insulation</x:v>
      </x:c>
      <x:c r="AE28" s="4" t="str">
        <x:v>From current item description. Proposed uses retain their existing approval status.</x:v>
      </x:c>
      <x:c r="AF28" s="4" t="str">
        <x:v>T0</x:v>
      </x:c>
      <x:c r="AG28" s="4" t="str">
        <x:v>Raw gathered/recovered craft input under the author T0 framework. This does not imply a naturally occurring pure metal.</x:v>
      </x:c>
      <x:c r="AH28" s="4" t="str">
        <x:v>Not applicable</x:v>
      </x:c>
    </x:row>
    <x:row r="29" ht="66" customHeight="1">
      <x:c r="A29" s="9" t="str">
        <x:v>proposal.natural.claystone</x:v>
      </x:c>
      <x:c r="B29" s="9" t="str">
        <x:v>Claystone</x:v>
      </x:c>
      <x:c r="C29" s="9" t="str">
        <x:v>Resources</x:v>
      </x:c>
      <x:c r="D29" s="9" t="str">
        <x:v>Raw mineral</x:v>
      </x:c>
      <x:c r="E29" s="9" t="str">
        <x:v>New proposal</x:v>
      </x:c>
      <x:c r="F29" s="9" t="str">
        <x:v>Ceramic bodies and refractory parts</x:v>
      </x:c>
      <x:c r="G29" s="9" t="str">
        <x:v>None</x:v>
      </x:c>
      <x:c r="H29" s="9" t="str">
        <x:v>Legger / local storage proposed</x:v>
      </x:c>
      <x:c r="I29" s="13"/>
      <x:c r="J29" s="15"/>
      <x:c r="K29" s="9" t="str">
        <x:v>Ancient dry sediment beds</x:v>
      </x:c>
      <x:c r="L29" s="9" t="str">
        <x:v>Dry mill for ceramic feed; binder method unresolved</x:v>
      </x:c>
      <x:c r="M29" s="9" t="str">
        <x:v>Not implemented</x:v>
      </x:c>
      <x:c r="N29" s="9" t="str">
        <x:v>New deposit and processing design; no free natural liquid water.</x:v>
      </x:c>
      <x:c r="O29" s="22"/>
      <x:c r="P29" s="22"/>
      <x:c r="Q29" s="22"/>
      <x:c r="R29" s="22"/>
      <x:c r="S29" s="22"/>
      <x:c r="T29" s="9" t="str">
        <x:v>Distribution, collection tool, processing constraints and balance</x:v>
      </x:c>
      <x:c r="U29" s="11"/>
      <x:c r="V29" s="9" t="str">
        <x:v>User design direction, October 14, 2026; local brainstorming. New proposal unless explicitly marked User direction.</x:v>
      </x:c>
      <x:c r="W29" s="4" t="str">
        <x:v>Raw material</x:v>
      </x:c>
      <x:c r="X29" s="4" t="str">
        <x:v>Raw</x:v>
      </x:c>
      <x:c r="Y29" s="4" t="str">
        <x:v>Geological</x:v>
      </x:c>
      <x:c r="Z29" s="4" t="str">
        <x:v>Glass and ceramics</x:v>
      </x:c>
      <x:c r="AA29" s="4" t="str">
        <x:v>Mineral</x:v>
      </x:c>
      <x:c r="AB29" s="4" t="str">
        <x:v>Rock</x:v>
      </x:c>
      <x:c r="AC29" s="4" t="str">
        <x:v>Proposal</x:v>
      </x:c>
      <x:c r="AD29" s="4" t="str">
        <x:f>LOWER(A29&amp;"; "&amp;B29&amp;"; "&amp;C29&amp;"; "&amp;D29&amp;"; "&amp;W29&amp;"; "&amp;X29&amp;"; "&amp;Y29&amp;"; "&amp;Z29&amp;"; "&amp;AA29&amp;"; "&amp;AB29&amp;"; "&amp;AC29&amp;"; "&amp;U29)</x:f>
        <x:v>proposal.natural.claystone; claystone; resources; raw mineral; raw material; raw; geological; glass and ceramics; mineral; rock; proposal; </x:v>
      </x:c>
      <x:c r="AE29" s="4" t="str">
        <x:v>From current item description. Proposed uses retain their existing approval status.</x:v>
      </x:c>
      <x:c r="AF29" s="4" t="str">
        <x:v>T0</x:v>
      </x:c>
      <x:c r="AG29" s="4" t="str">
        <x:v>Raw gathered/recovered craft input under the author T0 framework. This does not imply a naturally occurring pure metal.</x:v>
      </x:c>
      <x:c r="AH29" s="4" t="str">
        <x:v>Not applicable</x:v>
      </x:c>
    </x:row>
    <x:row r="30" ht="66" customHeight="1">
      <x:c r="A30" s="9" t="str">
        <x:v>proposal.natural.carbonate</x:v>
      </x:c>
      <x:c r="B30" s="9" t="str">
        <x:v>Carbonate stone</x:v>
      </x:c>
      <x:c r="C30" s="9" t="str">
        <x:v>Resources</x:v>
      </x:c>
      <x:c r="D30" s="9" t="str">
        <x:v>Raw mineral</x:v>
      </x:c>
      <x:c r="E30" s="9" t="str">
        <x:v>New proposal</x:v>
      </x:c>
      <x:c r="F30" s="9" t="str">
        <x:v>Mineral binder and construction research</x:v>
      </x:c>
      <x:c r="G30" s="9" t="str">
        <x:v>None</x:v>
      </x:c>
      <x:c r="H30" s="9" t="str">
        <x:v>Legger / local storage proposed</x:v>
      </x:c>
      <x:c r="I30" s="13"/>
      <x:c r="J30" s="15"/>
      <x:c r="K30" s="9" t="str">
        <x:v>Ancient exposed deposits</x:v>
      </x:c>
      <x:c r="L30" s="9" t="str">
        <x:v>Heat to lime; use dry aggregate formulation</x:v>
      </x:c>
      <x:c r="M30" s="9" t="str">
        <x:v>Not implemented</x:v>
      </x:c>
      <x:c r="N30" s="9" t="str">
        <x:v>New deposit and processing design; no free natural liquid water.</x:v>
      </x:c>
      <x:c r="O30" s="22"/>
      <x:c r="P30" s="22"/>
      <x:c r="Q30" s="22"/>
      <x:c r="R30" s="22"/>
      <x:c r="S30" s="22"/>
      <x:c r="T30" s="9" t="str">
        <x:v>Distribution, collection tool, processing constraints and balance</x:v>
      </x:c>
      <x:c r="U30" s="11"/>
      <x:c r="V30" s="9" t="str">
        <x:v>User design direction, October 14, 2026; local brainstorming. New proposal unless explicitly marked User direction.</x:v>
      </x:c>
      <x:c r="W30" s="4" t="str">
        <x:v>Raw material</x:v>
      </x:c>
      <x:c r="X30" s="4" t="str">
        <x:v>Raw</x:v>
      </x:c>
      <x:c r="Y30" s="4" t="str">
        <x:v>Geological</x:v>
      </x:c>
      <x:c r="Z30" s="4" t="str">
        <x:v>Binding and construction</x:v>
      </x:c>
      <x:c r="AA30" s="4" t="str">
        <x:v>Mineral</x:v>
      </x:c>
      <x:c r="AB30" s="4" t="str">
        <x:v>Rock</x:v>
      </x:c>
      <x:c r="AC30" s="4" t="str">
        <x:v>Proposal</x:v>
      </x:c>
      <x:c r="AD30" s="4" t="str">
        <x:f>LOWER(A30&amp;"; "&amp;B30&amp;"; "&amp;C30&amp;"; "&amp;D30&amp;"; "&amp;W30&amp;"; "&amp;X30&amp;"; "&amp;Y30&amp;"; "&amp;Z30&amp;"; "&amp;AA30&amp;"; "&amp;AB30&amp;"; "&amp;AC30&amp;"; "&amp;U30)</x:f>
        <x:v>proposal.natural.carbonate; carbonate stone; resources; raw mineral; raw material; raw; geological; binding and construction; mineral; rock; proposal; </x:v>
      </x:c>
      <x:c r="AE30" s="4" t="str">
        <x:v>From current item description. Proposed uses retain their existing approval status.</x:v>
      </x:c>
      <x:c r="AF30" s="4" t="str">
        <x:v>T0</x:v>
      </x:c>
      <x:c r="AG30" s="4" t="str">
        <x:v>Raw gathered/recovered craft input under the author T0 framework. This does not imply a naturally occurring pure metal.</x:v>
      </x:c>
      <x:c r="AH30" s="4" t="str">
        <x:v>Not applicable</x:v>
      </x:c>
    </x:row>
    <x:row r="31" ht="66" customHeight="1">
      <x:c r="A31" s="9" t="str">
        <x:v>proposal.natural.salts</x:v>
      </x:c>
      <x:c r="B31" s="9" t="str">
        <x:v>Dry mineral salts</x:v>
      </x:c>
      <x:c r="C31" s="9" t="str">
        <x:v>Resources</x:v>
      </x:c>
      <x:c r="D31" s="9" t="str">
        <x:v>Raw mineral</x:v>
      </x:c>
      <x:c r="E31" s="9" t="str">
        <x:v>New proposal</x:v>
      </x:c>
      <x:c r="F31" s="9" t="str">
        <x:v>Algae culture mineral inputs, subject to biology design</x:v>
      </x:c>
      <x:c r="G31" s="9" t="str">
        <x:v>None</x:v>
      </x:c>
      <x:c r="H31" s="9" t="str">
        <x:v>Legger / local storage proposed</x:v>
      </x:c>
      <x:c r="I31" s="13"/>
      <x:c r="J31" s="15"/>
      <x:c r="K31" s="9" t="str">
        <x:v>Ancient evaporite seams; no current water required</x:v>
      </x:c>
      <x:c r="L31" s="9" t="str">
        <x:v>Sort and grade dry crystals</x:v>
      </x:c>
      <x:c r="M31" s="9" t="str">
        <x:v>Not implemented</x:v>
      </x:c>
      <x:c r="N31" s="9" t="str">
        <x:v>New deposit and processing design; no free natural liquid water.</x:v>
      </x:c>
      <x:c r="O31" s="22"/>
      <x:c r="P31" s="22"/>
      <x:c r="Q31" s="22"/>
      <x:c r="R31" s="22"/>
      <x:c r="S31" s="22"/>
      <x:c r="T31" s="9" t="str">
        <x:v>Distribution, collection tool, processing constraints and balance</x:v>
      </x:c>
      <x:c r="U31" s="11"/>
      <x:c r="V31" s="9" t="str">
        <x:v>User design direction, October 14, 2026; local brainstorming. New proposal unless explicitly marked User direction.</x:v>
      </x:c>
      <x:c r="W31" s="4" t="str">
        <x:v>Raw material</x:v>
      </x:c>
      <x:c r="X31" s="4" t="str">
        <x:v>Raw</x:v>
      </x:c>
      <x:c r="Y31" s="4" t="str">
        <x:v>Geological</x:v>
      </x:c>
      <x:c r="Z31" s="4" t="str">
        <x:v>Culture support</x:v>
      </x:c>
      <x:c r="AA31" s="4" t="str">
        <x:v>Mineral</x:v>
      </x:c>
      <x:c r="AB31" s="4" t="str">
        <x:v>Particles</x:v>
      </x:c>
      <x:c r="AC31" s="4" t="str">
        <x:v>Proposal</x:v>
      </x:c>
      <x:c r="AD31" s="4" t="str">
        <x:f>LOWER(A31&amp;"; "&amp;B31&amp;"; "&amp;C31&amp;"; "&amp;D31&amp;"; "&amp;W31&amp;"; "&amp;X31&amp;"; "&amp;Y31&amp;"; "&amp;Z31&amp;"; "&amp;AA31&amp;"; "&amp;AB31&amp;"; "&amp;AC31&amp;"; "&amp;U31)</x:f>
        <x:v>proposal.natural.salts; dry mineral salts; resources; raw mineral; raw material; raw; geological; culture support; mineral; particles; proposal; </x:v>
      </x:c>
      <x:c r="AE31" s="4" t="str">
        <x:v>From current item description. Proposed uses retain their existing approval status.</x:v>
      </x:c>
      <x:c r="AF31" s="4" t="str">
        <x:v>T0</x:v>
      </x:c>
      <x:c r="AG31" s="4" t="str">
        <x:v>Raw gathered/recovered craft input under the author T0 framework. This does not imply a naturally occurring pure metal.</x:v>
      </x:c>
      <x:c r="AH31" s="4" t="str">
        <x:v>Not applicable</x:v>
      </x:c>
    </x:row>
    <x:row r="32" ht="66" customHeight="1">
      <x:c r="A32" s="9" t="str">
        <x:v>proposal.natural.graphite</x:v>
      </x:c>
      <x:c r="B32" s="9" t="str">
        <x:v>Graphite-bearing stone</x:v>
      </x:c>
      <x:c r="C32" s="9" t="str">
        <x:v>Resources</x:v>
      </x:c>
      <x:c r="D32" s="9" t="str">
        <x:v>Raw mineral</x:v>
      </x:c>
      <x:c r="E32" s="9" t="str">
        <x:v>New proposal</x:v>
      </x:c>
      <x:c r="F32" s="9" t="str">
        <x:v>Dry lubrication and conductive composites</x:v>
      </x:c>
      <x:c r="G32" s="9" t="str">
        <x:v>None</x:v>
      </x:c>
      <x:c r="H32" s="9" t="str">
        <x:v>Legger / local storage proposed</x:v>
      </x:c>
      <x:c r="I32" s="13"/>
      <x:c r="J32" s="15"/>
      <x:c r="K32" s="9" t="str">
        <x:v>Sparse mineral seams</x:v>
      </x:c>
      <x:c r="L32" s="9" t="str">
        <x:v>Separate and grade carbon flakes</x:v>
      </x:c>
      <x:c r="M32" s="9" t="str">
        <x:v>Not implemented</x:v>
      </x:c>
      <x:c r="N32" s="9" t="str">
        <x:v>New deposit and processing design; no free natural liquid water.</x:v>
      </x:c>
      <x:c r="O32" s="22"/>
      <x:c r="P32" s="22"/>
      <x:c r="Q32" s="22"/>
      <x:c r="R32" s="22"/>
      <x:c r="S32" s="22"/>
      <x:c r="T32" s="9" t="str">
        <x:v>Distribution, collection tool, processing constraints and balance</x:v>
      </x:c>
      <x:c r="U32" s="11" t="str">
        <x:v>electrical conduction</x:v>
      </x:c>
      <x:c r="V32" s="9" t="str">
        <x:v>User design direction, October 14, 2026; local brainstorming. New proposal unless explicitly marked User direction.</x:v>
      </x:c>
      <x:c r="W32" s="4" t="str">
        <x:v>Raw material</x:v>
      </x:c>
      <x:c r="X32" s="4" t="str">
        <x:v>Raw</x:v>
      </x:c>
      <x:c r="Y32" s="4" t="str">
        <x:v>Geological</x:v>
      </x:c>
      <x:c r="Z32" s="4" t="str">
        <x:v>Lubrication</x:v>
      </x:c>
      <x:c r="AA32" s="4" t="str">
        <x:v>Mineral</x:v>
      </x:c>
      <x:c r="AB32" s="4" t="str">
        <x:v>Particles</x:v>
      </x:c>
      <x:c r="AC32" s="4" t="str">
        <x:v>Proposal</x:v>
      </x:c>
      <x:c r="AD32" s="4" t="str">
        <x:f>LOWER(A32&amp;"; "&amp;B32&amp;"; "&amp;C32&amp;"; "&amp;D32&amp;"; "&amp;W32&amp;"; "&amp;X32&amp;"; "&amp;Y32&amp;"; "&amp;Z32&amp;"; "&amp;AA32&amp;"; "&amp;AB32&amp;"; "&amp;AC32&amp;"; "&amp;U32)</x:f>
        <x:v>proposal.natural.graphite; graphite-bearing stone; resources; raw mineral; raw material; raw; geological; lubrication; mineral; particles; proposal; electrical conduction</x:v>
      </x:c>
      <x:c r="AE32" s="4" t="str">
        <x:v>From current item description. Proposed uses retain their existing approval status.</x:v>
      </x:c>
      <x:c r="AF32" s="4" t="str">
        <x:v>T0</x:v>
      </x:c>
      <x:c r="AG32" s="4" t="str">
        <x:v>Raw gathered/recovered craft input under the author T0 framework. This does not imply a naturally occurring pure metal.</x:v>
      </x:c>
      <x:c r="AH32" s="4" t="str">
        <x:v>Not applicable</x:v>
      </x:c>
    </x:row>
    <x:row r="33" ht="66" customHeight="1">
      <x:c r="A33" s="9" t="str">
        <x:v>proposal.natural.mica</x:v>
      </x:c>
      <x:c r="B33" s="9" t="str">
        <x:v>Mica sheets</x:v>
      </x:c>
      <x:c r="C33" s="9" t="str">
        <x:v>Resources</x:v>
      </x:c>
      <x:c r="D33" s="9" t="str">
        <x:v>Raw mineral</x:v>
      </x:c>
      <x:c r="E33" s="9" t="str">
        <x:v>New proposal</x:v>
      </x:c>
      <x:c r="F33" s="9" t="str">
        <x:v>Insulating separators and heat shields</x:v>
      </x:c>
      <x:c r="G33" s="9" t="str">
        <x:v>None</x:v>
      </x:c>
      <x:c r="H33" s="9" t="str">
        <x:v>Legger / local storage proposed</x:v>
      </x:c>
      <x:c r="I33" s="13"/>
      <x:c r="J33" s="15"/>
      <x:c r="K33" s="9" t="str">
        <x:v>Layered mineral outcrops</x:v>
      </x:c>
      <x:c r="L33" s="9" t="str">
        <x:v>Split and trim plates</x:v>
      </x:c>
      <x:c r="M33" s="9" t="str">
        <x:v>Not implemented</x:v>
      </x:c>
      <x:c r="N33" s="9" t="str">
        <x:v>New deposit and processing design; no free natural liquid water.</x:v>
      </x:c>
      <x:c r="O33" s="22"/>
      <x:c r="P33" s="22"/>
      <x:c r="Q33" s="22"/>
      <x:c r="R33" s="22"/>
      <x:c r="S33" s="22"/>
      <x:c r="T33" s="9" t="str">
        <x:v>Distribution, collection tool, processing constraints and balance</x:v>
      </x:c>
      <x:c r="U33" s="11" t="str">
        <x:v>protective fabrication</x:v>
      </x:c>
      <x:c r="V33" s="9" t="str">
        <x:v>User design direction, October 14, 2026; local brainstorming. New proposal unless explicitly marked User direction.</x:v>
      </x:c>
      <x:c r="W33" s="4" t="str">
        <x:v>Raw material</x:v>
      </x:c>
      <x:c r="X33" s="4" t="str">
        <x:v>Raw</x:v>
      </x:c>
      <x:c r="Y33" s="4" t="str">
        <x:v>Geological</x:v>
      </x:c>
      <x:c r="Z33" s="4" t="str">
        <x:v>Electrical insulation</x:v>
      </x:c>
      <x:c r="AA33" s="4" t="str">
        <x:v>Mineral</x:v>
      </x:c>
      <x:c r="AB33" s="4" t="str">
        <x:v>Sheet</x:v>
      </x:c>
      <x:c r="AC33" s="4" t="str">
        <x:v>Proposal</x:v>
      </x:c>
      <x:c r="AD33" s="4" t="str">
        <x:f>LOWER(A33&amp;"; "&amp;B33&amp;"; "&amp;C33&amp;"; "&amp;D33&amp;"; "&amp;W33&amp;"; "&amp;X33&amp;"; "&amp;Y33&amp;"; "&amp;Z33&amp;"; "&amp;AA33&amp;"; "&amp;AB33&amp;"; "&amp;AC33&amp;"; "&amp;U33)</x:f>
        <x:v>proposal.natural.mica; mica sheets; resources; raw mineral; raw material; raw; geological; electrical insulation; mineral; sheet; proposal; protective fabrication</x:v>
      </x:c>
      <x:c r="AE33" s="4" t="str">
        <x:v>From current item description. Proposed uses retain their existing approval status.</x:v>
      </x:c>
      <x:c r="AF33" s="4" t="str">
        <x:v>T0</x:v>
      </x:c>
      <x:c r="AG33" s="4" t="str">
        <x:v>Raw gathered/recovered craft input under the author T0 framework. This does not imply a naturally occurring pure metal.</x:v>
      </x:c>
      <x:c r="AH33" s="4" t="str">
        <x:v>Not applicable</x:v>
      </x:c>
    </x:row>
    <x:row r="34" ht="66" customHeight="1">
      <x:c r="A34" s="9" t="str">
        <x:v>proposal.natural.iron_feed</x:v>
      </x:c>
      <x:c r="B34" s="9" t="str">
        <x:v>Iron-rich mineral feed</x:v>
      </x:c>
      <x:c r="C34" s="9" t="str">
        <x:v>Resources</x:v>
      </x:c>
      <x:c r="D34" s="9" t="str">
        <x:v>Processed mineral</x:v>
      </x:c>
      <x:c r="E34" s="9" t="str">
        <x:v>New proposal</x:v>
      </x:c>
      <x:c r="F34" s="9" t="str">
        <x:v>Intermediate feed for an eventual furnace</x:v>
      </x:c>
      <x:c r="G34" s="9" t="str">
        <x:v>None</x:v>
      </x:c>
      <x:c r="H34" s="9" t="str">
        <x:v>Legger / local storage proposed</x:v>
      </x:c>
      <x:c r="I34" s="13"/>
      <x:c r="J34" s="15"/>
      <x:c r="K34" s="9" t="str">
        <x:v>Process magnetite</x:v>
      </x:c>
      <x:c r="L34" s="9" t="str">
        <x:v>Dry crush and magnetic separation</x:v>
      </x:c>
      <x:c r="M34" s="9" t="str">
        <x:v>Not implemented</x:v>
      </x:c>
      <x:c r="N34" s="9" t="str">
        <x:v>Distinct proposal from existing Iron-rich Concentrate; decide whether to merge them.</x:v>
      </x:c>
      <x:c r="O34" s="22"/>
      <x:c r="P34" s="22"/>
      <x:c r="Q34" s="22"/>
      <x:c r="R34" s="22"/>
      <x:c r="S34" s="22"/>
      <x:c r="T34" s="9" t="str">
        <x:v>Choose production chain and possible reuse of existing item definitions</x:v>
      </x:c>
      <x:c r="U34" s="11"/>
      <x:c r="V34" s="9" t="str">
        <x:v>User design direction, October 14, 2026; local brainstorming. New proposal unless explicitly marked User direction.</x:v>
      </x:c>
      <x:c r="W34" s="4" t="str">
        <x:v>Processed material</x:v>
      </x:c>
      <x:c r="X34" s="4" t="str">
        <x:v>Processed intermediate</x:v>
      </x:c>
      <x:c r="Y34" s="4" t="str">
        <x:v>Geological</x:v>
      </x:c>
      <x:c r="Z34" s="4" t="str">
        <x:v>Metal refining</x:v>
      </x:c>
      <x:c r="AA34" s="4" t="str">
        <x:v>Mineral</x:v>
      </x:c>
      <x:c r="AB34" s="4" t="str">
        <x:v>Particles</x:v>
      </x:c>
      <x:c r="AC34" s="4" t="str">
        <x:v>Proposal</x:v>
      </x:c>
      <x:c r="AD34" s="4" t="str">
        <x:f>LOWER(A34&amp;"; "&amp;B34&amp;"; "&amp;C34&amp;"; "&amp;D34&amp;"; "&amp;W34&amp;"; "&amp;X34&amp;"; "&amp;Y34&amp;"; "&amp;Z34&amp;"; "&amp;AA34&amp;"; "&amp;AB34&amp;"; "&amp;AC34&amp;"; "&amp;U34)</x:f>
        <x:v>proposal.natural.iron_feed; iron-rich mineral feed; resources; processed mineral; processed material; processed intermediate; geological; metal refining; mineral; particles; proposal; </x:v>
      </x:c>
      <x:c r="AE34" s="4" t="str">
        <x:v>From current item description. Proposed uses retain their existing approval status.</x:v>
      </x:c>
      <x:c r="AF34" s="4" t="str">
        <x:v>T1</x:v>
      </x:c>
      <x:c r="AG34" s="4" t="str">
        <x:v>Proposed game manufacturing tier from the candidate routes. Integrated operations may contain many work steps.</x:v>
      </x:c>
      <x:c r="AH34" s="4" t="str">
        <x:v>Not applicable</x:v>
      </x:c>
    </x:row>
    <x:row r="35" ht="66" customHeight="1">
      <x:c r="A35" s="9" t="str">
        <x:v>proposal.natural.iron_stock</x:v>
      </x:c>
      <x:c r="B35" s="9" t="str">
        <x:v>Worked iron stock</x:v>
      </x:c>
      <x:c r="C35" s="9" t="str">
        <x:v>Resources</x:v>
      </x:c>
      <x:c r="D35" s="9" t="str">
        <x:v>Processed mineral</x:v>
      </x:c>
      <x:c r="E35" s="9" t="str">
        <x:v>New proposal</x:v>
      </x:c>
      <x:c r="F35" s="9" t="str">
        <x:v>Repair stock, fasteners and structural tool parts</x:v>
      </x:c>
      <x:c r="G35" s="9" t="str">
        <x:v>None</x:v>
      </x:c>
      <x:c r="H35" s="9" t="str">
        <x:v>Legger / local storage proposed</x:v>
      </x:c>
      <x:c r="I35" s="13"/>
      <x:c r="J35" s="15"/>
      <x:c r="K35" s="9" t="str">
        <x:v>Process iron_feed</x:v>
      </x:c>
      <x:c r="L35" s="9" t="str">
        <x:v>Smelt, forge and finish at a stationary facility</x:v>
      </x:c>
      <x:c r="M35" s="9" t="str">
        <x:v>Not implemented</x:v>
      </x:c>
      <x:c r="N35" s="9" t="str">
        <x:v>Fuel, furnace, alloy and process choices unresolved; no Legger crafting platform.</x:v>
      </x:c>
      <x:c r="O35" s="22"/>
      <x:c r="P35" s="22"/>
      <x:c r="Q35" s="22"/>
      <x:c r="R35" s="22"/>
      <x:c r="S35" s="22"/>
      <x:c r="T35" s="9" t="str">
        <x:v>Choose production chain and possible reuse of existing item definitions</x:v>
      </x:c>
      <x:c r="U35" s="11" t="str">
        <x:v>equipment repair</x:v>
      </x:c>
      <x:c r="V35" s="9" t="str">
        <x:v>User design direction, October 14, 2026; local brainstorming. New proposal unless explicitly marked User direction.</x:v>
      </x:c>
      <x:c r="W35" s="4" t="str">
        <x:v>Processed material</x:v>
      </x:c>
      <x:c r="X35" s="4" t="str">
        <x:v>Processed intermediate</x:v>
      </x:c>
      <x:c r="Y35" s="4" t="str">
        <x:v>Geological</x:v>
      </x:c>
      <x:c r="Z35" s="4" t="str">
        <x:v>Fabrication</x:v>
      </x:c>
      <x:c r="AA35" s="4" t="str">
        <x:v>Mineral</x:v>
      </x:c>
      <x:c r="AB35" s="4" t="str">
        <x:v>Solid part</x:v>
      </x:c>
      <x:c r="AC35" s="4" t="str">
        <x:v>Proposal</x:v>
      </x:c>
      <x:c r="AD35" s="4" t="str">
        <x:f>LOWER(A35&amp;"; "&amp;B35&amp;"; "&amp;C35&amp;"; "&amp;D35&amp;"; "&amp;W35&amp;"; "&amp;X35&amp;"; "&amp;Y35&amp;"; "&amp;Z35&amp;"; "&amp;AA35&amp;"; "&amp;AB35&amp;"; "&amp;AC35&amp;"; "&amp;U35)</x:f>
        <x:v>proposal.natural.iron_stock; worked iron stock; resources; processed mineral; processed material; processed intermediate; geological; fabrication; mineral; solid part; proposal; equipment repair</x:v>
      </x:c>
      <x:c r="AE35" s="4" t="str">
        <x:v>From current item description. Proposed uses retain their existing approval status.</x:v>
      </x:c>
      <x:c r="AF35" s="4" t="str">
        <x:v>T2</x:v>
      </x:c>
      <x:c r="AG35" s="4" t="str">
        <x:v>Proposed game manufacturing tier from the candidate routes. Integrated operations may contain many work steps.</x:v>
      </x:c>
      <x:c r="AH35" s="4" t="str">
        <x:v>Not applicable</x:v>
      </x:c>
    </x:row>
    <x:row r="36" ht="66" customHeight="1">
      <x:c r="A36" s="9" t="str">
        <x:v>proposal.natural.abrasive</x:v>
      </x:c>
      <x:c r="B36" s="9" t="str">
        <x:v>Graded abrasive grit</x:v>
      </x:c>
      <x:c r="C36" s="9" t="str">
        <x:v>Resources</x:v>
      </x:c>
      <x:c r="D36" s="9" t="str">
        <x:v>Processed mineral</x:v>
      </x:c>
      <x:c r="E36" s="9" t="str">
        <x:v>New proposal</x:v>
      </x:c>
      <x:c r="F36" s="9" t="str">
        <x:v>Tool sharpening and surface preparation</x:v>
      </x:c>
      <x:c r="G36" s="9" t="str">
        <x:v>None</x:v>
      </x:c>
      <x:c r="H36" s="9" t="str">
        <x:v>Legger / local storage proposed</x:v>
      </x:c>
      <x:c r="I36" s="13"/>
      <x:c r="J36" s="15"/>
      <x:c r="K36" s="9" t="str">
        <x:v>Process silica</x:v>
      </x:c>
      <x:c r="L36" s="9" t="str">
        <x:v>Dry sieve and grade</x:v>
      </x:c>
      <x:c r="M36" s="9" t="str">
        <x:v>Not implemented</x:v>
      </x:c>
      <x:c r="N36" s="9" t="str">
        <x:v>Could reuse existing Mineral Sand instead; resolve before implementation.</x:v>
      </x:c>
      <x:c r="O36" s="22"/>
      <x:c r="P36" s="22"/>
      <x:c r="Q36" s="22"/>
      <x:c r="R36" s="22"/>
      <x:c r="S36" s="22"/>
      <x:c r="T36" s="9" t="str">
        <x:v>Choose production chain and possible reuse of existing item definitions</x:v>
      </x:c>
      <x:c r="U36" s="11"/>
      <x:c r="V36" s="9" t="str">
        <x:v>User design direction, October 14, 2026; local brainstorming. New proposal unless explicitly marked User direction.</x:v>
      </x:c>
      <x:c r="W36" s="4" t="str">
        <x:v>Processed material</x:v>
      </x:c>
      <x:c r="X36" s="4" t="str">
        <x:v>Processed intermediate</x:v>
      </x:c>
      <x:c r="Y36" s="4" t="str">
        <x:v>Geological</x:v>
      </x:c>
      <x:c r="Z36" s="4" t="str">
        <x:v>Surface finishing</x:v>
      </x:c>
      <x:c r="AA36" s="4" t="str">
        <x:v>Mineral</x:v>
      </x:c>
      <x:c r="AB36" s="4" t="str">
        <x:v>Particles</x:v>
      </x:c>
      <x:c r="AC36" s="4" t="str">
        <x:v>Proposal</x:v>
      </x:c>
      <x:c r="AD36" s="4" t="str">
        <x:f>LOWER(A36&amp;"; "&amp;B36&amp;"; "&amp;C36&amp;"; "&amp;D36&amp;"; "&amp;W36&amp;"; "&amp;X36&amp;"; "&amp;Y36&amp;"; "&amp;Z36&amp;"; "&amp;AA36&amp;"; "&amp;AB36&amp;"; "&amp;AC36&amp;"; "&amp;U36)</x:f>
        <x:v>proposal.natural.abrasive; graded abrasive grit; resources; processed mineral; processed material; processed intermediate; geological; surface finishing; mineral; particles; proposal; </x:v>
      </x:c>
      <x:c r="AE36" s="4" t="str">
        <x:v>From current item description. Proposed uses retain their existing approval status.</x:v>
      </x:c>
      <x:c r="AF36" s="4" t="str">
        <x:v>T1</x:v>
      </x:c>
      <x:c r="AG36" s="4" t="str">
        <x:v>Proposed game manufacturing tier from the candidate routes. Integrated operations may contain many work steps.</x:v>
      </x:c>
      <x:c r="AH36" s="4" t="str">
        <x:v>Not applicable</x:v>
      </x:c>
    </x:row>
    <x:row r="37" ht="66" customHeight="1">
      <x:c r="A37" s="9" t="str">
        <x:v>proposal.natural.ceramic</x:v>
      </x:c>
      <x:c r="B37" s="9" t="str">
        <x:v>Insulating ceramic blanks</x:v>
      </x:c>
      <x:c r="C37" s="9" t="str">
        <x:v>Resources</x:v>
      </x:c>
      <x:c r="D37" s="9" t="str">
        <x:v>Processed mineral</x:v>
      </x:c>
      <x:c r="E37" s="9" t="str">
        <x:v>New proposal</x:v>
      </x:c>
      <x:c r="F37" s="9" t="str">
        <x:v>Grounding-kit spacers and heat-resistant fixtures</x:v>
      </x:c>
      <x:c r="G37" s="9" t="str">
        <x:v>None</x:v>
      </x:c>
      <x:c r="H37" s="9" t="str">
        <x:v>Legger / local storage proposed</x:v>
      </x:c>
      <x:c r="I37" s="13"/>
      <x:c r="J37" s="15"/>
      <x:c r="K37" s="9" t="str">
        <x:v>Process alumina</x:v>
      </x:c>
      <x:c r="L37" s="9" t="str">
        <x:v>Dry feed preparation, forming and firing</x:v>
      </x:c>
      <x:c r="M37" s="9" t="str">
        <x:v>Not implemented</x:v>
      </x:c>
      <x:c r="N37" s="9" t="str">
        <x:v>Claystone may be a co-input; forming binder/energy not settled.</x:v>
      </x:c>
      <x:c r="O37" s="22"/>
      <x:c r="P37" s="22"/>
      <x:c r="Q37" s="22"/>
      <x:c r="R37" s="22"/>
      <x:c r="S37" s="22"/>
      <x:c r="T37" s="9" t="str">
        <x:v>Choose production chain and possible reuse of existing item definitions</x:v>
      </x:c>
      <x:c r="U37" s="11" t="str">
        <x:v>protective fabrication; mineral</x:v>
      </x:c>
      <x:c r="V37" s="9" t="str">
        <x:v>User design direction, October 14, 2026; local brainstorming. New proposal unless explicitly marked User direction.</x:v>
      </x:c>
      <x:c r="W37" s="4" t="str">
        <x:v>Processed material</x:v>
      </x:c>
      <x:c r="X37" s="4" t="str">
        <x:v>Processed intermediate</x:v>
      </x:c>
      <x:c r="Y37" s="4" t="str">
        <x:v>Geological</x:v>
      </x:c>
      <x:c r="Z37" s="4" t="str">
        <x:v>Electrical insulation</x:v>
      </x:c>
      <x:c r="AA37" s="4" t="str">
        <x:v>Ceramic</x:v>
      </x:c>
      <x:c r="AB37" s="4" t="str">
        <x:v>Solid part</x:v>
      </x:c>
      <x:c r="AC37" s="4" t="str">
        <x:v>Proposal</x:v>
      </x:c>
      <x:c r="AD37" s="4" t="str">
        <x:f>LOWER(A37&amp;"; "&amp;B37&amp;"; "&amp;C37&amp;"; "&amp;D37&amp;"; "&amp;W37&amp;"; "&amp;X37&amp;"; "&amp;Y37&amp;"; "&amp;Z37&amp;"; "&amp;AA37&amp;"; "&amp;AB37&amp;"; "&amp;AC37&amp;"; "&amp;U37)</x:f>
        <x:v>proposal.natural.ceramic; insulating ceramic blanks; resources; processed mineral; processed material; processed intermediate; geological; electrical insulation; ceramic; solid part; proposal; protective fabrication; mineral</x:v>
      </x:c>
      <x:c r="AE37" s="4" t="str">
        <x:v>From current item description. Proposed uses retain their existing approval status.</x:v>
      </x:c>
      <x:c r="AF37" s="4" t="str">
        <x:v>Unassigned</x:v>
      </x:c>
      <x:c r="AG37" s="4" t="str">
        <x:v>Choose a material/part route before assigning a tier. Processing-stage labels alone do not prove chain depth.</x:v>
      </x:c>
      <x:c r="AH37" s="4" t="str">
        <x:v>Not applicable</x:v>
      </x:c>
    </x:row>
    <x:row r="38" ht="66" customHeight="1">
      <x:c r="A38" s="9" t="str">
        <x:v>proposal.natural.lime</x:v>
      </x:c>
      <x:c r="B38" s="9" t="str">
        <x:v>Calcined mineral binder</x:v>
      </x:c>
      <x:c r="C38" s="9" t="str">
        <x:v>Resources</x:v>
      </x:c>
      <x:c r="D38" s="9" t="str">
        <x:v>Processed mineral</x:v>
      </x:c>
      <x:c r="E38" s="9" t="str">
        <x:v>New proposal</x:v>
      </x:c>
      <x:c r="F38" s="9" t="str">
        <x:v>Dry composite repair and construction</x:v>
      </x:c>
      <x:c r="G38" s="9" t="str">
        <x:v>None</x:v>
      </x:c>
      <x:c r="H38" s="9" t="str">
        <x:v>Legger / local storage proposed</x:v>
      </x:c>
      <x:c r="I38" s="13"/>
      <x:c r="J38" s="15"/>
      <x:c r="K38" s="9" t="str">
        <x:v>Process carbonate</x:v>
      </x:c>
      <x:c r="L38" s="9" t="str">
        <x:v>Heat mineral feed; retain dry product</x:v>
      </x:c>
      <x:c r="M38" s="9" t="str">
        <x:v>Not implemented</x:v>
      </x:c>
      <x:c r="N38" s="9" t="str">
        <x:v>No conventional water-based cement recipe assumed.</x:v>
      </x:c>
      <x:c r="O38" s="22"/>
      <x:c r="P38" s="22"/>
      <x:c r="Q38" s="22"/>
      <x:c r="R38" s="22"/>
      <x:c r="S38" s="22"/>
      <x:c r="T38" s="9" t="str">
        <x:v>Choose production chain and possible reuse of existing item definitions</x:v>
      </x:c>
      <x:c r="U38" s="11"/>
      <x:c r="V38" s="9" t="str">
        <x:v>User design direction, October 14, 2026; local brainstorming. New proposal unless explicitly marked User direction.</x:v>
      </x:c>
      <x:c r="W38" s="4" t="str">
        <x:v>Processed material</x:v>
      </x:c>
      <x:c r="X38" s="4" t="str">
        <x:v>Processed intermediate</x:v>
      </x:c>
      <x:c r="Y38" s="4" t="str">
        <x:v>Geological</x:v>
      </x:c>
      <x:c r="Z38" s="4" t="str">
        <x:v>Binding and construction</x:v>
      </x:c>
      <x:c r="AA38" s="4" t="str">
        <x:v>Mineral</x:v>
      </x:c>
      <x:c r="AB38" s="4" t="str">
        <x:v>Particles</x:v>
      </x:c>
      <x:c r="AC38" s="4" t="str">
        <x:v>Proposal</x:v>
      </x:c>
      <x:c r="AD38" s="4" t="str">
        <x:f>LOWER(A38&amp;"; "&amp;B38&amp;"; "&amp;C38&amp;"; "&amp;D38&amp;"; "&amp;W38&amp;"; "&amp;X38&amp;"; "&amp;Y38&amp;"; "&amp;Z38&amp;"; "&amp;AA38&amp;"; "&amp;AB38&amp;"; "&amp;AC38&amp;"; "&amp;U38)</x:f>
        <x:v>proposal.natural.lime; calcined mineral binder; resources; processed mineral; processed material; processed intermediate; geological; binding and construction; mineral; particles; proposal; </x:v>
      </x:c>
      <x:c r="AE38" s="4" t="str">
        <x:v>From current item description. Proposed uses retain their existing approval status.</x:v>
      </x:c>
      <x:c r="AF38" s="4" t="str">
        <x:v>T1</x:v>
      </x:c>
      <x:c r="AG38" s="4" t="str">
        <x:v>Proposed game manufacturing tier from the candidate routes. Integrated operations may contain many work steps.</x:v>
      </x:c>
      <x:c r="AH38" s="4" t="str">
        <x:v>Not applicable</x:v>
      </x:c>
    </x:row>
    <x:row r="39" ht="66" customHeight="1">
      <x:c r="A39" s="9" t="str">
        <x:v>proposal.natural.carbon</x:v>
      </x:c>
      <x:c r="B39" s="9" t="str">
        <x:v>Graded graphite flakes</x:v>
      </x:c>
      <x:c r="C39" s="9" t="str">
        <x:v>Resources</x:v>
      </x:c>
      <x:c r="D39" s="9" t="str">
        <x:v>Processed mineral</x:v>
      </x:c>
      <x:c r="E39" s="9" t="str">
        <x:v>New proposal</x:v>
      </x:c>
      <x:c r="F39" s="9" t="str">
        <x:v>Dry lubricant; conductive composite ingredient</x:v>
      </x:c>
      <x:c r="G39" s="9" t="str">
        <x:v>None</x:v>
      </x:c>
      <x:c r="H39" s="9" t="str">
        <x:v>Legger / local storage proposed</x:v>
      </x:c>
      <x:c r="I39" s="13"/>
      <x:c r="J39" s="15"/>
      <x:c r="K39" s="9" t="str">
        <x:v>Process graphite</x:v>
      </x:c>
      <x:c r="L39" s="9" t="str">
        <x:v>Crush and dry grade</x:v>
      </x:c>
      <x:c r="M39" s="9" t="str">
        <x:v>Not implemented</x:v>
      </x:c>
      <x:c r="N39" s="9" t="str">
        <x:v>Not a power source; graphite behavior and recipe details remain provisional.</x:v>
      </x:c>
      <x:c r="O39" s="22"/>
      <x:c r="P39" s="22"/>
      <x:c r="Q39" s="22"/>
      <x:c r="R39" s="22"/>
      <x:c r="S39" s="22"/>
      <x:c r="T39" s="9" t="str">
        <x:v>Choose production chain and possible reuse of existing item definitions</x:v>
      </x:c>
      <x:c r="U39" s="11" t="str">
        <x:v>electrical conduction</x:v>
      </x:c>
      <x:c r="V39" s="9" t="str">
        <x:v>User design direction, October 14, 2026; local brainstorming. New proposal unless explicitly marked User direction.</x:v>
      </x:c>
      <x:c r="W39" s="4" t="str">
        <x:v>Processed material</x:v>
      </x:c>
      <x:c r="X39" s="4" t="str">
        <x:v>Processed intermediate</x:v>
      </x:c>
      <x:c r="Y39" s="4" t="str">
        <x:v>Geological</x:v>
      </x:c>
      <x:c r="Z39" s="4" t="str">
        <x:v>Lubrication</x:v>
      </x:c>
      <x:c r="AA39" s="4" t="str">
        <x:v>Mineral</x:v>
      </x:c>
      <x:c r="AB39" s="4" t="str">
        <x:v>Particles</x:v>
      </x:c>
      <x:c r="AC39" s="4" t="str">
        <x:v>Proposal</x:v>
      </x:c>
      <x:c r="AD39" s="4" t="str">
        <x:f>LOWER(A39&amp;"; "&amp;B39&amp;"; "&amp;C39&amp;"; "&amp;D39&amp;"; "&amp;W39&amp;"; "&amp;X39&amp;"; "&amp;Y39&amp;"; "&amp;Z39&amp;"; "&amp;AA39&amp;"; "&amp;AB39&amp;"; "&amp;AC39&amp;"; "&amp;U39)</x:f>
        <x:v>proposal.natural.carbon; graded graphite flakes; resources; processed mineral; processed material; processed intermediate; geological; lubrication; mineral; particles; proposal; electrical conduction</x:v>
      </x:c>
      <x:c r="AE39" s="4" t="str">
        <x:v>From current item description. Proposed uses retain their existing approval status.</x:v>
      </x:c>
      <x:c r="AF39" s="4" t="str">
        <x:v>T1</x:v>
      </x:c>
      <x:c r="AG39" s="4" t="str">
        <x:v>Proposed game manufacturing tier from the candidate routes. Integrated operations may contain many work steps.</x:v>
      </x:c>
      <x:c r="AH39" s="4" t="str">
        <x:v>Not applicable</x:v>
      </x:c>
    </x:row>
    <x:row r="40" ht="66" customHeight="1">
      <x:c r="A40" s="9" t="str">
        <x:v>proposal.bio.shell</x:v>
      </x:c>
      <x:c r="B40" s="9" t="str">
        <x:v>Shell husks / shed plates</x:v>
      </x:c>
      <x:c r="C40" s="9" t="str">
        <x:v>Resources</x:v>
      </x:c>
      <x:c r="D40" s="9" t="str">
        <x:v>Molted exoskeleton</x:v>
      </x:c>
      <x:c r="E40" s="9" t="str">
        <x:v>User direction; not implemented</x:v>
      </x:c>
      <x:c r="F40" s="9" t="str">
        <x:v>Cheap raw shell/husk material; source of scraped fibers and candidate basic casing/guards.</x:v>
      </x:c>
      <x:c r="G40" s="9" t="str">
        <x:v>None</x:v>
      </x:c>
      <x:c r="H40" s="9" t="str">
        <x:v>Legger / local storage proposed</x:v>
      </x:c>
      <x:c r="I40" s="13"/>
      <x:c r="J40" s="15"/>
      <x:c r="K40" s="9" t="str">
        <x:v>Discarded shell husks; creature-specific collection remains proposed</x:v>
      </x:c>
      <x:c r="L40" s="9" t="str">
        <x:v>Scrape fibers for paper and difficult pressed textile processing</x:v>
      </x:c>
      <x:c r="M40" s="9" t="str">
        <x:v>Not implemented</x:v>
      </x:c>
      <x:c r="N40" s="9" t="str">
        <x:v>Raw fiber abundance does not imply easy finished textile production; no cloth.</x:v>
      </x:c>
      <x:c r="O40" s="22"/>
      <x:c r="P40" s="22"/>
      <x:c r="Q40" s="22"/>
      <x:c r="R40" s="22"/>
      <x:c r="S40" s="22"/>
      <x:c r="T40" s="9" t="str">
        <x:v>Ordinary raw shells are cheap bulk material. Processed fibers, exceptional selected material and precision finished parts have separate value; no numeric price set.</x:v>
      </x:c>
      <x:c r="U40" s="11" t="str">
        <x:v>fiber processing</x:v>
      </x:c>
      <x:c r="V40" s="9" t="str">
        <x:v>Direct author direction October 14, 2026; Docs/WORLD_BASIS.md#material-culture</x:v>
      </x:c>
      <x:c r="W40" s="4" t="str">
        <x:v>Raw material</x:v>
      </x:c>
      <x:c r="X40" s="4" t="str">
        <x:v>Raw</x:v>
      </x:c>
      <x:c r="Y40" s="4" t="str">
        <x:v>Fauna</x:v>
      </x:c>
      <x:c r="Z40" s="4" t="str">
        <x:v>Fabrication</x:v>
      </x:c>
      <x:c r="AA40" s="4" t="str">
        <x:v>Shell / chitin</x:v>
      </x:c>
      <x:c r="AB40" s="4" t="str">
        <x:v>Shell plate</x:v>
      </x:c>
      <x:c r="AC40" s="4" t="str">
        <x:v>Author direction</x:v>
      </x:c>
      <x:c r="AD40" s="4" t="str">
        <x:f>LOWER(A40&amp;"; "&amp;B40&amp;"; "&amp;C40&amp;"; "&amp;D40&amp;"; "&amp;W40&amp;"; "&amp;X40&amp;"; "&amp;Y40&amp;"; "&amp;Z40&amp;"; "&amp;AA40&amp;"; "&amp;AB40&amp;"; "&amp;AC40&amp;"; "&amp;U40)</x:f>
        <x:v>proposal.bio.shell; shell husks / shed plates; resources; molted exoskeleton; raw material; raw; fauna; fabrication; shell / chitin; shell plate; author direction; fiber processing</x:v>
      </x:c>
      <x:c r="AE40" s="4" t="str">
        <x:v>From current item description. Proposed uses retain their existing approval status.</x:v>
      </x:c>
      <x:c r="AF40" s="4" t="str">
        <x:v>T0</x:v>
      </x:c>
      <x:c r="AG40" s="4" t="str">
        <x:v>Raw gathered/recovered craft input under the author T0 framework. This does not imply a naturally occurring pure metal.</x:v>
      </x:c>
      <x:c r="AH40" s="4" t="str">
        <x:v>Not applicable</x:v>
      </x:c>
    </x:row>
    <x:row r="41" ht="66" customHeight="1">
      <x:c r="A41" s="9" t="str">
        <x:v>proposal.bio.tendon</x:v>
      </x:c>
      <x:c r="B41" s="9" t="str">
        <x:v>Dried tendon bundles</x:v>
      </x:c>
      <x:c r="C41" s="9" t="str">
        <x:v>Resources</x:v>
      </x:c>
      <x:c r="D41" s="9" t="str">
        <x:v>Connective tissue</x:v>
      </x:c>
      <x:c r="E41" s="9" t="str">
        <x:v>New proposal</x:v>
      </x:c>
      <x:c r="F41" s="9" t="str">
        <x:v>Cordage and flexible bindings</x:v>
      </x:c>
      <x:c r="G41" s="9" t="str">
        <x:v>None</x:v>
      </x:c>
      <x:c r="H41" s="9" t="str">
        <x:v>Legger / local storage proposed</x:v>
      </x:c>
      <x:c r="I41" s="13"/>
      <x:c r="J41" s="15"/>
      <x:c r="K41" s="9" t="str">
        <x:v>Carcass joints and limb anchors</x:v>
      </x:c>
      <x:c r="L41" s="9" t="str">
        <x:v>See Resource chains</x:v>
      </x:c>
      <x:c r="M41" s="9" t="str">
        <x:v>Not implemented</x:v>
      </x:c>
      <x:c r="N41" s="9" t="str">
        <x:v>No yield numbers. Internal chemistry is mostly toxic to humans; faunal chemicals/liquids can be materials. Anatomy and containment remain unresolved.</x:v>
      </x:c>
      <x:c r="O41" s="22"/>
      <x:c r="P41" s="22"/>
      <x:c r="Q41" s="22"/>
      <x:c r="R41" s="22"/>
      <x:c r="S41" s="22"/>
      <x:c r="T41" s="9" t="str">
        <x:v>Ecology, tissue preservation, safe fiction, processing and final naming</x:v>
      </x:c>
      <x:c r="U41" s="11"/>
      <x:c r="V41" s="9" t="str">
        <x:v>User design direction, October 14, 2026; local brainstorming. New proposal unless explicitly marked User direction.</x:v>
      </x:c>
      <x:c r="W41" s="4" t="str">
        <x:v>Raw material</x:v>
      </x:c>
      <x:c r="X41" s="4" t="str">
        <x:v>Raw</x:v>
      </x:c>
      <x:c r="Y41" s="4" t="str">
        <x:v>Fauna</x:v>
      </x:c>
      <x:c r="Z41" s="4" t="str">
        <x:v>Binding and construction</x:v>
      </x:c>
      <x:c r="AA41" s="4" t="str">
        <x:v>Faunal tissue</x:v>
      </x:c>
      <x:c r="AB41" s="4" t="str">
        <x:v>Bundle</x:v>
      </x:c>
      <x:c r="AC41" s="4" t="str">
        <x:v>Proposal</x:v>
      </x:c>
      <x:c r="AD41" s="4" t="str">
        <x:f>LOWER(A41&amp;"; "&amp;B41&amp;"; "&amp;C41&amp;"; "&amp;D41&amp;"; "&amp;W41&amp;"; "&amp;X41&amp;"; "&amp;Y41&amp;"; "&amp;Z41&amp;"; "&amp;AA41&amp;"; "&amp;AB41&amp;"; "&amp;AC41&amp;"; "&amp;U41)</x:f>
        <x:v>proposal.bio.tendon; dried tendon bundles; resources; connective tissue; raw material; raw; fauna; binding and construction; faunal tissue; bundle; proposal; </x:v>
      </x:c>
      <x:c r="AE41" s="4" t="str">
        <x:v>From current item description. Proposed uses retain their existing approval status.</x:v>
      </x:c>
      <x:c r="AF41" s="4" t="str">
        <x:v>T0</x:v>
      </x:c>
      <x:c r="AG41" s="4" t="str">
        <x:v>Raw gathered/recovered craft input under the author T0 framework. This does not imply a naturally occurring pure metal.</x:v>
      </x:c>
      <x:c r="AH41" s="4" t="str">
        <x:v>Not applicable</x:v>
      </x:c>
    </x:row>
    <x:row r="42" ht="66" customHeight="1">
      <x:c r="A42" s="9" t="str">
        <x:v>proposal.bio.bristles</x:v>
      </x:c>
      <x:c r="B42" s="9" t="str">
        <x:v>Coarse sensory bristles</x:v>
      </x:c>
      <x:c r="C42" s="9" t="str">
        <x:v>Resources</x:v>
      </x:c>
      <x:c r="D42" s="9" t="str">
        <x:v>Dry fibers</x:v>
      </x:c>
      <x:c r="E42" s="9" t="str">
        <x:v>New proposal</x:v>
      </x:c>
      <x:c r="F42" s="9" t="str">
        <x:v>Dust seals, brushes and filter research</x:v>
      </x:c>
      <x:c r="G42" s="9" t="str">
        <x:v>None</x:v>
      </x:c>
      <x:c r="H42" s="9" t="str">
        <x:v>Legger / local storage proposed</x:v>
      </x:c>
      <x:c r="I42" s="13"/>
      <x:c r="J42" s="15"/>
      <x:c r="K42" s="9" t="str">
        <x:v>Shed bristles and carcass brushes</x:v>
      </x:c>
      <x:c r="L42" s="9" t="str">
        <x:v>See Resource chains</x:v>
      </x:c>
      <x:c r="M42" s="9" t="str">
        <x:v>Not implemented</x:v>
      </x:c>
      <x:c r="N42" s="9" t="str">
        <x:v>No yield numbers. Internal chemistry is mostly toxic to humans; faunal chemicals/liquids can be materials. Anatomy and containment remain unresolved.</x:v>
      </x:c>
      <x:c r="O42" s="22"/>
      <x:c r="P42" s="22"/>
      <x:c r="Q42" s="22"/>
      <x:c r="R42" s="22"/>
      <x:c r="S42" s="22"/>
      <x:c r="T42" s="9" t="str">
        <x:v>Ecology, tissue preservation, safe fiction, processing and final naming</x:v>
      </x:c>
      <x:c r="U42" s="11"/>
      <x:c r="V42" s="9" t="str">
        <x:v>User design direction, October 14, 2026; local brainstorming. New proposal unless explicitly marked User direction.</x:v>
      </x:c>
      <x:c r="W42" s="4" t="str">
        <x:v>Raw material</x:v>
      </x:c>
      <x:c r="X42" s="4" t="str">
        <x:v>Raw</x:v>
      </x:c>
      <x:c r="Y42" s="4" t="str">
        <x:v>Fauna</x:v>
      </x:c>
      <x:c r="Z42" s="4" t="str">
        <x:v>Dust exclusion</x:v>
      </x:c>
      <x:c r="AA42" s="4" t="str">
        <x:v>Faunal fiber</x:v>
      </x:c>
      <x:c r="AB42" s="4" t="str">
        <x:v>Fiber</x:v>
      </x:c>
      <x:c r="AC42" s="4" t="str">
        <x:v>Proposal</x:v>
      </x:c>
      <x:c r="AD42" s="4" t="str">
        <x:f>LOWER(A42&amp;"; "&amp;B42&amp;"; "&amp;C42&amp;"; "&amp;D42&amp;"; "&amp;W42&amp;"; "&amp;X42&amp;"; "&amp;Y42&amp;"; "&amp;Z42&amp;"; "&amp;AA42&amp;"; "&amp;AB42&amp;"; "&amp;AC42&amp;"; "&amp;U42)</x:f>
        <x:v>proposal.bio.bristles; coarse sensory bristles; resources; dry fibers; raw material; raw; fauna; dust exclusion; faunal fiber; fiber; proposal; </x:v>
      </x:c>
      <x:c r="AE42" s="4" t="str">
        <x:v>From current item description. Proposed uses retain their existing approval status.</x:v>
      </x:c>
      <x:c r="AF42" s="4" t="str">
        <x:v>T0</x:v>
      </x:c>
      <x:c r="AG42" s="4" t="str">
        <x:v>Raw gathered/recovered craft input under the author T0 framework. This does not imply a naturally occurring pure metal.</x:v>
      </x:c>
      <x:c r="AH42" s="4" t="str">
        <x:v>Not applicable</x:v>
      </x:c>
    </x:row>
    <x:row r="43" ht="66" customHeight="1">
      <x:c r="A43" s="9" t="str">
        <x:v>proposal.bio.underfur</x:v>
      </x:c>
      <x:c r="B43" s="9" t="str">
        <x:v>Shed underfur</x:v>
      </x:c>
      <x:c r="C43" s="9" t="str">
        <x:v>Resources</x:v>
      </x:c>
      <x:c r="D43" s="9" t="str">
        <x:v>Dry fibers</x:v>
      </x:c>
      <x:c r="E43" s="9" t="str">
        <x:v>New proposal</x:v>
      </x:c>
      <x:c r="F43" s="9" t="str">
        <x:v>Raw fur for extremely low-yield material processing.</x:v>
      </x:c>
      <x:c r="G43" s="9" t="str">
        <x:v>None</x:v>
      </x:c>
      <x:c r="H43" s="9" t="str">
        <x:v>Legger / local storage proposed</x:v>
      </x:c>
      <x:c r="I43" s="13"/>
      <x:c r="J43" s="15"/>
      <x:c r="K43" s="9" t="str">
        <x:v>Abandoned resting hollows and natural shedding</x:v>
      </x:c>
      <x:c r="L43" s="9" t="str">
        <x:v>Extremely low usable yield for textile/material processing</x:v>
      </x:c>
      <x:c r="M43" s="9" t="str">
        <x:v>Not implemented</x:v>
      </x:c>
      <x:c r="N43" s="9" t="str">
        <x:v>No cloth. Raw collection amount does not establish processed yield.</x:v>
      </x:c>
      <x:c r="O43" s="22"/>
      <x:c r="P43" s="22"/>
      <x:c r="Q43" s="22"/>
      <x:c r="R43" s="22"/>
      <x:c r="S43" s="22"/>
      <x:c r="T43" s="9" t="str">
        <x:v>Specific fur types and outputs remain proposals; no numeric yield; fashion-crafting input: high sale-value intent; large material/time demand; exact prices and quantities TBD</x:v>
      </x:c>
      <x:c r="U43" s="11"/>
      <x:c r="V43" s="9" t="str">
        <x:v>Docs/WORLD_BASIS.md#material-culture; author direction October 14, 2026. Process details and specific product forms remain unimplemented.</x:v>
      </x:c>
      <x:c r="W43" s="4" t="str">
        <x:v>Raw material</x:v>
      </x:c>
      <x:c r="X43" s="4" t="str">
        <x:v>Raw</x:v>
      </x:c>
      <x:c r="Y43" s="4" t="str">
        <x:v>Fauna</x:v>
      </x:c>
      <x:c r="Z43" s="4" t="str">
        <x:v>Textile processing</x:v>
      </x:c>
      <x:c r="AA43" s="4" t="str">
        <x:v>Fur</x:v>
      </x:c>
      <x:c r="AB43" s="4" t="str">
        <x:v>Fiber</x:v>
      </x:c>
      <x:c r="AC43" s="4" t="str">
        <x:v>Proposal</x:v>
      </x:c>
      <x:c r="AD43" s="4" t="str">
        <x:f>LOWER(A43&amp;"; "&amp;B43&amp;"; "&amp;C43&amp;"; "&amp;D43&amp;"; "&amp;W43&amp;"; "&amp;X43&amp;"; "&amp;Y43&amp;"; "&amp;Z43&amp;"; "&amp;AA43&amp;"; "&amp;AB43&amp;"; "&amp;AC43&amp;"; "&amp;U43)</x:f>
        <x:v>proposal.bio.underfur; shed underfur; resources; dry fibers; raw material; raw; fauna; textile processing; fur; fiber; proposal; </x:v>
      </x:c>
      <x:c r="AE43" s="4" t="str">
        <x:v>From current item description. Proposed uses retain their existing approval status.</x:v>
      </x:c>
      <x:c r="AF43" s="4" t="str">
        <x:v>T0</x:v>
      </x:c>
      <x:c r="AG43" s="4" t="str">
        <x:v>Raw gathered/recovered craft input under the author T0 framework. This does not imply a naturally occurring pure metal.</x:v>
      </x:c>
      <x:c r="AH43" s="4" t="str">
        <x:v>Not applicable</x:v>
      </x:c>
    </x:row>
    <x:row r="44" ht="66" customHeight="1">
      <x:c r="A44" s="9" t="str">
        <x:v>proposal.bio.jaw</x:v>
      </x:c>
      <x:c r="B44" s="9" t="str">
        <x:v>Dense jaw plates</x:v>
      </x:c>
      <x:c r="C44" s="9" t="str">
        <x:v>Resources</x:v>
      </x:c>
      <x:c r="D44" s="9" t="str">
        <x:v>Hard tissue</x:v>
      </x:c>
      <x:c r="E44" s="9" t="str">
        <x:v>New proposal</x:v>
      </x:c>
      <x:c r="F44" s="9" t="str">
        <x:v>Tool edges and wear inserts</x:v>
      </x:c>
      <x:c r="G44" s="9" t="str">
        <x:v>None</x:v>
      </x:c>
      <x:c r="H44" s="9" t="str">
        <x:v>Legger / local storage proposed</x:v>
      </x:c>
      <x:c r="I44" s="13"/>
      <x:c r="J44" s="15"/>
      <x:c r="K44" s="9" t="str">
        <x:v>Carcass chewing and digging mouthparts</x:v>
      </x:c>
      <x:c r="L44" s="9" t="str">
        <x:v>See Resource chains</x:v>
      </x:c>
      <x:c r="M44" s="9" t="str">
        <x:v>Not implemented</x:v>
      </x:c>
      <x:c r="N44" s="9" t="str">
        <x:v>No yield numbers. Internal chemistry is mostly toxic to humans; faunal chemicals/liquids can be materials. Anatomy and containment remain unresolved.</x:v>
      </x:c>
      <x:c r="O44" s="22"/>
      <x:c r="P44" s="22"/>
      <x:c r="Q44" s="22"/>
      <x:c r="R44" s="22"/>
      <x:c r="S44" s="22"/>
      <x:c r="T44" s="9" t="str">
        <x:v>Ecology, tissue preservation, safe fiction, processing and final naming</x:v>
      </x:c>
      <x:c r="U44" s="11"/>
      <x:c r="V44" s="9" t="str">
        <x:v>User design direction, October 14, 2026; local brainstorming. New proposal unless explicitly marked User direction.</x:v>
      </x:c>
      <x:c r="W44" s="4" t="str">
        <x:v>Raw material</x:v>
      </x:c>
      <x:c r="X44" s="4" t="str">
        <x:v>Raw</x:v>
      </x:c>
      <x:c r="Y44" s="4" t="str">
        <x:v>Fauna</x:v>
      </x:c>
      <x:c r="Z44" s="4" t="str">
        <x:v>Tool fabrication</x:v>
      </x:c>
      <x:c r="AA44" s="4" t="str">
        <x:v>Faunal tissue</x:v>
      </x:c>
      <x:c r="AB44" s="4" t="str">
        <x:v>Solid piece</x:v>
      </x:c>
      <x:c r="AC44" s="4" t="str">
        <x:v>Proposal</x:v>
      </x:c>
      <x:c r="AD44" s="4" t="str">
        <x:f>LOWER(A44&amp;"; "&amp;B44&amp;"; "&amp;C44&amp;"; "&amp;D44&amp;"; "&amp;W44&amp;"; "&amp;X44&amp;"; "&amp;Y44&amp;"; "&amp;Z44&amp;"; "&amp;AA44&amp;"; "&amp;AB44&amp;"; "&amp;AC44&amp;"; "&amp;U44)</x:f>
        <x:v>proposal.bio.jaw; dense jaw plates; resources; hard tissue; raw material; raw; fauna; tool fabrication; faunal tissue; solid piece; proposal; </x:v>
      </x:c>
      <x:c r="AE44" s="4" t="str">
        <x:v>From current item description. Proposed uses retain their existing approval status.</x:v>
      </x:c>
      <x:c r="AF44" s="4" t="str">
        <x:v>T0</x:v>
      </x:c>
      <x:c r="AG44" s="4" t="str">
        <x:v>Raw gathered/recovered craft input under the author T0 framework. This does not imply a naturally occurring pure metal.</x:v>
      </x:c>
      <x:c r="AH44" s="4" t="str">
        <x:v>Not applicable</x:v>
      </x:c>
    </x:row>
    <x:row r="45" ht="66" customHeight="1">
      <x:c r="A45" s="9" t="str">
        <x:v>proposal.bio.membrane</x:v>
      </x:c>
      <x:c r="B45" s="9" t="str">
        <x:v>Dried joint membrane</x:v>
      </x:c>
      <x:c r="C45" s="9" t="str">
        <x:v>Resources</x:v>
      </x:c>
      <x:c r="D45" s="9" t="str">
        <x:v>Flexible tissue</x:v>
      </x:c>
      <x:c r="E45" s="9" t="str">
        <x:v>New proposal</x:v>
      </x:c>
      <x:c r="F45" s="9" t="str">
        <x:v>Flexible seals and patch material</x:v>
      </x:c>
      <x:c r="G45" s="9" t="str">
        <x:v>None</x:v>
      </x:c>
      <x:c r="H45" s="9" t="str">
        <x:v>Legger / local storage proposed</x:v>
      </x:c>
      <x:c r="I45" s="13"/>
      <x:c r="J45" s="15"/>
      <x:c r="K45" s="9" t="str">
        <x:v>Carcass limb joints and body folds</x:v>
      </x:c>
      <x:c r="L45" s="9" t="str">
        <x:v>See Resource chains</x:v>
      </x:c>
      <x:c r="M45" s="9" t="str">
        <x:v>Not implemented</x:v>
      </x:c>
      <x:c r="N45" s="9" t="str">
        <x:v>Flexible tissue proposal; does not establish cloth. Processing and preservation remain open.</x:v>
      </x:c>
      <x:c r="O45" s="22"/>
      <x:c r="P45" s="22"/>
      <x:c r="Q45" s="22"/>
      <x:c r="R45" s="22"/>
      <x:c r="S45" s="22"/>
      <x:c r="T45" s="9" t="str">
        <x:v>Ecology, tissue preservation, safe fiction, processing and final naming</x:v>
      </x:c>
      <x:c r="U45" s="11" t="str">
        <x:v>equipment repair</x:v>
      </x:c>
      <x:c r="V45" s="9" t="str">
        <x:v>User design direction, October 14, 2026; local brainstorming. New proposal unless explicitly marked User direction.</x:v>
      </x:c>
      <x:c r="W45" s="4" t="str">
        <x:v>Raw material</x:v>
      </x:c>
      <x:c r="X45" s="4" t="str">
        <x:v>Processed intermediate</x:v>
      </x:c>
      <x:c r="Y45" s="4" t="str">
        <x:v>Fauna</x:v>
      </x:c>
      <x:c r="Z45" s="4" t="str">
        <x:v>Sealing</x:v>
      </x:c>
      <x:c r="AA45" s="4" t="str">
        <x:v>Faunal membrane</x:v>
      </x:c>
      <x:c r="AB45" s="4" t="str">
        <x:v>Sheet</x:v>
      </x:c>
      <x:c r="AC45" s="4" t="str">
        <x:v>Proposal</x:v>
      </x:c>
      <x:c r="AD45" s="4" t="str">
        <x:f>LOWER(A45&amp;"; "&amp;B45&amp;"; "&amp;C45&amp;"; "&amp;D45&amp;"; "&amp;W45&amp;"; "&amp;X45&amp;"; "&amp;Y45&amp;"; "&amp;Z45&amp;"; "&amp;AA45&amp;"; "&amp;AB45&amp;"; "&amp;AC45&amp;"; "&amp;U45)</x:f>
        <x:v>proposal.bio.membrane; dried joint membrane; resources; flexible tissue; raw material; processed intermediate; fauna; sealing; faunal membrane; sheet; proposal; equipment repair</x:v>
      </x:c>
      <x:c r="AE45" s="4" t="str">
        <x:v>From current item description. Proposed uses retain their existing approval status.</x:v>
      </x:c>
      <x:c r="AF45" s="4" t="str">
        <x:v>T0</x:v>
      </x:c>
      <x:c r="AG45" s="4" t="str">
        <x:v>Proposed raw-feed reading of gathered dried membrane; preprocessing detail is unresolved.</x:v>
      </x:c>
      <x:c r="AH45" s="4" t="str">
        <x:v>Not applicable</x:v>
      </x:c>
    </x:row>
    <x:row r="46" ht="66" customHeight="1">
      <x:c r="A46" s="9" t="str">
        <x:v>proposal.bio.fat</x:v>
      </x:c>
      <x:c r="B46" s="9" t="str">
        <x:v>Unverified fat-like tissue concept</x:v>
      </x:c>
      <x:c r="C46" s="9" t="str">
        <x:v>Resources</x:v>
      </x:c>
      <x:c r="D46" s="9" t="str">
        <x:v>Perishable tissue</x:v>
      </x:c>
      <x:c r="E46" s="9" t="str">
        <x:v>Needs lore anatomy review</x:v>
      </x:c>
      <x:c r="F46" s="9" t="str">
        <x:v>Earlier conventional-fat assumption withheld pending Burden Beasts anatomy review.</x:v>
      </x:c>
      <x:c r="G46" s="9" t="str">
        <x:v>None</x:v>
      </x:c>
      <x:c r="H46" s="9" t="str">
        <x:v>Legger / local storage proposed</x:v>
      </x:c>
      <x:c r="I46" s="13"/>
      <x:c r="J46" s="15"/>
      <x:c r="K46" s="9" t="str">
        <x:v>No validated species or anatomy source</x:v>
      </x:c>
      <x:c r="L46" s="9" t="str">
        <x:v>Prior wax/lubricant route is a conditional proposal only</x:v>
      </x:c>
      <x:c r="M46" s="9" t="str">
        <x:v>Not implemented</x:v>
      </x:c>
      <x:c r="N46" s="9" t="str">
        <x:v>Most fauna lacks traditional flesh; conventional mammalian fat cannot be assumed. Not an established food.</x:v>
      </x:c>
      <x:c r="O46" s="22"/>
      <x:c r="P46" s="22"/>
      <x:c r="Q46" s="22"/>
      <x:c r="R46" s="22"/>
      <x:c r="S46" s="22"/>
      <x:c r="T46" s="9" t="str">
        <x:v>Review actual Burden Beasts anatomy before assigning tissue properties</x:v>
      </x:c>
      <x:c r="U46" s="11"/>
      <x:c r="V46" s="9" t="str">
        <x:v>Docs/WORLD_BASIS.md#faunal-biology-and-material-use; direct author direction October 14, 2026. Related source anatomy proposals now accessible at f6f98515; this item awaits reconciliation; identities and processing remain undefined.</x:v>
      </x:c>
      <x:c r="W46" s="4" t="str">
        <x:v>Raw material</x:v>
      </x:c>
      <x:c r="X46" s="4" t="str">
        <x:v>Unresolved</x:v>
      </x:c>
      <x:c r="Y46" s="4" t="str">
        <x:v>Fauna</x:v>
      </x:c>
      <x:c r="Z46" s="4" t="str">
        <x:v>Use unresolved</x:v>
      </x:c>
      <x:c r="AA46" s="4" t="str">
        <x:v>Unresolved</x:v>
      </x:c>
      <x:c r="AB46" s="4" t="str">
        <x:v>Unresolved</x:v>
      </x:c>
      <x:c r="AC46" s="4" t="str">
        <x:v>Withheld assumption</x:v>
      </x:c>
      <x:c r="AD46" s="4" t="str">
        <x:f>LOWER(A46&amp;"; "&amp;B46&amp;"; "&amp;C46&amp;"; "&amp;D46&amp;"; "&amp;W46&amp;"; "&amp;X46&amp;"; "&amp;Y46&amp;"; "&amp;Z46&amp;"; "&amp;AA46&amp;"; "&amp;AB46&amp;"; "&amp;AC46&amp;"; "&amp;U46)</x:f>
        <x:v>proposal.bio.fat; unverified fat-like tissue concept; resources; perishable tissue; raw material; unresolved; fauna; use unresolved; unresolved; unresolved; withheld assumption; </x:v>
      </x:c>
      <x:c r="AE46" s="4" t="str">
        <x:v>From current item description. Proposed uses retain their existing approval status.</x:v>
      </x:c>
      <x:c r="AF46" s="4" t="str">
        <x:v>Unassigned</x:v>
      </x:c>
      <x:c r="AG46" s="4" t="str">
        <x:v>Tier requires a chosen production route; recovered ancient material is not automatically T4.</x:v>
      </x:c>
      <x:c r="AH46" s="4" t="str">
        <x:v>Unassigned</x:v>
      </x:c>
    </x:row>
    <x:row r="47" ht="66" customHeight="1">
      <x:c r="A47" s="9" t="str">
        <x:v>proposal.bio.organ</x:v>
      </x:c>
      <x:c r="B47" s="9" t="str">
        <x:v>Charge-organ tissue</x:v>
      </x:c>
      <x:c r="C47" s="9" t="str">
        <x:v>Resources</x:v>
      </x:c>
      <x:c r="D47" s="9" t="str">
        <x:v>Specialized tissue</x:v>
      </x:c>
      <x:c r="E47" s="9" t="str">
        <x:v>New proposal</x:v>
      </x:c>
      <x:c r="F47" s="9" t="str">
        <x:v>Dry electrode scaffold research, not bottled electricity</x:v>
      </x:c>
      <x:c r="G47" s="9" t="str">
        <x:v>None</x:v>
      </x:c>
      <x:c r="H47" s="9" t="str">
        <x:v>Legger / local storage proposed</x:v>
      </x:c>
      <x:c r="I47" s="13"/>
      <x:c r="J47" s="15"/>
      <x:c r="K47" s="9" t="str">
        <x:v>Rare storm-adapted fauna; anatomy provisional</x:v>
      </x:c>
      <x:c r="L47" s="9" t="str">
        <x:v>See Resource chains</x:v>
      </x:c>
      <x:c r="M47" s="9" t="str">
        <x:v>Not implemented</x:v>
      </x:c>
      <x:c r="N47" s="9" t="str">
        <x:v>No yield numbers. Internal chemistry is mostly toxic to humans; faunal chemicals/liquids can be materials. Anatomy and containment remain unresolved.</x:v>
      </x:c>
      <x:c r="O47" s="22"/>
      <x:c r="P47" s="22"/>
      <x:c r="Q47" s="22"/>
      <x:c r="R47" s="22"/>
      <x:c r="S47" s="22"/>
      <x:c r="T47" s="9" t="str">
        <x:v>Ecology, tissue preservation, safe fiction, processing and final naming</x:v>
      </x:c>
      <x:c r="U47" s="11"/>
      <x:c r="V47" s="9" t="str">
        <x:v>User design direction, October 14, 2026; local brainstorming. New proposal unless explicitly marked User direction.</x:v>
      </x:c>
      <x:c r="W47" s="4" t="str">
        <x:v>Raw material</x:v>
      </x:c>
      <x:c r="X47" s="4" t="str">
        <x:v>Raw</x:v>
      </x:c>
      <x:c r="Y47" s="4" t="str">
        <x:v>Fauna</x:v>
      </x:c>
      <x:c r="Z47" s="4" t="str">
        <x:v>Electrical work</x:v>
      </x:c>
      <x:c r="AA47" s="4" t="str">
        <x:v>Faunal tissue</x:v>
      </x:c>
      <x:c r="AB47" s="4" t="str">
        <x:v>Solid piece</x:v>
      </x:c>
      <x:c r="AC47" s="4" t="str">
        <x:v>Proposal</x:v>
      </x:c>
      <x:c r="AD47" s="4" t="str">
        <x:f>LOWER(A47&amp;"; "&amp;B47&amp;"; "&amp;C47&amp;"; "&amp;D47&amp;"; "&amp;W47&amp;"; "&amp;X47&amp;"; "&amp;Y47&amp;"; "&amp;Z47&amp;"; "&amp;AA47&amp;"; "&amp;AB47&amp;"; "&amp;AC47&amp;"; "&amp;U47)</x:f>
        <x:v>proposal.bio.organ; charge-organ tissue; resources; specialized tissue; raw material; raw; fauna; electrical work; faunal tissue; solid piece; proposal; </x:v>
      </x:c>
      <x:c r="AE47" s="4" t="str">
        <x:v>From current item description. Proposed uses retain their existing approval status.</x:v>
      </x:c>
      <x:c r="AF47" s="4" t="str">
        <x:v>T0</x:v>
      </x:c>
      <x:c r="AG47" s="4" t="str">
        <x:v>Raw gathered/recovered craft input under the author T0 framework. This does not imply a naturally occurring pure metal.</x:v>
      </x:c>
      <x:c r="AH47" s="4" t="str">
        <x:v>Not applicable</x:v>
      </x:c>
    </x:row>
    <x:row r="48" ht="66" customHeight="1">
      <x:c r="A48" s="9" t="str">
        <x:v>proposal.bio.laminate</x:v>
      </x:c>
      <x:c r="B48" s="9" t="str">
        <x:v>Shell laminate</x:v>
      </x:c>
      <x:c r="C48" s="9" t="str">
        <x:v>Crafting components</x:v>
      </x:c>
      <x:c r="D48" s="9" t="str">
        <x:v>Processed biological</x:v>
      </x:c>
      <x:c r="E48" s="9" t="str">
        <x:v>New proposal</x:v>
      </x:c>
      <x:c r="F48" s="9" t="str">
        <x:v>Light armor panels and impact guards</x:v>
      </x:c>
      <x:c r="G48" s="9" t="str">
        <x:v>None</x:v>
      </x:c>
      <x:c r="H48" s="9" t="str">
        <x:v>Legger / local storage proposed</x:v>
      </x:c>
      <x:c r="I48" s="13"/>
      <x:c r="J48" s="15"/>
      <x:c r="K48" s="9" t="str">
        <x:v>Process shell</x:v>
      </x:c>
      <x:c r="L48" s="9" t="str">
        <x:v>Trim, layer and bind dry plates</x:v>
      </x:c>
      <x:c r="M48" s="9" t="str">
        <x:v>Not implemented</x:v>
      </x:c>
      <x:c r="N48" s="9" t="str">
        <x:v>Speculative material capability; no effects or real processing instructions established.</x:v>
      </x:c>
      <x:c r="O48" s="22"/>
      <x:c r="P48" s="22"/>
      <x:c r="Q48" s="22"/>
      <x:c r="R48" s="22"/>
      <x:c r="S48" s="22"/>
      <x:c r="T48" s="9" t="str">
        <x:v>Material properties, additives, station, balance and world-rule compatibility</x:v>
      </x:c>
      <x:c r="U48" s="11"/>
      <x:c r="V48" s="9" t="str">
        <x:v>User design direction, October 14, 2026; local brainstorming. New proposal unless explicitly marked User direction.</x:v>
      </x:c>
      <x:c r="W48" s="4" t="str">
        <x:v>Crafting component</x:v>
      </x:c>
      <x:c r="X48" s="4" t="str">
        <x:v>Processed intermediate</x:v>
      </x:c>
      <x:c r="Y48" s="4" t="str">
        <x:v>Fauna</x:v>
      </x:c>
      <x:c r="Z48" s="4" t="str">
        <x:v>Protective fabrication</x:v>
      </x:c>
      <x:c r="AA48" s="4" t="str">
        <x:v>Shell / chitin</x:v>
      </x:c>
      <x:c r="AB48" s="4" t="str">
        <x:v>Panel</x:v>
      </x:c>
      <x:c r="AC48" s="4" t="str">
        <x:v>Proposal</x:v>
      </x:c>
      <x:c r="AD48" s="4" t="str">
        <x:f>LOWER(A48&amp;"; "&amp;B48&amp;"; "&amp;C48&amp;"; "&amp;D48&amp;"; "&amp;W48&amp;"; "&amp;X48&amp;"; "&amp;Y48&amp;"; "&amp;Z48&amp;"; "&amp;AA48&amp;"; "&amp;AB48&amp;"; "&amp;AC48&amp;"; "&amp;U48)</x:f>
        <x:v>proposal.bio.laminate; shell laminate; crafting components; processed biological; crafting component; processed intermediate; fauna; protective fabrication; shell / chitin; panel; proposal; </x:v>
      </x:c>
      <x:c r="AE48" s="4" t="str">
        <x:v>From current item description. Proposed uses retain their existing approval status.</x:v>
      </x:c>
      <x:c r="AF48" s="4" t="str">
        <x:v>T2</x:v>
      </x:c>
      <x:c r="AG48" s="4" t="str">
        <x:v>Proposed game manufacturing tier from the candidate routes. Integrated operations may contain many work steps.</x:v>
      </x:c>
      <x:c r="AH48" s="4" t="str">
        <x:v>Not applicable</x:v>
      </x:c>
    </x:row>
    <x:row r="49" ht="66" customHeight="1">
      <x:c r="A49" s="9" t="str">
        <x:v>proposal.bio.cord</x:v>
      </x:c>
      <x:c r="B49" s="9" t="str">
        <x:v>Tendon cord</x:v>
      </x:c>
      <x:c r="C49" s="9" t="str">
        <x:v>Crafting components</x:v>
      </x:c>
      <x:c r="D49" s="9" t="str">
        <x:v>Processed biological</x:v>
      </x:c>
      <x:c r="E49" s="9" t="str">
        <x:v>New proposal</x:v>
      </x:c>
      <x:c r="F49" s="9" t="str">
        <x:v>Tool lashings and field repairs</x:v>
      </x:c>
      <x:c r="G49" s="9" t="str">
        <x:v>None</x:v>
      </x:c>
      <x:c r="H49" s="9" t="str">
        <x:v>Legger / local storage proposed</x:v>
      </x:c>
      <x:c r="I49" s="13"/>
      <x:c r="J49" s="15"/>
      <x:c r="K49" s="9" t="str">
        <x:v>Process tendon</x:v>
      </x:c>
      <x:c r="L49" s="9" t="str">
        <x:v>Dry, split, twist and bind</x:v>
      </x:c>
      <x:c r="M49" s="9" t="str">
        <x:v>Not implemented</x:v>
      </x:c>
      <x:c r="N49" s="9" t="str">
        <x:v>Speculative material capability; no effects or real processing instructions established.</x:v>
      </x:c>
      <x:c r="O49" s="22"/>
      <x:c r="P49" s="22"/>
      <x:c r="Q49" s="22"/>
      <x:c r="R49" s="22"/>
      <x:c r="S49" s="22"/>
      <x:c r="T49" s="9" t="str">
        <x:v>Material properties, additives, station, balance and world-rule compatibility</x:v>
      </x:c>
      <x:c r="U49" s="11" t="str">
        <x:v>equipment repair</x:v>
      </x:c>
      <x:c r="V49" s="9" t="str">
        <x:v>User design direction, October 14, 2026; local brainstorming. New proposal unless explicitly marked User direction.</x:v>
      </x:c>
      <x:c r="W49" s="4" t="str">
        <x:v>Crafting component</x:v>
      </x:c>
      <x:c r="X49" s="4" t="str">
        <x:v>Processed intermediate</x:v>
      </x:c>
      <x:c r="Y49" s="4" t="str">
        <x:v>Fauna</x:v>
      </x:c>
      <x:c r="Z49" s="4" t="str">
        <x:v>Binding and construction</x:v>
      </x:c>
      <x:c r="AA49" s="4" t="str">
        <x:v>Faunal tissue</x:v>
      </x:c>
      <x:c r="AB49" s="4" t="str">
        <x:v>Cord</x:v>
      </x:c>
      <x:c r="AC49" s="4" t="str">
        <x:v>Proposal</x:v>
      </x:c>
      <x:c r="AD49" s="4" t="str">
        <x:f>LOWER(A49&amp;"; "&amp;B49&amp;"; "&amp;C49&amp;"; "&amp;D49&amp;"; "&amp;W49&amp;"; "&amp;X49&amp;"; "&amp;Y49&amp;"; "&amp;Z49&amp;"; "&amp;AA49&amp;"; "&amp;AB49&amp;"; "&amp;AC49&amp;"; "&amp;U49)</x:f>
        <x:v>proposal.bio.cord; tendon cord; crafting components; processed biological; crafting component; processed intermediate; fauna; binding and construction; faunal tissue; cord; proposal; equipment repair</x:v>
      </x:c>
      <x:c r="AE49" s="4" t="str">
        <x:v>From current item description. Proposed uses retain their existing approval status.</x:v>
      </x:c>
      <x:c r="AF49" s="4" t="str">
        <x:v>T1</x:v>
      </x:c>
      <x:c r="AG49" s="4" t="str">
        <x:v>Proposed game manufacturing tier from the candidate routes. Integrated operations may contain many work steps.</x:v>
      </x:c>
      <x:c r="AH49" s="4" t="str">
        <x:v>Not applicable</x:v>
      </x:c>
    </x:row>
    <x:row r="50" ht="66" customHeight="1">
      <x:c r="A50" s="9" t="str">
        <x:v>proposal.bio.brush</x:v>
      </x:c>
      <x:c r="B50" s="9" t="str">
        <x:v>Bristle brush strips</x:v>
      </x:c>
      <x:c r="C50" s="9" t="str">
        <x:v>Crafting components</x:v>
      </x:c>
      <x:c r="D50" s="9" t="str">
        <x:v>Processed biological</x:v>
      </x:c>
      <x:c r="E50" s="9" t="str">
        <x:v>New proposal</x:v>
      </x:c>
      <x:c r="F50" s="9" t="str">
        <x:v>Dust exclusion at joints and equipment closures</x:v>
      </x:c>
      <x:c r="G50" s="9" t="str">
        <x:v>None</x:v>
      </x:c>
      <x:c r="H50" s="9" t="str">
        <x:v>Legger / local storage proposed</x:v>
      </x:c>
      <x:c r="I50" s="13"/>
      <x:c r="J50" s="15"/>
      <x:c r="K50" s="9" t="str">
        <x:v>Process bristles</x:v>
      </x:c>
      <x:c r="L50" s="9" t="str">
        <x:v>Sort fibers and bind into a backing</x:v>
      </x:c>
      <x:c r="M50" s="9" t="str">
        <x:v>Not implemented</x:v>
      </x:c>
      <x:c r="N50" s="9" t="str">
        <x:v>Speculative material capability; no effects or real processing instructions established.</x:v>
      </x:c>
      <x:c r="O50" s="22"/>
      <x:c r="P50" s="22"/>
      <x:c r="Q50" s="22"/>
      <x:c r="R50" s="22"/>
      <x:c r="S50" s="22"/>
      <x:c r="T50" s="9" t="str">
        <x:v>Material properties, additives, station, balance and world-rule compatibility</x:v>
      </x:c>
      <x:c r="U50" s="11"/>
      <x:c r="V50" s="9" t="str">
        <x:v>User design direction, October 14, 2026; local brainstorming. New proposal unless explicitly marked User direction.</x:v>
      </x:c>
      <x:c r="W50" s="4" t="str">
        <x:v>Crafting component</x:v>
      </x:c>
      <x:c r="X50" s="4" t="str">
        <x:v>Processed intermediate</x:v>
      </x:c>
      <x:c r="Y50" s="4" t="str">
        <x:v>Fauna</x:v>
      </x:c>
      <x:c r="Z50" s="4" t="str">
        <x:v>Dust exclusion</x:v>
      </x:c>
      <x:c r="AA50" s="4" t="str">
        <x:v>Faunal fiber</x:v>
      </x:c>
      <x:c r="AB50" s="4" t="str">
        <x:v>Strip</x:v>
      </x:c>
      <x:c r="AC50" s="4" t="str">
        <x:v>Proposal</x:v>
      </x:c>
      <x:c r="AD50" s="4" t="str">
        <x:f>LOWER(A50&amp;"; "&amp;B50&amp;"; "&amp;C50&amp;"; "&amp;D50&amp;"; "&amp;W50&amp;"; "&amp;X50&amp;"; "&amp;Y50&amp;"; "&amp;Z50&amp;"; "&amp;AA50&amp;"; "&amp;AB50&amp;"; "&amp;AC50&amp;"; "&amp;U50)</x:f>
        <x:v>proposal.bio.brush; bristle brush strips; crafting components; processed biological; crafting component; processed intermediate; fauna; dust exclusion; faunal fiber; strip; proposal; </x:v>
      </x:c>
      <x:c r="AE50" s="4" t="str">
        <x:v>From current item description. Proposed uses retain their existing approval status.</x:v>
      </x:c>
      <x:c r="AF50" s="4" t="str">
        <x:v>Unassigned</x:v>
      </x:c>
      <x:c r="AG50" s="4" t="str">
        <x:v>Choose a material/part route before assigning a tier. Processing-stage labels alone do not prove chain depth.</x:v>
      </x:c>
      <x:c r="AH50" s="4" t="str">
        <x:v>Not applicable</x:v>
      </x:c>
    </x:row>
    <x:row r="51" ht="66" customHeight="1">
      <x:c r="A51" s="9" t="str">
        <x:v>proposal.bio.liner</x:v>
      </x:c>
      <x:c r="B51" s="9" t="str">
        <x:v>Pressed fur-fiber material</x:v>
      </x:c>
      <x:c r="C51" s="9" t="str">
        <x:v>Crafting components</x:v>
      </x:c>
      <x:c r="D51" s="9" t="str">
        <x:v>Processed biological</x:v>
      </x:c>
      <x:c r="E51" s="9" t="str">
        <x:v>New proposal</x:v>
      </x:c>
      <x:c r="F51" s="9" t="str">
        <x:v>Candidate scarce pressed material; former liner proposal requires reassessment.</x:v>
      </x:c>
      <x:c r="G51" s="9" t="str">
        <x:v>None</x:v>
      </x:c>
      <x:c r="H51" s="9" t="str">
        <x:v>Legger / local storage proposed</x:v>
      </x:c>
      <x:c r="I51" s="13"/>
      <x:c r="J51" s="15"/>
      <x:c r="K51" s="9" t="str">
        <x:v>Process underfur</x:v>
      </x:c>
      <x:c r="L51" s="9" t="str">
        <x:v>Very low-yield fur processing; pressing/finish details unapproved</x:v>
      </x:c>
      <x:c r="M51" s="9" t="str">
        <x:v>Not implemented</x:v>
      </x:c>
      <x:c r="N51" s="9" t="str">
        <x:v>Extremely low usable yield. No cloth or routine clothing-liner supply implied.</x:v>
      </x:c>
      <x:c r="O51" s="22"/>
      <x:c r="P51" s="22"/>
      <x:c r="Q51" s="22"/>
      <x:c r="R51" s="22"/>
      <x:c r="S51" s="22"/>
      <x:c r="T51" s="9" t="str">
        <x:v>Product form and garment use remain proposals; old felted-liner assumption superseded; fashion-crafting input: high sale-value intent; large material/time demand; exact prices and quantities TBD</x:v>
      </x:c>
      <x:c r="U51" s="11"/>
      <x:c r="V51" s="9" t="str">
        <x:v>Docs/WORLD_BASIS.md#material-culture; author direction October 14, 2026. Process details and specific product forms remain unimplemented.</x:v>
      </x:c>
      <x:c r="W51" s="4" t="str">
        <x:v>Processed material</x:v>
      </x:c>
      <x:c r="X51" s="4" t="str">
        <x:v>Processed intermediate</x:v>
      </x:c>
      <x:c r="Y51" s="4" t="str">
        <x:v>Fauna</x:v>
      </x:c>
      <x:c r="Z51" s="4" t="str">
        <x:v>Textile processing</x:v>
      </x:c>
      <x:c r="AA51" s="4" t="str">
        <x:v>Fur</x:v>
      </x:c>
      <x:c r="AB51" s="4" t="str">
        <x:v>Unresolved</x:v>
      </x:c>
      <x:c r="AC51" s="4" t="str">
        <x:v>Proposal</x:v>
      </x:c>
      <x:c r="AD51" s="4" t="str">
        <x:f>LOWER(A51&amp;"; "&amp;B51&amp;"; "&amp;C51&amp;"; "&amp;D51&amp;"; "&amp;W51&amp;"; "&amp;X51&amp;"; "&amp;Y51&amp;"; "&amp;Z51&amp;"; "&amp;AA51&amp;"; "&amp;AB51&amp;"; "&amp;AC51&amp;"; "&amp;U51)</x:f>
        <x:v>proposal.bio.liner; pressed fur-fiber material; crafting components; processed biological; processed material; processed intermediate; fauna; textile processing; fur; unresolved; proposal; </x:v>
      </x:c>
      <x:c r="AE51" s="4" t="str">
        <x:v>From current item description. Proposed uses retain their existing approval status.</x:v>
      </x:c>
      <x:c r="AF51" s="4" t="str">
        <x:v>T1</x:v>
      </x:c>
      <x:c r="AG51" s="4" t="str">
        <x:v>Proposed game manufacturing tier from the candidate routes. Integrated operations may contain many work steps.</x:v>
      </x:c>
      <x:c r="AH51" s="4" t="str">
        <x:v>Not applicable</x:v>
      </x:c>
    </x:row>
    <x:row r="52" ht="66" customHeight="1">
      <x:c r="A52" s="9" t="str">
        <x:v>proposal.bio.insert</x:v>
      </x:c>
      <x:c r="B52" s="9" t="str">
        <x:v>Jaw cutting insert</x:v>
      </x:c>
      <x:c r="C52" s="9" t="str">
        <x:v>Crafting components</x:v>
      </x:c>
      <x:c r="D52" s="9" t="str">
        <x:v>Processed biological</x:v>
      </x:c>
      <x:c r="E52" s="9" t="str">
        <x:v>New proposal</x:v>
      </x:c>
      <x:c r="F52" s="9" t="str">
        <x:v>Replaceable excavation-tool wear part</x:v>
      </x:c>
      <x:c r="G52" s="9" t="str">
        <x:v>None</x:v>
      </x:c>
      <x:c r="H52" s="9" t="str">
        <x:v>Legger / local storage proposed</x:v>
      </x:c>
      <x:c r="I52" s="13"/>
      <x:c r="J52" s="15"/>
      <x:c r="K52" s="9" t="str">
        <x:v>Process jaw</x:v>
      </x:c>
      <x:c r="L52" s="9" t="str">
        <x:v>Cut and grind dense tissue</x:v>
      </x:c>
      <x:c r="M52" s="9" t="str">
        <x:v>Not implemented</x:v>
      </x:c>
      <x:c r="N52" s="9" t="str">
        <x:v>Speculative material capability; no effects or real processing instructions established.</x:v>
      </x:c>
      <x:c r="O52" s="22"/>
      <x:c r="P52" s="22"/>
      <x:c r="Q52" s="22"/>
      <x:c r="R52" s="22"/>
      <x:c r="S52" s="22"/>
      <x:c r="T52" s="9" t="str">
        <x:v>Material properties, additives, station, balance and world-rule compatibility</x:v>
      </x:c>
      <x:c r="U52" s="11"/>
      <x:c r="V52" s="9" t="str">
        <x:v>User design direction, October 14, 2026; local brainstorming. New proposal unless explicitly marked User direction.</x:v>
      </x:c>
      <x:c r="W52" s="4" t="str">
        <x:v>Crafting component</x:v>
      </x:c>
      <x:c r="X52" s="4" t="str">
        <x:v>Processed intermediate</x:v>
      </x:c>
      <x:c r="Y52" s="4" t="str">
        <x:v>Fauna</x:v>
      </x:c>
      <x:c r="Z52" s="4" t="str">
        <x:v>Tool fabrication</x:v>
      </x:c>
      <x:c r="AA52" s="4" t="str">
        <x:v>Faunal tissue</x:v>
      </x:c>
      <x:c r="AB52" s="4" t="str">
        <x:v>Solid part</x:v>
      </x:c>
      <x:c r="AC52" s="4" t="str">
        <x:v>Proposal</x:v>
      </x:c>
      <x:c r="AD52" s="4" t="str">
        <x:f>LOWER(A52&amp;"; "&amp;B52&amp;"; "&amp;C52&amp;"; "&amp;D52&amp;"; "&amp;W52&amp;"; "&amp;X52&amp;"; "&amp;Y52&amp;"; "&amp;Z52&amp;"; "&amp;AA52&amp;"; "&amp;AB52&amp;"; "&amp;AC52&amp;"; "&amp;U52)</x:f>
        <x:v>proposal.bio.insert; jaw cutting insert; crafting components; processed biological; crafting component; processed intermediate; fauna; tool fabrication; faunal tissue; solid part; proposal; </x:v>
      </x:c>
      <x:c r="AE52" s="4" t="str">
        <x:v>From current item description. Proposed uses retain their existing approval status.</x:v>
      </x:c>
      <x:c r="AF52" s="4" t="str">
        <x:v>Unassigned</x:v>
      </x:c>
      <x:c r="AG52" s="4" t="str">
        <x:v>Choose a material/part route before assigning a tier. Processing-stage labels alone do not prove chain depth.</x:v>
      </x:c>
      <x:c r="AH52" s="4" t="str">
        <x:v>Not applicable</x:v>
      </x:c>
    </x:row>
    <x:row r="53" ht="66" customHeight="1">
      <x:c r="A53" s="9" t="str">
        <x:v>proposal.bio.seal</x:v>
      </x:c>
      <x:c r="B53" s="9" t="str">
        <x:v>Membrane seal patches</x:v>
      </x:c>
      <x:c r="C53" s="9" t="str">
        <x:v>Crafting components</x:v>
      </x:c>
      <x:c r="D53" s="9" t="str">
        <x:v>Processed biological</x:v>
      </x:c>
      <x:c r="E53" s="9" t="str">
        <x:v>New proposal</x:v>
      </x:c>
      <x:c r="F53" s="9" t="str">
        <x:v>Flexible equipment repairs</x:v>
      </x:c>
      <x:c r="G53" s="9" t="str">
        <x:v>None</x:v>
      </x:c>
      <x:c r="H53" s="9" t="str">
        <x:v>Legger / local storage proposed</x:v>
      </x:c>
      <x:c r="I53" s="13"/>
      <x:c r="J53" s="15"/>
      <x:c r="K53" s="9" t="str">
        <x:v>Process membrane</x:v>
      </x:c>
      <x:c r="L53" s="9" t="str">
        <x:v>Dry preserve, cut and laminate</x:v>
      </x:c>
      <x:c r="M53" s="9" t="str">
        <x:v>Not implemented</x:v>
      </x:c>
      <x:c r="N53" s="9" t="str">
        <x:v>Speculative material capability; no effects or real processing instructions established.</x:v>
      </x:c>
      <x:c r="O53" s="22"/>
      <x:c r="P53" s="22"/>
      <x:c r="Q53" s="22"/>
      <x:c r="R53" s="22"/>
      <x:c r="S53" s="22"/>
      <x:c r="T53" s="9" t="str">
        <x:v>Material properties, additives, station, balance and world-rule compatibility</x:v>
      </x:c>
      <x:c r="U53" s="11" t="str">
        <x:v>equipment repair</x:v>
      </x:c>
      <x:c r="V53" s="9" t="str">
        <x:v>User design direction, October 14, 2026; local brainstorming. New proposal unless explicitly marked User direction.</x:v>
      </x:c>
      <x:c r="W53" s="4" t="str">
        <x:v>Crafting component</x:v>
      </x:c>
      <x:c r="X53" s="4" t="str">
        <x:v>Processed intermediate</x:v>
      </x:c>
      <x:c r="Y53" s="4" t="str">
        <x:v>Fauna</x:v>
      </x:c>
      <x:c r="Z53" s="4" t="str">
        <x:v>Sealing</x:v>
      </x:c>
      <x:c r="AA53" s="4" t="str">
        <x:v>Faunal membrane</x:v>
      </x:c>
      <x:c r="AB53" s="4" t="str">
        <x:v>Patch</x:v>
      </x:c>
      <x:c r="AC53" s="4" t="str">
        <x:v>Proposal</x:v>
      </x:c>
      <x:c r="AD53" s="4" t="str">
        <x:f>LOWER(A53&amp;"; "&amp;B53&amp;"; "&amp;C53&amp;"; "&amp;D53&amp;"; "&amp;W53&amp;"; "&amp;X53&amp;"; "&amp;Y53&amp;"; "&amp;Z53&amp;"; "&amp;AA53&amp;"; "&amp;AB53&amp;"; "&amp;AC53&amp;"; "&amp;U53)</x:f>
        <x:v>proposal.bio.seal; membrane seal patches; crafting components; processed biological; crafting component; processed intermediate; fauna; sealing; faunal membrane; patch; proposal; equipment repair</x:v>
      </x:c>
      <x:c r="AE53" s="4" t="str">
        <x:v>From current item description. Proposed uses retain their existing approval status.</x:v>
      </x:c>
      <x:c r="AF53" s="4" t="str">
        <x:v>T1</x:v>
      </x:c>
      <x:c r="AG53" s="4" t="str">
        <x:v>Proposed game manufacturing tier from the candidate routes. Integrated operations may contain many work steps.</x:v>
      </x:c>
      <x:c r="AH53" s="4" t="str">
        <x:v>Not applicable</x:v>
      </x:c>
    </x:row>
    <x:row r="54" ht="66" customHeight="1">
      <x:c r="A54" s="9" t="str">
        <x:v>proposal.bio.wax</x:v>
      </x:c>
      <x:c r="B54" s="9" t="str">
        <x:v>Solid biological wax</x:v>
      </x:c>
      <x:c r="C54" s="9" t="str">
        <x:v>Crafting components</x:v>
      </x:c>
      <x:c r="D54" s="9" t="str">
        <x:v>Processed biological</x:v>
      </x:c>
      <x:c r="E54" s="9" t="str">
        <x:v>Needs lore anatomy review</x:v>
      </x:c>
      <x:c r="F54" s="9" t="str">
        <x:v>Conditional solid biological product; the earlier fat precursor is unverified.</x:v>
      </x:c>
      <x:c r="G54" s="9" t="str">
        <x:v>None</x:v>
      </x:c>
      <x:c r="H54" s="9" t="str">
        <x:v>Legger / local storage proposed</x:v>
      </x:c>
      <x:c r="I54" s="13"/>
      <x:c r="J54" s="15"/>
      <x:c r="K54" s="9" t="str">
        <x:v>Precursor and conversion await anatomy review</x:v>
      </x:c>
      <x:c r="L54" s="9" t="str">
        <x:v>Potential sealing/lubricant use remains a proposal</x:v>
      </x:c>
      <x:c r="M54" s="9" t="str">
        <x:v>Not implemented</x:v>
      </x:c>
      <x:c r="N54" s="9" t="str">
        <x:v>No approved fat source, chemical identity or conversion. Not an established material property.</x:v>
      </x:c>
      <x:c r="O54" s="22"/>
      <x:c r="P54" s="22"/>
      <x:c r="Q54" s="22"/>
      <x:c r="R54" s="22"/>
      <x:c r="S54" s="22"/>
      <x:c r="T54" s="9" t="str">
        <x:v>Review precursor and chemistry against Burden Beasts anatomy</x:v>
      </x:c>
      <x:c r="U54" s="11"/>
      <x:c r="V54" s="9" t="str">
        <x:v>Docs/WORLD_BASIS.md#faunal-biology-and-material-use; direct author direction October 14, 2026. Related source anatomy proposals now accessible at f6f98515; this item awaits reconciliation; identities and processing remain undefined.</x:v>
      </x:c>
      <x:c r="W54" s="4" t="str">
        <x:v>Processed material</x:v>
      </x:c>
      <x:c r="X54" s="4" t="str">
        <x:v>Unresolved</x:v>
      </x:c>
      <x:c r="Y54" s="4" t="str">
        <x:v>Fauna</x:v>
      </x:c>
      <x:c r="Z54" s="4" t="str">
        <x:v>Use unresolved</x:v>
      </x:c>
      <x:c r="AA54" s="4" t="str">
        <x:v>Biological chemical</x:v>
      </x:c>
      <x:c r="AB54" s="4" t="str">
        <x:v>Solid piece</x:v>
      </x:c>
      <x:c r="AC54" s="4" t="str">
        <x:v>Withheld assumption</x:v>
      </x:c>
      <x:c r="AD54" s="4" t="str">
        <x:f>LOWER(A54&amp;"; "&amp;B54&amp;"; "&amp;C54&amp;"; "&amp;D54&amp;"; "&amp;W54&amp;"; "&amp;X54&amp;"; "&amp;Y54&amp;"; "&amp;Z54&amp;"; "&amp;AA54&amp;"; "&amp;AB54&amp;"; "&amp;AC54&amp;"; "&amp;U54)</x:f>
        <x:v>proposal.bio.wax; solid biological wax; crafting components; processed biological; processed material; unresolved; fauna; use unresolved; biological chemical; solid piece; withheld assumption; </x:v>
      </x:c>
      <x:c r="AE54" s="4" t="str">
        <x:v>From current item description. Proposed uses retain their existing approval status.</x:v>
      </x:c>
      <x:c r="AF54" s="4" t="str">
        <x:v>Unassigned</x:v>
      </x:c>
      <x:c r="AG54" s="4" t="str">
        <x:v>Tier requires a chosen production route; recovered ancient material is not automatically T4.</x:v>
      </x:c>
      <x:c r="AH54" s="4" t="str">
        <x:v>Unassigned</x:v>
      </x:c>
    </x:row>
    <x:row r="55" ht="66" customHeight="1">
      <x:c r="A55" s="9" t="str">
        <x:v>proposal.bio.electrode</x:v>
      </x:c>
      <x:c r="B55" s="9" t="str">
        <x:v>Dry organ electrode scaffold</x:v>
      </x:c>
      <x:c r="C55" s="9" t="str">
        <x:v>Crafting components</x:v>
      </x:c>
      <x:c r="D55" s="9" t="str">
        <x:v>Processed biological</x:v>
      </x:c>
      <x:c r="E55" s="9" t="str">
        <x:v>New proposal</x:v>
      </x:c>
      <x:c r="F55" s="9" t="str">
        <x:v>Possible charged-battery component research</x:v>
      </x:c>
      <x:c r="G55" s="9" t="str">
        <x:v>None</x:v>
      </x:c>
      <x:c r="H55" s="9" t="str">
        <x:v>Legger / local storage proposed</x:v>
      </x:c>
      <x:c r="I55" s="13"/>
      <x:c r="J55" s="15"/>
      <x:c r="K55" s="9" t="str">
        <x:v>Process organ</x:v>
      </x:c>
      <x:c r="L55" s="9" t="str">
        <x:v>Dry preserve and stabilize structure</x:v>
      </x:c>
      <x:c r="M55" s="9" t="str">
        <x:v>Not implemented</x:v>
      </x:c>
      <x:c r="N55" s="9" t="str">
        <x:v>Speculative material capability; no effects or real processing instructions established.</x:v>
      </x:c>
      <x:c r="O55" s="22"/>
      <x:c r="P55" s="22"/>
      <x:c r="Q55" s="22"/>
      <x:c r="R55" s="22"/>
      <x:c r="S55" s="22"/>
      <x:c r="T55" s="9" t="str">
        <x:v>Material properties, additives, station, balance and world-rule compatibility</x:v>
      </x:c>
      <x:c r="U55" s="11"/>
      <x:c r="V55" s="9" t="str">
        <x:v>User design direction, October 14, 2026; local brainstorming. New proposal unless explicitly marked User direction.</x:v>
      </x:c>
      <x:c r="W55" s="4" t="str">
        <x:v>Crafting component</x:v>
      </x:c>
      <x:c r="X55" s="4" t="str">
        <x:v>Processed intermediate</x:v>
      </x:c>
      <x:c r="Y55" s="4" t="str">
        <x:v>Fauna</x:v>
      </x:c>
      <x:c r="Z55" s="4" t="str">
        <x:v>Electrical work</x:v>
      </x:c>
      <x:c r="AA55" s="4" t="str">
        <x:v>Faunal tissue</x:v>
      </x:c>
      <x:c r="AB55" s="4" t="str">
        <x:v>Solid part</x:v>
      </x:c>
      <x:c r="AC55" s="4" t="str">
        <x:v>Proposal</x:v>
      </x:c>
      <x:c r="AD55" s="4" t="str">
        <x:f>LOWER(A55&amp;"; "&amp;B55&amp;"; "&amp;C55&amp;"; "&amp;D55&amp;"; "&amp;W55&amp;"; "&amp;X55&amp;"; "&amp;Y55&amp;"; "&amp;Z55&amp;"; "&amp;AA55&amp;"; "&amp;AB55&amp;"; "&amp;AC55&amp;"; "&amp;U55)</x:f>
        <x:v>proposal.bio.electrode; dry organ electrode scaffold; crafting components; processed biological; crafting component; processed intermediate; fauna; electrical work; faunal tissue; solid part; proposal; </x:v>
      </x:c>
      <x:c r="AE55" s="4" t="str">
        <x:v>From current item description. Proposed uses retain their existing approval status.</x:v>
      </x:c>
      <x:c r="AF55" s="4" t="str">
        <x:v>Unassigned</x:v>
      </x:c>
      <x:c r="AG55" s="4" t="str">
        <x:v>Choose a material/part route before assigning a tier. Processing-stage labels alone do not prove chain depth.</x:v>
      </x:c>
      <x:c r="AH55" s="4" t="str">
        <x:v>Not applicable</x:v>
      </x:c>
    </x:row>
    <x:row r="56" ht="75" customHeight="1">
      <x:c r="A56" s="9" t="str">
        <x:v>proposal.natural.charcoal</x:v>
      </x:c>
      <x:c r="B56" s="9" t="str">
        <x:v>Charcoal</x:v>
      </x:c>
      <x:c r="C56" s="9" t="str">
        <x:v>Resources</x:v>
      </x:c>
      <x:c r="D56" s="9" t="str">
        <x:v>Processed fuel</x:v>
      </x:c>
      <x:c r="E56" s="9" t="str">
        <x:v>User direction; not implemented</x:v>
      </x:c>
      <x:c r="F56" s="9" t="str">
        <x:v>Solid carbon fuel and possible metallurgical feedstock</x:v>
      </x:c>
      <x:c r="G56" s="9" t="str">
        <x:v>None</x:v>
      </x:c>
      <x:c r="H56" s="9" t="str">
        <x:v>Legger / local storage proposed</x:v>
      </x:c>
      <x:c r="I56" s="13"/>
      <x:c r="J56" s="15"/>
      <x:c r="K56" s="9" t="str">
        <x:v>Carbonize biological feedstock or recover old fuel; source undecided</x:v>
      </x:c>
      <x:c r="L56" s="9" t="str">
        <x:v>Fuel and reduction research</x:v>
      </x:c>
      <x:c r="M56" s="9" t="str">
        <x:v>Not implemented</x:v>
      </x:c>
      <x:c r="N56" s="9" t="str">
        <x:v>Requested item; not a naturally mined metal. No wood/forest source introduced.</x:v>
      </x:c>
      <x:c r="O56" s="26"/>
      <x:c r="P56" s="26"/>
      <x:c r="Q56" s="26"/>
      <x:c r="R56" s="26"/>
      <x:c r="S56" s="26"/>
      <x:c r="T56" s="9" t="str">
        <x:v>Biological feedstock, scarcity and survival-versus-fuel tradeoff</x:v>
      </x:c>
      <x:c r="U56" s="11" t="str">
        <x:v>metal refining</x:v>
      </x:c>
      <x:c r="V56" s="9" t="str">
        <x:v>User brainstorming, October 14, 2026; game uses proposed. Reference: https://www.nps.gov/deva/learn/historyculture/charcoalkilns.htm</x:v>
      </x:c>
      <x:c r="W56" s="4" t="str">
        <x:v>Processed material</x:v>
      </x:c>
      <x:c r="X56" s="4" t="str">
        <x:v>Processed intermediate</x:v>
      </x:c>
      <x:c r="Y56" s="4" t="str">
        <x:v>Unresolved</x:v>
      </x:c>
      <x:c r="Z56" s="4" t="str">
        <x:v>Fuel</x:v>
      </x:c>
      <x:c r="AA56" s="4" t="str">
        <x:v>Carbonaceous material</x:v>
      </x:c>
      <x:c r="AB56" s="4" t="str">
        <x:v>Particles</x:v>
      </x:c>
      <x:c r="AC56" s="4" t="str">
        <x:v>Author direction</x:v>
      </x:c>
      <x:c r="AD56" s="4" t="str">
        <x:f>LOWER(A56&amp;"; "&amp;B56&amp;"; "&amp;C56&amp;"; "&amp;D56&amp;"; "&amp;W56&amp;"; "&amp;X56&amp;"; "&amp;Y56&amp;"; "&amp;Z56&amp;"; "&amp;AA56&amp;"; "&amp;AB56&amp;"; "&amp;AC56&amp;"; "&amp;U56)</x:f>
        <x:v>proposal.natural.charcoal; charcoal; resources; processed fuel; processed material; processed intermediate; unresolved; fuel; carbonaceous material; particles; author direction; metal refining</x:v>
      </x:c>
      <x:c r="AE56" s="4" t="str">
        <x:v>From current item description. Proposed uses retain their existing approval status.</x:v>
      </x:c>
      <x:c r="AF56" s="4" t="str">
        <x:v>Unassigned</x:v>
      </x:c>
      <x:c r="AG56" s="4" t="str">
        <x:v>Choose a material/part route before assigning a tier. Processing-stage labels alone do not prove chain depth.</x:v>
      </x:c>
      <x:c r="AH56" s="4" t="str">
        <x:v>Not applicable</x:v>
      </x:c>
    </x:row>
    <x:row r="57" ht="75" customHeight="1">
      <x:c r="A57" s="9" t="str">
        <x:v>proposal.natural.copper_stone</x:v>
      </x:c>
      <x:c r="B57" s="9" t="str">
        <x:v>Unprocessed copper-rich stone</x:v>
      </x:c>
      <x:c r="C57" s="9" t="str">
        <x:v>Resources</x:v>
      </x:c>
      <x:c r="D57" s="9" t="str">
        <x:v>Raw mineral</x:v>
      </x:c>
      <x:c r="E57" s="9" t="str">
        <x:v>User direction; not implemented</x:v>
      </x:c>
      <x:c r="F57" s="9" t="str">
        <x:v>Bulk copper-bearing rock before sorting</x:v>
      </x:c>
      <x:c r="G57" s="9" t="str">
        <x:v>None</x:v>
      </x:c>
      <x:c r="H57" s="9" t="str">
        <x:v>Legger / local storage proposed</x:v>
      </x:c>
      <x:c r="I57" s="13"/>
      <x:c r="J57" s="15"/>
      <x:c r="K57" s="9" t="str">
        <x:v>Authored copper-bearing outcrop proposal</x:v>
      </x:c>
      <x:c r="L57" s="9" t="str">
        <x:v>Sort into richer copper ore</x:v>
      </x:c>
      <x:c r="M57" s="9" t="str">
        <x:v>Not implemented</x:v>
      </x:c>
      <x:c r="N57" s="9" t="str">
        <x:v>Requested copper-rich feed represented separately from sorted ore provisionally.</x:v>
      </x:c>
      <x:c r="O57" s="26"/>
      <x:c r="P57" s="26"/>
      <x:c r="Q57" s="26"/>
      <x:c r="R57" s="26"/>
      <x:c r="S57" s="26"/>
      <x:c r="T57" s="9" t="str">
        <x:v>Merge with copper ore if the extra stage adds no useful choice</x:v>
      </x:c>
      <x:c r="U57" s="11"/>
      <x:c r="V57" s="9" t="str">
        <x:v>User brainstorming, October 14, 2026; game uses proposed. Reference: https://www.nps.gov/deva/learn/nature/mining-in-death-valley.htm</x:v>
      </x:c>
      <x:c r="W57" s="4" t="str">
        <x:v>Raw material</x:v>
      </x:c>
      <x:c r="X57" s="4" t="str">
        <x:v>Raw</x:v>
      </x:c>
      <x:c r="Y57" s="4" t="str">
        <x:v>Geological</x:v>
      </x:c>
      <x:c r="Z57" s="4" t="str">
        <x:v>Metal refining</x:v>
      </x:c>
      <x:c r="AA57" s="4" t="str">
        <x:v>Mineral</x:v>
      </x:c>
      <x:c r="AB57" s="4" t="str">
        <x:v>Rock</x:v>
      </x:c>
      <x:c r="AC57" s="4" t="str">
        <x:v>Author direction</x:v>
      </x:c>
      <x:c r="AD57" s="4" t="str">
        <x:f>LOWER(A57&amp;"; "&amp;B57&amp;"; "&amp;C57&amp;"; "&amp;D57&amp;"; "&amp;W57&amp;"; "&amp;X57&amp;"; "&amp;Y57&amp;"; "&amp;Z57&amp;"; "&amp;AA57&amp;"; "&amp;AB57&amp;"; "&amp;AC57&amp;"; "&amp;U57)</x:f>
        <x:v>proposal.natural.copper_stone; unprocessed copper-rich stone; resources; raw mineral; raw material; raw; geological; metal refining; mineral; rock; author direction; </x:v>
      </x:c>
      <x:c r="AE57" s="4" t="str">
        <x:v>From current item description. Proposed uses retain their existing approval status.</x:v>
      </x:c>
      <x:c r="AF57" s="4" t="str">
        <x:v>T0</x:v>
      </x:c>
      <x:c r="AG57" s="4" t="str">
        <x:v>Raw gathered/recovered craft input under the author T0 framework. This does not imply a naturally occurring pure metal.</x:v>
      </x:c>
      <x:c r="AH57" s="4" t="str">
        <x:v>Not applicable</x:v>
      </x:c>
    </x:row>
    <x:row r="58" ht="75" customHeight="1">
      <x:c r="A58" s="9" t="str">
        <x:v>proposal.natural.copper_ore</x:v>
      </x:c>
      <x:c r="B58" s="9" t="str">
        <x:v>Copper ore</x:v>
      </x:c>
      <x:c r="C58" s="9" t="str">
        <x:v>Resources</x:v>
      </x:c>
      <x:c r="D58" s="9" t="str">
        <x:v>Sorted ore</x:v>
      </x:c>
      <x:c r="E58" s="9" t="str">
        <x:v>User direction; not implemented</x:v>
      </x:c>
      <x:c r="F58" s="9" t="str">
        <x:v>Copper-bearing mineral feed for refining</x:v>
      </x:c>
      <x:c r="G58" s="9" t="str">
        <x:v>None</x:v>
      </x:c>
      <x:c r="H58" s="9" t="str">
        <x:v>Legger / local storage proposed</x:v>
      </x:c>
      <x:c r="I58" s="13"/>
      <x:c r="J58" s="15"/>
      <x:c r="K58" s="9" t="str">
        <x:v>Sort copper-rich stone; exact mineral species open</x:v>
      </x:c>
      <x:c r="L58" s="9" t="str">
        <x:v>Refine into unworked copper</x:v>
      </x:c>
      <x:c r="M58" s="9" t="str">
        <x:v>Not implemented</x:v>
      </x:c>
      <x:c r="N58" s="9" t="str">
        <x:v>Ore is still mineral-bearing material, not metallic copper.</x:v>
      </x:c>
      <x:c r="O58" s="26"/>
      <x:c r="P58" s="26"/>
      <x:c r="Q58" s="26"/>
      <x:c r="R58" s="26"/>
      <x:c r="S58" s="26"/>
      <x:c r="T58" s="9" t="str">
        <x:v>Ore species, grade, impurities and refining method</x:v>
      </x:c>
      <x:c r="U58" s="11"/>
      <x:c r="V58" s="9" t="str">
        <x:v>User brainstorming, October 14, 2026; game uses proposed. Reference: https://www.nps.gov/deva/learn/nature/mining-in-death-valley.htm</x:v>
      </x:c>
      <x:c r="W58" s="4" t="str">
        <x:v>Raw material</x:v>
      </x:c>
      <x:c r="X58" s="4" t="str">
        <x:v>Processed intermediate</x:v>
      </x:c>
      <x:c r="Y58" s="4" t="str">
        <x:v>Geological</x:v>
      </x:c>
      <x:c r="Z58" s="4" t="str">
        <x:v>Metal refining</x:v>
      </x:c>
      <x:c r="AA58" s="4" t="str">
        <x:v>Mineral</x:v>
      </x:c>
      <x:c r="AB58" s="4" t="str">
        <x:v>Rock</x:v>
      </x:c>
      <x:c r="AC58" s="4" t="str">
        <x:v>Author direction</x:v>
      </x:c>
      <x:c r="AD58" s="4" t="str">
        <x:f>LOWER(A58&amp;"; "&amp;B58&amp;"; "&amp;C58&amp;"; "&amp;D58&amp;"; "&amp;W58&amp;"; "&amp;X58&amp;"; "&amp;Y58&amp;"; "&amp;Z58&amp;"; "&amp;AA58&amp;"; "&amp;AB58&amp;"; "&amp;AC58&amp;"; "&amp;U58)</x:f>
        <x:v>proposal.natural.copper_ore; copper ore; resources; sorted ore; raw material; processed intermediate; geological; metal refining; mineral; rock; author direction; </x:v>
      </x:c>
      <x:c r="AE58" s="4" t="str">
        <x:v>From current item description. Proposed uses retain their existing approval status.</x:v>
      </x:c>
      <x:c r="AF58" s="4" t="str">
        <x:v>Unassigned</x:v>
      </x:c>
      <x:c r="AG58" s="4" t="str">
        <x:v>Choose a material/part route before assigning a tier. Processing-stage labels alone do not prove chain depth.</x:v>
      </x:c>
      <x:c r="AH58" s="4" t="str">
        <x:v>Not applicable</x:v>
      </x:c>
    </x:row>
    <x:row r="59" ht="75" customHeight="1">
      <x:c r="A59" s="9" t="str">
        <x:v>proposal.natural.raw_copper</x:v>
      </x:c>
      <x:c r="B59" s="9" t="str">
        <x:v>Raw copper lump</x:v>
      </x:c>
      <x:c r="C59" s="9" t="str">
        <x:v>Resources</x:v>
      </x:c>
      <x:c r="D59" s="9" t="str">
        <x:v>Unworked metal</x:v>
      </x:c>
      <x:c r="E59" s="9" t="str">
        <x:v>User direction; not implemented</x:v>
      </x:c>
      <x:c r="F59" s="9" t="str">
        <x:v>Unworked copper metal for conductors and small fittings</x:v>
      </x:c>
      <x:c r="G59" s="9" t="str">
        <x:v>None</x:v>
      </x:c>
      <x:c r="H59" s="9" t="str">
        <x:v>Legger / local storage proposed</x:v>
      </x:c>
      <x:c r="I59" s="13"/>
      <x:c r="J59" s="15"/>
      <x:c r="K59" s="9" t="str">
        <x:v>Refine ore or recover unworked metal from salvage</x:v>
      </x:c>
      <x:c r="L59" s="9" t="str">
        <x:v>Potential wire, contacts and grounding-kit parts</x:v>
      </x:c>
      <x:c r="M59" s="9" t="str">
        <x:v>Not implemented</x:v>
      </x:c>
      <x:c r="N59" s="9" t="str">
        <x:v>Raw means unworked metal here; native copper occurrence is not established by the cited regional mining list.</x:v>
      </x:c>
      <x:c r="O59" s="26"/>
      <x:c r="P59" s="26"/>
      <x:c r="Q59" s="26"/>
      <x:c r="R59" s="26"/>
      <x:c r="S59" s="26"/>
      <x:c r="T59" s="9" t="str">
        <x:v>Decide whether native copper is also available; define manufacturing steps</x:v>
      </x:c>
      <x:c r="U59" s="11" t="str">
        <x:v>fabrication</x:v>
      </x:c>
      <x:c r="V59" s="9" t="str">
        <x:v>User brainstorming, October 14, 2026; game uses proposed. Reference: https://www.nps.gov/deva/learn/nature/mining-in-death-valley.htm</x:v>
      </x:c>
      <x:c r="W59" s="4" t="str">
        <x:v>Processed material</x:v>
      </x:c>
      <x:c r="X59" s="4" t="str">
        <x:v>Unworked metal</x:v>
      </x:c>
      <x:c r="Y59" s="4" t="str">
        <x:v>Geological</x:v>
      </x:c>
      <x:c r="Z59" s="4" t="str">
        <x:v>Electrical conduction</x:v>
      </x:c>
      <x:c r="AA59" s="4" t="str">
        <x:v>Metal</x:v>
      </x:c>
      <x:c r="AB59" s="4" t="str">
        <x:v>Solid piece</x:v>
      </x:c>
      <x:c r="AC59" s="4" t="str">
        <x:v>Author direction</x:v>
      </x:c>
      <x:c r="AD59" s="4" t="str">
        <x:f>LOWER(A59&amp;"; "&amp;B59&amp;"; "&amp;C59&amp;"; "&amp;D59&amp;"; "&amp;W59&amp;"; "&amp;X59&amp;"; "&amp;Y59&amp;"; "&amp;Z59&amp;"; "&amp;AA59&amp;"; "&amp;AB59&amp;"; "&amp;AC59&amp;"; "&amp;U59)</x:f>
        <x:v>proposal.natural.raw_copper; raw copper lump; resources; unworked metal; processed material; unworked metal; geological; electrical conduction; metal; solid piece; author direction; fabrication</x:v>
      </x:c>
      <x:c r="AE59" s="4" t="str">
        <x:v>From current item description. Proposed uses retain their existing approval status.</x:v>
      </x:c>
      <x:c r="AF59" s="4" t="str">
        <x:v>T0</x:v>
      </x:c>
      <x:c r="AG59" s="4" t="str">
        <x:v>Raw gathered/recovered craft input under the author T0 framework. This does not imply a naturally occurring pure metal.</x:v>
      </x:c>
      <x:c r="AH59" s="4" t="str">
        <x:v>Not applicable</x:v>
      </x:c>
    </x:row>
    <x:row r="60" ht="75" customHeight="1">
      <x:c r="A60" s="9" t="str">
        <x:v>proposal.natural.tungsten_ore</x:v>
      </x:c>
      <x:c r="B60" s="9" t="str">
        <x:v>Tungsten-bearing ore</x:v>
      </x:c>
      <x:c r="C60" s="9" t="str">
        <x:v>Resources</x:v>
      </x:c>
      <x:c r="D60" s="9" t="str">
        <x:v>Raw mineral</x:v>
      </x:c>
      <x:c r="E60" s="9" t="str">
        <x:v>User direction; not implemented</x:v>
      </x:c>
      <x:c r="F60" s="9" t="str">
        <x:v>Dense mineral feed for advanced wear-resistant material research</x:v>
      </x:c>
      <x:c r="G60" s="9" t="str">
        <x:v>None</x:v>
      </x:c>
      <x:c r="H60" s="9" t="str">
        <x:v>Legger / local storage proposed</x:v>
      </x:c>
      <x:c r="I60" s="13"/>
      <x:c r="J60" s="15"/>
      <x:c r="K60" s="9" t="str">
        <x:v>Authored mineral vein proposal</x:v>
      </x:c>
      <x:c r="L60" s="9" t="str">
        <x:v>Advanced tool/alloy ingredient research</x:v>
      </x:c>
      <x:c r="M60" s="9" t="str">
        <x:v>Not implemented</x:v>
      </x:c>
      <x:c r="N60" s="9" t="str">
        <x:v>Tungsten ore is separate from copper ore; mineral choice unapproved. Scheelite/wolframite are general reference candidates.</x:v>
      </x:c>
      <x:c r="O60" s="26"/>
      <x:c r="P60" s="26"/>
      <x:c r="Q60" s="26"/>
      <x:c r="R60" s="26"/>
      <x:c r="S60" s="26"/>
      <x:c r="T60" s="9" t="str">
        <x:v>Deposit mineral, processing tier and worthwhile uses</x:v>
      </x:c>
      <x:c r="U60" s="11" t="str">
        <x:v>tool fabrication</x:v>
      </x:c>
      <x:c r="V60" s="9" t="str">
        <x:v>User brainstorming, October 14, 2026; game uses proposed. Reference: https://www.nps.gov/deva/learn/nature/mining-in-death-valley.htm; https://www.usgs.gov/data/tungsten-deposits-united-states</x:v>
      </x:c>
      <x:c r="W60" s="4" t="str">
        <x:v>Raw material</x:v>
      </x:c>
      <x:c r="X60" s="4" t="str">
        <x:v>Raw</x:v>
      </x:c>
      <x:c r="Y60" s="4" t="str">
        <x:v>Geological</x:v>
      </x:c>
      <x:c r="Z60" s="4" t="str">
        <x:v>Metal refining</x:v>
      </x:c>
      <x:c r="AA60" s="4" t="str">
        <x:v>Mineral</x:v>
      </x:c>
      <x:c r="AB60" s="4" t="str">
        <x:v>Rock</x:v>
      </x:c>
      <x:c r="AC60" s="4" t="str">
        <x:v>Author direction</x:v>
      </x:c>
      <x:c r="AD60" s="4" t="str">
        <x:f>LOWER(A60&amp;"; "&amp;B60&amp;"; "&amp;C60&amp;"; "&amp;D60&amp;"; "&amp;W60&amp;"; "&amp;X60&amp;"; "&amp;Y60&amp;"; "&amp;Z60&amp;"; "&amp;AA60&amp;"; "&amp;AB60&amp;"; "&amp;AC60&amp;"; "&amp;U60)</x:f>
        <x:v>proposal.natural.tungsten_ore; tungsten-bearing ore; resources; raw mineral; raw material; raw; geological; metal refining; mineral; rock; author direction; tool fabrication</x:v>
      </x:c>
      <x:c r="AE60" s="4" t="str">
        <x:v>From current item description. Proposed uses retain their existing approval status.</x:v>
      </x:c>
      <x:c r="AF60" s="4" t="str">
        <x:v>T0</x:v>
      </x:c>
      <x:c r="AG60" s="4" t="str">
        <x:v>Raw gathered/recovered craft input under the author T0 framework. This does not imply a naturally occurring pure metal.</x:v>
      </x:c>
      <x:c r="AH60" s="4" t="str">
        <x:v>Not applicable</x:v>
      </x:c>
    </x:row>
    <x:row r="61" ht="75" customHeight="1">
      <x:c r="A61" s="9" t="str">
        <x:v>proposal.natural.magnesium_rock</x:v>
      </x:c>
      <x:c r="B61" s="9" t="str">
        <x:v>Magnesium-bearing rock</x:v>
      </x:c>
      <x:c r="C61" s="9" t="str">
        <x:v>Resources</x:v>
      </x:c>
      <x:c r="D61" s="9" t="str">
        <x:v>Raw mineral</x:v>
      </x:c>
      <x:c r="E61" s="9" t="str">
        <x:v>User direction; not implemented</x:v>
      </x:c>
      <x:c r="F61" s="9" t="str">
        <x:v>Mineral feed containing magnesium compounds</x:v>
      </x:c>
      <x:c r="G61" s="9" t="str">
        <x:v>None</x:v>
      </x:c>
      <x:c r="H61" s="9" t="str">
        <x:v>Legger / local storage proposed</x:v>
      </x:c>
      <x:c r="I61" s="13"/>
      <x:c r="J61" s="15"/>
      <x:c r="K61" s="9" t="str">
        <x:v>Magnesium-bearing mineral/salt deposit proposal</x:v>
      </x:c>
      <x:c r="L61" s="9" t="str">
        <x:v>Refining research; possible refractory route</x:v>
      </x:c>
      <x:c r="M61" s="9" t="str">
        <x:v>Not implemented</x:v>
      </x:c>
      <x:c r="N61" s="9" t="str">
        <x:v>Death Valley Mg-bearing evaporites are documented; they do not establish loose native magnesium metal.</x:v>
      </x:c>
      <x:c r="O61" s="26"/>
      <x:c r="P61" s="26"/>
      <x:c r="Q61" s="26"/>
      <x:c r="R61" s="26"/>
      <x:c r="S61" s="26"/>
      <x:c r="T61" s="9" t="str">
        <x:v>Choose mineral, dry-world adaptation and refining route</x:v>
      </x:c>
      <x:c r="U61" s="11"/>
      <x:c r="V61" s="9" t="str">
        <x:v>User brainstorming, October 14, 2026; game uses proposed. Reference: https://pubs.usgs.gov/publication/70018701</x:v>
      </x:c>
      <x:c r="W61" s="4" t="str">
        <x:v>Raw material</x:v>
      </x:c>
      <x:c r="X61" s="4" t="str">
        <x:v>Raw</x:v>
      </x:c>
      <x:c r="Y61" s="4" t="str">
        <x:v>Geological</x:v>
      </x:c>
      <x:c r="Z61" s="4" t="str">
        <x:v>Metal refining</x:v>
      </x:c>
      <x:c r="AA61" s="4" t="str">
        <x:v>Mineral</x:v>
      </x:c>
      <x:c r="AB61" s="4" t="str">
        <x:v>Rock</x:v>
      </x:c>
      <x:c r="AC61" s="4" t="str">
        <x:v>Author direction</x:v>
      </x:c>
      <x:c r="AD61" s="4" t="str">
        <x:f>LOWER(A61&amp;"; "&amp;B61&amp;"; "&amp;C61&amp;"; "&amp;D61&amp;"; "&amp;W61&amp;"; "&amp;X61&amp;"; "&amp;Y61&amp;"; "&amp;Z61&amp;"; "&amp;AA61&amp;"; "&amp;AB61&amp;"; "&amp;AC61&amp;"; "&amp;U61)</x:f>
        <x:v>proposal.natural.magnesium_rock; magnesium-bearing rock; resources; raw mineral; raw material; raw; geological; metal refining; mineral; rock; author direction; </x:v>
      </x:c>
      <x:c r="AE61" s="4" t="str">
        <x:v>From current item description. Proposed uses retain their existing approval status.</x:v>
      </x:c>
      <x:c r="AF61" s="4" t="str">
        <x:v>T0</x:v>
      </x:c>
      <x:c r="AG61" s="4" t="str">
        <x:v>Raw gathered/recovered craft input under the author T0 framework. This does not imply a naturally occurring pure metal.</x:v>
      </x:c>
      <x:c r="AH61" s="4" t="str">
        <x:v>Not applicable</x:v>
      </x:c>
    </x:row>
    <x:row r="62" ht="75" customHeight="1">
      <x:c r="A62" s="9" t="str">
        <x:v>proposal.natural.raw_magnesium</x:v>
      </x:c>
      <x:c r="B62" s="9" t="str">
        <x:v>Raw magnesium metal</x:v>
      </x:c>
      <x:c r="C62" s="9" t="str">
        <x:v>Resources</x:v>
      </x:c>
      <x:c r="D62" s="9" t="str">
        <x:v>Unworked metal</x:v>
      </x:c>
      <x:c r="E62" s="9" t="str">
        <x:v>User direction; not implemented</x:v>
      </x:c>
      <x:c r="F62" s="9" t="str">
        <x:v>Unworked manufactured magnesium metal</x:v>
      </x:c>
      <x:c r="G62" s="9" t="str">
        <x:v>None</x:v>
      </x:c>
      <x:c r="H62" s="9" t="str">
        <x:v>Legger / local storage proposed</x:v>
      </x:c>
      <x:c r="I62" s="13"/>
      <x:c r="J62" s="15"/>
      <x:c r="K62" s="9" t="str">
        <x:v>Specialist refining or industrial salvage proposal</x:v>
      </x:c>
      <x:c r="L62" s="9" t="str">
        <x:v>Lightweight alloy research</x:v>
      </x:c>
      <x:c r="M62" s="9" t="str">
        <x:v>Not implemented</x:v>
      </x:c>
      <x:c r="N62" s="9" t="str">
        <x:v>Not presented as a common native metal picked up from the ground.</x:v>
      </x:c>
      <x:c r="O62" s="26"/>
      <x:c r="P62" s="26"/>
      <x:c r="Q62" s="26"/>
      <x:c r="R62" s="26"/>
      <x:c r="S62" s="26"/>
      <x:c r="T62" s="9" t="str">
        <x:v>Processing burden, alloy uses and whether a separate item is useful</x:v>
      </x:c>
      <x:c r="U62" s="11"/>
      <x:c r="V62" s="9" t="str">
        <x:v>User brainstorming, October 14, 2026; game uses proposed. Reference: https://pubs.usgs.gov/publication/70018701</x:v>
      </x:c>
      <x:c r="W62" s="4" t="str">
        <x:v>Processed material</x:v>
      </x:c>
      <x:c r="X62" s="4" t="str">
        <x:v>Unworked metal</x:v>
      </x:c>
      <x:c r="Y62" s="4" t="str">
        <x:v>Geological</x:v>
      </x:c>
      <x:c r="Z62" s="4" t="str">
        <x:v>Fabrication</x:v>
      </x:c>
      <x:c r="AA62" s="4" t="str">
        <x:v>Metal</x:v>
      </x:c>
      <x:c r="AB62" s="4" t="str">
        <x:v>Solid piece</x:v>
      </x:c>
      <x:c r="AC62" s="4" t="str">
        <x:v>Author direction</x:v>
      </x:c>
      <x:c r="AD62" s="4" t="str">
        <x:f>LOWER(A62&amp;"; "&amp;B62&amp;"; "&amp;C62&amp;"; "&amp;D62&amp;"; "&amp;W62&amp;"; "&amp;X62&amp;"; "&amp;Y62&amp;"; "&amp;Z62&amp;"; "&amp;AA62&amp;"; "&amp;AB62&amp;"; "&amp;AC62&amp;"; "&amp;U62)</x:f>
        <x:v>proposal.natural.raw_magnesium; raw magnesium metal; resources; unworked metal; processed material; unworked metal; geological; fabrication; metal; solid piece; author direction; </x:v>
      </x:c>
      <x:c r="AE62" s="4" t="str">
        <x:v>From current item description. Proposed uses retain their existing approval status.</x:v>
      </x:c>
      <x:c r="AF62" s="4" t="str">
        <x:v>T0</x:v>
      </x:c>
      <x:c r="AG62" s="4" t="str">
        <x:v>Raw gathered/recovered craft input under the author T0 framework. This does not imply a naturally occurring pure metal.</x:v>
      </x:c>
      <x:c r="AH62" s="4" t="str">
        <x:v>Not applicable</x:v>
      </x:c>
    </x:row>
    <x:row r="63" ht="75" customHeight="1">
      <x:c r="A63" s="9" t="str">
        <x:v>proposal.natural.hematite</x:v>
      </x:c>
      <x:c r="B63" s="9" t="str">
        <x:v>Raw hematite</x:v>
      </x:c>
      <x:c r="C63" s="9" t="str">
        <x:v>Resources</x:v>
      </x:c>
      <x:c r="D63" s="9" t="str">
        <x:v>Iron oxide mineral</x:v>
      </x:c>
      <x:c r="E63" s="9" t="str">
        <x:v>User direction; not implemented</x:v>
      </x:c>
      <x:c r="F63" s="9" t="str">
        <x:v>Specific iron-rich mineral feed distinct from generic field stone</x:v>
      </x:c>
      <x:c r="G63" s="9" t="str">
        <x:v>None</x:v>
      </x:c>
      <x:c r="H63" s="9" t="str">
        <x:v>Legger / local storage proposed</x:v>
      </x:c>
      <x:c r="I63" s="13"/>
      <x:c r="J63" s="15"/>
      <x:c r="K63" s="9" t="str">
        <x:v>User-requested outcrop candidate</x:v>
      </x:c>
      <x:c r="L63" s="9" t="str">
        <x:v>Possible iron-feed input</x:v>
      </x:c>
      <x:c r="M63" s="9" t="str">
        <x:v>Not implemented</x:v>
      </x:c>
      <x:c r="N63" s="9" t="str">
        <x:v>Requested game candidate; specific Death Valley occurrence not verified in this research pass.</x:v>
      </x:c>
      <x:c r="O63" s="26"/>
      <x:c r="P63" s="26"/>
      <x:c r="Q63" s="26"/>
      <x:c r="R63" s="26"/>
      <x:c r="S63" s="26"/>
      <x:c r="T63" s="9" t="str">
        <x:v>Overlap with Ironstone Ore and magnetite; retain only useful distinctions</x:v>
      </x:c>
      <x:c r="U63" s="11"/>
      <x:c r="V63" s="9" t="str">
        <x:v>User brainstorming, October 14, 2026; game uses proposed. Reference: User direction, October 14, 2026; specific local geology unverified</x:v>
      </x:c>
      <x:c r="W63" s="4" t="str">
        <x:v>Raw material</x:v>
      </x:c>
      <x:c r="X63" s="4" t="str">
        <x:v>Raw</x:v>
      </x:c>
      <x:c r="Y63" s="4" t="str">
        <x:v>Geological</x:v>
      </x:c>
      <x:c r="Z63" s="4" t="str">
        <x:v>Metal refining</x:v>
      </x:c>
      <x:c r="AA63" s="4" t="str">
        <x:v>Mineral</x:v>
      </x:c>
      <x:c r="AB63" s="4" t="str">
        <x:v>Rock</x:v>
      </x:c>
      <x:c r="AC63" s="4" t="str">
        <x:v>Author direction</x:v>
      </x:c>
      <x:c r="AD63" s="4" t="str">
        <x:f>LOWER(A63&amp;"; "&amp;B63&amp;"; "&amp;C63&amp;"; "&amp;D63&amp;"; "&amp;W63&amp;"; "&amp;X63&amp;"; "&amp;Y63&amp;"; "&amp;Z63&amp;"; "&amp;AA63&amp;"; "&amp;AB63&amp;"; "&amp;AC63&amp;"; "&amp;U63)</x:f>
        <x:v>proposal.natural.hematite; raw hematite; resources; iron oxide mineral; raw material; raw; geological; metal refining; mineral; rock; author direction; </x:v>
      </x:c>
      <x:c r="AE63" s="4" t="str">
        <x:v>From current item description. Proposed uses retain their existing approval status.</x:v>
      </x:c>
      <x:c r="AF63" s="4" t="str">
        <x:v>T0</x:v>
      </x:c>
      <x:c r="AG63" s="4" t="str">
        <x:v>Raw gathered/recovered craft input under the author T0 framework. This does not imply a naturally occurring pure metal.</x:v>
      </x:c>
      <x:c r="AH63" s="4" t="str">
        <x:v>Not applicable</x:v>
      </x:c>
    </x:row>
    <x:row r="64" ht="75" customHeight="1">
      <x:c r="A64" s="9" t="str">
        <x:v>proposal.natural.sulfur</x:v>
      </x:c>
      <x:c r="B64" s="9" t="str">
        <x:v>Raw sulfur</x:v>
      </x:c>
      <x:c r="C64" s="9" t="str">
        <x:v>Resources</x:v>
      </x:c>
      <x:c r="D64" s="9" t="str">
        <x:v>Native nonmetal</x:v>
      </x:c>
      <x:c r="E64" s="9" t="str">
        <x:v>User direction; not implemented</x:v>
      </x:c>
      <x:c r="F64" s="9" t="str">
        <x:v>Nonmetallic mineral feed for specialist crafting research</x:v>
      </x:c>
      <x:c r="G64" s="9" t="str">
        <x:v>None</x:v>
      </x:c>
      <x:c r="H64" s="9" t="str">
        <x:v>Legger / local storage proposed</x:v>
      </x:c>
      <x:c r="I64" s="13"/>
      <x:c r="J64" s="15"/>
      <x:c r="K64" s="9" t="str">
        <x:v>Authored sulfur deposit proposal</x:v>
      </x:c>
      <x:c r="L64" s="9" t="str">
        <x:v>Industrial reagent research; recipes open</x:v>
      </x:c>
      <x:c r="M64" s="9" t="str">
        <x:v>Not implemented</x:v>
      </x:c>
      <x:c r="N64" s="9" t="str">
        <x:v>Regional sulfur mining documented; no chemical or explosive recipe approved.</x:v>
      </x:c>
      <x:c r="O64" s="26"/>
      <x:c r="P64" s="26"/>
      <x:c r="Q64" s="26"/>
      <x:c r="R64" s="26"/>
      <x:c r="S64" s="26"/>
      <x:c r="T64" s="9" t="str">
        <x:v>Uses, gathering presentation and storage requirements</x:v>
      </x:c>
      <x:c r="U64" s="11"/>
      <x:c r="V64" s="9" t="str">
        <x:v>User brainstorming, October 14, 2026; game uses proposed. Reference: https://www.nps.gov/deva/learn/nature/mining-in-death-valley.htm</x:v>
      </x:c>
      <x:c r="W64" s="4" t="str">
        <x:v>Raw material</x:v>
      </x:c>
      <x:c r="X64" s="4" t="str">
        <x:v>Raw</x:v>
      </x:c>
      <x:c r="Y64" s="4" t="str">
        <x:v>Geological</x:v>
      </x:c>
      <x:c r="Z64" s="4" t="str">
        <x:v>Chemical processing</x:v>
      </x:c>
      <x:c r="AA64" s="4" t="str">
        <x:v>Mineral</x:v>
      </x:c>
      <x:c r="AB64" s="4" t="str">
        <x:v>Rock</x:v>
      </x:c>
      <x:c r="AC64" s="4" t="str">
        <x:v>Author direction</x:v>
      </x:c>
      <x:c r="AD64" s="4" t="str">
        <x:f>LOWER(A64&amp;"; "&amp;B64&amp;"; "&amp;C64&amp;"; "&amp;D64&amp;"; "&amp;W64&amp;"; "&amp;X64&amp;"; "&amp;Y64&amp;"; "&amp;Z64&amp;"; "&amp;AA64&amp;"; "&amp;AB64&amp;"; "&amp;AC64&amp;"; "&amp;U64)</x:f>
        <x:v>proposal.natural.sulfur; raw sulfur; resources; native nonmetal; raw material; raw; geological; chemical processing; mineral; rock; author direction; </x:v>
      </x:c>
      <x:c r="AE64" s="4" t="str">
        <x:v>From current item description. Proposed uses retain their existing approval status.</x:v>
      </x:c>
      <x:c r="AF64" s="4" t="str">
        <x:v>T0</x:v>
      </x:c>
      <x:c r="AG64" s="4" t="str">
        <x:v>Raw gathered/recovered craft input under the author T0 framework. This does not imply a naturally occurring pure metal.</x:v>
      </x:c>
      <x:c r="AH64" s="4" t="str">
        <x:v>Not applicable</x:v>
      </x:c>
    </x:row>
    <x:row r="65" ht="75" customHeight="1">
      <x:c r="A65" s="9" t="str">
        <x:v>proposal.natural.borate</x:v>
      </x:c>
      <x:c r="B65" s="9" t="str">
        <x:v>Raw borate minerals</x:v>
      </x:c>
      <x:c r="C65" s="9" t="str">
        <x:v>Resources</x:v>
      </x:c>
      <x:c r="D65" s="9" t="str">
        <x:v>Evaporite mineral</x:v>
      </x:c>
      <x:c r="E65" s="9" t="str">
        <x:v>New proposal</x:v>
      </x:c>
      <x:c r="F65" s="9" t="str">
        <x:v>Borate-rich feed for proposed glass/ceramic processing</x:v>
      </x:c>
      <x:c r="G65" s="9" t="str">
        <x:v>None</x:v>
      </x:c>
      <x:c r="H65" s="9" t="str">
        <x:v>Legger / local storage proposed</x:v>
      </x:c>
      <x:c r="I65" s="13"/>
      <x:c r="J65" s="15"/>
      <x:c r="K65" s="9" t="str">
        <x:v>Ancient dry mineral deposits</x:v>
      </x:c>
      <x:c r="L65" s="9" t="str">
        <x:v>Flux and glass/ceramic research</x:v>
      </x:c>
      <x:c r="M65" s="9" t="str">
        <x:v>Not implemented</x:v>
      </x:c>
      <x:c r="N65" s="9" t="str">
        <x:v>Borate minerals are not elemental boron. No current water cycle is required for ancient deposits.</x:v>
      </x:c>
      <x:c r="O65" s="26"/>
      <x:c r="P65" s="26"/>
      <x:c r="Q65" s="26"/>
      <x:c r="R65" s="26"/>
      <x:c r="S65" s="26"/>
      <x:c r="T65" s="9" t="str">
        <x:v>Select borax/colemanite/ulexite versus one simplified item</x:v>
      </x:c>
      <x:c r="U65" s="11"/>
      <x:c r="V65" s="9" t="str">
        <x:v>User brainstorming, October 14, 2026; game uses proposed. Reference: https://www.nps.gov/deva/learn/nature/mining-in-death-valley.htm</x:v>
      </x:c>
      <x:c r="W65" s="4" t="str">
        <x:v>Raw material</x:v>
      </x:c>
      <x:c r="X65" s="4" t="str">
        <x:v>Raw</x:v>
      </x:c>
      <x:c r="Y65" s="4" t="str">
        <x:v>Geological</x:v>
      </x:c>
      <x:c r="Z65" s="4" t="str">
        <x:v>Glass and ceramics</x:v>
      </x:c>
      <x:c r="AA65" s="4" t="str">
        <x:v>Mineral</x:v>
      </x:c>
      <x:c r="AB65" s="4" t="str">
        <x:v>Rock</x:v>
      </x:c>
      <x:c r="AC65" s="4" t="str">
        <x:v>Proposal</x:v>
      </x:c>
      <x:c r="AD65" s="4" t="str">
        <x:f>LOWER(A65&amp;"; "&amp;B65&amp;"; "&amp;C65&amp;"; "&amp;D65&amp;"; "&amp;W65&amp;"; "&amp;X65&amp;"; "&amp;Y65&amp;"; "&amp;Z65&amp;"; "&amp;AA65&amp;"; "&amp;AB65&amp;"; "&amp;AC65&amp;"; "&amp;U65)</x:f>
        <x:v>proposal.natural.borate; raw borate minerals; resources; evaporite mineral; raw material; raw; geological; glass and ceramics; mineral; rock; proposal; </x:v>
      </x:c>
      <x:c r="AE65" s="4" t="str">
        <x:v>From current item description. Proposed uses retain their existing approval status.</x:v>
      </x:c>
      <x:c r="AF65" s="4" t="str">
        <x:v>T0</x:v>
      </x:c>
      <x:c r="AG65" s="4" t="str">
        <x:v>Raw gathered/recovered craft input under the author T0 framework. This does not imply a naturally occurring pure metal.</x:v>
      </x:c>
      <x:c r="AH65" s="4" t="str">
        <x:v>Not applicable</x:v>
      </x:c>
    </x:row>
    <x:row r="66" ht="75" customHeight="1">
      <x:c r="A66" s="9" t="str">
        <x:v>proposal.natural.gypsum</x:v>
      </x:c>
      <x:c r="B66" s="9" t="str">
        <x:v>Raw gypsum</x:v>
      </x:c>
      <x:c r="C66" s="9" t="str">
        <x:v>Resources</x:v>
      </x:c>
      <x:c r="D66" s="9" t="str">
        <x:v>Sulfate mineral</x:v>
      </x:c>
      <x:c r="E66" s="9" t="str">
        <x:v>New proposal</x:v>
      </x:c>
      <x:c r="F66" s="9" t="str">
        <x:v>Soft mineral feed for molds and mineral products</x:v>
      </x:c>
      <x:c r="G66" s="9" t="str">
        <x:v>None</x:v>
      </x:c>
      <x:c r="H66" s="9" t="str">
        <x:v>Legger / local storage proposed</x:v>
      </x:c>
      <x:c r="I66" s="13"/>
      <x:c r="J66" s="15"/>
      <x:c r="K66" s="9" t="str">
        <x:v>Ancient evaporite beds</x:v>
      </x:c>
      <x:c r="L66" s="9" t="str">
        <x:v>Mold/binder research</x:v>
      </x:c>
      <x:c r="M66" s="9" t="str">
        <x:v>Not implemented</x:v>
      </x:c>
      <x:c r="N66" s="9" t="str">
        <x:v>Water bound in a mineral is not a free-liquid supply; no hydration mechanic proposed.</x:v>
      </x:c>
      <x:c r="O66" s="26"/>
      <x:c r="P66" s="26"/>
      <x:c r="Q66" s="26"/>
      <x:c r="R66" s="26"/>
      <x:c r="S66" s="26"/>
      <x:c r="T66" s="9" t="str">
        <x:v>Dry-world processing and overlap with existing binders</x:v>
      </x:c>
      <x:c r="U66" s="11"/>
      <x:c r="V66" s="9" t="str">
        <x:v>User brainstorming, October 14, 2026; game uses proposed. Reference: https://pubs.usgs.gov/publication/70018701</x:v>
      </x:c>
      <x:c r="W66" s="4" t="str">
        <x:v>Raw material</x:v>
      </x:c>
      <x:c r="X66" s="4" t="str">
        <x:v>Raw</x:v>
      </x:c>
      <x:c r="Y66" s="4" t="str">
        <x:v>Geological</x:v>
      </x:c>
      <x:c r="Z66" s="4" t="str">
        <x:v>Glass and ceramics</x:v>
      </x:c>
      <x:c r="AA66" s="4" t="str">
        <x:v>Mineral</x:v>
      </x:c>
      <x:c r="AB66" s="4" t="str">
        <x:v>Rock</x:v>
      </x:c>
      <x:c r="AC66" s="4" t="str">
        <x:v>Proposal</x:v>
      </x:c>
      <x:c r="AD66" s="4" t="str">
        <x:f>LOWER(A66&amp;"; "&amp;B66&amp;"; "&amp;C66&amp;"; "&amp;D66&amp;"; "&amp;W66&amp;"; "&amp;X66&amp;"; "&amp;Y66&amp;"; "&amp;Z66&amp;"; "&amp;AA66&amp;"; "&amp;AB66&amp;"; "&amp;AC66&amp;"; "&amp;U66)</x:f>
        <x:v>proposal.natural.gypsum; raw gypsum; resources; sulfate mineral; raw material; raw; geological; glass and ceramics; mineral; rock; proposal; </x:v>
      </x:c>
      <x:c r="AE66" s="4" t="str">
        <x:v>From current item description. Proposed uses retain their existing approval status.</x:v>
      </x:c>
      <x:c r="AF66" s="4" t="str">
        <x:v>T0</x:v>
      </x:c>
      <x:c r="AG66" s="4" t="str">
        <x:v>Raw gathered/recovered craft input under the author T0 framework. This does not imply a naturally occurring pure metal.</x:v>
      </x:c>
      <x:c r="AH66" s="4" t="str">
        <x:v>Not applicable</x:v>
      </x:c>
    </x:row>
    <x:row r="67" ht="75" customHeight="1">
      <x:c r="A67" s="9" t="str">
        <x:v>proposal.natural.talc</x:v>
      </x:c>
      <x:c r="B67" s="9" t="str">
        <x:v>Raw talc</x:v>
      </x:c>
      <x:c r="C67" s="9" t="str">
        <x:v>Resources</x:v>
      </x:c>
      <x:c r="D67" s="9" t="str">
        <x:v>Industrial mineral</x:v>
      </x:c>
      <x:c r="E67" s="9" t="str">
        <x:v>New proposal</x:v>
      </x:c>
      <x:c r="F67" s="9" t="str">
        <x:v>Soft mineral feed for proposed dry powders and ceramics</x:v>
      </x:c>
      <x:c r="G67" s="9" t="str">
        <x:v>None</x:v>
      </x:c>
      <x:c r="H67" s="9" t="str">
        <x:v>Legger / local storage proposed</x:v>
      </x:c>
      <x:c r="I67" s="13"/>
      <x:c r="J67" s="15"/>
      <x:c r="K67" s="9" t="str">
        <x:v>Authored mineral seam proposal</x:v>
      </x:c>
      <x:c r="L67" s="9" t="str">
        <x:v>Dry lubricant/filler research</x:v>
      </x:c>
      <x:c r="M67" s="9" t="str">
        <x:v>Not implemented</x:v>
      </x:c>
      <x:c r="N67" s="9" t="str">
        <x:v>Regional talc mining is reference evidence, not an implemented deposit.</x:v>
      </x:c>
      <x:c r="O67" s="26"/>
      <x:c r="P67" s="26"/>
      <x:c r="Q67" s="26"/>
      <x:c r="R67" s="26"/>
      <x:c r="S67" s="26"/>
      <x:c r="T67" s="9" t="str">
        <x:v>Useful difference from graphite and existing dust materials</x:v>
      </x:c>
      <x:c r="U67" s="11" t="str">
        <x:v>surface finishing</x:v>
      </x:c>
      <x:c r="V67" s="9" t="str">
        <x:v>User brainstorming, October 14, 2026; game uses proposed. Reference: https://www.nps.gov/deva/learn/nature/mining-in-death-valley.htm</x:v>
      </x:c>
      <x:c r="W67" s="4" t="str">
        <x:v>Raw material</x:v>
      </x:c>
      <x:c r="X67" s="4" t="str">
        <x:v>Raw</x:v>
      </x:c>
      <x:c r="Y67" s="4" t="str">
        <x:v>Geological</x:v>
      </x:c>
      <x:c r="Z67" s="4" t="str">
        <x:v>Glass and ceramics</x:v>
      </x:c>
      <x:c r="AA67" s="4" t="str">
        <x:v>Mineral</x:v>
      </x:c>
      <x:c r="AB67" s="4" t="str">
        <x:v>Rock</x:v>
      </x:c>
      <x:c r="AC67" s="4" t="str">
        <x:v>Proposal</x:v>
      </x:c>
      <x:c r="AD67" s="4" t="str">
        <x:f>LOWER(A67&amp;"; "&amp;B67&amp;"; "&amp;C67&amp;"; "&amp;D67&amp;"; "&amp;W67&amp;"; "&amp;X67&amp;"; "&amp;Y67&amp;"; "&amp;Z67&amp;"; "&amp;AA67&amp;"; "&amp;AB67&amp;"; "&amp;AC67&amp;"; "&amp;U67)</x:f>
        <x:v>proposal.natural.talc; raw talc; resources; industrial mineral; raw material; raw; geological; glass and ceramics; mineral; rock; proposal; surface finishing</x:v>
      </x:c>
      <x:c r="AE67" s="4" t="str">
        <x:v>From current item description. Proposed uses retain their existing approval status.</x:v>
      </x:c>
      <x:c r="AF67" s="4" t="str">
        <x:v>T0</x:v>
      </x:c>
      <x:c r="AG67" s="4" t="str">
        <x:v>Raw gathered/recovered craft input under the author T0 framework. This does not imply a naturally occurring pure metal.</x:v>
      </x:c>
      <x:c r="AH67" s="4" t="str">
        <x:v>Not applicable</x:v>
      </x:c>
    </x:row>
    <x:row r="68" ht="75" customHeight="1">
      <x:c r="A68" s="9" t="str">
        <x:v>proposal.natural.manganese_ore</x:v>
      </x:c>
      <x:c r="B68" s="9" t="str">
        <x:v>Manganese-bearing ore</x:v>
      </x:c>
      <x:c r="C68" s="9" t="str">
        <x:v>Resources</x:v>
      </x:c>
      <x:c r="D68" s="9" t="str">
        <x:v>Raw mineral</x:v>
      </x:c>
      <x:c r="E68" s="9" t="str">
        <x:v>New proposal</x:v>
      </x:c>
      <x:c r="F68" s="9" t="str">
        <x:v>Mineral feed for alloy and pigment research</x:v>
      </x:c>
      <x:c r="G68" s="9" t="str">
        <x:v>None</x:v>
      </x:c>
      <x:c r="H68" s="9" t="str">
        <x:v>Legger / local storage proposed</x:v>
      </x:c>
      <x:c r="I68" s="13"/>
      <x:c r="J68" s="15"/>
      <x:c r="K68" s="9" t="str">
        <x:v>Authored mineral deposit proposal</x:v>
      </x:c>
      <x:c r="L68" s="9" t="str">
        <x:v>Advanced metallurgy research</x:v>
      </x:c>
      <x:c r="M68" s="9" t="str">
        <x:v>Not implemented</x:v>
      </x:c>
      <x:c r="N68" s="9" t="str">
        <x:v>Regional commodity listed by NPS; exact ore mineral remains unselected.</x:v>
      </x:c>
      <x:c r="O68" s="26"/>
      <x:c r="P68" s="26"/>
      <x:c r="Q68" s="26"/>
      <x:c r="R68" s="26"/>
      <x:c r="S68" s="26"/>
      <x:c r="T68" s="9" t="str">
        <x:v>Mineral species, steelmaking role and processing tier</x:v>
      </x:c>
      <x:c r="U68" s="11" t="str">
        <x:v>decoration</x:v>
      </x:c>
      <x:c r="V68" s="9" t="str">
        <x:v>User brainstorming, October 14, 2026; game uses proposed. Reference: https://home.nps.gov/deva/faqs.htm</x:v>
      </x:c>
      <x:c r="W68" s="4" t="str">
        <x:v>Raw material</x:v>
      </x:c>
      <x:c r="X68" s="4" t="str">
        <x:v>Raw</x:v>
      </x:c>
      <x:c r="Y68" s="4" t="str">
        <x:v>Geological</x:v>
      </x:c>
      <x:c r="Z68" s="4" t="str">
        <x:v>Metal refining</x:v>
      </x:c>
      <x:c r="AA68" s="4" t="str">
        <x:v>Mineral</x:v>
      </x:c>
      <x:c r="AB68" s="4" t="str">
        <x:v>Rock</x:v>
      </x:c>
      <x:c r="AC68" s="4" t="str">
        <x:v>Proposal</x:v>
      </x:c>
      <x:c r="AD68" s="4" t="str">
        <x:f>LOWER(A68&amp;"; "&amp;B68&amp;"; "&amp;C68&amp;"; "&amp;D68&amp;"; "&amp;W68&amp;"; "&amp;X68&amp;"; "&amp;Y68&amp;"; "&amp;Z68&amp;"; "&amp;AA68&amp;"; "&amp;AB68&amp;"; "&amp;AC68&amp;"; "&amp;U68)</x:f>
        <x:v>proposal.natural.manganese_ore; manganese-bearing ore; resources; raw mineral; raw material; raw; geological; metal refining; mineral; rock; proposal; decoration</x:v>
      </x:c>
      <x:c r="AE68" s="4" t="str">
        <x:v>From current item description. Proposed uses retain their existing approval status.</x:v>
      </x:c>
      <x:c r="AF68" s="4" t="str">
        <x:v>T0</x:v>
      </x:c>
      <x:c r="AG68" s="4" t="str">
        <x:v>Raw gathered/recovered craft input under the author T0 framework. This does not imply a naturally occurring pure metal.</x:v>
      </x:c>
      <x:c r="AH68" s="4" t="str">
        <x:v>Not applicable</x:v>
      </x:c>
    </x:row>
    <x:row r="69" ht="75" customHeight="1">
      <x:c r="A69" s="9" t="str">
        <x:v>proposal.natural.lead_ore</x:v>
      </x:c>
      <x:c r="B69" s="9" t="str">
        <x:v>Lead-bearing ore</x:v>
      </x:c>
      <x:c r="C69" s="9" t="str">
        <x:v>Resources</x:v>
      </x:c>
      <x:c r="D69" s="9" t="str">
        <x:v>Raw mineral</x:v>
      </x:c>
      <x:c r="E69" s="9" t="str">
        <x:v>New proposal</x:v>
      </x:c>
      <x:c r="F69" s="9" t="str">
        <x:v>Heavy mineral feed for specialized industrial material</x:v>
      </x:c>
      <x:c r="G69" s="9" t="str">
        <x:v>None</x:v>
      </x:c>
      <x:c r="H69" s="9" t="str">
        <x:v>Legger / local storage proposed</x:v>
      </x:c>
      <x:c r="I69" s="13"/>
      <x:c r="J69" s="15"/>
      <x:c r="K69" s="9" t="str">
        <x:v>Authored mineral deposit proposal</x:v>
      </x:c>
      <x:c r="L69" s="9" t="str">
        <x:v>Specialist refining and dense-component research</x:v>
      </x:c>
      <x:c r="M69" s="9" t="str">
        <x:v>Not implemented</x:v>
      </x:c>
      <x:c r="N69" s="9" t="str">
        <x:v>Regional lead mining documented; item does not establish easy field refining.</x:v>
      </x:c>
      <x:c r="O69" s="26"/>
      <x:c r="P69" s="26"/>
      <x:c r="Q69" s="26"/>
      <x:c r="R69" s="26"/>
      <x:c r="S69" s="26"/>
      <x:c r="T69" s="9" t="str">
        <x:v>Whether its mass and uses create a worthwhile haul</x:v>
      </x:c>
      <x:c r="U69" s="11"/>
      <x:c r="V69" s="9" t="str">
        <x:v>User brainstorming, October 14, 2026; game uses proposed. Reference: https://www.nps.gov/deva/learn/nature/mining-in-death-valley.htm</x:v>
      </x:c>
      <x:c r="W69" s="4" t="str">
        <x:v>Raw material</x:v>
      </x:c>
      <x:c r="X69" s="4" t="str">
        <x:v>Raw</x:v>
      </x:c>
      <x:c r="Y69" s="4" t="str">
        <x:v>Geological</x:v>
      </x:c>
      <x:c r="Z69" s="4" t="str">
        <x:v>Metal refining</x:v>
      </x:c>
      <x:c r="AA69" s="4" t="str">
        <x:v>Mineral</x:v>
      </x:c>
      <x:c r="AB69" s="4" t="str">
        <x:v>Rock</x:v>
      </x:c>
      <x:c r="AC69" s="4" t="str">
        <x:v>Proposal</x:v>
      </x:c>
      <x:c r="AD69" s="4" t="str">
        <x:f>LOWER(A69&amp;"; "&amp;B69&amp;"; "&amp;C69&amp;"; "&amp;D69&amp;"; "&amp;W69&amp;"; "&amp;X69&amp;"; "&amp;Y69&amp;"; "&amp;Z69&amp;"; "&amp;AA69&amp;"; "&amp;AB69&amp;"; "&amp;AC69&amp;"; "&amp;U69)</x:f>
        <x:v>proposal.natural.lead_ore; lead-bearing ore; resources; raw mineral; raw material; raw; geological; metal refining; mineral; rock; proposal; </x:v>
      </x:c>
      <x:c r="AE69" s="4" t="str">
        <x:v>From current item description. Proposed uses retain their existing approval status.</x:v>
      </x:c>
      <x:c r="AF69" s="4" t="str">
        <x:v>T0</x:v>
      </x:c>
      <x:c r="AG69" s="4" t="str">
        <x:v>Raw gathered/recovered craft input under the author T0 framework. This does not imply a naturally occurring pure metal.</x:v>
      </x:c>
      <x:c r="AH69" s="4" t="str">
        <x:v>Not applicable</x:v>
      </x:c>
    </x:row>
    <x:row r="70" ht="75" customHeight="1">
      <x:c r="A70" s="9" t="str">
        <x:v>proposal.natural.zinc_ore</x:v>
      </x:c>
      <x:c r="B70" s="9" t="str">
        <x:v>Zinc-bearing ore</x:v>
      </x:c>
      <x:c r="C70" s="9" t="str">
        <x:v>Resources</x:v>
      </x:c>
      <x:c r="D70" s="9" t="str">
        <x:v>Raw mineral</x:v>
      </x:c>
      <x:c r="E70" s="9" t="str">
        <x:v>New proposal</x:v>
      </x:c>
      <x:c r="F70" s="9" t="str">
        <x:v>Mineral feed for alloy and protective-coating research</x:v>
      </x:c>
      <x:c r="G70" s="9" t="str">
        <x:v>None</x:v>
      </x:c>
      <x:c r="H70" s="9" t="str">
        <x:v>Legger / local storage proposed</x:v>
      </x:c>
      <x:c r="I70" s="13"/>
      <x:c r="J70" s="15"/>
      <x:c r="K70" s="9" t="str">
        <x:v>Authored mineral deposit proposal</x:v>
      </x:c>
      <x:c r="L70" s="9" t="str">
        <x:v>Brass/coating research with copper</x:v>
      </x:c>
      <x:c r="M70" s="9" t="str">
        <x:v>Not implemented</x:v>
      </x:c>
      <x:c r="N70" s="9" t="str">
        <x:v>Regional zinc commodity documented; no alloy recipe approved.</x:v>
      </x:c>
      <x:c r="O70" s="26"/>
      <x:c r="P70" s="26"/>
      <x:c r="Q70" s="26"/>
      <x:c r="R70" s="26"/>
      <x:c r="S70" s="26"/>
      <x:c r="T70" s="9" t="str">
        <x:v>Mineral, processing and final equipment uses</x:v>
      </x:c>
      <x:c r="U70" s="11"/>
      <x:c r="V70" s="9" t="str">
        <x:v>User brainstorming, October 14, 2026; game uses proposed. Reference: https://www.nps.gov/deva/learn/nature/mining-in-death-valley.htm</x:v>
      </x:c>
      <x:c r="W70" s="4" t="str">
        <x:v>Raw material</x:v>
      </x:c>
      <x:c r="X70" s="4" t="str">
        <x:v>Raw</x:v>
      </x:c>
      <x:c r="Y70" s="4" t="str">
        <x:v>Geological</x:v>
      </x:c>
      <x:c r="Z70" s="4" t="str">
        <x:v>Metal refining</x:v>
      </x:c>
      <x:c r="AA70" s="4" t="str">
        <x:v>Mineral</x:v>
      </x:c>
      <x:c r="AB70" s="4" t="str">
        <x:v>Rock</x:v>
      </x:c>
      <x:c r="AC70" s="4" t="str">
        <x:v>Proposal</x:v>
      </x:c>
      <x:c r="AD70" s="4" t="str">
        <x:f>LOWER(A70&amp;"; "&amp;B70&amp;"; "&amp;C70&amp;"; "&amp;D70&amp;"; "&amp;W70&amp;"; "&amp;X70&amp;"; "&amp;Y70&amp;"; "&amp;Z70&amp;"; "&amp;AA70&amp;"; "&amp;AB70&amp;"; "&amp;AC70&amp;"; "&amp;U70)</x:f>
        <x:v>proposal.natural.zinc_ore; zinc-bearing ore; resources; raw mineral; raw material; raw; geological; metal refining; mineral; rock; proposal; </x:v>
      </x:c>
      <x:c r="AE70" s="4" t="str">
        <x:v>From current item description. Proposed uses retain their existing approval status.</x:v>
      </x:c>
      <x:c r="AF70" s="4" t="str">
        <x:v>T0</x:v>
      </x:c>
      <x:c r="AG70" s="4" t="str">
        <x:v>Raw gathered/recovered craft input under the author T0 framework. This does not imply a naturally occurring pure metal.</x:v>
      </x:c>
      <x:c r="AH70" s="4" t="str">
        <x:v>Not applicable</x:v>
      </x:c>
    </x:row>
    <x:row r="71" ht="75" customHeight="1">
      <x:c r="A71" s="9" t="str">
        <x:v>proposal.natural.silver_ore</x:v>
      </x:c>
      <x:c r="B71" s="9" t="str">
        <x:v>Silver-bearing ore</x:v>
      </x:c>
      <x:c r="C71" s="9" t="str">
        <x:v>Resources</x:v>
      </x:c>
      <x:c r="D71" s="9" t="str">
        <x:v>Raw mineral</x:v>
      </x:c>
      <x:c r="E71" s="9" t="str">
        <x:v>New proposal</x:v>
      </x:c>
      <x:c r="F71" s="9" t="str">
        <x:v>Mineral feed for trade and specialist contact research</x:v>
      </x:c>
      <x:c r="G71" s="9" t="str">
        <x:v>None</x:v>
      </x:c>
      <x:c r="H71" s="9" t="str">
        <x:v>Legger / local storage proposed</x:v>
      </x:c>
      <x:c r="I71" s="13"/>
      <x:c r="J71" s="15"/>
      <x:c r="K71" s="9" t="str">
        <x:v>Authored high-grade seam proposal</x:v>
      </x:c>
      <x:c r="L71" s="9" t="str">
        <x:v>Refining and trade research</x:v>
      </x:c>
      <x:c r="M71" s="9" t="str">
        <x:v>Not implemented</x:v>
      </x:c>
      <x:c r="N71" s="9" t="str">
        <x:v>Regional silver mining documented; value is undecided.</x:v>
      </x:c>
      <x:c r="O71" s="26"/>
      <x:c r="P71" s="26"/>
      <x:c r="Q71" s="26"/>
      <x:c r="R71" s="26"/>
      <x:c r="S71" s="26"/>
      <x:c r="T71" s="9" t="str">
        <x:v>Use beyond trade and relation to copper conductors</x:v>
      </x:c>
      <x:c r="U71" s="11" t="str">
        <x:v>electrical conduction</x:v>
      </x:c>
      <x:c r="V71" s="9" t="str">
        <x:v>User brainstorming, October 14, 2026; game uses proposed. Reference: https://www.nps.gov/deva/learn/nature/mining-in-death-valley.htm</x:v>
      </x:c>
      <x:c r="W71" s="4" t="str">
        <x:v>Raw material</x:v>
      </x:c>
      <x:c r="X71" s="4" t="str">
        <x:v>Raw</x:v>
      </x:c>
      <x:c r="Y71" s="4" t="str">
        <x:v>Geological</x:v>
      </x:c>
      <x:c r="Z71" s="4" t="str">
        <x:v>Metal refining</x:v>
      </x:c>
      <x:c r="AA71" s="4" t="str">
        <x:v>Mineral</x:v>
      </x:c>
      <x:c r="AB71" s="4" t="str">
        <x:v>Rock</x:v>
      </x:c>
      <x:c r="AC71" s="4" t="str">
        <x:v>Proposal</x:v>
      </x:c>
      <x:c r="AD71" s="4" t="str">
        <x:f>LOWER(A71&amp;"; "&amp;B71&amp;"; "&amp;C71&amp;"; "&amp;D71&amp;"; "&amp;W71&amp;"; "&amp;X71&amp;"; "&amp;Y71&amp;"; "&amp;Z71&amp;"; "&amp;AA71&amp;"; "&amp;AB71&amp;"; "&amp;AC71&amp;"; "&amp;U71)</x:f>
        <x:v>proposal.natural.silver_ore; silver-bearing ore; resources; raw mineral; raw material; raw; geological; metal refining; mineral; rock; proposal; electrical conduction</x:v>
      </x:c>
      <x:c r="AE71" s="4" t="str">
        <x:v>From current item description. Proposed uses retain their existing approval status.</x:v>
      </x:c>
      <x:c r="AF71" s="4" t="str">
        <x:v>T0</x:v>
      </x:c>
      <x:c r="AG71" s="4" t="str">
        <x:v>Raw gathered/recovered craft input under the author T0 framework. This does not imply a naturally occurring pure metal.</x:v>
      </x:c>
      <x:c r="AH71" s="4" t="str">
        <x:v>Not applicable</x:v>
      </x:c>
    </x:row>
    <x:row r="72" ht="75" customHeight="1">
      <x:c r="A72" s="9" t="str">
        <x:v>proposal.natural.gold_rock</x:v>
      </x:c>
      <x:c r="B72" s="9" t="str">
        <x:v>Gold-bearing rock</x:v>
      </x:c>
      <x:c r="C72" s="9" t="str">
        <x:v>Resources</x:v>
      </x:c>
      <x:c r="D72" s="9" t="str">
        <x:v>Raw mineral</x:v>
      </x:c>
      <x:c r="E72" s="9" t="str">
        <x:v>New proposal</x:v>
      </x:c>
      <x:c r="F72" s="9" t="str">
        <x:v>Scarce mineral feed for trade and specialist components</x:v>
      </x:c>
      <x:c r="G72" s="9" t="str">
        <x:v>None</x:v>
      </x:c>
      <x:c r="H72" s="9" t="str">
        <x:v>Legger / local storage proposed</x:v>
      </x:c>
      <x:c r="I72" s="13"/>
      <x:c r="J72" s="15"/>
      <x:c r="K72" s="9" t="str">
        <x:v>Authored mineral deposit proposal</x:v>
      </x:c>
      <x:c r="L72" s="9" t="str">
        <x:v>Separation/refining and trade research</x:v>
      </x:c>
      <x:c r="M72" s="9" t="str">
        <x:v>Not implemented</x:v>
      </x:c>
      <x:c r="N72" s="9" t="str">
        <x:v>Regional gold mining documented; no currency or rarity value set.</x:v>
      </x:c>
      <x:c r="O72" s="26"/>
      <x:c r="P72" s="26"/>
      <x:c r="Q72" s="26"/>
      <x:c r="R72" s="26"/>
      <x:c r="S72" s="26"/>
      <x:c r="T72" s="9" t="str">
        <x:v>Whether gold has a meaningful survival-economy role</x:v>
      </x:c>
      <x:c r="U72" s="11" t="str">
        <x:v>decoration</x:v>
      </x:c>
      <x:c r="V72" s="9" t="str">
        <x:v>User brainstorming, October 14, 2026; game uses proposed. Reference: https://www.nps.gov/deva/learn/nature/mining-in-death-valley.htm</x:v>
      </x:c>
      <x:c r="W72" s="4" t="str">
        <x:v>Raw material</x:v>
      </x:c>
      <x:c r="X72" s="4" t="str">
        <x:v>Raw</x:v>
      </x:c>
      <x:c r="Y72" s="4" t="str">
        <x:v>Geological</x:v>
      </x:c>
      <x:c r="Z72" s="4" t="str">
        <x:v>Metal refining</x:v>
      </x:c>
      <x:c r="AA72" s="4" t="str">
        <x:v>Mineral</x:v>
      </x:c>
      <x:c r="AB72" s="4" t="str">
        <x:v>Rock</x:v>
      </x:c>
      <x:c r="AC72" s="4" t="str">
        <x:v>Proposal</x:v>
      </x:c>
      <x:c r="AD72" s="4" t="str">
        <x:f>LOWER(A72&amp;"; "&amp;B72&amp;"; "&amp;C72&amp;"; "&amp;D72&amp;"; "&amp;W72&amp;"; "&amp;X72&amp;"; "&amp;Y72&amp;"; "&amp;Z72&amp;"; "&amp;AA72&amp;"; "&amp;AB72&amp;"; "&amp;AC72&amp;"; "&amp;U72)</x:f>
        <x:v>proposal.natural.gold_rock; gold-bearing rock; resources; raw mineral; raw material; raw; geological; metal refining; mineral; rock; proposal; decoration</x:v>
      </x:c>
      <x:c r="AE72" s="4" t="str">
        <x:v>From current item description. Proposed uses retain their existing approval status.</x:v>
      </x:c>
      <x:c r="AF72" s="4" t="str">
        <x:v>T0</x:v>
      </x:c>
      <x:c r="AG72" s="4" t="str">
        <x:v>Raw gathered/recovered craft input under the author T0 framework. This does not imply a naturally occurring pure metal.</x:v>
      </x:c>
      <x:c r="AH72" s="4" t="str">
        <x:v>Not applicable</x:v>
      </x:c>
    </x:row>
    <x:row r="73" ht="75" customHeight="1">
      <x:c r="A73" s="9" t="str">
        <x:v>proposal.natural.fluorite</x:v>
      </x:c>
      <x:c r="B73" s="9" t="str">
        <x:v>Raw fluorite</x:v>
      </x:c>
      <x:c r="C73" s="9" t="str">
        <x:v>Resources</x:v>
      </x:c>
      <x:c r="D73" s="9" t="str">
        <x:v>Industrial mineral</x:v>
      </x:c>
      <x:c r="E73" s="9" t="str">
        <x:v>New proposal</x:v>
      </x:c>
      <x:c r="F73" s="9" t="str">
        <x:v>Mineral feed for specialist ceramic/metallurgical research</x:v>
      </x:c>
      <x:c r="G73" s="9" t="str">
        <x:v>None</x:v>
      </x:c>
      <x:c r="H73" s="9" t="str">
        <x:v>Legger / local storage proposed</x:v>
      </x:c>
      <x:c r="I73" s="13"/>
      <x:c r="J73" s="15"/>
      <x:c r="K73" s="9" t="str">
        <x:v>Authored mineral deposit proposal</x:v>
      </x:c>
      <x:c r="L73" s="9" t="str">
        <x:v>Flux/optical-material research</x:v>
      </x:c>
      <x:c r="M73" s="9" t="str">
        <x:v>Not implemented</x:v>
      </x:c>
      <x:c r="N73" s="9" t="str">
        <x:v>NPS lists fluorspar; proposed manufacturing uses need their own design.</x:v>
      </x:c>
      <x:c r="O73" s="26"/>
      <x:c r="P73" s="26"/>
      <x:c r="Q73" s="26"/>
      <x:c r="R73" s="26"/>
      <x:c r="S73" s="26"/>
      <x:c r="T73" s="9" t="str">
        <x:v>Distinct use, processing and game naming</x:v>
      </x:c>
      <x:c r="U73" s="11" t="str">
        <x:v>metal refining</x:v>
      </x:c>
      <x:c r="V73" s="9" t="str">
        <x:v>User brainstorming, October 14, 2026; game uses proposed. Reference: https://home.nps.gov/deva/faqs.htm</x:v>
      </x:c>
      <x:c r="W73" s="4" t="str">
        <x:v>Raw material</x:v>
      </x:c>
      <x:c r="X73" s="4" t="str">
        <x:v>Raw</x:v>
      </x:c>
      <x:c r="Y73" s="4" t="str">
        <x:v>Geological</x:v>
      </x:c>
      <x:c r="Z73" s="4" t="str">
        <x:v>Glass and ceramics</x:v>
      </x:c>
      <x:c r="AA73" s="4" t="str">
        <x:v>Mineral</x:v>
      </x:c>
      <x:c r="AB73" s="4" t="str">
        <x:v>Rock</x:v>
      </x:c>
      <x:c r="AC73" s="4" t="str">
        <x:v>Proposal</x:v>
      </x:c>
      <x:c r="AD73" s="4" t="str">
        <x:f>LOWER(A73&amp;"; "&amp;B73&amp;"; "&amp;C73&amp;"; "&amp;D73&amp;"; "&amp;W73&amp;"; "&amp;X73&amp;"; "&amp;Y73&amp;"; "&amp;Z73&amp;"; "&amp;AA73&amp;"; "&amp;AB73&amp;"; "&amp;AC73&amp;"; "&amp;U73)</x:f>
        <x:v>proposal.natural.fluorite; raw fluorite; resources; industrial mineral; raw material; raw; geological; glass and ceramics; mineral; rock; proposal; metal refining</x:v>
      </x:c>
      <x:c r="AE73" s="4" t="str">
        <x:v>From current item description. Proposed uses retain their existing approval status.</x:v>
      </x:c>
      <x:c r="AF73" s="4" t="str">
        <x:v>T0</x:v>
      </x:c>
      <x:c r="AG73" s="4" t="str">
        <x:v>Raw gathered/recovered craft input under the author T0 framework. This does not imply a naturally occurring pure metal.</x:v>
      </x:c>
      <x:c r="AH73" s="4" t="str">
        <x:v>Not applicable</x:v>
      </x:c>
    </x:row>
    <x:row r="74" ht="75" customHeight="1">
      <x:c r="A74" s="9" t="str">
        <x:v>proposal.natural.antimony_ore</x:v>
      </x:c>
      <x:c r="B74" s="9" t="str">
        <x:v>Antimony-bearing ore</x:v>
      </x:c>
      <x:c r="C74" s="9" t="str">
        <x:v>Resources</x:v>
      </x:c>
      <x:c r="D74" s="9" t="str">
        <x:v>Raw mineral</x:v>
      </x:c>
      <x:c r="E74" s="9" t="str">
        <x:v>New proposal</x:v>
      </x:c>
      <x:c r="F74" s="9" t="str">
        <x:v>Mineral feed for specialist alloy research</x:v>
      </x:c>
      <x:c r="G74" s="9" t="str">
        <x:v>None</x:v>
      </x:c>
      <x:c r="H74" s="9" t="str">
        <x:v>Legger / local storage proposed</x:v>
      </x:c>
      <x:c r="I74" s="13"/>
      <x:c r="J74" s="15"/>
      <x:c r="K74" s="9" t="str">
        <x:v>Authored mineral deposit proposal</x:v>
      </x:c>
      <x:c r="L74" s="9" t="str">
        <x:v>Advanced alloy research</x:v>
      </x:c>
      <x:c r="M74" s="9" t="str">
        <x:v>Not implemented</x:v>
      </x:c>
      <x:c r="N74" s="9" t="str">
        <x:v>Regional antimony commodity documented; no final ore species or recipe selected.</x:v>
      </x:c>
      <x:c r="O74" s="26"/>
      <x:c r="P74" s="26"/>
      <x:c r="Q74" s="26"/>
      <x:c r="R74" s="26"/>
      <x:c r="S74" s="26"/>
      <x:c r="T74" s="9" t="str">
        <x:v>Keep only if advanced crafting needs this separate material</x:v>
      </x:c>
      <x:c r="U74" s="11"/>
      <x:c r="V74" s="9" t="str">
        <x:v>User brainstorming, October 14, 2026; game uses proposed. Reference: https://www.nps.gov/deva/learn/nature/mining-in-death-valley.htm</x:v>
      </x:c>
      <x:c r="W74" s="4" t="str">
        <x:v>Raw material</x:v>
      </x:c>
      <x:c r="X74" s="4" t="str">
        <x:v>Raw</x:v>
      </x:c>
      <x:c r="Y74" s="4" t="str">
        <x:v>Geological</x:v>
      </x:c>
      <x:c r="Z74" s="4" t="str">
        <x:v>Metal refining</x:v>
      </x:c>
      <x:c r="AA74" s="4" t="str">
        <x:v>Mineral</x:v>
      </x:c>
      <x:c r="AB74" s="4" t="str">
        <x:v>Rock</x:v>
      </x:c>
      <x:c r="AC74" s="4" t="str">
        <x:v>Proposal</x:v>
      </x:c>
      <x:c r="AD74" s="4" t="str">
        <x:f>LOWER(A74&amp;"; "&amp;B74&amp;"; "&amp;C74&amp;"; "&amp;D74&amp;"; "&amp;W74&amp;"; "&amp;X74&amp;"; "&amp;Y74&amp;"; "&amp;Z74&amp;"; "&amp;AA74&amp;"; "&amp;AB74&amp;"; "&amp;AC74&amp;"; "&amp;U74)</x:f>
        <x:v>proposal.natural.antimony_ore; antimony-bearing ore; resources; raw mineral; raw material; raw; geological; metal refining; mineral; rock; proposal; </x:v>
      </x:c>
      <x:c r="AE74" s="4" t="str">
        <x:v>From current item description. Proposed uses retain their existing approval status.</x:v>
      </x:c>
      <x:c r="AF74" s="4" t="str">
        <x:v>T0</x:v>
      </x:c>
      <x:c r="AG74" s="4" t="str">
        <x:v>Raw gathered/recovered craft input under the author T0 framework. This does not imply a naturally occurring pure metal.</x:v>
      </x:c>
      <x:c r="AH74" s="4" t="str">
        <x:v>Not applicable</x:v>
      </x:c>
    </x:row>
    <x:row r="75" ht="75" customHeight="1">
      <x:c r="A75" s="9" t="str">
        <x:v>proposal.bio.chitin_fibers</x:v>
      </x:c>
      <x:c r="B75" s="9" t="str">
        <x:v>Scraped chitin fibers</x:v>
      </x:c>
      <x:c r="C75" s="9" t="str">
        <x:v>Resources</x:v>
      </x:c>
      <x:c r="D75" s="9" t="str">
        <x:v>Raw husk fiber</x:v>
      </x:c>
      <x:c r="E75" s="9" t="str">
        <x:v>User direction; not implemented</x:v>
      </x:c>
      <x:c r="F75" s="9" t="str">
        <x:v>Abundant husk fiber feed for paper and difficult pressed textiles.</x:v>
      </x:c>
      <x:c r="G75" s="9" t="str">
        <x:v>None</x:v>
      </x:c>
      <x:c r="H75" s="9" t="str">
        <x:v>Legger / local storage proposed</x:v>
      </x:c>
      <x:c r="I75" s="13"/>
      <x:c r="J75" s="15"/>
      <x:c r="K75" s="9" t="str">
        <x:v>Scrape shell husks</x:v>
      </x:c>
      <x:c r="L75" s="9" t="str">
        <x:v>Main paper feedstock; textile conversion very difficult</x:v>
      </x:c>
      <x:c r="M75" s="9" t="str">
        <x:v>Not implemented</x:v>
      </x:c>
      <x:c r="N75" s="9" t="str">
        <x:v>Abundance applies to raw fibers; no numeric output yield approved.</x:v>
      </x:c>
      <x:c r="O75" s="28"/>
      <x:c r="P75" s="28"/>
      <x:c r="Q75" s="28"/>
      <x:c r="R75" s="28"/>
      <x:c r="S75" s="28"/>
      <x:c r="T75" s="9" t="str">
        <x:v>Distinction from icore and exact processing; fashion-crafting input: high sale-value intent; large material/time demand; exact prices and quantities TBD</x:v>
      </x:c>
      <x:c r="U75" s="11" t="str">
        <x:v>textile processing</x:v>
      </x:c>
      <x:c r="V75" s="9" t="str">
        <x:v>Docs/WORLD_BASIS.md#material-culture; author direction October 14, 2026. Process details and specific product forms remain unimplemented.</x:v>
      </x:c>
      <x:c r="W75" s="4" t="str">
        <x:v>Raw material</x:v>
      </x:c>
      <x:c r="X75" s="4" t="str">
        <x:v>Raw</x:v>
      </x:c>
      <x:c r="Y75" s="4" t="str">
        <x:v>Fauna</x:v>
      </x:c>
      <x:c r="Z75" s="4" t="str">
        <x:v>Paper making</x:v>
      </x:c>
      <x:c r="AA75" s="4" t="str">
        <x:v>Shell / chitin</x:v>
      </x:c>
      <x:c r="AB75" s="4" t="str">
        <x:v>Fiber</x:v>
      </x:c>
      <x:c r="AC75" s="4" t="str">
        <x:v>Author direction</x:v>
      </x:c>
      <x:c r="AD75" s="4" t="str">
        <x:f>LOWER(A75&amp;"; "&amp;B75&amp;"; "&amp;C75&amp;"; "&amp;D75&amp;"; "&amp;W75&amp;"; "&amp;X75&amp;"; "&amp;Y75&amp;"; "&amp;Z75&amp;"; "&amp;AA75&amp;"; "&amp;AB75&amp;"; "&amp;AC75&amp;"; "&amp;U75)</x:f>
        <x:v>proposal.bio.chitin_fibers; scraped chitin fibers; resources; raw husk fiber; raw material; raw; fauna; paper making; shell / chitin; fiber; author direction; textile processing</x:v>
      </x:c>
      <x:c r="AE75" s="4" t="str">
        <x:v>From current item description. Proposed uses retain their existing approval status.</x:v>
      </x:c>
      <x:c r="AF75" s="4" t="str">
        <x:v>T0</x:v>
      </x:c>
      <x:c r="AG75" s="4" t="str">
        <x:v>Raw gathered/recovered craft input under the author T0 framework. This does not imply a naturally occurring pure metal.</x:v>
      </x:c>
      <x:c r="AH75" s="4" t="str">
        <x:v>Not applicable</x:v>
      </x:c>
    </x:row>
    <x:row r="76" ht="75" customHeight="1">
      <x:c r="A76" s="9" t="str">
        <x:v>proposal.bio.icore_fibers</x:v>
      </x:c>
      <x:c r="B76" s="9" t="str">
        <x:v>Scraped icore fibers</x:v>
      </x:c>
      <x:c r="C76" s="9" t="str">
        <x:v>Resources</x:v>
      </x:c>
      <x:c r="D76" s="9" t="str">
        <x:v>Raw husk fiber</x:v>
      </x:c>
      <x:c r="E76" s="9" t="str">
        <x:v>User direction; not implemented</x:v>
      </x:c>
      <x:c r="F76" s="9" t="str">
        <x:v>Abundant fibers scraped from shell husks.</x:v>
      </x:c>
      <x:c r="G76" s="9" t="str">
        <x:v>None</x:v>
      </x:c>
      <x:c r="H76" s="9" t="str">
        <x:v>Legger / local storage proposed</x:v>
      </x:c>
      <x:c r="I76" s="13"/>
      <x:c r="J76" s="15"/>
      <x:c r="K76" s="9" t="str">
        <x:v>Scrape shell husks</x:v>
      </x:c>
      <x:c r="L76" s="9" t="str">
        <x:v>Paper feedstock and difficult pressed-textile material</x:v>
      </x:c>
      <x:c r="M76" s="9" t="str">
        <x:v>Not implemented</x:v>
      </x:c>
      <x:c r="N76" s="9" t="str">
        <x:v>Author spelling retained; no composition, fluid identity or special property invented.</x:v>
      </x:c>
      <x:c r="O76" s="28"/>
      <x:c r="P76" s="28"/>
      <x:c r="Q76" s="28"/>
      <x:c r="R76" s="28"/>
      <x:c r="S76" s="28"/>
      <x:c r="T76" s="9" t="str">
        <x:v>Define icore and whether paper uses one or both fiber types; fashion-crafting input: high sale-value intent; large material/time demand; exact prices and quantities TBD</x:v>
      </x:c>
      <x:c r="U76" s="11" t="str">
        <x:v>textile processing; icore husk fibers not liquid ichor</x:v>
      </x:c>
      <x:c r="V76" s="9" t="str">
        <x:v>Docs/WORLD_BASIS.md#material-culture; author direction October 14, 2026. Process details and specific product forms remain unimplemented.</x:v>
      </x:c>
      <x:c r="W76" s="4" t="str">
        <x:v>Raw material</x:v>
      </x:c>
      <x:c r="X76" s="4" t="str">
        <x:v>Raw</x:v>
      </x:c>
      <x:c r="Y76" s="4" t="str">
        <x:v>Fauna</x:v>
      </x:c>
      <x:c r="Z76" s="4" t="str">
        <x:v>Paper making</x:v>
      </x:c>
      <x:c r="AA76" s="4" t="str">
        <x:v>Husk fiber</x:v>
      </x:c>
      <x:c r="AB76" s="4" t="str">
        <x:v>Fiber</x:v>
      </x:c>
      <x:c r="AC76" s="4" t="str">
        <x:v>Author direction</x:v>
      </x:c>
      <x:c r="AD76" s="4" t="str">
        <x:f>LOWER(A76&amp;"; "&amp;B76&amp;"; "&amp;C76&amp;"; "&amp;D76&amp;"; "&amp;W76&amp;"; "&amp;X76&amp;"; "&amp;Y76&amp;"; "&amp;Z76&amp;"; "&amp;AA76&amp;"; "&amp;AB76&amp;"; "&amp;AC76&amp;"; "&amp;U76)</x:f>
        <x:v>proposal.bio.icore_fibers; scraped icore fibers; resources; raw husk fiber; raw material; raw; fauna; paper making; husk fiber; fiber; author direction; textile processing; icore husk fibers not liquid ichor</x:v>
      </x:c>
      <x:c r="AE76" s="4" t="str">
        <x:v>From current item description. Proposed uses retain their existing approval status.</x:v>
      </x:c>
      <x:c r="AF76" s="4" t="str">
        <x:v>T0</x:v>
      </x:c>
      <x:c r="AG76" s="4" t="str">
        <x:v>Raw gathered/recovered craft input under the author T0 framework. This does not imply a naturally occurring pure metal.</x:v>
      </x:c>
      <x:c r="AH76" s="4" t="str">
        <x:v>Not applicable</x:v>
      </x:c>
    </x:row>
    <x:row r="77" ht="75" customHeight="1">
      <x:c r="A77" s="9" t="str">
        <x:v>proposal.bio.husk_paper</x:v>
      </x:c>
      <x:c r="B77" s="9" t="str">
        <x:v>Husk-fiber paper</x:v>
      </x:c>
      <x:c r="C77" s="9" t="str">
        <x:v>Crafting components</x:v>
      </x:c>
      <x:c r="D77" s="9" t="str">
        <x:v>Paper</x:v>
      </x:c>
      <x:c r="E77" s="9" t="str">
        <x:v>User direction; not implemented</x:v>
      </x:c>
      <x:c r="F77" s="9" t="str">
        <x:v>The main paper material comes from scraped shell-husk fibers.</x:v>
      </x:c>
      <x:c r="G77" s="9" t="str">
        <x:v>None</x:v>
      </x:c>
      <x:c r="H77" s="9" t="str">
        <x:v>Legger / local storage proposed</x:v>
      </x:c>
      <x:c r="I77" s="13"/>
      <x:c r="J77" s="15"/>
      <x:c r="K77" s="9" t="str">
        <x:v>Process scraped husk fibers</x:v>
      </x:c>
      <x:c r="L77" s="9" t="str">
        <x:v>Paper sheets; end uses remain open</x:v>
      </x:c>
      <x:c r="M77" s="9" t="str">
        <x:v>Not implemented</x:v>
      </x:c>
      <x:c r="N77" s="9" t="str">
        <x:v>Main source established; paper recipe, difficulty and yield not yet specified.</x:v>
      </x:c>
      <x:c r="O77" s="28"/>
      <x:c r="P77" s="28"/>
      <x:c r="Q77" s="28"/>
      <x:c r="R77" s="28"/>
      <x:c r="S77" s="28"/>
      <x:c r="T77" s="9" t="str">
        <x:v>Sheet sizes, paper properties and production method</x:v>
      </x:c>
      <x:c r="U77" s="11" t="str">
        <x:v>paper stationery</x:v>
      </x:c>
      <x:c r="V77" s="9" t="str">
        <x:v>Docs/WORLD_BASIS.md#material-culture; author direction October 14, 2026. Process details and specific product forms remain unimplemented.</x:v>
      </x:c>
      <x:c r="W77" s="4" t="str">
        <x:v>Processed material</x:v>
      </x:c>
      <x:c r="X77" s="4" t="str">
        <x:v>Processed intermediate</x:v>
      </x:c>
      <x:c r="Y77" s="4" t="str">
        <x:v>Fauna</x:v>
      </x:c>
      <x:c r="Z77" s="4" t="str">
        <x:v>Writing and records</x:v>
      </x:c>
      <x:c r="AA77" s="4" t="str">
        <x:v>Husk fiber</x:v>
      </x:c>
      <x:c r="AB77" s="4" t="str">
        <x:v>Sheet</x:v>
      </x:c>
      <x:c r="AC77" s="4" t="str">
        <x:v>Author direction</x:v>
      </x:c>
      <x:c r="AD77" s="4" t="str">
        <x:f>LOWER(A77&amp;"; "&amp;B77&amp;"; "&amp;C77&amp;"; "&amp;D77&amp;"; "&amp;W77&amp;"; "&amp;X77&amp;"; "&amp;Y77&amp;"; "&amp;Z77&amp;"; "&amp;AA77&amp;"; "&amp;AB77&amp;"; "&amp;AC77&amp;"; "&amp;U77)</x:f>
        <x:v>proposal.bio.husk_paper; husk-fiber paper; crafting components; paper; processed material; processed intermediate; fauna; writing and records; husk fiber; sheet; author direction; paper stationery</x:v>
      </x:c>
      <x:c r="AE77" s="4" t="str">
        <x:v>From current item description. Proposed uses retain their existing approval status.</x:v>
      </x:c>
      <x:c r="AF77" s="4" t="str">
        <x:v>T2</x:v>
      </x:c>
      <x:c r="AG77" s="4" t="str">
        <x:v>Proposed game manufacturing tier from the candidate routes. Integrated operations may contain many work steps.</x:v>
      </x:c>
      <x:c r="AH77" s="4" t="str">
        <x:v>Not applicable</x:v>
      </x:c>
    </x:row>
    <x:row r="78" ht="75" customHeight="1">
      <x:c r="A78" s="9" t="str">
        <x:v>proposal.bio.pressed_husk</x:v>
      </x:c>
      <x:c r="B78" s="9" t="str">
        <x:v>Pressed husk-fiber textile material</x:v>
      </x:c>
      <x:c r="C78" s="9" t="str">
        <x:v>Crafting components</x:v>
      </x:c>
      <x:c r="D78" s="9" t="str">
        <x:v>Pressed textile material</x:v>
      </x:c>
      <x:c r="E78" s="9" t="str">
        <x:v>User direction; not implemented</x:v>
      </x:c>
      <x:c r="F78" s="9" t="str">
        <x:v>Difficult processed/pressed husk-fiber material.</x:v>
      </x:c>
      <x:c r="G78" s="9" t="str">
        <x:v>None</x:v>
      </x:c>
      <x:c r="H78" s="9" t="str">
        <x:v>Legger / local storage proposed</x:v>
      </x:c>
      <x:c r="I78" s="13"/>
      <x:c r="J78" s="15"/>
      <x:c r="K78" s="9" t="str">
        <x:v>Very difficult processing and pressing of husk fibers</x:v>
      </x:c>
      <x:c r="L78" s="9" t="str">
        <x:v>Textile-material use under the no-cloth rule</x:v>
      </x:c>
      <x:c r="M78" s="9" t="str">
        <x:v>Not implemented</x:v>
      </x:c>
      <x:c r="N78" s="9" t="str">
        <x:v>No cloth of any kind; exact product form, flexibility and uses are unapproved.</x:v>
      </x:c>
      <x:c r="O78" s="28"/>
      <x:c r="P78" s="28"/>
      <x:c r="Q78" s="28"/>
      <x:c r="R78" s="28"/>
      <x:c r="S78" s="28"/>
      <x:c r="T78" s="9" t="str">
        <x:v>Binder, equipment, work and finished properties; fashion-crafting input: high sale-value intent; large material/time demand; exact prices and quantities TBD</x:v>
      </x:c>
      <x:c r="U78" s="11"/>
      <x:c r="V78" s="9" t="str">
        <x:v>Docs/WORLD_BASIS.md#material-culture; author direction October 14, 2026. Process details and specific product forms remain unimplemented.</x:v>
      </x:c>
      <x:c r="W78" s="4" t="str">
        <x:v>Processed material</x:v>
      </x:c>
      <x:c r="X78" s="4" t="str">
        <x:v>Processed intermediate</x:v>
      </x:c>
      <x:c r="Y78" s="4" t="str">
        <x:v>Fauna</x:v>
      </x:c>
      <x:c r="Z78" s="4" t="str">
        <x:v>Clothing fabrication</x:v>
      </x:c>
      <x:c r="AA78" s="4" t="str">
        <x:v>Husk fiber</x:v>
      </x:c>
      <x:c r="AB78" s="4" t="str">
        <x:v>Sheet</x:v>
      </x:c>
      <x:c r="AC78" s="4" t="str">
        <x:v>Author direction</x:v>
      </x:c>
      <x:c r="AD78" s="4" t="str">
        <x:f>LOWER(A78&amp;"; "&amp;B78&amp;"; "&amp;C78&amp;"; "&amp;D78&amp;"; "&amp;W78&amp;"; "&amp;X78&amp;"; "&amp;Y78&amp;"; "&amp;Z78&amp;"; "&amp;AA78&amp;"; "&amp;AB78&amp;"; "&amp;AC78&amp;"; "&amp;U78)</x:f>
        <x:v>proposal.bio.pressed_husk; pressed husk-fiber textile material; crafting components; pressed textile material; processed material; processed intermediate; fauna; clothing fabrication; husk fiber; sheet; author direction; </x:v>
      </x:c>
      <x:c r="AE78" s="4" t="str">
        <x:v>From current item description. Proposed uses retain their existing approval status.</x:v>
      </x:c>
      <x:c r="AF78" s="4" t="str">
        <x:v>T1</x:v>
      </x:c>
      <x:c r="AG78" s="4" t="str">
        <x:v>Proposed game manufacturing tier from the candidate routes. Integrated operations may contain many work steps.</x:v>
      </x:c>
      <x:c r="AH78" s="4" t="str">
        <x:v>Not applicable</x:v>
      </x:c>
    </x:row>
    <x:row r="79" ht="75" customHeight="1">
      <x:c r="A79" s="9" t="str">
        <x:v>proposal.bio.hide</x:v>
      </x:c>
      <x:c r="B79" s="9" t="str">
        <x:v>Raw hide</x:v>
      </x:c>
      <x:c r="C79" s="9" t="str">
        <x:v>Resources</x:v>
      </x:c>
      <x:c r="D79" s="9" t="str">
        <x:v>Animal hide</x:v>
      </x:c>
      <x:c r="E79" s="9" t="str">
        <x:v>User direction; not implemented</x:v>
      </x:c>
      <x:c r="F79" s="9" t="str">
        <x:v>Hide feedstock for extremely low-yield material processing.</x:v>
      </x:c>
      <x:c r="G79" s="9" t="str">
        <x:v>None</x:v>
      </x:c>
      <x:c r="H79" s="9" t="str">
        <x:v>Legger / local storage proposed</x:v>
      </x:c>
      <x:c r="I79" s="13"/>
      <x:c r="J79" s="15"/>
      <x:c r="K79" s="9" t="str">
        <x:v>Creature hide collection; species and method unapproved</x:v>
      </x:c>
      <x:c r="L79" s="9" t="str">
        <x:v>Textile and other material processing with extremely low yield</x:v>
      </x:c>
      <x:c r="M79" s="9" t="str">
        <x:v>Not implemented</x:v>
      </x:c>
      <x:c r="N79" s="9" t="str">
        <x:v>Low yield concerns conversion into usable material; does not define carcass yield.</x:v>
      </x:c>
      <x:c r="O79" s="28"/>
      <x:c r="P79" s="28"/>
      <x:c r="Q79" s="28"/>
      <x:c r="R79" s="28"/>
      <x:c r="S79" s="28"/>
      <x:c r="T79" s="9" t="str">
        <x:v>Species, preservation and workable output forms; fashion-crafting input: high sale-value intent; large material/time demand; exact prices and quantities TBD</x:v>
      </x:c>
      <x:c r="U79" s="11"/>
      <x:c r="V79" s="9" t="str">
        <x:v>Docs/WORLD_BASIS.md#material-culture; author direction October 14, 2026. Process details and specific product forms remain unimplemented.</x:v>
      </x:c>
      <x:c r="W79" s="4" t="str">
        <x:v>Raw material</x:v>
      </x:c>
      <x:c r="X79" s="4" t="str">
        <x:v>Raw</x:v>
      </x:c>
      <x:c r="Y79" s="4" t="str">
        <x:v>Fauna</x:v>
      </x:c>
      <x:c r="Z79" s="4" t="str">
        <x:v>Textile processing</x:v>
      </x:c>
      <x:c r="AA79" s="4" t="str">
        <x:v>Hide</x:v>
      </x:c>
      <x:c r="AB79" s="4" t="str">
        <x:v>Sheet</x:v>
      </x:c>
      <x:c r="AC79" s="4" t="str">
        <x:v>Author direction</x:v>
      </x:c>
      <x:c r="AD79" s="4" t="str">
        <x:f>LOWER(A79&amp;"; "&amp;B79&amp;"; "&amp;C79&amp;"; "&amp;D79&amp;"; "&amp;W79&amp;"; "&amp;X79&amp;"; "&amp;Y79&amp;"; "&amp;Z79&amp;"; "&amp;AA79&amp;"; "&amp;AB79&amp;"; "&amp;AC79&amp;"; "&amp;U79)</x:f>
        <x:v>proposal.bio.hide; raw hide; resources; animal hide; raw material; raw; fauna; textile processing; hide; sheet; author direction; </x:v>
      </x:c>
      <x:c r="AE79" s="4" t="str">
        <x:v>From current item description. Proposed uses retain their existing approval status.</x:v>
      </x:c>
      <x:c r="AF79" s="4" t="str">
        <x:v>T0</x:v>
      </x:c>
      <x:c r="AG79" s="4" t="str">
        <x:v>Raw gathered/recovered craft input under the author T0 framework. This does not imply a naturally occurring pure metal.</x:v>
      </x:c>
      <x:c r="AH79" s="4" t="str">
        <x:v>Not applicable</x:v>
      </x:c>
    </x:row>
    <x:row r="80" ht="75" customHeight="1">
      <x:c r="A80" s="9" t="str">
        <x:v>proposal.bio.hide_material</x:v>
      </x:c>
      <x:c r="B80" s="9" t="str">
        <x:v>Processed hide material</x:v>
      </x:c>
      <x:c r="C80" s="9" t="str">
        <x:v>Crafting components</x:v>
      </x:c>
      <x:c r="D80" s="9" t="str">
        <x:v>Processed biological</x:v>
      </x:c>
      <x:c r="E80" s="9" t="str">
        <x:v>User direction; not implemented</x:v>
      </x:c>
      <x:c r="F80" s="9" t="str">
        <x:v>Scarce usable material obtained from hide processing.</x:v>
      </x:c>
      <x:c r="G80" s="9" t="str">
        <x:v>None</x:v>
      </x:c>
      <x:c r="H80" s="9" t="str">
        <x:v>Legger / local storage proposed</x:v>
      </x:c>
      <x:c r="I80" s="13"/>
      <x:c r="J80" s="15"/>
      <x:c r="K80" s="9" t="str">
        <x:v>Process raw hide</x:v>
      </x:c>
      <x:c r="L80" s="9" t="str">
        <x:v>Candidate material for later product design</x:v>
      </x:c>
      <x:c r="M80" s="9" t="str">
        <x:v>Not implemented</x:v>
      </x:c>
      <x:c r="N80" s="9" t="str">
        <x:v>Extremely low usable yield. No cloth; output form and properties remain proposals.</x:v>
      </x:c>
      <x:c r="O80" s="28"/>
      <x:c r="P80" s="28"/>
      <x:c r="Q80" s="28"/>
      <x:c r="R80" s="28"/>
      <x:c r="S80" s="28"/>
      <x:c r="T80" s="9" t="str">
        <x:v>Processing method, intended products and balance; fashion-crafting input: high sale-value intent; large material/time demand; exact prices and quantities TBD</x:v>
      </x:c>
      <x:c r="U80" s="11"/>
      <x:c r="V80" s="9" t="str">
        <x:v>Docs/WORLD_BASIS.md#material-culture; author direction October 14, 2026. Process details and specific product forms remain unimplemented.</x:v>
      </x:c>
      <x:c r="W80" s="4" t="str">
        <x:v>Processed material</x:v>
      </x:c>
      <x:c r="X80" s="4" t="str">
        <x:v>Processed intermediate</x:v>
      </x:c>
      <x:c r="Y80" s="4" t="str">
        <x:v>Fauna</x:v>
      </x:c>
      <x:c r="Z80" s="4" t="str">
        <x:v>Clothing fabrication</x:v>
      </x:c>
      <x:c r="AA80" s="4" t="str">
        <x:v>Hide</x:v>
      </x:c>
      <x:c r="AB80" s="4" t="str">
        <x:v>Sheet</x:v>
      </x:c>
      <x:c r="AC80" s="4" t="str">
        <x:v>Author direction</x:v>
      </x:c>
      <x:c r="AD80" s="4" t="str">
        <x:f>LOWER(A80&amp;"; "&amp;B80&amp;"; "&amp;C80&amp;"; "&amp;D80&amp;"; "&amp;W80&amp;"; "&amp;X80&amp;"; "&amp;Y80&amp;"; "&amp;Z80&amp;"; "&amp;AA80&amp;"; "&amp;AB80&amp;"; "&amp;AC80&amp;"; "&amp;U80)</x:f>
        <x:v>proposal.bio.hide_material; processed hide material; crafting components; processed biological; processed material; processed intermediate; fauna; clothing fabrication; hide; sheet; author direction; </x:v>
      </x:c>
      <x:c r="AE80" s="4" t="str">
        <x:v>From current item description. Proposed uses retain their existing approval status.</x:v>
      </x:c>
      <x:c r="AF80" s="4" t="str">
        <x:v>T1</x:v>
      </x:c>
      <x:c r="AG80" s="4" t="str">
        <x:v>Proposed game manufacturing tier from the candidate routes. Integrated operations may contain many work steps.</x:v>
      </x:c>
      <x:c r="AH80" s="4" t="str">
        <x:v>Not applicable</x:v>
      </x:c>
    </x:row>
    <x:row r="81" ht="80" customHeight="1">
      <x:c r="A81" s="9" t="str">
        <x:v>proposal.bio.edible_fraction</x:v>
      </x:c>
      <x:c r="B81" s="9" t="str">
        <x:v>Edible fauna fraction (species TBD)</x:v>
      </x:c>
      <x:c r="C81" s="9" t="str">
        <x:v>Resources</x:v>
      </x:c>
      <x:c r="D81" s="9" t="str">
        <x:v>Food candidate</x:v>
      </x:c>
      <x:c r="E81" s="9" t="str">
        <x:v>User direction; not implemented</x:v>
      </x:c>
      <x:c r="F81" s="9" t="str">
        <x:v>Some fauna can be eaten, but provides poor nutrition.</x:v>
      </x:c>
      <x:c r="G81" s="9" t="str">
        <x:v>None</x:v>
      </x:c>
      <x:c r="H81" s="9" t="str">
        <x:v>Legger / local storage proposed</x:v>
      </x:c>
      <x:c r="I81" s="13"/>
      <x:c r="J81" s="15"/>
      <x:c r="K81" s="9" t="str">
        <x:v>Only explicitly edible species/parts; preparation undefined</x:v>
      </x:c>
      <x:c r="L81" s="9" t="str">
        <x:v>Potential supplementary food; does not replace algae</x:v>
      </x:c>
      <x:c r="M81" s="9" t="str">
        <x:v>Not implemented</x:v>
      </x:c>
      <x:c r="N81" s="9" t="str">
        <x:v>Most fauna lacks traditional flesh; no meat model, calorie values or safe preparation assigned.</x:v>
      </x:c>
      <x:c r="O81" s="30"/>
      <x:c r="P81" s="30"/>
      <x:c r="Q81" s="30"/>
      <x:c r="R81" s="30"/>
      <x:c r="S81" s="30"/>
      <x:c r="T81" s="9" t="str">
        <x:v>Identify species/parts from Burden Beasts anatomy; carrier/use rules not implemented</x:v>
      </x:c>
      <x:c r="U81" s="11"/>
      <x:c r="V81" s="9" t="str">
        <x:v>Docs/WORLD_BASIS.md#faunal-biology-and-material-use; direct author direction October 14, 2026. Related source anatomy proposals now accessible at f6f98515; this item awaits reconciliation; identities and processing remain undefined.</x:v>
      </x:c>
      <x:c r="W81" s="4" t="str">
        <x:v>Food material</x:v>
      </x:c>
      <x:c r="X81" s="4" t="str">
        <x:v>Unresolved</x:v>
      </x:c>
      <x:c r="Y81" s="4" t="str">
        <x:v>Fauna</x:v>
      </x:c>
      <x:c r="Z81" s="4" t="str">
        <x:v>Nutrition</x:v>
      </x:c>
      <x:c r="AA81" s="4" t="str">
        <x:v>Faunal tissue</x:v>
      </x:c>
      <x:c r="AB81" s="4" t="str">
        <x:v>Unresolved</x:v>
      </x:c>
      <x:c r="AC81" s="4" t="str">
        <x:v>Author direction</x:v>
      </x:c>
      <x:c r="AD81" s="4" t="str">
        <x:f>LOWER(A81&amp;"; "&amp;B81&amp;"; "&amp;C81&amp;"; "&amp;D81&amp;"; "&amp;W81&amp;"; "&amp;X81&amp;"; "&amp;Y81&amp;"; "&amp;Z81&amp;"; "&amp;AA81&amp;"; "&amp;AB81&amp;"; "&amp;AC81&amp;"; "&amp;U81)</x:f>
        <x:v>proposal.bio.edible_fraction; edible fauna fraction (species tbd); resources; food candidate; food material; unresolved; fauna; nutrition; faunal tissue; unresolved; author direction; </x:v>
      </x:c>
      <x:c r="AE81" s="4" t="str">
        <x:v>From current item description. Proposed uses retain their existing approval status.</x:v>
      </x:c>
      <x:c r="AF81" s="4" t="str">
        <x:v>Unassigned</x:v>
      </x:c>
      <x:c r="AG81" s="4" t="str">
        <x:v>Choose a material/part route before assigning a tier. Processing-stage labels alone do not prove chain depth.</x:v>
      </x:c>
      <x:c r="AH81" s="4" t="str">
        <x:v>Not applicable</x:v>
      </x:c>
    </x:row>
    <x:row r="82" ht="80" customHeight="1">
      <x:c r="A82" s="9" t="str">
        <x:v>proposal.bio.chemical_material</x:v>
      </x:c>
      <x:c r="B82" s="9" t="str">
        <x:v>Faunal chemical material (unspecified)</x:v>
      </x:c>
      <x:c r="C82" s="9" t="str">
        <x:v>Resources</x:v>
      </x:c>
      <x:c r="D82" s="9" t="str">
        <x:v>Chemical material</x:v>
      </x:c>
      <x:c r="E82" s="9" t="str">
        <x:v>User direction; not implemented</x:v>
      </x:c>
      <x:c r="F82" s="9" t="str">
        <x:v>Internal faunal chemicals can be used as materials despite toxicity to humans.</x:v>
      </x:c>
      <x:c r="G82" s="9" t="str">
        <x:v>None</x:v>
      </x:c>
      <x:c r="H82" s="9" t="str">
        <x:v>Legger / local storage proposed</x:v>
      </x:c>
      <x:c r="I82" s="13"/>
      <x:c r="J82" s="15"/>
      <x:c r="K82" s="9" t="str">
        <x:v>Species-specific extraction remains undefined</x:v>
      </x:c>
      <x:c r="L82" s="9" t="str">
        <x:v>Material processing uses to be established</x:v>
      </x:c>
      <x:c r="M82" s="9" t="str">
        <x:v>Not implemented</x:v>
      </x:c>
      <x:c r="N82" s="9" t="str">
        <x:v>Most internal chemistry is toxic. No named reagent, solvent, fuel or recipe established.</x:v>
      </x:c>
      <x:c r="O82" s="30"/>
      <x:c r="P82" s="30"/>
      <x:c r="Q82" s="30"/>
      <x:c r="R82" s="30"/>
      <x:c r="S82" s="30"/>
      <x:c r="T82" s="9" t="str">
        <x:v>Chemical identities, useful properties, extraction and containment</x:v>
      </x:c>
      <x:c r="U82" s="11"/>
      <x:c r="V82" s="9" t="str">
        <x:v>Docs/WORLD_BASIS.md#faunal-biology-and-material-use; direct author direction October 14, 2026. Related source anatomy proposals now accessible at f6f98515; this item awaits reconciliation; identities and processing remain undefined.</x:v>
      </x:c>
      <x:c r="W82" s="4" t="str">
        <x:v>Chemical material</x:v>
      </x:c>
      <x:c r="X82" s="4" t="str">
        <x:v>Unresolved</x:v>
      </x:c>
      <x:c r="Y82" s="4" t="str">
        <x:v>Fauna</x:v>
      </x:c>
      <x:c r="Z82" s="4" t="str">
        <x:v>Chemical processing</x:v>
      </x:c>
      <x:c r="AA82" s="4" t="str">
        <x:v>Biological chemical</x:v>
      </x:c>
      <x:c r="AB82" s="4" t="str">
        <x:v>Unresolved</x:v>
      </x:c>
      <x:c r="AC82" s="4" t="str">
        <x:v>Author direction</x:v>
      </x:c>
      <x:c r="AD82" s="4" t="str">
        <x:f>LOWER(A82&amp;"; "&amp;B82&amp;"; "&amp;C82&amp;"; "&amp;D82&amp;"; "&amp;W82&amp;"; "&amp;X82&amp;"; "&amp;Y82&amp;"; "&amp;Z82&amp;"; "&amp;AA82&amp;"; "&amp;AB82&amp;"; "&amp;AC82&amp;"; "&amp;U82)</x:f>
        <x:v>proposal.bio.chemical_material; faunal chemical material (unspecified); resources; chemical material; chemical material; unresolved; fauna; chemical processing; biological chemical; unresolved; author direction; </x:v>
      </x:c>
      <x:c r="AE82" s="4" t="str">
        <x:v>From current item description. Proposed uses retain their existing approval status.</x:v>
      </x:c>
      <x:c r="AF82" s="4" t="str">
        <x:v>T0</x:v>
      </x:c>
      <x:c r="AG82" s="4" t="str">
        <x:v>Provisional raw secretion-feed interpretation for this candidate route; actual chemistry and extraction remain unresolved.</x:v>
      </x:c>
      <x:c r="AH82" s="4" t="str">
        <x:v>Not applicable</x:v>
      </x:c>
    </x:row>
    <x:row r="83" ht="80" customHeight="1">
      <x:c r="A83" s="9" t="str">
        <x:v>proposal.bio.liquid_material</x:v>
      </x:c>
      <x:c r="B83" s="9" t="str">
        <x:v>Faunal liquid material (unspecified)</x:v>
      </x:c>
      <x:c r="C83" s="9" t="str">
        <x:v>Resources</x:v>
      </x:c>
      <x:c r="D83" s="9" t="str">
        <x:v>Biological liquid material</x:v>
      </x:c>
      <x:c r="E83" s="9" t="str">
        <x:v>User direction; not implemented</x:v>
      </x:c>
      <x:c r="F83" s="9" t="str">
        <x:v>Biological liquids may be extracted for use as materials.</x:v>
      </x:c>
      <x:c r="G83" s="9" t="str">
        <x:v>None</x:v>
      </x:c>
      <x:c r="H83" s="9" t="str">
        <x:v>Legger / local storage proposed</x:v>
      </x:c>
      <x:c r="I83" s="13"/>
      <x:c r="J83" s="15"/>
      <x:c r="K83" s="9" t="str">
        <x:v>Faunal interiors; species-specific extraction undefined</x:v>
      </x:c>
      <x:c r="L83" s="9" t="str">
        <x:v>Material use; not presumed drinkable</x:v>
      </x:c>
      <x:c r="M83" s="9" t="str">
        <x:v>Not implemented</x:v>
      </x:c>
      <x:c r="N83" s="9" t="str">
        <x:v>No natural free water or edible-liquid assumption. Storage, stability and specific uses unresolved.</x:v>
      </x:c>
      <x:c r="O83" s="30"/>
      <x:c r="P83" s="30"/>
      <x:c r="Q83" s="30"/>
      <x:c r="R83" s="30"/>
      <x:c r="S83" s="30"/>
      <x:c r="T83" s="9" t="str">
        <x:v>Liquid identities, containers, extraction conditions and processing</x:v>
      </x:c>
      <x:c r="U83" s="11"/>
      <x:c r="V83" s="9" t="str">
        <x:v>Docs/WORLD_BASIS.md#faunal-biology-and-material-use; direct author direction October 14, 2026. Related source anatomy proposals now accessible at f6f98515; this item awaits reconciliation; identities and processing remain undefined.</x:v>
      </x:c>
      <x:c r="W83" s="4" t="str">
        <x:v>Chemical material</x:v>
      </x:c>
      <x:c r="X83" s="4" t="str">
        <x:v>Extracted material</x:v>
      </x:c>
      <x:c r="Y83" s="4" t="str">
        <x:v>Fauna</x:v>
      </x:c>
      <x:c r="Z83" s="4" t="str">
        <x:v>Chemical processing</x:v>
      </x:c>
      <x:c r="AA83" s="4" t="str">
        <x:v>Biological chemical</x:v>
      </x:c>
      <x:c r="AB83" s="4" t="str">
        <x:v>Liquid</x:v>
      </x:c>
      <x:c r="AC83" s="4" t="str">
        <x:v>Author direction</x:v>
      </x:c>
      <x:c r="AD83" s="4" t="str">
        <x:f>LOWER(A83&amp;"; "&amp;B83&amp;"; "&amp;C83&amp;"; "&amp;D83&amp;"; "&amp;W83&amp;"; "&amp;X83&amp;"; "&amp;Y83&amp;"; "&amp;Z83&amp;"; "&amp;AA83&amp;"; "&amp;AB83&amp;"; "&amp;AC83&amp;"; "&amp;U83)</x:f>
        <x:v>proposal.bio.liquid_material; faunal liquid material (unspecified); resources; biological liquid material; chemical material; extracted material; fauna; chemical processing; biological chemical; liquid; author direction; </x:v>
      </x:c>
      <x:c r="AE83" s="4" t="str">
        <x:v>From current item description. Proposed uses retain their existing approval status.</x:v>
      </x:c>
      <x:c r="AF83" s="4" t="str">
        <x:v>T0</x:v>
      </x:c>
      <x:c r="AG83" s="4" t="str">
        <x:v>Raw gathered/recovered craft input under the author T0 framework. This does not imply a naturally occurring pure metal.</x:v>
      </x:c>
      <x:c r="AH83" s="4" t="str">
        <x:v>Not applicable</x:v>
      </x:c>
    </x:row>
    <x:row r="84" ht="80" customHeight="1">
      <x:c r="A84" s="9" t="str">
        <x:v>proposal.chemical.digestive_etchant</x:v>
      </x:c>
      <x:c r="B84" s="9" t="str">
        <x:v>Digestive etchant</x:v>
      </x:c>
      <x:c r="C84" s="9" t="str">
        <x:v>Resources</x:v>
      </x:c>
      <x:c r="D84" s="9" t="str">
        <x:v>Faunal chemical concept</x:v>
      </x:c>
      <x:c r="E84" s="9" t="str">
        <x:v>New proposal</x:v>
      </x:c>
      <x:c r="F84" s="9" t="str">
        <x:v>Mineral separation and metal surface preparation</x:v>
      </x:c>
      <x:c r="G84" s="9" t="str">
        <x:v>None</x:v>
      </x:c>
      <x:c r="H84" s="9" t="str">
        <x:v>Contained Legger/local storage proposed</x:v>
      </x:c>
      <x:c r="I84" s="13"/>
      <x:c r="J84" s="15"/>
      <x:c r="K84" s="9" t="str">
        <x:v>Contained digestive liquor in geological feeders; exposes useful mineral compounds</x:v>
      </x:c>
      <x:c r="L84" s="9" t="str">
        <x:v>Qualitative material concept; no recipe authored</x:v>
      </x:c>
      <x:c r="M84" s="9" t="str">
        <x:v>Not implemented</x:v>
      </x:c>
      <x:c r="N84" s="9" t="str">
        <x:v>Corrosive tissue injury; inedible; Could damage containers and useful shell; reusable containment and selectivity need design</x:v>
      </x:c>
      <x:c r="O84" s="32"/>
      <x:c r="P84" s="32"/>
      <x:c r="Q84" s="32"/>
      <x:c r="R84" s="32"/>
      <x:c r="S84" s="32"/>
      <x:c r="T84" s="9" t="str">
        <x:v>Source draft describes digestive acids/catalysts; this harvestable agent and uses are new proposals</x:v>
      </x:c>
      <x:c r="U84" s="11" t="str">
        <x:v>surface finishing</x:v>
      </x:c>
      <x:c r="V84" s="9" t="str">
        <x:v>New game brainstorm, October 14, 2026; source records are proposals. https://github.com/sleepyseamonster/Arc-Dust/blob/f6f98515c005dc3c73cccd9cbc031691745740c6/02-Arc-Dust-Worldbuilding/world/native-fauna-biology.md; https://github.com/sleepyseamonster/Arc-Dust/blob/f6f98515c005dc3c73cccd9cbc031691745740c6/02-Arc-Dust-Worldbuilding/world/materials/chemical-processing-agents.md</x:v>
      </x:c>
      <x:c r="W84" s="4" t="str">
        <x:v>Chemical material</x:v>
      </x:c>
      <x:c r="X84" s="4" t="str">
        <x:v>Extracted material</x:v>
      </x:c>
      <x:c r="Y84" s="4" t="str">
        <x:v>Fauna</x:v>
      </x:c>
      <x:c r="Z84" s="4" t="str">
        <x:v>Chemical processing</x:v>
      </x:c>
      <x:c r="AA84" s="4" t="str">
        <x:v>Biological chemical</x:v>
      </x:c>
      <x:c r="AB84" s="4" t="str">
        <x:v>Unresolved</x:v>
      </x:c>
      <x:c r="AC84" s="4" t="str">
        <x:v>Proposal</x:v>
      </x:c>
      <x:c r="AD84" s="4" t="str">
        <x:f>LOWER(A84&amp;"; "&amp;B84&amp;"; "&amp;C84&amp;"; "&amp;D84&amp;"; "&amp;W84&amp;"; "&amp;X84&amp;"; "&amp;Y84&amp;"; "&amp;Z84&amp;"; "&amp;AA84&amp;"; "&amp;AB84&amp;"; "&amp;AC84&amp;"; "&amp;U84)</x:f>
        <x:v>proposal.chemical.digestive_etchant; digestive etchant; resources; faunal chemical concept; chemical material; extracted material; fauna; chemical processing; biological chemical; unresolved; proposal; surface finishing</x:v>
      </x:c>
      <x:c r="AE84" s="4" t="str">
        <x:v>From current item description. Proposed uses retain their existing approval status.</x:v>
      </x:c>
      <x:c r="AF84" s="4" t="str">
        <x:v>T0</x:v>
      </x:c>
      <x:c r="AG84" s="4" t="str">
        <x:v>Raw gathered/recovered craft input under the author T0 framework. This does not imply a naturally occurring pure metal.</x:v>
      </x:c>
      <x:c r="AH84" s="4" t="str">
        <x:v>Not applicable</x:v>
      </x:c>
    </x:row>
    <x:row r="85" ht="80" customHeight="1">
      <x:c r="A85" s="9" t="str">
        <x:v>proposal.chemical.husk_enzyme</x:v>
      </x:c>
      <x:c r="B85" s="9" t="str">
        <x:v>Husk-separation enzyme</x:v>
      </x:c>
      <x:c r="C85" s="9" t="str">
        <x:v>Resources</x:v>
      </x:c>
      <x:c r="D85" s="9" t="str">
        <x:v>Faunal chemical concept</x:v>
      </x:c>
      <x:c r="E85" s="9" t="str">
        <x:v>New proposal</x:v>
      </x:c>
      <x:c r="F85" s="9" t="str">
        <x:v>Help release chitin/icore fibers for paper and difficult pressed materials</x:v>
      </x:c>
      <x:c r="G85" s="9" t="str">
        <x:v>None</x:v>
      </x:c>
      <x:c r="H85" s="9" t="str">
        <x:v>Contained Legger/local storage proposed</x:v>
      </x:c>
      <x:c r="I85" s="13"/>
      <x:c r="J85" s="15"/>
      <x:c r="K85" s="9" t="str">
        <x:v>Proposed catalytic fraction associated with shell renewal or digestion</x:v>
      </x:c>
      <x:c r="L85" s="9" t="str">
        <x:v>Qualitative material concept; no recipe authored</x:v>
      </x:c>
      <x:c r="M85" s="9" t="str">
        <x:v>Not implemented</x:v>
      </x:c>
      <x:c r="N85" s="9" t="str">
        <x:v>Biologically active irritant; effects species-dependent; Slow specialist processing still required; must not turn abundant husks into easy cloth</x:v>
      </x:c>
      <x:c r="O85" s="32"/>
      <x:c r="P85" s="32"/>
      <x:c r="Q85" s="32"/>
      <x:c r="R85" s="32"/>
      <x:c r="S85" s="32"/>
      <x:c r="T85" s="9" t="str">
        <x:v>Source draft includes industrial enzymes, but fauna origin and this fiber application are new proposals</x:v>
      </x:c>
      <x:c r="U85" s="11" t="str">
        <x:v>paper making; textile processing</x:v>
      </x:c>
      <x:c r="V85" s="9" t="str">
        <x:v>New game brainstorm, October 14, 2026; source records are proposals. https://github.com/sleepyseamonster/Arc-Dust/blob/f6f98515c005dc3c73cccd9cbc031691745740c6/02-Arc-Dust-Worldbuilding/world/materials/chemical-processing-agents.md</x:v>
      </x:c>
      <x:c r="W85" s="4" t="str">
        <x:v>Chemical material</x:v>
      </x:c>
      <x:c r="X85" s="4" t="str">
        <x:v>Extracted material</x:v>
      </x:c>
      <x:c r="Y85" s="4" t="str">
        <x:v>Fauna</x:v>
      </x:c>
      <x:c r="Z85" s="4" t="str">
        <x:v>Fiber processing</x:v>
      </x:c>
      <x:c r="AA85" s="4" t="str">
        <x:v>Biological chemical</x:v>
      </x:c>
      <x:c r="AB85" s="4" t="str">
        <x:v>Unresolved</x:v>
      </x:c>
      <x:c r="AC85" s="4" t="str">
        <x:v>Proposal</x:v>
      </x:c>
      <x:c r="AD85" s="4" t="str">
        <x:f>LOWER(A85&amp;"; "&amp;B85&amp;"; "&amp;C85&amp;"; "&amp;D85&amp;"; "&amp;W85&amp;"; "&amp;X85&amp;"; "&amp;Y85&amp;"; "&amp;Z85&amp;"; "&amp;AA85&amp;"; "&amp;AB85&amp;"; "&amp;AC85&amp;"; "&amp;U85)</x:f>
        <x:v>proposal.chemical.husk_enzyme; husk-separation enzyme; resources; faunal chemical concept; chemical material; extracted material; fauna; fiber processing; biological chemical; unresolved; proposal; paper making; textile processing</x:v>
      </x:c>
      <x:c r="AE85" s="4" t="str">
        <x:v>From current item description. Proposed uses retain their existing approval status.</x:v>
      </x:c>
      <x:c r="AF85" s="4" t="str">
        <x:v>T0</x:v>
      </x:c>
      <x:c r="AG85" s="4" t="str">
        <x:v>Raw gathered/recovered craft input under the author T0 framework. This does not imply a naturally occurring pure metal.</x:v>
      </x:c>
      <x:c r="AH85" s="4" t="str">
        <x:v>Not applicable</x:v>
      </x:c>
    </x:row>
    <x:row r="86" ht="80" customHeight="1">
      <x:c r="A86" s="9" t="str">
        <x:v>proposal.chemical.shell_binder</x:v>
      </x:c>
      <x:c r="B86" s="9" t="str">
        <x:v>Shell-binding secretion</x:v>
      </x:c>
      <x:c r="C86" s="9" t="str">
        <x:v>Resources</x:v>
      </x:c>
      <x:c r="D86" s="9" t="str">
        <x:v>Faunal chemical concept</x:v>
      </x:c>
      <x:c r="E86" s="9" t="str">
        <x:v>New proposal</x:v>
      </x:c>
      <x:c r="F86" s="9" t="str">
        <x:v>Bind mineral aggregate, shell laminates and pressed fiber materials</x:v>
      </x:c>
      <x:c r="G86" s="9" t="str">
        <x:v>None</x:v>
      </x:c>
      <x:c r="H86" s="9" t="str">
        <x:v>Contained Legger/local storage proposed</x:v>
      </x:c>
      <x:c r="I86" s="13"/>
      <x:c r="J86" s="15"/>
      <x:c r="K86" s="9" t="str">
        <x:v>Proposed armor-building secretion that binds deposited minerals</x:v>
      </x:c>
      <x:c r="L86" s="9" t="str">
        <x:v>Qualitative material concept; no recipe authored</x:v>
      </x:c>
      <x:c r="M86" s="9" t="str">
        <x:v>Not implemented</x:v>
      </x:c>
      <x:c r="N86" s="9" t="str">
        <x:v>Adheres to exposed surfaces; contaminated residue may be toxic; Durable bonding is a proposal; curing conditions and unwanted adhesion remain unresolved</x:v>
      </x:c>
      <x:c r="O86" s="32"/>
      <x:c r="P86" s="32"/>
      <x:c r="Q86" s="32"/>
      <x:c r="R86" s="32"/>
      <x:c r="S86" s="32"/>
      <x:c r="T86" s="9" t="str">
        <x:v>Armor-building organs and chitin-derived binders are source-draft seeds; secretion/product is new</x:v>
      </x:c>
      <x:c r="U86" s="11" t="str">
        <x:v>protective fabrication; textile processing</x:v>
      </x:c>
      <x:c r="V86" s="9" t="str">
        <x:v>New game brainstorm, October 14, 2026; source records are proposals. https://github.com/sleepyseamonster/Arc-Dust/blob/f6f98515c005dc3c73cccd9cbc031691745740c6/02-Arc-Dust-Worldbuilding/world/native-fauna-biology.md; https://github.com/sleepyseamonster/Arc-Dust/blob/f6f98515c005dc3c73cccd9cbc031691745740c6/02-Arc-Dust-Worldbuilding/world/materials/chemical-processing-agents.md</x:v>
      </x:c>
      <x:c r="W86" s="4" t="str">
        <x:v>Chemical material</x:v>
      </x:c>
      <x:c r="X86" s="4" t="str">
        <x:v>Extracted material</x:v>
      </x:c>
      <x:c r="Y86" s="4" t="str">
        <x:v>Fauna</x:v>
      </x:c>
      <x:c r="Z86" s="4" t="str">
        <x:v>Binding and construction</x:v>
      </x:c>
      <x:c r="AA86" s="4" t="str">
        <x:v>Biological chemical</x:v>
      </x:c>
      <x:c r="AB86" s="4" t="str">
        <x:v>Unresolved</x:v>
      </x:c>
      <x:c r="AC86" s="4" t="str">
        <x:v>Proposal</x:v>
      </x:c>
      <x:c r="AD86" s="4" t="str">
        <x:f>LOWER(A86&amp;"; "&amp;B86&amp;"; "&amp;C86&amp;"; "&amp;D86&amp;"; "&amp;W86&amp;"; "&amp;X86&amp;"; "&amp;Y86&amp;"; "&amp;Z86&amp;"; "&amp;AA86&amp;"; "&amp;AB86&amp;"; "&amp;AC86&amp;"; "&amp;U86)</x:f>
        <x:v>proposal.chemical.shell_binder; shell-binding secretion; resources; faunal chemical concept; chemical material; extracted material; fauna; binding and construction; biological chemical; unresolved; proposal; protective fabrication; textile processing</x:v>
      </x:c>
      <x:c r="AE86" s="4" t="str">
        <x:v>From current item description. Proposed uses retain their existing approval status.</x:v>
      </x:c>
      <x:c r="AF86" s="4" t="str">
        <x:v>T0</x:v>
      </x:c>
      <x:c r="AG86" s="4" t="str">
        <x:v>Raw gathered/recovered craft input under the author T0 framework. This does not imply a naturally occurring pure metal.</x:v>
      </x:c>
      <x:c r="AH86" s="4" t="str">
        <x:v>Not applicable</x:v>
      </x:c>
    </x:row>
    <x:row r="87" ht="80" customHeight="1">
      <x:c r="A87" s="9" t="str">
        <x:v>proposal.chemical.clotting_compound</x:v>
      </x:c>
      <x:c r="B87" s="9" t="str">
        <x:v>Mineral clotting compound</x:v>
      </x:c>
      <x:c r="C87" s="9" t="str">
        <x:v>Resources</x:v>
      </x:c>
      <x:c r="D87" s="9" t="str">
        <x:v>Faunal chemical concept</x:v>
      </x:c>
      <x:c r="E87" s="9" t="str">
        <x:v>New proposal</x:v>
      </x:c>
      <x:c r="F87" s="9" t="str">
        <x:v>Quick hard-setting equipment patches and temporary container seals</x:v>
      </x:c>
      <x:c r="G87" s="9" t="str">
        <x:v>None</x:v>
      </x:c>
      <x:c r="H87" s="9" t="str">
        <x:v>Contained Legger/local storage proposed</x:v>
      </x:c>
      <x:c r="I87" s="13"/>
      <x:c r="J87" s="15"/>
      <x:c r="K87" s="9" t="str">
        <x:v>Ichor wound response; suspended minerals harden into a protective clot</x:v>
      </x:c>
      <x:c r="L87" s="9" t="str">
        <x:v>Qualitative material concept; no recipe authored</x:v>
      </x:c>
      <x:c r="M87" s="9" t="str">
        <x:v>Not implemented</x:v>
      </x:c>
      <x:c r="N87" s="9" t="str">
        <x:v>Not human-compatible medicine; contact/ingestion toxicity unresolved; Brittleness and shelf stability can distinguish it from a permanent binder</x:v>
      </x:c>
      <x:c r="O87" s="32"/>
      <x:c r="P87" s="32"/>
      <x:c r="Q87" s="32"/>
      <x:c r="R87" s="32"/>
      <x:c r="S87" s="32"/>
      <x:c r="T87" s="9" t="str">
        <x:v>Source draft describes mineral-hardened clots; repair-material use is new</x:v>
      </x:c>
      <x:c r="U87" s="11" t="str">
        <x:v>sealing</x:v>
      </x:c>
      <x:c r="V87" s="9" t="str">
        <x:v>New game brainstorm, October 14, 2026; source records are proposals. https://github.com/sleepyseamonster/Arc-Dust/blob/f6f98515c005dc3c73cccd9cbc031691745740c6/02-Arc-Dust-Worldbuilding/world/native-fauna-biology.md</x:v>
      </x:c>
      <x:c r="W87" s="4" t="str">
        <x:v>Chemical material</x:v>
      </x:c>
      <x:c r="X87" s="4" t="str">
        <x:v>Extracted material</x:v>
      </x:c>
      <x:c r="Y87" s="4" t="str">
        <x:v>Fauna</x:v>
      </x:c>
      <x:c r="Z87" s="4" t="str">
        <x:v>Equipment repair</x:v>
      </x:c>
      <x:c r="AA87" s="4" t="str">
        <x:v>Biological chemical</x:v>
      </x:c>
      <x:c r="AB87" s="4" t="str">
        <x:v>Unresolved</x:v>
      </x:c>
      <x:c r="AC87" s="4" t="str">
        <x:v>Proposal</x:v>
      </x:c>
      <x:c r="AD87" s="4" t="str">
        <x:f>LOWER(A87&amp;"; "&amp;B87&amp;"; "&amp;C87&amp;"; "&amp;D87&amp;"; "&amp;W87&amp;"; "&amp;X87&amp;"; "&amp;Y87&amp;"; "&amp;Z87&amp;"; "&amp;AA87&amp;"; "&amp;AB87&amp;"; "&amp;AC87&amp;"; "&amp;U87)</x:f>
        <x:v>proposal.chemical.clotting_compound; mineral clotting compound; resources; faunal chemical concept; chemical material; extracted material; fauna; equipment repair; biological chemical; unresolved; proposal; sealing</x:v>
      </x:c>
      <x:c r="AE87" s="4" t="str">
        <x:v>From current item description. Proposed uses retain their existing approval status.</x:v>
      </x:c>
      <x:c r="AF87" s="4" t="str">
        <x:v>T0</x:v>
      </x:c>
      <x:c r="AG87" s="4" t="str">
        <x:v>Raw gathered/recovered craft input under the author T0 framework. This does not imply a naturally occurring pure metal.</x:v>
      </x:c>
      <x:c r="AH87" s="4" t="str">
        <x:v>Not applicable</x:v>
      </x:c>
    </x:row>
    <x:row r="88" ht="80" customHeight="1">
      <x:c r="A88" s="9" t="str">
        <x:v>proposal.chemical.mineral_ichor</x:v>
      </x:c>
      <x:c r="B88" s="9" t="str">
        <x:v>Mineral-rich ichor</x:v>
      </x:c>
      <x:c r="C88" s="9" t="str">
        <x:v>Resources</x:v>
      </x:c>
      <x:c r="D88" s="9" t="str">
        <x:v>Faunal chemical concept</x:v>
      </x:c>
      <x:c r="E88" s="9" t="str">
        <x:v>New proposal</x:v>
      </x:c>
      <x:c r="F88" s="9" t="str">
        <x:v>Potential feed for pigments, recovered mineral fractions and binder research</x:v>
      </x:c>
      <x:c r="G88" s="9" t="str">
        <x:v>None</x:v>
      </x:c>
      <x:c r="H88" s="9" t="str">
        <x:v>Contained Legger/local storage proposed</x:v>
      </x:c>
      <x:c r="I88" s="13"/>
      <x:c r="J88" s="15"/>
      <x:c r="K88" s="9" t="str">
        <x:v>Circulatory fluid carrying minerals, energy compounds and metabolic wastes</x:v>
      </x:c>
      <x:c r="L88" s="9" t="str">
        <x:v>Qualitative material concept; no recipe authored</x:v>
      </x:c>
      <x:c r="M88" s="9" t="str">
        <x:v>Not implemented</x:v>
      </x:c>
      <x:c r="N88" s="9" t="str">
        <x:v>Species-dependent toxicity and mineral contamination; not drinkable by default; Mixed contents vary by diet; do not assume a universal reagent or battery electrolyte</x:v>
      </x:c>
      <x:c r="O88" s="32"/>
      <x:c r="P88" s="32"/>
      <x:c r="Q88" s="32"/>
      <x:c r="R88" s="32"/>
      <x:c r="S88" s="32"/>
      <x:c r="T88" s="9" t="str">
        <x:v>Ichor contents are source-draft biology; separated material uses are new proposals</x:v>
      </x:c>
      <x:c r="U88" s="11" t="str">
        <x:v>decoration; ichor liquid not icore fiber</x:v>
      </x:c>
      <x:c r="V88" s="9" t="str">
        <x:v>New game brainstorm, October 14, 2026; source records are proposals. https://github.com/sleepyseamonster/Arc-Dust/blob/f6f98515c005dc3c73cccd9cbc031691745740c6/02-Arc-Dust-Worldbuilding/world/native-fauna-biology.md</x:v>
      </x:c>
      <x:c r="W88" s="4" t="str">
        <x:v>Chemical material</x:v>
      </x:c>
      <x:c r="X88" s="4" t="str">
        <x:v>Extracted material</x:v>
      </x:c>
      <x:c r="Y88" s="4" t="str">
        <x:v>Fauna</x:v>
      </x:c>
      <x:c r="Z88" s="4" t="str">
        <x:v>Chemical processing</x:v>
      </x:c>
      <x:c r="AA88" s="4" t="str">
        <x:v>Biological chemical</x:v>
      </x:c>
      <x:c r="AB88" s="4" t="str">
        <x:v>Liquid</x:v>
      </x:c>
      <x:c r="AC88" s="4" t="str">
        <x:v>Proposal</x:v>
      </x:c>
      <x:c r="AD88" s="4" t="str">
        <x:f>LOWER(A88&amp;"; "&amp;B88&amp;"; "&amp;C88&amp;"; "&amp;D88&amp;"; "&amp;W88&amp;"; "&amp;X88&amp;"; "&amp;Y88&amp;"; "&amp;Z88&amp;"; "&amp;AA88&amp;"; "&amp;AB88&amp;"; "&amp;AC88&amp;"; "&amp;U88)</x:f>
        <x:v>proposal.chemical.mineral_ichor; mineral-rich ichor; resources; faunal chemical concept; chemical material; extracted material; fauna; chemical processing; biological chemical; liquid; proposal; decoration; ichor liquid not icore fiber</x:v>
      </x:c>
      <x:c r="AE88" s="4" t="str">
        <x:v>From current item description. Proposed uses retain their existing approval status.</x:v>
      </x:c>
      <x:c r="AF88" s="4" t="str">
        <x:v>T0</x:v>
      </x:c>
      <x:c r="AG88" s="4" t="str">
        <x:v>Raw gathered/recovered craft input under the author T0 framework. This does not imply a naturally occurring pure metal.</x:v>
      </x:c>
      <x:c r="AH88" s="4" t="str">
        <x:v>Not applicable</x:v>
      </x:c>
    </x:row>
    <x:row r="89" ht="80" customHeight="1">
      <x:c r="A89" s="9" t="str">
        <x:v>proposal.chemical.joint_lubricant</x:v>
      </x:c>
      <x:c r="B89" s="9" t="str">
        <x:v>Joint-lubricating secretion</x:v>
      </x:c>
      <x:c r="C89" s="9" t="str">
        <x:v>Resources</x:v>
      </x:c>
      <x:c r="D89" s="9" t="str">
        <x:v>Faunal chemical concept</x:v>
      </x:c>
      <x:c r="E89" s="9" t="str">
        <x:v>New proposal</x:v>
      </x:c>
      <x:c r="F89" s="9" t="str">
        <x:v>Dust-resistant equipment lubrication and flexible-seal conditioning</x:v>
      </x:c>
      <x:c r="G89" s="9" t="str">
        <x:v>None</x:v>
      </x:c>
      <x:c r="H89" s="9" t="str">
        <x:v>Contained Legger/local storage proposed</x:v>
      </x:c>
      <x:c r="I89" s="13"/>
      <x:c r="J89" s="15"/>
      <x:c r="K89" s="9" t="str">
        <x:v>Proposed secretion that protects sliding plate/joint surfaces</x:v>
      </x:c>
      <x:c r="L89" s="9" t="str">
        <x:v>Qualitative material concept; no recipe authored</x:v>
      </x:c>
      <x:c r="M89" s="9" t="str">
        <x:v>Not implemented</x:v>
      </x:c>
      <x:c r="N89" s="9" t="str">
        <x:v>Toxic if ingested; skin compatibility unapproved; Dust capture versus useful lubrication needs design; does not restore conventional fat anatomy</x:v>
      </x:c>
      <x:c r="O89" s="32"/>
      <x:c r="P89" s="32"/>
      <x:c r="Q89" s="32"/>
      <x:c r="R89" s="32"/>
      <x:c r="S89" s="32"/>
      <x:c r="T89" s="9" t="str">
        <x:v>New proposed secretion; source processing draft discusses biological oils without validating this anatomy</x:v>
      </x:c>
      <x:c r="U89" s="11" t="str">
        <x:v>sealing</x:v>
      </x:c>
      <x:c r="V89" s="9" t="str">
        <x:v>New game brainstorm, October 14, 2026; source records are proposals. https://github.com/sleepyseamonster/Arc-Dust/blob/f6f98515c005dc3c73cccd9cbc031691745740c6/02-Arc-Dust-Worldbuilding/world/materials/chemical-processing-agents.md</x:v>
      </x:c>
      <x:c r="W89" s="4" t="str">
        <x:v>Chemical material</x:v>
      </x:c>
      <x:c r="X89" s="4" t="str">
        <x:v>Extracted material</x:v>
      </x:c>
      <x:c r="Y89" s="4" t="str">
        <x:v>Fauna</x:v>
      </x:c>
      <x:c r="Z89" s="4" t="str">
        <x:v>Lubrication</x:v>
      </x:c>
      <x:c r="AA89" s="4" t="str">
        <x:v>Biological chemical</x:v>
      </x:c>
      <x:c r="AB89" s="4" t="str">
        <x:v>Unresolved</x:v>
      </x:c>
      <x:c r="AC89" s="4" t="str">
        <x:v>Proposal</x:v>
      </x:c>
      <x:c r="AD89" s="4" t="str">
        <x:f>LOWER(A89&amp;"; "&amp;B89&amp;"; "&amp;C89&amp;"; "&amp;D89&amp;"; "&amp;W89&amp;"; "&amp;X89&amp;"; "&amp;Y89&amp;"; "&amp;Z89&amp;"; "&amp;AA89&amp;"; "&amp;AB89&amp;"; "&amp;AC89&amp;"; "&amp;U89)</x:f>
        <x:v>proposal.chemical.joint_lubricant; joint-lubricating secretion; resources; faunal chemical concept; chemical material; extracted material; fauna; lubrication; biological chemical; unresolved; proposal; sealing</x:v>
      </x:c>
      <x:c r="AE89" s="4" t="str">
        <x:v>From current item description. Proposed uses retain their existing approval status.</x:v>
      </x:c>
      <x:c r="AF89" s="4" t="str">
        <x:v>T0</x:v>
      </x:c>
      <x:c r="AG89" s="4" t="str">
        <x:v>Raw gathered/recovered craft input under the author T0 framework. This does not imply a naturally occurring pure metal.</x:v>
      </x:c>
      <x:c r="AH89" s="4" t="str">
        <x:v>Not applicable</x:v>
      </x:c>
    </x:row>
    <x:row r="90" ht="80" customHeight="1">
      <x:c r="A90" s="9" t="str">
        <x:v>proposal.chemical.insulating_secretion</x:v>
      </x:c>
      <x:c r="B90" s="9" t="str">
        <x:v>Insulating secretion</x:v>
      </x:c>
      <x:c r="C90" s="9" t="str">
        <x:v>Resources</x:v>
      </x:c>
      <x:c r="D90" s="9" t="str">
        <x:v>Faunal chemical concept</x:v>
      </x:c>
      <x:c r="E90" s="9" t="str">
        <x:v>New proposal</x:v>
      </x:c>
      <x:c r="F90" s="9" t="str">
        <x:v>Candidate electrical separators and equipment coating</x:v>
      </x:c>
      <x:c r="G90" s="9" t="str">
        <x:v>None</x:v>
      </x:c>
      <x:c r="H90" s="9" t="str">
        <x:v>Contained Legger/local storage proposed</x:v>
      </x:c>
      <x:c r="I90" s="13"/>
      <x:c r="J90" s="15"/>
      <x:c r="K90" s="9" t="str">
        <x:v>Proposed barrier layer that helps fauna manage electrical exposure</x:v>
      </x:c>
      <x:c r="L90" s="9" t="str">
        <x:v>Qualitative material concept; no recipe authored</x:v>
      </x:c>
      <x:c r="M90" s="9" t="str">
        <x:v>Not implemented</x:v>
      </x:c>
      <x:c r="N90" s="9" t="str">
        <x:v>Irritating/toxic residue; no human-contact assumption; Electrical behavior and wear are unproven; never blanket lightning immunity</x:v>
      </x:c>
      <x:c r="O90" s="32"/>
      <x:c r="P90" s="32"/>
      <x:c r="Q90" s="32"/>
      <x:c r="R90" s="32"/>
      <x:c r="S90" s="32"/>
      <x:c r="T90" s="9" t="str">
        <x:v>Source draft includes insulation/charge shedding; this material capability is a new proposal</x:v>
      </x:c>
      <x:c r="U90" s="11"/>
      <x:c r="V90" s="9" t="str">
        <x:v>New game brainstorm, October 14, 2026; source records are proposals. https://github.com/sleepyseamonster/Arc-Dust/blob/f6f98515c005dc3c73cccd9cbc031691745740c6/02-Arc-Dust-Worldbuilding/world/native-fauna-biology.md</x:v>
      </x:c>
      <x:c r="W90" s="4" t="str">
        <x:v>Chemical material</x:v>
      </x:c>
      <x:c r="X90" s="4" t="str">
        <x:v>Extracted material</x:v>
      </x:c>
      <x:c r="Y90" s="4" t="str">
        <x:v>Fauna</x:v>
      </x:c>
      <x:c r="Z90" s="4" t="str">
        <x:v>Electrical insulation</x:v>
      </x:c>
      <x:c r="AA90" s="4" t="str">
        <x:v>Biological chemical</x:v>
      </x:c>
      <x:c r="AB90" s="4" t="str">
        <x:v>Unresolved</x:v>
      </x:c>
      <x:c r="AC90" s="4" t="str">
        <x:v>Proposal</x:v>
      </x:c>
      <x:c r="AD90" s="4" t="str">
        <x:f>LOWER(A90&amp;"; "&amp;B90&amp;"; "&amp;C90&amp;"; "&amp;D90&amp;"; "&amp;W90&amp;"; "&amp;X90&amp;"; "&amp;Y90&amp;"; "&amp;Z90&amp;"; "&amp;AA90&amp;"; "&amp;AB90&amp;"; "&amp;AC90&amp;"; "&amp;U90)</x:f>
        <x:v>proposal.chemical.insulating_secretion; insulating secretion; resources; faunal chemical concept; chemical material; extracted material; fauna; electrical insulation; biological chemical; unresolved; proposal; </x:v>
      </x:c>
      <x:c r="AE90" s="4" t="str">
        <x:v>From current item description. Proposed uses retain their existing approval status.</x:v>
      </x:c>
      <x:c r="AF90" s="4" t="str">
        <x:v>T0</x:v>
      </x:c>
      <x:c r="AG90" s="4" t="str">
        <x:v>Raw gathered/recovered craft input under the author T0 framework. This does not imply a naturally occurring pure metal.</x:v>
      </x:c>
      <x:c r="AH90" s="4" t="str">
        <x:v>Not applicable</x:v>
      </x:c>
    </x:row>
    <x:row r="91" ht="80" customHeight="1">
      <x:c r="A91" s="9" t="str">
        <x:v>proposal.chemical.conductive_gel</x:v>
      </x:c>
      <x:c r="B91" s="9" t="str">
        <x:v>Charge-conducting gel</x:v>
      </x:c>
      <x:c r="C91" s="9" t="str">
        <x:v>Resources</x:v>
      </x:c>
      <x:c r="D91" s="9" t="str">
        <x:v>Faunal chemical concept</x:v>
      </x:c>
      <x:c r="E91" s="9" t="str">
        <x:v>New proposal</x:v>
      </x:c>
      <x:c r="F91" s="9" t="str">
        <x:v>Candidate contained equipment contacts and sensing components</x:v>
      </x:c>
      <x:c r="G91" s="9" t="str">
        <x:v>None</x:v>
      </x:c>
      <x:c r="H91" s="9" t="str">
        <x:v>Contained Legger/local storage proposed</x:v>
      </x:c>
      <x:c r="I91" s="13"/>
      <x:c r="J91" s="15"/>
      <x:c r="K91" s="9" t="str">
        <x:v>Proposed contained medium supporting electroactive tissue</x:v>
      </x:c>
      <x:c r="L91" s="9" t="str">
        <x:v>Qualitative material concept; no recipe authored</x:v>
      </x:c>
      <x:c r="M91" s="9" t="str">
        <x:v>Not implemented</x:v>
      </x:c>
      <x:c r="N91" s="9" t="str">
        <x:v>Contact could create an unwanted charge path; chemically toxic; Can worsen charge exposure; no direct body application or power generation assumed</x:v>
      </x:c>
      <x:c r="O91" s="32"/>
      <x:c r="P91" s="32"/>
      <x:c r="Q91" s="32"/>
      <x:c r="R91" s="32"/>
      <x:c r="S91" s="32"/>
      <x:c r="T91" s="9" t="str">
        <x:v>Source draft has electroactive fibers and conductive tissue; gel and applications are new proposals</x:v>
      </x:c>
      <x:c r="U91" s="11"/>
      <x:c r="V91" s="9" t="str">
        <x:v>New game brainstorm, October 14, 2026; source records are proposals. https://github.com/sleepyseamonster/Arc-Dust/blob/f6f98515c005dc3c73cccd9cbc031691745740c6/02-Arc-Dust-Worldbuilding/world/native-fauna-biology.md</x:v>
      </x:c>
      <x:c r="W91" s="4" t="str">
        <x:v>Chemical material</x:v>
      </x:c>
      <x:c r="X91" s="4" t="str">
        <x:v>Extracted material</x:v>
      </x:c>
      <x:c r="Y91" s="4" t="str">
        <x:v>Fauna</x:v>
      </x:c>
      <x:c r="Z91" s="4" t="str">
        <x:v>Electrical conduction</x:v>
      </x:c>
      <x:c r="AA91" s="4" t="str">
        <x:v>Biological chemical</x:v>
      </x:c>
      <x:c r="AB91" s="4" t="str">
        <x:v>Gel</x:v>
      </x:c>
      <x:c r="AC91" s="4" t="str">
        <x:v>Proposal</x:v>
      </x:c>
      <x:c r="AD91" s="4" t="str">
        <x:f>LOWER(A91&amp;"; "&amp;B91&amp;"; "&amp;C91&amp;"; "&amp;D91&amp;"; "&amp;W91&amp;"; "&amp;X91&amp;"; "&amp;Y91&amp;"; "&amp;Z91&amp;"; "&amp;AA91&amp;"; "&amp;AB91&amp;"; "&amp;AC91&amp;"; "&amp;U91)</x:f>
        <x:v>proposal.chemical.conductive_gel; charge-conducting gel; resources; faunal chemical concept; chemical material; extracted material; fauna; electrical conduction; biological chemical; gel; proposal; </x:v>
      </x:c>
      <x:c r="AE91" s="4" t="str">
        <x:v>From current item description. Proposed uses retain their existing approval status.</x:v>
      </x:c>
      <x:c r="AF91" s="4" t="str">
        <x:v>T0</x:v>
      </x:c>
      <x:c r="AG91" s="4" t="str">
        <x:v>Raw gathered/recovered craft input under the author T0 framework. This does not imply a naturally occurring pure metal.</x:v>
      </x:c>
      <x:c r="AH91" s="4" t="str">
        <x:v>Not applicable</x:v>
      </x:c>
    </x:row>
    <x:row r="92" ht="80" customHeight="1">
      <x:c r="A92" s="9" t="str">
        <x:v>proposal.chemical.molt_release</x:v>
      </x:c>
      <x:c r="B92" s="9" t="str">
        <x:v>Molt-release compound</x:v>
      </x:c>
      <x:c r="C92" s="9" t="str">
        <x:v>Resources</x:v>
      </x:c>
      <x:c r="D92" s="9" t="str">
        <x:v>Faunal chemical concept</x:v>
      </x:c>
      <x:c r="E92" s="9" t="str">
        <x:v>New proposal</x:v>
      </x:c>
      <x:c r="F92" s="9" t="str">
        <x:v>Controlled plate-layer release and husk surface preparation</x:v>
      </x:c>
      <x:c r="G92" s="9" t="str">
        <x:v>None</x:v>
      </x:c>
      <x:c r="H92" s="9" t="str">
        <x:v>Contained Legger/local storage proposed</x:v>
      </x:c>
      <x:c r="I92" s="13"/>
      <x:c r="J92" s="15"/>
      <x:c r="K92" s="9" t="str">
        <x:v>Proposed agent that separates old outer husk layers during renewal</x:v>
      </x:c>
      <x:c r="L92" s="9" t="str">
        <x:v>Qualitative material concept; no recipe authored</x:v>
      </x:c>
      <x:c r="M92" s="9" t="str">
        <x:v>Not implemented</x:v>
      </x:c>
      <x:c r="N92" s="9" t="str">
        <x:v>Tissue/surface damage on contact; species-dependent; May spoil recovered fibers or structural plate; usefulness must differ from enzyme fraction</x:v>
      </x:c>
      <x:c r="O92" s="32"/>
      <x:c r="P92" s="32"/>
      <x:c r="Q92" s="32"/>
      <x:c r="R92" s="32"/>
      <x:c r="S92" s="32"/>
      <x:c r="T92" s="9" t="str">
        <x:v>New biological/material proposal; no specific molt chemistry established</x:v>
      </x:c>
      <x:c r="U92" s="11" t="str">
        <x:v>fiber processing</x:v>
      </x:c>
      <x:c r="V92" s="9" t="str">
        <x:v>New game brainstorm, October 14, 2026; source records are proposals. https://github.com/sleepyseamonster/Arc-Dust/blob/f6f98515c005dc3c73cccd9cbc031691745740c6/02-Arc-Dust-Worldbuilding/world/native-fauna-biology.md</x:v>
      </x:c>
      <x:c r="W92" s="4" t="str">
        <x:v>Chemical material</x:v>
      </x:c>
      <x:c r="X92" s="4" t="str">
        <x:v>Extracted material</x:v>
      </x:c>
      <x:c r="Y92" s="4" t="str">
        <x:v>Fauna</x:v>
      </x:c>
      <x:c r="Z92" s="4" t="str">
        <x:v>Surface finishing</x:v>
      </x:c>
      <x:c r="AA92" s="4" t="str">
        <x:v>Biological chemical</x:v>
      </x:c>
      <x:c r="AB92" s="4" t="str">
        <x:v>Unresolved</x:v>
      </x:c>
      <x:c r="AC92" s="4" t="str">
        <x:v>Proposal</x:v>
      </x:c>
      <x:c r="AD92" s="4" t="str">
        <x:f>LOWER(A92&amp;"; "&amp;B92&amp;"; "&amp;C92&amp;"; "&amp;D92&amp;"; "&amp;W92&amp;"; "&amp;X92&amp;"; "&amp;Y92&amp;"; "&amp;Z92&amp;"; "&amp;AA92&amp;"; "&amp;AB92&amp;"; "&amp;AC92&amp;"; "&amp;U92)</x:f>
        <x:v>proposal.chemical.molt_release; molt-release compound; resources; faunal chemical concept; chemical material; extracted material; fauna; surface finishing; biological chemical; unresolved; proposal; fiber processing</x:v>
      </x:c>
      <x:c r="AE92" s="4" t="str">
        <x:v>From current item description. Proposed uses retain their existing approval status.</x:v>
      </x:c>
      <x:c r="AF92" s="4" t="str">
        <x:v>T0</x:v>
      </x:c>
      <x:c r="AG92" s="4" t="str">
        <x:v>Raw gathered/recovered craft input under the author T0 framework. This does not imply a naturally occurring pure metal.</x:v>
      </x:c>
      <x:c r="AH92" s="4" t="str">
        <x:v>Not applicable</x:v>
      </x:c>
    </x:row>
    <x:row r="93" ht="80" customHeight="1">
      <x:c r="A93" s="9" t="str">
        <x:v>proposal.chemical.defensive_irritant</x:v>
      </x:c>
      <x:c r="B93" s="9" t="str">
        <x:v>Defensive irritant secretion</x:v>
      </x:c>
      <x:c r="C93" s="9" t="str">
        <x:v>Resources</x:v>
      </x:c>
      <x:c r="D93" s="9" t="str">
        <x:v>Faunal chemical concept</x:v>
      </x:c>
      <x:c r="E93" s="9" t="str">
        <x:v>New proposal</x:v>
      </x:c>
      <x:c r="F93" s="9" t="str">
        <x:v>Candidate exclusion coatings around equipment or stored materials</x:v>
      </x:c>
      <x:c r="G93" s="9" t="str">
        <x:v>None</x:v>
      </x:c>
      <x:c r="H93" s="9" t="str">
        <x:v>Contained Legger/local storage proposed</x:v>
      </x:c>
      <x:c r="I93" s="13"/>
      <x:c r="J93" s="15"/>
      <x:c r="K93" s="9" t="str">
        <x:v>Proposed deterrent gland output in defensive species</x:v>
      </x:c>
      <x:c r="L93" s="9" t="str">
        <x:v>Qualitative material concept; no recipe authored</x:v>
      </x:c>
      <x:c r="M93" s="9" t="str">
        <x:v>Not implemented</x:v>
      </x:c>
      <x:c r="N93" s="9" t="str">
        <x:v>Painful surface irritation and temporary sensory disruption; Repellent target response is unproven; deliberate containment only, no ambient liquid pools</x:v>
      </x:c>
      <x:c r="O93" s="32"/>
      <x:c r="P93" s="32"/>
      <x:c r="Q93" s="32"/>
      <x:c r="R93" s="32"/>
      <x:c r="S93" s="32"/>
      <x:c r="T93" s="9" t="str">
        <x:v>New toxin and application proposal; not assigned to any existing species</x:v>
      </x:c>
      <x:c r="U93" s="11"/>
      <x:c r="V93" s="9" t="str">
        <x:v>New game brainstorm, October 14, 2026; source records are proposals. https://github.com/sleepyseamonster/Arc-Dust/blob/f6f98515c005dc3c73cccd9cbc031691745740c6/02-Arc-Dust-Worldbuilding/world/native-fauna-biology.md</x:v>
      </x:c>
      <x:c r="W93" s="4" t="str">
        <x:v>Chemical material</x:v>
      </x:c>
      <x:c r="X93" s="4" t="str">
        <x:v>Extracted material</x:v>
      </x:c>
      <x:c r="Y93" s="4" t="str">
        <x:v>Fauna</x:v>
      </x:c>
      <x:c r="Z93" s="4" t="str">
        <x:v>Material exclusion</x:v>
      </x:c>
      <x:c r="AA93" s="4" t="str">
        <x:v>Biological chemical</x:v>
      </x:c>
      <x:c r="AB93" s="4" t="str">
        <x:v>Unresolved</x:v>
      </x:c>
      <x:c r="AC93" s="4" t="str">
        <x:v>Proposal</x:v>
      </x:c>
      <x:c r="AD93" s="4" t="str">
        <x:f>LOWER(A93&amp;"; "&amp;B93&amp;"; "&amp;C93&amp;"; "&amp;D93&amp;"; "&amp;W93&amp;"; "&amp;X93&amp;"; "&amp;Y93&amp;"; "&amp;Z93&amp;"; "&amp;AA93&amp;"; "&amp;AB93&amp;"; "&amp;AC93&amp;"; "&amp;U93)</x:f>
        <x:v>proposal.chemical.defensive_irritant; defensive irritant secretion; resources; faunal chemical concept; chemical material; extracted material; fauna; material exclusion; biological chemical; unresolved; proposal; </x:v>
      </x:c>
      <x:c r="AE93" s="4" t="str">
        <x:v>From current item description. Proposed uses retain their existing approval status.</x:v>
      </x:c>
      <x:c r="AF93" s="4" t="str">
        <x:v>T0</x:v>
      </x:c>
      <x:c r="AG93" s="4" t="str">
        <x:v>Raw gathered/recovered craft input under the author T0 framework. This does not imply a naturally occurring pure metal.</x:v>
      </x:c>
      <x:c r="AH93" s="4" t="str">
        <x:v>Not applicable</x:v>
      </x:c>
    </x:row>
    <x:row r="94" ht="80" customHeight="1">
      <x:c r="A94" s="9" t="str">
        <x:v>proposal.chemical.disabling_venom</x:v>
      </x:c>
      <x:c r="B94" s="9" t="str">
        <x:v>Disabling venom fraction</x:v>
      </x:c>
      <x:c r="C94" s="9" t="str">
        <x:v>Resources</x:v>
      </x:c>
      <x:c r="D94" s="9" t="str">
        <x:v>Faunal chemical concept</x:v>
      </x:c>
      <x:c r="E94" s="9" t="str">
        <x:v>New proposal</x:v>
      </x:c>
      <x:c r="F94" s="9" t="str">
        <x:v>Candidate specialist trade/sample material for later design</x:v>
      </x:c>
      <x:c r="G94" s="9" t="str">
        <x:v>None</x:v>
      </x:c>
      <x:c r="H94" s="9" t="str">
        <x:v>Contained Legger/local storage proposed</x:v>
      </x:c>
      <x:c r="I94" s="13"/>
      <x:c r="J94" s="15"/>
      <x:c r="K94" s="9" t="str">
        <x:v>Proposed specialized predator secretion for subduing native prey</x:v>
      </x:c>
      <x:c r="L94" s="9" t="str">
        <x:v>Qualitative material concept; no recipe authored</x:v>
      </x:c>
      <x:c r="M94" s="9" t="str">
        <x:v>Not implemented</x:v>
      </x:c>
      <x:c r="N94" s="9" t="str">
        <x:v>Neurological disruption; human severity undefined; No human/animal potency equivalence, cure, delivery method or combat system established</x:v>
      </x:c>
      <x:c r="O94" s="32"/>
      <x:c r="P94" s="32"/>
      <x:c r="Q94" s="32"/>
      <x:c r="R94" s="32"/>
      <x:c r="S94" s="32"/>
      <x:c r="T94" s="9" t="str">
        <x:v>New proposal; source predation does not establish a specific venom</x:v>
      </x:c>
      <x:c r="U94" s="11"/>
      <x:c r="V94" s="9" t="str">
        <x:v>New game brainstorm, October 14, 2026; source records are proposals. https://github.com/sleepyseamonster/Arc-Dust/blob/f6f98515c005dc3c73cccd9cbc031691745740c6/02-Arc-Dust-Worldbuilding/world/native-fauna-biology.md</x:v>
      </x:c>
      <x:c r="W94" s="4" t="str">
        <x:v>Chemical material</x:v>
      </x:c>
      <x:c r="X94" s="4" t="str">
        <x:v>Extracted material</x:v>
      </x:c>
      <x:c r="Y94" s="4" t="str">
        <x:v>Fauna</x:v>
      </x:c>
      <x:c r="Z94" s="4" t="str">
        <x:v>Specialist samples</x:v>
      </x:c>
      <x:c r="AA94" s="4" t="str">
        <x:v>Biological chemical</x:v>
      </x:c>
      <x:c r="AB94" s="4" t="str">
        <x:v>Unresolved</x:v>
      </x:c>
      <x:c r="AC94" s="4" t="str">
        <x:v>Proposal</x:v>
      </x:c>
      <x:c r="AD94" s="4" t="str">
        <x:f>LOWER(A94&amp;"; "&amp;B94&amp;"; "&amp;C94&amp;"; "&amp;D94&amp;"; "&amp;W94&amp;"; "&amp;X94&amp;"; "&amp;Y94&amp;"; "&amp;Z94&amp;"; "&amp;AA94&amp;"; "&amp;AB94&amp;"; "&amp;AC94&amp;"; "&amp;U94)</x:f>
        <x:v>proposal.chemical.disabling_venom; disabling venom fraction; resources; faunal chemical concept; chemical material; extracted material; fauna; specialist samples; biological chemical; unresolved; proposal; </x:v>
      </x:c>
      <x:c r="AE94" s="4" t="str">
        <x:v>From current item description. Proposed uses retain their existing approval status.</x:v>
      </x:c>
      <x:c r="AF94" s="4" t="str">
        <x:v>T0</x:v>
      </x:c>
      <x:c r="AG94" s="4" t="str">
        <x:v>Raw gathered/recovered craft input under the author T0 framework. This does not imply a naturally occurring pure metal.</x:v>
      </x:c>
      <x:c r="AH94" s="4" t="str">
        <x:v>Not applicable</x:v>
      </x:c>
    </x:row>
    <x:row r="95" ht="80" customHeight="1">
      <x:c r="A95" s="9" t="str">
        <x:v>proposal.chemical.scent_marker</x:v>
      </x:c>
      <x:c r="B95" s="9" t="str">
        <x:v>Chemical scent marker</x:v>
      </x:c>
      <x:c r="C95" s="9" t="str">
        <x:v>Resources</x:v>
      </x:c>
      <x:c r="D95" s="9" t="str">
        <x:v>Faunal chemical concept</x:v>
      </x:c>
      <x:c r="E95" s="9" t="str">
        <x:v>New proposal</x:v>
      </x:c>
      <x:c r="F95" s="9" t="str">
        <x:v>Possible lure, trail concealment or animal-avoidance research</x:v>
      </x:c>
      <x:c r="G95" s="9" t="str">
        <x:v>None</x:v>
      </x:c>
      <x:c r="H95" s="9" t="str">
        <x:v>Contained Legger/local storage proposed</x:v>
      </x:c>
      <x:c r="I95" s="13"/>
      <x:c r="J95" s="15"/>
      <x:c r="K95" s="9" t="str">
        <x:v>Proposed territorial or social signal secretion</x:v>
      </x:c>
      <x:c r="L95" s="9" t="str">
        <x:v>Qualitative material concept; no recipe authored</x:v>
      </x:c>
      <x:c r="M95" s="9" t="str">
        <x:v>Not implemented</x:v>
      </x:c>
      <x:c r="N95" s="9" t="str">
        <x:v>Irritant or toxic to humans despite its signaling role; Species-specific response; a signal may attract unwanted animals rather than repel them</x:v>
      </x:c>
      <x:c r="O95" s="32"/>
      <x:c r="P95" s="32"/>
      <x:c r="Q95" s="32"/>
      <x:c r="R95" s="32"/>
      <x:c r="S95" s="32"/>
      <x:c r="T95" s="9" t="str">
        <x:v>New proposal; no accepted behavioral response or universal bait chemistry</x:v>
      </x:c>
      <x:c r="U95" s="11"/>
      <x:c r="V95" s="9" t="str">
        <x:v>New game brainstorm, October 14, 2026; source records are proposals. https://github.com/sleepyseamonster/Arc-Dust/blob/f6f98515c005dc3c73cccd9cbc031691745740c6/02-Arc-Dust-Worldbuilding/world/native-fauna-biology.md</x:v>
      </x:c>
      <x:c r="W95" s="4" t="str">
        <x:v>Chemical material</x:v>
      </x:c>
      <x:c r="X95" s="4" t="str">
        <x:v>Extracted material</x:v>
      </x:c>
      <x:c r="Y95" s="4" t="str">
        <x:v>Fauna</x:v>
      </x:c>
      <x:c r="Z95" s="4" t="str">
        <x:v>Fauna interaction</x:v>
      </x:c>
      <x:c r="AA95" s="4" t="str">
        <x:v>Biological chemical</x:v>
      </x:c>
      <x:c r="AB95" s="4" t="str">
        <x:v>Unresolved</x:v>
      </x:c>
      <x:c r="AC95" s="4" t="str">
        <x:v>Proposal</x:v>
      </x:c>
      <x:c r="AD95" s="4" t="str">
        <x:f>LOWER(A95&amp;"; "&amp;B95&amp;"; "&amp;C95&amp;"; "&amp;D95&amp;"; "&amp;W95&amp;"; "&amp;X95&amp;"; "&amp;Y95&amp;"; "&amp;Z95&amp;"; "&amp;AA95&amp;"; "&amp;AB95&amp;"; "&amp;AC95&amp;"; "&amp;U95)</x:f>
        <x:v>proposal.chemical.scent_marker; chemical scent marker; resources; faunal chemical concept; chemical material; extracted material; fauna; fauna interaction; biological chemical; unresolved; proposal; </x:v>
      </x:c>
      <x:c r="AE95" s="4" t="str">
        <x:v>From current item description. Proposed uses retain their existing approval status.</x:v>
      </x:c>
      <x:c r="AF95" s="4" t="str">
        <x:v>T0</x:v>
      </x:c>
      <x:c r="AG95" s="4" t="str">
        <x:v>Raw gathered/recovered craft input under the author T0 framework. This does not imply a naturally occurring pure metal.</x:v>
      </x:c>
      <x:c r="AH95" s="4" t="str">
        <x:v>Not applicable</x:v>
      </x:c>
    </x:row>
    <x:row r="96" ht="100" customHeight="1">
      <x:c r="A96" s="9" t="str">
        <x:v>proposal.container.sample_vial</x:v>
      </x:c>
      <x:c r="B96" s="9" t="str">
        <x:v>Clear sample vial</x:v>
      </x:c>
      <x:c r="C96" s="9" t="str">
        <x:v>Containers</x:v>
      </x:c>
      <x:c r="D96" s="9" t="str">
        <x:v>Primary vessel</x:v>
      </x:c>
      <x:c r="E96" s="9" t="str">
        <x:v>New proposal</x:v>
      </x:c>
      <x:c r="F96" s="9" t="str">
        <x:v>Inspect a small ichor or chemical sample without opening it</x:v>
      </x:c>
      <x:c r="G96" s="9" t="str">
        <x:v>None</x:v>
      </x:c>
      <x:c r="H96" s="9" t="str">
        <x:v>Filled raw-resource vessel: Legger/local owner; other carrier eligibility TBD</x:v>
      </x:c>
      <x:c r="I96" s="13"/>
      <x:c r="J96" s="15"/>
      <x:c r="K96" s="9" t="str">
        <x:v>Glassworker/fabricator or salvage candidate; no recipe authored</x:v>
      </x:c>
      <x:c r="L96" s="9" t="str">
        <x:v>Materials: Scarce clear glass</x:v>
      </x:c>
      <x:c r="M96" s="9" t="str">
        <x:v>Not implemented</x:v>
      </x:c>
      <x:c r="N96" s="9" t="str">
        <x:v>Clear glass cost; liquid compatibility and fill limit unapproved</x:v>
      </x:c>
      <x:c r="O96" s="36"/>
      <x:c r="P96" s="36"/>
      <x:c r="Q96" s="36"/>
      <x:c r="R96" s="36"/>
      <x:c r="S96" s="36"/>
      <x:c r="T96" s="9" t="str">
        <x:v>Qualitative size: Small sample. Closure: Matched stopper with retained cover proposed. Contents: Species-tagged ichor; compatible chemical samples</x:v>
      </x:c>
      <x:c r="U96" s="11" t="str">
        <x:v>inspection</x:v>
      </x:c>
      <x:c r="V96" s="9" t="str">
        <x:v>New game proposal, October 14, 2026. Glass draft supports costly transparent material; this vessel is a new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96" s="4" t="str">
        <x:v>Container</x:v>
      </x:c>
      <x:c r="X96" s="4" t="str">
        <x:v>Finished item</x:v>
      </x:c>
      <x:c r="Y96" s="4" t="str">
        <x:v>Manufactured / unresolved</x:v>
      </x:c>
      <x:c r="Z96" s="4" t="str">
        <x:v>Liquid and bulk containment</x:v>
      </x:c>
      <x:c r="AA96" s="4" t="str">
        <x:v>Glass</x:v>
      </x:c>
      <x:c r="AB96" s="4" t="str">
        <x:v>Solid part</x:v>
      </x:c>
      <x:c r="AC96" s="4" t="str">
        <x:v>Proposal</x:v>
      </x:c>
      <x:c r="AD96" s="4" t="str">
        <x:f>LOWER(A96&amp;"; "&amp;B96&amp;"; "&amp;C96&amp;"; "&amp;D96&amp;"; "&amp;W96&amp;"; "&amp;X96&amp;"; "&amp;Y96&amp;"; "&amp;Z96&amp;"; "&amp;AA96&amp;"; "&amp;AB96&amp;"; "&amp;AC96&amp;"; "&amp;U96)</x:f>
        <x:v>proposal.container.sample_vial; clear sample vial; containers; primary vessel; container; finished item; manufactured / unresolved; liquid and bulk containment; glass; solid part; proposal; inspection</x:v>
      </x:c>
      <x:c r="AE96" s="4" t="str">
        <x:v>From current item description. Proposed uses retain their existing approval status.</x:v>
      </x:c>
      <x:c r="AF96" s="4" t="str">
        <x:v>Finished item</x:v>
      </x:c>
      <x:c r="AG96" s="4" t="str">
        <x:v>Completed gear, vessel, food or tool can stop at its chosen material tier; it need not climb to T4.</x:v>
      </x:c>
      <x:c r="AH96" s="4" t="str">
        <x:v>Unassigned</x:v>
      </x:c>
    </x:row>
    <x:row r="97" ht="100" customHeight="1">
      <x:c r="A97" s="9" t="str">
        <x:v>proposal.container.reagent_bottle</x:v>
      </x:c>
      <x:c r="B97" s="9" t="str">
        <x:v>Opaque reagent bottle</x:v>
      </x:c>
      <x:c r="C97" s="9" t="str">
        <x:v>Containers</x:v>
      </x:c>
      <x:c r="D97" s="9" t="str">
        <x:v>Primary vessel</x:v>
      </x:c>
      <x:c r="E97" s="9" t="str">
        <x:v>New proposal</x:v>
      </x:c>
      <x:c r="F97" s="9" t="str">
        <x:v>Everyday transport of one known material</x:v>
      </x:c>
      <x:c r="G97" s="9" t="str">
        <x:v>None</x:v>
      </x:c>
      <x:c r="H97" s="9" t="str">
        <x:v>Filled raw-resource vessel: Legger/local owner; other carrier eligibility TBD</x:v>
      </x:c>
      <x:c r="I97" s="13"/>
      <x:c r="J97" s="15"/>
      <x:c r="K97" s="9" t="str">
        <x:v>Glassworker/fabricator or salvage candidate; no recipe authored</x:v>
      </x:c>
      <x:c r="L97" s="9" t="str">
        <x:v>Materials: Opaque mineral glass; shell/metal cap</x:v>
      </x:c>
      <x:c r="M97" s="9" t="str">
        <x:v>Not implemented</x:v>
      </x:c>
      <x:c r="N97" s="9" t="str">
        <x:v>Cannot inspect contents through the wall; external identity label matters</x:v>
      </x:c>
      <x:c r="O97" s="36"/>
      <x:c r="P97" s="36"/>
      <x:c r="Q97" s="36"/>
      <x:c r="R97" s="36"/>
      <x:c r="S97" s="36"/>
      <x:c r="T97" s="9" t="str">
        <x:v>Qualitative size: Hand-sized. Closure: Compression cap and compatible seat proposed. Contents: One identified ichor or reagent batch</x:v>
      </x:c>
      <x:c r="U97" s="11"/>
      <x:c r="V97" s="9" t="str">
        <x:v>New game proposal, October 14, 2026. Standard opaque glass vessels have a source-draft basis; exact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97" s="4" t="str">
        <x:v>Container</x:v>
      </x:c>
      <x:c r="X97" s="4" t="str">
        <x:v>Finished item</x:v>
      </x:c>
      <x:c r="Y97" s="4" t="str">
        <x:v>Manufactured / unresolved</x:v>
      </x:c>
      <x:c r="Z97" s="4" t="str">
        <x:v>Liquid and bulk containment</x:v>
      </x:c>
      <x:c r="AA97" s="4" t="str">
        <x:v>Glass</x:v>
      </x:c>
      <x:c r="AB97" s="4" t="str">
        <x:v>Solid part</x:v>
      </x:c>
      <x:c r="AC97" s="4" t="str">
        <x:v>Proposal</x:v>
      </x:c>
      <x:c r="AD97" s="4" t="str">
        <x:f>LOWER(A97&amp;"; "&amp;B97&amp;"; "&amp;C97&amp;"; "&amp;D97&amp;"; "&amp;W97&amp;"; "&amp;X97&amp;"; "&amp;Y97&amp;"; "&amp;Z97&amp;"; "&amp;AA97&amp;"; "&amp;AB97&amp;"; "&amp;AC97&amp;"; "&amp;U97)</x:f>
        <x:v>proposal.container.reagent_bottle; opaque reagent bottle; containers; primary vessel; container; finished item; manufactured / unresolved; liquid and bulk containment; glass; solid part; proposal; </x:v>
      </x:c>
      <x:c r="AE97" s="4" t="str">
        <x:v>From current item description. Proposed uses retain their existing approval status.</x:v>
      </x:c>
      <x:c r="AF97" s="4" t="str">
        <x:v>Finished item</x:v>
      </x:c>
      <x:c r="AG97" s="4" t="str">
        <x:v>Completed gear, vessel, food or tool can stop at its chosen material tier; it need not climb to T4.</x:v>
      </x:c>
      <x:c r="AH97" s="4" t="str">
        <x:v>Unassigned</x:v>
      </x:c>
    </x:row>
    <x:row r="98" ht="100" customHeight="1">
      <x:c r="A98" s="9" t="str">
        <x:v>proposal.container.wide_jar</x:v>
      </x:c>
      <x:c r="B98" s="9" t="str">
        <x:v>Wide-mouth sample jar</x:v>
      </x:c>
      <x:c r="C98" s="9" t="str">
        <x:v>Containers</x:v>
      </x:c>
      <x:c r="D98" s="9" t="str">
        <x:v>Primary vessel</x:v>
      </x:c>
      <x:c r="E98" s="9" t="str">
        <x:v>New proposal</x:v>
      </x:c>
      <x:c r="F98" s="9" t="str">
        <x:v>Carry thick gels, clot samples and mineral-rich slurry</x:v>
      </x:c>
      <x:c r="G98" s="9" t="str">
        <x:v>None</x:v>
      </x:c>
      <x:c r="H98" s="9" t="str">
        <x:v>Filled raw-resource vessel: Legger/local owner; other carrier eligibility TBD</x:v>
      </x:c>
      <x:c r="I98" s="13"/>
      <x:c r="J98" s="15"/>
      <x:c r="K98" s="9" t="str">
        <x:v>Glassworker/fabricator or salvage candidate; no recipe authored</x:v>
      </x:c>
      <x:c r="L98" s="9" t="str">
        <x:v>Materials: Glass body; rigid broad lid</x:v>
      </x:c>
      <x:c r="M98" s="9" t="str">
        <x:v>Not implemented</x:v>
      </x:c>
      <x:c r="N98" s="9" t="str">
        <x:v>Wide opening aids access but makes transfers less controlled; no scoop rules set</x:v>
      </x:c>
      <x:c r="O98" s="36"/>
      <x:c r="P98" s="36"/>
      <x:c r="Q98" s="36"/>
      <x:c r="R98" s="36"/>
      <x:c r="S98" s="36"/>
      <x:c r="T98" s="9" t="str">
        <x:v>Qualitative size: Small to medium. Closure: Broad fitted lid with compatible sealing seat. Contents: Viscous material or solid/liquid sample</x:v>
      </x:c>
      <x:c r="U98" s="11"/>
      <x:c r="V98" s="9" t="str">
        <x:v>New game proposal, October 14, 2026. Glass vessel basis; wide-mouth item and uses proposed.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98" s="4" t="str">
        <x:v>Container</x:v>
      </x:c>
      <x:c r="X98" s="4" t="str">
        <x:v>Finished item</x:v>
      </x:c>
      <x:c r="Y98" s="4" t="str">
        <x:v>Manufactured / unresolved</x:v>
      </x:c>
      <x:c r="Z98" s="4" t="str">
        <x:v>Liquid and bulk containment</x:v>
      </x:c>
      <x:c r="AA98" s="4" t="str">
        <x:v>Glass</x:v>
      </x:c>
      <x:c r="AB98" s="4" t="str">
        <x:v>Solid part</x:v>
      </x:c>
      <x:c r="AC98" s="4" t="str">
        <x:v>Proposal</x:v>
      </x:c>
      <x:c r="AD98" s="4" t="str">
        <x:f>LOWER(A98&amp;"; "&amp;B98&amp;"; "&amp;C98&amp;"; "&amp;D98&amp;"; "&amp;W98&amp;"; "&amp;X98&amp;"; "&amp;Y98&amp;"; "&amp;Z98&amp;"; "&amp;AA98&amp;"; "&amp;AB98&amp;"; "&amp;AC98&amp;"; "&amp;U98)</x:f>
        <x:v>proposal.container.wide_jar; wide-mouth sample jar; containers; primary vessel; container; finished item; manufactured / unresolved; liquid and bulk containment; glass; solid part; proposal; </x:v>
      </x:c>
      <x:c r="AE98" s="4" t="str">
        <x:v>From current item description. Proposed uses retain their existing approval status.</x:v>
      </x:c>
      <x:c r="AF98" s="4" t="str">
        <x:v>Finished item</x:v>
      </x:c>
      <x:c r="AG98" s="4" t="str">
        <x:v>Completed gear, vessel, food or tool can stop at its chosen material tier; it need not climb to T4.</x:v>
      </x:c>
      <x:c r="AH98" s="4" t="str">
        <x:v>Unassigned</x:v>
      </x:c>
    </x:row>
    <x:row r="99" ht="100" customHeight="1">
      <x:c r="A99" s="9" t="str">
        <x:v>proposal.container.ampoule</x:v>
      </x:c>
      <x:c r="B99" s="9" t="str">
        <x:v>Sealed sample ampoule</x:v>
      </x:c>
      <x:c r="C99" s="9" t="str">
        <x:v>Containers</x:v>
      </x:c>
      <x:c r="D99" s="9" t="str">
        <x:v>Primary vessel</x:v>
      </x:c>
      <x:c r="E99" s="9" t="str">
        <x:v>New proposal</x:v>
      </x:c>
      <x:c r="F99" s="9" t="str">
        <x:v>Preserve an isolated small specimen for later analysis or trade</x:v>
      </x:c>
      <x:c r="G99" s="9" t="str">
        <x:v>None</x:v>
      </x:c>
      <x:c r="H99" s="9" t="str">
        <x:v>Filled raw-resource vessel: Legger/local owner; other carrier eligibility TBD</x:v>
      </x:c>
      <x:c r="I99" s="13"/>
      <x:c r="J99" s="15"/>
      <x:c r="K99" s="9" t="str">
        <x:v>Glassworker/fabricator or salvage candidate; no recipe authored</x:v>
      </x:c>
      <x:c r="L99" s="9" t="str">
        <x:v>Materials: Sealed clear glass</x:v>
      </x:c>
      <x:c r="M99" s="9" t="str">
        <x:v>Not implemented</x:v>
      </x:c>
      <x:c r="N99" s="9" t="str">
        <x:v>Opening and reuse undecided; no mandatory single-use depletion rule approved</x:v>
      </x:c>
      <x:c r="O99" s="36"/>
      <x:c r="P99" s="36"/>
      <x:c r="Q99" s="36"/>
      <x:c r="R99" s="36"/>
      <x:c r="S99" s="36"/>
      <x:c r="T99" s="9" t="str">
        <x:v>Qualitative size: Very small. Closure: Factory/workshop sealed. Contents: One specimen; chemistry compatibility unresolved</x:v>
      </x:c>
      <x:c r="U99" s="11"/>
      <x:c r="V99" s="9" t="str">
        <x:v>New game proposal, October 14, 2026. New sealed-glass form inspired by source glasswork.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99" s="4" t="str">
        <x:v>Container</x:v>
      </x:c>
      <x:c r="X99" s="4" t="str">
        <x:v>Finished item</x:v>
      </x:c>
      <x:c r="Y99" s="4" t="str">
        <x:v>Manufactured / unresolved</x:v>
      </x:c>
      <x:c r="Z99" s="4" t="str">
        <x:v>Liquid and bulk containment</x:v>
      </x:c>
      <x:c r="AA99" s="4" t="str">
        <x:v>Glass</x:v>
      </x:c>
      <x:c r="AB99" s="4" t="str">
        <x:v>Solid part</x:v>
      </x:c>
      <x:c r="AC99" s="4" t="str">
        <x:v>Proposal</x:v>
      </x:c>
      <x:c r="AD99" s="4" t="str">
        <x:f>LOWER(A99&amp;"; "&amp;B99&amp;"; "&amp;C99&amp;"; "&amp;D99&amp;"; "&amp;W99&amp;"; "&amp;X99&amp;"; "&amp;Y99&amp;"; "&amp;Z99&amp;"; "&amp;AA99&amp;"; "&amp;AB99&amp;"; "&amp;AC99&amp;"; "&amp;U99)</x:f>
        <x:v>proposal.container.ampoule; sealed sample ampoule; containers; primary vessel; container; finished item; manufactured / unresolved; liquid and bulk containment; glass; solid part; proposal; </x:v>
      </x:c>
      <x:c r="AE99" s="4" t="str">
        <x:v>From current item description. Proposed uses retain their existing approval status.</x:v>
      </x:c>
      <x:c r="AF99" s="4" t="str">
        <x:v>Finished item</x:v>
      </x:c>
      <x:c r="AG99" s="4" t="str">
        <x:v>Completed gear, vessel, food or tool can stop at its chosen material tier; it need not climb to T4.</x:v>
      </x:c>
      <x:c r="AH99" s="4" t="str">
        <x:v>Unassigned</x:v>
      </x:c>
    </x:row>
    <x:row r="100" ht="100" customHeight="1">
      <x:c r="A100" s="9" t="str">
        <x:v>proposal.container.marked_flask</x:v>
      </x:c>
      <x:c r="B100" s="9" t="str">
        <x:v>Marked glass flask</x:v>
      </x:c>
      <x:c r="C100" s="9" t="str">
        <x:v>Containers</x:v>
      </x:c>
      <x:c r="D100" s="9" t="str">
        <x:v>Primary vessel</x:v>
      </x:c>
      <x:c r="E100" s="9" t="str">
        <x:v>New proposal</x:v>
      </x:c>
      <x:c r="F100" s="9" t="str">
        <x:v>Read fill and compare a specimen before transfer</x:v>
      </x:c>
      <x:c r="G100" s="9" t="str">
        <x:v>None</x:v>
      </x:c>
      <x:c r="H100" s="9" t="str">
        <x:v>Filled raw-resource vessel: Legger/local owner; other carrier eligibility TBD</x:v>
      </x:c>
      <x:c r="I100" s="13"/>
      <x:c r="J100" s="15"/>
      <x:c r="K100" s="9" t="str">
        <x:v>Glassworker/fabricator or salvage candidate; no recipe authored</x:v>
      </x:c>
      <x:c r="L100" s="9" t="str">
        <x:v>Materials: Clear glass with etched marks</x:v>
      </x:c>
      <x:c r="M100" s="9" t="str">
        <x:v>Not implemented</x:v>
      </x:c>
      <x:c r="N100" s="9" t="str">
        <x:v>Marks do not establish numeric volume, chemistry analysis or automatic quality grading</x:v>
      </x:c>
      <x:c r="O100" s="36"/>
      <x:c r="P100" s="36"/>
      <x:c r="Q100" s="36"/>
      <x:c r="R100" s="36"/>
      <x:c r="S100" s="36"/>
      <x:c r="T100" s="9" t="str">
        <x:v>Qualitative size: Small sample / workshop. Closure: Matched stopper proposed. Contents: Compatible samples and liquids</x:v>
      </x:c>
      <x:c r="U100" s="11" t="str">
        <x:v>inspection</x:v>
      </x:c>
      <x:c r="V100" s="9" t="str">
        <x:v>New game proposal, October 14, 2026. New measuring/inspection use; no authored volume system.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00" s="4" t="str">
        <x:v>Container</x:v>
      </x:c>
      <x:c r="X100" s="4" t="str">
        <x:v>Finished item</x:v>
      </x:c>
      <x:c r="Y100" s="4" t="str">
        <x:v>Manufactured / unresolved</x:v>
      </x:c>
      <x:c r="Z100" s="4" t="str">
        <x:v>Liquid and bulk containment</x:v>
      </x:c>
      <x:c r="AA100" s="4" t="str">
        <x:v>Glass</x:v>
      </x:c>
      <x:c r="AB100" s="4" t="str">
        <x:v>Solid part</x:v>
      </x:c>
      <x:c r="AC100" s="4" t="str">
        <x:v>Proposal</x:v>
      </x:c>
      <x:c r="AD100" s="4" t="str">
        <x:f>LOWER(A100&amp;"; "&amp;B100&amp;"; "&amp;C100&amp;"; "&amp;D100&amp;"; "&amp;W100&amp;"; "&amp;X100&amp;"; "&amp;Y100&amp;"; "&amp;Z100&amp;"; "&amp;AA100&amp;"; "&amp;AB100&amp;"; "&amp;AC100&amp;"; "&amp;U100)</x:f>
        <x:v>proposal.container.marked_flask; marked glass flask; containers; primary vessel; container; finished item; manufactured / unresolved; liquid and bulk containment; glass; solid part; proposal; inspection</x:v>
      </x:c>
      <x:c r="AE100" s="4" t="str">
        <x:v>From current item description. Proposed uses retain their existing approval status.</x:v>
      </x:c>
      <x:c r="AF100" s="4" t="str">
        <x:v>Finished item</x:v>
      </x:c>
      <x:c r="AG100" s="4" t="str">
        <x:v>Completed gear, vessel, food or tool can stop at its chosen material tier; it need not climb to T4.</x:v>
      </x:c>
      <x:c r="AH100" s="4" t="str">
        <x:v>Unassigned</x:v>
      </x:c>
    </x:row>
    <x:row r="101" ht="100" customHeight="1">
      <x:c r="A101" s="9" t="str">
        <x:v>proposal.container.shell_cage</x:v>
      </x:c>
      <x:c r="B101" s="9" t="str">
        <x:v>Shell-caged glass flask</x:v>
      </x:c>
      <x:c r="C101" s="9" t="str">
        <x:v>Containers</x:v>
      </x:c>
      <x:c r="D101" s="9" t="str">
        <x:v>Protected vessel assembly</x:v>
      </x:c>
      <x:c r="E101" s="9" t="str">
        <x:v>New proposal</x:v>
      </x:c>
      <x:c r="F101" s="9" t="str">
        <x:v>Protect a carried specimen while keeping a viewing opening</x:v>
      </x:c>
      <x:c r="G101" s="9" t="str">
        <x:v>None</x:v>
      </x:c>
      <x:c r="H101" s="9" t="str">
        <x:v>Filled raw-resource vessel: Legger/local owner; other carrier eligibility TBD</x:v>
      </x:c>
      <x:c r="I101" s="13"/>
      <x:c r="J101" s="15"/>
      <x:c r="K101" s="9" t="str">
        <x:v>Glassworker/fabricator or salvage candidate; no recipe authored</x:v>
      </x:c>
      <x:c r="L101" s="9" t="str">
        <x:v>Materials: Glass inner vessel; slotted shell outer cage</x:v>
      </x:c>
      <x:c r="M101" s="9" t="str">
        <x:v>Not implemented</x:v>
      </x:c>
      <x:c r="N101" s="9" t="str">
        <x:v>One assembled container, not two copies of storage; protection behavior undecided</x:v>
      </x:c>
      <x:c r="O101" s="36"/>
      <x:c r="P101" s="36"/>
      <x:c r="Q101" s="36"/>
      <x:c r="R101" s="36"/>
      <x:c r="S101" s="36"/>
      <x:c r="T101" s="9" t="str">
        <x:v>Qualitative size: Medium. Closure: Retained cap and inspectable seat proposed. Contents: One compatible liquid payload</x:v>
      </x:c>
      <x:c r="U101" s="11"/>
      <x:c r="V101" s="9" t="str">
        <x:v>New game proposal, October 14, 2026. Chitin plate/curved vessel and glass drafts inspire assembly;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01" s="4" t="str">
        <x:v>Container</x:v>
      </x:c>
      <x:c r="X101" s="4" t="str">
        <x:v>Finished item</x:v>
      </x:c>
      <x:c r="Y101" s="4" t="str">
        <x:v>Manufactured / unresolved</x:v>
      </x:c>
      <x:c r="Z101" s="4" t="str">
        <x:v>Liquid and bulk containment</x:v>
      </x:c>
      <x:c r="AA101" s="4" t="str">
        <x:v>Glass and shell</x:v>
      </x:c>
      <x:c r="AB101" s="4" t="str">
        <x:v>Assembly</x:v>
      </x:c>
      <x:c r="AC101" s="4" t="str">
        <x:v>Proposal</x:v>
      </x:c>
      <x:c r="AD101" s="4" t="str">
        <x:f>LOWER(A101&amp;"; "&amp;B101&amp;"; "&amp;C101&amp;"; "&amp;D101&amp;"; "&amp;W101&amp;"; "&amp;X101&amp;"; "&amp;Y101&amp;"; "&amp;Z101&amp;"; "&amp;AA101&amp;"; "&amp;AB101&amp;"; "&amp;AC101&amp;"; "&amp;U101)</x:f>
        <x:v>proposal.container.shell_cage; shell-caged glass flask; containers; protected vessel assembly; container; finished item; manufactured / unresolved; liquid and bulk containment; glass and shell; assembly; proposal; </x:v>
      </x:c>
      <x:c r="AE101" s="4" t="str">
        <x:v>From current item description. Proposed uses retain their existing approval status.</x:v>
      </x:c>
      <x:c r="AF101" s="4" t="str">
        <x:v>Finished item</x:v>
      </x:c>
      <x:c r="AG101" s="4" t="str">
        <x:v>Completed gear, vessel, food or tool can stop at its chosen material tier; it need not climb to T4.</x:v>
      </x:c>
      <x:c r="AH101" s="4" t="str">
        <x:v>Unassigned</x:v>
      </x:c>
    </x:row>
    <x:row r="102" ht="100" customHeight="1">
      <x:c r="A102" s="9" t="str">
        <x:v>proposal.container.lined_canister</x:v>
      </x:c>
      <x:c r="B102" s="9" t="str">
        <x:v>Glass-lined haul canister</x:v>
      </x:c>
      <x:c r="C102" s="9" t="str">
        <x:v>Containers</x:v>
      </x:c>
      <x:c r="D102" s="9" t="str">
        <x:v>Protected vessel assembly</x:v>
      </x:c>
      <x:c r="E102" s="9" t="str">
        <x:v>New proposal</x:v>
      </x:c>
      <x:c r="F102" s="9" t="str">
        <x:v>Transport larger quantities to a processing workshop</x:v>
      </x:c>
      <x:c r="G102" s="9" t="str">
        <x:v>None</x:v>
      </x:c>
      <x:c r="H102" s="9" t="str">
        <x:v>Filled raw-resource vessel: Legger/local owner; other carrier eligibility TBD</x:v>
      </x:c>
      <x:c r="I102" s="13"/>
      <x:c r="J102" s="15"/>
      <x:c r="K102" s="9" t="str">
        <x:v>Glassworker/fabricator or salvage candidate; no recipe authored</x:v>
      </x:c>
      <x:c r="L102" s="9" t="str">
        <x:v>Materials: Metal/shell outer body; replaceable glass liner</x:v>
      </x:c>
      <x:c r="M102" s="9" t="str">
        <x:v>Not implemented</x:v>
      </x:c>
      <x:c r="N102" s="9" t="str">
        <x:v>Liner, seal and contents must all be compatible; filled payload belongs in resource cargo</x:v>
      </x:c>
      <x:c r="O102" s="36"/>
      <x:c r="P102" s="36"/>
      <x:c r="Q102" s="36"/>
      <x:c r="R102" s="36"/>
      <x:c r="S102" s="36"/>
      <x:c r="T102" s="9" t="str">
        <x:v>Qualitative size: Medium haul. Closure: Compression lid with replaceable compatible seat. Contents: One identified raw ichor or chemical batch</x:v>
      </x:c>
      <x:c r="U102" s="11"/>
      <x:c r="V102" s="9" t="str">
        <x:v>New game proposal, October 14, 2026. Glass draft includes internal canister linings; haul role and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02" s="4" t="str">
        <x:v>Container</x:v>
      </x:c>
      <x:c r="X102" s="4" t="str">
        <x:v>Finished item</x:v>
      </x:c>
      <x:c r="Y102" s="4" t="str">
        <x:v>Manufactured / unresolved</x:v>
      </x:c>
      <x:c r="Z102" s="4" t="str">
        <x:v>Liquid and bulk containment</x:v>
      </x:c>
      <x:c r="AA102" s="4" t="str">
        <x:v>Glass with unresolved casing</x:v>
      </x:c>
      <x:c r="AB102" s="4" t="str">
        <x:v>Assembly</x:v>
      </x:c>
      <x:c r="AC102" s="4" t="str">
        <x:v>Proposal</x:v>
      </x:c>
      <x:c r="AD102" s="4" t="str">
        <x:f>LOWER(A102&amp;"; "&amp;B102&amp;"; "&amp;C102&amp;"; "&amp;D102&amp;"; "&amp;W102&amp;"; "&amp;X102&amp;"; "&amp;Y102&amp;"; "&amp;Z102&amp;"; "&amp;AA102&amp;"; "&amp;AB102&amp;"; "&amp;AC102&amp;"; "&amp;U102)</x:f>
        <x:v>proposal.container.lined_canister; glass-lined haul canister; containers; protected vessel assembly; container; finished item; manufactured / unresolved; liquid and bulk containment; glass with unresolved casing; assembly; proposal; </x:v>
      </x:c>
      <x:c r="AE102" s="4" t="str">
        <x:v>From current item description. Proposed uses retain their existing approval status.</x:v>
      </x:c>
      <x:c r="AF102" s="4" t="str">
        <x:v>Finished item</x:v>
      </x:c>
      <x:c r="AG102" s="4" t="str">
        <x:v>Completed gear, vessel, food or tool can stop at its chosen material tier; it need not climb to T4.</x:v>
      </x:c>
      <x:c r="AH102" s="4" t="str">
        <x:v>Unassigned</x:v>
      </x:c>
    </x:row>
    <x:row r="103" ht="100" customHeight="1">
      <x:c r="A103" s="9" t="str">
        <x:v>proposal.container.ceramic_jar</x:v>
      </x:c>
      <x:c r="B103" s="9" t="str">
        <x:v>Glazed ceramic reagent jar</x:v>
      </x:c>
      <x:c r="C103" s="9" t="str">
        <x:v>Containers</x:v>
      </x:c>
      <x:c r="D103" s="9" t="str">
        <x:v>Primary vessel</x:v>
      </x:c>
      <x:c r="E103" s="9" t="str">
        <x:v>New proposal</x:v>
      </x:c>
      <x:c r="F103" s="9" t="str">
        <x:v>Alternative storage for selected processing compounds</x:v>
      </x:c>
      <x:c r="G103" s="9" t="str">
        <x:v>None</x:v>
      </x:c>
      <x:c r="H103" s="9" t="str">
        <x:v>Filled raw-resource vessel: Legger/local owner; other carrier eligibility TBD</x:v>
      </x:c>
      <x:c r="I103" s="13"/>
      <x:c r="J103" s="15"/>
      <x:c r="K103" s="9" t="str">
        <x:v>Glassworker/fabricator or salvage candidate; no recipe authored</x:v>
      </x:c>
      <x:c r="L103" s="9" t="str">
        <x:v>Materials: Fired ceramic; proposed glaze; rigid lid</x:v>
      </x:c>
      <x:c r="M103" s="9" t="str">
        <x:v>Not implemented</x:v>
      </x:c>
      <x:c r="N103" s="9" t="str">
        <x:v>Opaque; heavier/bulkier tradeoff proposed; glaze is not universally chemical-resistant</x:v>
      </x:c>
      <x:c r="O103" s="36"/>
      <x:c r="P103" s="36"/>
      <x:c r="Q103" s="36"/>
      <x:c r="R103" s="36"/>
      <x:c r="S103" s="36"/>
      <x:c r="T103" s="9" t="str">
        <x:v>Qualitative size: Medium. Closure: Fitted rigid lid and compatible seal. Contents: Only compounds qualified for that jar</x:v>
      </x:c>
      <x:c r="U103" s="11"/>
      <x:c r="V103" s="9" t="str">
        <x:v>New game proposal, October 14, 2026. New ceramic vessel proposal; not a validated recipe/material capability.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03" s="4" t="str">
        <x:v>Container</x:v>
      </x:c>
      <x:c r="X103" s="4" t="str">
        <x:v>Finished item</x:v>
      </x:c>
      <x:c r="Y103" s="4" t="str">
        <x:v>Manufactured / unresolved</x:v>
      </x:c>
      <x:c r="Z103" s="4" t="str">
        <x:v>Liquid and bulk containment</x:v>
      </x:c>
      <x:c r="AA103" s="4" t="str">
        <x:v>Ceramic</x:v>
      </x:c>
      <x:c r="AB103" s="4" t="str">
        <x:v>Solid part</x:v>
      </x:c>
      <x:c r="AC103" s="4" t="str">
        <x:v>Proposal</x:v>
      </x:c>
      <x:c r="AD103" s="4" t="str">
        <x:f>LOWER(A103&amp;"; "&amp;B103&amp;"; "&amp;C103&amp;"; "&amp;D103&amp;"; "&amp;W103&amp;"; "&amp;X103&amp;"; "&amp;Y103&amp;"; "&amp;Z103&amp;"; "&amp;AA103&amp;"; "&amp;AB103&amp;"; "&amp;AC103&amp;"; "&amp;U103)</x:f>
        <x:v>proposal.container.ceramic_jar; glazed ceramic reagent jar; containers; primary vessel; container; finished item; manufactured / unresolved; liquid and bulk containment; ceramic; solid part; proposal; </x:v>
      </x:c>
      <x:c r="AE103" s="4" t="str">
        <x:v>From current item description. Proposed uses retain their existing approval status.</x:v>
      </x:c>
      <x:c r="AF103" s="4" t="str">
        <x:v>Finished item</x:v>
      </x:c>
      <x:c r="AG103" s="4" t="str">
        <x:v>Completed gear, vessel, food or tool can stop at its chosen material tier; it need not climb to T4.</x:v>
      </x:c>
      <x:c r="AH103" s="4" t="str">
        <x:v>Unassigned</x:v>
      </x:c>
    </x:row>
    <x:row r="104" ht="100" customHeight="1">
      <x:c r="A104" s="9" t="str">
        <x:v>proposal.container.bulk_ichor</x:v>
      </x:c>
      <x:c r="B104" s="9" t="str">
        <x:v>Bulk ichor vessel</x:v>
      </x:c>
      <x:c r="C104" s="9" t="str">
        <x:v>Containers</x:v>
      </x:c>
      <x:c r="D104" s="9" t="str">
        <x:v>Primary vessel</x:v>
      </x:c>
      <x:c r="E104" s="9" t="str">
        <x:v>New proposal</x:v>
      </x:c>
      <x:c r="F104" s="9" t="str">
        <x:v>Make a large harvest an expedition haul decision</x:v>
      </x:c>
      <x:c r="G104" s="9" t="str">
        <x:v>None</x:v>
      </x:c>
      <x:c r="H104" s="9" t="str">
        <x:v>Filled raw-resource vessel: Legger/local owner; other carrier eligibility TBD</x:v>
      </x:c>
      <x:c r="I104" s="13"/>
      <x:c r="J104" s="15"/>
      <x:c r="K104" s="9" t="str">
        <x:v>Glassworker/fabricator or salvage candidate; no recipe authored</x:v>
      </x:c>
      <x:c r="L104" s="9" t="str">
        <x:v>Materials: Reinforced outer body; qualified inner lining TBD</x:v>
      </x:c>
      <x:c r="M104" s="9" t="str">
        <x:v>Not implemented</x:v>
      </x:c>
      <x:c r="N104" s="9" t="str">
        <x:v>Finite Legger cargo and contents mass; no backpack resource exception or free capacity</x:v>
      </x:c>
      <x:c r="O104" s="36"/>
      <x:c r="P104" s="36"/>
      <x:c r="Q104" s="36"/>
      <x:c r="R104" s="36"/>
      <x:c r="S104" s="36"/>
      <x:c r="T104" s="9" t="str">
        <x:v>Qualitative size: Bulk cargo. Closure: Service lid and separate transfer fitting proposed. Contents: One species/batch of gathered ichor</x:v>
      </x:c>
      <x:c r="U104" s="11"/>
      <x:c r="V104" s="9" t="str">
        <x:v>New game proposal, October 14, 2026. New bulk vessel proposal; no liter capacity, hose or extraction mechanic approved.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04" s="4" t="str">
        <x:v>Container</x:v>
      </x:c>
      <x:c r="X104" s="4" t="str">
        <x:v>Finished item</x:v>
      </x:c>
      <x:c r="Y104" s="4" t="str">
        <x:v>Manufactured / unresolved</x:v>
      </x:c>
      <x:c r="Z104" s="4" t="str">
        <x:v>Liquid and bulk containment</x:v>
      </x:c>
      <x:c r="AA104" s="4" t="str">
        <x:v>Mixed / unresolved</x:v>
      </x:c>
      <x:c r="AB104" s="4" t="str">
        <x:v>Assembly</x:v>
      </x:c>
      <x:c r="AC104" s="4" t="str">
        <x:v>Proposal</x:v>
      </x:c>
      <x:c r="AD104" s="4" t="str">
        <x:f>LOWER(A104&amp;"; "&amp;B104&amp;"; "&amp;C104&amp;"; "&amp;D104&amp;"; "&amp;W104&amp;"; "&amp;X104&amp;"; "&amp;Y104&amp;"; "&amp;Z104&amp;"; "&amp;AA104&amp;"; "&amp;AB104&amp;"; "&amp;AC104&amp;"; "&amp;U104)</x:f>
        <x:v>proposal.container.bulk_ichor; bulk ichor vessel; containers; primary vessel; container; finished item; manufactured / unresolved; liquid and bulk containment; mixed / unresolved; assembly; proposal; </x:v>
      </x:c>
      <x:c r="AE104" s="4" t="str">
        <x:v>From current item description. Proposed uses retain their existing approval status.</x:v>
      </x:c>
      <x:c r="AF104" s="4" t="str">
        <x:v>Finished item</x:v>
      </x:c>
      <x:c r="AG104" s="4" t="str">
        <x:v>Completed gear, vessel, food or tool can stop at its chosen material tier; it need not climb to T4.</x:v>
      </x:c>
      <x:c r="AH104" s="4" t="str">
        <x:v>Unassigned</x:v>
      </x:c>
    </x:row>
    <x:row r="105" ht="100" customHeight="1">
      <x:c r="A105" s="9" t="str">
        <x:v>proposal.container.vial_case</x:v>
      </x:c>
      <x:c r="B105" s="9" t="str">
        <x:v>Divided vial case</x:v>
      </x:c>
      <x:c r="C105" s="9" t="str">
        <x:v>Containers</x:v>
      </x:c>
      <x:c r="D105" s="9" t="str">
        <x:v>Protective carrier</x:v>
      </x:c>
      <x:c r="E105" s="9" t="str">
        <x:v>New proposal</x:v>
      </x:c>
      <x:c r="F105" s="9" t="str">
        <x:v>Keep separately sealed specimens organized and supported</x:v>
      </x:c>
      <x:c r="G105" s="9" t="str">
        <x:v>None</x:v>
      </x:c>
      <x:c r="H105" s="9" t="str">
        <x:v>Filled raw-resource vessel: Legger/local owner; other carrier eligibility TBD</x:v>
      </x:c>
      <x:c r="I105" s="13"/>
      <x:c r="J105" s="15"/>
      <x:c r="K105" s="9" t="str">
        <x:v>Glassworker/fabricator or salvage candidate; no recipe authored</x:v>
      </x:c>
      <x:c r="L105" s="9" t="str">
        <x:v>Materials: Shell/metal case; shaped mineral seats</x:v>
      </x:c>
      <x:c r="M105" s="9" t="str">
        <x:v>Not implemented</x:v>
      </x:c>
      <x:c r="N105" s="9" t="str">
        <x:v>Does not create extra inventory capacity; inserts use no assumed wood, cork or cloth</x:v>
      </x:c>
      <x:c r="O105" s="36"/>
      <x:c r="P105" s="36"/>
      <x:c r="Q105" s="36"/>
      <x:c r="R105" s="36"/>
      <x:c r="S105" s="36"/>
      <x:c r="T105" s="9" t="str">
        <x:v>Qualitative size: Several small vessels. Closure: Rigid latched case; each vial has its own seal. Contents: Sealed vials only; no direct liquid payload</x:v>
      </x:c>
      <x:c r="U105" s="11"/>
      <x:c r="V105" s="9" t="str">
        <x:v>New game proposal, October 14, 2026. New case proposal; materials chosen under current no-cloth game rule.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05" s="4" t="str">
        <x:v>Carrier</x:v>
      </x:c>
      <x:c r="X105" s="4" t="str">
        <x:v>Finished item</x:v>
      </x:c>
      <x:c r="Y105" s="4" t="str">
        <x:v>Manufactured / unresolved</x:v>
      </x:c>
      <x:c r="Z105" s="4" t="str">
        <x:v>Cargo organization</x:v>
      </x:c>
      <x:c r="AA105" s="4" t="str">
        <x:v>Mixed / unresolved</x:v>
      </x:c>
      <x:c r="AB105" s="4" t="str">
        <x:v>Assembly</x:v>
      </x:c>
      <x:c r="AC105" s="4" t="str">
        <x:v>Proposal</x:v>
      </x:c>
      <x:c r="AD105" s="4" t="str">
        <x:f>LOWER(A105&amp;"; "&amp;B105&amp;"; "&amp;C105&amp;"; "&amp;D105&amp;"; "&amp;W105&amp;"; "&amp;X105&amp;"; "&amp;Y105&amp;"; "&amp;Z105&amp;"; "&amp;AA105&amp;"; "&amp;AB105&amp;"; "&amp;AC105&amp;"; "&amp;U105)</x:f>
        <x:v>proposal.container.vial_case; divided vial case; containers; protective carrier; carrier; finished item; manufactured / unresolved; cargo organization; mixed / unresolved; assembly; proposal; </x:v>
      </x:c>
      <x:c r="AE105" s="4" t="str">
        <x:v>From current item description. Proposed uses retain their existing approval status.</x:v>
      </x:c>
      <x:c r="AF105" s="4" t="str">
        <x:v>Finished item</x:v>
      </x:c>
      <x:c r="AG105" s="4" t="str">
        <x:v>Completed gear, vessel, food or tool can stop at its chosen material tier; it need not climb to T4.</x:v>
      </x:c>
      <x:c r="AH105" s="4" t="str">
        <x:v>Unassigned</x:v>
      </x:c>
    </x:row>
    <x:row r="106" ht="100" customHeight="1">
      <x:c r="A106" s="9" t="str">
        <x:v>proposal.container.sealed_box</x:v>
      </x:c>
      <x:c r="B106" s="9" t="str">
        <x:v>Sealed cargo box</x:v>
      </x:c>
      <x:c r="C106" s="9" t="str">
        <x:v>Containers</x:v>
      </x:c>
      <x:c r="D106" s="9" t="str">
        <x:v>Protective carrier</x:v>
      </x:c>
      <x:c r="E106" s="9" t="str">
        <x:v>New proposal</x:v>
      </x:c>
      <x:c r="F106" s="9" t="str">
        <x:v>Carry containers and dry sample packets together</x:v>
      </x:c>
      <x:c r="G106" s="9" t="str">
        <x:v>None</x:v>
      </x:c>
      <x:c r="H106" s="9" t="str">
        <x:v>Filled raw-resource vessel: Legger/local owner; other carrier eligibility TBD</x:v>
      </x:c>
      <x:c r="I106" s="13"/>
      <x:c r="J106" s="15"/>
      <x:c r="K106" s="9" t="str">
        <x:v>Glassworker/fabricator or salvage candidate; no recipe authored</x:v>
      </x:c>
      <x:c r="L106" s="9" t="str">
        <x:v>Materials: Shell panels or metal; rigid dividers</x:v>
      </x:c>
      <x:c r="M106" s="9" t="str">
        <x:v>Not implemented</x:v>
      </x:c>
      <x:c r="N106" s="9" t="str">
        <x:v>Outer dust seal is not liquid or vapor certification; all nested contents still count</x:v>
      </x:c>
      <x:c r="O106" s="36"/>
      <x:c r="P106" s="36"/>
      <x:c r="Q106" s="36"/>
      <x:c r="R106" s="36"/>
      <x:c r="S106" s="36"/>
      <x:c r="T106" s="9" t="str">
        <x:v>Qualitative size: Cargo package. Closure: Latched lid with dust-excluding seat proposed. Contents: Separately sealed contents</x:v>
      </x:c>
      <x:c r="U106" s="11"/>
      <x:c r="V106" s="9" t="str">
        <x:v>New game proposal, October 14, 2026. New protective box proposal; not automatic liquid containment.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06" s="4" t="str">
        <x:v>Carrier</x:v>
      </x:c>
      <x:c r="X106" s="4" t="str">
        <x:v>Finished item</x:v>
      </x:c>
      <x:c r="Y106" s="4" t="str">
        <x:v>Manufactured / unresolved</x:v>
      </x:c>
      <x:c r="Z106" s="4" t="str">
        <x:v>Cargo organization</x:v>
      </x:c>
      <x:c r="AA106" s="4" t="str">
        <x:v>Mixed / unresolved</x:v>
      </x:c>
      <x:c r="AB106" s="4" t="str">
        <x:v>Assembly</x:v>
      </x:c>
      <x:c r="AC106" s="4" t="str">
        <x:v>Proposal</x:v>
      </x:c>
      <x:c r="AD106" s="4" t="str">
        <x:f>LOWER(A106&amp;"; "&amp;B106&amp;"; "&amp;C106&amp;"; "&amp;D106&amp;"; "&amp;W106&amp;"; "&amp;X106&amp;"; "&amp;Y106&amp;"; "&amp;Z106&amp;"; "&amp;AA106&amp;"; "&amp;AB106&amp;"; "&amp;AC106&amp;"; "&amp;U106)</x:f>
        <x:v>proposal.container.sealed_box; sealed cargo box; containers; protective carrier; carrier; finished item; manufactured / unresolved; cargo organization; mixed / unresolved; assembly; proposal; </x:v>
      </x:c>
      <x:c r="AE106" s="4" t="str">
        <x:v>From current item description. Proposed uses retain their existing approval status.</x:v>
      </x:c>
      <x:c r="AF106" s="4" t="str">
        <x:v>Finished item</x:v>
      </x:c>
      <x:c r="AG106" s="4" t="str">
        <x:v>Completed gear, vessel, food or tool can stop at its chosen material tier; it need not climb to T4.</x:v>
      </x:c>
      <x:c r="AH106" s="4" t="str">
        <x:v>Unassigned</x:v>
      </x:c>
    </x:row>
    <x:row r="107" ht="100" customHeight="1">
      <x:c r="A107" s="9" t="str">
        <x:v>proposal.container.field_chest</x:v>
      </x:c>
      <x:c r="B107" s="9" t="str">
        <x:v>Locking field chest</x:v>
      </x:c>
      <x:c r="C107" s="9" t="str">
        <x:v>Containers</x:v>
      </x:c>
      <x:c r="D107" s="9" t="str">
        <x:v>Storage object candidate</x:v>
      </x:c>
      <x:c r="E107" s="9" t="str">
        <x:v>New proposal</x:v>
      </x:c>
      <x:c r="F107" s="9" t="str">
        <x:v>Secure expedition samples at a physical camp/worksite</x:v>
      </x:c>
      <x:c r="G107" s="9" t="str">
        <x:v>None</x:v>
      </x:c>
      <x:c r="H107" s="9" t="str">
        <x:v>Filled raw-resource vessel: Legger/local owner; other carrier eligibility TBD</x:v>
      </x:c>
      <x:c r="I107" s="13"/>
      <x:c r="J107" s="15"/>
      <x:c r="K107" s="9" t="str">
        <x:v>Glassworker/fabricator or salvage candidate; no recipe authored</x:v>
      </x:c>
      <x:c r="L107" s="9" t="str">
        <x:v>Materials: Metal/shell chest; rigid compartment tray</x:v>
      </x:c>
      <x:c r="M107" s="9" t="str">
        <x:v>Not implemented</x:v>
      </x:c>
      <x:c r="N107" s="9" t="str">
        <x:v>Physical local owner; no global stockpile. Portable versus fixed identity undecided</x:v>
      </x:c>
      <x:c r="O107" s="36"/>
      <x:c r="P107" s="36"/>
      <x:c r="Q107" s="36"/>
      <x:c r="R107" s="36"/>
      <x:c r="S107" s="36"/>
      <x:c r="T107" s="9" t="str">
        <x:v>Qualitative size: Local storage. Closure: Mechanical lock and rigid lid proposed. Contents: Sealed vessels and dry material</x:v>
      </x:c>
      <x:c r="U107" s="11"/>
      <x:c r="V107" s="9" t="str">
        <x:v>New game proposal, October 14, 2026. New storage-object candidate; not another implemented camp chest.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07" s="4" t="str">
        <x:v>Container</x:v>
      </x:c>
      <x:c r="X107" s="4" t="str">
        <x:v>Finished item</x:v>
      </x:c>
      <x:c r="Y107" s="4" t="str">
        <x:v>Manufactured / unresolved</x:v>
      </x:c>
      <x:c r="Z107" s="4" t="str">
        <x:v>Cargo organization</x:v>
      </x:c>
      <x:c r="AA107" s="4" t="str">
        <x:v>Mixed / unresolved</x:v>
      </x:c>
      <x:c r="AB107" s="4" t="str">
        <x:v>Assembly</x:v>
      </x:c>
      <x:c r="AC107" s="4" t="str">
        <x:v>Proposal</x:v>
      </x:c>
      <x:c r="AD107" s="4" t="str">
        <x:f>LOWER(A107&amp;"; "&amp;B107&amp;"; "&amp;C107&amp;"; "&amp;D107&amp;"; "&amp;W107&amp;"; "&amp;X107&amp;"; "&amp;Y107&amp;"; "&amp;Z107&amp;"; "&amp;AA107&amp;"; "&amp;AB107&amp;"; "&amp;AC107&amp;"; "&amp;U107)</x:f>
        <x:v>proposal.container.field_chest; locking field chest; containers; storage object candidate; container; finished item; manufactured / unresolved; cargo organization; mixed / unresolved; assembly; proposal; </x:v>
      </x:c>
      <x:c r="AE107" s="4" t="str">
        <x:v>From current item description. Proposed uses retain their existing approval status.</x:v>
      </x:c>
      <x:c r="AF107" s="4" t="str">
        <x:v>Finished item</x:v>
      </x:c>
      <x:c r="AG107" s="4" t="str">
        <x:v>Completed gear, vessel, food or tool can stop at its chosen material tier; it need not climb to T4.</x:v>
      </x:c>
      <x:c r="AH107" s="4" t="str">
        <x:v>Unassigned</x:v>
      </x:c>
    </x:row>
    <x:row r="108" ht="100" customHeight="1">
      <x:c r="A108" s="9" t="str">
        <x:v>proposal.container.funnel</x:v>
      </x:c>
      <x:c r="B108" s="9" t="str">
        <x:v>Glass transfer funnel</x:v>
      </x:c>
      <x:c r="C108" s="9" t="str">
        <x:v>Containers</x:v>
      </x:c>
      <x:c r="D108" s="9" t="str">
        <x:v>Transfer glassware</x:v>
      </x:c>
      <x:c r="E108" s="9" t="str">
        <x:v>New proposal</x:v>
      </x:c>
      <x:c r="F108" s="9" t="str">
        <x:v>Assist transfers into a compatible narrow-neck vessel</x:v>
      </x:c>
      <x:c r="G108" s="9" t="str">
        <x:v>None</x:v>
      </x:c>
      <x:c r="H108" s="9" t="str">
        <x:v>Filled raw-resource vessel: Legger/local owner; other carrier eligibility TBD</x:v>
      </x:c>
      <x:c r="I108" s="13"/>
      <x:c r="J108" s="15"/>
      <x:c r="K108" s="9" t="str">
        <x:v>Glassworker/fabricator or salvage candidate; no recipe authored</x:v>
      </x:c>
      <x:c r="L108" s="9" t="str">
        <x:v>Materials: Glass bowl and stem</x:v>
      </x:c>
      <x:c r="M108" s="9" t="str">
        <x:v>Not implemented</x:v>
      </x:c>
      <x:c r="N108" s="9" t="str">
        <x:v>Residue/cross-contamination and workshop reconditioning unresolved; no ambient fluid pooling</x:v>
      </x:c>
      <x:c r="O108" s="36"/>
      <x:c r="P108" s="36"/>
      <x:c r="Q108" s="36"/>
      <x:c r="R108" s="36"/>
      <x:c r="S108" s="36"/>
      <x:c r="T108" s="9" t="str">
        <x:v>Qualitative size: Tool-sized. Closure: No closure; never a storage vessel. Contents: Temporary transfer contact only</x:v>
      </x:c>
      <x:c r="U108" s="11"/>
      <x:c r="V108" s="9" t="str">
        <x:v>New game proposal, October 14, 2026. New glassworking tool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08" s="4" t="str">
        <x:v>Tool</x:v>
      </x:c>
      <x:c r="X108" s="4" t="str">
        <x:v>Finished item</x:v>
      </x:c>
      <x:c r="Y108" s="4" t="str">
        <x:v>Manufactured / unresolved</x:v>
      </x:c>
      <x:c r="Z108" s="4" t="str">
        <x:v>Material transfer</x:v>
      </x:c>
      <x:c r="AA108" s="4" t="str">
        <x:v>Glass</x:v>
      </x:c>
      <x:c r="AB108" s="4" t="str">
        <x:v>Solid part</x:v>
      </x:c>
      <x:c r="AC108" s="4" t="str">
        <x:v>Proposal</x:v>
      </x:c>
      <x:c r="AD108" s="4" t="str">
        <x:f>LOWER(A108&amp;"; "&amp;B108&amp;"; "&amp;C108&amp;"; "&amp;D108&amp;"; "&amp;W108&amp;"; "&amp;X108&amp;"; "&amp;Y108&amp;"; "&amp;Z108&amp;"; "&amp;AA108&amp;"; "&amp;AB108&amp;"; "&amp;AC108&amp;"; "&amp;U108)</x:f>
        <x:v>proposal.container.funnel; glass transfer funnel; containers; transfer glassware; tool; finished item; manufactured / unresolved; material transfer; glass; solid part; proposal; </x:v>
      </x:c>
      <x:c r="AE108" s="4" t="str">
        <x:v>From current item description. Proposed uses retain their existing approval status.</x:v>
      </x:c>
      <x:c r="AF108" s="4" t="str">
        <x:v>Finished item</x:v>
      </x:c>
      <x:c r="AG108" s="4" t="str">
        <x:v>Completed gear, vessel, food or tool can stop at its chosen material tier; it need not climb to T4.</x:v>
      </x:c>
      <x:c r="AH108" s="4" t="str">
        <x:v>Unassigned</x:v>
      </x:c>
    </x:row>
    <x:row r="109" ht="100" customHeight="1">
      <x:c r="A109" s="9" t="str">
        <x:v>proposal.container.draw_tube</x:v>
      </x:c>
      <x:c r="B109" s="9" t="str">
        <x:v>Glass draw tube</x:v>
      </x:c>
      <x:c r="C109" s="9" t="str">
        <x:v>Containers</x:v>
      </x:c>
      <x:c r="D109" s="9" t="str">
        <x:v>Transfer glassware</x:v>
      </x:c>
      <x:c r="E109" s="9" t="str">
        <x:v>New proposal</x:v>
      </x:c>
      <x:c r="F109" s="9" t="str">
        <x:v>Move a small sample through an inspectable transfer path</x:v>
      </x:c>
      <x:c r="G109" s="9" t="str">
        <x:v>None</x:v>
      </x:c>
      <x:c r="H109" s="9" t="str">
        <x:v>Filled raw-resource vessel: Legger/local owner; other carrier eligibility TBD</x:v>
      </x:c>
      <x:c r="I109" s="13"/>
      <x:c r="J109" s="15"/>
      <x:c r="K109" s="9" t="str">
        <x:v>Glassworker/fabricator or salvage candidate; no recipe authored</x:v>
      </x:c>
      <x:c r="L109" s="9" t="str">
        <x:v>Materials: Glass tube; proposed mechanical fitting</x:v>
      </x:c>
      <x:c r="M109" s="9" t="str">
        <x:v>Not implemented</x:v>
      </x:c>
      <x:c r="N109" s="9" t="str">
        <x:v>No mouth operation or real extraction procedure; gameplay tool and fittings unapproved</x:v>
      </x:c>
      <x:c r="O109" s="36"/>
      <x:c r="P109" s="36"/>
      <x:c r="Q109" s="36"/>
      <x:c r="R109" s="36"/>
      <x:c r="S109" s="36"/>
      <x:c r="T109" s="9" t="str">
        <x:v>Qualitative size: Tool-sized. Closure: Closed mechanical interface to design. Contents: Compatible small specimen transfer</x:v>
      </x:c>
      <x:c r="U109" s="11"/>
      <x:c r="V109" s="9" t="str">
        <x:v>New game proposal, October 14, 2026. New mechanical sample-transfer tool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09" s="4" t="str">
        <x:v>Tool</x:v>
      </x:c>
      <x:c r="X109" s="4" t="str">
        <x:v>Finished item</x:v>
      </x:c>
      <x:c r="Y109" s="4" t="str">
        <x:v>Manufactured / unresolved</x:v>
      </x:c>
      <x:c r="Z109" s="4" t="str">
        <x:v>Material transfer</x:v>
      </x:c>
      <x:c r="AA109" s="4" t="str">
        <x:v>Glass</x:v>
      </x:c>
      <x:c r="AB109" s="4" t="str">
        <x:v>Solid part</x:v>
      </x:c>
      <x:c r="AC109" s="4" t="str">
        <x:v>Proposal</x:v>
      </x:c>
      <x:c r="AD109" s="4" t="str">
        <x:f>LOWER(A109&amp;"; "&amp;B109&amp;"; "&amp;C109&amp;"; "&amp;D109&amp;"; "&amp;W109&amp;"; "&amp;X109&amp;"; "&amp;Y109&amp;"; "&amp;Z109&amp;"; "&amp;AA109&amp;"; "&amp;AB109&amp;"; "&amp;AC109&amp;"; "&amp;U109)</x:f>
        <x:v>proposal.container.draw_tube; glass draw tube; containers; transfer glassware; tool; finished item; manufactured / unresolved; material transfer; glass; solid part; proposal; </x:v>
      </x:c>
      <x:c r="AE109" s="4" t="str">
        <x:v>From current item description. Proposed uses retain their existing approval status.</x:v>
      </x:c>
      <x:c r="AF109" s="4" t="str">
        <x:v>Finished item</x:v>
      </x:c>
      <x:c r="AG109" s="4" t="str">
        <x:v>Completed gear, vessel, food or tool can stop at its chosen material tier; it need not climb to T4.</x:v>
      </x:c>
      <x:c r="AH109" s="4" t="str">
        <x:v>Unassigned</x:v>
      </x:c>
    </x:row>
    <x:row r="110" ht="100" customHeight="1">
      <x:c r="A110" s="9" t="str">
        <x:v>proposal.container.glass_stopper</x:v>
      </x:c>
      <x:c r="B110" s="9" t="str">
        <x:v>Matched glass stopper</x:v>
      </x:c>
      <x:c r="C110" s="9" t="str">
        <x:v>Containers</x:v>
      </x:c>
      <x:c r="D110" s="9" t="str">
        <x:v>Closure component</x:v>
      </x:c>
      <x:c r="E110" s="9" t="str">
        <x:v>New proposal</x:v>
      </x:c>
      <x:c r="F110" s="9" t="str">
        <x:v>Close its matching vessel without cork or cloth</x:v>
      </x:c>
      <x:c r="G110" s="9" t="str">
        <x:v>None</x:v>
      </x:c>
      <x:c r="H110" s="9" t="str">
        <x:v>Filled raw-resource vessel: Legger/local owner; other carrier eligibility TBD</x:v>
      </x:c>
      <x:c r="I110" s="13"/>
      <x:c r="J110" s="15"/>
      <x:c r="K110" s="9" t="str">
        <x:v>Glassworker/fabricator or salvage candidate; no recipe authored</x:v>
      </x:c>
      <x:c r="L110" s="9" t="str">
        <x:v>Materials: Ground glass seat; retaining clip optional</x:v>
      </x:c>
      <x:c r="M110" s="9" t="str">
        <x:v>Not implemented</x:v>
      </x:c>
      <x:c r="N110" s="9" t="str">
        <x:v>Fit and material compatibility matter; no universal stopper or separate durability chore assumed</x:v>
      </x:c>
      <x:c r="O110" s="36"/>
      <x:c r="P110" s="36"/>
      <x:c r="Q110" s="36"/>
      <x:c r="R110" s="36"/>
      <x:c r="S110" s="36"/>
      <x:c r="T110" s="9" t="str">
        <x:v>Qualitative size: Part-sized. Closure: Matched seat. Contents: Vessel closure, not an independent payload</x:v>
      </x:c>
      <x:c r="U110" s="11"/>
      <x:c r="V110" s="9" t="str">
        <x:v>New game proposal, October 14, 2026. New glass closure component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10" s="4" t="str">
        <x:v>Container part</x:v>
      </x:c>
      <x:c r="X110" s="4" t="str">
        <x:v>Processed intermediate</x:v>
      </x:c>
      <x:c r="Y110" s="4" t="str">
        <x:v>Manufactured / unresolved</x:v>
      </x:c>
      <x:c r="Z110" s="4" t="str">
        <x:v>Sealing</x:v>
      </x:c>
      <x:c r="AA110" s="4" t="str">
        <x:v>Glass</x:v>
      </x:c>
      <x:c r="AB110" s="4" t="str">
        <x:v>Solid part</x:v>
      </x:c>
      <x:c r="AC110" s="4" t="str">
        <x:v>Proposal</x:v>
      </x:c>
      <x:c r="AD110" s="4" t="str">
        <x:f>LOWER(A110&amp;"; "&amp;B110&amp;"; "&amp;C110&amp;"; "&amp;D110&amp;"; "&amp;W110&amp;"; "&amp;X110&amp;"; "&amp;Y110&amp;"; "&amp;Z110&amp;"; "&amp;AA110&amp;"; "&amp;AB110&amp;"; "&amp;AC110&amp;"; "&amp;U110)</x:f>
        <x:v>proposal.container.glass_stopper; matched glass stopper; containers; closure component; container part; processed intermediate; manufactured / unresolved; sealing; glass; solid part; proposal; </x:v>
      </x:c>
      <x:c r="AE110" s="4" t="str">
        <x:v>From current item description. Proposed uses retain their existing approval status.</x:v>
      </x:c>
      <x:c r="AF110" s="4" t="str">
        <x:v>Unassigned</x:v>
      </x:c>
      <x:c r="AG110" s="4" t="str">
        <x:v>Choose a material/part route before assigning a tier. Processing-stage labels alone do not prove chain depth.</x:v>
      </x:c>
      <x:c r="AH110" s="4" t="str">
        <x:v>Not applicable</x:v>
      </x:c>
    </x:row>
    <x:row r="111" ht="100" customHeight="1">
      <x:c r="A111" s="9" t="str">
        <x:v>proposal.container.seal_collar</x:v>
      </x:c>
      <x:c r="B111" s="9" t="str">
        <x:v>Compression seal collar</x:v>
      </x:c>
      <x:c r="C111" s="9" t="str">
        <x:v>Containers</x:v>
      </x:c>
      <x:c r="D111" s="9" t="str">
        <x:v>Closure component</x:v>
      </x:c>
      <x:c r="E111" s="9" t="str">
        <x:v>New proposal</x:v>
      </x:c>
      <x:c r="F111" s="9" t="str">
        <x:v>Retain and compress a vessel lid/seat</x:v>
      </x:c>
      <x:c r="G111" s="9" t="str">
        <x:v>None</x:v>
      </x:c>
      <x:c r="H111" s="9" t="str">
        <x:v>Filled raw-resource vessel: Legger/local owner; other carrier eligibility TBD</x:v>
      </x:c>
      <x:c r="I111" s="13"/>
      <x:c r="J111" s="15"/>
      <x:c r="K111" s="9" t="str">
        <x:v>Glassworker/fabricator or salvage candidate; no recipe authored</x:v>
      </x:c>
      <x:c r="L111" s="9" t="str">
        <x:v>Materials: Metal/shell collar; compatible mineral/biological seal insert TBD</x:v>
      </x:c>
      <x:c r="M111" s="9" t="str">
        <x:v>Not implemented</x:v>
      </x:c>
      <x:c r="N111" s="9" t="str">
        <x:v>Biological membrane is not automatically compatible; no fat/oil/gasket recipe accepted</x:v>
      </x:c>
      <x:c r="O111" s="36"/>
      <x:c r="P111" s="36"/>
      <x:c r="Q111" s="36"/>
      <x:c r="R111" s="36"/>
      <x:c r="S111" s="36"/>
      <x:c r="T111" s="9" t="str">
        <x:v>Qualitative size: Part-sized. Closure: Mechanical collar. Contents: Vessel closure, not a liquid container</x:v>
      </x:c>
      <x:c r="U111" s="11"/>
      <x:c r="V111" s="9" t="str">
        <x:v>New game proposal, October 14, 2026. New closure assembly proposal; exact seal material unresolved.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11" s="4" t="str">
        <x:v>Container part</x:v>
      </x:c>
      <x:c r="X111" s="4" t="str">
        <x:v>Processed intermediate</x:v>
      </x:c>
      <x:c r="Y111" s="4" t="str">
        <x:v>Manufactured / unresolved</x:v>
      </x:c>
      <x:c r="Z111" s="4" t="str">
        <x:v>Sealing</x:v>
      </x:c>
      <x:c r="AA111" s="4" t="str">
        <x:v>Mixed / unresolved</x:v>
      </x:c>
      <x:c r="AB111" s="4" t="str">
        <x:v>Solid part</x:v>
      </x:c>
      <x:c r="AC111" s="4" t="str">
        <x:v>Proposal</x:v>
      </x:c>
      <x:c r="AD111" s="4" t="str">
        <x:f>LOWER(A111&amp;"; "&amp;B111&amp;"; "&amp;C111&amp;"; "&amp;D111&amp;"; "&amp;W111&amp;"; "&amp;X111&amp;"; "&amp;Y111&amp;"; "&amp;Z111&amp;"; "&amp;AA111&amp;"; "&amp;AB111&amp;"; "&amp;AC111&amp;"; "&amp;U111)</x:f>
        <x:v>proposal.container.seal_collar; compression seal collar; containers; closure component; container part; processed intermediate; manufactured / unresolved; sealing; mixed / unresolved; solid part; proposal; </x:v>
      </x:c>
      <x:c r="AE111" s="4" t="str">
        <x:v>From current item description. Proposed uses retain their existing approval status.</x:v>
      </x:c>
      <x:c r="AF111" s="4" t="str">
        <x:v>Unassigned</x:v>
      </x:c>
      <x:c r="AG111" s="4" t="str">
        <x:v>Choose a material/part route before assigning a tier. Processing-stage labels alone do not prove chain depth.</x:v>
      </x:c>
      <x:c r="AH111" s="4" t="str">
        <x:v>Not applicable</x:v>
      </x:c>
    </x:row>
    <x:row r="112" ht="105" customHeight="1">
      <x:c r="A112" s="9" t="str">
        <x:v>proposal.gear.mail_shirt</x:v>
      </x:c>
      <x:c r="B112" s="9" t="str">
        <x:v>Chainmail shirt</x:v>
      </x:c>
      <x:c r="C112" s="9" t="str">
        <x:v>Equipment</x:v>
      </x:c>
      <x:c r="D112" s="9" t="str">
        <x:v>Torso layer</x:v>
      </x:c>
      <x:c r="E112" s="9" t="str">
        <x:v>User direction; not implemented</x:v>
      </x:c>
      <x:c r="F112" s="9" t="str">
        <x:v>Everyday metal chainmail clothing; fitted/protective effects remain undecided.</x:v>
      </x:c>
      <x:c r="G112" s="9" t="str">
        <x:v>Unassigned; loadout extension TBD</x:v>
      </x:c>
      <x:c r="H112" s="9" t="str">
        <x:v>Booter-worn/held concept; permitted spares in Legger cargo TBD</x:v>
      </x:c>
      <x:c r="I112" s="13"/>
      <x:c r="J112" s="15"/>
      <x:c r="K112" s="9" t="str">
        <x:v>Fabrication, trade or salvage candidate; no recipe authored</x:v>
      </x:c>
      <x:c r="L112" s="9" t="str">
        <x:v>Proposed materials: Metal rings; attachment/underlayer material undecided</x:v>
      </x:c>
      <x:c r="M112" s="9" t="str">
        <x:v>Not implemented</x:v>
      </x:c>
      <x:c r="N112" s="9" t="str">
        <x:v>Layering, weight, noise and underlayer requirements need design; no cloth assumed</x:v>
      </x:c>
      <x:c r="O112" s="42"/>
      <x:c r="P112" s="42"/>
      <x:c r="Q112" s="42"/>
      <x:c r="R112" s="42"/>
      <x:c r="S112" s="42"/>
      <x:c r="T112" s="9" t="str">
        <x:v>Ordinary simple chainmail belongs to regular clothing. Elaborate variants can be fashion; detailed construction, mass and effects remain open.</x:v>
      </x:c>
      <x:c r="U112" s="11" t="str">
        <x:v>protection; chain mail shirt</x:v>
      </x:c>
      <x:c r="V112" s="9" t="str">
        <x:v>Direct author clarification, October 14, 2026; Docs/WORLD_BASIS.md#material-culture. Ordinary wear: simple wraps, metal chainmail and practical metal-based pieces with minimal fur. Elaborate fashion remains rare/expensive; no cloth.</x:v>
      </x:c>
      <x:c r="W112" s="4" t="str">
        <x:v>Armor</x:v>
      </x:c>
      <x:c r="X112" s="4" t="str">
        <x:v>Finished item</x:v>
      </x:c>
      <x:c r="Y112" s="4" t="str">
        <x:v>Manufactured / unresolved</x:v>
      </x:c>
      <x:c r="Z112" s="4" t="str">
        <x:v>Clothing</x:v>
      </x:c>
      <x:c r="AA112" s="4" t="str">
        <x:v>Metal</x:v>
      </x:c>
      <x:c r="AB112" s="4" t="str">
        <x:v>Garment</x:v>
      </x:c>
      <x:c r="AC112" s="4" t="str">
        <x:v>Author direction</x:v>
      </x:c>
      <x:c r="AD112" s="4" t="str">
        <x:f>LOWER(A112&amp;"; "&amp;B112&amp;"; "&amp;C112&amp;"; "&amp;D112&amp;"; "&amp;W112&amp;"; "&amp;X112&amp;"; "&amp;Y112&amp;"; "&amp;Z112&amp;"; "&amp;AA112&amp;"; "&amp;AB112&amp;"; "&amp;AC112&amp;"; "&amp;U112)</x:f>
        <x:v>proposal.gear.mail_shirt; chainmail shirt; equipment; torso layer; armor; finished item; manufactured / unresolved; clothing; metal; garment; author direction; protection; chain mail shirt</x:v>
      </x:c>
      <x:c r="AE112" s="4" t="str">
        <x:v>From current item description. Proposed uses retain their existing approval status.</x:v>
      </x:c>
      <x:c r="AF112" s="4" t="str">
        <x:v>Finished item</x:v>
      </x:c>
      <x:c r="AG112" s="4" t="str">
        <x:v>Completed gear, vessel, food or tool can stop at its chosen material tier; it need not climb to T4.</x:v>
      </x:c>
      <x:c r="AH112" s="4" t="str">
        <x:v>Unassigned</x:v>
      </x:c>
    </x:row>
    <x:row r="113" ht="105" customHeight="1">
      <x:c r="A113" s="9" t="str">
        <x:v>proposal.gear.metal_armor_set</x:v>
      </x:c>
      <x:c r="B113" s="9" t="str">
        <x:v>Assembled metal armor</x:v>
      </x:c>
      <x:c r="C113" s="9" t="str">
        <x:v>Equipment</x:v>
      </x:c>
      <x:c r="D113" s="9" t="str">
        <x:v>Whole-body assembly candidate</x:v>
      </x:c>
      <x:c r="E113" s="9" t="str">
        <x:v>User direction; not implemented</x:v>
      </x:c>
      <x:c r="F113" s="9" t="str">
        <x:v>A coordinated armor family from crude to elaborate</x:v>
      </x:c>
      <x:c r="G113" s="9" t="str">
        <x:v>Unassigned; loadout extension TBD</x:v>
      </x:c>
      <x:c r="H113" s="9" t="str">
        <x:v>Booter-worn/held concept; permitted spares in Legger cargo TBD</x:v>
      </x:c>
      <x:c r="I113" s="13"/>
      <x:c r="J113" s="15"/>
      <x:c r="K113" s="9" t="str">
        <x:v>Fabrication, trade or salvage candidate; no recipe authored</x:v>
      </x:c>
      <x:c r="L113" s="9" t="str">
        <x:v>Proposed materials: Metal plates; hinges/rivets; backing and connectors undecided</x:v>
      </x:c>
      <x:c r="M113" s="9" t="str">
        <x:v>Not implemented</x:v>
      </x:c>
      <x:c r="N113" s="9" t="str">
        <x:v>Set versus independently owned pieces unresolved; do not count the same plates as both set and components</x:v>
      </x:c>
      <x:c r="O113" s="42"/>
      <x:c r="P113" s="42"/>
      <x:c r="Q113" s="42"/>
      <x:c r="R113" s="42"/>
      <x:c r="S113" s="42"/>
      <x:c r="T113" s="9" t="str">
        <x:v>Crude: Mixed scavenged plates on a simple carrier. Serviceable: Coordinated torso and limb pieces. Elaborate: Fitted articulated ensemble with matched joints</x:v>
      </x:c>
      <x:c r="U113" s="11"/>
      <x:c r="V113" s="9" t="str">
        <x:v>Author item-family direction, October 14, 2026. Crude/serviceable/elaborate constructions, materials and effects are new proposals. Docs/WORLD_BASIS.md#material-culture; current runtime slot contract: Assets/_Project/Scripts/Runtime/TopDown3D/Inventory/TopDown3DLoadoutLayout.cs</x:v>
      </x:c>
      <x:c r="W113" s="4" t="str">
        <x:v>Armor</x:v>
      </x:c>
      <x:c r="X113" s="4" t="str">
        <x:v>Finished item</x:v>
      </x:c>
      <x:c r="Y113" s="4" t="str">
        <x:v>Manufactured / unresolved</x:v>
      </x:c>
      <x:c r="Z113" s="4" t="str">
        <x:v>Protection</x:v>
      </x:c>
      <x:c r="AA113" s="4" t="str">
        <x:v>Metal</x:v>
      </x:c>
      <x:c r="AB113" s="4" t="str">
        <x:v>Assembly</x:v>
      </x:c>
      <x:c r="AC113" s="4" t="str">
        <x:v>Author direction</x:v>
      </x:c>
      <x:c r="AD113" s="4" t="str">
        <x:f>LOWER(A113&amp;"; "&amp;B113&amp;"; "&amp;C113&amp;"; "&amp;D113&amp;"; "&amp;W113&amp;"; "&amp;X113&amp;"; "&amp;Y113&amp;"; "&amp;Z113&amp;"; "&amp;AA113&amp;"; "&amp;AB113&amp;"; "&amp;AC113&amp;"; "&amp;U113)</x:f>
        <x:v>proposal.gear.metal_armor_set; assembled metal armor; equipment; whole-body assembly candidate; armor; finished item; manufactured / unresolved; protection; metal; assembly; author direction; </x:v>
      </x:c>
      <x:c r="AE113" s="4" t="str">
        <x:v>From current item description. Proposed uses retain their existing approval status.</x:v>
      </x:c>
      <x:c r="AF113" s="4" t="str">
        <x:v>Finished item</x:v>
      </x:c>
      <x:c r="AG113" s="4" t="str">
        <x:v>Completed gear, vessel, food or tool can stop at its chosen material tier; it need not climb to T4.</x:v>
      </x:c>
      <x:c r="AH113" s="4" t="str">
        <x:v>Unassigned</x:v>
      </x:c>
    </x:row>
    <x:row r="114" ht="105" customHeight="1">
      <x:c r="A114" s="9" t="str">
        <x:v>proposal.gear.chest_armor</x:v>
      </x:c>
      <x:c r="B114" s="9" t="str">
        <x:v>Chest armor</x:v>
      </x:c>
      <x:c r="C114" s="9" t="str">
        <x:v>Equipment</x:v>
      </x:c>
      <x:c r="D114" s="9" t="str">
        <x:v>Torso plate</x:v>
      </x:c>
      <x:c r="E114" s="9" t="str">
        <x:v>User direction; not implemented</x:v>
      </x:c>
      <x:c r="F114" s="9" t="str">
        <x:v>Torso protection candidate</x:v>
      </x:c>
      <x:c r="G114" s="9" t="str">
        <x:v>Unassigned; loadout extension TBD</x:v>
      </x:c>
      <x:c r="H114" s="9" t="str">
        <x:v>Booter-worn/held concept; permitted spares in Legger cargo TBD</x:v>
      </x:c>
      <x:c r="I114" s="13"/>
      <x:c r="J114" s="15"/>
      <x:c r="K114" s="9" t="str">
        <x:v>Fabrication, trade or salvage candidate; no recipe authored</x:v>
      </x:c>
      <x:c r="L114" s="9" t="str">
        <x:v>Proposed materials: Worked metal; optional shell/mineral-backed design</x:v>
      </x:c>
      <x:c r="M114" s="9" t="str">
        <x:v>Not implemented</x:v>
      </x:c>
      <x:c r="N114" s="9" t="str">
        <x:v>Relationship to chainmail, jacket, cloak and canisters unresolved; no automatic Jacket-slot compatibility</x:v>
      </x:c>
      <x:c r="O114" s="42"/>
      <x:c r="P114" s="42"/>
      <x:c r="Q114" s="42"/>
      <x:c r="R114" s="42"/>
      <x:c r="S114" s="42"/>
      <x:c r="T114" s="9" t="str">
        <x:v>Crude: Single repaired plate and simple retaining hardware. Serviceable: Shaped front/back panels with accessible closures. Elaborate: Fitted articulated chest assembly with replaceable panels</x:v>
      </x:c>
      <x:c r="U114" s="11"/>
      <x:c r="V114" s="9" t="str">
        <x:v>Author item-family direction, October 14, 2026. Crude/serviceable/elaborate constructions, materials and effects are new proposals. Docs/WORLD_BASIS.md#material-culture; current runtime slot contract: Assets/_Project/Scripts/Runtime/TopDown3D/Inventory/TopDown3DLoadoutLayout.cs</x:v>
      </x:c>
      <x:c r="W114" s="4" t="str">
        <x:v>Armor</x:v>
      </x:c>
      <x:c r="X114" s="4" t="str">
        <x:v>Finished item</x:v>
      </x:c>
      <x:c r="Y114" s="4" t="str">
        <x:v>Manufactured / unresolved</x:v>
      </x:c>
      <x:c r="Z114" s="4" t="str">
        <x:v>Protection</x:v>
      </x:c>
      <x:c r="AA114" s="4" t="str">
        <x:v>Metal</x:v>
      </x:c>
      <x:c r="AB114" s="4" t="str">
        <x:v>Assembly</x:v>
      </x:c>
      <x:c r="AC114" s="4" t="str">
        <x:v>Author direction</x:v>
      </x:c>
      <x:c r="AD114" s="4" t="str">
        <x:f>LOWER(A114&amp;"; "&amp;B114&amp;"; "&amp;C114&amp;"; "&amp;D114&amp;"; "&amp;W114&amp;"; "&amp;X114&amp;"; "&amp;Y114&amp;"; "&amp;Z114&amp;"; "&amp;AA114&amp;"; "&amp;AB114&amp;"; "&amp;AC114&amp;"; "&amp;U114)</x:f>
        <x:v>proposal.gear.chest_armor; chest armor; equipment; torso plate; armor; finished item; manufactured / unresolved; protection; metal; assembly; author direction; </x:v>
      </x:c>
      <x:c r="AE114" s="4" t="str">
        <x:v>From current item description. Proposed uses retain their existing approval status.</x:v>
      </x:c>
      <x:c r="AF114" s="4" t="str">
        <x:v>Finished item</x:v>
      </x:c>
      <x:c r="AG114" s="4" t="str">
        <x:v>Completed gear, vessel, food or tool can stop at its chosen material tier; it need not climb to T4.</x:v>
      </x:c>
      <x:c r="AH114" s="4" t="str">
        <x:v>Unassigned</x:v>
      </x:c>
    </x:row>
    <x:row r="115" ht="105" customHeight="1">
      <x:c r="A115" s="9" t="str">
        <x:v>proposal.gear.helmet</x:v>
      </x:c>
      <x:c r="B115" s="9" t="str">
        <x:v>Helmet</x:v>
      </x:c>
      <x:c r="C115" s="9" t="str">
        <x:v>Equipment</x:v>
      </x:c>
      <x:c r="D115" s="9" t="str">
        <x:v>Head</x:v>
      </x:c>
      <x:c r="E115" s="9" t="str">
        <x:v>User direction; not implemented</x:v>
      </x:c>
      <x:c r="F115" s="9" t="str">
        <x:v>Head protection with readable sight/hearing tradeoffs</x:v>
      </x:c>
      <x:c r="G115" s="9" t="str">
        <x:v>Unassigned; loadout extension TBD</x:v>
      </x:c>
      <x:c r="H115" s="9" t="str">
        <x:v>Booter-worn/held concept; permitted spares in Legger cargo TBD</x:v>
      </x:c>
      <x:c r="I115" s="13"/>
      <x:c r="J115" s="15"/>
      <x:c r="K115" s="9" t="str">
        <x:v>Fabrication, trade or salvage candidate; no recipe authored</x:v>
      </x:c>
      <x:c r="L115" s="9" t="str">
        <x:v>Proposed materials: Metal; optional shell panels; liner material undecided</x:v>
      </x:c>
      <x:c r="M115" s="9" t="str">
        <x:v>Not implemented</x:v>
      </x:c>
      <x:c r="N115" s="9" t="str">
        <x:v>Visibility, hearing, breathing and worn canister interaction need design; no sealed respiratory protection implied</x:v>
      </x:c>
      <x:c r="O115" s="42"/>
      <x:c r="P115" s="42"/>
      <x:c r="Q115" s="42"/>
      <x:c r="R115" s="42"/>
      <x:c r="S115" s="42"/>
      <x:c r="T115" s="9" t="str">
        <x:v>Crude: Simple open bowl or salvaged cap. Serviceable: Fitted shell with cheek/neck coverage options. Elaborate: Articulated protective helmet with carefully framed sightlines</x:v>
      </x:c>
      <x:c r="U115" s="11"/>
      <x:c r="V115" s="9" t="str">
        <x:v>Author item-family direction, October 14, 2026. Crude/serviceable/elaborate constructions, materials and effects are new proposals. Docs/WORLD_BASIS.md#material-culture; current runtime slot contract: Assets/_Project/Scripts/Runtime/TopDown3D/Inventory/TopDown3DLoadoutLayout.cs</x:v>
      </x:c>
      <x:c r="W115" s="4" t="str">
        <x:v>Armor</x:v>
      </x:c>
      <x:c r="X115" s="4" t="str">
        <x:v>Finished item</x:v>
      </x:c>
      <x:c r="Y115" s="4" t="str">
        <x:v>Manufactured / unresolved</x:v>
      </x:c>
      <x:c r="Z115" s="4" t="str">
        <x:v>Protection</x:v>
      </x:c>
      <x:c r="AA115" s="4" t="str">
        <x:v>Metal</x:v>
      </x:c>
      <x:c r="AB115" s="4" t="str">
        <x:v>Assembly</x:v>
      </x:c>
      <x:c r="AC115" s="4" t="str">
        <x:v>Author direction</x:v>
      </x:c>
      <x:c r="AD115" s="4" t="str">
        <x:f>LOWER(A115&amp;"; "&amp;B115&amp;"; "&amp;C115&amp;"; "&amp;D115&amp;"; "&amp;W115&amp;"; "&amp;X115&amp;"; "&amp;Y115&amp;"; "&amp;Z115&amp;"; "&amp;AA115&amp;"; "&amp;AB115&amp;"; "&amp;AC115&amp;"; "&amp;U115)</x:f>
        <x:v>proposal.gear.helmet; helmet; equipment; head; armor; finished item; manufactured / unresolved; protection; metal; assembly; author direction; </x:v>
      </x:c>
      <x:c r="AE115" s="4" t="str">
        <x:v>From current item description. Proposed uses retain their existing approval status.</x:v>
      </x:c>
      <x:c r="AF115" s="4" t="str">
        <x:v>Finished item</x:v>
      </x:c>
      <x:c r="AG115" s="4" t="str">
        <x:v>Completed gear, vessel, food or tool can stop at its chosen material tier; it need not climb to T4.</x:v>
      </x:c>
      <x:c r="AH115" s="4" t="str">
        <x:v>Unassigned</x:v>
      </x:c>
    </x:row>
    <x:row r="116" ht="105" customHeight="1">
      <x:c r="A116" s="9" t="str">
        <x:v>proposal.gear.leg_armor</x:v>
      </x:c>
      <x:c r="B116" s="9" t="str">
        <x:v>Leg armor</x:v>
      </x:c>
      <x:c r="C116" s="9" t="str">
        <x:v>Equipment</x:v>
      </x:c>
      <x:c r="D116" s="9" t="str">
        <x:v>Lower limbs</x:v>
      </x:c>
      <x:c r="E116" s="9" t="str">
        <x:v>User direction; not implemented</x:v>
      </x:c>
      <x:c r="F116" s="9" t="str">
        <x:v>Lower-limb protection candidate</x:v>
      </x:c>
      <x:c r="G116" s="9" t="str">
        <x:v>Unassigned; loadout extension TBD</x:v>
      </x:c>
      <x:c r="H116" s="9" t="str">
        <x:v>Booter-worn/held concept; permitted spares in Legger cargo TBD</x:v>
      </x:c>
      <x:c r="I116" s="13"/>
      <x:c r="J116" s="15"/>
      <x:c r="K116" s="9" t="str">
        <x:v>Fabrication, trade or salvage candidate; no recipe authored</x:v>
      </x:c>
      <x:c r="L116" s="9" t="str">
        <x:v>Proposed materials: Metal plate segments; mechanical/flexible joints TBD</x:v>
      </x:c>
      <x:c r="M116" s="9" t="str">
        <x:v>Not implemented</x:v>
      </x:c>
      <x:c r="N116" s="9" t="str">
        <x:v>Crouch, climb, gait and boots must remain compatible; no movement penalties fixed</x:v>
      </x:c>
      <x:c r="O116" s="42"/>
      <x:c r="P116" s="42"/>
      <x:c r="Q116" s="42"/>
      <x:c r="R116" s="42"/>
      <x:c r="S116" s="42"/>
      <x:c r="T116" s="9" t="str">
        <x:v>Crude: Separate shin plates and exposed joints. Serviceable: Matched shin/knee protection. Elaborate: Articulated thigh/knee/shin assembly</x:v>
      </x:c>
      <x:c r="U116" s="11"/>
      <x:c r="V116" s="9" t="str">
        <x:v>Author item-family direction, October 14, 2026. Crude/serviceable/elaborate constructions, materials and effects are new proposals. Docs/WORLD_BASIS.md#material-culture; current runtime slot contract: Assets/_Project/Scripts/Runtime/TopDown3D/Inventory/TopDown3DLoadoutLayout.cs</x:v>
      </x:c>
      <x:c r="W116" s="4" t="str">
        <x:v>Armor</x:v>
      </x:c>
      <x:c r="X116" s="4" t="str">
        <x:v>Finished item</x:v>
      </x:c>
      <x:c r="Y116" s="4" t="str">
        <x:v>Manufactured / unresolved</x:v>
      </x:c>
      <x:c r="Z116" s="4" t="str">
        <x:v>Protection</x:v>
      </x:c>
      <x:c r="AA116" s="4" t="str">
        <x:v>Metal</x:v>
      </x:c>
      <x:c r="AB116" s="4" t="str">
        <x:v>Assembly</x:v>
      </x:c>
      <x:c r="AC116" s="4" t="str">
        <x:v>Author direction</x:v>
      </x:c>
      <x:c r="AD116" s="4" t="str">
        <x:f>LOWER(A116&amp;"; "&amp;B116&amp;"; "&amp;C116&amp;"; "&amp;D116&amp;"; "&amp;W116&amp;"; "&amp;X116&amp;"; "&amp;Y116&amp;"; "&amp;Z116&amp;"; "&amp;AA116&amp;"; "&amp;AB116&amp;"; "&amp;AC116&amp;"; "&amp;U116)</x:f>
        <x:v>proposal.gear.leg_armor; leg armor; equipment; lower limbs; armor; finished item; manufactured / unresolved; protection; metal; assembly; author direction; </x:v>
      </x:c>
      <x:c r="AE116" s="4" t="str">
        <x:v>From current item description. Proposed uses retain their existing approval status.</x:v>
      </x:c>
      <x:c r="AF116" s="4" t="str">
        <x:v>Finished item</x:v>
      </x:c>
      <x:c r="AG116" s="4" t="str">
        <x:v>Completed gear, vessel, food or tool can stop at its chosen material tier; it need not climb to T4.</x:v>
      </x:c>
      <x:c r="AH116" s="4" t="str">
        <x:v>Unassigned</x:v>
      </x:c>
    </x:row>
    <x:row r="117" ht="105" customHeight="1">
      <x:c r="A117" s="9" t="str">
        <x:v>proposal.gear.boots</x:v>
      </x:c>
      <x:c r="B117" s="9" t="str">
        <x:v>Boots</x:v>
      </x:c>
      <x:c r="C117" s="9" t="str">
        <x:v>Equipment</x:v>
      </x:c>
      <x:c r="D117" s="9" t="str">
        <x:v>Feet</x:v>
      </x:c>
      <x:c r="E117" s="9" t="str">
        <x:v>User direction; not implemented</x:v>
      </x:c>
      <x:c r="F117" s="9" t="str">
        <x:v>Footwear for traversal and exposure</x:v>
      </x:c>
      <x:c r="G117" s="9" t="str">
        <x:v>Unassigned; loadout extension TBD</x:v>
      </x:c>
      <x:c r="H117" s="9" t="str">
        <x:v>Booter-worn/held concept; permitted spares in Legger cargo TBD</x:v>
      </x:c>
      <x:c r="I117" s="13"/>
      <x:c r="J117" s="15"/>
      <x:c r="K117" s="9" t="str">
        <x:v>Fabrication, trade or salvage candidate; no recipe authored</x:v>
      </x:c>
      <x:c r="L117" s="9" t="str">
        <x:v>Proposed materials: Metal/shell structure; sole and flexible insert materials TBD</x:v>
      </x:c>
      <x:c r="M117" s="9" t="str">
        <x:v>Not implemented</x:v>
      </x:c>
      <x:c r="N117" s="9" t="str">
        <x:v>Grip, sound, grounding and insulation are separate proposals; no leather, rubber or cloth assumed</x:v>
      </x:c>
      <x:c r="O117" s="42"/>
      <x:c r="P117" s="42"/>
      <x:c r="Q117" s="42"/>
      <x:c r="R117" s="42"/>
      <x:c r="S117" s="42"/>
      <x:c r="T117" s="9" t="str">
        <x:v>Crude: Rigid foot shell with basic closure and replaceable sole pieces. Serviceable: Fitted boot with articulated ankle and serviceable tread. Elaborate: Carefully fitted armored boot with replaceable contact surfaces</x:v>
      </x:c>
      <x:c r="U117" s="11" t="str">
        <x:v>traversal</x:v>
      </x:c>
      <x:c r="V117" s="9" t="str">
        <x:v>Author item-family direction, October 14, 2026. Crude/serviceable/elaborate constructions, materials and effects are new proposals. Docs/WORLD_BASIS.md#material-culture; current runtime slot contract: Assets/_Project/Scripts/Runtime/TopDown3D/Inventory/TopDown3DLoadoutLayout.cs</x:v>
      </x:c>
      <x:c r="W117" s="4" t="str">
        <x:v>Wearable</x:v>
      </x:c>
      <x:c r="X117" s="4" t="str">
        <x:v>Finished item</x:v>
      </x:c>
      <x:c r="Y117" s="4" t="str">
        <x:v>Manufactured / unresolved</x:v>
      </x:c>
      <x:c r="Z117" s="4" t="str">
        <x:v>Protection</x:v>
      </x:c>
      <x:c r="AA117" s="4" t="str">
        <x:v>Mixed / unresolved</x:v>
      </x:c>
      <x:c r="AB117" s="4" t="str">
        <x:v>Garment</x:v>
      </x:c>
      <x:c r="AC117" s="4" t="str">
        <x:v>Author direction</x:v>
      </x:c>
      <x:c r="AD117" s="4" t="str">
        <x:f>LOWER(A117&amp;"; "&amp;B117&amp;"; "&amp;C117&amp;"; "&amp;D117&amp;"; "&amp;W117&amp;"; "&amp;X117&amp;"; "&amp;Y117&amp;"; "&amp;Z117&amp;"; "&amp;AA117&amp;"; "&amp;AB117&amp;"; "&amp;AC117&amp;"; "&amp;U117)</x:f>
        <x:v>proposal.gear.boots; boots; equipment; feet; wearable; finished item; manufactured / unresolved; protection; mixed / unresolved; garment; author direction; traversal</x:v>
      </x:c>
      <x:c r="AE117" s="4" t="str">
        <x:v>From current item description. Proposed uses retain their existing approval status.</x:v>
      </x:c>
      <x:c r="AF117" s="4" t="str">
        <x:v>Finished item</x:v>
      </x:c>
      <x:c r="AG117" s="4" t="str">
        <x:v>Completed gear, vessel, food or tool can stop at its chosen material tier; it need not climb to T4.</x:v>
      </x:c>
      <x:c r="AH117" s="4" t="str">
        <x:v>Unassigned</x:v>
      </x:c>
    </x:row>
    <x:row r="118" ht="105" customHeight="1">
      <x:c r="A118" s="9" t="str">
        <x:v>proposal.gear.gloves</x:v>
      </x:c>
      <x:c r="B118" s="9" t="str">
        <x:v>Gloves</x:v>
      </x:c>
      <x:c r="C118" s="9" t="str">
        <x:v>Equipment</x:v>
      </x:c>
      <x:c r="D118" s="9" t="str">
        <x:v>Hands</x:v>
      </x:c>
      <x:c r="E118" s="9" t="str">
        <x:v>User direction; not implemented</x:v>
      </x:c>
      <x:c r="F118" s="9" t="str">
        <x:v>Hand protection while handling tools and gear</x:v>
      </x:c>
      <x:c r="G118" s="9" t="str">
        <x:v>Unassigned; loadout extension TBD</x:v>
      </x:c>
      <x:c r="H118" s="9" t="str">
        <x:v>Booter-worn/held concept; permitted spares in Legger cargo TBD</x:v>
      </x:c>
      <x:c r="I118" s="13"/>
      <x:c r="J118" s="15"/>
      <x:c r="K118" s="9" t="str">
        <x:v>Fabrication, trade or salvage candidate; no recipe authored</x:v>
      </x:c>
      <x:c r="L118" s="9" t="str">
        <x:v>Proposed materials: Metal/shell guards; flexible insert material TBD</x:v>
      </x:c>
      <x:c r="M118" s="9" t="str">
        <x:v>Not implemented</x:v>
      </x:c>
      <x:c r="N118" s="9" t="str">
        <x:v>Dexterity, grip and chemical/electrical compatibility need design; no universal protective effect</x:v>
      </x:c>
      <x:c r="O118" s="42"/>
      <x:c r="P118" s="42"/>
      <x:c r="Q118" s="42"/>
      <x:c r="R118" s="42"/>
      <x:c r="S118" s="42"/>
      <x:c r="T118" s="9" t="str">
        <x:v>Crude: Palm/knuckle guards on a sparse carrier. Serviceable: Fitted hand protection with usable finger movement. Elaborate: Articulated plated glove with replaceable fingertips</x:v>
      </x:c>
      <x:c r="U118" s="11"/>
      <x:c r="V118" s="9" t="str">
        <x:v>Author item-family direction, October 14, 2026. Crude/serviceable/elaborate constructions, materials and effects are new proposals. Docs/WORLD_BASIS.md#material-culture; current runtime slot contract: Assets/_Project/Scripts/Runtime/TopDown3D/Inventory/TopDown3DLoadoutLayout.cs</x:v>
      </x:c>
      <x:c r="W118" s="4" t="str">
        <x:v>Wearable</x:v>
      </x:c>
      <x:c r="X118" s="4" t="str">
        <x:v>Finished item</x:v>
      </x:c>
      <x:c r="Y118" s="4" t="str">
        <x:v>Manufactured / unresolved</x:v>
      </x:c>
      <x:c r="Z118" s="4" t="str">
        <x:v>Protection</x:v>
      </x:c>
      <x:c r="AA118" s="4" t="str">
        <x:v>Mixed / unresolved</x:v>
      </x:c>
      <x:c r="AB118" s="4" t="str">
        <x:v>Garment</x:v>
      </x:c>
      <x:c r="AC118" s="4" t="str">
        <x:v>Author direction</x:v>
      </x:c>
      <x:c r="AD118" s="4" t="str">
        <x:f>LOWER(A118&amp;"; "&amp;B118&amp;"; "&amp;C118&amp;"; "&amp;D118&amp;"; "&amp;W118&amp;"; "&amp;X118&amp;"; "&amp;Y118&amp;"; "&amp;Z118&amp;"; "&amp;AA118&amp;"; "&amp;AB118&amp;"; "&amp;AC118&amp;"; "&amp;U118)</x:f>
        <x:v>proposal.gear.gloves; gloves; equipment; hands; wearable; finished item; manufactured / unresolved; protection; mixed / unresolved; garment; author direction; </x:v>
      </x:c>
      <x:c r="AE118" s="4" t="str">
        <x:v>From current item description. Proposed uses retain their existing approval status.</x:v>
      </x:c>
      <x:c r="AF118" s="4" t="str">
        <x:v>Finished item</x:v>
      </x:c>
      <x:c r="AG118" s="4" t="str">
        <x:v>Completed gear, vessel, food or tool can stop at its chosen material tier; it need not climb to T4.</x:v>
      </x:c>
      <x:c r="AH118" s="4" t="str">
        <x:v>Unassigned</x:v>
      </x:c>
    </x:row>
    <x:row r="119" ht="105" customHeight="1">
      <x:c r="A119" s="9" t="str">
        <x:v>proposal.gear.backpack</x:v>
      </x:c>
      <x:c r="B119" s="9" t="str">
        <x:v>Backpack</x:v>
      </x:c>
      <x:c r="C119" s="9" t="str">
        <x:v>Equipment</x:v>
      </x:c>
      <x:c r="D119" s="9" t="str">
        <x:v>Back-mounted carrier</x:v>
      </x:c>
      <x:c r="E119" s="9" t="str">
        <x:v>User direction; not implemented</x:v>
      </x:c>
      <x:c r="F119" s="9" t="str">
        <x:v>Booter-carried supplies/tool carrier candidate</x:v>
      </x:c>
      <x:c r="G119" s="9" t="str">
        <x:v>Unassigned; loadout extension TBD</x:v>
      </x:c>
      <x:c r="H119" s="9" t="str">
        <x:v>Booter-worn/held concept; permitted spares in Legger cargo TBD</x:v>
      </x:c>
      <x:c r="I119" s="13"/>
      <x:c r="J119" s="15"/>
      <x:c r="K119" s="9" t="str">
        <x:v>Fabrication, trade or salvage candidate; no recipe authored</x:v>
      </x:c>
      <x:c r="L119" s="9" t="str">
        <x:v>Proposed materials: Shell panels, metal frame, hinges; harness material unresolved</x:v>
      </x:c>
      <x:c r="M119" s="9" t="str">
        <x:v>Not implemented</x:v>
      </x:c>
      <x:c r="N119" s="9" t="str">
        <x:v>No raw-resource carrying exception. Capacity, equipment spares, cloak clearance and mounts remain open</x:v>
      </x:c>
      <x:c r="O119" s="42"/>
      <x:c r="P119" s="42"/>
      <x:c r="Q119" s="42"/>
      <x:c r="R119" s="42"/>
      <x:c r="S119" s="42"/>
      <x:c r="T119" s="9" t="str">
        <x:v>Crude: Rigid back basket or simple carrying frame. Serviceable: Compartmented shell/metal case on a fitted frame. Elaborate: Tailored frame with modular tool mounts and access panels</x:v>
      </x:c>
      <x:c r="U119" s="11"/>
      <x:c r="V119" s="9" t="str">
        <x:v>Author item-family direction, October 14, 2026. Crude/serviceable/elaborate constructions, materials and effects are new proposals. Docs/WORLD_BASIS.md#material-culture; current runtime slot contract: Assets/_Project/Scripts/Runtime/TopDown3D/Inventory/TopDown3DLoadoutLayout.cs</x:v>
      </x:c>
      <x:c r="W119" s="4" t="str">
        <x:v>Carrier</x:v>
      </x:c>
      <x:c r="X119" s="4" t="str">
        <x:v>Finished item</x:v>
      </x:c>
      <x:c r="Y119" s="4" t="str">
        <x:v>Manufactured / unresolved</x:v>
      </x:c>
      <x:c r="Z119" s="4" t="str">
        <x:v>Cargo organization</x:v>
      </x:c>
      <x:c r="AA119" s="4" t="str">
        <x:v>Mixed / unresolved</x:v>
      </x:c>
      <x:c r="AB119" s="4" t="str">
        <x:v>Assembly</x:v>
      </x:c>
      <x:c r="AC119" s="4" t="str">
        <x:v>Author direction</x:v>
      </x:c>
      <x:c r="AD119" s="4" t="str">
        <x:f>LOWER(A119&amp;"; "&amp;B119&amp;"; "&amp;C119&amp;"; "&amp;D119&amp;"; "&amp;W119&amp;"; "&amp;X119&amp;"; "&amp;Y119&amp;"; "&amp;Z119&amp;"; "&amp;AA119&amp;"; "&amp;AB119&amp;"; "&amp;AC119&amp;"; "&amp;U119)</x:f>
        <x:v>proposal.gear.backpack; backpack; equipment; back-mounted carrier; carrier; finished item; manufactured / unresolved; cargo organization; mixed / unresolved; assembly; author direction; </x:v>
      </x:c>
      <x:c r="AE119" s="4" t="str">
        <x:v>From current item description. Proposed uses retain their existing approval status.</x:v>
      </x:c>
      <x:c r="AF119" s="4" t="str">
        <x:v>Finished item</x:v>
      </x:c>
      <x:c r="AG119" s="4" t="str">
        <x:v>Completed gear, vessel, food or tool can stop at its chosen material tier; it need not climb to T4.</x:v>
      </x:c>
      <x:c r="AH119" s="4" t="str">
        <x:v>Unassigned</x:v>
      </x:c>
    </x:row>
    <x:row r="120" ht="105" customHeight="1">
      <x:c r="A120" s="9" t="str">
        <x:v>proposal.gear.special_plates</x:v>
      </x:c>
      <x:c r="B120" s="9" t="str">
        <x:v>Specialized armor plates</x:v>
      </x:c>
      <x:c r="C120" s="9" t="str">
        <x:v>Equipment</x:v>
      </x:c>
      <x:c r="D120" s="9" t="str">
        <x:v>Modular protection</x:v>
      </x:c>
      <x:c r="E120" s="9" t="str">
        <x:v>User direction; not implemented</x:v>
      </x:c>
      <x:c r="F120" s="9" t="str">
        <x:v>Purpose-specific protection modules</x:v>
      </x:c>
      <x:c r="G120" s="9" t="str">
        <x:v>Unassigned; loadout extension TBD</x:v>
      </x:c>
      <x:c r="H120" s="9" t="str">
        <x:v>Booter-worn/held concept; permitted spares in Legger cargo TBD</x:v>
      </x:c>
      <x:c r="I120" s="13"/>
      <x:c r="J120" s="15"/>
      <x:c r="K120" s="9" t="str">
        <x:v>Fabrication, trade or salvage candidate; no recipe authored</x:v>
      </x:c>
      <x:c r="L120" s="9" t="str">
        <x:v>Proposed materials: Metal, shell and optional mineral/ceramic layers; recipes TBD</x:v>
      </x:c>
      <x:c r="M120" s="9" t="str">
        <x:v>Not implemented</x:v>
      </x:c>
      <x:c r="N120" s="9" t="str">
        <x:v>Candidate functions: impact distribution, abrasion protection, joint coverage and electrical separation; all effects unapproved</x:v>
      </x:c>
      <x:c r="O120" s="42"/>
      <x:c r="P120" s="42"/>
      <x:c r="Q120" s="42"/>
      <x:c r="R120" s="42"/>
      <x:c r="S120" s="42"/>
      <x:c r="T120" s="9" t="str">
        <x:v>Crude: Replaceable abrasion plate or bolted reinforcement. Serviceable: Purpose-shaped joint cover or impact-spreading module. Elaborate: Integrated interchangeable plate system for specific tasks</x:v>
      </x:c>
      <x:c r="U120" s="11"/>
      <x:c r="V120" s="9" t="str">
        <x:v>Author item-family direction, October 14, 2026. Crude/serviceable/elaborate constructions, materials and effects are new proposals. Docs/WORLD_BASIS.md#material-culture; current runtime slot contract: Assets/_Project/Scripts/Runtime/TopDown3D/Inventory/TopDown3DLoadoutLayout.cs</x:v>
      </x:c>
      <x:c r="W120" s="4" t="str">
        <x:v>Armor</x:v>
      </x:c>
      <x:c r="X120" s="4" t="str">
        <x:v>Finished item</x:v>
      </x:c>
      <x:c r="Y120" s="4" t="str">
        <x:v>Manufactured / unresolved</x:v>
      </x:c>
      <x:c r="Z120" s="4" t="str">
        <x:v>Protection</x:v>
      </x:c>
      <x:c r="AA120" s="4" t="str">
        <x:v>Metal</x:v>
      </x:c>
      <x:c r="AB120" s="4" t="str">
        <x:v>Assembly</x:v>
      </x:c>
      <x:c r="AC120" s="4" t="str">
        <x:v>Author direction</x:v>
      </x:c>
      <x:c r="AD120" s="4" t="str">
        <x:f>LOWER(A120&amp;"; "&amp;B120&amp;"; "&amp;C120&amp;"; "&amp;D120&amp;"; "&amp;W120&amp;"; "&amp;X120&amp;"; "&amp;Y120&amp;"; "&amp;Z120&amp;"; "&amp;AA120&amp;"; "&amp;AB120&amp;"; "&amp;AC120&amp;"; "&amp;U120)</x:f>
        <x:v>proposal.gear.special_plates; specialized armor plates; equipment; modular protection; armor; finished item; manufactured / unresolved; protection; metal; assembly; author direction; </x:v>
      </x:c>
      <x:c r="AE120" s="4" t="str">
        <x:v>From current item description. Proposed uses retain their existing approval status.</x:v>
      </x:c>
      <x:c r="AF120" s="4" t="str">
        <x:v>Finished item</x:v>
      </x:c>
      <x:c r="AG120" s="4" t="str">
        <x:v>Completed gear, vessel, food or tool can stop at its chosen material tier; it need not climb to T4.</x:v>
      </x:c>
      <x:c r="AH120" s="4" t="str">
        <x:v>Unassigned</x:v>
      </x:c>
    </x:row>
    <x:row r="121" ht="105" customHeight="1">
      <x:c r="A121" s="9" t="str">
        <x:v>proposal.gear.shield</x:v>
      </x:c>
      <x:c r="B121" s="9" t="str">
        <x:v>Shield</x:v>
      </x:c>
      <x:c r="C121" s="9" t="str">
        <x:v>Equipment</x:v>
      </x:c>
      <x:c r="D121" s="9" t="str">
        <x:v>Held / mounted defensive gear</x:v>
      </x:c>
      <x:c r="E121" s="9" t="str">
        <x:v>User direction; not implemented</x:v>
      </x:c>
      <x:c r="F121" s="9" t="str">
        <x:v>Directional protection candidate</x:v>
      </x:c>
      <x:c r="G121" s="9" t="str">
        <x:v>Unassigned; loadout extension TBD</x:v>
      </x:c>
      <x:c r="H121" s="9" t="str">
        <x:v>Booter-worn/held concept; permitted spares in Legger cargo TBD</x:v>
      </x:c>
      <x:c r="I121" s="13"/>
      <x:c r="J121" s="15"/>
      <x:c r="K121" s="9" t="str">
        <x:v>Fabrication, trade or salvage candidate; no recipe authored</x:v>
      </x:c>
      <x:c r="L121" s="9" t="str">
        <x:v>Proposed materials: Metal and/or shell panels; grip and rim materials TBD</x:v>
      </x:c>
      <x:c r="M121" s="9" t="str">
        <x:v>Not implemented</x:v>
      </x:c>
      <x:c r="N121" s="9" t="str">
        <x:v>Hand ownership, tool use, carrying posture and Legger cargo storage need design; no blocking mechanics implemented</x:v>
      </x:c>
      <x:c r="O121" s="42"/>
      <x:c r="P121" s="42"/>
      <x:c r="Q121" s="42"/>
      <x:c r="R121" s="42"/>
      <x:c r="S121" s="42"/>
      <x:c r="T121" s="9" t="str">
        <x:v>Crude: Cut salvaged plate with a rigid grip. Serviceable: Shaped shield with reinforced edge and repairable face. Elaborate: Fitted layered shield with deliberate sightline and handling geometry</x:v>
      </x:c>
      <x:c r="U121" s="11"/>
      <x:c r="V121" s="9" t="str">
        <x:v>Author item-family direction, October 14, 2026. Crude/serviceable/elaborate constructions, materials and effects are new proposals. Docs/WORLD_BASIS.md#material-culture; current runtime slot contract: Assets/_Project/Scripts/Runtime/TopDown3D/Inventory/TopDown3DLoadoutLayout.cs</x:v>
      </x:c>
      <x:c r="W121" s="4" t="str">
        <x:v>Shield</x:v>
      </x:c>
      <x:c r="X121" s="4" t="str">
        <x:v>Finished item</x:v>
      </x:c>
      <x:c r="Y121" s="4" t="str">
        <x:v>Manufactured / unresolved</x:v>
      </x:c>
      <x:c r="Z121" s="4" t="str">
        <x:v>Protection</x:v>
      </x:c>
      <x:c r="AA121" s="4" t="str">
        <x:v>Mixed / unresolved</x:v>
      </x:c>
      <x:c r="AB121" s="4" t="str">
        <x:v>Assembly</x:v>
      </x:c>
      <x:c r="AC121" s="4" t="str">
        <x:v>Author direction</x:v>
      </x:c>
      <x:c r="AD121" s="4" t="str">
        <x:f>LOWER(A121&amp;"; "&amp;B121&amp;"; "&amp;C121&amp;"; "&amp;D121&amp;"; "&amp;W121&amp;"; "&amp;X121&amp;"; "&amp;Y121&amp;"; "&amp;Z121&amp;"; "&amp;AA121&amp;"; "&amp;AB121&amp;"; "&amp;AC121&amp;"; "&amp;U121)</x:f>
        <x:v>proposal.gear.shield; shield; equipment; held / mounted defensive gear; shield; finished item; manufactured / unresolved; protection; mixed / unresolved; assembly; author direction; </x:v>
      </x:c>
      <x:c r="AE121" s="4" t="str">
        <x:v>From current item description. Proposed uses retain their existing approval status.</x:v>
      </x:c>
      <x:c r="AF121" s="4" t="str">
        <x:v>Finished item</x:v>
      </x:c>
      <x:c r="AG121" s="4" t="str">
        <x:v>Completed gear, vessel, food or tool can stop at its chosen material tier; it need not climb to T4.</x:v>
      </x:c>
      <x:c r="AH121" s="4" t="str">
        <x:v>Unassigned</x:v>
      </x:c>
    </x:row>
    <x:row r="122" ht="85" customHeight="1">
      <x:c r="A122" s="9" t="str">
        <x:v>proposal.weapon.caltrops</x:v>
      </x:c>
      <x:c r="B122" s="9" t="str">
        <x:v>Caltrops</x:v>
      </x:c>
      <x:c r="C122" s="9" t="str">
        <x:v>Weapons</x:v>
      </x:c>
      <x:c r="D122" s="9" t="str">
        <x:v>Trip-ups</x:v>
      </x:c>
      <x:c r="E122" s="9" t="str">
        <x:v>User direction; not implemented</x:v>
      </x:c>
      <x:c r="F122" s="9" t="str">
        <x:v>First named candidate for specialized, purpose-specific weapon brainstorming.</x:v>
      </x:c>
      <x:c r="G122" s="9" t="str">
        <x:v>Unassigned; future design</x:v>
      </x:c>
      <x:c r="H122" s="9" t="str">
        <x:v>Carrier and quantity policy TBD</x:v>
      </x:c>
      <x:c r="I122" s="13"/>
      <x:c r="J122" s="15"/>
      <x:c r="K122" s="9" t="str">
        <x:v>Acquisition and manufacture deferred</x:v>
      </x:c>
      <x:c r="L122" s="9" t="str">
        <x:v>No recipe authored</x:v>
      </x:c>
      <x:c r="M122" s="9" t="str">
        <x:v>Not implemented</x:v>
      </x:c>
      <x:c r="N122" s="9" t="str">
        <x:v>Weapon mechanics, damage, targets and deployment are deferred.</x:v>
      </x:c>
      <x:c r="O122" s="17"/>
      <x:c r="P122" s="17"/>
      <x:c r="Q122" s="17"/>
      <x:c r="R122" s="17"/>
      <x:c r="S122" s="17"/>
      <x:c r="T122" s="9" t="str">
        <x:v>Future weapon lanes: offensive weapons, defensive weapons, traps and trip-ups. No additional weapon roster proposed.</x:v>
      </x:c>
      <x:c r="U122" s="11"/>
      <x:c r="V122" s="9" t="str">
        <x:v>Direct author direction, October 14, 2026. Detailed brainstorming explicitly deferred.</x:v>
      </x:c>
      <x:c r="W122" s="4" t="str">
        <x:v>Trip hazard</x:v>
      </x:c>
      <x:c r="X122" s="4" t="str">
        <x:v>Finished item</x:v>
      </x:c>
      <x:c r="Y122" s="4" t="str">
        <x:v>Manufactured / unresolved</x:v>
      </x:c>
      <x:c r="Z122" s="4" t="str">
        <x:v>Area denial</x:v>
      </x:c>
      <x:c r="AA122" s="4" t="str">
        <x:v>Unresolved</x:v>
      </x:c>
      <x:c r="AB122" s="4" t="str">
        <x:v>Solid part</x:v>
      </x:c>
      <x:c r="AC122" s="4" t="str">
        <x:v>Author direction</x:v>
      </x:c>
      <x:c r="AD122" s="4" t="str">
        <x:f>LOWER(A122&amp;"; "&amp;B122&amp;"; "&amp;C122&amp;"; "&amp;D122&amp;"; "&amp;W122&amp;"; "&amp;X122&amp;"; "&amp;Y122&amp;"; "&amp;Z122&amp;"; "&amp;AA122&amp;"; "&amp;AB122&amp;"; "&amp;AC122&amp;"; "&amp;U122)</x:f>
        <x:v>proposal.weapon.caltrops; caltrops; weapons; trip-ups; trip hazard; finished item; manufactured / unresolved; area denial; unresolved; solid part; author direction; </x:v>
      </x:c>
      <x:c r="AE122" s="4" t="str">
        <x:v>From current item description. Proposed uses retain their existing approval status.</x:v>
      </x:c>
      <x:c r="AF122" s="4" t="str">
        <x:v>Finished item</x:v>
      </x:c>
      <x:c r="AG122" s="4" t="str">
        <x:v>Completed gear, vessel, food or tool can stop at its chosen material tier; it need not climb to T4.</x:v>
      </x:c>
      <x:c r="AH122" s="4" t="str">
        <x:v>Unassigned</x:v>
      </x:c>
    </x:row>
    <x:row r="123" ht="80" customHeight="1">
      <x:c r="A123" s="9" t="str">
        <x:v>proposal.ancient.carbon_composite</x:v>
      </x:c>
      <x:c r="B123" s="9" t="str">
        <x:v>Ancient carbon composite</x:v>
      </x:c>
      <x:c r="C123" s="9" t="str">
        <x:v>Resources</x:v>
      </x:c>
      <x:c r="D123" s="9" t="str">
        <x:v>Ancient manufactured material</x:v>
      </x:c>
      <x:c r="E123" s="9" t="str">
        <x:v>User direction; not implemented</x:v>
      </x:c>
      <x:c r="F123" s="9" t="str">
        <x:v>Ancient material comparable to carbon-fiber composites.</x:v>
      </x:c>
      <x:c r="G123" s="9" t="str">
        <x:v>None</x:v>
      </x:c>
      <x:c r="H123" s="9" t="str">
        <x:v>Recovered material: Legger / physical local storage</x:v>
      </x:c>
      <x:c r="I123" s="13"/>
      <x:c r="J123" s="15"/>
      <x:c r="K123" s="9" t="str">
        <x:v>Ancient-tech recovery source; specific sites and forms undecided</x:v>
      </x:c>
      <x:c r="L123" s="9" t="str">
        <x:v>Recovery/reuse only as a design candidate; no manufacturing recipe established</x:v>
      </x:c>
      <x:c r="M123" s="9" t="str">
        <x:v>Not implemented</x:v>
      </x:c>
      <x:c r="N123" s="9" t="str">
        <x:v>Recovery form, composition and usable properties need design. No carbon-fabric or cloth item assumed.</x:v>
      </x:c>
      <x:c r="O123" s="46" t="str">
        <x:v>Extremely rare</x:v>
      </x:c>
      <x:c r="P123" s="17"/>
      <x:c r="Q123" s="17"/>
      <x:c r="R123" s="17"/>
      <x:c r="S123" s="17"/>
      <x:c r="T123" s="9" t="str">
        <x:v>Extremely rare by author direction. Fragment versus intact component, testing, trade and fabrication possibilities remain open.</x:v>
      </x:c>
      <x:c r="U123" s="11"/>
      <x:c r="V123" s="9" t="str">
        <x:v>Direct author direction October 14, 2026; Docs/WORLD_BASIS.md#material-culture. Related source is a proposal: https://github.com/sleepyseamonster/Arc-Dust/blob/f6f98515c005dc3c73cccd9cbc031691745740c6/02-Arc-Dust-Worldbuilding/world/materials/ancient-synthetics.md</x:v>
      </x:c>
      <x:c r="W123" s="4" t="str">
        <x:v>Processed material</x:v>
      </x:c>
      <x:c r="X123" s="4" t="str">
        <x:v>Ancient manufactured</x:v>
      </x:c>
      <x:c r="Y123" s="4" t="str">
        <x:v>Ancient technology</x:v>
      </x:c>
      <x:c r="Z123" s="4" t="str">
        <x:v>Use unresolved</x:v>
      </x:c>
      <x:c r="AA123" s="4" t="str">
        <x:v>Ancient composite</x:v>
      </x:c>
      <x:c r="AB123" s="4" t="str">
        <x:v>Unresolved</x:v>
      </x:c>
      <x:c r="AC123" s="4" t="str">
        <x:v>Author direction</x:v>
      </x:c>
      <x:c r="AD123" s="4" t="str">
        <x:f>LOWER(A123&amp;"; "&amp;B123&amp;"; "&amp;C123&amp;"; "&amp;D123&amp;"; "&amp;W123&amp;"; "&amp;X123&amp;"; "&amp;Y123&amp;"; "&amp;Z123&amp;"; "&amp;AA123&amp;"; "&amp;AB123&amp;"; "&amp;AC123&amp;"; "&amp;U123)</x:f>
        <x:v>proposal.ancient.carbon_composite; ancient carbon composite; resources; ancient manufactured material; processed material; ancient manufactured; ancient technology; use unresolved; ancient composite; unresolved; author direction; </x:v>
      </x:c>
      <x:c r="AE123" s="4" t="str">
        <x:v>From current item description. Proposed uses retain their existing approval status.</x:v>
      </x:c>
      <x:c r="AF123" s="4" t="str">
        <x:v>Unassigned</x:v>
      </x:c>
      <x:c r="AG123" s="4" t="str">
        <x:v>Tier requires a chosen production route; recovered ancient material is not automatically T4.</x:v>
      </x:c>
      <x:c r="AH123" s="4" t="str">
        <x:v>Unassigned</x:v>
      </x:c>
    </x:row>
    <x:row r="124" ht="80" customHeight="1">
      <x:c r="A124" s="9" t="str">
        <x:v>proposal.ancient.nanocarbon</x:v>
      </x:c>
      <x:c r="B124" s="9" t="str">
        <x:v>Ancient nanocarbon material</x:v>
      </x:c>
      <x:c r="C124" s="9" t="str">
        <x:v>Resources</x:v>
      </x:c>
      <x:c r="D124" s="9" t="str">
        <x:v>Ancient manufactured material</x:v>
      </x:c>
      <x:c r="E124" s="9" t="str">
        <x:v>User direction; not implemented</x:v>
      </x:c>
      <x:c r="F124" s="9" t="str">
        <x:v>Ancient material comparable to advanced nanocarbon substances.</x:v>
      </x:c>
      <x:c r="G124" s="9" t="str">
        <x:v>None</x:v>
      </x:c>
      <x:c r="H124" s="9" t="str">
        <x:v>Recovered material: Legger / physical local storage</x:v>
      </x:c>
      <x:c r="I124" s="13"/>
      <x:c r="J124" s="15"/>
      <x:c r="K124" s="9" t="str">
        <x:v>Ancient-tech recovery source; specific sites and forms undecided</x:v>
      </x:c>
      <x:c r="L124" s="9" t="str">
        <x:v>Recovery/reuse only as a design candidate; no manufacturing recipe established</x:v>
      </x:c>
      <x:c r="M124" s="9" t="str">
        <x:v>Not implemented</x:v>
      </x:c>
      <x:c r="N124" s="9" t="str">
        <x:v>No self-repair, active nanomachines or extraordinary conductivity inferred from its name.</x:v>
      </x:c>
      <x:c r="O124" s="46" t="str">
        <x:v>Extremely rare</x:v>
      </x:c>
      <x:c r="P124" s="17"/>
      <x:c r="Q124" s="17"/>
      <x:c r="R124" s="17"/>
      <x:c r="S124" s="17"/>
      <x:c r="T124" s="9" t="str">
        <x:v>Extremely rare by author direction. Fragment versus intact component, testing, trade and fabrication possibilities remain open.</x:v>
      </x:c>
      <x:c r="U124" s="11"/>
      <x:c r="V124" s="9" t="str">
        <x:v>Direct author direction October 14, 2026; Docs/WORLD_BASIS.md#material-culture. Related source is a proposal: https://github.com/sleepyseamonster/Arc-Dust/blob/f6f98515c005dc3c73cccd9cbc031691745740c6/02-Arc-Dust-Worldbuilding/world/materials/ancient-synthetics.md</x:v>
      </x:c>
      <x:c r="W124" s="4" t="str">
        <x:v>Processed material</x:v>
      </x:c>
      <x:c r="X124" s="4" t="str">
        <x:v>Ancient manufactured</x:v>
      </x:c>
      <x:c r="Y124" s="4" t="str">
        <x:v>Ancient technology</x:v>
      </x:c>
      <x:c r="Z124" s="4" t="str">
        <x:v>Use unresolved</x:v>
      </x:c>
      <x:c r="AA124" s="4" t="str">
        <x:v>Ancient composite</x:v>
      </x:c>
      <x:c r="AB124" s="4" t="str">
        <x:v>Unresolved</x:v>
      </x:c>
      <x:c r="AC124" s="4" t="str">
        <x:v>Author direction</x:v>
      </x:c>
      <x:c r="AD124" s="4" t="str">
        <x:f>LOWER(A124&amp;"; "&amp;B124&amp;"; "&amp;C124&amp;"; "&amp;D124&amp;"; "&amp;W124&amp;"; "&amp;X124&amp;"; "&amp;Y124&amp;"; "&amp;Z124&amp;"; "&amp;AA124&amp;"; "&amp;AB124&amp;"; "&amp;AC124&amp;"; "&amp;U124)</x:f>
        <x:v>proposal.ancient.nanocarbon; ancient nanocarbon material; resources; ancient manufactured material; processed material; ancient manufactured; ancient technology; use unresolved; ancient composite; unresolved; author direction; </x:v>
      </x:c>
      <x:c r="AE124" s="4" t="str">
        <x:v>From current item description. Proposed uses retain their existing approval status.</x:v>
      </x:c>
      <x:c r="AF124" s="4" t="str">
        <x:v>Unassigned</x:v>
      </x:c>
      <x:c r="AG124" s="4" t="str">
        <x:v>Tier requires a chosen production route; recovered ancient material is not automatically T4.</x:v>
      </x:c>
      <x:c r="AH124" s="4" t="str">
        <x:v>Unassigned</x:v>
      </x:c>
    </x:row>
    <x:row r="125" ht="80" customHeight="1">
      <x:c r="A125" s="9" t="str">
        <x:v>proposal.ancient.plasteel</x:v>
      </x:c>
      <x:c r="B125" s="9" t="str">
        <x:v>Ancient plasteel material</x:v>
      </x:c>
      <x:c r="C125" s="9" t="str">
        <x:v>Resources</x:v>
      </x:c>
      <x:c r="D125" s="9" t="str">
        <x:v>Ancient manufactured material</x:v>
      </x:c>
      <x:c r="E125" s="9" t="str">
        <x:v>User direction; not implemented</x:v>
      </x:c>
      <x:c r="F125" s="9" t="str">
        <x:v>Ancient manufactured material comparable to plasteel.</x:v>
      </x:c>
      <x:c r="G125" s="9" t="str">
        <x:v>None</x:v>
      </x:c>
      <x:c r="H125" s="9" t="str">
        <x:v>Recovered material: Legger / physical local storage</x:v>
      </x:c>
      <x:c r="I125" s="13"/>
      <x:c r="J125" s="15"/>
      <x:c r="K125" s="9" t="str">
        <x:v>Ancient-tech recovery source; specific sites and forms undecided</x:v>
      </x:c>
      <x:c r="L125" s="9" t="str">
        <x:v>Recovery/reuse only as a design candidate; no manufacturing recipe established</x:v>
      </x:c>
      <x:c r="M125" s="9" t="str">
        <x:v>Not implemented</x:v>
      </x:c>
      <x:c r="N125" s="9" t="str">
        <x:v>Exact formulation and properties undefined; not an ordinary iron/steel ore or alloy recipe.</x:v>
      </x:c>
      <x:c r="O125" s="46" t="str">
        <x:v>Extremely rare</x:v>
      </x:c>
      <x:c r="P125" s="17"/>
      <x:c r="Q125" s="17"/>
      <x:c r="R125" s="17"/>
      <x:c r="S125" s="17"/>
      <x:c r="T125" s="9" t="str">
        <x:v>Extremely rare by author direction. Fragment versus intact component, testing, trade and fabrication possibilities remain open.</x:v>
      </x:c>
      <x:c r="U125" s="11"/>
      <x:c r="V125" s="9" t="str">
        <x:v>Direct author direction October 14, 2026; Docs/WORLD_BASIS.md#material-culture. Related source is a proposal: https://github.com/sleepyseamonster/Arc-Dust/blob/f6f98515c005dc3c73cccd9cbc031691745740c6/02-Arc-Dust-Worldbuilding/world/materials/ancient-synthetics.md</x:v>
      </x:c>
      <x:c r="W125" s="4" t="str">
        <x:v>Processed material</x:v>
      </x:c>
      <x:c r="X125" s="4" t="str">
        <x:v>Ancient manufactured</x:v>
      </x:c>
      <x:c r="Y125" s="4" t="str">
        <x:v>Ancient technology</x:v>
      </x:c>
      <x:c r="Z125" s="4" t="str">
        <x:v>Use unresolved</x:v>
      </x:c>
      <x:c r="AA125" s="4" t="str">
        <x:v>Ancient composite</x:v>
      </x:c>
      <x:c r="AB125" s="4" t="str">
        <x:v>Unresolved</x:v>
      </x:c>
      <x:c r="AC125" s="4" t="str">
        <x:v>Author direction</x:v>
      </x:c>
      <x:c r="AD125" s="4" t="str">
        <x:f>LOWER(A125&amp;"; "&amp;B125&amp;"; "&amp;C125&amp;"; "&amp;D125&amp;"; "&amp;W125&amp;"; "&amp;X125&amp;"; "&amp;Y125&amp;"; "&amp;Z125&amp;"; "&amp;AA125&amp;"; "&amp;AB125&amp;"; "&amp;AC125&amp;"; "&amp;U125)</x:f>
        <x:v>proposal.ancient.plasteel; ancient plasteel material; resources; ancient manufactured material; processed material; ancient manufactured; ancient technology; use unresolved; ancient composite; unresolved; author direction; </x:v>
      </x:c>
      <x:c r="AE125" s="4" t="str">
        <x:v>From current item description. Proposed uses retain their existing approval status.</x:v>
      </x:c>
      <x:c r="AF125" s="4" t="str">
        <x:v>Unassigned</x:v>
      </x:c>
      <x:c r="AG125" s="4" t="str">
        <x:v>Tier requires a chosen production route; recovered ancient material is not automatically T4.</x:v>
      </x:c>
      <x:c r="AH125" s="4" t="str">
        <x:v>Unassigned</x:v>
      </x:c>
    </x:row>
    <x:row r="126" ht="90" customHeight="1">
      <x:c r="A126" s="9" t="str">
        <x:v>proposal.fashion.special_spectacles</x:v>
      </x:c>
      <x:c r="B126" s="9" t="str">
        <x:v>Specialized spectacles</x:v>
      </x:c>
      <x:c r="C126" s="9" t="str">
        <x:v>Equipment</x:v>
      </x:c>
      <x:c r="D126" s="9" t="str">
        <x:v>Specialist eyewear</x:v>
      </x:c>
      <x:c r="E126" s="9" t="str">
        <x:v>User direction; not implemented</x:v>
      </x:c>
      <x:c r="F126" s="9" t="str">
        <x:v>Rare specialized eyewear; precise purpose and optical effect to define.</x:v>
      </x:c>
      <x:c r="G126" s="9" t="str">
        <x:v>Unassigned; fit/layering TBD</x:v>
      </x:c>
      <x:c r="H126" s="9" t="str">
        <x:v>Booter-worn concept; spare/transfer policy TBD</x:v>
      </x:c>
      <x:c r="I126" s="13"/>
      <x:c r="J126" s="15"/>
      <x:c r="K126" s="9" t="str">
        <x:v>Specialist crafting/trade candidate; exact acquisition TBD</x:v>
      </x:c>
      <x:c r="L126" s="9" t="str">
        <x:v>Material family: Lens and frame materials/requirements TBD</x:v>
      </x:c>
      <x:c r="M126" s="9" t="str">
        <x:v>Not implemented</x:v>
      </x:c>
      <x:c r="N126" s="9" t="str">
        <x:v>Specific purpose, lens manufacture, face fit and equipment compatibility remain open</x:v>
      </x:c>
      <x:c r="O126" s="47" t="str">
        <x:v>Rare</x:v>
      </x:c>
      <x:c r="P126" s="17"/>
      <x:c r="Q126" s="17"/>
      <x:c r="R126" s="17"/>
      <x:c r="S126" s="17"/>
      <x:c r="T126" s="9" t="str">
        <x:v>Rare by author direction; fashion versions very rare and expensive. Crafting inputs intended high-value trade goods; no numeric price/time/yield assigned.</x:v>
      </x:c>
      <x:c r="U126" s="11"/>
      <x:c r="V126" s="9" t="str">
        <x:v>Direct author direction, October 14, 2026; Docs/WORLD_BASIS.md#material-culture. Clothing exists without cloth; fashion is very rare/expensive and qualifying crafting inputs have high sale-value intent.</x:v>
      </x:c>
      <x:c r="W126" s="4" t="str">
        <x:v>Wearable</x:v>
      </x:c>
      <x:c r="X126" s="4" t="str">
        <x:v>Finished item</x:v>
      </x:c>
      <x:c r="Y126" s="4" t="str">
        <x:v>Manufactured / unresolved</x:v>
      </x:c>
      <x:c r="Z126" s="4" t="str">
        <x:v>Vision</x:v>
      </x:c>
      <x:c r="AA126" s="4" t="str">
        <x:v>Mixed / unresolved</x:v>
      </x:c>
      <x:c r="AB126" s="4" t="str">
        <x:v>Assembly</x:v>
      </x:c>
      <x:c r="AC126" s="4" t="str">
        <x:v>Author direction</x:v>
      </x:c>
      <x:c r="AD126" s="4" t="str">
        <x:f>LOWER(A126&amp;"; "&amp;B126&amp;"; "&amp;C126&amp;"; "&amp;D126&amp;"; "&amp;W126&amp;"; "&amp;X126&amp;"; "&amp;Y126&amp;"; "&amp;Z126&amp;"; "&amp;AA126&amp;"; "&amp;AB126&amp;"; "&amp;AC126&amp;"; "&amp;U126)</x:f>
        <x:v>proposal.fashion.special_spectacles; specialized spectacles; equipment; specialist eyewear; wearable; finished item; manufactured / unresolved; vision; mixed / unresolved; assembly; author direction; </x:v>
      </x:c>
      <x:c r="AE126" s="4" t="str">
        <x:v>From current item description. Proposed uses retain their existing approval status.</x:v>
      </x:c>
      <x:c r="AF126" s="4" t="str">
        <x:v>Finished item</x:v>
      </x:c>
      <x:c r="AG126" s="4" t="str">
        <x:v>Completed gear, vessel, food or tool can stop at its chosen material tier; it need not climb to T4.</x:v>
      </x:c>
      <x:c r="AH126" s="4" t="str">
        <x:v>Unassigned</x:v>
      </x:c>
    </x:row>
    <x:row r="127" ht="90" customHeight="1">
      <x:c r="A127" s="9" t="str">
        <x:v>proposal.fashion.eyeglasses</x:v>
      </x:c>
      <x:c r="B127" s="9" t="str">
        <x:v>Eyeglasses</x:v>
      </x:c>
      <x:c r="C127" s="9" t="str">
        <x:v>Equipment</x:v>
      </x:c>
      <x:c r="D127" s="9" t="str">
        <x:v>Eyewear</x:v>
      </x:c>
      <x:c r="E127" s="9" t="str">
        <x:v>User direction; not implemented</x:v>
      </x:c>
      <x:c r="F127" s="9" t="str">
        <x:v>Rare eyeglasses; lens function, frame and fitting need design.</x:v>
      </x:c>
      <x:c r="G127" s="9" t="str">
        <x:v>Unassigned; fit/layering TBD</x:v>
      </x:c>
      <x:c r="H127" s="9" t="str">
        <x:v>Booter-worn concept; spare/transfer policy TBD</x:v>
      </x:c>
      <x:c r="I127" s="13"/>
      <x:c r="J127" s="15"/>
      <x:c r="K127" s="9" t="str">
        <x:v>Specialist crafting/trade candidate; exact acquisition TBD</x:v>
      </x:c>
      <x:c r="L127" s="9" t="str">
        <x:v>Material family: Lens and frame materials/requirements TBD</x:v>
      </x:c>
      <x:c r="M127" s="9" t="str">
        <x:v>Not implemented</x:v>
      </x:c>
      <x:c r="N127" s="9" t="str">
        <x:v>Distinction from specialized spectacles and actual vision effects remain open</x:v>
      </x:c>
      <x:c r="O127" s="47" t="str">
        <x:v>Rare</x:v>
      </x:c>
      <x:c r="P127" s="17"/>
      <x:c r="Q127" s="17"/>
      <x:c r="R127" s="17"/>
      <x:c r="S127" s="17"/>
      <x:c r="T127" s="9" t="str">
        <x:v>Rare by author direction; fashion versions very rare and expensive. Crafting inputs intended high-value trade goods; no numeric price/time/yield assigned.</x:v>
      </x:c>
      <x:c r="U127" s="11"/>
      <x:c r="V127" s="9" t="str">
        <x:v>Direct author direction, October 14, 2026; Docs/WORLD_BASIS.md#material-culture. Clothing exists without cloth; fashion is very rare/expensive and qualifying crafting inputs have high sale-value intent.</x:v>
      </x:c>
      <x:c r="W127" s="4" t="str">
        <x:v>Wearable</x:v>
      </x:c>
      <x:c r="X127" s="4" t="str">
        <x:v>Finished item</x:v>
      </x:c>
      <x:c r="Y127" s="4" t="str">
        <x:v>Manufactured / unresolved</x:v>
      </x:c>
      <x:c r="Z127" s="4" t="str">
        <x:v>Vision</x:v>
      </x:c>
      <x:c r="AA127" s="4" t="str">
        <x:v>Mixed / unresolved</x:v>
      </x:c>
      <x:c r="AB127" s="4" t="str">
        <x:v>Assembly</x:v>
      </x:c>
      <x:c r="AC127" s="4" t="str">
        <x:v>Author direction</x:v>
      </x:c>
      <x:c r="AD127" s="4" t="str">
        <x:f>LOWER(A127&amp;"; "&amp;B127&amp;"; "&amp;C127&amp;"; "&amp;D127&amp;"; "&amp;W127&amp;"; "&amp;X127&amp;"; "&amp;Y127&amp;"; "&amp;Z127&amp;"; "&amp;AA127&amp;"; "&amp;AB127&amp;"; "&amp;AC127&amp;"; "&amp;U127)</x:f>
        <x:v>proposal.fashion.eyeglasses; eyeglasses; equipment; eyewear; wearable; finished item; manufactured / unresolved; vision; mixed / unresolved; assembly; author direction; </x:v>
      </x:c>
      <x:c r="AE127" s="4" t="str">
        <x:v>From current item description. Proposed uses retain their existing approval status.</x:v>
      </x:c>
      <x:c r="AF127" s="4" t="str">
        <x:v>Finished item</x:v>
      </x:c>
      <x:c r="AG127" s="4" t="str">
        <x:v>Completed gear, vessel, food or tool can stop at its chosen material tier; it need not climb to T4.</x:v>
      </x:c>
      <x:c r="AH127" s="4" t="str">
        <x:v>Unassigned</x:v>
      </x:c>
    </x:row>
    <x:row r="128" ht="90" customHeight="1">
      <x:c r="A128" s="9" t="str">
        <x:v>proposal.fashion.hat</x:v>
      </x:c>
      <x:c r="B128" s="9" t="str">
        <x:v>Hat</x:v>
      </x:c>
      <x:c r="C128" s="9" t="str">
        <x:v>Equipment</x:v>
      </x:c>
      <x:c r="D128" s="9" t="str">
        <x:v>Headwear</x:v>
      </x:c>
      <x:c r="E128" s="9" t="str">
        <x:v>User direction; not implemented</x:v>
      </x:c>
      <x:c r="F128" s="9" t="str">
        <x:v>Rare headwear; fashion variants belong to the very rare expensive fashion economy.</x:v>
      </x:c>
      <x:c r="G128" s="9" t="str">
        <x:v>Unassigned; fit/layering TBD</x:v>
      </x:c>
      <x:c r="H128" s="9" t="str">
        <x:v>Booter-worn concept; spare/transfer policy TBD</x:v>
      </x:c>
      <x:c r="I128" s="13"/>
      <x:c r="J128" s="15"/>
      <x:c r="K128" s="9" t="str">
        <x:v>Specialist crafting/trade candidate; exact acquisition TBD</x:v>
      </x:c>
      <x:c r="L128" s="9" t="str">
        <x:v>Material family: Husk-fiber/fur/hide options proposed; exact construction TBD</x:v>
      </x:c>
      <x:c r="M128" s="9" t="str">
        <x:v>Not implemented</x:v>
      </x:c>
      <x:c r="N128" s="9" t="str">
        <x:v>Hat versus helmet, cloak clearance, shade and decorative function unresolved</x:v>
      </x:c>
      <x:c r="O128" s="47" t="str">
        <x:v>Rare</x:v>
      </x:c>
      <x:c r="P128" s="17"/>
      <x:c r="Q128" s="17"/>
      <x:c r="R128" s="17"/>
      <x:c r="S128" s="17"/>
      <x:c r="T128" s="9" t="str">
        <x:v>Rare by author direction; fashion versions very rare and expensive. Crafting inputs intended high-value trade goods; no numeric price/time/yield assigned.</x:v>
      </x:c>
      <x:c r="U128" s="11" t="str">
        <x:v>fashion</x:v>
      </x:c>
      <x:c r="V128" s="9" t="str">
        <x:v>Direct author direction, October 14, 2026; Docs/WORLD_BASIS.md#material-culture. Clothing exists without cloth; fashion is very rare/expensive and qualifying crafting inputs have high sale-value intent.</x:v>
      </x:c>
      <x:c r="W128" s="4" t="str">
        <x:v>Wearable</x:v>
      </x:c>
      <x:c r="X128" s="4" t="str">
        <x:v>Finished item</x:v>
      </x:c>
      <x:c r="Y128" s="4" t="str">
        <x:v>Manufactured / unresolved</x:v>
      </x:c>
      <x:c r="Z128" s="4" t="str">
        <x:v>Clothing</x:v>
      </x:c>
      <x:c r="AA128" s="4" t="str">
        <x:v>Mixed / unresolved</x:v>
      </x:c>
      <x:c r="AB128" s="4" t="str">
        <x:v>Garment</x:v>
      </x:c>
      <x:c r="AC128" s="4" t="str">
        <x:v>Author direction</x:v>
      </x:c>
      <x:c r="AD128" s="4" t="str">
        <x:f>LOWER(A128&amp;"; "&amp;B128&amp;"; "&amp;C128&amp;"; "&amp;D128&amp;"; "&amp;W128&amp;"; "&amp;X128&amp;"; "&amp;Y128&amp;"; "&amp;Z128&amp;"; "&amp;AA128&amp;"; "&amp;AB128&amp;"; "&amp;AC128&amp;"; "&amp;U128)</x:f>
        <x:v>proposal.fashion.hat; hat; equipment; headwear; wearable; finished item; manufactured / unresolved; clothing; mixed / unresolved; garment; author direction; fashion</x:v>
      </x:c>
      <x:c r="AE128" s="4" t="str">
        <x:v>From current item description. Proposed uses retain their existing approval status.</x:v>
      </x:c>
      <x:c r="AF128" s="4" t="str">
        <x:v>Finished item</x:v>
      </x:c>
      <x:c r="AG128" s="4" t="str">
        <x:v>Completed gear, vessel, food or tool can stop at its chosen material tier; it need not climb to T4.</x:v>
      </x:c>
      <x:c r="AH128" s="4" t="str">
        <x:v>Unassigned</x:v>
      </x:c>
    </x:row>
    <x:row r="129" ht="90" customHeight="1">
      <x:c r="A129" s="9" t="str">
        <x:v>proposal.fashion.husk_garment</x:v>
      </x:c>
      <x:c r="B129" s="9" t="str">
        <x:v>Elaborate husk-fiber wear</x:v>
      </x:c>
      <x:c r="C129" s="9" t="str">
        <x:v>Equipment</x:v>
      </x:c>
      <x:c r="D129" s="9" t="str">
        <x:v>Fashion garment</x:v>
      </x:c>
      <x:c r="E129" s="9" t="str">
        <x:v>User direction; not implemented</x:v>
      </x:c>
      <x:c r="F129" s="9" t="str">
        <x:v>Very rare expensive fashion clothing using husk fibers.</x:v>
      </x:c>
      <x:c r="G129" s="9" t="str">
        <x:v>Unassigned; fit/layering TBD</x:v>
      </x:c>
      <x:c r="H129" s="9" t="str">
        <x:v>Booter-worn concept; spare/transfer policy TBD</x:v>
      </x:c>
      <x:c r="I129" s="13"/>
      <x:c r="J129" s="15"/>
      <x:c r="K129" s="9" t="str">
        <x:v>Specialist crafting/trade candidate; exact acquisition TBD</x:v>
      </x:c>
      <x:c r="L129" s="9" t="str">
        <x:v>Material family: Husk-fiber material; no cloth</x:v>
      </x:c>
      <x:c r="M129" s="9" t="str">
        <x:v>Not implemented</x:v>
      </x:c>
      <x:c r="N129" s="9" t="str">
        <x:v>Luxury workmanship and large material/time demand; does not classify all everyday clothing as rare. Hide/fur processing still has extremely low yield.</x:v>
      </x:c>
      <x:c r="O129" s="47" t="str">
        <x:v>Very rare</x:v>
      </x:c>
      <x:c r="P129" s="17"/>
      <x:c r="Q129" s="17"/>
      <x:c r="R129" s="17"/>
      <x:c r="S129" s="17"/>
      <x:c r="T129" s="9" t="str">
        <x:v>Elaborate fashion variant. Ordinary simple wraps and metal-based wear with minimal fur are a separate everyday baseline.</x:v>
      </x:c>
      <x:c r="U129" s="11"/>
      <x:c r="V129" s="9" t="str">
        <x:v>Direct author clarification, October 14, 2026; Docs/WORLD_BASIS.md#material-culture. Ordinary wear: simple wraps, metal chainmail and practical metal-based pieces with minimal fur. Elaborate fashion remains rare/expensive; no cloth.</x:v>
      </x:c>
      <x:c r="W129" s="4" t="str">
        <x:v>Wearable</x:v>
      </x:c>
      <x:c r="X129" s="4" t="str">
        <x:v>Finished item</x:v>
      </x:c>
      <x:c r="Y129" s="4" t="str">
        <x:v>Manufactured / unresolved</x:v>
      </x:c>
      <x:c r="Z129" s="4" t="str">
        <x:v>Fashion</x:v>
      </x:c>
      <x:c r="AA129" s="4" t="str">
        <x:v>Husk fiber</x:v>
      </x:c>
      <x:c r="AB129" s="4" t="str">
        <x:v>Garment</x:v>
      </x:c>
      <x:c r="AC129" s="4" t="str">
        <x:v>Author direction</x:v>
      </x:c>
      <x:c r="AD129" s="4" t="str">
        <x:f>LOWER(A129&amp;"; "&amp;B129&amp;"; "&amp;C129&amp;"; "&amp;D129&amp;"; "&amp;W129&amp;"; "&amp;X129&amp;"; "&amp;Y129&amp;"; "&amp;Z129&amp;"; "&amp;AA129&amp;"; "&amp;AB129&amp;"; "&amp;AC129&amp;"; "&amp;U129)</x:f>
        <x:v>proposal.fashion.husk_garment; elaborate husk-fiber wear; equipment; fashion garment; wearable; finished item; manufactured / unresolved; fashion; husk fiber; garment; author direction; </x:v>
      </x:c>
      <x:c r="AE129" s="4" t="str">
        <x:v>From current item description. Proposed uses retain their existing approval status.</x:v>
      </x:c>
      <x:c r="AF129" s="4" t="str">
        <x:v>Finished item</x:v>
      </x:c>
      <x:c r="AG129" s="4" t="str">
        <x:v>Completed gear, vessel, food or tool can stop at its chosen material tier; it need not climb to T4.</x:v>
      </x:c>
      <x:c r="AH129" s="4" t="str">
        <x:v>Unassigned</x:v>
      </x:c>
    </x:row>
    <x:row r="130" ht="90" customHeight="1">
      <x:c r="A130" s="9" t="str">
        <x:v>proposal.fashion.fur_garment</x:v>
      </x:c>
      <x:c r="B130" s="9" t="str">
        <x:v>Elaborate fur wear</x:v>
      </x:c>
      <x:c r="C130" s="9" t="str">
        <x:v>Equipment</x:v>
      </x:c>
      <x:c r="D130" s="9" t="str">
        <x:v>Fashion garment</x:v>
      </x:c>
      <x:c r="E130" s="9" t="str">
        <x:v>User direction; not implemented</x:v>
      </x:c>
      <x:c r="F130" s="9" t="str">
        <x:v>Very rare expensive fashion clothing using animal fur.</x:v>
      </x:c>
      <x:c r="G130" s="9" t="str">
        <x:v>Unassigned; fit/layering TBD</x:v>
      </x:c>
      <x:c r="H130" s="9" t="str">
        <x:v>Booter-worn concept; spare/transfer policy TBD</x:v>
      </x:c>
      <x:c r="I130" s="13"/>
      <x:c r="J130" s="15"/>
      <x:c r="K130" s="9" t="str">
        <x:v>Specialist crafting/trade candidate; exact acquisition TBD</x:v>
      </x:c>
      <x:c r="L130" s="9" t="str">
        <x:v>Material family: Animal fur; supporting material TBD; no cloth</x:v>
      </x:c>
      <x:c r="M130" s="9" t="str">
        <x:v>Not implemented</x:v>
      </x:c>
      <x:c r="N130" s="9" t="str">
        <x:v>Luxury workmanship and large material/time demand; does not classify all everyday clothing as rare. Hide/fur processing still has extremely low yield.</x:v>
      </x:c>
      <x:c r="O130" s="47" t="str">
        <x:v>Very rare</x:v>
      </x:c>
      <x:c r="P130" s="17"/>
      <x:c r="Q130" s="17"/>
      <x:c r="R130" s="17"/>
      <x:c r="S130" s="17"/>
      <x:c r="T130" s="9" t="str">
        <x:v>Elaborate fashion variant. Ordinary simple wraps and metal-based wear with minimal fur are a separate everyday baseline.</x:v>
      </x:c>
      <x:c r="U130" s="11"/>
      <x:c r="V130" s="9" t="str">
        <x:v>Direct author clarification, October 14, 2026; Docs/WORLD_BASIS.md#material-culture. Ordinary wear: simple wraps, metal chainmail and practical metal-based pieces with minimal fur. Elaborate fashion remains rare/expensive; no cloth.</x:v>
      </x:c>
      <x:c r="W130" s="4" t="str">
        <x:v>Wearable</x:v>
      </x:c>
      <x:c r="X130" s="4" t="str">
        <x:v>Finished item</x:v>
      </x:c>
      <x:c r="Y130" s="4" t="str">
        <x:v>Manufactured / unresolved</x:v>
      </x:c>
      <x:c r="Z130" s="4" t="str">
        <x:v>Fashion</x:v>
      </x:c>
      <x:c r="AA130" s="4" t="str">
        <x:v>Fur</x:v>
      </x:c>
      <x:c r="AB130" s="4" t="str">
        <x:v>Garment</x:v>
      </x:c>
      <x:c r="AC130" s="4" t="str">
        <x:v>Author direction</x:v>
      </x:c>
      <x:c r="AD130" s="4" t="str">
        <x:f>LOWER(A130&amp;"; "&amp;B130&amp;"; "&amp;C130&amp;"; "&amp;D130&amp;"; "&amp;W130&amp;"; "&amp;X130&amp;"; "&amp;Y130&amp;"; "&amp;Z130&amp;"; "&amp;AA130&amp;"; "&amp;AB130&amp;"; "&amp;AC130&amp;"; "&amp;U130)</x:f>
        <x:v>proposal.fashion.fur_garment; elaborate fur wear; equipment; fashion garment; wearable; finished item; manufactured / unresolved; fashion; fur; garment; author direction; </x:v>
      </x:c>
      <x:c r="AE130" s="4" t="str">
        <x:v>From current item description. Proposed uses retain their existing approval status.</x:v>
      </x:c>
      <x:c r="AF130" s="4" t="str">
        <x:v>Finished item</x:v>
      </x:c>
      <x:c r="AG130" s="4" t="str">
        <x:v>Completed gear, vessel, food or tool can stop at its chosen material tier; it need not climb to T4.</x:v>
      </x:c>
      <x:c r="AH130" s="4" t="str">
        <x:v>Unassigned</x:v>
      </x:c>
    </x:row>
    <x:row r="131" ht="90" customHeight="1">
      <x:c r="A131" s="9" t="str">
        <x:v>proposal.fashion.hide_garment</x:v>
      </x:c>
      <x:c r="B131" s="9" t="str">
        <x:v>Elaborate hide wear</x:v>
      </x:c>
      <x:c r="C131" s="9" t="str">
        <x:v>Equipment</x:v>
      </x:c>
      <x:c r="D131" s="9" t="str">
        <x:v>Fashion garment</x:v>
      </x:c>
      <x:c r="E131" s="9" t="str">
        <x:v>User direction; not implemented</x:v>
      </x:c>
      <x:c r="F131" s="9" t="str">
        <x:v>Very rare expensive fashion clothing using processed hides.</x:v>
      </x:c>
      <x:c r="G131" s="9" t="str">
        <x:v>Unassigned; fit/layering TBD</x:v>
      </x:c>
      <x:c r="H131" s="9" t="str">
        <x:v>Booter-worn concept; spare/transfer policy TBD</x:v>
      </x:c>
      <x:c r="I131" s="13"/>
      <x:c r="J131" s="15"/>
      <x:c r="K131" s="9" t="str">
        <x:v>Specialist crafting/trade candidate; exact acquisition TBD</x:v>
      </x:c>
      <x:c r="L131" s="9" t="str">
        <x:v>Material family: Processed hide; supporting material TBD; no cloth</x:v>
      </x:c>
      <x:c r="M131" s="9" t="str">
        <x:v>Not implemented</x:v>
      </x:c>
      <x:c r="N131" s="9" t="str">
        <x:v>Luxury workmanship and large material/time demand; does not classify all everyday clothing as rare. Hide/fur processing still has extremely low yield.</x:v>
      </x:c>
      <x:c r="O131" s="47" t="str">
        <x:v>Very rare</x:v>
      </x:c>
      <x:c r="P131" s="17"/>
      <x:c r="Q131" s="17"/>
      <x:c r="R131" s="17"/>
      <x:c r="S131" s="17"/>
      <x:c r="T131" s="9" t="str">
        <x:v>Elaborate fashion variant. Ordinary simple wraps and metal-based wear with minimal fur are a separate everyday baseline.</x:v>
      </x:c>
      <x:c r="U131" s="11"/>
      <x:c r="V131" s="9" t="str">
        <x:v>Direct author clarification, October 14, 2026; Docs/WORLD_BASIS.md#material-culture. Ordinary wear: simple wraps, metal chainmail and practical metal-based pieces with minimal fur. Elaborate fashion remains rare/expensive; no cloth.</x:v>
      </x:c>
      <x:c r="W131" s="4" t="str">
        <x:v>Wearable</x:v>
      </x:c>
      <x:c r="X131" s="4" t="str">
        <x:v>Finished item</x:v>
      </x:c>
      <x:c r="Y131" s="4" t="str">
        <x:v>Manufactured / unresolved</x:v>
      </x:c>
      <x:c r="Z131" s="4" t="str">
        <x:v>Fashion</x:v>
      </x:c>
      <x:c r="AA131" s="4" t="str">
        <x:v>Hide</x:v>
      </x:c>
      <x:c r="AB131" s="4" t="str">
        <x:v>Garment</x:v>
      </x:c>
      <x:c r="AC131" s="4" t="str">
        <x:v>Author direction</x:v>
      </x:c>
      <x:c r="AD131" s="4" t="str">
        <x:f>LOWER(A131&amp;"; "&amp;B131&amp;"; "&amp;C131&amp;"; "&amp;D131&amp;"; "&amp;W131&amp;"; "&amp;X131&amp;"; "&amp;Y131&amp;"; "&amp;Z131&amp;"; "&amp;AA131&amp;"; "&amp;AB131&amp;"; "&amp;AC131&amp;"; "&amp;U131)</x:f>
        <x:v>proposal.fashion.hide_garment; elaborate hide wear; equipment; fashion garment; wearable; finished item; manufactured / unresolved; fashion; hide; garment; author direction; </x:v>
      </x:c>
      <x:c r="AE131" s="4" t="str">
        <x:v>From current item description. Proposed uses retain their existing approval status.</x:v>
      </x:c>
      <x:c r="AF131" s="4" t="str">
        <x:v>Finished item</x:v>
      </x:c>
      <x:c r="AG131" s="4" t="str">
        <x:v>Completed gear, vessel, food or tool can stop at its chosen material tier; it need not climb to T4.</x:v>
      </x:c>
      <x:c r="AH131" s="4" t="str">
        <x:v>Unassigned</x:v>
      </x:c>
    </x:row>
    <x:row r="132" ht="90" customHeight="1">
      <x:c r="A132" s="9" t="str">
        <x:v>proposal.gem.clear_quartz</x:v>
      </x:c>
      <x:c r="B132" s="9" t="str">
        <x:v>Clear quartz</x:v>
      </x:c>
      <x:c r="C132" s="9" t="str">
        <x:v>Resources</x:v>
      </x:c>
      <x:c r="D132" s="9" t="str">
        <x:v>Gemstone concept</x:v>
      </x:c>
      <x:c r="E132" s="9" t="str">
        <x:v>New proposal</x:v>
      </x:c>
      <x:c r="F132" s="9" t="str">
        <x:v>Proposed appearance: Colorless / clear crystal. Potential use: Small ornaments, polished inserts and premium clear stonework</x:v>
      </x:c>
      <x:c r="G132" s="9" t="str">
        <x:v>None</x:v>
      </x:c>
      <x:c r="H132" s="9" t="str">
        <x:v>Gathered raw gemstone: Legger / local storage</x:v>
      </x:c>
      <x:c r="I132" s="13"/>
      <x:c r="J132" s="15"/>
      <x:c r="K132" s="9" t="str">
        <x:v>Authored ancient mineral-bearing strata candidate; no deposit placement approved</x:v>
      </x:c>
      <x:c r="L132" s="9" t="str">
        <x:v>Sorting, cutting, polishing and setting are future craft concepts</x:v>
      </x:c>
      <x:c r="M132" s="9" t="str">
        <x:v>Not implemented</x:v>
      </x:c>
      <x:c r="N132" s="9" t="str">
        <x:v>Keep distinct from loose silica grit and manufactured glass; optical function is not assumed.</x:v>
      </x:c>
      <x:c r="O132" s="48"/>
      <x:c r="P132" s="48"/>
      <x:c r="Q132" s="48"/>
      <x:c r="R132" s="48"/>
      <x:c r="S132" s="48"/>
      <x:c r="T132" s="9" t="str">
        <x:v>Gemstones exist by author direction. This mineral choice, palette, grade, cut and use are proposals. Fashion-suitable inputs intended valuable; no universal rarity or numeric price assigned.</x:v>
      </x:c>
      <x:c r="U132" s="11"/>
      <x:c r="V132" s="9" t="str">
        <x:v>Author direction October 14, 2026 establishes gemstones generally. Proposed real-mineral inspiration: https://www.gia.edu/gem-encyclopedia; no claim of Death Valley occurrence or game canon for this species.</x:v>
      </x:c>
      <x:c r="W132" s="4" t="str">
        <x:v>Gem material</x:v>
      </x:c>
      <x:c r="X132" s="4" t="str">
        <x:v>Unresolved</x:v>
      </x:c>
      <x:c r="Y132" s="4" t="str">
        <x:v>Geological</x:v>
      </x:c>
      <x:c r="Z132" s="4" t="str">
        <x:v>Decoration</x:v>
      </x:c>
      <x:c r="AA132" s="4" t="str">
        <x:v>Gemstone</x:v>
      </x:c>
      <x:c r="AB132" s="4" t="str">
        <x:v>Unresolved</x:v>
      </x:c>
      <x:c r="AC132" s="4" t="str">
        <x:v>Proposal</x:v>
      </x:c>
      <x:c r="AD132" s="4" t="str">
        <x:f>LOWER(A132&amp;"; "&amp;B132&amp;"; "&amp;C132&amp;"; "&amp;D132&amp;"; "&amp;W132&amp;"; "&amp;X132&amp;"; "&amp;Y132&amp;"; "&amp;Z132&amp;"; "&amp;AA132&amp;"; "&amp;AB132&amp;"; "&amp;AC132&amp;"; "&amp;U132)</x:f>
        <x:v>proposal.gem.clear_quartz; clear quartz; resources; gemstone concept; gem material; unresolved; geological; decoration; gemstone; unresolved; proposal; </x:v>
      </x:c>
      <x:c r="AE132" s="4" t="str">
        <x:v>From current item description. Proposed uses retain their existing approval status.</x:v>
      </x:c>
      <x:c r="AF132" s="4" t="str">
        <x:v>T0</x:v>
      </x:c>
      <x:c r="AG132" s="4" t="str">
        <x:v>Provisional raw-stone input interpretation; existing cut state remains unresolved.</x:v>
      </x:c>
      <x:c r="AH132" s="4" t="str">
        <x:v>Not applicable</x:v>
      </x:c>
    </x:row>
    <x:row r="133" ht="90" customHeight="1">
      <x:c r="A133" s="9" t="str">
        <x:v>proposal.gem.smoky_quartz</x:v>
      </x:c>
      <x:c r="B133" s="9" t="str">
        <x:v>Smoky quartz</x:v>
      </x:c>
      <x:c r="C133" s="9" t="str">
        <x:v>Resources</x:v>
      </x:c>
      <x:c r="D133" s="9" t="str">
        <x:v>Gemstone concept</x:v>
      </x:c>
      <x:c r="E133" s="9" t="str">
        <x:v>New proposal</x:v>
      </x:c>
      <x:c r="F133" s="9" t="str">
        <x:v>Proposed appearance: Smoke-brown through near-black palette. Potential use: Dark ornaments, clasps and contrasting inlays</x:v>
      </x:c>
      <x:c r="G133" s="9" t="str">
        <x:v>None</x:v>
      </x:c>
      <x:c r="H133" s="9" t="str">
        <x:v>Gathered raw gemstone: Legger / local storage</x:v>
      </x:c>
      <x:c r="I133" s="13"/>
      <x:c r="J133" s="15"/>
      <x:c r="K133" s="9" t="str">
        <x:v>Authored ancient mineral-bearing strata candidate; no deposit placement approved</x:v>
      </x:c>
      <x:c r="L133" s="9" t="str">
        <x:v>Sorting, cutting, polishing and setting are future craft concepts</x:v>
      </x:c>
      <x:c r="M133" s="9" t="str">
        <x:v>Not implemented</x:v>
      </x:c>
      <x:c r="N133" s="9" t="str">
        <x:v>Color/clarity grades and cutting uses are proposals; no storm or charge effect inferred.</x:v>
      </x:c>
      <x:c r="O133" s="48"/>
      <x:c r="P133" s="48"/>
      <x:c r="Q133" s="48"/>
      <x:c r="R133" s="48"/>
      <x:c r="S133" s="48"/>
      <x:c r="T133" s="9" t="str">
        <x:v>Gemstones exist by author direction. This mineral choice, palette, grade, cut and use are proposals. Fashion-suitable inputs intended valuable; no universal rarity or numeric price assigned.</x:v>
      </x:c>
      <x:c r="U133" s="11"/>
      <x:c r="V133" s="9" t="str">
        <x:v>Author direction October 14, 2026 establishes gemstones generally. Proposed real-mineral inspiration: https://www.gia.edu/gem-encyclopedia; no claim of Death Valley occurrence or game canon for this species.</x:v>
      </x:c>
      <x:c r="W133" s="4" t="str">
        <x:v>Gem material</x:v>
      </x:c>
      <x:c r="X133" s="4" t="str">
        <x:v>Unresolved</x:v>
      </x:c>
      <x:c r="Y133" s="4" t="str">
        <x:v>Geological</x:v>
      </x:c>
      <x:c r="Z133" s="4" t="str">
        <x:v>Decoration</x:v>
      </x:c>
      <x:c r="AA133" s="4" t="str">
        <x:v>Gemstone</x:v>
      </x:c>
      <x:c r="AB133" s="4" t="str">
        <x:v>Unresolved</x:v>
      </x:c>
      <x:c r="AC133" s="4" t="str">
        <x:v>Proposal</x:v>
      </x:c>
      <x:c r="AD133" s="4" t="str">
        <x:f>LOWER(A133&amp;"; "&amp;B133&amp;"; "&amp;C133&amp;"; "&amp;D133&amp;"; "&amp;W133&amp;"; "&amp;X133&amp;"; "&amp;Y133&amp;"; "&amp;Z133&amp;"; "&amp;AA133&amp;"; "&amp;AB133&amp;"; "&amp;AC133&amp;"; "&amp;U133)</x:f>
        <x:v>proposal.gem.smoky_quartz; smoky quartz; resources; gemstone concept; gem material; unresolved; geological; decoration; gemstone; unresolved; proposal; </x:v>
      </x:c>
      <x:c r="AE133" s="4" t="str">
        <x:v>From current item description. Proposed uses retain their existing approval status.</x:v>
      </x:c>
      <x:c r="AF133" s="4" t="str">
        <x:v>T0</x:v>
      </x:c>
      <x:c r="AG133" s="4" t="str">
        <x:v>Provisional raw-stone input interpretation; existing cut state remains unresolved.</x:v>
      </x:c>
      <x:c r="AH133" s="4" t="str">
        <x:v>Not applicable</x:v>
      </x:c>
    </x:row>
    <x:row r="134" ht="90" customHeight="1">
      <x:c r="A134" s="9" t="str">
        <x:v>proposal.gem.garnet</x:v>
      </x:c>
      <x:c r="B134" s="9" t="str">
        <x:v>Garnet</x:v>
      </x:c>
      <x:c r="C134" s="9" t="str">
        <x:v>Resources</x:v>
      </x:c>
      <x:c r="D134" s="9" t="str">
        <x:v>Gemstone concept</x:v>
      </x:c>
      <x:c r="E134" s="9" t="str">
        <x:v>New proposal</x:v>
      </x:c>
      <x:c r="F134" s="9" t="str">
        <x:v>Proposed appearance: Deep red / rust / orange palette. Potential use: Fashion settings, clasps and detailed inlay</x:v>
      </x:c>
      <x:c r="G134" s="9" t="str">
        <x:v>None</x:v>
      </x:c>
      <x:c r="H134" s="9" t="str">
        <x:v>Gathered raw gemstone: Legger / local storage</x:v>
      </x:c>
      <x:c r="I134" s="13"/>
      <x:c r="J134" s="15"/>
      <x:c r="K134" s="9" t="str">
        <x:v>Authored ancient mineral-bearing strata candidate; no deposit placement approved</x:v>
      </x:c>
      <x:c r="L134" s="9" t="str">
        <x:v>Sorting, cutting, polishing and setting are future craft concepts</x:v>
      </x:c>
      <x:c r="M134" s="9" t="str">
        <x:v>Not implemented</x:v>
      </x:c>
      <x:c r="N134" s="9" t="str">
        <x:v>Garnet is a mineral group; exact species and regional source undecided.</x:v>
      </x:c>
      <x:c r="O134" s="48"/>
      <x:c r="P134" s="48"/>
      <x:c r="Q134" s="48"/>
      <x:c r="R134" s="48"/>
      <x:c r="S134" s="48"/>
      <x:c r="T134" s="9" t="str">
        <x:v>Gemstones exist by author direction. This mineral choice, palette, grade, cut and use are proposals. Fashion-suitable inputs intended valuable; no universal rarity or numeric price assigned.</x:v>
      </x:c>
      <x:c r="U134" s="11"/>
      <x:c r="V134" s="9" t="str">
        <x:v>Author direction October 14, 2026 establishes gemstones generally. Proposed real-mineral inspiration: https://www.gia.edu/gem-encyclopedia; no claim of Death Valley occurrence or game canon for this species.</x:v>
      </x:c>
      <x:c r="W134" s="4" t="str">
        <x:v>Gem material</x:v>
      </x:c>
      <x:c r="X134" s="4" t="str">
        <x:v>Unresolved</x:v>
      </x:c>
      <x:c r="Y134" s="4" t="str">
        <x:v>Geological</x:v>
      </x:c>
      <x:c r="Z134" s="4" t="str">
        <x:v>Decoration</x:v>
      </x:c>
      <x:c r="AA134" s="4" t="str">
        <x:v>Gemstone</x:v>
      </x:c>
      <x:c r="AB134" s="4" t="str">
        <x:v>Unresolved</x:v>
      </x:c>
      <x:c r="AC134" s="4" t="str">
        <x:v>Proposal</x:v>
      </x:c>
      <x:c r="AD134" s="4" t="str">
        <x:f>LOWER(A134&amp;"; "&amp;B134&amp;"; "&amp;C134&amp;"; "&amp;D134&amp;"; "&amp;W134&amp;"; "&amp;X134&amp;"; "&amp;Y134&amp;"; "&amp;Z134&amp;"; "&amp;AA134&amp;"; "&amp;AB134&amp;"; "&amp;AC134&amp;"; "&amp;U134)</x:f>
        <x:v>proposal.gem.garnet; garnet; resources; gemstone concept; gem material; unresolved; geological; decoration; gemstone; unresolved; proposal; </x:v>
      </x:c>
      <x:c r="AE134" s="4" t="str">
        <x:v>From current item description. Proposed uses retain their existing approval status.</x:v>
      </x:c>
      <x:c r="AF134" s="4" t="str">
        <x:v>T0</x:v>
      </x:c>
      <x:c r="AG134" s="4" t="str">
        <x:v>Provisional raw-stone input interpretation; existing cut state remains unresolved.</x:v>
      </x:c>
      <x:c r="AH134" s="4" t="str">
        <x:v>Not applicable</x:v>
      </x:c>
    </x:row>
    <x:row r="135" ht="90" customHeight="1">
      <x:c r="A135" s="9" t="str">
        <x:v>proposal.gem.spinel</x:v>
      </x:c>
      <x:c r="B135" s="9" t="str">
        <x:v>Spinel</x:v>
      </x:c>
      <x:c r="C135" s="9" t="str">
        <x:v>Resources</x:v>
      </x:c>
      <x:c r="D135" s="9" t="str">
        <x:v>Gemstone concept</x:v>
      </x:c>
      <x:c r="E135" s="9" t="str">
        <x:v>New proposal</x:v>
      </x:c>
      <x:c r="F135" s="9" t="str">
        <x:v>Proposed appearance: Black, with other colors left open. Potential use: High-contrast accents and polished dark settings</x:v>
      </x:c>
      <x:c r="G135" s="9" t="str">
        <x:v>None</x:v>
      </x:c>
      <x:c r="H135" s="9" t="str">
        <x:v>Gathered raw gemstone: Legger / local storage</x:v>
      </x:c>
      <x:c r="I135" s="13"/>
      <x:c r="J135" s="15"/>
      <x:c r="K135" s="9" t="str">
        <x:v>Authored ancient mineral-bearing strata candidate; no deposit placement approved</x:v>
      </x:c>
      <x:c r="L135" s="9" t="str">
        <x:v>Sorting, cutting, polishing and setting are future craft concepts</x:v>
      </x:c>
      <x:c r="M135" s="9" t="str">
        <x:v>Not implemented</x:v>
      </x:c>
      <x:c r="N135" s="9" t="str">
        <x:v>Proposed black spinel direction; other colors need not become separate item IDs.</x:v>
      </x:c>
      <x:c r="O135" s="48"/>
      <x:c r="P135" s="48"/>
      <x:c r="Q135" s="48"/>
      <x:c r="R135" s="48"/>
      <x:c r="S135" s="48"/>
      <x:c r="T135" s="9" t="str">
        <x:v>Gemstones exist by author direction. This mineral choice, palette, grade, cut and use are proposals. Fashion-suitable inputs intended valuable; no universal rarity or numeric price assigned.</x:v>
      </x:c>
      <x:c r="U135" s="11"/>
      <x:c r="V135" s="9" t="str">
        <x:v>Author direction October 14, 2026 establishes gemstones generally. Proposed real-mineral inspiration: https://my.gia.edu/gems-gemology/winter-2022-colored-stones-unearthed; no claim of Death Valley occurrence or game canon for this species.</x:v>
      </x:c>
      <x:c r="W135" s="4" t="str">
        <x:v>Gem material</x:v>
      </x:c>
      <x:c r="X135" s="4" t="str">
        <x:v>Unresolved</x:v>
      </x:c>
      <x:c r="Y135" s="4" t="str">
        <x:v>Geological</x:v>
      </x:c>
      <x:c r="Z135" s="4" t="str">
        <x:v>Decoration</x:v>
      </x:c>
      <x:c r="AA135" s="4" t="str">
        <x:v>Gemstone</x:v>
      </x:c>
      <x:c r="AB135" s="4" t="str">
        <x:v>Unresolved</x:v>
      </x:c>
      <x:c r="AC135" s="4" t="str">
        <x:v>Proposal</x:v>
      </x:c>
      <x:c r="AD135" s="4" t="str">
        <x:f>LOWER(A135&amp;"; "&amp;B135&amp;"; "&amp;C135&amp;"; "&amp;D135&amp;"; "&amp;W135&amp;"; "&amp;X135&amp;"; "&amp;Y135&amp;"; "&amp;Z135&amp;"; "&amp;AA135&amp;"; "&amp;AB135&amp;"; "&amp;AC135&amp;"; "&amp;U135)</x:f>
        <x:v>proposal.gem.spinel; spinel; resources; gemstone concept; gem material; unresolved; geological; decoration; gemstone; unresolved; proposal; </x:v>
      </x:c>
      <x:c r="AE135" s="4" t="str">
        <x:v>From current item description. Proposed uses retain their existing approval status.</x:v>
      </x:c>
      <x:c r="AF135" s="4" t="str">
        <x:v>T0</x:v>
      </x:c>
      <x:c r="AG135" s="4" t="str">
        <x:v>Provisional raw-stone input interpretation; existing cut state remains unresolved.</x:v>
      </x:c>
      <x:c r="AH135" s="4" t="str">
        <x:v>Not applicable</x:v>
      </x:c>
    </x:row>
    <x:row r="136" ht="90" customHeight="1">
      <x:c r="A136" s="9" t="str">
        <x:v>proposal.gem.peridot</x:v>
      </x:c>
      <x:c r="B136" s="9" t="str">
        <x:v>Peridot</x:v>
      </x:c>
      <x:c r="C136" s="9" t="str">
        <x:v>Resources</x:v>
      </x:c>
      <x:c r="D136" s="9" t="str">
        <x:v>Gemstone concept</x:v>
      </x:c>
      <x:c r="E136" s="9" t="str">
        <x:v>New proposal</x:v>
      </x:c>
      <x:c r="F136" s="9" t="str">
        <x:v>Proposed appearance: Yellow-green / olive palette. Potential use: Distinctive green accents against iron-colored materials</x:v>
      </x:c>
      <x:c r="G136" s="9" t="str">
        <x:v>None</x:v>
      </x:c>
      <x:c r="H136" s="9" t="str">
        <x:v>Gathered raw gemstone: Legger / local storage</x:v>
      </x:c>
      <x:c r="I136" s="13"/>
      <x:c r="J136" s="15"/>
      <x:c r="K136" s="9" t="str">
        <x:v>Authored ancient mineral-bearing strata candidate; no deposit placement approved</x:v>
      </x:c>
      <x:c r="L136" s="9" t="str">
        <x:v>Sorting, cutting, polishing and setting are future craft concepts</x:v>
      </x:c>
      <x:c r="M136" s="9" t="str">
        <x:v>Not implemented</x:v>
      </x:c>
      <x:c r="N136" s="9" t="str">
        <x:v>Proposed geological gem candidate; not plant material or a source of greenery.</x:v>
      </x:c>
      <x:c r="O136" s="48"/>
      <x:c r="P136" s="48"/>
      <x:c r="Q136" s="48"/>
      <x:c r="R136" s="48"/>
      <x:c r="S136" s="48"/>
      <x:c r="T136" s="9" t="str">
        <x:v>Gemstones exist by author direction. This mineral choice, palette, grade, cut and use are proposals. Fashion-suitable inputs intended valuable; no universal rarity or numeric price assigned.</x:v>
      </x:c>
      <x:c r="U136" s="11"/>
      <x:c r="V136" s="9" t="str">
        <x:v>Author direction October 14, 2026 establishes gemstones generally. Proposed real-mineral inspiration: https://my.gia.edu/gems-gemology/winter-2022-colored-stones-unearthed; no claim of Death Valley occurrence or game canon for this species.</x:v>
      </x:c>
      <x:c r="W136" s="4" t="str">
        <x:v>Gem material</x:v>
      </x:c>
      <x:c r="X136" s="4" t="str">
        <x:v>Unresolved</x:v>
      </x:c>
      <x:c r="Y136" s="4" t="str">
        <x:v>Geological</x:v>
      </x:c>
      <x:c r="Z136" s="4" t="str">
        <x:v>Decoration</x:v>
      </x:c>
      <x:c r="AA136" s="4" t="str">
        <x:v>Gemstone</x:v>
      </x:c>
      <x:c r="AB136" s="4" t="str">
        <x:v>Unresolved</x:v>
      </x:c>
      <x:c r="AC136" s="4" t="str">
        <x:v>Proposal</x:v>
      </x:c>
      <x:c r="AD136" s="4" t="str">
        <x:f>LOWER(A136&amp;"; "&amp;B136&amp;"; "&amp;C136&amp;"; "&amp;D136&amp;"; "&amp;W136&amp;"; "&amp;X136&amp;"; "&amp;Y136&amp;"; "&amp;Z136&amp;"; "&amp;AA136&amp;"; "&amp;AB136&amp;"; "&amp;AC136&amp;"; "&amp;U136)</x:f>
        <x:v>proposal.gem.peridot; peridot; resources; gemstone concept; gem material; unresolved; geological; decoration; gemstone; unresolved; proposal; </x:v>
      </x:c>
      <x:c r="AE136" s="4" t="str">
        <x:v>From current item description. Proposed uses retain their existing approval status.</x:v>
      </x:c>
      <x:c r="AF136" s="4" t="str">
        <x:v>T0</x:v>
      </x:c>
      <x:c r="AG136" s="4" t="str">
        <x:v>Provisional raw-stone input interpretation; existing cut state remains unresolved.</x:v>
      </x:c>
      <x:c r="AH136" s="4" t="str">
        <x:v>Not applicable</x:v>
      </x:c>
    </x:row>
    <x:row r="137" ht="90" customHeight="1">
      <x:c r="A137" s="9" t="str">
        <x:v>proposal.gem.corundum</x:v>
      </x:c>
      <x:c r="B137" s="9" t="str">
        <x:v>Ruby / sapphire corundum</x:v>
      </x:c>
      <x:c r="C137" s="9" t="str">
        <x:v>Resources</x:v>
      </x:c>
      <x:c r="D137" s="9" t="str">
        <x:v>Gemstone concept</x:v>
      </x:c>
      <x:c r="E137" s="9" t="str">
        <x:v>New proposal</x:v>
      </x:c>
      <x:c r="F137" s="9" t="str">
        <x:v>Proposed appearance: Red ruby and blue or other sapphire palette. Potential use: Fine settings and high-craft decorative work</x:v>
      </x:c>
      <x:c r="G137" s="9" t="str">
        <x:v>None</x:v>
      </x:c>
      <x:c r="H137" s="9" t="str">
        <x:v>Gathered raw gemstone: Legger / local storage</x:v>
      </x:c>
      <x:c r="I137" s="13"/>
      <x:c r="J137" s="15"/>
      <x:c r="K137" s="9" t="str">
        <x:v>Authored ancient mineral-bearing strata candidate; no deposit placement approved</x:v>
      </x:c>
      <x:c r="L137" s="9" t="str">
        <x:v>Sorting, cutting, polishing and setting are future craft concepts</x:v>
      </x:c>
      <x:c r="M137" s="9" t="str">
        <x:v>Not implemented</x:v>
      </x:c>
      <x:c r="N137" s="9" t="str">
        <x:v>One family for now; ruby/sapphire variants can split if useful. No armor or tool effect assigned.</x:v>
      </x:c>
      <x:c r="O137" s="48"/>
      <x:c r="P137" s="48"/>
      <x:c r="Q137" s="48"/>
      <x:c r="R137" s="48"/>
      <x:c r="S137" s="48"/>
      <x:c r="T137" s="9" t="str">
        <x:v>Gemstones exist by author direction. This mineral choice, palette, grade, cut and use are proposals. Fashion-suitable inputs intended valuable; no universal rarity or numeric price assigned.</x:v>
      </x:c>
      <x:c r="U137" s="11"/>
      <x:c r="V137" s="9" t="str">
        <x:v>Author direction October 14, 2026 establishes gemstones generally. Proposed real-mineral inspiration: https://my.gia.edu/gems-gemology/winter-2022-colored-stones-unearthed; no claim of Death Valley occurrence or game canon for this species.</x:v>
      </x:c>
      <x:c r="W137" s="4" t="str">
        <x:v>Gem material</x:v>
      </x:c>
      <x:c r="X137" s="4" t="str">
        <x:v>Unresolved</x:v>
      </x:c>
      <x:c r="Y137" s="4" t="str">
        <x:v>Geological</x:v>
      </x:c>
      <x:c r="Z137" s="4" t="str">
        <x:v>Decoration</x:v>
      </x:c>
      <x:c r="AA137" s="4" t="str">
        <x:v>Gemstone</x:v>
      </x:c>
      <x:c r="AB137" s="4" t="str">
        <x:v>Unresolved</x:v>
      </x:c>
      <x:c r="AC137" s="4" t="str">
        <x:v>Proposal</x:v>
      </x:c>
      <x:c r="AD137" s="4" t="str">
        <x:f>LOWER(A137&amp;"; "&amp;B137&amp;"; "&amp;C137&amp;"; "&amp;D137&amp;"; "&amp;W137&amp;"; "&amp;X137&amp;"; "&amp;Y137&amp;"; "&amp;Z137&amp;"; "&amp;AA137&amp;"; "&amp;AB137&amp;"; "&amp;AC137&amp;"; "&amp;U137)</x:f>
        <x:v>proposal.gem.corundum; ruby / sapphire corundum; resources; gemstone concept; gem material; unresolved; geological; decoration; gemstone; unresolved; proposal; </x:v>
      </x:c>
      <x:c r="AE137" s="4" t="str">
        <x:v>From current item description. Proposed uses retain their existing approval status.</x:v>
      </x:c>
      <x:c r="AF137" s="4" t="str">
        <x:v>T0</x:v>
      </x:c>
      <x:c r="AG137" s="4" t="str">
        <x:v>Provisional raw-stone input interpretation; existing cut state remains unresolved.</x:v>
      </x:c>
      <x:c r="AH137" s="4" t="str">
        <x:v>Not applicable</x:v>
      </x:c>
    </x:row>
    <x:row r="138" ht="90" customHeight="1">
      <x:c r="A138" s="9" t="str">
        <x:v>proposal.gem.tourmaline</x:v>
      </x:c>
      <x:c r="B138" s="9" t="str">
        <x:v>Tourmaline</x:v>
      </x:c>
      <x:c r="C138" s="9" t="str">
        <x:v>Resources</x:v>
      </x:c>
      <x:c r="D138" s="9" t="str">
        <x:v>Gemstone concept</x:v>
      </x:c>
      <x:c r="E138" s="9" t="str">
        <x:v>New proposal</x:v>
      </x:c>
      <x:c r="F138" s="9" t="str">
        <x:v>Proposed appearance: Dark green / multicolor palette to select. Potential use: Regional ornament styles and distinctive settings</x:v>
      </x:c>
      <x:c r="G138" s="9" t="str">
        <x:v>None</x:v>
      </x:c>
      <x:c r="H138" s="9" t="str">
        <x:v>Gathered raw gemstone: Legger / local storage</x:v>
      </x:c>
      <x:c r="I138" s="13"/>
      <x:c r="J138" s="15"/>
      <x:c r="K138" s="9" t="str">
        <x:v>Authored ancient mineral-bearing strata candidate; no deposit placement approved</x:v>
      </x:c>
      <x:c r="L138" s="9" t="str">
        <x:v>Sorting, cutting, polishing and setting are future craft concepts</x:v>
      </x:c>
      <x:c r="M138" s="9" t="str">
        <x:v>Not implemented</x:v>
      </x:c>
      <x:c r="N138" s="9" t="str">
        <x:v>Exact variety and useful color range undecided; no magnetic or electrical powers inferred.</x:v>
      </x:c>
      <x:c r="O138" s="48"/>
      <x:c r="P138" s="48"/>
      <x:c r="Q138" s="48"/>
      <x:c r="R138" s="48"/>
      <x:c r="S138" s="48"/>
      <x:c r="T138" s="9" t="str">
        <x:v>Gemstones exist by author direction. This mineral choice, palette, grade, cut and use are proposals. Fashion-suitable inputs intended valuable; no universal rarity or numeric price assigned.</x:v>
      </x:c>
      <x:c r="U138" s="11"/>
      <x:c r="V138" s="9" t="str">
        <x:v>Author direction October 14, 2026 establishes gemstones generally. Proposed real-mineral inspiration: https://www.gia.edu/gem-encyclopedia; no claim of Death Valley occurrence or game canon for this species.</x:v>
      </x:c>
      <x:c r="W138" s="4" t="str">
        <x:v>Gem material</x:v>
      </x:c>
      <x:c r="X138" s="4" t="str">
        <x:v>Unresolved</x:v>
      </x:c>
      <x:c r="Y138" s="4" t="str">
        <x:v>Geological</x:v>
      </x:c>
      <x:c r="Z138" s="4" t="str">
        <x:v>Decoration</x:v>
      </x:c>
      <x:c r="AA138" s="4" t="str">
        <x:v>Gemstone</x:v>
      </x:c>
      <x:c r="AB138" s="4" t="str">
        <x:v>Unresolved</x:v>
      </x:c>
      <x:c r="AC138" s="4" t="str">
        <x:v>Proposal</x:v>
      </x:c>
      <x:c r="AD138" s="4" t="str">
        <x:f>LOWER(A138&amp;"; "&amp;B138&amp;"; "&amp;C138&amp;"; "&amp;D138&amp;"; "&amp;W138&amp;"; "&amp;X138&amp;"; "&amp;Y138&amp;"; "&amp;Z138&amp;"; "&amp;AA138&amp;"; "&amp;AB138&amp;"; "&amp;AC138&amp;"; "&amp;U138)</x:f>
        <x:v>proposal.gem.tourmaline; tourmaline; resources; gemstone concept; gem material; unresolved; geological; decoration; gemstone; unresolved; proposal; </x:v>
      </x:c>
      <x:c r="AE138" s="4" t="str">
        <x:v>From current item description. Proposed uses retain their existing approval status.</x:v>
      </x:c>
      <x:c r="AF138" s="4" t="str">
        <x:v>T0</x:v>
      </x:c>
      <x:c r="AG138" s="4" t="str">
        <x:v>Provisional raw-stone input interpretation; existing cut state remains unresolved.</x:v>
      </x:c>
      <x:c r="AH138" s="4" t="str">
        <x:v>Not applicable</x:v>
      </x:c>
    </x:row>
    <x:row r="139" ht="90" customHeight="1">
      <x:c r="A139" s="9" t="str">
        <x:v>proposal.gem.zircon</x:v>
      </x:c>
      <x:c r="B139" s="9" t="str">
        <x:v>Zircon</x:v>
      </x:c>
      <x:c r="C139" s="9" t="str">
        <x:v>Resources</x:v>
      </x:c>
      <x:c r="D139" s="9" t="str">
        <x:v>Gemstone concept</x:v>
      </x:c>
      <x:c r="E139" s="9" t="str">
        <x:v>New proposal</x:v>
      </x:c>
      <x:c r="F139" s="9" t="str">
        <x:v>Proposed appearance: Honey-brown / warm clear palette. Potential use: Small brilliant accents and fine polished settings</x:v>
      </x:c>
      <x:c r="G139" s="9" t="str">
        <x:v>None</x:v>
      </x:c>
      <x:c r="H139" s="9" t="str">
        <x:v>Gathered raw gemstone: Legger / local storage</x:v>
      </x:c>
      <x:c r="I139" s="13"/>
      <x:c r="J139" s="15"/>
      <x:c r="K139" s="9" t="str">
        <x:v>Authored ancient mineral-bearing strata candidate; no deposit placement approved</x:v>
      </x:c>
      <x:c r="L139" s="9" t="str">
        <x:v>Sorting, cutting, polishing and setting are future craft concepts</x:v>
      </x:c>
      <x:c r="M139" s="9" t="str">
        <x:v>Not implemented</x:v>
      </x:c>
      <x:c r="N139" s="9" t="str">
        <x:v>A natural mineral candidate, distinct from cubic zirconia; no ancient-tech identity assumed.</x:v>
      </x:c>
      <x:c r="O139" s="48"/>
      <x:c r="P139" s="48"/>
      <x:c r="Q139" s="48"/>
      <x:c r="R139" s="48"/>
      <x:c r="S139" s="48"/>
      <x:c r="T139" s="9" t="str">
        <x:v>Gemstones exist by author direction. This mineral choice, palette, grade, cut and use are proposals. Fashion-suitable inputs intended valuable; no universal rarity or numeric price assigned.</x:v>
      </x:c>
      <x:c r="U139" s="11"/>
      <x:c r="V139" s="9" t="str">
        <x:v>Author direction October 14, 2026 establishes gemstones generally. Proposed real-mineral inspiration: https://www.gia.edu/zircon-description; no claim of Death Valley occurrence or game canon for this species.</x:v>
      </x:c>
      <x:c r="W139" s="4" t="str">
        <x:v>Gem material</x:v>
      </x:c>
      <x:c r="X139" s="4" t="str">
        <x:v>Unresolved</x:v>
      </x:c>
      <x:c r="Y139" s="4" t="str">
        <x:v>Geological</x:v>
      </x:c>
      <x:c r="Z139" s="4" t="str">
        <x:v>Decoration</x:v>
      </x:c>
      <x:c r="AA139" s="4" t="str">
        <x:v>Gemstone</x:v>
      </x:c>
      <x:c r="AB139" s="4" t="str">
        <x:v>Unresolved</x:v>
      </x:c>
      <x:c r="AC139" s="4" t="str">
        <x:v>Proposal</x:v>
      </x:c>
      <x:c r="AD139" s="4" t="str">
        <x:f>LOWER(A139&amp;"; "&amp;B139&amp;"; "&amp;C139&amp;"; "&amp;D139&amp;"; "&amp;W139&amp;"; "&amp;X139&amp;"; "&amp;Y139&amp;"; "&amp;Z139&amp;"; "&amp;AA139&amp;"; "&amp;AB139&amp;"; "&amp;AC139&amp;"; "&amp;U139)</x:f>
        <x:v>proposal.gem.zircon; zircon; resources; gemstone concept; gem material; unresolved; geological; decoration; gemstone; unresolved; proposal; </x:v>
      </x:c>
      <x:c r="AE139" s="4" t="str">
        <x:v>From current item description. Proposed uses retain their existing approval status.</x:v>
      </x:c>
      <x:c r="AF139" s="4" t="str">
        <x:v>T0</x:v>
      </x:c>
      <x:c r="AG139" s="4" t="str">
        <x:v>Provisional raw-stone input interpretation; existing cut state remains unresolved.</x:v>
      </x:c>
      <x:c r="AH139" s="4" t="str">
        <x:v>Not applicable</x:v>
      </x:c>
    </x:row>
    <x:row r="140" ht="90" customHeight="1">
      <x:c r="A140" s="9" t="str">
        <x:v>proposal.gear.simple_wraps</x:v>
      </x:c>
      <x:c r="B140" s="9" t="str">
        <x:v>Simple everyday wraps</x:v>
      </x:c>
      <x:c r="C140" s="9" t="str">
        <x:v>Equipment</x:v>
      </x:c>
      <x:c r="D140" s="9" t="str">
        <x:v>Everyday clothing</x:v>
      </x:c>
      <x:c r="E140" s="9" t="str">
        <x:v>User direction; not implemented</x:v>
      </x:c>
      <x:c r="F140" s="9" t="str">
        <x:v>Regular simple wrap-style clothing under the no-cloth material rule.</x:v>
      </x:c>
      <x:c r="G140" s="9" t="str">
        <x:v>Unassigned; layering/fastening TBD</x:v>
      </x:c>
      <x:c r="H140" s="9" t="str">
        <x:v>Booter-worn concept; supply/spare policy TBD</x:v>
      </x:c>
      <x:c r="I140" s="13"/>
      <x:c r="J140" s="15"/>
      <x:c r="K140" s="9" t="str">
        <x:v>Ordinary fabrication/trade candidate; no recipe authored</x:v>
      </x:c>
      <x:c r="L140" s="9" t="str">
        <x:v>Construction and material combination TBD; minimal fur with metal-based fastenings/pieces possible</x:v>
      </x:c>
      <x:c r="M140" s="9" t="str">
        <x:v>Not implemented</x:v>
      </x:c>
      <x:c r="N140" s="9" t="str">
        <x:v>No cloth. Wrap material, attachment and coverage remain open; minimal fur is not an abundant processed-fur supply.</x:v>
      </x:c>
      <x:c r="O140" s="17"/>
      <x:c r="P140" s="17"/>
      <x:c r="Q140" s="17"/>
      <x:c r="R140" s="17"/>
      <x:c r="S140" s="17"/>
      <x:c r="T140" s="9" t="str">
        <x:v>Everyday baseline by author direction. No fixed rarity, price, garment pattern or material ratio assigned.</x:v>
      </x:c>
      <x:c r="U140" s="11"/>
      <x:c r="V140" s="9" t="str">
        <x:v>Direct author clarification, October 14, 2026; Docs/WORLD_BASIS.md#material-culture. Ordinary wear: simple wraps, metal chainmail and practical metal-based pieces with minimal fur. Elaborate fashion remains rare/expensive; no cloth.</x:v>
      </x:c>
      <x:c r="W140" s="4" t="str">
        <x:v>Wearable</x:v>
      </x:c>
      <x:c r="X140" s="4" t="str">
        <x:v>Finished item</x:v>
      </x:c>
      <x:c r="Y140" s="4" t="str">
        <x:v>Manufactured / unresolved</x:v>
      </x:c>
      <x:c r="Z140" s="4" t="str">
        <x:v>Clothing</x:v>
      </x:c>
      <x:c r="AA140" s="4" t="str">
        <x:v>Mixed / unresolved</x:v>
      </x:c>
      <x:c r="AB140" s="4" t="str">
        <x:v>Garment</x:v>
      </x:c>
      <x:c r="AC140" s="4" t="str">
        <x:v>Author direction</x:v>
      </x:c>
      <x:c r="AD140" s="4" t="str">
        <x:f>LOWER(A140&amp;"; "&amp;B140&amp;"; "&amp;C140&amp;"; "&amp;D140&amp;"; "&amp;W140&amp;"; "&amp;X140&amp;"; "&amp;Y140&amp;"; "&amp;Z140&amp;"; "&amp;AA140&amp;"; "&amp;AB140&amp;"; "&amp;AC140&amp;"; "&amp;U140)</x:f>
        <x:v>proposal.gear.simple_wraps; simple everyday wraps; equipment; everyday clothing; wearable; finished item; manufactured / unresolved; clothing; mixed / unresolved; garment; author direction; </x:v>
      </x:c>
      <x:c r="AE140" s="4" t="str">
        <x:v>From current item description. Proposed uses retain their existing approval status.</x:v>
      </x:c>
      <x:c r="AF140" s="4" t="str">
        <x:v>Finished item</x:v>
      </x:c>
      <x:c r="AG140" s="4" t="str">
        <x:v>Completed gear, vessel, food or tool can stop at its chosen material tier; it need not climb to T4.</x:v>
      </x:c>
      <x:c r="AH140" s="4" t="str">
        <x:v>Unassigned</x:v>
      </x:c>
    </x:row>
    <x:row r="141" ht="95" customHeight="1">
      <x:c r="A141" s="9" t="str">
        <x:v>proposal.bio.inner_wing</x:v>
      </x:c>
      <x:c r="B141" s="9" t="str">
        <x:v>Delicate inner wing</x:v>
      </x:c>
      <x:c r="C141" s="9" t="str">
        <x:v>Resources</x:v>
      </x:c>
      <x:c r="D141" s="9" t="str">
        <x:v>Wing material</x:v>
      </x:c>
      <x:c r="E141" s="9" t="str">
        <x:v>User direction; not implemented</x:v>
      </x:c>
      <x:c r="F141" s="9" t="str">
        <x:v>Gathered insectoid megafauna inner-wing membrane for vertical sun shades. Also author-directed input for wind sails.</x:v>
      </x:c>
      <x:c r="G141" s="9" t="str">
        <x:v>None</x:v>
      </x:c>
      <x:c r="H141" s="9" t="str">
        <x:v>Raw resource: Legger / local storage</x:v>
      </x:c>
      <x:c r="I141" s="13"/>
      <x:c r="J141" s="15"/>
      <x:c r="K141" s="9" t="str">
        <x:v>Megafauna inner wings; collection details TBD</x:v>
      </x:c>
      <x:c r="L141" s="9" t="str">
        <x:v>Prepare/join into shade panels; method and yield undefined</x:v>
      </x:c>
      <x:c r="M141" s="9" t="str">
        <x:v>Not implemented</x:v>
      </x:c>
      <x:c r="N141" s="9" t="str">
        <x:v>Delicate resource; no automatic opacity, heat resistance, structural strength or cloth properties assigned.</x:v>
      </x:c>
      <x:c r="O141" s="17"/>
      <x:c r="P141" s="17"/>
      <x:c r="Q141" s="17"/>
      <x:c r="R141" s="17"/>
      <x:c r="S141" s="17"/>
      <x:c r="T141" s="9" t="str">
        <x:v>Vertical sun-shade material by author direction; value and processing work remain unspecified.</x:v>
      </x:c>
      <x:c r="U141" s="11" t="str">
        <x:v>sail membrane; wind propulsion</x:v>
      </x:c>
      <x:c r="V141" s="9" t="str">
        <x:v>Direct author direction October 14, 2026; Docs/WORLD_BASIS.md#material-culture</x:v>
      </x:c>
      <x:c r="W141" s="4" t="str">
        <x:v>Raw material</x:v>
      </x:c>
      <x:c r="X141" s="4" t="str">
        <x:v>Raw</x:v>
      </x:c>
      <x:c r="Y141" s="4" t="str">
        <x:v>Fauna</x:v>
      </x:c>
      <x:c r="Z141" s="4" t="str">
        <x:v>Sun shading</x:v>
      </x:c>
      <x:c r="AA141" s="4" t="str">
        <x:v>Wing membrane</x:v>
      </x:c>
      <x:c r="AB141" s="4" t="str">
        <x:v>Membrane</x:v>
      </x:c>
      <x:c r="AC141" s="4" t="str">
        <x:v>Author direction</x:v>
      </x:c>
      <x:c r="AD141" s="4" t="str">
        <x:f>LOWER(A141&amp;"; "&amp;B141&amp;"; "&amp;C141&amp;"; "&amp;D141&amp;"; "&amp;W141&amp;"; "&amp;X141&amp;"; "&amp;Y141&amp;"; "&amp;Z141&amp;"; "&amp;AA141&amp;"; "&amp;AB141&amp;"; "&amp;AC141&amp;"; "&amp;U141)</x:f>
        <x:v>proposal.bio.inner_wing; delicate inner wing; resources; wing material; raw material; raw; fauna; sun shading; wing membrane; membrane; author direction; sail membrane; wind propulsion</x:v>
      </x:c>
      <x:c r="AE141" s="4" t="str">
        <x:v>From current item description. Proposed uses retain their existing approval status.</x:v>
      </x:c>
      <x:c r="AF141" s="4" t="str">
        <x:v>T0</x:v>
      </x:c>
      <x:c r="AG141" s="4" t="str">
        <x:v>Raw gathered/recovered craft input under the author T0 framework. This does not imply a naturally occurring pure metal.</x:v>
      </x:c>
      <x:c r="AH141" s="4" t="str">
        <x:v>Not applicable</x:v>
      </x:c>
    </x:row>
    <x:row r="142" ht="95" customHeight="1">
      <x:c r="A142" s="9" t="str">
        <x:v>proposal.bio.wing_panel</x:v>
      </x:c>
      <x:c r="B142" s="9" t="str">
        <x:v>Prepared wing shade panel</x:v>
      </x:c>
      <x:c r="C142" s="9" t="str">
        <x:v>Crafting components</x:v>
      </x:c>
      <x:c r="D142" s="9" t="str">
        <x:v>Wing material</x:v>
      </x:c>
      <x:c r="E142" s="9" t="str">
        <x:v>New proposal</x:v>
      </x:c>
      <x:c r="F142" s="9" t="str">
        <x:v>Prepared inner-wing material for an assembled vertical sun shade.</x:v>
      </x:c>
      <x:c r="G142" s="9" t="str">
        <x:v>None</x:v>
      </x:c>
      <x:c r="H142" s="9" t="str">
        <x:v>Component carrier eligibility TBD</x:v>
      </x:c>
      <x:c r="I142" s="13"/>
      <x:c r="J142" s="15"/>
      <x:c r="K142" s="9" t="str">
        <x:v>Process delicate inner wings; exact method undecided</x:v>
      </x:c>
      <x:c r="L142" s="9" t="str">
        <x:v>Candidate input for existing popup-camp shade; no recipe authored</x:v>
      </x:c>
      <x:c r="M142" s="9" t="str">
        <x:v>Not implemented</x:v>
      </x:c>
      <x:c r="N142" s="9" t="str">
        <x:v>Panel preparation, joining, frame support and actual shade properties need design; no cloth assumed.</x:v>
      </x:c>
      <x:c r="O142" s="17"/>
      <x:c r="P142" s="17"/>
      <x:c r="Q142" s="17"/>
      <x:c r="R142" s="17"/>
      <x:c r="S142" s="17"/>
      <x:c r="T142" s="9" t="str">
        <x:v>Proposed intermediate product; reuse existing popup-camp item instead of duplicating the deployed shade.</x:v>
      </x:c>
      <x:c r="U142" s="11"/>
      <x:c r="V142" s="9" t="str">
        <x:v>New game proposal derived from author wing-resource direction October 14, 2026</x:v>
      </x:c>
      <x:c r="W142" s="4" t="str">
        <x:v>Crafting component</x:v>
      </x:c>
      <x:c r="X142" s="4" t="str">
        <x:v>Processed intermediate</x:v>
      </x:c>
      <x:c r="Y142" s="4" t="str">
        <x:v>Fauna</x:v>
      </x:c>
      <x:c r="Z142" s="4" t="str">
        <x:v>Sun shading</x:v>
      </x:c>
      <x:c r="AA142" s="4" t="str">
        <x:v>Wing membrane</x:v>
      </x:c>
      <x:c r="AB142" s="4" t="str">
        <x:v>Panel</x:v>
      </x:c>
      <x:c r="AC142" s="4" t="str">
        <x:v>Proposal</x:v>
      </x:c>
      <x:c r="AD142" s="4" t="str">
        <x:f>LOWER(A142&amp;"; "&amp;B142&amp;"; "&amp;C142&amp;"; "&amp;D142&amp;"; "&amp;W142&amp;"; "&amp;X142&amp;"; "&amp;Y142&amp;"; "&amp;Z142&amp;"; "&amp;AA142&amp;"; "&amp;AB142&amp;"; "&amp;AC142&amp;"; "&amp;U142)</x:f>
        <x:v>proposal.bio.wing_panel; prepared wing shade panel; crafting components; wing material; crafting component; processed intermediate; fauna; sun shading; wing membrane; panel; proposal; </x:v>
      </x:c>
      <x:c r="AE142" s="4" t="str">
        <x:v>From current item description. Proposed uses retain their existing approval status.</x:v>
      </x:c>
      <x:c r="AF142" s="4" t="str">
        <x:v>T1</x:v>
      </x:c>
      <x:c r="AG142" s="4" t="str">
        <x:v>Proposed game manufacturing tier from the candidate routes. Integrated operations may contain many work steps.</x:v>
      </x:c>
      <x:c r="AH142" s="4" t="str">
        <x:v>Not applicable</x:v>
      </x:c>
    </x:row>
    <x:row r="143" ht="95" customHeight="1">
      <x:c r="A143" s="9" t="str">
        <x:v>proposal.canister.body_blank</x:v>
      </x:c>
      <x:c r="B143" s="9" t="str">
        <x:v>Canister body blank</x:v>
      </x:c>
      <x:c r="C143" s="9" t="str">
        <x:v>Crafting components</x:v>
      </x:c>
      <x:c r="D143" s="9" t="str">
        <x:v>Canister economy concept</x:v>
      </x:c>
      <x:c r="E143" s="9" t="str">
        <x:v>New proposal</x:v>
      </x:c>
      <x:c r="F143" s="9" t="str">
        <x:v>Unfinished body for specialist assembly</x:v>
      </x:c>
      <x:c r="G143" s="9" t="str">
        <x:v>Unassigned; part/fit ownership TBD</x:v>
      </x:c>
      <x:c r="H143" s="9" t="str">
        <x:v>Resource/component cargo or permitted Booter kit; policy TBD</x:v>
      </x:c>
      <x:c r="I143" s="13"/>
      <x:c r="J143" s="15"/>
      <x:c r="K143" s="9" t="str">
        <x:v>Specialist craft/trade/service candidate; no recipe authored</x:v>
      </x:c>
      <x:c r="L143" s="9" t="str">
        <x:v>Proposed material: Worked metal/alloy choice TBD; shell outer casing possible</x:v>
      </x:c>
      <x:c r="M143" s="9" t="str">
        <x:v>Not implemented</x:v>
      </x:c>
      <x:c r="N143" s="9" t="str">
        <x:v>Personal life-support canister and raw-chemical vessel are distinct service roles</x:v>
      </x:c>
      <x:c r="O143" s="17"/>
      <x:c r="P143" s="17"/>
      <x:c r="Q143" s="17"/>
      <x:c r="R143" s="17"/>
      <x:c r="S143" s="17"/>
      <x:c r="T143" s="9" t="str">
        <x:v>Source explicitly distinguishes body fabrication. Source systems are proposals; precision skill and suitable material may affect value, but no prices or lifetime values assigned.</x:v>
      </x:c>
      <x:c r="U143" s="11"/>
      <x:c r="V143" s="9" t="str">
        <x:v>New game item concept October 14, 2026. Source proposal: https://github.com/sleepyseamonster/Arc-Dust/blob/f6f98515c005dc3c73cccd9cbc031691745740c6/02-Arc-Dust-Worldbuilding/world/economy/canister/caster-craft.md</x:v>
      </x:c>
      <x:c r="W143" s="4" t="str">
        <x:v>Container part</x:v>
      </x:c>
      <x:c r="X143" s="4" t="str">
        <x:v>Processed intermediate</x:v>
      </x:c>
      <x:c r="Y143" s="4" t="str">
        <x:v>Manufactured / unresolved</x:v>
      </x:c>
      <x:c r="Z143" s="4" t="str">
        <x:v>Liquid and bulk containment</x:v>
      </x:c>
      <x:c r="AA143" s="4" t="str">
        <x:v>Mixed / unresolved</x:v>
      </x:c>
      <x:c r="AB143" s="4" t="str">
        <x:v>Solid part</x:v>
      </x:c>
      <x:c r="AC143" s="4" t="str">
        <x:v>Proposal</x:v>
      </x:c>
      <x:c r="AD143" s="4" t="str">
        <x:f>LOWER(A143&amp;"; "&amp;B143&amp;"; "&amp;C143&amp;"; "&amp;D143&amp;"; "&amp;W143&amp;"; "&amp;X143&amp;"; "&amp;Y143&amp;"; "&amp;Z143&amp;"; "&amp;AA143&amp;"; "&amp;AB143&amp;"; "&amp;AC143&amp;"; "&amp;U143)</x:f>
        <x:v>proposal.canister.body_blank; canister body blank; crafting components; canister economy concept; container part; processed intermediate; manufactured / unresolved; liquid and bulk containment; mixed / unresolved; solid part; proposal; </x:v>
      </x:c>
      <x:c r="AE143" s="4" t="str">
        <x:v>From current item description. Proposed uses retain their existing approval status.</x:v>
      </x:c>
      <x:c r="AF143" s="4" t="str">
        <x:v>Unassigned</x:v>
      </x:c>
      <x:c r="AG143" s="4" t="str">
        <x:v>Choose a material/part route before assigning a tier. Processing-stage labels alone do not prove chain depth.</x:v>
      </x:c>
      <x:c r="AH143" s="4" t="str">
        <x:v>Not applicable</x:v>
      </x:c>
    </x:row>
    <x:row r="144" ht="95" customHeight="1">
      <x:c r="A144" s="9" t="str">
        <x:v>proposal.canister.seal_ring</x:v>
      </x:c>
      <x:c r="B144" s="9" t="str">
        <x:v>Replacement seal ring</x:v>
      </x:c>
      <x:c r="C144" s="9" t="str">
        <x:v>Crafting components</x:v>
      </x:c>
      <x:c r="D144" s="9" t="str">
        <x:v>Canister economy concept</x:v>
      </x:c>
      <x:c r="E144" s="9" t="str">
        <x:v>New proposal</x:v>
      </x:c>
      <x:c r="F144" s="9" t="str">
        <x:v>Replaceable fitted sealing part</x:v>
      </x:c>
      <x:c r="G144" s="9" t="str">
        <x:v>Unassigned; part/fit ownership TBD</x:v>
      </x:c>
      <x:c r="H144" s="9" t="str">
        <x:v>Resource/component cargo or permitted Booter kit; policy TBD</x:v>
      </x:c>
      <x:c r="I144" s="13"/>
      <x:c r="J144" s="15"/>
      <x:c r="K144" s="9" t="str">
        <x:v>Specialist craft/trade/service candidate; no recipe authored</x:v>
      </x:c>
      <x:c r="L144" s="9" t="str">
        <x:v>Proposed material: Biological/mineral elastic material candidate; formulation TBD</x:v>
      </x:c>
      <x:c r="M144" s="9" t="str">
        <x:v>Not implemented</x:v>
      </x:c>
      <x:c r="N144" s="9" t="str">
        <x:v>Seal diameter, compound and service must match; ancient synthetic input not universally required</x:v>
      </x:c>
      <x:c r="O144" s="17"/>
      <x:c r="P144" s="17"/>
      <x:c r="Q144" s="17"/>
      <x:c r="R144" s="17"/>
      <x:c r="S144" s="17"/>
      <x:c r="T144" s="9" t="str">
        <x:v>Source explicitly describes replaceable seal systems. Source systems are proposals; precision skill and suitable material may affect value, but no prices or lifetime values assigned.</x:v>
      </x:c>
      <x:c r="U144" s="11" t="str">
        <x:v>gasket</x:v>
      </x:c>
      <x:c r="V144" s="9" t="str">
        <x:v>New game item concept October 14, 2026. Source proposal: https://github.com/sleepyseamonster/Arc-Dust/blob/f6f98515c005dc3c73cccd9cbc031691745740c6/02-Arc-Dust-Worldbuilding/world/economy/canister/caster-craft.md</x:v>
      </x:c>
      <x:c r="W144" s="4" t="str">
        <x:v>Container part</x:v>
      </x:c>
      <x:c r="X144" s="4" t="str">
        <x:v>Processed intermediate</x:v>
      </x:c>
      <x:c r="Y144" s="4" t="str">
        <x:v>Manufactured / unresolved</x:v>
      </x:c>
      <x:c r="Z144" s="4" t="str">
        <x:v>Sealing</x:v>
      </x:c>
      <x:c r="AA144" s="4" t="str">
        <x:v>Mixed / unresolved</x:v>
      </x:c>
      <x:c r="AB144" s="4" t="str">
        <x:v>Solid part</x:v>
      </x:c>
      <x:c r="AC144" s="4" t="str">
        <x:v>Proposal</x:v>
      </x:c>
      <x:c r="AD144" s="4" t="str">
        <x:f>LOWER(A144&amp;"; "&amp;B144&amp;"; "&amp;C144&amp;"; "&amp;D144&amp;"; "&amp;W144&amp;"; "&amp;X144&amp;"; "&amp;Y144&amp;"; "&amp;Z144&amp;"; "&amp;AA144&amp;"; "&amp;AB144&amp;"; "&amp;AC144&amp;"; "&amp;U144)</x:f>
        <x:v>proposal.canister.seal_ring; replacement seal ring; crafting components; canister economy concept; container part; processed intermediate; manufactured / unresolved; sealing; mixed / unresolved; solid part; proposal; gasket</x:v>
      </x:c>
      <x:c r="AE144" s="4" t="str">
        <x:v>From current item description. Proposed uses retain their existing approval status.</x:v>
      </x:c>
      <x:c r="AF144" s="4" t="str">
        <x:v>Unassigned</x:v>
      </x:c>
      <x:c r="AG144" s="4" t="str">
        <x:v>Choose a material/part route before assigning a tier. Processing-stage labels alone do not prove chain depth.</x:v>
      </x:c>
      <x:c r="AH144" s="4" t="str">
        <x:v>Not applicable</x:v>
      </x:c>
    </x:row>
    <x:row r="145" ht="95" customHeight="1">
      <x:c r="A145" s="9" t="str">
        <x:v>proposal.canister.seal_seat</x:v>
      </x:c>
      <x:c r="B145" s="9" t="str">
        <x:v>Fitted seal seat</x:v>
      </x:c>
      <x:c r="C145" s="9" t="str">
        <x:v>Crafting components</x:v>
      </x:c>
      <x:c r="D145" s="9" t="str">
        <x:v>Canister economy concept</x:v>
      </x:c>
      <x:c r="E145" s="9" t="str">
        <x:v>New proposal</x:v>
      </x:c>
      <x:c r="F145" s="9" t="str">
        <x:v>Precision contact surface supporting a seal</x:v>
      </x:c>
      <x:c r="G145" s="9" t="str">
        <x:v>Unassigned; part/fit ownership TBD</x:v>
      </x:c>
      <x:c r="H145" s="9" t="str">
        <x:v>Resource/component cargo or permitted Booter kit; policy TBD</x:v>
      </x:c>
      <x:c r="I145" s="13"/>
      <x:c r="J145" s="15"/>
      <x:c r="K145" s="9" t="str">
        <x:v>Specialist craft/trade/service candidate; no recipe authored</x:v>
      </x:c>
      <x:c r="L145" s="9" t="str">
        <x:v>Proposed material: Worked metal or compatible hard insert TBD</x:v>
      </x:c>
      <x:c r="M145" s="9" t="str">
        <x:v>Not implemented</x:v>
      </x:c>
      <x:c r="N145" s="9" t="str">
        <x:v>A seat supports the seal; not a duplicate compression collar or replacement ring</x:v>
      </x:c>
      <x:c r="O145" s="17"/>
      <x:c r="P145" s="17"/>
      <x:c r="Q145" s="17"/>
      <x:c r="R145" s="17"/>
      <x:c r="S145" s="17"/>
      <x:c r="T145" s="9" t="str">
        <x:v>New explicit part derived from source seal-system precision. Source systems are proposals; precision skill and suitable material may affect value, but no prices or lifetime values assigned.</x:v>
      </x:c>
      <x:c r="U145" s="11"/>
      <x:c r="V145" s="9" t="str">
        <x:v>New game item concept October 14, 2026. Source proposal: https://github.com/sleepyseamonster/Arc-Dust/blob/f6f98515c005dc3c73cccd9cbc031691745740c6/02-Arc-Dust-Worldbuilding/world/economy/canister/caster-craft.md</x:v>
      </x:c>
      <x:c r="W145" s="4" t="str">
        <x:v>Container part</x:v>
      </x:c>
      <x:c r="X145" s="4" t="str">
        <x:v>Processed intermediate</x:v>
      </x:c>
      <x:c r="Y145" s="4" t="str">
        <x:v>Manufactured / unresolved</x:v>
      </x:c>
      <x:c r="Z145" s="4" t="str">
        <x:v>Sealing</x:v>
      </x:c>
      <x:c r="AA145" s="4" t="str">
        <x:v>Mixed / unresolved</x:v>
      </x:c>
      <x:c r="AB145" s="4" t="str">
        <x:v>Solid part</x:v>
      </x:c>
      <x:c r="AC145" s="4" t="str">
        <x:v>Proposal</x:v>
      </x:c>
      <x:c r="AD145" s="4" t="str">
        <x:f>LOWER(A145&amp;"; "&amp;B145&amp;"; "&amp;C145&amp;"; "&amp;D145&amp;"; "&amp;W145&amp;"; "&amp;X145&amp;"; "&amp;Y145&amp;"; "&amp;Z145&amp;"; "&amp;AA145&amp;"; "&amp;AB145&amp;"; "&amp;AC145&amp;"; "&amp;U145)</x:f>
        <x:v>proposal.canister.seal_seat; fitted seal seat; crafting components; canister economy concept; container part; processed intermediate; manufactured / unresolved; sealing; mixed / unresolved; solid part; proposal; </x:v>
      </x:c>
      <x:c r="AE145" s="4" t="str">
        <x:v>From current item description. Proposed uses retain their existing approval status.</x:v>
      </x:c>
      <x:c r="AF145" s="4" t="str">
        <x:v>Unassigned</x:v>
      </x:c>
      <x:c r="AG145" s="4" t="str">
        <x:v>Choose a material/part route before assigning a tier. Processing-stage labels alone do not prove chain depth.</x:v>
      </x:c>
      <x:c r="AH145" s="4" t="str">
        <x:v>Not applicable</x:v>
      </x:c>
    </x:row>
    <x:row r="146" ht="95" customHeight="1">
      <x:c r="A146" s="9" t="str">
        <x:v>proposal.canister.sealant</x:v>
      </x:c>
      <x:c r="B146" s="9" t="str">
        <x:v>Canister joint sealant</x:v>
      </x:c>
      <x:c r="C146" s="9" t="str">
        <x:v>Crafting components</x:v>
      </x:c>
      <x:c r="D146" s="9" t="str">
        <x:v>Canister economy concept</x:v>
      </x:c>
      <x:c r="E146" s="9" t="str">
        <x:v>New proposal</x:v>
      </x:c>
      <x:c r="F146" s="9" t="str">
        <x:v>Prepared compound for compatible joints</x:v>
      </x:c>
      <x:c r="G146" s="9" t="str">
        <x:v>Unassigned; part/fit ownership TBD</x:v>
      </x:c>
      <x:c r="H146" s="9" t="str">
        <x:v>Resource/component cargo or permitted Booter kit; policy TBD</x:v>
      </x:c>
      <x:c r="I146" s="13"/>
      <x:c r="J146" s="15"/>
      <x:c r="K146" s="9" t="str">
        <x:v>Specialist craft/trade/service candidate; no recipe authored</x:v>
      </x:c>
      <x:c r="L146" s="9" t="str">
        <x:v>Proposed material: Compatible biological/mineral binder formulation TBD</x:v>
      </x:c>
      <x:c r="M146" s="9" t="str">
        <x:v>Not implemented</x:v>
      </x:c>
      <x:c r="N146" s="9" t="str">
        <x:v>Not interchangeable with glue, toxic shell binder or a failed pressure seal; exact applications unresolved</x:v>
      </x:c>
      <x:c r="O146" s="17"/>
      <x:c r="P146" s="17"/>
      <x:c r="Q146" s="17"/>
      <x:c r="R146" s="17"/>
      <x:c r="S146" s="17"/>
      <x:c r="T146" s="9" t="str">
        <x:v>Author requests sealant; source describes biological seal compounds. Source systems are proposals; precision skill and suitable material may affect value, but no prices or lifetime values assigned.</x:v>
      </x:c>
      <x:c r="U146" s="11"/>
      <x:c r="V146" s="9" t="str">
        <x:v>New game item concept October 14, 2026. Source proposal: https://github.com/sleepyseamonster/Arc-Dust/blob/f6f98515c005dc3c73cccd9cbc031691745740c6/02-Arc-Dust-Worldbuilding/world/economy/canister/caster-craft.md</x:v>
      </x:c>
      <x:c r="W146" s="4" t="str">
        <x:v>Chemical material</x:v>
      </x:c>
      <x:c r="X146" s="4" t="str">
        <x:v>Processed intermediate</x:v>
      </x:c>
      <x:c r="Y146" s="4" t="str">
        <x:v>Manufactured / unresolved</x:v>
      </x:c>
      <x:c r="Z146" s="4" t="str">
        <x:v>Sealing</x:v>
      </x:c>
      <x:c r="AA146" s="4" t="str">
        <x:v>Mixed / unresolved</x:v>
      </x:c>
      <x:c r="AB146" s="4" t="str">
        <x:v>Unresolved</x:v>
      </x:c>
      <x:c r="AC146" s="4" t="str">
        <x:v>Proposal</x:v>
      </x:c>
      <x:c r="AD146" s="4" t="str">
        <x:f>LOWER(A146&amp;"; "&amp;B146&amp;"; "&amp;C146&amp;"; "&amp;D146&amp;"; "&amp;W146&amp;"; "&amp;X146&amp;"; "&amp;Y146&amp;"; "&amp;Z146&amp;"; "&amp;AA146&amp;"; "&amp;AB146&amp;"; "&amp;AC146&amp;"; "&amp;U146)</x:f>
        <x:v>proposal.canister.sealant; canister joint sealant; crafting components; canister economy concept; chemical material; processed intermediate; manufactured / unresolved; sealing; mixed / unresolved; unresolved; proposal; </x:v>
      </x:c>
      <x:c r="AE146" s="4" t="str">
        <x:v>From current item description. Proposed uses retain their existing approval status.</x:v>
      </x:c>
      <x:c r="AF146" s="4" t="str">
        <x:v>Unassigned</x:v>
      </x:c>
      <x:c r="AG146" s="4" t="str">
        <x:v>Choose a material/part route before assigning a tier. Processing-stage labels alone do not prove chain depth.</x:v>
      </x:c>
      <x:c r="AH146" s="4" t="str">
        <x:v>Not applicable</x:v>
      </x:c>
    </x:row>
    <x:row r="147" ht="95" customHeight="1">
      <x:c r="A147" s="9" t="str">
        <x:v>proposal.canister.feed_line</x:v>
      </x:c>
      <x:c r="B147" s="9" t="str">
        <x:v>Feed-line section</x:v>
      </x:c>
      <x:c r="C147" s="9" t="str">
        <x:v>Crafting components</x:v>
      </x:c>
      <x:c r="D147" s="9" t="str">
        <x:v>Canister economy concept</x:v>
      </x:c>
      <x:c r="E147" s="9" t="str">
        <x:v>New proposal</x:v>
      </x:c>
      <x:c r="F147" s="9" t="str">
        <x:v>Replacement contained conduit for a personal canister</x:v>
      </x:c>
      <x:c r="G147" s="9" t="str">
        <x:v>Unassigned; part/fit ownership TBD</x:v>
      </x:c>
      <x:c r="H147" s="9" t="str">
        <x:v>Resource/component cargo or permitted Booter kit; policy TBD</x:v>
      </x:c>
      <x:c r="I147" s="13"/>
      <x:c r="J147" s="15"/>
      <x:c r="K147" s="9" t="str">
        <x:v>Specialist craft/trade/service candidate; no recipe authored</x:v>
      </x:c>
      <x:c r="L147" s="9" t="str">
        <x:v>Proposed material: Flexible biological/mineral component or recovered part TBD</x:v>
      </x:c>
      <x:c r="M147" s="9" t="str">
        <x:v>Not implemented</x:v>
      </x:c>
      <x:c r="N147" s="9" t="str">
        <x:v>No ordinary rubber/cloth or new respiratory system assumed; service and purity matter</x:v>
      </x:c>
      <x:c r="O147" s="17"/>
      <x:c r="P147" s="17"/>
      <x:c r="Q147" s="17"/>
      <x:c r="R147" s="17"/>
      <x:c r="S147" s="17"/>
      <x:c r="T147" s="9" t="str">
        <x:v>Source explicitly describes feed-line routing and material quality. Source systems are proposals; precision skill and suitable material may affect value, but no prices or lifetime values assigned.</x:v>
      </x:c>
      <x:c r="U147" s="11"/>
      <x:c r="V147" s="9" t="str">
        <x:v>New game item concept October 14, 2026. Source proposal: https://github.com/sleepyseamonster/Arc-Dust/blob/f6f98515c005dc3c73cccd9cbc031691745740c6/02-Arc-Dust-Worldbuilding/world/economy/canister/carry-styles.md</x:v>
      </x:c>
      <x:c r="W147" s="4" t="str">
        <x:v>Container part</x:v>
      </x:c>
      <x:c r="X147" s="4" t="str">
        <x:v>Processed intermediate</x:v>
      </x:c>
      <x:c r="Y147" s="4" t="str">
        <x:v>Manufactured / unresolved</x:v>
      </x:c>
      <x:c r="Z147" s="4" t="str">
        <x:v>Material transfer</x:v>
      </x:c>
      <x:c r="AA147" s="4" t="str">
        <x:v>Mixed / unresolved</x:v>
      </x:c>
      <x:c r="AB147" s="4" t="str">
        <x:v>Solid part</x:v>
      </x:c>
      <x:c r="AC147" s="4" t="str">
        <x:v>Proposal</x:v>
      </x:c>
      <x:c r="AD147" s="4" t="str">
        <x:f>LOWER(A147&amp;"; "&amp;B147&amp;"; "&amp;C147&amp;"; "&amp;D147&amp;"; "&amp;W147&amp;"; "&amp;X147&amp;"; "&amp;Y147&amp;"; "&amp;Z147&amp;"; "&amp;AA147&amp;"; "&amp;AB147&amp;"; "&amp;AC147&amp;"; "&amp;U147)</x:f>
        <x:v>proposal.canister.feed_line; feed-line section; crafting components; canister economy concept; container part; processed intermediate; manufactured / unresolved; material transfer; mixed / unresolved; solid part; proposal; </x:v>
      </x:c>
      <x:c r="AE147" s="4" t="str">
        <x:v>From current item description. Proposed uses retain their existing approval status.</x:v>
      </x:c>
      <x:c r="AF147" s="4" t="str">
        <x:v>Unassigned</x:v>
      </x:c>
      <x:c r="AG147" s="4" t="str">
        <x:v>Choose a material/part route before assigning a tier. Processing-stage labels alone do not prove chain depth.</x:v>
      </x:c>
      <x:c r="AH147" s="4" t="str">
        <x:v>Not applicable</x:v>
      </x:c>
    </x:row>
    <x:row r="148" ht="95" customHeight="1">
      <x:c r="A148" s="9" t="str">
        <x:v>proposal.canister.coupling</x:v>
      </x:c>
      <x:c r="B148" s="9" t="str">
        <x:v>Feed-line coupling</x:v>
      </x:c>
      <x:c r="C148" s="9" t="str">
        <x:v>Crafting components</x:v>
      </x:c>
      <x:c r="D148" s="9" t="str">
        <x:v>Canister economy concept</x:v>
      </x:c>
      <x:c r="E148" s="9" t="str">
        <x:v>New proposal</x:v>
      </x:c>
      <x:c r="F148" s="9" t="str">
        <x:v>Connect a line to a matching canister/interface</x:v>
      </x:c>
      <x:c r="G148" s="9" t="str">
        <x:v>Unassigned; part/fit ownership TBD</x:v>
      </x:c>
      <x:c r="H148" s="9" t="str">
        <x:v>Resource/component cargo or permitted Booter kit; policy TBD</x:v>
      </x:c>
      <x:c r="I148" s="13"/>
      <x:c r="J148" s="15"/>
      <x:c r="K148" s="9" t="str">
        <x:v>Specialist craft/trade/service candidate; no recipe authored</x:v>
      </x:c>
      <x:c r="L148" s="9" t="str">
        <x:v>Proposed material: Machined metal with qualified sealing insert TBD</x:v>
      </x:c>
      <x:c r="M148" s="9" t="str">
        <x:v>Not implemented</x:v>
      </x:c>
      <x:c r="N148" s="9" t="str">
        <x:v>Match intended service; not a generic connector for every toxic liquid</x:v>
      </x:c>
      <x:c r="O148" s="17"/>
      <x:c r="P148" s="17"/>
      <x:c r="Q148" s="17"/>
      <x:c r="R148" s="17"/>
      <x:c r="S148" s="17"/>
      <x:c r="T148" s="9" t="str">
        <x:v>New explicit fitting from source connection systems. Source systems are proposals; precision skill and suitable material may affect value, but no prices or lifetime values assigned.</x:v>
      </x:c>
      <x:c r="U148" s="11" t="str">
        <x:v>sealing</x:v>
      </x:c>
      <x:c r="V148" s="9" t="str">
        <x:v>New game item concept October 14, 2026. Source proposal: https://github.com/sleepyseamonster/Arc-Dust/blob/f6f98515c005dc3c73cccd9cbc031691745740c6/02-Arc-Dust-Worldbuilding/world/economy/canister/carry-styles.md</x:v>
      </x:c>
      <x:c r="W148" s="4" t="str">
        <x:v>Container part</x:v>
      </x:c>
      <x:c r="X148" s="4" t="str">
        <x:v>Processed intermediate</x:v>
      </x:c>
      <x:c r="Y148" s="4" t="str">
        <x:v>Manufactured / unresolved</x:v>
      </x:c>
      <x:c r="Z148" s="4" t="str">
        <x:v>Material transfer</x:v>
      </x:c>
      <x:c r="AA148" s="4" t="str">
        <x:v>Mixed / unresolved</x:v>
      </x:c>
      <x:c r="AB148" s="4" t="str">
        <x:v>Solid part</x:v>
      </x:c>
      <x:c r="AC148" s="4" t="str">
        <x:v>Proposal</x:v>
      </x:c>
      <x:c r="AD148" s="4" t="str">
        <x:f>LOWER(A148&amp;"; "&amp;B148&amp;"; "&amp;C148&amp;"; "&amp;D148&amp;"; "&amp;W148&amp;"; "&amp;X148&amp;"; "&amp;Y148&amp;"; "&amp;Z148&amp;"; "&amp;AA148&amp;"; "&amp;AB148&amp;"; "&amp;AC148&amp;"; "&amp;U148)</x:f>
        <x:v>proposal.canister.coupling; feed-line coupling; crafting components; canister economy concept; container part; processed intermediate; manufactured / unresolved; material transfer; mixed / unresolved; solid part; proposal; sealing</x:v>
      </x:c>
      <x:c r="AE148" s="4" t="str">
        <x:v>From current item description. Proposed uses retain their existing approval status.</x:v>
      </x:c>
      <x:c r="AF148" s="4" t="str">
        <x:v>Unassigned</x:v>
      </x:c>
      <x:c r="AG148" s="4" t="str">
        <x:v>Choose a material/part route before assigning a tier. Processing-stage labels alone do not prove chain depth.</x:v>
      </x:c>
      <x:c r="AH148" s="4" t="str">
        <x:v>Not applicable</x:v>
      </x:c>
    </x:row>
    <x:row r="149" ht="95" customHeight="1">
      <x:c r="A149" s="9" t="str">
        <x:v>proposal.canister.mouthpiece</x:v>
      </x:c>
      <x:c r="B149" s="9" t="str">
        <x:v>Canister mouthpiece interface</x:v>
      </x:c>
      <x:c r="C149" s="9" t="str">
        <x:v>Crafting components</x:v>
      </x:c>
      <x:c r="D149" s="9" t="str">
        <x:v>Canister economy concept</x:v>
      </x:c>
      <x:c r="E149" s="9" t="str">
        <x:v>New proposal</x:v>
      </x:c>
      <x:c r="F149" s="9" t="str">
        <x:v>Personal delivery interface candidate</x:v>
      </x:c>
      <x:c r="G149" s="9" t="str">
        <x:v>Unassigned; part/fit ownership TBD</x:v>
      </x:c>
      <x:c r="H149" s="9" t="str">
        <x:v>Resource/component cargo or permitted Booter kit; policy TBD</x:v>
      </x:c>
      <x:c r="I149" s="13"/>
      <x:c r="J149" s="15"/>
      <x:c r="K149" s="9" t="str">
        <x:v>Specialist craft/trade/service candidate; no recipe authored</x:v>
      </x:c>
      <x:c r="L149" s="9" t="str">
        <x:v>Proposed material: Qualified body-contact material TBD</x:v>
      </x:c>
      <x:c r="M149" s="9" t="str">
        <x:v>Not implemented</x:v>
      </x:c>
      <x:c r="N149" s="9" t="str">
        <x:v>Game algae-use and breathing systems are unchanged; anatomy and hygiene design needed</x:v>
      </x:c>
      <x:c r="O149" s="17"/>
      <x:c r="P149" s="17"/>
      <x:c r="Q149" s="17"/>
      <x:c r="R149" s="17"/>
      <x:c r="S149" s="17"/>
      <x:c r="T149" s="9" t="str">
        <x:v>Source describes mouthpiece/collar interfaces. Source systems are proposals; precision skill and suitable material may affect value, but no prices or lifetime values assigned.</x:v>
      </x:c>
      <x:c r="U149" s="11"/>
      <x:c r="V149" s="9" t="str">
        <x:v>New game item concept October 14, 2026. Source proposal: https://github.com/sleepyseamonster/Arc-Dust/blob/f6f98515c005dc3c73cccd9cbc031691745740c6/02-Arc-Dust-Worldbuilding/world/economy/canister/carry-styles.md</x:v>
      </x:c>
      <x:c r="W149" s="4" t="str">
        <x:v>Container part</x:v>
      </x:c>
      <x:c r="X149" s="4" t="str">
        <x:v>Processed intermediate</x:v>
      </x:c>
      <x:c r="Y149" s="4" t="str">
        <x:v>Manufactured / unresolved</x:v>
      </x:c>
      <x:c r="Z149" s="4" t="str">
        <x:v>Survival provision</x:v>
      </x:c>
      <x:c r="AA149" s="4" t="str">
        <x:v>Mixed / unresolved</x:v>
      </x:c>
      <x:c r="AB149" s="4" t="str">
        <x:v>Solid part</x:v>
      </x:c>
      <x:c r="AC149" s="4" t="str">
        <x:v>Proposal</x:v>
      </x:c>
      <x:c r="AD149" s="4" t="str">
        <x:f>LOWER(A149&amp;"; "&amp;B149&amp;"; "&amp;C149&amp;"; "&amp;D149&amp;"; "&amp;W149&amp;"; "&amp;X149&amp;"; "&amp;Y149&amp;"; "&amp;Z149&amp;"; "&amp;AA149&amp;"; "&amp;AB149&amp;"; "&amp;AC149&amp;"; "&amp;U149)</x:f>
        <x:v>proposal.canister.mouthpiece; canister mouthpiece interface; crafting components; canister economy concept; container part; processed intermediate; manufactured / unresolved; survival provision; mixed / unresolved; solid part; proposal; </x:v>
      </x:c>
      <x:c r="AE149" s="4" t="str">
        <x:v>From current item description. Proposed uses retain their existing approval status.</x:v>
      </x:c>
      <x:c r="AF149" s="4" t="str">
        <x:v>Unassigned</x:v>
      </x:c>
      <x:c r="AG149" s="4" t="str">
        <x:v>Choose a material/part route before assigning a tier. Processing-stage labels alone do not prove chain depth.</x:v>
      </x:c>
      <x:c r="AH149" s="4" t="str">
        <x:v>Not applicable</x:v>
      </x:c>
    </x:row>
    <x:row r="150" ht="95" customHeight="1">
      <x:c r="A150" s="9" t="str">
        <x:v>proposal.canister.window</x:v>
      </x:c>
      <x:c r="B150" s="9" t="str">
        <x:v>Canister viewing-port insert</x:v>
      </x:c>
      <x:c r="C150" s="9" t="str">
        <x:v>Crafting components</x:v>
      </x:c>
      <x:c r="D150" s="9" t="str">
        <x:v>Canister economy concept</x:v>
      </x:c>
      <x:c r="E150" s="9" t="str">
        <x:v>New proposal</x:v>
      </x:c>
      <x:c r="F150" s="9" t="str">
        <x:v>Inspect a compatible interior without opening it</x:v>
      </x:c>
      <x:c r="G150" s="9" t="str">
        <x:v>Unassigned; part/fit ownership TBD</x:v>
      </x:c>
      <x:c r="H150" s="9" t="str">
        <x:v>Resource/component cargo or permitted Booter kit; policy TBD</x:v>
      </x:c>
      <x:c r="I150" s="13"/>
      <x:c r="J150" s="15"/>
      <x:c r="K150" s="9" t="str">
        <x:v>Specialist craft/trade/service candidate; no recipe authored</x:v>
      </x:c>
      <x:c r="L150" s="9" t="str">
        <x:v>Proposed material: Clear glass and fitted retaining seat</x:v>
      </x:c>
      <x:c r="M150" s="9" t="str">
        <x:v>Not implemented</x:v>
      </x:c>
      <x:c r="N150" s="9" t="str">
        <x:v>Clear glass craft cost; no automatic fill sensor, pressure certification or new HUD</x:v>
      </x:c>
      <x:c r="O150" s="17"/>
      <x:c r="P150" s="17"/>
      <x:c r="Q150" s="17"/>
      <x:c r="R150" s="17"/>
      <x:c r="S150" s="17"/>
      <x:c r="T150" s="9" t="str">
        <x:v>Glass source and canister craft describe viewing ports. Source systems are proposals; precision skill and suitable material may affect value, but no prices or lifetime values assigned.</x:v>
      </x:c>
      <x:c r="U150" s="11"/>
      <x:c r="V150" s="9" t="str">
        <x:v>New game item concept October 14, 2026. Source proposal: https://github.com/sleepyseamonster/Arc-Dust/blob/f6f98515c005dc3c73cccd9cbc031691745740c6/02-Arc-Dust-Worldbuilding/world/materials/glass.md</x:v>
      </x:c>
      <x:c r="W150" s="4" t="str">
        <x:v>Container part</x:v>
      </x:c>
      <x:c r="X150" s="4" t="str">
        <x:v>Processed intermediate</x:v>
      </x:c>
      <x:c r="Y150" s="4" t="str">
        <x:v>Manufactured / unresolved</x:v>
      </x:c>
      <x:c r="Z150" s="4" t="str">
        <x:v>Inspection</x:v>
      </x:c>
      <x:c r="AA150" s="4" t="str">
        <x:v>Glass</x:v>
      </x:c>
      <x:c r="AB150" s="4" t="str">
        <x:v>Solid part</x:v>
      </x:c>
      <x:c r="AC150" s="4" t="str">
        <x:v>Proposal</x:v>
      </x:c>
      <x:c r="AD150" s="4" t="str">
        <x:f>LOWER(A150&amp;"; "&amp;B150&amp;"; "&amp;C150&amp;"; "&amp;D150&amp;"; "&amp;W150&amp;"; "&amp;X150&amp;"; "&amp;Y150&amp;"; "&amp;Z150&amp;"; "&amp;AA150&amp;"; "&amp;AB150&amp;"; "&amp;AC150&amp;"; "&amp;U150)</x:f>
        <x:v>proposal.canister.window; canister viewing-port insert; crafting components; canister economy concept; container part; processed intermediate; manufactured / unresolved; inspection; glass; solid part; proposal; </x:v>
      </x:c>
      <x:c r="AE150" s="4" t="str">
        <x:v>From current item description. Proposed uses retain their existing approval status.</x:v>
      </x:c>
      <x:c r="AF150" s="4" t="str">
        <x:v>Unassigned</x:v>
      </x:c>
      <x:c r="AG150" s="4" t="str">
        <x:v>Choose a material/part route before assigning a tier. Processing-stage labels alone do not prove chain depth.</x:v>
      </x:c>
      <x:c r="AH150" s="4" t="str">
        <x:v>Not applicable</x:v>
      </x:c>
    </x:row>
    <x:row r="151" ht="95" customHeight="1">
      <x:c r="A151" s="9" t="str">
        <x:v>proposal.canister.mount</x:v>
      </x:c>
      <x:c r="B151" s="9" t="str">
        <x:v>Canister mounting bracket</x:v>
      </x:c>
      <x:c r="C151" s="9" t="str">
        <x:v>Crafting components</x:v>
      </x:c>
      <x:c r="D151" s="9" t="str">
        <x:v>Canister economy concept</x:v>
      </x:c>
      <x:c r="E151" s="9" t="str">
        <x:v>New proposal</x:v>
      </x:c>
      <x:c r="F151" s="9" t="str">
        <x:v>Attach one canister to a fitted carrier</x:v>
      </x:c>
      <x:c r="G151" s="9" t="str">
        <x:v>Unassigned; part/fit ownership TBD</x:v>
      </x:c>
      <x:c r="H151" s="9" t="str">
        <x:v>Resource/component cargo or permitted Booter kit; policy TBD</x:v>
      </x:c>
      <x:c r="I151" s="13"/>
      <x:c r="J151" s="15"/>
      <x:c r="K151" s="9" t="str">
        <x:v>Specialist craft/trade/service candidate; no recipe authored</x:v>
      </x:c>
      <x:c r="L151" s="9" t="str">
        <x:v>Proposed material: Metal bracket and retainers</x:v>
      </x:c>
      <x:c r="M151" s="9" t="str">
        <x:v>Not implemented</x:v>
      </x:c>
      <x:c r="N151" s="9" t="str">
        <x:v>Coexist with armor, cloak, backpack, magnets and grounding equipment; no new slot authority</x:v>
      </x:c>
      <x:c r="O151" s="17"/>
      <x:c r="P151" s="17"/>
      <x:c r="Q151" s="17"/>
      <x:c r="R151" s="17"/>
      <x:c r="S151" s="17"/>
      <x:c r="T151" s="9" t="str">
        <x:v>Source explicitly separates fitments from body/seal. Source systems are proposals; precision skill and suitable material may affect value, but no prices or lifetime values assigned.</x:v>
      </x:c>
      <x:c r="U151" s="11"/>
      <x:c r="V151" s="9" t="str">
        <x:v>New game item concept October 14, 2026. Source proposal: https://github.com/sleepyseamonster/Arc-Dust/blob/f6f98515c005dc3c73cccd9cbc031691745740c6/02-Arc-Dust-Worldbuilding/world/economy/canister/caster-craft.md</x:v>
      </x:c>
      <x:c r="W151" s="4" t="str">
        <x:v>Container part</x:v>
      </x:c>
      <x:c r="X151" s="4" t="str">
        <x:v>Processed intermediate</x:v>
      </x:c>
      <x:c r="Y151" s="4" t="str">
        <x:v>Manufactured / unresolved</x:v>
      </x:c>
      <x:c r="Z151" s="4" t="str">
        <x:v>Equipment mounting</x:v>
      </x:c>
      <x:c r="AA151" s="4" t="str">
        <x:v>Mixed / unresolved</x:v>
      </x:c>
      <x:c r="AB151" s="4" t="str">
        <x:v>Solid part</x:v>
      </x:c>
      <x:c r="AC151" s="4" t="str">
        <x:v>Proposal</x:v>
      </x:c>
      <x:c r="AD151" s="4" t="str">
        <x:f>LOWER(A151&amp;"; "&amp;B151&amp;"; "&amp;C151&amp;"; "&amp;D151&amp;"; "&amp;W151&amp;"; "&amp;X151&amp;"; "&amp;Y151&amp;"; "&amp;Z151&amp;"; "&amp;AA151&amp;"; "&amp;AB151&amp;"; "&amp;AC151&amp;"; "&amp;U151)</x:f>
        <x:v>proposal.canister.mount; canister mounting bracket; crafting components; canister economy concept; container part; processed intermediate; manufactured / unresolved; equipment mounting; mixed / unresolved; solid part; proposal; </x:v>
      </x:c>
      <x:c r="AE151" s="4" t="str">
        <x:v>From current item description. Proposed uses retain their existing approval status.</x:v>
      </x:c>
      <x:c r="AF151" s="4" t="str">
        <x:v>Unassigned</x:v>
      </x:c>
      <x:c r="AG151" s="4" t="str">
        <x:v>Choose a material/part route before assigning a tier. Processing-stage labels alone do not prove chain depth.</x:v>
      </x:c>
      <x:c r="AH151" s="4" t="str">
        <x:v>Not applicable</x:v>
      </x:c>
    </x:row>
    <x:row r="152" ht="95" customHeight="1">
      <x:c r="A152" s="9" t="str">
        <x:v>proposal.canister.harness</x:v>
      </x:c>
      <x:c r="B152" s="9" t="str">
        <x:v>Fitted canister harness</x:v>
      </x:c>
      <x:c r="C152" s="9" t="str">
        <x:v>Equipment</x:v>
      </x:c>
      <x:c r="D152" s="9" t="str">
        <x:v>Canister economy concept</x:v>
      </x:c>
      <x:c r="E152" s="9" t="str">
        <x:v>New proposal</x:v>
      </x:c>
      <x:c r="F152" s="9" t="str">
        <x:v>Wear a canister in a selected carry arrangement</x:v>
      </x:c>
      <x:c r="G152" s="9" t="str">
        <x:v>Unassigned; part/fit ownership TBD</x:v>
      </x:c>
      <x:c r="H152" s="9" t="str">
        <x:v>Resource/component cargo or permitted Booter kit; policy TBD</x:v>
      </x:c>
      <x:c r="I152" s="13"/>
      <x:c r="J152" s="15"/>
      <x:c r="K152" s="9" t="str">
        <x:v>Specialist craft/trade/service candidate; no recipe authored</x:v>
      </x:c>
      <x:c r="L152" s="9" t="str">
        <x:v>Proposed material: Metal/shell carrier; minimal-fur contact material or difficult husk material proposed</x:v>
      </x:c>
      <x:c r="M152" s="9" t="str">
        <x:v>Not implemented</x:v>
      </x:c>
      <x:c r="N152" s="9" t="str">
        <x:v>Exact harness material and capacities unresolved; no cloth straps or changed trial equipment slots</x:v>
      </x:c>
      <x:c r="O152" s="17"/>
      <x:c r="P152" s="17"/>
      <x:c r="Q152" s="17"/>
      <x:c r="R152" s="17"/>
      <x:c r="S152" s="17"/>
      <x:c r="T152" s="9" t="str">
        <x:v>Source chest/hip/back/cross-body carry styles. Source systems are proposals; precision skill and suitable material may affect value, but no prices or lifetime values assigned.</x:v>
      </x:c>
      <x:c r="U152" s="11"/>
      <x:c r="V152" s="9" t="str">
        <x:v>New game item concept October 14, 2026. Source proposal: https://github.com/sleepyseamonster/Arc-Dust/blob/f6f98515c005dc3c73cccd9cbc031691745740c6/02-Arc-Dust-Worldbuilding/world/economy/canister/carry-styles.md</x:v>
      </x:c>
      <x:c r="W152" s="4" t="str">
        <x:v>Carrier</x:v>
      </x:c>
      <x:c r="X152" s="4" t="str">
        <x:v>Finished item</x:v>
      </x:c>
      <x:c r="Y152" s="4" t="str">
        <x:v>Manufactured / unresolved</x:v>
      </x:c>
      <x:c r="Z152" s="4" t="str">
        <x:v>Equipment mounting</x:v>
      </x:c>
      <x:c r="AA152" s="4" t="str">
        <x:v>Mixed / unresolved</x:v>
      </x:c>
      <x:c r="AB152" s="4" t="str">
        <x:v>Assembly</x:v>
      </x:c>
      <x:c r="AC152" s="4" t="str">
        <x:v>Proposal</x:v>
      </x:c>
      <x:c r="AD152" s="4" t="str">
        <x:f>LOWER(A152&amp;"; "&amp;B152&amp;"; "&amp;C152&amp;"; "&amp;D152&amp;"; "&amp;W152&amp;"; "&amp;X152&amp;"; "&amp;Y152&amp;"; "&amp;Z152&amp;"; "&amp;AA152&amp;"; "&amp;AB152&amp;"; "&amp;AC152&amp;"; "&amp;U152)</x:f>
        <x:v>proposal.canister.harness; fitted canister harness; equipment; canister economy concept; carrier; finished item; manufactured / unresolved; equipment mounting; mixed / unresolved; assembly; proposal; </x:v>
      </x:c>
      <x:c r="AE152" s="4" t="str">
        <x:v>From current item description. Proposed uses retain their existing approval status.</x:v>
      </x:c>
      <x:c r="AF152" s="4" t="str">
        <x:v>Finished item</x:v>
      </x:c>
      <x:c r="AG152" s="4" t="str">
        <x:v>Completed gear, vessel, food or tool can stop at its chosen material tier; it need not climb to T4.</x:v>
      </x:c>
      <x:c r="AH152" s="4" t="str">
        <x:v>Unassigned</x:v>
      </x:c>
    </x:row>
    <x:row r="153" ht="95" customHeight="1">
      <x:c r="A153" s="9" t="str">
        <x:v>proposal.canister.inspection_gauge</x:v>
      </x:c>
      <x:c r="B153" s="9" t="str">
        <x:v>Seal inspection gauge</x:v>
      </x:c>
      <x:c r="C153" s="9" t="str">
        <x:v>Equipment</x:v>
      </x:c>
      <x:c r="D153" s="9" t="str">
        <x:v>Canister economy concept</x:v>
      </x:c>
      <x:c r="E153" s="9" t="str">
        <x:v>New proposal</x:v>
      </x:c>
      <x:c r="F153" s="9" t="str">
        <x:v>Specialist workshop inspection aid</x:v>
      </x:c>
      <x:c r="G153" s="9" t="str">
        <x:v>Unassigned; part/fit ownership TBD</x:v>
      </x:c>
      <x:c r="H153" s="9" t="str">
        <x:v>Resource/component cargo or permitted Booter kit; policy TBD</x:v>
      </x:c>
      <x:c r="I153" s="13"/>
      <x:c r="J153" s="15"/>
      <x:c r="K153" s="9" t="str">
        <x:v>Specialist craft/trade/service candidate; no recipe authored</x:v>
      </x:c>
      <x:c r="L153" s="9" t="str">
        <x:v>Proposed material: Precision metal/glass tool candidate</x:v>
      </x:c>
      <x:c r="M153" s="9" t="str">
        <x:v>Not implemented</x:v>
      </x:c>
      <x:c r="N153" s="9" t="str">
        <x:v>No numerical pressure behavior or mandatory recurring inspection chore introduced</x:v>
      </x:c>
      <x:c r="O153" s="17"/>
      <x:c r="P153" s="17"/>
      <x:c r="Q153" s="17"/>
      <x:c r="R153" s="17"/>
      <x:c r="S153" s="17"/>
      <x:c r="T153" s="9" t="str">
        <x:v>New tool idea inspired by source seal checks/testing. Source systems are proposals; precision skill and suitable material may affect value, but no prices or lifetime values assigned.</x:v>
      </x:c>
      <x:c r="U153" s="11"/>
      <x:c r="V153" s="9" t="str">
        <x:v>New game item concept October 14, 2026. Source proposal: https://github.com/sleepyseamonster/Arc-Dust/blob/f6f98515c005dc3c73cccd9cbc031691745740c6/02-Arc-Dust-Worldbuilding/world/economy/canister/daily-ritual.md</x:v>
      </x:c>
      <x:c r="W153" s="4" t="str">
        <x:v>Tool</x:v>
      </x:c>
      <x:c r="X153" s="4" t="str">
        <x:v>Finished item</x:v>
      </x:c>
      <x:c r="Y153" s="4" t="str">
        <x:v>Manufactured / unresolved</x:v>
      </x:c>
      <x:c r="Z153" s="4" t="str">
        <x:v>Inspection</x:v>
      </x:c>
      <x:c r="AA153" s="4" t="str">
        <x:v>Mixed / unresolved</x:v>
      </x:c>
      <x:c r="AB153" s="4" t="str">
        <x:v>Assembly</x:v>
      </x:c>
      <x:c r="AC153" s="4" t="str">
        <x:v>Proposal</x:v>
      </x:c>
      <x:c r="AD153" s="4" t="str">
        <x:f>LOWER(A153&amp;"; "&amp;B153&amp;"; "&amp;C153&amp;"; "&amp;D153&amp;"; "&amp;W153&amp;"; "&amp;X153&amp;"; "&amp;Y153&amp;"; "&amp;Z153&amp;"; "&amp;AA153&amp;"; "&amp;AB153&amp;"; "&amp;AC153&amp;"; "&amp;U153)</x:f>
        <x:v>proposal.canister.inspection_gauge; seal inspection gauge; equipment; canister economy concept; tool; finished item; manufactured / unresolved; inspection; mixed / unresolved; assembly; proposal; </x:v>
      </x:c>
      <x:c r="AE153" s="4" t="str">
        <x:v>From current item description. Proposed uses retain their existing approval status.</x:v>
      </x:c>
      <x:c r="AF153" s="4" t="str">
        <x:v>Finished item</x:v>
      </x:c>
      <x:c r="AG153" s="4" t="str">
        <x:v>Completed gear, vessel, food or tool can stop at its chosen material tier; it need not climb to T4.</x:v>
      </x:c>
      <x:c r="AH153" s="4" t="str">
        <x:v>Unassigned</x:v>
      </x:c>
    </x:row>
    <x:row r="154" ht="95" customHeight="1">
      <x:c r="A154" s="9" t="str">
        <x:v>proposal.canister.service_kit</x:v>
      </x:c>
      <x:c r="B154" s="9" t="str">
        <x:v>Canister service kit</x:v>
      </x:c>
      <x:c r="C154" s="9" t="str">
        <x:v>Field supplies</x:v>
      </x:c>
      <x:c r="D154" s="9" t="str">
        <x:v>Canister economy concept</x:v>
      </x:c>
      <x:c r="E154" s="9" t="str">
        <x:v>New proposal</x:v>
      </x:c>
      <x:c r="F154" s="9" t="str">
        <x:v>Carry a selected set of compatible spare seals/fittings</x:v>
      </x:c>
      <x:c r="G154" s="9" t="str">
        <x:v>Unassigned; part/fit ownership TBD</x:v>
      </x:c>
      <x:c r="H154" s="9" t="str">
        <x:v>Resource/component cargo or permitted Booter kit; policy TBD</x:v>
      </x:c>
      <x:c r="I154" s="13"/>
      <x:c r="J154" s="15"/>
      <x:c r="K154" s="9" t="str">
        <x:v>Specialist craft/trade/service candidate; no recipe authored</x:v>
      </x:c>
      <x:c r="L154" s="9" t="str">
        <x:v>Proposed material: Existing candidate parts in a fitted case</x:v>
      </x:c>
      <x:c r="M154" s="9" t="str">
        <x:v>Not implemented</x:v>
      </x:c>
      <x:c r="N154" s="9" t="str">
        <x:v>Bundle contents count once and occupy finite capacity; recipe/quantity and repair action unapproved</x:v>
      </x:c>
      <x:c r="O154" s="17"/>
      <x:c r="P154" s="17"/>
      <x:c r="Q154" s="17"/>
      <x:c r="R154" s="17"/>
      <x:c r="S154" s="17"/>
      <x:c r="T154" s="9" t="str">
        <x:v>Source caravan carry includes repair kits/spare seals. Source systems are proposals; precision skill and suitable material may affect value, but no prices or lifetime values assigned.</x:v>
      </x:c>
      <x:c r="U154" s="11" t="str">
        <x:v>sealing</x:v>
      </x:c>
      <x:c r="V154" s="9" t="str">
        <x:v>New game item concept October 14, 2026. Source proposal: https://github.com/sleepyseamonster/Arc-Dust/blob/f6f98515c005dc3c73cccd9cbc031691745740c6/02-Arc-Dust-Worldbuilding/world/economy/canister/carry-styles.md</x:v>
      </x:c>
      <x:c r="W154" s="4" t="str">
        <x:v>Service kit</x:v>
      </x:c>
      <x:c r="X154" s="4" t="str">
        <x:v>Finished item</x:v>
      </x:c>
      <x:c r="Y154" s="4" t="str">
        <x:v>Manufactured / unresolved</x:v>
      </x:c>
      <x:c r="Z154" s="4" t="str">
        <x:v>Equipment repair</x:v>
      </x:c>
      <x:c r="AA154" s="4" t="str">
        <x:v>Mixed / unresolved</x:v>
      </x:c>
      <x:c r="AB154" s="4" t="str">
        <x:v>Assembly</x:v>
      </x:c>
      <x:c r="AC154" s="4" t="str">
        <x:v>Proposal</x:v>
      </x:c>
      <x:c r="AD154" s="4" t="str">
        <x:f>LOWER(A154&amp;"; "&amp;B154&amp;"; "&amp;C154&amp;"; "&amp;D154&amp;"; "&amp;W154&amp;"; "&amp;X154&amp;"; "&amp;Y154&amp;"; "&amp;Z154&amp;"; "&amp;AA154&amp;"; "&amp;AB154&amp;"; "&amp;AC154&amp;"; "&amp;U154)</x:f>
        <x:v>proposal.canister.service_kit; canister service kit; field supplies; canister economy concept; service kit; finished item; manufactured / unresolved; equipment repair; mixed / unresolved; assembly; proposal; sealing</x:v>
      </x:c>
      <x:c r="AE154" s="4" t="str">
        <x:v>From current item description. Proposed uses retain their existing approval status.</x:v>
      </x:c>
      <x:c r="AF154" s="4" t="str">
        <x:v>Finished item</x:v>
      </x:c>
      <x:c r="AG154" s="4" t="str">
        <x:v>Completed gear, vessel, food or tool can stop at its chosen material tier; it need not climb to T4.</x:v>
      </x:c>
      <x:c r="AH154" s="4" t="str">
        <x:v>Unassigned</x:v>
      </x:c>
    </x:row>
    <x:row r="155" ht="95" customHeight="1">
      <x:c r="A155" s="9" t="str">
        <x:v>proposal.canister.maker_plate</x:v>
      </x:c>
      <x:c r="B155" s="9" t="str">
        <x:v>Canister maker plate</x:v>
      </x:c>
      <x:c r="C155" s="9" t="str">
        <x:v>Crafting components</x:v>
      </x:c>
      <x:c r="D155" s="9" t="str">
        <x:v>Canister economy concept</x:v>
      </x:c>
      <x:c r="E155" s="9" t="str">
        <x:v>New proposal</x:v>
      </x:c>
      <x:c r="F155" s="9" t="str">
        <x:v>Visible craft provenance or personal decoration</x:v>
      </x:c>
      <x:c r="G155" s="9" t="str">
        <x:v>Unassigned; part/fit ownership TBD</x:v>
      </x:c>
      <x:c r="H155" s="9" t="str">
        <x:v>Resource/component cargo or permitted Booter kit; policy TBD</x:v>
      </x:c>
      <x:c r="I155" s="13"/>
      <x:c r="J155" s="15"/>
      <x:c r="K155" s="9" t="str">
        <x:v>Specialist craft/trade/service candidate; no recipe authored</x:v>
      </x:c>
      <x:c r="L155" s="9" t="str">
        <x:v>Proposed material: Engraved metal; exact format TBD</x:v>
      </x:c>
      <x:c r="M155" s="9" t="str">
        <x:v>Not implemented</x:v>
      </x:c>
      <x:c r="N155" s="9" t="str">
        <x:v>Not functional seal quality, an achievement award or a verified authenticity system by itself</x:v>
      </x:c>
      <x:c r="O155" s="17"/>
      <x:c r="P155" s="17"/>
      <x:c r="Q155" s="17"/>
      <x:c r="R155" s="17"/>
      <x:c r="S155" s="17"/>
      <x:c r="T155" s="9" t="str">
        <x:v>Source guild marks and maker reputation. Source systems are proposals; precision skill and suitable material may affect value, but no prices or lifetime values assigned.</x:v>
      </x:c>
      <x:c r="U155" s="11" t="str">
        <x:v>decoration</x:v>
      </x:c>
      <x:c r="V155" s="9" t="str">
        <x:v>New game item concept October 14, 2026. Source proposal: https://github.com/sleepyseamonster/Arc-Dust/blob/f6f98515c005dc3c73cccd9cbc031691745740c6/02-Arc-Dust-Worldbuilding/world/economy/canister-identity.md</x:v>
      </x:c>
      <x:c r="W155" s="4" t="str">
        <x:v>Crafting component</x:v>
      </x:c>
      <x:c r="X155" s="4" t="str">
        <x:v>Processed intermediate</x:v>
      </x:c>
      <x:c r="Y155" s="4" t="str">
        <x:v>Manufactured / unresolved</x:v>
      </x:c>
      <x:c r="Z155" s="4" t="str">
        <x:v>Provenance</x:v>
      </x:c>
      <x:c r="AA155" s="4" t="str">
        <x:v>Mixed / unresolved</x:v>
      </x:c>
      <x:c r="AB155" s="4" t="str">
        <x:v>Solid part</x:v>
      </x:c>
      <x:c r="AC155" s="4" t="str">
        <x:v>Proposal</x:v>
      </x:c>
      <x:c r="AD155" s="4" t="str">
        <x:f>LOWER(A155&amp;"; "&amp;B155&amp;"; "&amp;C155&amp;"; "&amp;D155&amp;"; "&amp;W155&amp;"; "&amp;X155&amp;"; "&amp;Y155&amp;"; "&amp;Z155&amp;"; "&amp;AA155&amp;"; "&amp;AB155&amp;"; "&amp;AC155&amp;"; "&amp;U155)</x:f>
        <x:v>proposal.canister.maker_plate; canister maker plate; crafting components; canister economy concept; crafting component; processed intermediate; manufactured / unresolved; provenance; mixed / unresolved; solid part; proposal; decoration</x:v>
      </x:c>
      <x:c r="AE155" s="4" t="str">
        <x:v>From current item description. Proposed uses retain their existing approval status.</x:v>
      </x:c>
      <x:c r="AF155" s="4" t="str">
        <x:v>Unassigned</x:v>
      </x:c>
      <x:c r="AG155" s="4" t="str">
        <x:v>Choose a material/part route before assigning a tier. Processing-stage labels alone do not prove chain depth.</x:v>
      </x:c>
      <x:c r="AH155" s="4" t="str">
        <x:v>Not applicable</x:v>
      </x:c>
    </x:row>
    <x:row r="156" ht="95" customHeight="1">
      <x:c r="A156" s="9" t="str">
        <x:v>proposal.canister.trim</x:v>
      </x:c>
      <x:c r="B156" s="9" t="str">
        <x:v>Decorative canister panel</x:v>
      </x:c>
      <x:c r="C156" s="9" t="str">
        <x:v>Crafting components</x:v>
      </x:c>
      <x:c r="D156" s="9" t="str">
        <x:v>Canister economy concept</x:v>
      </x:c>
      <x:c r="E156" s="9" t="str">
        <x:v>New proposal</x:v>
      </x:c>
      <x:c r="F156" s="9" t="str">
        <x:v>Nonstructural custom finish candidate</x:v>
      </x:c>
      <x:c r="G156" s="9" t="str">
        <x:v>Unassigned; part/fit ownership TBD</x:v>
      </x:c>
      <x:c r="H156" s="9" t="str">
        <x:v>Resource/component cargo or permitted Booter kit; policy TBD</x:v>
      </x:c>
      <x:c r="I156" s="13"/>
      <x:c r="J156" s="15"/>
      <x:c r="K156" s="9" t="str">
        <x:v>Specialist craft/trade/service candidate; no recipe authored</x:v>
      </x:c>
      <x:c r="L156" s="9" t="str">
        <x:v>Proposed material: Worked metal/shell; fashion-grade inlay optional</x:v>
      </x:c>
      <x:c r="M156" s="9" t="str">
        <x:v>Not implemented</x:v>
      </x:c>
      <x:c r="N156" s="9" t="str">
        <x:v>Decoration remains separate from seal/body functionality; material requirements and price TBD</x:v>
      </x:c>
      <x:c r="O156" s="17"/>
      <x:c r="P156" s="17"/>
      <x:c r="Q156" s="17"/>
      <x:c r="R156" s="17"/>
      <x:c r="S156" s="17"/>
      <x:c r="T156" s="9" t="str">
        <x:v>Source engravings, surface work and identity. Source systems are proposals; precision skill and suitable material may affect value, but no prices or lifetime values assigned.</x:v>
      </x:c>
      <x:c r="U156" s="11"/>
      <x:c r="V156" s="9" t="str">
        <x:v>New game item concept October 14, 2026. Source proposal: https://github.com/sleepyseamonster/Arc-Dust/blob/f6f98515c005dc3c73cccd9cbc031691745740c6/02-Arc-Dust-Worldbuilding/world/economy/canister-identity.md</x:v>
      </x:c>
      <x:c r="W156" s="4" t="str">
        <x:v>Crafting component</x:v>
      </x:c>
      <x:c r="X156" s="4" t="str">
        <x:v>Processed intermediate</x:v>
      </x:c>
      <x:c r="Y156" s="4" t="str">
        <x:v>Manufactured / unresolved</x:v>
      </x:c>
      <x:c r="Z156" s="4" t="str">
        <x:v>Decoration</x:v>
      </x:c>
      <x:c r="AA156" s="4" t="str">
        <x:v>Mixed / unresolved</x:v>
      </x:c>
      <x:c r="AB156" s="4" t="str">
        <x:v>Solid part</x:v>
      </x:c>
      <x:c r="AC156" s="4" t="str">
        <x:v>Proposal</x:v>
      </x:c>
      <x:c r="AD156" s="4" t="str">
        <x:f>LOWER(A156&amp;"; "&amp;B156&amp;"; "&amp;C156&amp;"; "&amp;D156&amp;"; "&amp;W156&amp;"; "&amp;X156&amp;"; "&amp;Y156&amp;"; "&amp;Z156&amp;"; "&amp;AA156&amp;"; "&amp;AB156&amp;"; "&amp;AC156&amp;"; "&amp;U156)</x:f>
        <x:v>proposal.canister.trim; decorative canister panel; crafting components; canister economy concept; crafting component; processed intermediate; manufactured / unresolved; decoration; mixed / unresolved; solid part; proposal; </x:v>
      </x:c>
      <x:c r="AE156" s="4" t="str">
        <x:v>From current item description. Proposed uses retain their existing approval status.</x:v>
      </x:c>
      <x:c r="AF156" s="4" t="str">
        <x:v>Unassigned</x:v>
      </x:c>
      <x:c r="AG156" s="4" t="str">
        <x:v>Choose a material/part route before assigning a tier. Processing-stage labels alone do not prove chain depth.</x:v>
      </x:c>
      <x:c r="AH156" s="4" t="str">
        <x:v>Not applicable</x:v>
      </x:c>
    </x:row>
    <x:row r="157" ht="95" customHeight="1">
      <x:c r="A157" s="9" t="str">
        <x:v>proposal.canister.endcap</x:v>
      </x:c>
      <x:c r="B157" s="9" t="str">
        <x:v>Canister protective endcap</x:v>
      </x:c>
      <x:c r="C157" s="9" t="str">
        <x:v>Crafting components</x:v>
      </x:c>
      <x:c r="D157" s="9" t="str">
        <x:v>Canister economy concept</x:v>
      </x:c>
      <x:c r="E157" s="9" t="str">
        <x:v>New proposal</x:v>
      </x:c>
      <x:c r="F157" s="9" t="str">
        <x:v>Outer impact/dust guard candidate</x:v>
      </x:c>
      <x:c r="G157" s="9" t="str">
        <x:v>Unassigned; part/fit ownership TBD</x:v>
      </x:c>
      <x:c r="H157" s="9" t="str">
        <x:v>Resource/component cargo or permitted Booter kit; policy TBD</x:v>
      </x:c>
      <x:c r="I157" s="13"/>
      <x:c r="J157" s="15"/>
      <x:c r="K157" s="9" t="str">
        <x:v>Specialist craft/trade/service candidate; no recipe authored</x:v>
      </x:c>
      <x:c r="L157" s="9" t="str">
        <x:v>Proposed material: Cheap shell outer guard or metal form proposed</x:v>
      </x:c>
      <x:c r="M157" s="9" t="str">
        <x:v>Not implemented</x:v>
      </x:c>
      <x:c r="N157" s="9" t="str">
        <x:v>Protective casing is not a pressure seal; no damage/breakage simulation approved</x:v>
      </x:c>
      <x:c r="O157" s="17"/>
      <x:c r="P157" s="17"/>
      <x:c r="Q157" s="17"/>
      <x:c r="R157" s="17"/>
      <x:c r="S157" s="17"/>
      <x:c r="T157" s="9" t="str">
        <x:v>New part inspired by source protective deep-operation casing. Source systems are proposals; precision skill and suitable material may affect value, but no prices or lifetime values assigned.</x:v>
      </x:c>
      <x:c r="U157" s="11" t="str">
        <x:v>dust exclusion</x:v>
      </x:c>
      <x:c r="V157" s="9" t="str">
        <x:v>New game item concept October 14, 2026. Source proposal: https://github.com/sleepyseamonster/Arc-Dust/blob/f6f98515c005dc3c73cccd9cbc031691745740c6/02-Arc-Dust-Worldbuilding/world/economy/canister/carry-styles.md</x:v>
      </x:c>
      <x:c r="W157" s="4" t="str">
        <x:v>Container part</x:v>
      </x:c>
      <x:c r="X157" s="4" t="str">
        <x:v>Processed intermediate</x:v>
      </x:c>
      <x:c r="Y157" s="4" t="str">
        <x:v>Manufactured / unresolved</x:v>
      </x:c>
      <x:c r="Z157" s="4" t="str">
        <x:v>Protection</x:v>
      </x:c>
      <x:c r="AA157" s="4" t="str">
        <x:v>Mixed / unresolved</x:v>
      </x:c>
      <x:c r="AB157" s="4" t="str">
        <x:v>Solid part</x:v>
      </x:c>
      <x:c r="AC157" s="4" t="str">
        <x:v>Proposal</x:v>
      </x:c>
      <x:c r="AD157" s="4" t="str">
        <x:f>LOWER(A157&amp;"; "&amp;B157&amp;"; "&amp;C157&amp;"; "&amp;D157&amp;"; "&amp;W157&amp;"; "&amp;X157&amp;"; "&amp;Y157&amp;"; "&amp;Z157&amp;"; "&amp;AA157&amp;"; "&amp;AB157&amp;"; "&amp;AC157&amp;"; "&amp;U157)</x:f>
        <x:v>proposal.canister.endcap; canister protective endcap; crafting components; canister economy concept; container part; processed intermediate; manufactured / unresolved; protection; mixed / unresolved; solid part; proposal; dust exclusion</x:v>
      </x:c>
      <x:c r="AE157" s="4" t="str">
        <x:v>From current item description. Proposed uses retain their existing approval status.</x:v>
      </x:c>
      <x:c r="AF157" s="4" t="str">
        <x:v>Unassigned</x:v>
      </x:c>
      <x:c r="AG157" s="4" t="str">
        <x:v>Choose a material/part route before assigning a tier. Processing-stage labels alone do not prove chain depth.</x:v>
      </x:c>
      <x:c r="AH157" s="4" t="str">
        <x:v>Not applicable</x:v>
      </x:c>
    </x:row>
    <x:row r="158" ht="100" customHeight="1">
      <x:c r="A158" s="9" t="str">
        <x:v>proposal.culture.icon</x:v>
      </x:c>
      <x:c r="B158" s="9" t="str">
        <x:v>Preserver icon token</x:v>
      </x:c>
      <x:c r="C158" s="9" t="str">
        <x:v>Cultural objects</x:v>
      </x:c>
      <x:c r="D158" s="9" t="str">
        <x:v>Religious</x:v>
      </x:c>
      <x:c r="E158" s="9" t="str">
        <x:v>New proposal</x:v>
      </x:c>
      <x:c r="F158" s="9" t="str">
        <x:v>Small devotional image carried or displayed</x:v>
      </x:c>
      <x:c r="G158" s="9" t="str">
        <x:v>Unassigned</x:v>
      </x:c>
      <x:c r="H158" s="9" t="str">
        <x:v>Personal kit / local storage eligibility TBD</x:v>
      </x:c>
      <x:c r="I158" s="13"/>
      <x:c r="J158" s="15"/>
      <x:c r="K158" s="9" t="str">
        <x:v>Craft, trade, gift or institutional custody; exact source TBD</x:v>
      </x:c>
      <x:c r="L158" s="9" t="str">
        <x:v>Material candidate: Stamped metal or carved shell</x:v>
      </x:c>
      <x:c r="M158" s="9" t="str">
        <x:v>Not implemented</x:v>
      </x:c>
      <x:c r="N158" s="9" t="str">
        <x:v>Symbolic object; no protective buff</x:v>
      </x:c>
      <x:c r="O158" s="17"/>
      <x:c r="P158" s="17"/>
      <x:c r="Q158" s="17"/>
      <x:c r="R158" s="17"/>
      <x:c r="S158" s="17"/>
      <x:c r="T158" s="9" t="str">
        <x:v>Plain stamped examples could be accessible; fine engraving is prestige work. Faith, political authority, ritual practice and prices remain proposals.</x:v>
      </x:c>
      <x:c r="U158" s="11"/>
      <x:c r="V158" s="9" t="str">
        <x:v>New game proposal inspired by proposal-stage lore: https://github.com/sleepyseamonster/Arc-Dust/blob/f6f98515c005dc3c73cccd9cbc031691745740c6/02-Arc-Dust-Worldbuilding/world/economy/canister/religious-traditions.md</x:v>
      </x:c>
      <x:c r="W158" s="4" t="str">
        <x:v>Cultural object</x:v>
      </x:c>
      <x:c r="X158" s="4" t="str">
        <x:v>Finished item</x:v>
      </x:c>
      <x:c r="Y158" s="4" t="str">
        <x:v>Manufactured / unresolved</x:v>
      </x:c>
      <x:c r="Z158" s="4" t="str">
        <x:v>Devotion</x:v>
      </x:c>
      <x:c r="AA158" s="4" t="str">
        <x:v>Metal or shell</x:v>
      </x:c>
      <x:c r="AB158" s="4" t="str">
        <x:v>Solid piece</x:v>
      </x:c>
      <x:c r="AC158" s="4" t="str">
        <x:v>Proposal</x:v>
      </x:c>
      <x:c r="AD158" s="4" t="str">
        <x:f>LOWER(A158&amp;"; "&amp;B158&amp;"; "&amp;C158&amp;"; "&amp;D158&amp;"; "&amp;W158&amp;"; "&amp;X158&amp;"; "&amp;Y158&amp;"; "&amp;Z158&amp;"; "&amp;AA158&amp;"; "&amp;AB158&amp;"; "&amp;AC158&amp;"; "&amp;U158)</x:f>
        <x:v>proposal.culture.icon; preserver icon token; cultural objects; religious; cultural object; finished item; manufactured / unresolved; devotion; metal or shell; solid piece; proposal; </x:v>
      </x:c>
      <x:c r="AE158" s="4" t="str">
        <x:v>From current item description. Proposed uses retain their existing approval status.</x:v>
      </x:c>
      <x:c r="AF158" s="4" t="str">
        <x:v>Finished item</x:v>
      </x:c>
      <x:c r="AG158" s="4" t="str">
        <x:v>Completed gear, vessel, food or tool can stop at its chosen material tier; it need not climb to T4.</x:v>
      </x:c>
      <x:c r="AH158" s="4" t="str">
        <x:v>Unassigned</x:v>
      </x:c>
    </x:row>
    <x:row r="159" ht="100" customHeight="1">
      <x:c r="A159" s="9" t="str">
        <x:v>proposal.culture.shrine</x:v>
      </x:c>
      <x:c r="B159" s="9" t="str">
        <x:v>Household shrine plaque</x:v>
      </x:c>
      <x:c r="C159" s="9" t="str">
        <x:v>Cultural objects</x:v>
      </x:c>
      <x:c r="D159" s="9" t="str">
        <x:v>Religious</x:v>
      </x:c>
      <x:c r="E159" s="9" t="str">
        <x:v>New proposal</x:v>
      </x:c>
      <x:c r="F159" s="9" t="str">
        <x:v>Small fixed place for household remembrance and devotion</x:v>
      </x:c>
      <x:c r="G159" s="9" t="str">
        <x:v>Unassigned</x:v>
      </x:c>
      <x:c r="H159" s="9" t="str">
        <x:v>Personal kit / local storage eligibility TBD</x:v>
      </x:c>
      <x:c r="I159" s="13"/>
      <x:c r="J159" s="15"/>
      <x:c r="K159" s="9" t="str">
        <x:v>Craft, trade, gift or institutional custody; exact source TBD</x:v>
      </x:c>
      <x:c r="L159" s="9" t="str">
        <x:v>Material candidate: Shell backing and metal motif</x:v>
      </x:c>
      <x:c r="M159" s="9" t="str">
        <x:v>Not implemented</x:v>
      </x:c>
      <x:c r="N159" s="9" t="str">
        <x:v>Household object; no temple system assumed</x:v>
      </x:c>
      <x:c r="O159" s="17"/>
      <x:c r="P159" s="17"/>
      <x:c r="Q159" s="17"/>
      <x:c r="R159" s="17"/>
      <x:c r="S159" s="17"/>
      <x:c r="T159" s="9" t="str">
        <x:v>Simple versions versus elaborate commissioned pieces. Faith, political authority, ritual practice and prices remain proposals.</x:v>
      </x:c>
      <x:c r="U159" s="11"/>
      <x:c r="V159" s="9" t="str">
        <x:v>New game proposal inspired by proposal-stage lore: https://github.com/sleepyseamonster/Arc-Dust/blob/f6f98515c005dc3c73cccd9cbc031691745740c6/02-Arc-Dust-Worldbuilding/world/economy/canister/religious-traditions.md</x:v>
      </x:c>
      <x:c r="W159" s="4" t="str">
        <x:v>Cultural object</x:v>
      </x:c>
      <x:c r="X159" s="4" t="str">
        <x:v>Finished item</x:v>
      </x:c>
      <x:c r="Y159" s="4" t="str">
        <x:v>Manufactured / unresolved</x:v>
      </x:c>
      <x:c r="Z159" s="4" t="str">
        <x:v>Devotion</x:v>
      </x:c>
      <x:c r="AA159" s="4" t="str">
        <x:v>Metal or shell</x:v>
      </x:c>
      <x:c r="AB159" s="4" t="str">
        <x:v>Panel</x:v>
      </x:c>
      <x:c r="AC159" s="4" t="str">
        <x:v>Proposal</x:v>
      </x:c>
      <x:c r="AD159" s="4" t="str">
        <x:f>LOWER(A159&amp;"; "&amp;B159&amp;"; "&amp;C159&amp;"; "&amp;D159&amp;"; "&amp;W159&amp;"; "&amp;X159&amp;"; "&amp;Y159&amp;"; "&amp;Z159&amp;"; "&amp;AA159&amp;"; "&amp;AB159&amp;"; "&amp;AC159&amp;"; "&amp;U159)</x:f>
        <x:v>proposal.culture.shrine; household shrine plaque; cultural objects; religious; cultural object; finished item; manufactured / unresolved; devotion; metal or shell; panel; proposal; </x:v>
      </x:c>
      <x:c r="AE159" s="4" t="str">
        <x:v>From current item description. Proposed uses retain their existing approval status.</x:v>
      </x:c>
      <x:c r="AF159" s="4" t="str">
        <x:v>Finished item</x:v>
      </x:c>
      <x:c r="AG159" s="4" t="str">
        <x:v>Completed gear, vessel, food or tool can stop at its chosen material tier; it need not climb to T4.</x:v>
      </x:c>
      <x:c r="AH159" s="4" t="str">
        <x:v>Unassigned</x:v>
      </x:c>
    </x:row>
    <x:row r="160" ht="100" customHeight="1">
      <x:c r="A160" s="9" t="str">
        <x:v>proposal.culture.altar_vial</x:v>
      </x:c>
      <x:c r="B160" s="9" t="str">
        <x:v>Altar display vial</x:v>
      </x:c>
      <x:c r="C160" s="9" t="str">
        <x:v>Cultural objects</x:v>
      </x:c>
      <x:c r="D160" s="9" t="str">
        <x:v>Religious</x:v>
      </x:c>
      <x:c r="E160" s="9" t="str">
        <x:v>New proposal</x:v>
      </x:c>
      <x:c r="F160" s="9" t="str">
        <x:v>Ceremonial display of a deliberately contained sacred sample</x:v>
      </x:c>
      <x:c r="G160" s="9" t="str">
        <x:v>Unassigned</x:v>
      </x:c>
      <x:c r="H160" s="9" t="str">
        <x:v>Personal kit / local storage eligibility TBD</x:v>
      </x:c>
      <x:c r="I160" s="13"/>
      <x:c r="J160" s="15"/>
      <x:c r="K160" s="9" t="str">
        <x:v>Craft, trade, gift or institutional custody; exact source TBD</x:v>
      </x:c>
      <x:c r="L160" s="9" t="str">
        <x:v>Material candidate: Fine sealed glass vessel and metal cradle</x:v>
      </x:c>
      <x:c r="M160" s="9" t="str">
        <x:v>Not implemented</x:v>
      </x:c>
      <x:c r="N160" s="9" t="str">
        <x:v>Source altar-vial concept; payload identity and viability unresolved; reuse vessel parts</x:v>
      </x:c>
      <x:c r="O160" s="17"/>
      <x:c r="P160" s="17"/>
      <x:c r="Q160" s="17"/>
      <x:c r="R160" s="17"/>
      <x:c r="S160" s="17"/>
      <x:c r="T160" s="9" t="str">
        <x:v>Fine glass and precision sealing suggest costly craftsmanship. Faith, political authority, ritual practice and prices remain proposals.</x:v>
      </x:c>
      <x:c r="U160" s="11" t="str">
        <x:v>liquid and bulk containment</x:v>
      </x:c>
      <x:c r="V160" s="9" t="str">
        <x:v>New game proposal inspired by proposal-stage lore: https://github.com/sleepyseamonster/Arc-Dust/blob/f6f98515c005dc3c73cccd9cbc031691745740c6/02-Arc-Dust-Worldbuilding/world/economy/canister/religious-traditions.md</x:v>
      </x:c>
      <x:c r="W160" s="4" t="str">
        <x:v>Container</x:v>
      </x:c>
      <x:c r="X160" s="4" t="str">
        <x:v>Finished item</x:v>
      </x:c>
      <x:c r="Y160" s="4" t="str">
        <x:v>Manufactured / unresolved</x:v>
      </x:c>
      <x:c r="Z160" s="4" t="str">
        <x:v>Ceremony</x:v>
      </x:c>
      <x:c r="AA160" s="4" t="str">
        <x:v>Glass and metal</x:v>
      </x:c>
      <x:c r="AB160" s="4" t="str">
        <x:v>Assembly</x:v>
      </x:c>
      <x:c r="AC160" s="4" t="str">
        <x:v>Proposal</x:v>
      </x:c>
      <x:c r="AD160" s="4" t="str">
        <x:f>LOWER(A160&amp;"; "&amp;B160&amp;"; "&amp;C160&amp;"; "&amp;D160&amp;"; "&amp;W160&amp;"; "&amp;X160&amp;"; "&amp;Y160&amp;"; "&amp;Z160&amp;"; "&amp;AA160&amp;"; "&amp;AB160&amp;"; "&amp;AC160&amp;"; "&amp;U160)</x:f>
        <x:v>proposal.culture.altar_vial; altar display vial; cultural objects; religious; container; finished item; manufactured / unresolved; ceremony; glass and metal; assembly; proposal; liquid and bulk containment</x:v>
      </x:c>
      <x:c r="AE160" s="4" t="str">
        <x:v>From current item description. Proposed uses retain their existing approval status.</x:v>
      </x:c>
      <x:c r="AF160" s="4" t="str">
        <x:v>Finished item</x:v>
      </x:c>
      <x:c r="AG160" s="4" t="str">
        <x:v>Completed gear, vessel, food or tool can stop at its chosen material tier; it need not climb to T4.</x:v>
      </x:c>
      <x:c r="AH160" s="4" t="str">
        <x:v>Unassigned</x:v>
      </x:c>
    </x:row>
    <x:row r="161" ht="100" customHeight="1">
      <x:c r="A161" s="9" t="str">
        <x:v>proposal.culture.reliquary</x:v>
      </x:c>
      <x:c r="B161" s="9" t="str">
        <x:v>Relic case</x:v>
      </x:c>
      <x:c r="C161" s="9" t="str">
        <x:v>Cultural objects</x:v>
      </x:c>
      <x:c r="D161" s="9" t="str">
        <x:v>Religious</x:v>
      </x:c>
      <x:c r="E161" s="9" t="str">
        <x:v>New proposal</x:v>
      </x:c>
      <x:c r="F161" s="9" t="str">
        <x:v>Protect and display a claimed ancestral relic</x:v>
      </x:c>
      <x:c r="G161" s="9" t="str">
        <x:v>Unassigned</x:v>
      </x:c>
      <x:c r="H161" s="9" t="str">
        <x:v>Personal kit / local storage eligibility TBD</x:v>
      </x:c>
      <x:c r="I161" s="13"/>
      <x:c r="J161" s="15"/>
      <x:c r="K161" s="9" t="str">
        <x:v>Craft, trade, gift or institutional custody; exact source TBD</x:v>
      </x:c>
      <x:c r="L161" s="9" t="str">
        <x:v>Material candidate: Metal or shell case; rare clear window optional</x:v>
      </x:c>
      <x:c r="M161" s="9" t="str">
        <x:v>Not implemented</x:v>
      </x:c>
      <x:c r="N161" s="9" t="str">
        <x:v>A claim of authenticity is not proof or a magical property</x:v>
      </x:c>
      <x:c r="O161" s="17"/>
      <x:c r="P161" s="17"/>
      <x:c r="Q161" s="17"/>
      <x:c r="R161" s="17"/>
      <x:c r="S161" s="17"/>
      <x:c r="T161" s="9" t="str">
        <x:v>Plain keepsake boxes through rare institutional commissions. Faith, political authority, ritual practice and prices remain proposals.</x:v>
      </x:c>
      <x:c r="U161" s="11" t="str">
        <x:v>keepsake storage</x:v>
      </x:c>
      <x:c r="V161" s="9" t="str">
        <x:v>New game proposal inspired by proposal-stage lore: https://github.com/sleepyseamonster/Arc-Dust/blob/f6f98515c005dc3c73cccd9cbc031691745740c6/02-Arc-Dust-Worldbuilding/world/economy/spiritual-economy.md</x:v>
      </x:c>
      <x:c r="W161" s="4" t="str">
        <x:v>Container</x:v>
      </x:c>
      <x:c r="X161" s="4" t="str">
        <x:v>Finished item</x:v>
      </x:c>
      <x:c r="Y161" s="4" t="str">
        <x:v>Manufactured / unresolved</x:v>
      </x:c>
      <x:c r="Z161" s="4" t="str">
        <x:v>Devotion</x:v>
      </x:c>
      <x:c r="AA161" s="4" t="str">
        <x:v>Metal or shell</x:v>
      </x:c>
      <x:c r="AB161" s="4" t="str">
        <x:v>Assembly</x:v>
      </x:c>
      <x:c r="AC161" s="4" t="str">
        <x:v>Proposal</x:v>
      </x:c>
      <x:c r="AD161" s="4" t="str">
        <x:f>LOWER(A161&amp;"; "&amp;B161&amp;"; "&amp;C161&amp;"; "&amp;D161&amp;"; "&amp;W161&amp;"; "&amp;X161&amp;"; "&amp;Y161&amp;"; "&amp;Z161&amp;"; "&amp;AA161&amp;"; "&amp;AB161&amp;"; "&amp;AC161&amp;"; "&amp;U161)</x:f>
        <x:v>proposal.culture.reliquary; relic case; cultural objects; religious; container; finished item; manufactured / unresolved; devotion; metal or shell; assembly; proposal; keepsake storage</x:v>
      </x:c>
      <x:c r="AE161" s="4" t="str">
        <x:v>From current item description. Proposed uses retain their existing approval status.</x:v>
      </x:c>
      <x:c r="AF161" s="4" t="str">
        <x:v>Finished item</x:v>
      </x:c>
      <x:c r="AG161" s="4" t="str">
        <x:v>Completed gear, vessel, food or tool can stop at its chosen material tier; it need not climb to T4.</x:v>
      </x:c>
      <x:c r="AH161" s="4" t="str">
        <x:v>Unassigned</x:v>
      </x:c>
    </x:row>
    <x:row r="162" ht="100" customHeight="1">
      <x:c r="A162" s="9" t="str">
        <x:v>proposal.culture.prayer_leaf</x:v>
      </x:c>
      <x:c r="B162" s="9" t="str">
        <x:v>Husk-paper prayer leaf</x:v>
      </x:c>
      <x:c r="C162" s="9" t="str">
        <x:v>Cultural objects</x:v>
      </x:c>
      <x:c r="D162" s="9" t="str">
        <x:v>Religious</x:v>
      </x:c>
      <x:c r="E162" s="9" t="str">
        <x:v>New proposal</x:v>
      </x:c>
      <x:c r="F162" s="9" t="str">
        <x:v>Portable prayers or devotional images</x:v>
      </x:c>
      <x:c r="G162" s="9" t="str">
        <x:v>Unassigned</x:v>
      </x:c>
      <x:c r="H162" s="9" t="str">
        <x:v>Personal kit / local storage eligibility TBD</x:v>
      </x:c>
      <x:c r="I162" s="13"/>
      <x:c r="J162" s="15"/>
      <x:c r="K162" s="9" t="str">
        <x:v>Craft, trade, gift or institutional custody; exact source TBD</x:v>
      </x:c>
      <x:c r="L162" s="9" t="str">
        <x:v>Material candidate: Scraped husk-fiber paper and mineral marking medium</x:v>
      </x:c>
      <x:c r="M162" s="9" t="str">
        <x:v>Not implemented</x:v>
      </x:c>
      <x:c r="N162" s="9" t="str">
        <x:v>No ordinary pulp paper or cloth; text and faith acceptance TBD</x:v>
      </x:c>
      <x:c r="O162" s="17"/>
      <x:c r="P162" s="17"/>
      <x:c r="Q162" s="17"/>
      <x:c r="R162" s="17"/>
      <x:c r="S162" s="17"/>
      <x:c r="T162" s="9" t="str">
        <x:v>Paper processing and copying consume scarce skilled work. Faith, political authority, ritual practice and prices remain proposals.</x:v>
      </x:c>
      <x:c r="U162" s="11" t="str">
        <x:v>writing and records</x:v>
      </x:c>
      <x:c r="V162" s="9" t="str">
        <x:v>New game proposal inspired by proposal-stage lore: https://github.com/sleepyseamonster/Arc-Dust/blob/f6f98515c005dc3c73cccd9cbc031691745740c6/02-Arc-Dust-Worldbuilding/world/economy/canister/religious-traditions.md</x:v>
      </x:c>
      <x:c r="W162" s="4" t="str">
        <x:v>Document</x:v>
      </x:c>
      <x:c r="X162" s="4" t="str">
        <x:v>Finished item</x:v>
      </x:c>
      <x:c r="Y162" s="4" t="str">
        <x:v>Manufactured / unresolved</x:v>
      </x:c>
      <x:c r="Z162" s="4" t="str">
        <x:v>Devotion</x:v>
      </x:c>
      <x:c r="AA162" s="4" t="str">
        <x:v>Husk fiber</x:v>
      </x:c>
      <x:c r="AB162" s="4" t="str">
        <x:v>Sheet</x:v>
      </x:c>
      <x:c r="AC162" s="4" t="str">
        <x:v>Proposal</x:v>
      </x:c>
      <x:c r="AD162" s="4" t="str">
        <x:f>LOWER(A162&amp;"; "&amp;B162&amp;"; "&amp;C162&amp;"; "&amp;D162&amp;"; "&amp;W162&amp;"; "&amp;X162&amp;"; "&amp;Y162&amp;"; "&amp;Z162&amp;"; "&amp;AA162&amp;"; "&amp;AB162&amp;"; "&amp;AC162&amp;"; "&amp;U162)</x:f>
        <x:v>proposal.culture.prayer_leaf; husk-paper prayer leaf; cultural objects; religious; document; finished item; manufactured / unresolved; devotion; husk fiber; sheet; proposal; writing and records</x:v>
      </x:c>
      <x:c r="AE162" s="4" t="str">
        <x:v>From current item description. Proposed uses retain their existing approval status.</x:v>
      </x:c>
      <x:c r="AF162" s="4" t="str">
        <x:v>Finished item</x:v>
      </x:c>
      <x:c r="AG162" s="4" t="str">
        <x:v>Completed gear, vessel, food or tool can stop at its chosen material tier; it need not climb to T4.</x:v>
      </x:c>
      <x:c r="AH162" s="4" t="str">
        <x:v>Unassigned</x:v>
      </x:c>
    </x:row>
    <x:row r="163" ht="100" customHeight="1">
      <x:c r="A163" s="9" t="str">
        <x:v>proposal.culture.offering</x:v>
      </x:c>
      <x:c r="B163" s="9" t="str">
        <x:v>Votive shell token</x:v>
      </x:c>
      <x:c r="C163" s="9" t="str">
        <x:v>Cultural objects</x:v>
      </x:c>
      <x:c r="D163" s="9" t="str">
        <x:v>Religious</x:v>
      </x:c>
      <x:c r="E163" s="9" t="str">
        <x:v>New proposal</x:v>
      </x:c>
      <x:c r="F163" s="9" t="str">
        <x:v>Small dedicated offering left at a shrine</x:v>
      </x:c>
      <x:c r="G163" s="9" t="str">
        <x:v>Unassigned</x:v>
      </x:c>
      <x:c r="H163" s="9" t="str">
        <x:v>Personal kit / local storage eligibility TBD</x:v>
      </x:c>
      <x:c r="I163" s="13"/>
      <x:c r="J163" s="15"/>
      <x:c r="K163" s="9" t="str">
        <x:v>Craft, trade, gift or institutional custody; exact source TBD</x:v>
      </x:c>
      <x:c r="L163" s="9" t="str">
        <x:v>Material candidate: Worked shed shell; metal inlay optional</x:v>
      </x:c>
      <x:c r="M163" s="9" t="str">
        <x:v>Not implemented</x:v>
      </x:c>
      <x:c r="N163" s="9" t="str">
        <x:v>New game object idea; no mandatory tithe or survival payment</x:v>
      </x:c>
      <x:c r="O163" s="17"/>
      <x:c r="P163" s="17"/>
      <x:c r="Q163" s="17"/>
      <x:c r="R163" s="17"/>
      <x:c r="S163" s="17"/>
      <x:c r="T163" s="9" t="str">
        <x:v>Simple shell version can be modest; embellished versions expensive. Faith, political authority, ritual practice and prices remain proposals.</x:v>
      </x:c>
      <x:c r="U163" s="11"/>
      <x:c r="V163" s="9" t="str">
        <x:v>New game proposal inspired by proposal-stage lore: https://github.com/sleepyseamonster/Arc-Dust/blob/f6f98515c005dc3c73cccd9cbc031691745740c6/02-Arc-Dust-Worldbuilding/world/economy/spiritual-economy.md</x:v>
      </x:c>
      <x:c r="W163" s="4" t="str">
        <x:v>Cultural object</x:v>
      </x:c>
      <x:c r="X163" s="4" t="str">
        <x:v>Finished item</x:v>
      </x:c>
      <x:c r="Y163" s="4" t="str">
        <x:v>Manufactured / unresolved</x:v>
      </x:c>
      <x:c r="Z163" s="4" t="str">
        <x:v>Devotion</x:v>
      </x:c>
      <x:c r="AA163" s="4" t="str">
        <x:v>Shell / chitin</x:v>
      </x:c>
      <x:c r="AB163" s="4" t="str">
        <x:v>Solid piece</x:v>
      </x:c>
      <x:c r="AC163" s="4" t="str">
        <x:v>Proposal</x:v>
      </x:c>
      <x:c r="AD163" s="4" t="str">
        <x:f>LOWER(A163&amp;"; "&amp;B163&amp;"; "&amp;C163&amp;"; "&amp;D163&amp;"; "&amp;W163&amp;"; "&amp;X163&amp;"; "&amp;Y163&amp;"; "&amp;Z163&amp;"; "&amp;AA163&amp;"; "&amp;AB163&amp;"; "&amp;AC163&amp;"; "&amp;U163)</x:f>
        <x:v>proposal.culture.offering; votive shell token; cultural objects; religious; cultural object; finished item; manufactured / unresolved; devotion; shell / chitin; solid piece; proposal; </x:v>
      </x:c>
      <x:c r="AE163" s="4" t="str">
        <x:v>From current item description. Proposed uses retain their existing approval status.</x:v>
      </x:c>
      <x:c r="AF163" s="4" t="str">
        <x:v>Finished item</x:v>
      </x:c>
      <x:c r="AG163" s="4" t="str">
        <x:v>Completed gear, vessel, food or tool can stop at its chosen material tier; it need not climb to T4.</x:v>
      </x:c>
      <x:c r="AH163" s="4" t="str">
        <x:v>Unassigned</x:v>
      </x:c>
    </x:row>
    <x:row r="164" ht="100" customHeight="1">
      <x:c r="A164" s="9" t="str">
        <x:v>proposal.culture.badge</x:v>
      </x:c>
      <x:c r="B164" s="9" t="str">
        <x:v>Civic office badge</x:v>
      </x:c>
      <x:c r="C164" s="9" t="str">
        <x:v>Cultural objects</x:v>
      </x:c>
      <x:c r="D164" s="9" t="str">
        <x:v>Political / civic</x:v>
      </x:c>
      <x:c r="E164" s="9" t="str">
        <x:v>New proposal</x:v>
      </x:c>
      <x:c r="F164" s="9" t="str">
        <x:v>Visible sign of a delegated public role</x:v>
      </x:c>
      <x:c r="G164" s="9" t="str">
        <x:v>Unassigned</x:v>
      </x:c>
      <x:c r="H164" s="9" t="str">
        <x:v>Personal kit / local storage eligibility TBD</x:v>
      </x:c>
      <x:c r="I164" s="13"/>
      <x:c r="J164" s="15"/>
      <x:c r="K164" s="9" t="str">
        <x:v>Craft, trade, gift or institutional custody; exact source TBD</x:v>
      </x:c>
      <x:c r="L164" s="9" t="str">
        <x:v>Material candidate: Stamped metal or carved shell</x:v>
      </x:c>
      <x:c r="M164" s="9" t="str">
        <x:v>Not implemented</x:v>
      </x:c>
      <x:c r="N164" s="9" t="str">
        <x:v>Office names and authority unresolved; no automatic access rules</x:v>
      </x:c>
      <x:c r="O164" s="17"/>
      <x:c r="P164" s="17"/>
      <x:c r="Q164" s="17"/>
      <x:c r="R164" s="17"/>
      <x:c r="S164" s="17"/>
      <x:c r="T164" s="9" t="str">
        <x:v>Plain office issue or costly ceremonial version. Faith, political authority, ritual practice and prices remain proposals.</x:v>
      </x:c>
      <x:c r="U164" s="11"/>
      <x:c r="V164" s="9" t="str">
        <x:v>New game proposal inspired by proposal-stage lore: https://github.com/sleepyseamonster/Arc-Dust/blob/f6f98515c005dc3c73cccd9cbc031691745740c6/02-Arc-Dust-Worldbuilding/world/economy/civic-contract.md</x:v>
      </x:c>
      <x:c r="W164" s="4" t="str">
        <x:v>Cultural object</x:v>
      </x:c>
      <x:c r="X164" s="4" t="str">
        <x:v>Finished item</x:v>
      </x:c>
      <x:c r="Y164" s="4" t="str">
        <x:v>Manufactured / unresolved</x:v>
      </x:c>
      <x:c r="Z164" s="4" t="str">
        <x:v>Civic identification</x:v>
      </x:c>
      <x:c r="AA164" s="4" t="str">
        <x:v>Metal or shell</x:v>
      </x:c>
      <x:c r="AB164" s="4" t="str">
        <x:v>Solid piece</x:v>
      </x:c>
      <x:c r="AC164" s="4" t="str">
        <x:v>Proposal</x:v>
      </x:c>
      <x:c r="AD164" s="4" t="str">
        <x:f>LOWER(A164&amp;"; "&amp;B164&amp;"; "&amp;C164&amp;"; "&amp;D164&amp;"; "&amp;W164&amp;"; "&amp;X164&amp;"; "&amp;Y164&amp;"; "&amp;Z164&amp;"; "&amp;AA164&amp;"; "&amp;AB164&amp;"; "&amp;AC164&amp;"; "&amp;U164)</x:f>
        <x:v>proposal.culture.badge; civic office badge; cultural objects; political / civic; cultural object; finished item; manufactured / unresolved; civic identification; metal or shell; solid piece; proposal; </x:v>
      </x:c>
      <x:c r="AE164" s="4" t="str">
        <x:v>From current item description. Proposed uses retain their existing approval status.</x:v>
      </x:c>
      <x:c r="AF164" s="4" t="str">
        <x:v>Finished item</x:v>
      </x:c>
      <x:c r="AG164" s="4" t="str">
        <x:v>Completed gear, vessel, food or tool can stop at its chosen material tier; it need not climb to T4.</x:v>
      </x:c>
      <x:c r="AH164" s="4" t="str">
        <x:v>Unassigned</x:v>
      </x:c>
    </x:row>
    <x:row r="165" ht="100" customHeight="1">
      <x:c r="A165" s="9" t="str">
        <x:v>proposal.culture.stamp</x:v>
      </x:c>
      <x:c r="B165" s="9" t="str">
        <x:v>Official seal stamp</x:v>
      </x:c>
      <x:c r="C165" s="9" t="str">
        <x:v>Cultural objects</x:v>
      </x:c>
      <x:c r="D165" s="9" t="str">
        <x:v>Political / civic</x:v>
      </x:c>
      <x:c r="E165" s="9" t="str">
        <x:v>New proposal</x:v>
      </x:c>
      <x:c r="F165" s="9" t="str">
        <x:v>Mark a record or notice with an office symbol</x:v>
      </x:c>
      <x:c r="G165" s="9" t="str">
        <x:v>Unassigned</x:v>
      </x:c>
      <x:c r="H165" s="9" t="str">
        <x:v>Personal kit / local storage eligibility TBD</x:v>
      </x:c>
      <x:c r="I165" s="13"/>
      <x:c r="J165" s="15"/>
      <x:c r="K165" s="9" t="str">
        <x:v>Craft, trade, gift or institutional custody; exact source TBD</x:v>
      </x:c>
      <x:c r="L165" s="9" t="str">
        <x:v>Material candidate: Engraved metal stamping face</x:v>
      </x:c>
      <x:c r="M165" s="9" t="str">
        <x:v>Not implemented</x:v>
      </x:c>
      <x:c r="N165" s="9" t="str">
        <x:v>Document mark only; distinct from a canister pressure seal</x:v>
      </x:c>
      <x:c r="O165" s="17"/>
      <x:c r="P165" s="17"/>
      <x:c r="Q165" s="17"/>
      <x:c r="R165" s="17"/>
      <x:c r="S165" s="17"/>
      <x:c r="T165" s="9" t="str">
        <x:v>Skilled engraving; actual trade restrictions unresolved. Faith, political authority, ritual practice and prices remain proposals.</x:v>
      </x:c>
      <x:c r="U165" s="11" t="str">
        <x:v>civic identification; document authentication stamp not pressure seal</x:v>
      </x:c>
      <x:c r="V165" s="9" t="str">
        <x:v>New game proposal inspired by proposal-stage lore: https://github.com/sleepyseamonster/Arc-Dust/blob/f6f98515c005dc3c73cccd9cbc031691745740c6/02-Arc-Dust-Worldbuilding/world/economy/civic-contract.md</x:v>
      </x:c>
      <x:c r="W165" s="4" t="str">
        <x:v>Tool</x:v>
      </x:c>
      <x:c r="X165" s="4" t="str">
        <x:v>Finished item</x:v>
      </x:c>
      <x:c r="Y165" s="4" t="str">
        <x:v>Manufactured / unresolved</x:v>
      </x:c>
      <x:c r="Z165" s="4" t="str">
        <x:v>Writing and records</x:v>
      </x:c>
      <x:c r="AA165" s="4" t="str">
        <x:v>Metal</x:v>
      </x:c>
      <x:c r="AB165" s="4" t="str">
        <x:v>Solid part</x:v>
      </x:c>
      <x:c r="AC165" s="4" t="str">
        <x:v>Proposal</x:v>
      </x:c>
      <x:c r="AD165" s="4" t="str">
        <x:f>LOWER(A165&amp;"; "&amp;B165&amp;"; "&amp;C165&amp;"; "&amp;D165&amp;"; "&amp;W165&amp;"; "&amp;X165&amp;"; "&amp;Y165&amp;"; "&amp;Z165&amp;"; "&amp;AA165&amp;"; "&amp;AB165&amp;"; "&amp;AC165&amp;"; "&amp;U165)</x:f>
        <x:v>proposal.culture.stamp; official seal stamp; cultural objects; political / civic; tool; finished item; manufactured / unresolved; writing and records; metal; solid part; proposal; civic identification; document authentication stamp not pressure seal</x:v>
      </x:c>
      <x:c r="AE165" s="4" t="str">
        <x:v>From current item description. Proposed uses retain their existing approval status.</x:v>
      </x:c>
      <x:c r="AF165" s="4" t="str">
        <x:v>Finished item</x:v>
      </x:c>
      <x:c r="AG165" s="4" t="str">
        <x:v>Completed gear, vessel, food or tool can stop at its chosen material tier; it need not climb to T4.</x:v>
      </x:c>
      <x:c r="AH165" s="4" t="str">
        <x:v>Unassigned</x:v>
      </x:c>
    </x:row>
    <x:row r="166" ht="100" customHeight="1">
      <x:c r="A166" s="9" t="str">
        <x:v>proposal.culture.register</x:v>
      </x:c>
      <x:c r="B166" s="9" t="str">
        <x:v>Civic register folio</x:v>
      </x:c>
      <x:c r="C166" s="9" t="str">
        <x:v>Cultural objects</x:v>
      </x:c>
      <x:c r="D166" s="9" t="str">
        <x:v>Political / civic</x:v>
      </x:c>
      <x:c r="E166" s="9" t="str">
        <x:v>New proposal</x:v>
      </x:c>
      <x:c r="F166" s="9" t="str">
        <x:v>Record voluntary contributions, membership and commendations</x:v>
      </x:c>
      <x:c r="G166" s="9" t="str">
        <x:v>Unassigned</x:v>
      </x:c>
      <x:c r="H166" s="9" t="str">
        <x:v>Personal kit / local storage eligibility TBD</x:v>
      </x:c>
      <x:c r="I166" s="13"/>
      <x:c r="J166" s="15"/>
      <x:c r="K166" s="9" t="str">
        <x:v>Craft, trade, gift or institutional custody; exact source TBD</x:v>
      </x:c>
      <x:c r="L166" s="9" t="str">
        <x:v>Material candidate: Husk-paper leaves between shell covers</x:v>
      </x:c>
      <x:c r="M166" s="9" t="str">
        <x:v>Not implemented</x:v>
      </x:c>
      <x:c r="N166" s="9" t="str">
        <x:v>Source civic register inspiration; no legal survival obligation or permission gate</x:v>
      </x:c>
      <x:c r="O166" s="17"/>
      <x:c r="P166" s="17"/>
      <x:c r="Q166" s="17"/>
      <x:c r="R166" s="17"/>
      <x:c r="S166" s="17"/>
      <x:c r="T166" s="9" t="str">
        <x:v>Labor-intensive communal record; not assumed universal personal kit. Faith, political authority, ritual practice and prices remain proposals.</x:v>
      </x:c>
      <x:c r="U166" s="11" t="str">
        <x:v>civic recognition</x:v>
      </x:c>
      <x:c r="V166" s="9" t="str">
        <x:v>New game proposal inspired by proposal-stage lore: https://github.com/sleepyseamonster/Arc-Dust/blob/f6f98515c005dc3c73cccd9cbc031691745740c6/02-Arc-Dust-Worldbuilding/world/economy/civic-contract.md</x:v>
      </x:c>
      <x:c r="W166" s="4" t="str">
        <x:v>Document</x:v>
      </x:c>
      <x:c r="X166" s="4" t="str">
        <x:v>Finished item</x:v>
      </x:c>
      <x:c r="Y166" s="4" t="str">
        <x:v>Manufactured / unresolved</x:v>
      </x:c>
      <x:c r="Z166" s="4" t="str">
        <x:v>Writing and records</x:v>
      </x:c>
      <x:c r="AA166" s="4" t="str">
        <x:v>Husk fiber and shell</x:v>
      </x:c>
      <x:c r="AB166" s="4" t="str">
        <x:v>Folio</x:v>
      </x:c>
      <x:c r="AC166" s="4" t="str">
        <x:v>Proposal</x:v>
      </x:c>
      <x:c r="AD166" s="4" t="str">
        <x:f>LOWER(A166&amp;"; "&amp;B166&amp;"; "&amp;C166&amp;"; "&amp;D166&amp;"; "&amp;W166&amp;"; "&amp;X166&amp;"; "&amp;Y166&amp;"; "&amp;Z166&amp;"; "&amp;AA166&amp;"; "&amp;AB166&amp;"; "&amp;AC166&amp;"; "&amp;U166)</x:f>
        <x:v>proposal.culture.register; civic register folio; cultural objects; political / civic; document; finished item; manufactured / unresolved; writing and records; husk fiber and shell; folio; proposal; civic recognition</x:v>
      </x:c>
      <x:c r="AE166" s="4" t="str">
        <x:v>From current item description. Proposed uses retain their existing approval status.</x:v>
      </x:c>
      <x:c r="AF166" s="4" t="str">
        <x:v>Finished item</x:v>
      </x:c>
      <x:c r="AG166" s="4" t="str">
        <x:v>Completed gear, vessel, food or tool can stop at its chosen material tier; it need not climb to T4.</x:v>
      </x:c>
      <x:c r="AH166" s="4" t="str">
        <x:v>Unassigned</x:v>
      </x:c>
    </x:row>
    <x:row r="167" ht="100" customHeight="1">
      <x:c r="A167" s="9" t="str">
        <x:v>proposal.culture.notice</x:v>
      </x:c>
      <x:c r="B167" s="9" t="str">
        <x:v>Public notice plate</x:v>
      </x:c>
      <x:c r="C167" s="9" t="str">
        <x:v>Cultural objects</x:v>
      </x:c>
      <x:c r="D167" s="9" t="str">
        <x:v>Political / civic</x:v>
      </x:c>
      <x:c r="E167" s="9" t="str">
        <x:v>New proposal</x:v>
      </x:c>
      <x:c r="F167" s="9" t="str">
        <x:v>Display civic announcements, rules or meeting notices</x:v>
      </x:c>
      <x:c r="G167" s="9" t="str">
        <x:v>Unassigned</x:v>
      </x:c>
      <x:c r="H167" s="9" t="str">
        <x:v>Personal kit / local storage eligibility TBD</x:v>
      </x:c>
      <x:c r="I167" s="13"/>
      <x:c r="J167" s="15"/>
      <x:c r="K167" s="9" t="str">
        <x:v>Craft, trade, gift or institutional custody; exact source TBD</x:v>
      </x:c>
      <x:c r="L167" s="9" t="str">
        <x:v>Material candidate: Incised shell or thin worked metal</x:v>
      </x:c>
      <x:c r="M167" s="9" t="str">
        <x:v>Not implemented</x:v>
      </x:c>
      <x:c r="N167" s="9" t="str">
        <x:v>Government and literacy practices unresolved</x:v>
      </x:c>
      <x:c r="O167" s="17"/>
      <x:c r="P167" s="17"/>
      <x:c r="Q167" s="17"/>
      <x:c r="R167" s="17"/>
      <x:c r="S167" s="17"/>
      <x:c r="T167" s="9" t="str">
        <x:v>Durable reusable public object; exact cost TBD. Faith, political authority, ritual practice and prices remain proposals.</x:v>
      </x:c>
      <x:c r="U167" s="11"/>
      <x:c r="V167" s="9" t="str">
        <x:v>New game proposal inspired by proposal-stage lore: https://github.com/sleepyseamonster/Arc-Dust/blob/f6f98515c005dc3c73cccd9cbc031691745740c6/02-Arc-Dust-Worldbuilding/world/economy/civic-contract.md</x:v>
      </x:c>
      <x:c r="W167" s="4" t="str">
        <x:v>Document</x:v>
      </x:c>
      <x:c r="X167" s="4" t="str">
        <x:v>Finished item</x:v>
      </x:c>
      <x:c r="Y167" s="4" t="str">
        <x:v>Manufactured / unresolved</x:v>
      </x:c>
      <x:c r="Z167" s="4" t="str">
        <x:v>Public communication</x:v>
      </x:c>
      <x:c r="AA167" s="4" t="str">
        <x:v>Metal or shell</x:v>
      </x:c>
      <x:c r="AB167" s="4" t="str">
        <x:v>Panel</x:v>
      </x:c>
      <x:c r="AC167" s="4" t="str">
        <x:v>Proposal</x:v>
      </x:c>
      <x:c r="AD167" s="4" t="str">
        <x:f>LOWER(A167&amp;"; "&amp;B167&amp;"; "&amp;C167&amp;"; "&amp;D167&amp;"; "&amp;W167&amp;"; "&amp;X167&amp;"; "&amp;Y167&amp;"; "&amp;Z167&amp;"; "&amp;AA167&amp;"; "&amp;AB167&amp;"; "&amp;AC167&amp;"; "&amp;U167)</x:f>
        <x:v>proposal.culture.notice; public notice plate; cultural objects; political / civic; document; finished item; manufactured / unresolved; public communication; metal or shell; panel; proposal; </x:v>
      </x:c>
      <x:c r="AE167" s="4" t="str">
        <x:v>From current item description. Proposed uses retain their existing approval status.</x:v>
      </x:c>
      <x:c r="AF167" s="4" t="str">
        <x:v>Finished item</x:v>
      </x:c>
      <x:c r="AG167" s="4" t="str">
        <x:v>Completed gear, vessel, food or tool can stop at its chosen material tier; it need not climb to T4.</x:v>
      </x:c>
      <x:c r="AH167" s="4" t="str">
        <x:v>Unassigned</x:v>
      </x:c>
    </x:row>
    <x:row r="168" ht="100" customHeight="1">
      <x:c r="A168" s="9" t="str">
        <x:v>proposal.culture.petition</x:v>
      </x:c>
      <x:c r="B168" s="9" t="str">
        <x:v>Petition leaf</x:v>
      </x:c>
      <x:c r="C168" s="9" t="str">
        <x:v>Cultural objects</x:v>
      </x:c>
      <x:c r="D168" s="9" t="str">
        <x:v>Political / civic</x:v>
      </x:c>
      <x:c r="E168" s="9" t="str">
        <x:v>New proposal</x:v>
      </x:c>
      <x:c r="F168" s="9" t="str">
        <x:v>Carry a written request or collective statement</x:v>
      </x:c>
      <x:c r="G168" s="9" t="str">
        <x:v>Unassigned</x:v>
      </x:c>
      <x:c r="H168" s="9" t="str">
        <x:v>Personal kit / local storage eligibility TBD</x:v>
      </x:c>
      <x:c r="I168" s="13"/>
      <x:c r="J168" s="15"/>
      <x:c r="K168" s="9" t="str">
        <x:v>Craft, trade, gift or institutional custody; exact source TBD</x:v>
      </x:c>
      <x:c r="L168" s="9" t="str">
        <x:v>Material candidate: Husk-fiber paper and mineral marks</x:v>
      </x:c>
      <x:c r="M168" s="9" t="str">
        <x:v>Not implemented</x:v>
      </x:c>
      <x:c r="N168" s="9" t="str">
        <x:v>Political disagreement need not imply repression or a named faction</x:v>
      </x:c>
      <x:c r="O168" s="17"/>
      <x:c r="P168" s="17"/>
      <x:c r="Q168" s="17"/>
      <x:c r="R168" s="17"/>
      <x:c r="S168" s="17"/>
      <x:c r="T168" s="9" t="str">
        <x:v>Paper cost and copying effort; no numeric price. Faith, political authority, ritual practice and prices remain proposals.</x:v>
      </x:c>
      <x:c r="U168" s="11"/>
      <x:c r="V168" s="9" t="str">
        <x:v>New game proposal inspired by proposal-stage lore: https://github.com/sleepyseamonster/Arc-Dust/blob/f6f98515c005dc3c73cccd9cbc031691745740c6/02-Arc-Dust-Worldbuilding/world/economy/civic-contract.md</x:v>
      </x:c>
      <x:c r="W168" s="4" t="str">
        <x:v>Document</x:v>
      </x:c>
      <x:c r="X168" s="4" t="str">
        <x:v>Finished item</x:v>
      </x:c>
      <x:c r="Y168" s="4" t="str">
        <x:v>Manufactured / unresolved</x:v>
      </x:c>
      <x:c r="Z168" s="4" t="str">
        <x:v>Public communication</x:v>
      </x:c>
      <x:c r="AA168" s="4" t="str">
        <x:v>Husk fiber</x:v>
      </x:c>
      <x:c r="AB168" s="4" t="str">
        <x:v>Sheet</x:v>
      </x:c>
      <x:c r="AC168" s="4" t="str">
        <x:v>Proposal</x:v>
      </x:c>
      <x:c r="AD168" s="4" t="str">
        <x:f>LOWER(A168&amp;"; "&amp;B168&amp;"; "&amp;C168&amp;"; "&amp;D168&amp;"; "&amp;W168&amp;"; "&amp;X168&amp;"; "&amp;Y168&amp;"; "&amp;Z168&amp;"; "&amp;AA168&amp;"; "&amp;AB168&amp;"; "&amp;AC168&amp;"; "&amp;U168)</x:f>
        <x:v>proposal.culture.petition; petition leaf; cultural objects; political / civic; document; finished item; manufactured / unresolved; public communication; husk fiber; sheet; proposal; </x:v>
      </x:c>
      <x:c r="AE168" s="4" t="str">
        <x:v>From current item description. Proposed uses retain their existing approval status.</x:v>
      </x:c>
      <x:c r="AF168" s="4" t="str">
        <x:v>Finished item</x:v>
      </x:c>
      <x:c r="AG168" s="4" t="str">
        <x:v>Completed gear, vessel, food or tool can stop at its chosen material tier; it need not climb to T4.</x:v>
      </x:c>
      <x:c r="AH168" s="4" t="str">
        <x:v>Unassigned</x:v>
      </x:c>
    </x:row>
    <x:row r="169" ht="100" customHeight="1">
      <x:c r="A169" s="9" t="str">
        <x:v>proposal.culture.commendation</x:v>
      </x:c>
      <x:c r="B169" s="9" t="str">
        <x:v>Community service medallion</x:v>
      </x:c>
      <x:c r="C169" s="9" t="str">
        <x:v>Cultural objects</x:v>
      </x:c>
      <x:c r="D169" s="9" t="str">
        <x:v>Political / civic</x:v>
      </x:c>
      <x:c r="E169" s="9" t="str">
        <x:v>New proposal</x:v>
      </x:c>
      <x:c r="F169" s="9" t="str">
        <x:v>Public recognition of voluntary service</x:v>
      </x:c>
      <x:c r="G169" s="9" t="str">
        <x:v>Unassigned</x:v>
      </x:c>
      <x:c r="H169" s="9" t="str">
        <x:v>Personal kit / local storage eligibility TBD</x:v>
      </x:c>
      <x:c r="I169" s="13"/>
      <x:c r="J169" s="15"/>
      <x:c r="K169" s="9" t="str">
        <x:v>Craft, trade, gift or institutional custody; exact source TBD</x:v>
      </x:c>
      <x:c r="L169" s="9" t="str">
        <x:v>Material candidate: Stamped metal; optional fine inlay</x:v>
      </x:c>
      <x:c r="M169" s="9" t="str">
        <x:v>Not implemented</x:v>
      </x:c>
      <x:c r="N169" s="9" t="str">
        <x:v>Not a maker plate; award eligibility and issuing body undefined</x:v>
      </x:c>
      <x:c r="O169" s="17"/>
      <x:c r="P169" s="17"/>
      <x:c r="Q169" s="17"/>
      <x:c r="R169" s="17"/>
      <x:c r="S169" s="17"/>
      <x:c r="T169" s="9" t="str">
        <x:v>Basic award to elaborate exceptional commission. Faith, political authority, ritual practice and prices remain proposals.</x:v>
      </x:c>
      <x:c r="U169" s="11"/>
      <x:c r="V169" s="9" t="str">
        <x:v>New game proposal inspired by proposal-stage lore: https://github.com/sleepyseamonster/Arc-Dust/blob/f6f98515c005dc3c73cccd9cbc031691745740c6/02-Arc-Dust-Worldbuilding/world/economy/civic-contract.md</x:v>
      </x:c>
      <x:c r="W169" s="4" t="str">
        <x:v>Cultural object</x:v>
      </x:c>
      <x:c r="X169" s="4" t="str">
        <x:v>Finished item</x:v>
      </x:c>
      <x:c r="Y169" s="4" t="str">
        <x:v>Manufactured / unresolved</x:v>
      </x:c>
      <x:c r="Z169" s="4" t="str">
        <x:v>Civic recognition</x:v>
      </x:c>
      <x:c r="AA169" s="4" t="str">
        <x:v>Metal</x:v>
      </x:c>
      <x:c r="AB169" s="4" t="str">
        <x:v>Solid piece</x:v>
      </x:c>
      <x:c r="AC169" s="4" t="str">
        <x:v>Proposal</x:v>
      </x:c>
      <x:c r="AD169" s="4" t="str">
        <x:f>LOWER(A169&amp;"; "&amp;B169&amp;"; "&amp;C169&amp;"; "&amp;D169&amp;"; "&amp;W169&amp;"; "&amp;X169&amp;"; "&amp;Y169&amp;"; "&amp;Z169&amp;"; "&amp;AA169&amp;"; "&amp;AB169&amp;"; "&amp;AC169&amp;"; "&amp;U169)</x:f>
        <x:v>proposal.culture.commendation; community service medallion; cultural objects; political / civic; cultural object; finished item; manufactured / unresolved; civic recognition; metal; solid piece; proposal; </x:v>
      </x:c>
      <x:c r="AE169" s="4" t="str">
        <x:v>From current item description. Proposed uses retain their existing approval status.</x:v>
      </x:c>
      <x:c r="AF169" s="4" t="str">
        <x:v>Finished item</x:v>
      </x:c>
      <x:c r="AG169" s="4" t="str">
        <x:v>Completed gear, vessel, food or tool can stop at its chosen material tier; it need not climb to T4.</x:v>
      </x:c>
      <x:c r="AH169" s="4" t="str">
        <x:v>Unassigned</x:v>
      </x:c>
    </x:row>
    <x:row r="170" ht="100" customHeight="1">
      <x:c r="A170" s="9" t="str">
        <x:v>proposal.culture.pilgrim_die</x:v>
      </x:c>
      <x:c r="B170" s="9" t="str">
        <x:v>Pilgrimage marking die</x:v>
      </x:c>
      <x:c r="C170" s="9" t="str">
        <x:v>Cultural objects</x:v>
      </x:c>
      <x:c r="D170" s="9" t="str">
        <x:v>Ritual</x:v>
      </x:c>
      <x:c r="E170" s="9" t="str">
        <x:v>New proposal</x:v>
      </x:c>
      <x:c r="F170" s="9" t="str">
        <x:v>Apply a sacred-site mark to a suitable record surface</x:v>
      </x:c>
      <x:c r="G170" s="9" t="str">
        <x:v>Unassigned</x:v>
      </x:c>
      <x:c r="H170" s="9" t="str">
        <x:v>Personal kit / local storage eligibility TBD</x:v>
      </x:c>
      <x:c r="I170" s="13"/>
      <x:c r="J170" s="15"/>
      <x:c r="K170" s="9" t="str">
        <x:v>Craft, trade, gift or institutional custody; exact source TBD</x:v>
      </x:c>
      <x:c r="L170" s="9" t="str">
        <x:v>Material candidate: Engraved metal die</x:v>
      </x:c>
      <x:c r="M170" s="9" t="str">
        <x:v>Not implemented</x:v>
      </x:c>
      <x:c r="N170" s="9" t="str">
        <x:v>No hammering on a live vessel assumed; safe application and faith adoption TBD</x:v>
      </x:c>
      <x:c r="O170" s="17"/>
      <x:c r="P170" s="17"/>
      <x:c r="Q170" s="17"/>
      <x:c r="R170" s="17"/>
      <x:c r="S170" s="17"/>
      <x:c r="T170" s="9" t="str">
        <x:v>Specialist institutional tool. Faith, political authority, ritual practice and prices remain proposals.</x:v>
      </x:c>
      <x:c r="U170" s="11" t="str">
        <x:v>provenance</x:v>
      </x:c>
      <x:c r="V170" s="9" t="str">
        <x:v>New game proposal inspired by proposal-stage lore: https://github.com/sleepyseamonster/Arc-Dust/blob/f6f98515c005dc3c73cccd9cbc031691745740c6/02-Arc-Dust-Worldbuilding/world/economy/canister/religious-traditions.md</x:v>
      </x:c>
      <x:c r="W170" s="4" t="str">
        <x:v>Tool</x:v>
      </x:c>
      <x:c r="X170" s="4" t="str">
        <x:v>Finished item</x:v>
      </x:c>
      <x:c r="Y170" s="4" t="str">
        <x:v>Manufactured / unresolved</x:v>
      </x:c>
      <x:c r="Z170" s="4" t="str">
        <x:v>Ceremony</x:v>
      </x:c>
      <x:c r="AA170" s="4" t="str">
        <x:v>Metal</x:v>
      </x:c>
      <x:c r="AB170" s="4" t="str">
        <x:v>Solid part</x:v>
      </x:c>
      <x:c r="AC170" s="4" t="str">
        <x:v>Proposal</x:v>
      </x:c>
      <x:c r="AD170" s="4" t="str">
        <x:f>LOWER(A170&amp;"; "&amp;B170&amp;"; "&amp;C170&amp;"; "&amp;D170&amp;"; "&amp;W170&amp;"; "&amp;X170&amp;"; "&amp;Y170&amp;"; "&amp;Z170&amp;"; "&amp;AA170&amp;"; "&amp;AB170&amp;"; "&amp;AC170&amp;"; "&amp;U170)</x:f>
        <x:v>proposal.culture.pilgrim_die; pilgrimage marking die; cultural objects; ritual; tool; finished item; manufactured / unresolved; ceremony; metal; solid part; proposal; provenance</x:v>
      </x:c>
      <x:c r="AE170" s="4" t="str">
        <x:v>From current item description. Proposed uses retain their existing approval status.</x:v>
      </x:c>
      <x:c r="AF170" s="4" t="str">
        <x:v>Finished item</x:v>
      </x:c>
      <x:c r="AG170" s="4" t="str">
        <x:v>Completed gear, vessel, food or tool can stop at its chosen material tier; it need not climb to T4.</x:v>
      </x:c>
      <x:c r="AH170" s="4" t="str">
        <x:v>Unassigned</x:v>
      </x:c>
    </x:row>
    <x:row r="171" ht="100" customHeight="1">
      <x:c r="A171" s="9" t="str">
        <x:v>proposal.culture.memorial</x:v>
      </x:c>
      <x:c r="B171" s="9" t="str">
        <x:v>Memorial name plate</x:v>
      </x:c>
      <x:c r="C171" s="9" t="str">
        <x:v>Cultural objects</x:v>
      </x:c>
      <x:c r="D171" s="9" t="str">
        <x:v>Ritual</x:v>
      </x:c>
      <x:c r="E171" s="9" t="str">
        <x:v>New proposal</x:v>
      </x:c>
      <x:c r="F171" s="9" t="str">
        <x:v>Remember a deceased person or missing traveler</x:v>
      </x:c>
      <x:c r="G171" s="9" t="str">
        <x:v>Unassigned</x:v>
      </x:c>
      <x:c r="H171" s="9" t="str">
        <x:v>Personal kit / local storage eligibility TBD</x:v>
      </x:c>
      <x:c r="I171" s="13"/>
      <x:c r="J171" s="15"/>
      <x:c r="K171" s="9" t="str">
        <x:v>Craft, trade, gift or institutional custody; exact source TBD</x:v>
      </x:c>
      <x:c r="L171" s="9" t="str">
        <x:v>Material candidate: Incised metal or shell</x:v>
      </x:c>
      <x:c r="M171" s="9" t="str">
        <x:v>Not implemented</x:v>
      </x:c>
      <x:c r="N171" s="9" t="str">
        <x:v>Cultural keepsake; no resurrection or supernatural effect</x:v>
      </x:c>
      <x:c r="O171" s="17"/>
      <x:c r="P171" s="17"/>
      <x:c r="Q171" s="17"/>
      <x:c r="R171" s="17"/>
      <x:c r="S171" s="17"/>
      <x:c r="T171" s="9" t="str">
        <x:v>Plain family marker to elaborate memorial commission. Faith, political authority, ritual practice and prices remain proposals.</x:v>
      </x:c>
      <x:c r="U171" s="11"/>
      <x:c r="V171" s="9" t="str">
        <x:v>New game proposal inspired by proposal-stage lore: https://github.com/sleepyseamonster/Arc-Dust/blob/f6f98515c005dc3c73cccd9cbc031691745740c6/02-Arc-Dust-Worldbuilding/world/economy/spiritual-economy.md</x:v>
      </x:c>
      <x:c r="W171" s="4" t="str">
        <x:v>Cultural object</x:v>
      </x:c>
      <x:c r="X171" s="4" t="str">
        <x:v>Finished item</x:v>
      </x:c>
      <x:c r="Y171" s="4" t="str">
        <x:v>Manufactured / unresolved</x:v>
      </x:c>
      <x:c r="Z171" s="4" t="str">
        <x:v>Remembrance</x:v>
      </x:c>
      <x:c r="AA171" s="4" t="str">
        <x:v>Metal or shell</x:v>
      </x:c>
      <x:c r="AB171" s="4" t="str">
        <x:v>Panel</x:v>
      </x:c>
      <x:c r="AC171" s="4" t="str">
        <x:v>Proposal</x:v>
      </x:c>
      <x:c r="AD171" s="4" t="str">
        <x:f>LOWER(A171&amp;"; "&amp;B171&amp;"; "&amp;C171&amp;"; "&amp;D171&amp;"; "&amp;W171&amp;"; "&amp;X171&amp;"; "&amp;Y171&amp;"; "&amp;Z171&amp;"; "&amp;AA171&amp;"; "&amp;AB171&amp;"; "&amp;AC171&amp;"; "&amp;U171)</x:f>
        <x:v>proposal.culture.memorial; memorial name plate; cultural objects; ritual; cultural object; finished item; manufactured / unresolved; remembrance; metal or shell; panel; proposal; </x:v>
      </x:c>
      <x:c r="AE171" s="4" t="str">
        <x:v>From current item description. Proposed uses retain their existing approval status.</x:v>
      </x:c>
      <x:c r="AF171" s="4" t="str">
        <x:v>Finished item</x:v>
      </x:c>
      <x:c r="AG171" s="4" t="str">
        <x:v>Completed gear, vessel, food or tool can stop at its chosen material tier; it need not climb to T4.</x:v>
      </x:c>
      <x:c r="AH171" s="4" t="str">
        <x:v>Unassigned</x:v>
      </x:c>
    </x:row>
    <x:row r="172" ht="100" customHeight="1">
      <x:c r="A172" s="9" t="str">
        <x:v>proposal.culture.oath_ring</x:v>
      </x:c>
      <x:c r="B172" s="9" t="str">
        <x:v>Oath exchange ring</x:v>
      </x:c>
      <x:c r="C172" s="9" t="str">
        <x:v>Cultural objects</x:v>
      </x:c>
      <x:c r="D172" s="9" t="str">
        <x:v>Ritual</x:v>
      </x:c>
      <x:c r="E172" s="9" t="str">
        <x:v>New proposal</x:v>
      </x:c>
      <x:c r="F172" s="9" t="str">
        <x:v>Exchange a visible token at a vow or commitment</x:v>
      </x:c>
      <x:c r="G172" s="9" t="str">
        <x:v>Unassigned</x:v>
      </x:c>
      <x:c r="H172" s="9" t="str">
        <x:v>Personal kit / local storage eligibility TBD</x:v>
      </x:c>
      <x:c r="I172" s="13"/>
      <x:c r="J172" s="15"/>
      <x:c r="K172" s="9" t="str">
        <x:v>Craft, trade, gift or institutional custody; exact source TBD</x:v>
      </x:c>
      <x:c r="L172" s="9" t="str">
        <x:v>Material candidate: Worked metal; shell inset optional</x:v>
      </x:c>
      <x:c r="M172" s="9" t="str">
        <x:v>Not implemented</x:v>
      </x:c>
      <x:c r="N172" s="9" t="str">
        <x:v>New game ritual proposal; exact marriage or guild customs undecided</x:v>
      </x:c>
      <x:c r="O172" s="17"/>
      <x:c r="P172" s="17"/>
      <x:c r="Q172" s="17"/>
      <x:c r="R172" s="17"/>
      <x:c r="S172" s="17"/>
      <x:c r="T172" s="9" t="str">
        <x:v>Simple bands through expensive engraved work. Faith, political authority, ritual practice and prices remain proposals.</x:v>
      </x:c>
      <x:c r="U172" s="11"/>
      <x:c r="V172" s="9" t="str">
        <x:v>New game proposal inspired by proposal-stage lore: https://github.com/sleepyseamonster/Arc-Dust/blob/f6f98515c005dc3c73cccd9cbc031691745740c6/02-Arc-Dust-Worldbuilding/world/economy/spiritual-economy.md</x:v>
      </x:c>
      <x:c r="W172" s="4" t="str">
        <x:v>Cultural object</x:v>
      </x:c>
      <x:c r="X172" s="4" t="str">
        <x:v>Finished item</x:v>
      </x:c>
      <x:c r="Y172" s="4" t="str">
        <x:v>Manufactured / unresolved</x:v>
      </x:c>
      <x:c r="Z172" s="4" t="str">
        <x:v>Ceremony</x:v>
      </x:c>
      <x:c r="AA172" s="4" t="str">
        <x:v>Metal</x:v>
      </x:c>
      <x:c r="AB172" s="4" t="str">
        <x:v>Solid piece</x:v>
      </x:c>
      <x:c r="AC172" s="4" t="str">
        <x:v>Proposal</x:v>
      </x:c>
      <x:c r="AD172" s="4" t="str">
        <x:f>LOWER(A172&amp;"; "&amp;B172&amp;"; "&amp;C172&amp;"; "&amp;D172&amp;"; "&amp;W172&amp;"; "&amp;X172&amp;"; "&amp;Y172&amp;"; "&amp;Z172&amp;"; "&amp;AA172&amp;"; "&amp;AB172&amp;"; "&amp;AC172&amp;"; "&amp;U172)</x:f>
        <x:v>proposal.culture.oath_ring; oath exchange ring; cultural objects; ritual; cultural object; finished item; manufactured / unresolved; ceremony; metal; solid piece; proposal; </x:v>
      </x:c>
      <x:c r="AE172" s="4" t="str">
        <x:v>From current item description. Proposed uses retain their existing approval status.</x:v>
      </x:c>
      <x:c r="AF172" s="4" t="str">
        <x:v>Finished item</x:v>
      </x:c>
      <x:c r="AG172" s="4" t="str">
        <x:v>Completed gear, vessel, food or tool can stop at its chosen material tier; it need not climb to T4.</x:v>
      </x:c>
      <x:c r="AH172" s="4" t="str">
        <x:v>Unassigned</x:v>
      </x:c>
    </x:row>
    <x:row r="173" ht="100" customHeight="1">
      <x:c r="A173" s="9" t="str">
        <x:v>proposal.culture.milestone</x:v>
      </x:c>
      <x:c r="B173" s="9" t="str">
        <x:v>Life-event charm</x:v>
      </x:c>
      <x:c r="C173" s="9" t="str">
        <x:v>Cultural objects</x:v>
      </x:c>
      <x:c r="D173" s="9" t="str">
        <x:v>Ritual</x:v>
      </x:c>
      <x:c r="E173" s="9" t="str">
        <x:v>New proposal</x:v>
      </x:c>
      <x:c r="F173" s="9" t="str">
        <x:v>Record coming of age, apprenticeship or return</x:v>
      </x:c>
      <x:c r="G173" s="9" t="str">
        <x:v>Unassigned</x:v>
      </x:c>
      <x:c r="H173" s="9" t="str">
        <x:v>Personal kit / local storage eligibility TBD</x:v>
      </x:c>
      <x:c r="I173" s="13"/>
      <x:c r="J173" s="15"/>
      <x:c r="K173" s="9" t="str">
        <x:v>Craft, trade, gift or institutional custody; exact source TBD</x:v>
      </x:c>
      <x:c r="L173" s="9" t="str">
        <x:v>Material candidate: Stamped metal or carved shell</x:v>
      </x:c>
      <x:c r="M173" s="9" t="str">
        <x:v>Not implemented</x:v>
      </x:c>
      <x:c r="N173" s="9" t="str">
        <x:v>Use existing mounts where appropriate; not a new functional canister</x:v>
      </x:c>
      <x:c r="O173" s="17"/>
      <x:c r="P173" s="17"/>
      <x:c r="Q173" s="17"/>
      <x:c r="R173" s="17"/>
      <x:c r="S173" s="17"/>
      <x:c r="T173" s="9" t="str">
        <x:v>Small plain charm to fine engraved keepsake. Faith, political authority, ritual practice and prices remain proposals.</x:v>
      </x:c>
      <x:c r="U173" s="11" t="str">
        <x:v>ceremony</x:v>
      </x:c>
      <x:c r="V173" s="9" t="str">
        <x:v>New game proposal inspired by proposal-stage lore: https://github.com/sleepyseamonster/Arc-Dust/blob/f6f98515c005dc3c73cccd9cbc031691745740c6/02-Arc-Dust-Worldbuilding/world/economy/canister/religious-traditions.md</x:v>
      </x:c>
      <x:c r="W173" s="4" t="str">
        <x:v>Cultural object</x:v>
      </x:c>
      <x:c r="X173" s="4" t="str">
        <x:v>Finished item</x:v>
      </x:c>
      <x:c r="Y173" s="4" t="str">
        <x:v>Manufactured / unresolved</x:v>
      </x:c>
      <x:c r="Z173" s="4" t="str">
        <x:v>Remembrance</x:v>
      </x:c>
      <x:c r="AA173" s="4" t="str">
        <x:v>Metal or shell</x:v>
      </x:c>
      <x:c r="AB173" s="4" t="str">
        <x:v>Solid piece</x:v>
      </x:c>
      <x:c r="AC173" s="4" t="str">
        <x:v>Proposal</x:v>
      </x:c>
      <x:c r="AD173" s="4" t="str">
        <x:f>LOWER(A173&amp;"; "&amp;B173&amp;"; "&amp;C173&amp;"; "&amp;D173&amp;"; "&amp;W173&amp;"; "&amp;X173&amp;"; "&amp;Y173&amp;"; "&amp;Z173&amp;"; "&amp;AA173&amp;"; "&amp;AB173&amp;"; "&amp;AC173&amp;"; "&amp;U173)</x:f>
        <x:v>proposal.culture.milestone; life-event charm; cultural objects; ritual; cultural object; finished item; manufactured / unresolved; remembrance; metal or shell; solid piece; proposal; ceremony</x:v>
      </x:c>
      <x:c r="AE173" s="4" t="str">
        <x:v>From current item description. Proposed uses retain their existing approval status.</x:v>
      </x:c>
      <x:c r="AF173" s="4" t="str">
        <x:v>Finished item</x:v>
      </x:c>
      <x:c r="AG173" s="4" t="str">
        <x:v>Completed gear, vessel, food or tool can stop at its chosen material tier; it need not climb to T4.</x:v>
      </x:c>
      <x:c r="AH173" s="4" t="str">
        <x:v>Unassigned</x:v>
      </x:c>
    </x:row>
    <x:row r="174" ht="100" customHeight="1">
      <x:c r="A174" s="9" t="str">
        <x:v>proposal.culture.rattle</x:v>
      </x:c>
      <x:c r="B174" s="9" t="str">
        <x:v>Ceremonial shell rattle</x:v>
      </x:c>
      <x:c r="C174" s="9" t="str">
        <x:v>Cultural objects</x:v>
      </x:c>
      <x:c r="D174" s="9" t="str">
        <x:v>Ritual</x:v>
      </x:c>
      <x:c r="E174" s="9" t="str">
        <x:v>New proposal</x:v>
      </x:c>
      <x:c r="F174" s="9" t="str">
        <x:v>Provide a dry percussive sound for gatherings</x:v>
      </x:c>
      <x:c r="G174" s="9" t="str">
        <x:v>Unassigned</x:v>
      </x:c>
      <x:c r="H174" s="9" t="str">
        <x:v>Personal kit / local storage eligibility TBD</x:v>
      </x:c>
      <x:c r="I174" s="13"/>
      <x:c r="J174" s="15"/>
      <x:c r="K174" s="9" t="str">
        <x:v>Craft, trade, gift or institutional custody; exact source TBD</x:v>
      </x:c>
      <x:c r="L174" s="9" t="str">
        <x:v>Material candidate: Hollow shell with mineral chips and metal fasteners</x:v>
      </x:c>
      <x:c r="M174" s="9" t="str">
        <x:v>Not implemented</x:v>
      </x:c>
      <x:c r="N174" s="9" t="str">
        <x:v>Sound rituals and fauna reactions undecided; no weapon mechanic</x:v>
      </x:c>
      <x:c r="O174" s="17"/>
      <x:c r="P174" s="17"/>
      <x:c r="Q174" s="17"/>
      <x:c r="R174" s="17"/>
      <x:c r="S174" s="17"/>
      <x:c r="T174" s="9" t="str">
        <x:v>Plain community instrument; decorated pieces may be costly. Faith, political authority, ritual practice and prices remain proposals.</x:v>
      </x:c>
      <x:c r="U174" s="11" t="str">
        <x:v>music</x:v>
      </x:c>
      <x:c r="V174" s="9" t="str">
        <x:v>New game proposal; author request October 14, 2026</x:v>
      </x:c>
      <x:c r="W174" s="4" t="str">
        <x:v>Musical instrument</x:v>
      </x:c>
      <x:c r="X174" s="4" t="str">
        <x:v>Finished item</x:v>
      </x:c>
      <x:c r="Y174" s="4" t="str">
        <x:v>Manufactured / unresolved</x:v>
      </x:c>
      <x:c r="Z174" s="4" t="str">
        <x:v>Ceremony</x:v>
      </x:c>
      <x:c r="AA174" s="4" t="str">
        <x:v>Shell and mineral</x:v>
      </x:c>
      <x:c r="AB174" s="4" t="str">
        <x:v>Assembly</x:v>
      </x:c>
      <x:c r="AC174" s="4" t="str">
        <x:v>Proposal</x:v>
      </x:c>
      <x:c r="AD174" s="4" t="str">
        <x:f>LOWER(A174&amp;"; "&amp;B174&amp;"; "&amp;C174&amp;"; "&amp;D174&amp;"; "&amp;W174&amp;"; "&amp;X174&amp;"; "&amp;Y174&amp;"; "&amp;Z174&amp;"; "&amp;AA174&amp;"; "&amp;AB174&amp;"; "&amp;AC174&amp;"; "&amp;U174)</x:f>
        <x:v>proposal.culture.rattle; ceremonial shell rattle; cultural objects; ritual; musical instrument; finished item; manufactured / unresolved; ceremony; shell and mineral; assembly; proposal; music</x:v>
      </x:c>
      <x:c r="AE174" s="4" t="str">
        <x:v>From current item description. Proposed uses retain their existing approval status.</x:v>
      </x:c>
      <x:c r="AF174" s="4" t="str">
        <x:v>Finished item</x:v>
      </x:c>
      <x:c r="AG174" s="4" t="str">
        <x:v>Completed gear, vessel, food or tool can stop at its chosen material tier; it need not climb to T4.</x:v>
      </x:c>
      <x:c r="AH174" s="4" t="str">
        <x:v>Unassigned</x:v>
      </x:c>
    </x:row>
    <x:row r="175" ht="100" customHeight="1">
      <x:c r="A175" s="9" t="str">
        <x:v>proposal.culture.gift_case</x:v>
      </x:c>
      <x:c r="B175" s="9" t="str">
        <x:v>Ceremonial gift case</x:v>
      </x:c>
      <x:c r="C175" s="9" t="str">
        <x:v>Cultural objects</x:v>
      </x:c>
      <x:c r="D175" s="9" t="str">
        <x:v>Ritual</x:v>
      </x:c>
      <x:c r="E175" s="9" t="str">
        <x:v>New proposal</x:v>
      </x:c>
      <x:c r="F175" s="9" t="str">
        <x:v>Present and retain a life-event gift</x:v>
      </x:c>
      <x:c r="G175" s="9" t="str">
        <x:v>Unassigned</x:v>
      </x:c>
      <x:c r="H175" s="9" t="str">
        <x:v>Personal kit / local storage eligibility TBD</x:v>
      </x:c>
      <x:c r="I175" s="13"/>
      <x:c r="J175" s="15"/>
      <x:c r="K175" s="9" t="str">
        <x:v>Craft, trade, gift or institutional custody; exact source TBD</x:v>
      </x:c>
      <x:c r="L175" s="9" t="str">
        <x:v>Material candidate: Fitted shell or worked metal; minimal lining if needed</x:v>
      </x:c>
      <x:c r="M175" s="9" t="str">
        <x:v>Not implemented</x:v>
      </x:c>
      <x:c r="N175" s="9" t="str">
        <x:v>Reuse existing box/container family as craft basis; contents counted separately</x:v>
      </x:c>
      <x:c r="O175" s="17"/>
      <x:c r="P175" s="17"/>
      <x:c r="Q175" s="17"/>
      <x:c r="R175" s="17"/>
      <x:c r="S175" s="17"/>
      <x:c r="T175" s="9" t="str">
        <x:v>Labor-intensive fitted finish differentiates it from basic storage. Faith, political authority, ritual practice and prices remain proposals.</x:v>
      </x:c>
      <x:c r="U175" s="11" t="str">
        <x:v>keepsake storage</x:v>
      </x:c>
      <x:c r="V175" s="9" t="str">
        <x:v>New game proposal inspired by proposal-stage lore: https://github.com/sleepyseamonster/Arc-Dust/blob/f6f98515c005dc3c73cccd9cbc031691745740c6/02-Arc-Dust-Worldbuilding/world/economy/canister/religious-traditions.md</x:v>
      </x:c>
      <x:c r="W175" s="4" t="str">
        <x:v>Container</x:v>
      </x:c>
      <x:c r="X175" s="4" t="str">
        <x:v>Finished item</x:v>
      </x:c>
      <x:c r="Y175" s="4" t="str">
        <x:v>Manufactured / unresolved</x:v>
      </x:c>
      <x:c r="Z175" s="4" t="str">
        <x:v>Ceremony</x:v>
      </x:c>
      <x:c r="AA175" s="4" t="str">
        <x:v>Metal or shell</x:v>
      </x:c>
      <x:c r="AB175" s="4" t="str">
        <x:v>Assembly</x:v>
      </x:c>
      <x:c r="AC175" s="4" t="str">
        <x:v>Proposal</x:v>
      </x:c>
      <x:c r="AD175" s="4" t="str">
        <x:f>LOWER(A175&amp;"; "&amp;B175&amp;"; "&amp;C175&amp;"; "&amp;D175&amp;"; "&amp;W175&amp;"; "&amp;X175&amp;"; "&amp;Y175&amp;"; "&amp;Z175&amp;"; "&amp;AA175&amp;"; "&amp;AB175&amp;"; "&amp;AC175&amp;"; "&amp;U175)</x:f>
        <x:v>proposal.culture.gift_case; ceremonial gift case; cultural objects; ritual; container; finished item; manufactured / unresolved; ceremony; metal or shell; assembly; proposal; keepsake storage</x:v>
      </x:c>
      <x:c r="AE175" s="4" t="str">
        <x:v>From current item description. Proposed uses retain their existing approval status.</x:v>
      </x:c>
      <x:c r="AF175" s="4" t="str">
        <x:v>Finished item</x:v>
      </x:c>
      <x:c r="AG175" s="4" t="str">
        <x:v>Completed gear, vessel, food or tool can stop at its chosen material tier; it need not climb to T4.</x:v>
      </x:c>
      <x:c r="AH175" s="4" t="str">
        <x:v>Unassigned</x:v>
      </x:c>
    </x:row>
    <x:row r="176" ht="100" customHeight="1">
      <x:c r="A176" s="9" t="str">
        <x:v>proposal.culture.bowl</x:v>
      </x:c>
      <x:c r="B176" s="9" t="str">
        <x:v>Everyday shell bowl</x:v>
      </x:c>
      <x:c r="C176" s="9" t="str">
        <x:v>Everyday objects</x:v>
      </x:c>
      <x:c r="D176" s="9" t="str">
        <x:v>Everyday household</x:v>
      </x:c>
      <x:c r="E176" s="9" t="str">
        <x:v>New proposal</x:v>
      </x:c>
      <x:c r="F176" s="9" t="str">
        <x:v>Hold an algae meal or sorted small goods</x:v>
      </x:c>
      <x:c r="G176" s="9" t="str">
        <x:v>Unassigned</x:v>
      </x:c>
      <x:c r="H176" s="9" t="str">
        <x:v>Personal kit / local storage eligibility TBD</x:v>
      </x:c>
      <x:c r="I176" s="13"/>
      <x:c r="J176" s="15"/>
      <x:c r="K176" s="9" t="str">
        <x:v>Craft, trade, gift or institutional custody; exact source TBD</x:v>
      </x:c>
      <x:c r="L176" s="9" t="str">
        <x:v>Material candidate: Prepared shell; safe metal version possible</x:v>
      </x:c>
      <x:c r="M176" s="9" t="str">
        <x:v>Not implemented</x:v>
      </x:c>
      <x:c r="N176" s="9" t="str">
        <x:v>Shell must be assessed for toxic residues; no assumed water supply</x:v>
      </x:c>
      <x:c r="O176" s="17"/>
      <x:c r="P176" s="17"/>
      <x:c r="Q176" s="17"/>
      <x:c r="R176" s="17"/>
      <x:c r="S176" s="17"/>
      <x:c r="T176" s="9" t="str">
        <x:v>Cheap raw shell; food-contact preparation has its own cost. Faith, political authority, ritual practice and prices remain proposals.</x:v>
      </x:c>
      <x:c r="U176" s="11"/>
      <x:c r="V176" s="9" t="str">
        <x:v>New game proposal; author request October 14, 2026</x:v>
      </x:c>
      <x:c r="W176" s="4" t="str">
        <x:v>Household utensil</x:v>
      </x:c>
      <x:c r="X176" s="4" t="str">
        <x:v>Finished item</x:v>
      </x:c>
      <x:c r="Y176" s="4" t="str">
        <x:v>Manufactured / unresolved</x:v>
      </x:c>
      <x:c r="Z176" s="4" t="str">
        <x:v>Food service</x:v>
      </x:c>
      <x:c r="AA176" s="4" t="str">
        <x:v>Metal or shell</x:v>
      </x:c>
      <x:c r="AB176" s="4" t="str">
        <x:v>Solid piece</x:v>
      </x:c>
      <x:c r="AC176" s="4" t="str">
        <x:v>Proposal</x:v>
      </x:c>
      <x:c r="AD176" s="4" t="str">
        <x:f>LOWER(A176&amp;"; "&amp;B176&amp;"; "&amp;C176&amp;"; "&amp;D176&amp;"; "&amp;W176&amp;"; "&amp;X176&amp;"; "&amp;Y176&amp;"; "&amp;Z176&amp;"; "&amp;AA176&amp;"; "&amp;AB176&amp;"; "&amp;AC176&amp;"; "&amp;U176)</x:f>
        <x:v>proposal.culture.bowl; everyday shell bowl; everyday objects; everyday household; household utensil; finished item; manufactured / unresolved; food service; metal or shell; solid piece; proposal; </x:v>
      </x:c>
      <x:c r="AE176" s="4" t="str">
        <x:v>From current item description. Proposed uses retain their existing approval status.</x:v>
      </x:c>
      <x:c r="AF176" s="4" t="str">
        <x:v>Finished item</x:v>
      </x:c>
      <x:c r="AG176" s="4" t="str">
        <x:v>Completed gear, vessel, food or tool can stop at its chosen material tier; it need not climb to T4.</x:v>
      </x:c>
      <x:c r="AH176" s="4" t="str">
        <x:v>Unassigned</x:v>
      </x:c>
    </x:row>
    <x:row r="177" ht="100" customHeight="1">
      <x:c r="A177" s="9" t="str">
        <x:v>proposal.culture.spoon</x:v>
      </x:c>
      <x:c r="B177" s="9" t="str">
        <x:v>Algae spoon / scraper</x:v>
      </x:c>
      <x:c r="C177" s="9" t="str">
        <x:v>Everyday objects</x:v>
      </x:c>
      <x:c r="D177" s="9" t="str">
        <x:v>Everyday household</x:v>
      </x:c>
      <x:c r="E177" s="9" t="str">
        <x:v>New proposal</x:v>
      </x:c>
      <x:c r="F177" s="9" t="str">
        <x:v>Eat or scrape a contained algae portion</x:v>
      </x:c>
      <x:c r="G177" s="9" t="str">
        <x:v>Unassigned</x:v>
      </x:c>
      <x:c r="H177" s="9" t="str">
        <x:v>Personal kit / local storage eligibility TBD</x:v>
      </x:c>
      <x:c r="I177" s="13"/>
      <x:c r="J177" s="15"/>
      <x:c r="K177" s="9" t="str">
        <x:v>Craft, trade, gift or institutional custody; exact source TBD</x:v>
      </x:c>
      <x:c r="L177" s="9" t="str">
        <x:v>Material candidate: Formed metal or prepared shell</x:v>
      </x:c>
      <x:c r="M177" s="9" t="str">
        <x:v>Not implemented</x:v>
      </x:c>
      <x:c r="N177" s="9" t="str">
        <x:v>Food-safe finish TBD; no duplicate algae supply</x:v>
      </x:c>
      <x:c r="O177" s="17"/>
      <x:c r="P177" s="17"/>
      <x:c r="Q177" s="17"/>
      <x:c r="R177" s="17"/>
      <x:c r="S177" s="17"/>
      <x:c r="T177" s="9" t="str">
        <x:v>Practical simple tool; workmanship and material determine value. Faith, political authority, ritual practice and prices remain proposals.</x:v>
      </x:c>
      <x:c r="U177" s="11"/>
      <x:c r="V177" s="9" t="str">
        <x:v>New game proposal; author request October 14, 2026</x:v>
      </x:c>
      <x:c r="W177" s="4" t="str">
        <x:v>Household utensil</x:v>
      </x:c>
      <x:c r="X177" s="4" t="str">
        <x:v>Finished item</x:v>
      </x:c>
      <x:c r="Y177" s="4" t="str">
        <x:v>Manufactured / unresolved</x:v>
      </x:c>
      <x:c r="Z177" s="4" t="str">
        <x:v>Food service</x:v>
      </x:c>
      <x:c r="AA177" s="4" t="str">
        <x:v>Metal or shell</x:v>
      </x:c>
      <x:c r="AB177" s="4" t="str">
        <x:v>Solid piece</x:v>
      </x:c>
      <x:c r="AC177" s="4" t="str">
        <x:v>Proposal</x:v>
      </x:c>
      <x:c r="AD177" s="4" t="str">
        <x:f>LOWER(A177&amp;"; "&amp;B177&amp;"; "&amp;C177&amp;"; "&amp;D177&amp;"; "&amp;W177&amp;"; "&amp;X177&amp;"; "&amp;Y177&amp;"; "&amp;Z177&amp;"; "&amp;AA177&amp;"; "&amp;AB177&amp;"; "&amp;AC177&amp;"; "&amp;U177)</x:f>
        <x:v>proposal.culture.spoon; algae spoon / scraper; everyday objects; everyday household; household utensil; finished item; manufactured / unresolved; food service; metal or shell; solid piece; proposal; </x:v>
      </x:c>
      <x:c r="AE177" s="4" t="str">
        <x:v>From current item description. Proposed uses retain their existing approval status.</x:v>
      </x:c>
      <x:c r="AF177" s="4" t="str">
        <x:v>Finished item</x:v>
      </x:c>
      <x:c r="AG177" s="4" t="str">
        <x:v>Completed gear, vessel, food or tool can stop at its chosen material tier; it need not climb to T4.</x:v>
      </x:c>
      <x:c r="AH177" s="4" t="str">
        <x:v>Unassigned</x:v>
      </x:c>
    </x:row>
    <x:row r="178" ht="100" customHeight="1">
      <x:c r="A178" s="9" t="str">
        <x:v>proposal.culture.brush</x:v>
      </x:c>
      <x:c r="B178" s="9" t="str">
        <x:v>Dust brush</x:v>
      </x:c>
      <x:c r="C178" s="9" t="str">
        <x:v>Everyday objects</x:v>
      </x:c>
      <x:c r="D178" s="9" t="str">
        <x:v>Everyday household</x:v>
      </x:c>
      <x:c r="E178" s="9" t="str">
        <x:v>New proposal</x:v>
      </x:c>
      <x:c r="F178" s="9" t="str">
        <x:v>Sweep dust from possessions and living areas</x:v>
      </x:c>
      <x:c r="G178" s="9" t="str">
        <x:v>Unassigned</x:v>
      </x:c>
      <x:c r="H178" s="9" t="str">
        <x:v>Personal kit / local storage eligibility TBD</x:v>
      </x:c>
      <x:c r="I178" s="13"/>
      <x:c r="J178" s="15"/>
      <x:c r="K178" s="9" t="str">
        <x:v>Craft, trade, gift or institutional custody; exact source TBD</x:v>
      </x:c>
      <x:c r="L178" s="9" t="str">
        <x:v>Material candidate: Selected fauna bristles in a shell/metal head</x:v>
      </x:c>
      <x:c r="M178" s="9" t="str">
        <x:v>Not implemented</x:v>
      </x:c>
      <x:c r="N178" s="9" t="str">
        <x:v>Bristle safety and assembly unresolved; no cloth required</x:v>
      </x:c>
      <x:c r="O178" s="17"/>
      <x:c r="P178" s="17"/>
      <x:c r="Q178" s="17"/>
      <x:c r="R178" s="17"/>
      <x:c r="S178" s="17"/>
      <x:c r="T178" s="9" t="str">
        <x:v>Raw bristles and finished brush have separate value. Faith, political authority, ritual practice and prices remain proposals.</x:v>
      </x:c>
      <x:c r="U178" s="11"/>
      <x:c r="V178" s="9" t="str">
        <x:v>New game proposal; author request October 14, 2026</x:v>
      </x:c>
      <x:c r="W178" s="4" t="str">
        <x:v>Tool</x:v>
      </x:c>
      <x:c r="X178" s="4" t="str">
        <x:v>Finished item</x:v>
      </x:c>
      <x:c r="Y178" s="4" t="str">
        <x:v>Manufactured / unresolved</x:v>
      </x:c>
      <x:c r="Z178" s="4" t="str">
        <x:v>Cleaning</x:v>
      </x:c>
      <x:c r="AA178" s="4" t="str">
        <x:v>Faunal fiber and shell</x:v>
      </x:c>
      <x:c r="AB178" s="4" t="str">
        <x:v>Assembly</x:v>
      </x:c>
      <x:c r="AC178" s="4" t="str">
        <x:v>Proposal</x:v>
      </x:c>
      <x:c r="AD178" s="4" t="str">
        <x:f>LOWER(A178&amp;"; "&amp;B178&amp;"; "&amp;C178&amp;"; "&amp;D178&amp;"; "&amp;W178&amp;"; "&amp;X178&amp;"; "&amp;Y178&amp;"; "&amp;Z178&amp;"; "&amp;AA178&amp;"; "&amp;AB178&amp;"; "&amp;AC178&amp;"; "&amp;U178)</x:f>
        <x:v>proposal.culture.brush; dust brush; everyday objects; everyday household; tool; finished item; manufactured / unresolved; cleaning; faunal fiber and shell; assembly; proposal; </x:v>
      </x:c>
      <x:c r="AE178" s="4" t="str">
        <x:v>From current item description. Proposed uses retain their existing approval status.</x:v>
      </x:c>
      <x:c r="AF178" s="4" t="str">
        <x:v>Finished item</x:v>
      </x:c>
      <x:c r="AG178" s="4" t="str">
        <x:v>Completed gear, vessel, food or tool can stop at its chosen material tier; it need not climb to T4.</x:v>
      </x:c>
      <x:c r="AH178" s="4" t="str">
        <x:v>Unassigned</x:v>
      </x:c>
    </x:row>
    <x:row r="179" ht="100" customHeight="1">
      <x:c r="A179" s="9" t="str">
        <x:v>proposal.culture.comb</x:v>
      </x:c>
      <x:c r="B179" s="9" t="str">
        <x:v>Shell comb</x:v>
      </x:c>
      <x:c r="C179" s="9" t="str">
        <x:v>Everyday objects</x:v>
      </x:c>
      <x:c r="D179" s="9" t="str">
        <x:v>Everyday household</x:v>
      </x:c>
      <x:c r="E179" s="9" t="str">
        <x:v>New proposal</x:v>
      </x:c>
      <x:c r="F179" s="9" t="str">
        <x:v>Personal grooming</x:v>
      </x:c>
      <x:c r="G179" s="9" t="str">
        <x:v>Unassigned</x:v>
      </x:c>
      <x:c r="H179" s="9" t="str">
        <x:v>Personal kit / local storage eligibility TBD</x:v>
      </x:c>
      <x:c r="I179" s="13"/>
      <x:c r="J179" s="15"/>
      <x:c r="K179" s="9" t="str">
        <x:v>Craft, trade, gift or institutional custody; exact source TBD</x:v>
      </x:c>
      <x:c r="L179" s="9" t="str">
        <x:v>Material candidate: Carved shell or metal</x:v>
      </x:c>
      <x:c r="M179" s="9" t="str">
        <x:v>Not implemented</x:v>
      </x:c>
      <x:c r="N179" s="9" t="str">
        <x:v>No fur textile input or clothing slot implied</x:v>
      </x:c>
      <x:c r="O179" s="17"/>
      <x:c r="P179" s="17"/>
      <x:c r="Q179" s="17"/>
      <x:c r="R179" s="17"/>
      <x:c r="S179" s="17"/>
      <x:c r="T179" s="9" t="str">
        <x:v>Simple cheap-material craft; elaborate fine-tooth versions possible. Faith, political authority, ritual practice and prices remain proposals.</x:v>
      </x:c>
      <x:c r="U179" s="11"/>
      <x:c r="V179" s="9" t="str">
        <x:v>New game proposal; author request October 14, 2026</x:v>
      </x:c>
      <x:c r="W179" s="4" t="str">
        <x:v>Household utensil</x:v>
      </x:c>
      <x:c r="X179" s="4" t="str">
        <x:v>Finished item</x:v>
      </x:c>
      <x:c r="Y179" s="4" t="str">
        <x:v>Manufactured / unresolved</x:v>
      </x:c>
      <x:c r="Z179" s="4" t="str">
        <x:v>Grooming</x:v>
      </x:c>
      <x:c r="AA179" s="4" t="str">
        <x:v>Metal or shell</x:v>
      </x:c>
      <x:c r="AB179" s="4" t="str">
        <x:v>Solid piece</x:v>
      </x:c>
      <x:c r="AC179" s="4" t="str">
        <x:v>Proposal</x:v>
      </x:c>
      <x:c r="AD179" s="4" t="str">
        <x:f>LOWER(A179&amp;"; "&amp;B179&amp;"; "&amp;C179&amp;"; "&amp;D179&amp;"; "&amp;W179&amp;"; "&amp;X179&amp;"; "&amp;Y179&amp;"; "&amp;Z179&amp;"; "&amp;AA179&amp;"; "&amp;AB179&amp;"; "&amp;AC179&amp;"; "&amp;U179)</x:f>
        <x:v>proposal.culture.comb; shell comb; everyday objects; everyday household; household utensil; finished item; manufactured / unresolved; grooming; metal or shell; solid piece; proposal; </x:v>
      </x:c>
      <x:c r="AE179" s="4" t="str">
        <x:v>From current item description. Proposed uses retain their existing approval status.</x:v>
      </x:c>
      <x:c r="AF179" s="4" t="str">
        <x:v>Finished item</x:v>
      </x:c>
      <x:c r="AG179" s="4" t="str">
        <x:v>Completed gear, vessel, food or tool can stop at its chosen material tier; it need not climb to T4.</x:v>
      </x:c>
      <x:c r="AH179" s="4" t="str">
        <x:v>Unassigned</x:v>
      </x:c>
    </x:row>
    <x:row r="180" ht="100" customHeight="1">
      <x:c r="A180" s="9" t="str">
        <x:v>proposal.culture.tablet</x:v>
      </x:c>
      <x:c r="B180" s="9" t="str">
        <x:v>Reusable tally tablet</x:v>
      </x:c>
      <x:c r="C180" s="9" t="str">
        <x:v>Everyday objects</x:v>
      </x:c>
      <x:c r="D180" s="9" t="str">
        <x:v>Everyday household</x:v>
      </x:c>
      <x:c r="E180" s="9" t="str">
        <x:v>New proposal</x:v>
      </x:c>
      <x:c r="F180" s="9" t="str">
        <x:v>Practice marks, keep counts or leave short messages</x:v>
      </x:c>
      <x:c r="G180" s="9" t="str">
        <x:v>Unassigned</x:v>
      </x:c>
      <x:c r="H180" s="9" t="str">
        <x:v>Personal kit / local storage eligibility TBD</x:v>
      </x:c>
      <x:c r="I180" s="13"/>
      <x:c r="J180" s="15"/>
      <x:c r="K180" s="9" t="str">
        <x:v>Craft, trade, gift or institutional custody; exact source TBD</x:v>
      </x:c>
      <x:c r="L180" s="9" t="str">
        <x:v>Material candidate: Incised shell or soft mineral plate</x:v>
      </x:c>
      <x:c r="M180" s="9" t="str">
        <x:v>Not implemented</x:v>
      </x:c>
      <x:c r="N180" s="9" t="str">
        <x:v>Writing method must match surface; not an electronic tablet</x:v>
      </x:c>
      <x:c r="O180" s="17"/>
      <x:c r="P180" s="17"/>
      <x:c r="Q180" s="17"/>
      <x:c r="R180" s="17"/>
      <x:c r="S180" s="17"/>
      <x:c r="T180" s="9" t="str">
        <x:v>Paper-saving reusable surface; exact erasability TBD. Faith, political authority, ritual practice and prices remain proposals.</x:v>
      </x:c>
      <x:c r="U180" s="11"/>
      <x:c r="V180" s="9" t="str">
        <x:v>New game proposal; author request October 14, 2026</x:v>
      </x:c>
      <x:c r="W180" s="4" t="str">
        <x:v>Document</x:v>
      </x:c>
      <x:c r="X180" s="4" t="str">
        <x:v>Finished item</x:v>
      </x:c>
      <x:c r="Y180" s="4" t="str">
        <x:v>Manufactured / unresolved</x:v>
      </x:c>
      <x:c r="Z180" s="4" t="str">
        <x:v>Writing and records</x:v>
      </x:c>
      <x:c r="AA180" s="4" t="str">
        <x:v>Mineral or shell</x:v>
      </x:c>
      <x:c r="AB180" s="4" t="str">
        <x:v>Solid piece</x:v>
      </x:c>
      <x:c r="AC180" s="4" t="str">
        <x:v>Proposal</x:v>
      </x:c>
      <x:c r="AD180" s="4" t="str">
        <x:f>LOWER(A180&amp;"; "&amp;B180&amp;"; "&amp;C180&amp;"; "&amp;D180&amp;"; "&amp;W180&amp;"; "&amp;X180&amp;"; "&amp;Y180&amp;"; "&amp;Z180&amp;"; "&amp;AA180&amp;"; "&amp;AB180&amp;"; "&amp;AC180&amp;"; "&amp;U180)</x:f>
        <x:v>proposal.culture.tablet; reusable tally tablet; everyday objects; everyday household; document; finished item; manufactured / unresolved; writing and records; mineral or shell; solid piece; proposal; </x:v>
      </x:c>
      <x:c r="AE180" s="4" t="str">
        <x:v>From current item description. Proposed uses retain their existing approval status.</x:v>
      </x:c>
      <x:c r="AF180" s="4" t="str">
        <x:v>Finished item</x:v>
      </x:c>
      <x:c r="AG180" s="4" t="str">
        <x:v>Completed gear, vessel, food or tool can stop at its chosen material tier; it need not climb to T4.</x:v>
      </x:c>
      <x:c r="AH180" s="4" t="str">
        <x:v>Unassigned</x:v>
      </x:c>
    </x:row>
    <x:row r="181" ht="100" customHeight="1">
      <x:c r="A181" s="9" t="str">
        <x:v>proposal.culture.stylus</x:v>
      </x:c>
      <x:c r="B181" s="9" t="str">
        <x:v>Marking stylus</x:v>
      </x:c>
      <x:c r="C181" s="9" t="str">
        <x:v>Everyday objects</x:v>
      </x:c>
      <x:c r="D181" s="9" t="str">
        <x:v>Everyday household</x:v>
      </x:c>
      <x:c r="E181" s="9" t="str">
        <x:v>New proposal</x:v>
      </x:c>
      <x:c r="F181" s="9" t="str">
        <x:v>Incise compatible tablets, labels or simple designs</x:v>
      </x:c>
      <x:c r="G181" s="9" t="str">
        <x:v>Unassigned</x:v>
      </x:c>
      <x:c r="H181" s="9" t="str">
        <x:v>Personal kit / local storage eligibility TBD</x:v>
      </x:c>
      <x:c r="I181" s="13"/>
      <x:c r="J181" s="15"/>
      <x:c r="K181" s="9" t="str">
        <x:v>Craft, trade, gift or institutional custody; exact source TBD</x:v>
      </x:c>
      <x:c r="L181" s="9" t="str">
        <x:v>Material candidate: Worked metal point in a shell/metal grip</x:v>
      </x:c>
      <x:c r="M181" s="9" t="str">
        <x:v>Not implemented</x:v>
      </x:c>
      <x:c r="N181" s="9" t="str">
        <x:v>No ink chemistry or universal writing compatibility assumed</x:v>
      </x:c>
      <x:c r="O181" s="17"/>
      <x:c r="P181" s="17"/>
      <x:c r="Q181" s="17"/>
      <x:c r="R181" s="17"/>
      <x:c r="S181" s="17"/>
      <x:c r="T181" s="9" t="str">
        <x:v>Simple durable tool; fine engraving tools are separate specialist grades. Faith, political authority, ritual practice and prices remain proposals.</x:v>
      </x:c>
      <x:c r="U181" s="11"/>
      <x:c r="V181" s="9" t="str">
        <x:v>New game proposal; author request October 14, 2026</x:v>
      </x:c>
      <x:c r="W181" s="4" t="str">
        <x:v>Tool</x:v>
      </x:c>
      <x:c r="X181" s="4" t="str">
        <x:v>Finished item</x:v>
      </x:c>
      <x:c r="Y181" s="4" t="str">
        <x:v>Manufactured / unresolved</x:v>
      </x:c>
      <x:c r="Z181" s="4" t="str">
        <x:v>Writing and records</x:v>
      </x:c>
      <x:c r="AA181" s="4" t="str">
        <x:v>Metal and shell</x:v>
      </x:c>
      <x:c r="AB181" s="4" t="str">
        <x:v>Solid part</x:v>
      </x:c>
      <x:c r="AC181" s="4" t="str">
        <x:v>Proposal</x:v>
      </x:c>
      <x:c r="AD181" s="4" t="str">
        <x:f>LOWER(A181&amp;"; "&amp;B181&amp;"; "&amp;C181&amp;"; "&amp;D181&amp;"; "&amp;W181&amp;"; "&amp;X181&amp;"; "&amp;Y181&amp;"; "&amp;Z181&amp;"; "&amp;AA181&amp;"; "&amp;AB181&amp;"; "&amp;AC181&amp;"; "&amp;U181)</x:f>
        <x:v>proposal.culture.stylus; marking stylus; everyday objects; everyday household; tool; finished item; manufactured / unresolved; writing and records; metal and shell; solid part; proposal; </x:v>
      </x:c>
      <x:c r="AE181" s="4" t="str">
        <x:v>From current item description. Proposed uses retain their existing approval status.</x:v>
      </x:c>
      <x:c r="AF181" s="4" t="str">
        <x:v>Finished item</x:v>
      </x:c>
      <x:c r="AG181" s="4" t="str">
        <x:v>Completed gear, vessel, food or tool can stop at its chosen material tier; it need not climb to T4.</x:v>
      </x:c>
      <x:c r="AH181" s="4" t="str">
        <x:v>Unassigned</x:v>
      </x:c>
    </x:row>
    <x:row r="182" ht="105" customHeight="1">
      <x:c r="A182" s="9" t="str">
        <x:v>proposal.ceramic.grog</x:v>
      </x:c>
      <x:c r="B182" s="9" t="str">
        <x:v>Crushed fired ceramic grit</x:v>
      </x:c>
      <x:c r="C182" s="9" t="str">
        <x:v>Resources</x:v>
      </x:c>
      <x:c r="D182" s="9" t="str">
        <x:v>Ceramic feedstock</x:v>
      </x:c>
      <x:c r="E182" s="9" t="str">
        <x:v>New proposal</x:v>
      </x:c>
      <x:c r="F182" s="9" t="str">
        <x:v>Selected broken fired ceramic, sorted and crushed for candidate body mixes.</x:v>
      </x:c>
      <x:c r="G182" s="9" t="str">
        <x:v>Unassigned; no new slot approved</x:v>
      </x:c>
      <x:c r="H182" s="9" t="str">
        <x:v>Carrier / placement policy TBD</x:v>
      </x:c>
      <x:c r="I182" s="13"/>
      <x:c r="J182" s="15"/>
      <x:c r="K182" s="9" t="str">
        <x:v>Specialist ceramic craft or trade; exact production route TBD</x:v>
      </x:c>
      <x:c r="L182" s="9" t="str">
        <x:v>Build on existing claystone, alumina, mineral feeds and insulating blanks where appropriate. No recipe authored.</x:v>
      </x:c>
      <x:c r="M182" s="9" t="str">
        <x:v>Not implemented</x:v>
      </x:c>
      <x:c r="N182" s="9" t="str">
        <x:v>Composition and contamination must be identified; not every broken vessel is reusable feed.</x:v>
      </x:c>
      <x:c r="O182" s="17"/>
      <x:c r="P182" s="17"/>
      <x:c r="Q182" s="17"/>
      <x:c r="R182" s="17"/>
      <x:c r="S182" s="17"/>
      <x:c r="T182" s="9" t="str">
        <x:v>Ceramics requested as a broad item family. Specific objects, grades, sourcing, yield and value remain proposals.</x:v>
      </x:c>
      <x:c r="U182" s="11" t="str">
        <x:v>fabrication; ceramic; pottery</x:v>
      </x:c>
      <x:c r="V182" s="9" t="str">
        <x:v>Author ceramics direction October 14, 2026; local game item proposal. Existing mineral/ceramic entries reused where applicable.</x:v>
      </x:c>
      <x:c r="W182" s="4" t="str">
        <x:v>Processed material</x:v>
      </x:c>
      <x:c r="X182" s="4" t="str">
        <x:v>Processed intermediate</x:v>
      </x:c>
      <x:c r="Y182" s="4" t="str">
        <x:v>Geological</x:v>
      </x:c>
      <x:c r="Z182" s="4" t="str">
        <x:v>Glass and ceramics</x:v>
      </x:c>
      <x:c r="AA182" s="4" t="str">
        <x:v>Ceramic feed mixture</x:v>
      </x:c>
      <x:c r="AB182" s="4" t="str">
        <x:v>Particles</x:v>
      </x:c>
      <x:c r="AC182" s="4" t="str">
        <x:v>Proposal</x:v>
      </x:c>
      <x:c r="AD182" s="4" t="str">
        <x:f>LOWER(A182&amp;"; "&amp;B182&amp;"; "&amp;C182&amp;"; "&amp;D182&amp;"; "&amp;W182&amp;"; "&amp;X182&amp;"; "&amp;Y182&amp;"; "&amp;Z182&amp;"; "&amp;AA182&amp;"; "&amp;AB182&amp;"; "&amp;AC182&amp;"; "&amp;U182)</x:f>
        <x:v>proposal.ceramic.grog; crushed fired ceramic grit; resources; ceramic feedstock; processed material; processed intermediate; geological; glass and ceramics; ceramic feed mixture; particles; proposal; fabrication; ceramic; pottery</x:v>
      </x:c>
      <x:c r="AE182" s="4" t="str">
        <x:v>Specific item proposed from author ceramics direction; functional and material limits remain unresolved.</x:v>
      </x:c>
      <x:c r="AF182" s="4" t="str">
        <x:v>T1</x:v>
      </x:c>
      <x:c r="AG182" s="4" t="str">
        <x:v>Proposed game manufacturing tier from the candidate routes. Integrated operations may contain many work steps.</x:v>
      </x:c>
      <x:c r="AH182" s="4" t="str">
        <x:v>Not applicable</x:v>
      </x:c>
    </x:row>
    <x:row r="183" ht="105" customHeight="1">
      <x:c r="A183" s="9" t="str">
        <x:v>proposal.ceramic.body_feed</x:v>
      </x:c>
      <x:c r="B183" s="9" t="str">
        <x:v>Prepared ceramic body feed</x:v>
      </x:c>
      <x:c r="C183" s="9" t="str">
        <x:v>Resources</x:v>
      </x:c>
      <x:c r="D183" s="9" t="str">
        <x:v>Ceramic feedstock</x:v>
      </x:c>
      <x:c r="E183" s="9" t="str">
        <x:v>New proposal</x:v>
      </x:c>
      <x:c r="F183" s="9" t="str">
        <x:v>Selected mineral feed blended for a chosen ceramic product.</x:v>
      </x:c>
      <x:c r="G183" s="9" t="str">
        <x:v>Unassigned; no new slot approved</x:v>
      </x:c>
      <x:c r="H183" s="9" t="str">
        <x:v>Carrier / placement policy TBD</x:v>
      </x:c>
      <x:c r="I183" s="13"/>
      <x:c r="J183" s="15"/>
      <x:c r="K183" s="9" t="str">
        <x:v>Specialist ceramic craft or trade; exact production route TBD</x:v>
      </x:c>
      <x:c r="L183" s="9" t="str">
        <x:v>Build on existing claystone, alumina, mineral feeds and insulating blanks where appropriate. No recipe authored.</x:v>
      </x:c>
      <x:c r="M183" s="9" t="str">
        <x:v>Not implemented</x:v>
      </x:c>
      <x:c r="N183" s="9" t="str">
        <x:v>Forming and binder method unresolved under the no-free-water rule; no recipe ratios.</x:v>
      </x:c>
      <x:c r="O183" s="17"/>
      <x:c r="P183" s="17"/>
      <x:c r="Q183" s="17"/>
      <x:c r="R183" s="17"/>
      <x:c r="S183" s="17"/>
      <x:c r="T183" s="9" t="str">
        <x:v>Ceramics requested as a broad item family. Specific objects, grades, sourcing, yield and value remain proposals.</x:v>
      </x:c>
      <x:c r="U183" s="11" t="str">
        <x:v>fabrication; ceramic; pottery</x:v>
      </x:c>
      <x:c r="V183" s="9" t="str">
        <x:v>Author ceramics direction October 14, 2026; local game item proposal. Existing mineral/ceramic entries reused where applicable.</x:v>
      </x:c>
      <x:c r="W183" s="4" t="str">
        <x:v>Processed material</x:v>
      </x:c>
      <x:c r="X183" s="4" t="str">
        <x:v>Processed intermediate</x:v>
      </x:c>
      <x:c r="Y183" s="4" t="str">
        <x:v>Geological</x:v>
      </x:c>
      <x:c r="Z183" s="4" t="str">
        <x:v>Glass and ceramics</x:v>
      </x:c>
      <x:c r="AA183" s="4" t="str">
        <x:v>Ceramic feed mixture</x:v>
      </x:c>
      <x:c r="AB183" s="4" t="str">
        <x:v>Particles</x:v>
      </x:c>
      <x:c r="AC183" s="4" t="str">
        <x:v>Proposal</x:v>
      </x:c>
      <x:c r="AD183" s="4" t="str">
        <x:f>LOWER(A183&amp;"; "&amp;B183&amp;"; "&amp;C183&amp;"; "&amp;D183&amp;"; "&amp;W183&amp;"; "&amp;X183&amp;"; "&amp;Y183&amp;"; "&amp;Z183&amp;"; "&amp;AA183&amp;"; "&amp;AB183&amp;"; "&amp;AC183&amp;"; "&amp;U183)</x:f>
        <x:v>proposal.ceramic.body_feed; prepared ceramic body feed; resources; ceramic feedstock; processed material; processed intermediate; geological; glass and ceramics; ceramic feed mixture; particles; proposal; fabrication; ceramic; pottery</x:v>
      </x:c>
      <x:c r="AE183" s="4" t="str">
        <x:v>Specific item proposed from author ceramics direction; functional and material limits remain unresolved.</x:v>
      </x:c>
      <x:c r="AF183" s="4" t="str">
        <x:v>T1</x:v>
      </x:c>
      <x:c r="AG183" s="4" t="str">
        <x:v>Proposed game manufacturing tier from the candidate routes. Integrated operations may contain many work steps.</x:v>
      </x:c>
      <x:c r="AH183" s="4" t="str">
        <x:v>Not applicable</x:v>
      </x:c>
    </x:row>
    <x:row r="184" ht="105" customHeight="1">
      <x:c r="A184" s="9" t="str">
        <x:v>proposal.ceramic.glaze_feed</x:v>
      </x:c>
      <x:c r="B184" s="9" t="str">
        <x:v>Prepared glaze feed</x:v>
      </x:c>
      <x:c r="C184" s="9" t="str">
        <x:v>Resources</x:v>
      </x:c>
      <x:c r="D184" s="9" t="str">
        <x:v>Ceramic feedstock</x:v>
      </x:c>
      <x:c r="E184" s="9" t="str">
        <x:v>New proposal</x:v>
      </x:c>
      <x:c r="F184" s="9" t="str">
        <x:v>Selected mineral finishing feed for compatible ceramic surfaces.</x:v>
      </x:c>
      <x:c r="G184" s="9" t="str">
        <x:v>Unassigned; no new slot approved</x:v>
      </x:c>
      <x:c r="H184" s="9" t="str">
        <x:v>Carrier / placement policy TBD</x:v>
      </x:c>
      <x:c r="I184" s="13"/>
      <x:c r="J184" s="15"/>
      <x:c r="K184" s="9" t="str">
        <x:v>Specialist ceramic craft or trade; exact production route TBD</x:v>
      </x:c>
      <x:c r="L184" s="9" t="str">
        <x:v>Build on existing claystone, alumina, mineral feeds and insulating blanks where appropriate. No recipe authored.</x:v>
      </x:c>
      <x:c r="M184" s="9" t="str">
        <x:v>Not implemented</x:v>
      </x:c>
      <x:c r="N184" s="9" t="str">
        <x:v>No universal glaze, toxin barrier or food-safe finish assumed.</x:v>
      </x:c>
      <x:c r="O184" s="17"/>
      <x:c r="P184" s="17"/>
      <x:c r="Q184" s="17"/>
      <x:c r="R184" s="17"/>
      <x:c r="S184" s="17"/>
      <x:c r="T184" s="9" t="str">
        <x:v>Ceramics requested as a broad item family. Specific objects, grades, sourcing, yield and value remain proposals.</x:v>
      </x:c>
      <x:c r="U184" s="11" t="str">
        <x:v>surface finishing; ceramic; pottery</x:v>
      </x:c>
      <x:c r="V184" s="9" t="str">
        <x:v>Author ceramics direction October 14, 2026; local game item proposal. Existing mineral/ceramic entries reused where applicable.</x:v>
      </x:c>
      <x:c r="W184" s="4" t="str">
        <x:v>Processed material</x:v>
      </x:c>
      <x:c r="X184" s="4" t="str">
        <x:v>Processed intermediate</x:v>
      </x:c>
      <x:c r="Y184" s="4" t="str">
        <x:v>Geological</x:v>
      </x:c>
      <x:c r="Z184" s="4" t="str">
        <x:v>Glass and ceramics</x:v>
      </x:c>
      <x:c r="AA184" s="4" t="str">
        <x:v>Ceramic feed mixture</x:v>
      </x:c>
      <x:c r="AB184" s="4" t="str">
        <x:v>Particles</x:v>
      </x:c>
      <x:c r="AC184" s="4" t="str">
        <x:v>Proposal</x:v>
      </x:c>
      <x:c r="AD184" s="4" t="str">
        <x:f>LOWER(A184&amp;"; "&amp;B184&amp;"; "&amp;C184&amp;"; "&amp;D184&amp;"; "&amp;W184&amp;"; "&amp;X184&amp;"; "&amp;Y184&amp;"; "&amp;Z184&amp;"; "&amp;AA184&amp;"; "&amp;AB184&amp;"; "&amp;AC184&amp;"; "&amp;U184)</x:f>
        <x:v>proposal.ceramic.glaze_feed; prepared glaze feed; resources; ceramic feedstock; processed material; processed intermediate; geological; glass and ceramics; ceramic feed mixture; particles; proposal; surface finishing; ceramic; pottery</x:v>
      </x:c>
      <x:c r="AE184" s="4" t="str">
        <x:v>Specific item proposed from author ceramics direction; functional and material limits remain unresolved.</x:v>
      </x:c>
      <x:c r="AF184" s="4" t="str">
        <x:v>T1</x:v>
      </x:c>
      <x:c r="AG184" s="4" t="str">
        <x:v>Proposed game manufacturing tier from the candidate routes. Integrated operations may contain many work steps.</x:v>
      </x:c>
      <x:c r="AH184" s="4" t="str">
        <x:v>Not applicable</x:v>
      </x:c>
    </x:row>
    <x:row r="185" ht="105" customHeight="1">
      <x:c r="A185" s="9" t="str">
        <x:v>proposal.ceramic.unfired_blank</x:v>
      </x:c>
      <x:c r="B185" s="9" t="str">
        <x:v>Unfired shaped ceramic blank</x:v>
      </x:c>
      <x:c r="C185" s="9" t="str">
        <x:v>Crafting components</x:v>
      </x:c>
      <x:c r="D185" s="9" t="str">
        <x:v>Ceramic intermediate</x:v>
      </x:c>
      <x:c r="E185" s="9" t="str">
        <x:v>New proposal</x:v>
      </x:c>
      <x:c r="F185" s="9" t="str">
        <x:v>A shaped intermediate awaiting its designed firing process.</x:v>
      </x:c>
      <x:c r="G185" s="9" t="str">
        <x:v>Unassigned; no new slot approved</x:v>
      </x:c>
      <x:c r="H185" s="9" t="str">
        <x:v>Carrier / placement policy TBD</x:v>
      </x:c>
      <x:c r="I185" s="13"/>
      <x:c r="J185" s="15"/>
      <x:c r="K185" s="9" t="str">
        <x:v>Specialist ceramic craft or trade; exact production route TBD</x:v>
      </x:c>
      <x:c r="L185" s="9" t="str">
        <x:v>Build on existing claystone, alumina, mineral feeds and insulating blanks where appropriate. No recipe authored.</x:v>
      </x:c>
      <x:c r="M185" s="9" t="str">
        <x:v>Not implemented</x:v>
      </x:c>
      <x:c r="N185" s="9" t="str">
        <x:v>Forming method and required binders remain proposals; not a usable finished part.</x:v>
      </x:c>
      <x:c r="O185" s="17"/>
      <x:c r="P185" s="17"/>
      <x:c r="Q185" s="17"/>
      <x:c r="R185" s="17"/>
      <x:c r="S185" s="17"/>
      <x:c r="T185" s="9" t="str">
        <x:v>Ceramics requested as a broad item family. Specific objects, grades, sourcing, yield and value remain proposals.</x:v>
      </x:c>
      <x:c r="U185" s="11" t="str">
        <x:v>pottery</x:v>
      </x:c>
      <x:c r="V185" s="9" t="str">
        <x:v>Author ceramics direction October 14, 2026; local game item proposal. Existing mineral/ceramic entries reused where applicable.</x:v>
      </x:c>
      <x:c r="W185" s="4" t="str">
        <x:v>Crafting component</x:v>
      </x:c>
      <x:c r="X185" s="4" t="str">
        <x:v>Unfired intermediate</x:v>
      </x:c>
      <x:c r="Y185" s="4" t="str">
        <x:v>Manufactured / unresolved</x:v>
      </x:c>
      <x:c r="Z185" s="4" t="str">
        <x:v>Glass and ceramics</x:v>
      </x:c>
      <x:c r="AA185" s="4" t="str">
        <x:v>Ceramic</x:v>
      </x:c>
      <x:c r="AB185" s="4" t="str">
        <x:v>Solid part</x:v>
      </x:c>
      <x:c r="AC185" s="4" t="str">
        <x:v>Proposal</x:v>
      </x:c>
      <x:c r="AD185" s="4" t="str">
        <x:f>LOWER(A185&amp;"; "&amp;B185&amp;"; "&amp;C185&amp;"; "&amp;D185&amp;"; "&amp;W185&amp;"; "&amp;X185&amp;"; "&amp;Y185&amp;"; "&amp;Z185&amp;"; "&amp;AA185&amp;"; "&amp;AB185&amp;"; "&amp;AC185&amp;"; "&amp;U185)</x:f>
        <x:v>proposal.ceramic.unfired_blank; unfired shaped ceramic blank; crafting components; ceramic intermediate; crafting component; unfired intermediate; manufactured / unresolved; glass and ceramics; ceramic; solid part; proposal; pottery</x:v>
      </x:c>
      <x:c r="AE185" s="4" t="str">
        <x:v>Specific item proposed from author ceramics direction; functional and material limits remain unresolved.</x:v>
      </x:c>
      <x:c r="AF185" s="4" t="str">
        <x:v>Unassigned</x:v>
      </x:c>
      <x:c r="AG185" s="4" t="str">
        <x:v>Choose a material/part route before assigning a tier. Processing-stage labels alone do not prove chain depth.</x:v>
      </x:c>
      <x:c r="AH185" s="4" t="str">
        <x:v>Not applicable</x:v>
      </x:c>
    </x:row>
    <x:row r="186" ht="105" customHeight="1">
      <x:c r="A186" s="9" t="str">
        <x:v>proposal.ceramic.bowl</x:v>
      </x:c>
      <x:c r="B186" s="9" t="str">
        <x:v>Plain ceramic eating bowl</x:v>
      </x:c>
      <x:c r="C186" s="9" t="str">
        <x:v>Everyday objects</x:v>
      </x:c>
      <x:c r="D186" s="9" t="str">
        <x:v>Ceramic household</x:v>
      </x:c>
      <x:c r="E186" s="9" t="str">
        <x:v>New proposal</x:v>
      </x:c>
      <x:c r="F186" s="9" t="str">
        <x:v>Simple ceramic bowl for contained algae portions.</x:v>
      </x:c>
      <x:c r="G186" s="9" t="str">
        <x:v>Unassigned; no new slot approved</x:v>
      </x:c>
      <x:c r="H186" s="9" t="str">
        <x:v>Carrier / placement policy TBD</x:v>
      </x:c>
      <x:c r="I186" s="13"/>
      <x:c r="J186" s="15"/>
      <x:c r="K186" s="9" t="str">
        <x:v>Specialist ceramic craft or trade; exact production route TBD</x:v>
      </x:c>
      <x:c r="L186" s="9" t="str">
        <x:v>Build on existing claystone, alumina, mineral feeds and insulating blanks where appropriate. No recipe authored.</x:v>
      </x:c>
      <x:c r="M186" s="9" t="str">
        <x:v>Not implemented</x:v>
      </x:c>
      <x:c r="N186" s="9" t="str">
        <x:v>Food-contact grade and surface finish require design; not a water vessel assumption.</x:v>
      </x:c>
      <x:c r="O186" s="17"/>
      <x:c r="P186" s="17"/>
      <x:c r="Q186" s="17"/>
      <x:c r="R186" s="17"/>
      <x:c r="S186" s="17"/>
      <x:c r="T186" s="9" t="str">
        <x:v>Ceramics requested as a broad item family. Specific objects, grades, sourcing, yield and value remain proposals.</x:v>
      </x:c>
      <x:c r="U186" s="11" t="str">
        <x:v>pottery</x:v>
      </x:c>
      <x:c r="V186" s="9" t="str">
        <x:v>Author ceramics direction October 14, 2026; local game item proposal. Existing mineral/ceramic entries reused where applicable.</x:v>
      </x:c>
      <x:c r="W186" s="4" t="str">
        <x:v>Household utensil</x:v>
      </x:c>
      <x:c r="X186" s="4" t="str">
        <x:v>Finished item</x:v>
      </x:c>
      <x:c r="Y186" s="4" t="str">
        <x:v>Manufactured / unresolved</x:v>
      </x:c>
      <x:c r="Z186" s="4" t="str">
        <x:v>Food service</x:v>
      </x:c>
      <x:c r="AA186" s="4" t="str">
        <x:v>Ceramic</x:v>
      </x:c>
      <x:c r="AB186" s="4" t="str">
        <x:v>Solid part</x:v>
      </x:c>
      <x:c r="AC186" s="4" t="str">
        <x:v>Proposal</x:v>
      </x:c>
      <x:c r="AD186" s="4" t="str">
        <x:f>LOWER(A186&amp;"; "&amp;B186&amp;"; "&amp;C186&amp;"; "&amp;D186&amp;"; "&amp;W186&amp;"; "&amp;X186&amp;"; "&amp;Y186&amp;"; "&amp;Z186&amp;"; "&amp;AA186&amp;"; "&amp;AB186&amp;"; "&amp;AC186&amp;"; "&amp;U186)</x:f>
        <x:v>proposal.ceramic.bowl; plain ceramic eating bowl; everyday objects; ceramic household; household utensil; finished item; manufactured / unresolved; food service; ceramic; solid part; proposal; pottery</x:v>
      </x:c>
      <x:c r="AE186" s="4" t="str">
        <x:v>Specific item proposed from author ceramics direction; functional and material limits remain unresolved.</x:v>
      </x:c>
      <x:c r="AF186" s="4" t="str">
        <x:v>Finished item</x:v>
      </x:c>
      <x:c r="AG186" s="4" t="str">
        <x:v>Completed gear, vessel, food or tool can stop at its chosen material tier; it need not climb to T4.</x:v>
      </x:c>
      <x:c r="AH186" s="4" t="str">
        <x:v>Unassigned</x:v>
      </x:c>
    </x:row>
    <x:row r="187" ht="105" customHeight="1">
      <x:c r="A187" s="9" t="str">
        <x:v>proposal.ceramic.cup</x:v>
      </x:c>
      <x:c r="B187" s="9" t="str">
        <x:v>Small ceramic cup</x:v>
      </x:c>
      <x:c r="C187" s="9" t="str">
        <x:v>Everyday objects</x:v>
      </x:c>
      <x:c r="D187" s="9" t="str">
        <x:v>Ceramic household</x:v>
      </x:c>
      <x:c r="E187" s="9" t="str">
        <x:v>New proposal</x:v>
      </x:c>
      <x:c r="F187" s="9" t="str">
        <x:v>Small cup for a contained food portion or other assigned household use.</x:v>
      </x:c>
      <x:c r="G187" s="9" t="str">
        <x:v>Unassigned; no new slot approved</x:v>
      </x:c>
      <x:c r="H187" s="9" t="str">
        <x:v>Carrier / placement policy TBD</x:v>
      </x:c>
      <x:c r="I187" s="13"/>
      <x:c r="J187" s="15"/>
      <x:c r="K187" s="9" t="str">
        <x:v>Specialist ceramic craft or trade; exact production route TBD</x:v>
      </x:c>
      <x:c r="L187" s="9" t="str">
        <x:v>Build on existing claystone, alumina, mineral feeds and insulating blanks where appropriate. No recipe authored.</x:v>
      </x:c>
      <x:c r="M187" s="9" t="str">
        <x:v>Not implemented</x:v>
      </x:c>
      <x:c r="N187" s="9" t="str">
        <x:v>Contents and food-contact suitability must be defined; no natural water introduced.</x:v>
      </x:c>
      <x:c r="O187" s="17"/>
      <x:c r="P187" s="17"/>
      <x:c r="Q187" s="17"/>
      <x:c r="R187" s="17"/>
      <x:c r="S187" s="17"/>
      <x:c r="T187" s="9" t="str">
        <x:v>Ceramics requested as a broad item family. Specific objects, grades, sourcing, yield and value remain proposals.</x:v>
      </x:c>
      <x:c r="U187" s="11" t="str">
        <x:v>pottery</x:v>
      </x:c>
      <x:c r="V187" s="9" t="str">
        <x:v>Author ceramics direction October 14, 2026; local game item proposal. Existing mineral/ceramic entries reused where applicable.</x:v>
      </x:c>
      <x:c r="W187" s="4" t="str">
        <x:v>Household utensil</x:v>
      </x:c>
      <x:c r="X187" s="4" t="str">
        <x:v>Finished item</x:v>
      </x:c>
      <x:c r="Y187" s="4" t="str">
        <x:v>Manufactured / unresolved</x:v>
      </x:c>
      <x:c r="Z187" s="4" t="str">
        <x:v>Food service</x:v>
      </x:c>
      <x:c r="AA187" s="4" t="str">
        <x:v>Ceramic</x:v>
      </x:c>
      <x:c r="AB187" s="4" t="str">
        <x:v>Solid part</x:v>
      </x:c>
      <x:c r="AC187" s="4" t="str">
        <x:v>Proposal</x:v>
      </x:c>
      <x:c r="AD187" s="4" t="str">
        <x:f>LOWER(A187&amp;"; "&amp;B187&amp;"; "&amp;C187&amp;"; "&amp;D187&amp;"; "&amp;W187&amp;"; "&amp;X187&amp;"; "&amp;Y187&amp;"; "&amp;Z187&amp;"; "&amp;AA187&amp;"; "&amp;AB187&amp;"; "&amp;AC187&amp;"; "&amp;U187)</x:f>
        <x:v>proposal.ceramic.cup; small ceramic cup; everyday objects; ceramic household; household utensil; finished item; manufactured / unresolved; food service; ceramic; solid part; proposal; pottery</x:v>
      </x:c>
      <x:c r="AE187" s="4" t="str">
        <x:v>Specific item proposed from author ceramics direction; functional and material limits remain unresolved.</x:v>
      </x:c>
      <x:c r="AF187" s="4" t="str">
        <x:v>Finished item</x:v>
      </x:c>
      <x:c r="AG187" s="4" t="str">
        <x:v>Completed gear, vessel, food or tool can stop at its chosen material tier; it need not climb to T4.</x:v>
      </x:c>
      <x:c r="AH187" s="4" t="str">
        <x:v>Unassigned</x:v>
      </x:c>
    </x:row>
    <x:row r="188" ht="105" customHeight="1">
      <x:c r="A188" s="9" t="str">
        <x:v>proposal.ceramic.plate</x:v>
      </x:c>
      <x:c r="B188" s="9" t="str">
        <x:v>Ceramic serving plate</x:v>
      </x:c>
      <x:c r="C188" s="9" t="str">
        <x:v>Everyday objects</x:v>
      </x:c>
      <x:c r="D188" s="9" t="str">
        <x:v>Ceramic household</x:v>
      </x:c>
      <x:c r="E188" s="9" t="str">
        <x:v>New proposal</x:v>
      </x:c>
      <x:c r="F188" s="9" t="str">
        <x:v>Shallow plate for serving or separating food portions.</x:v>
      </x:c>
      <x:c r="G188" s="9" t="str">
        <x:v>Unassigned; no new slot approved</x:v>
      </x:c>
      <x:c r="H188" s="9" t="str">
        <x:v>Carrier / placement policy TBD</x:v>
      </x:c>
      <x:c r="I188" s="13"/>
      <x:c r="J188" s="15"/>
      <x:c r="K188" s="9" t="str">
        <x:v>Specialist ceramic craft or trade; exact production route TBD</x:v>
      </x:c>
      <x:c r="L188" s="9" t="str">
        <x:v>Build on existing claystone, alumina, mineral feeds and insulating blanks where appropriate. No recipe authored.</x:v>
      </x:c>
      <x:c r="M188" s="9" t="str">
        <x:v>Not implemented</x:v>
      </x:c>
      <x:c r="N188" s="9" t="str">
        <x:v>No edible-fauna nutritional improvement or cleanliness mechanic granted.</x:v>
      </x:c>
      <x:c r="O188" s="17"/>
      <x:c r="P188" s="17"/>
      <x:c r="Q188" s="17"/>
      <x:c r="R188" s="17"/>
      <x:c r="S188" s="17"/>
      <x:c r="T188" s="9" t="str">
        <x:v>Ceramics requested as a broad item family. Specific objects, grades, sourcing, yield and value remain proposals.</x:v>
      </x:c>
      <x:c r="U188" s="11" t="str">
        <x:v>pottery</x:v>
      </x:c>
      <x:c r="V188" s="9" t="str">
        <x:v>Author ceramics direction October 14, 2026; local game item proposal. Existing mineral/ceramic entries reused where applicable.</x:v>
      </x:c>
      <x:c r="W188" s="4" t="str">
        <x:v>Household utensil</x:v>
      </x:c>
      <x:c r="X188" s="4" t="str">
        <x:v>Finished item</x:v>
      </x:c>
      <x:c r="Y188" s="4" t="str">
        <x:v>Manufactured / unresolved</x:v>
      </x:c>
      <x:c r="Z188" s="4" t="str">
        <x:v>Food service</x:v>
      </x:c>
      <x:c r="AA188" s="4" t="str">
        <x:v>Ceramic</x:v>
      </x:c>
      <x:c r="AB188" s="4" t="str">
        <x:v>Solid part</x:v>
      </x:c>
      <x:c r="AC188" s="4" t="str">
        <x:v>Proposal</x:v>
      </x:c>
      <x:c r="AD188" s="4" t="str">
        <x:f>LOWER(A188&amp;"; "&amp;B188&amp;"; "&amp;C188&amp;"; "&amp;D188&amp;"; "&amp;W188&amp;"; "&amp;X188&amp;"; "&amp;Y188&amp;"; "&amp;Z188&amp;"; "&amp;AA188&amp;"; "&amp;AB188&amp;"; "&amp;AC188&amp;"; "&amp;U188)</x:f>
        <x:v>proposal.ceramic.plate; ceramic serving plate; everyday objects; ceramic household; household utensil; finished item; manufactured / unresolved; food service; ceramic; solid part; proposal; pottery</x:v>
      </x:c>
      <x:c r="AE188" s="4" t="str">
        <x:v>Specific item proposed from author ceramics direction; functional and material limits remain unresolved.</x:v>
      </x:c>
      <x:c r="AF188" s="4" t="str">
        <x:v>Finished item</x:v>
      </x:c>
      <x:c r="AG188" s="4" t="str">
        <x:v>Completed gear, vessel, food or tool can stop at its chosen material tier; it need not climb to T4.</x:v>
      </x:c>
      <x:c r="AH188" s="4" t="str">
        <x:v>Unassigned</x:v>
      </x:c>
    </x:row>
    <x:row r="189" ht="105" customHeight="1">
      <x:c r="A189" s="9" t="str">
        <x:v>proposal.ceramic.storage_crock</x:v>
      </x:c>
      <x:c r="B189" s="9" t="str">
        <x:v>Ceramic dry-storage crock</x:v>
      </x:c>
      <x:c r="C189" s="9" t="str">
        <x:v>Containers</x:v>
      </x:c>
      <x:c r="D189" s="9" t="str">
        <x:v>Ceramic storage</x:v>
      </x:c>
      <x:c r="E189" s="9" t="str">
        <x:v>New proposal</x:v>
      </x:c>
      <x:c r="F189" s="9" t="str">
        <x:v>Lidded vessel for selected dry household goods.</x:v>
      </x:c>
      <x:c r="G189" s="9" t="str">
        <x:v>Unassigned; no new slot approved</x:v>
      </x:c>
      <x:c r="H189" s="9" t="str">
        <x:v>Carrier / placement policy TBD</x:v>
      </x:c>
      <x:c r="I189" s="13"/>
      <x:c r="J189" s="15"/>
      <x:c r="K189" s="9" t="str">
        <x:v>Specialist ceramic craft or trade; exact production route TBD</x:v>
      </x:c>
      <x:c r="L189" s="9" t="str">
        <x:v>Build on existing claystone, alumina, mineral feeds and insulating blanks where appropriate. No recipe authored.</x:v>
      </x:c>
      <x:c r="M189" s="9" t="str">
        <x:v>Not implemented</x:v>
      </x:c>
      <x:c r="N189" s="9" t="str">
        <x:v>Not automatically sealed, airtight, pressure-rated or chemically compatible.</x:v>
      </x:c>
      <x:c r="O189" s="17"/>
      <x:c r="P189" s="17"/>
      <x:c r="Q189" s="17"/>
      <x:c r="R189" s="17"/>
      <x:c r="S189" s="17"/>
      <x:c r="T189" s="9" t="str">
        <x:v>Ceramics requested as a broad item family. Specific objects, grades, sourcing, yield and value remain proposals.</x:v>
      </x:c>
      <x:c r="U189" s="11" t="str">
        <x:v>liquid and bulk containment; pottery</x:v>
      </x:c>
      <x:c r="V189" s="9" t="str">
        <x:v>Author ceramics direction October 14, 2026; local game item proposal. Existing mineral/ceramic entries reused where applicable.</x:v>
      </x:c>
      <x:c r="W189" s="4" t="str">
        <x:v>Container</x:v>
      </x:c>
      <x:c r="X189" s="4" t="str">
        <x:v>Finished item</x:v>
      </x:c>
      <x:c r="Y189" s="4" t="str">
        <x:v>Manufactured / unresolved</x:v>
      </x:c>
      <x:c r="Z189" s="4" t="str">
        <x:v>Cargo organization</x:v>
      </x:c>
      <x:c r="AA189" s="4" t="str">
        <x:v>Ceramic</x:v>
      </x:c>
      <x:c r="AB189" s="4" t="str">
        <x:v>Solid part</x:v>
      </x:c>
      <x:c r="AC189" s="4" t="str">
        <x:v>Proposal</x:v>
      </x:c>
      <x:c r="AD189" s="4" t="str">
        <x:f>LOWER(A189&amp;"; "&amp;B189&amp;"; "&amp;C189&amp;"; "&amp;D189&amp;"; "&amp;W189&amp;"; "&amp;X189&amp;"; "&amp;Y189&amp;"; "&amp;Z189&amp;"; "&amp;AA189&amp;"; "&amp;AB189&amp;"; "&amp;AC189&amp;"; "&amp;U189)</x:f>
        <x:v>proposal.ceramic.storage_crock; ceramic dry-storage crock; containers; ceramic storage; container; finished item; manufactured / unresolved; cargo organization; ceramic; solid part; proposal; liquid and bulk containment; pottery</x:v>
      </x:c>
      <x:c r="AE189" s="4" t="str">
        <x:v>Specific item proposed from author ceramics direction; functional and material limits remain unresolved.</x:v>
      </x:c>
      <x:c r="AF189" s="4" t="str">
        <x:v>Finished item</x:v>
      </x:c>
      <x:c r="AG189" s="4" t="str">
        <x:v>Completed gear, vessel, food or tool can stop at its chosen material tier; it need not climb to T4.</x:v>
      </x:c>
      <x:c r="AH189" s="4" t="str">
        <x:v>Unassigned</x:v>
      </x:c>
    </x:row>
    <x:row r="190" ht="105" customHeight="1">
      <x:c r="A190" s="9" t="str">
        <x:v>proposal.ceramic.crucible</x:v>
      </x:c>
      <x:c r="B190" s="9" t="str">
        <x:v>Ceramic crucible</x:v>
      </x:c>
      <x:c r="C190" s="9" t="str">
        <x:v>Equipment</x:v>
      </x:c>
      <x:c r="D190" s="9" t="str">
        <x:v>Ceramic workshop</x:v>
      </x:c>
      <x:c r="E190" s="9" t="str">
        <x:v>New proposal</x:v>
      </x:c>
      <x:c r="F190" s="9" t="str">
        <x:v>Specialist vessel candidate for a selected high-temperature material process.</x:v>
      </x:c>
      <x:c r="G190" s="9" t="str">
        <x:v>Unassigned; no new slot approved</x:v>
      </x:c>
      <x:c r="H190" s="9" t="str">
        <x:v>Carrier / placement policy TBD</x:v>
      </x:c>
      <x:c r="I190" s="13"/>
      <x:c r="J190" s="15"/>
      <x:c r="K190" s="9" t="str">
        <x:v>Specialist ceramic craft or trade; exact production route TBD</x:v>
      </x:c>
      <x:c r="L190" s="9" t="str">
        <x:v>Build on existing claystone, alumina, mineral feeds and insulating blanks where appropriate. No recipe authored.</x:v>
      </x:c>
      <x:c r="M190" s="9" t="str">
        <x:v>Not implemented</x:v>
      </x:c>
      <x:c r="N190" s="9" t="str">
        <x:v>Composition, supported contents and temperature range unresolved; ordinary pottery is not interchangeable.</x:v>
      </x:c>
      <x:c r="O190" s="17"/>
      <x:c r="P190" s="17"/>
      <x:c r="Q190" s="17"/>
      <x:c r="R190" s="17"/>
      <x:c r="S190" s="17"/>
      <x:c r="T190" s="9" t="str">
        <x:v>Ceramics requested as a broad item family. Specific objects, grades, sourcing, yield and value remain proposals.</x:v>
      </x:c>
      <x:c r="U190" s="11" t="str">
        <x:v>glass and ceramics; pottery</x:v>
      </x:c>
      <x:c r="V190" s="9" t="str">
        <x:v>Author ceramics direction October 14, 2026; local game item proposal. Existing mineral/ceramic entries reused where applicable.</x:v>
      </x:c>
      <x:c r="W190" s="4" t="str">
        <x:v>Tool</x:v>
      </x:c>
      <x:c r="X190" s="4" t="str">
        <x:v>Finished item</x:v>
      </x:c>
      <x:c r="Y190" s="4" t="str">
        <x:v>Manufactured / unresolved</x:v>
      </x:c>
      <x:c r="Z190" s="4" t="str">
        <x:v>Metal refining</x:v>
      </x:c>
      <x:c r="AA190" s="4" t="str">
        <x:v>Ceramic</x:v>
      </x:c>
      <x:c r="AB190" s="4" t="str">
        <x:v>Solid part</x:v>
      </x:c>
      <x:c r="AC190" s="4" t="str">
        <x:v>Proposal</x:v>
      </x:c>
      <x:c r="AD190" s="4" t="str">
        <x:f>LOWER(A190&amp;"; "&amp;B190&amp;"; "&amp;C190&amp;"; "&amp;D190&amp;"; "&amp;W190&amp;"; "&amp;X190&amp;"; "&amp;Y190&amp;"; "&amp;Z190&amp;"; "&amp;AA190&amp;"; "&amp;AB190&amp;"; "&amp;AC190&amp;"; "&amp;U190)</x:f>
        <x:v>proposal.ceramic.crucible; ceramic crucible; equipment; ceramic workshop; tool; finished item; manufactured / unresolved; metal refining; ceramic; solid part; proposal; glass and ceramics; pottery</x:v>
      </x:c>
      <x:c r="AE190" s="4" t="str">
        <x:v>Specific item proposed from author ceramics direction; functional and material limits remain unresolved.</x:v>
      </x:c>
      <x:c r="AF190" s="4" t="str">
        <x:v>Finished item</x:v>
      </x:c>
      <x:c r="AG190" s="4" t="str">
        <x:v>Completed gear, vessel, food or tool can stop at its chosen material tier; it need not climb to T4.</x:v>
      </x:c>
      <x:c r="AH190" s="4" t="str">
        <x:v>Unassigned</x:v>
      </x:c>
    </x:row>
    <x:row r="191" ht="105" customHeight="1">
      <x:c r="A191" s="9" t="str">
        <x:v>proposal.ceramic.casting_mold</x:v>
      </x:c>
      <x:c r="B191" s="9" t="str">
        <x:v>Ceramic casting mold</x:v>
      </x:c>
      <x:c r="C191" s="9" t="str">
        <x:v>Equipment</x:v>
      </x:c>
      <x:c r="D191" s="9" t="str">
        <x:v>Ceramic workshop</x:v>
      </x:c>
      <x:c r="E191" s="9" t="str">
        <x:v>New proposal</x:v>
      </x:c>
      <x:c r="F191" s="9" t="str">
        <x:v>A shaped mold for a specifically chosen casting process.</x:v>
      </x:c>
      <x:c r="G191" s="9" t="str">
        <x:v>Unassigned; no new slot approved</x:v>
      </x:c>
      <x:c r="H191" s="9" t="str">
        <x:v>Carrier / placement policy TBD</x:v>
      </x:c>
      <x:c r="I191" s="13"/>
      <x:c r="J191" s="15"/>
      <x:c r="K191" s="9" t="str">
        <x:v>Specialist ceramic craft or trade; exact production route TBD</x:v>
      </x:c>
      <x:c r="L191" s="9" t="str">
        <x:v>Build on existing claystone, alumina, mineral feeds and insulating blanks where appropriate. No recipe authored.</x:v>
      </x:c>
      <x:c r="M191" s="9" t="str">
        <x:v>Not implemented</x:v>
      </x:c>
      <x:c r="N191" s="9" t="str">
        <x:v>Process compatibility, release, lifetime and reusable versus expendable construction TBD.</x:v>
      </x:c>
      <x:c r="O191" s="17"/>
      <x:c r="P191" s="17"/>
      <x:c r="Q191" s="17"/>
      <x:c r="R191" s="17"/>
      <x:c r="S191" s="17"/>
      <x:c r="T191" s="9" t="str">
        <x:v>Ceramics requested as a broad item family. Specific objects, grades, sourcing, yield and value remain proposals.</x:v>
      </x:c>
      <x:c r="U191" s="11" t="str">
        <x:v>metal refining; pottery</x:v>
      </x:c>
      <x:c r="V191" s="9" t="str">
        <x:v>Author ceramics direction October 14, 2026; local game item proposal. Existing mineral/ceramic entries reused where applicable.</x:v>
      </x:c>
      <x:c r="W191" s="4" t="str">
        <x:v>Tool</x:v>
      </x:c>
      <x:c r="X191" s="4" t="str">
        <x:v>Finished item</x:v>
      </x:c>
      <x:c r="Y191" s="4" t="str">
        <x:v>Manufactured / unresolved</x:v>
      </x:c>
      <x:c r="Z191" s="4" t="str">
        <x:v>Fabrication</x:v>
      </x:c>
      <x:c r="AA191" s="4" t="str">
        <x:v>Ceramic</x:v>
      </x:c>
      <x:c r="AB191" s="4" t="str">
        <x:v>Solid part</x:v>
      </x:c>
      <x:c r="AC191" s="4" t="str">
        <x:v>Proposal</x:v>
      </x:c>
      <x:c r="AD191" s="4" t="str">
        <x:f>LOWER(A191&amp;"; "&amp;B191&amp;"; "&amp;C191&amp;"; "&amp;D191&amp;"; "&amp;W191&amp;"; "&amp;X191&amp;"; "&amp;Y191&amp;"; "&amp;Z191&amp;"; "&amp;AA191&amp;"; "&amp;AB191&amp;"; "&amp;AC191&amp;"; "&amp;U191)</x:f>
        <x:v>proposal.ceramic.casting_mold; ceramic casting mold; equipment; ceramic workshop; tool; finished item; manufactured / unresolved; fabrication; ceramic; solid part; proposal; metal refining; pottery</x:v>
      </x:c>
      <x:c r="AE191" s="4" t="str">
        <x:v>Specific item proposed from author ceramics direction; functional and material limits remain unresolved.</x:v>
      </x:c>
      <x:c r="AF191" s="4" t="str">
        <x:v>Finished item</x:v>
      </x:c>
      <x:c r="AG191" s="4" t="str">
        <x:v>Completed gear, vessel, food or tool can stop at its chosen material tier; it need not climb to T4.</x:v>
      </x:c>
      <x:c r="AH191" s="4" t="str">
        <x:v>Unassigned</x:v>
      </x:c>
    </x:row>
    <x:row r="192" ht="105" customHeight="1">
      <x:c r="A192" s="9" t="str">
        <x:v>proposal.ceramic.mortar</x:v>
      </x:c>
      <x:c r="B192" s="9" t="str">
        <x:v>Ceramic grinding mortar</x:v>
      </x:c>
      <x:c r="C192" s="9" t="str">
        <x:v>Equipment</x:v>
      </x:c>
      <x:c r="D192" s="9" t="str">
        <x:v>Ceramic workshop</x:v>
      </x:c>
      <x:c r="E192" s="9" t="str">
        <x:v>New proposal</x:v>
      </x:c>
      <x:c r="F192" s="9" t="str">
        <x:v>Bowl-shaped workshop tool for controlled grinding of selected feed.</x:v>
      </x:c>
      <x:c r="G192" s="9" t="str">
        <x:v>Unassigned; no new slot approved</x:v>
      </x:c>
      <x:c r="H192" s="9" t="str">
        <x:v>Carrier / placement policy TBD</x:v>
      </x:c>
      <x:c r="I192" s="13"/>
      <x:c r="J192" s="15"/>
      <x:c r="K192" s="9" t="str">
        <x:v>Specialist ceramic craft or trade; exact production route TBD</x:v>
      </x:c>
      <x:c r="L192" s="9" t="str">
        <x:v>Build on existing claystone, alumina, mineral feeds and insulating blanks where appropriate. No recipe authored.</x:v>
      </x:c>
      <x:c r="M192" s="9" t="str">
        <x:v>Not implemented</x:v>
      </x:c>
      <x:c r="N192" s="9" t="str">
        <x:v>Grinding suitability and contamination matter; not interchangeable with an eating bowl.</x:v>
      </x:c>
      <x:c r="O192" s="17"/>
      <x:c r="P192" s="17"/>
      <x:c r="Q192" s="17"/>
      <x:c r="R192" s="17"/>
      <x:c r="S192" s="17"/>
      <x:c r="T192" s="9" t="str">
        <x:v>Ceramics requested as a broad item family. Specific objects, grades, sourcing, yield and value remain proposals.</x:v>
      </x:c>
      <x:c r="U192" s="11" t="str">
        <x:v>glass and ceramics; pottery</x:v>
      </x:c>
      <x:c r="V192" s="9" t="str">
        <x:v>Author ceramics direction October 14, 2026; local game item proposal. Existing mineral/ceramic entries reused where applicable.</x:v>
      </x:c>
      <x:c r="W192" s="4" t="str">
        <x:v>Tool</x:v>
      </x:c>
      <x:c r="X192" s="4" t="str">
        <x:v>Finished item</x:v>
      </x:c>
      <x:c r="Y192" s="4" t="str">
        <x:v>Manufactured / unresolved</x:v>
      </x:c>
      <x:c r="Z192" s="4" t="str">
        <x:v>Chemical processing</x:v>
      </x:c>
      <x:c r="AA192" s="4" t="str">
        <x:v>Ceramic</x:v>
      </x:c>
      <x:c r="AB192" s="4" t="str">
        <x:v>Solid part</x:v>
      </x:c>
      <x:c r="AC192" s="4" t="str">
        <x:v>Proposal</x:v>
      </x:c>
      <x:c r="AD192" s="4" t="str">
        <x:f>LOWER(A192&amp;"; "&amp;B192&amp;"; "&amp;C192&amp;"; "&amp;D192&amp;"; "&amp;W192&amp;"; "&amp;X192&amp;"; "&amp;Y192&amp;"; "&amp;Z192&amp;"; "&amp;AA192&amp;"; "&amp;AB192&amp;"; "&amp;AC192&amp;"; "&amp;U192)</x:f>
        <x:v>proposal.ceramic.mortar; ceramic grinding mortar; equipment; ceramic workshop; tool; finished item; manufactured / unresolved; chemical processing; ceramic; solid part; proposal; glass and ceramics; pottery</x:v>
      </x:c>
      <x:c r="AE192" s="4" t="str">
        <x:v>Specific item proposed from author ceramics direction; functional and material limits remain unresolved.</x:v>
      </x:c>
      <x:c r="AF192" s="4" t="str">
        <x:v>Finished item</x:v>
      </x:c>
      <x:c r="AG192" s="4" t="str">
        <x:v>Completed gear, vessel, food or tool can stop at its chosen material tier; it need not climb to T4.</x:v>
      </x:c>
      <x:c r="AH192" s="4" t="str">
        <x:v>Unassigned</x:v>
      </x:c>
    </x:row>
    <x:row r="193" ht="105" customHeight="1">
      <x:c r="A193" s="9" t="str">
        <x:v>proposal.ceramic.pestle</x:v>
      </x:c>
      <x:c r="B193" s="9" t="str">
        <x:v>Ceramic pestle</x:v>
      </x:c>
      <x:c r="C193" s="9" t="str">
        <x:v>Equipment</x:v>
      </x:c>
      <x:c r="D193" s="9" t="str">
        <x:v>Ceramic workshop</x:v>
      </x:c>
      <x:c r="E193" s="9" t="str">
        <x:v>New proposal</x:v>
      </x:c>
      <x:c r="F193" s="9" t="str">
        <x:v>Grinding tool used with a compatible mortar.</x:v>
      </x:c>
      <x:c r="G193" s="9" t="str">
        <x:v>Unassigned; no new slot approved</x:v>
      </x:c>
      <x:c r="H193" s="9" t="str">
        <x:v>Carrier / placement policy TBD</x:v>
      </x:c>
      <x:c r="I193" s="13"/>
      <x:c r="J193" s="15"/>
      <x:c r="K193" s="9" t="str">
        <x:v>Specialist ceramic craft or trade; exact production route TBD</x:v>
      </x:c>
      <x:c r="L193" s="9" t="str">
        <x:v>Build on existing claystone, alumina, mineral feeds and insulating blanks where appropriate. No recipe authored.</x:v>
      </x:c>
      <x:c r="M193" s="9" t="str">
        <x:v>Not implemented</x:v>
      </x:c>
      <x:c r="N193" s="9" t="str">
        <x:v>Companion mortar remains separately owned; no automatic processing recipe.</x:v>
      </x:c>
      <x:c r="O193" s="17"/>
      <x:c r="P193" s="17"/>
      <x:c r="Q193" s="17"/>
      <x:c r="R193" s="17"/>
      <x:c r="S193" s="17"/>
      <x:c r="T193" s="9" t="str">
        <x:v>Ceramics requested as a broad item family. Specific objects, grades, sourcing, yield and value remain proposals.</x:v>
      </x:c>
      <x:c r="U193" s="11" t="str">
        <x:v>glass and ceramics; pottery</x:v>
      </x:c>
      <x:c r="V193" s="9" t="str">
        <x:v>Author ceramics direction October 14, 2026; local game item proposal. Existing mineral/ceramic entries reused where applicable.</x:v>
      </x:c>
      <x:c r="W193" s="4" t="str">
        <x:v>Tool</x:v>
      </x:c>
      <x:c r="X193" s="4" t="str">
        <x:v>Finished item</x:v>
      </x:c>
      <x:c r="Y193" s="4" t="str">
        <x:v>Manufactured / unresolved</x:v>
      </x:c>
      <x:c r="Z193" s="4" t="str">
        <x:v>Chemical processing</x:v>
      </x:c>
      <x:c r="AA193" s="4" t="str">
        <x:v>Ceramic</x:v>
      </x:c>
      <x:c r="AB193" s="4" t="str">
        <x:v>Solid part</x:v>
      </x:c>
      <x:c r="AC193" s="4" t="str">
        <x:v>Proposal</x:v>
      </x:c>
      <x:c r="AD193" s="4" t="str">
        <x:f>LOWER(A193&amp;"; "&amp;B193&amp;"; "&amp;C193&amp;"; "&amp;D193&amp;"; "&amp;W193&amp;"; "&amp;X193&amp;"; "&amp;Y193&amp;"; "&amp;Z193&amp;"; "&amp;AA193&amp;"; "&amp;AB193&amp;"; "&amp;AC193&amp;"; "&amp;U193)</x:f>
        <x:v>proposal.ceramic.pestle; ceramic pestle; equipment; ceramic workshop; tool; finished item; manufactured / unresolved; chemical processing; ceramic; solid part; proposal; glass and ceramics; pottery</x:v>
      </x:c>
      <x:c r="AE193" s="4" t="str">
        <x:v>Specific item proposed from author ceramics direction; functional and material limits remain unresolved.</x:v>
      </x:c>
      <x:c r="AF193" s="4" t="str">
        <x:v>Finished item</x:v>
      </x:c>
      <x:c r="AG193" s="4" t="str">
        <x:v>Completed gear, vessel, food or tool can stop at its chosen material tier; it need not climb to T4.</x:v>
      </x:c>
      <x:c r="AH193" s="4" t="str">
        <x:v>Unassigned</x:v>
      </x:c>
    </x:row>
    <x:row r="194" ht="105" customHeight="1">
      <x:c r="A194" s="9" t="str">
        <x:v>proposal.ceramic.firing_tray</x:v>
      </x:c>
      <x:c r="B194" s="9" t="str">
        <x:v>Ceramic firing tray</x:v>
      </x:c>
      <x:c r="C194" s="9" t="str">
        <x:v>Equipment</x:v>
      </x:c>
      <x:c r="D194" s="9" t="str">
        <x:v>Ceramic workshop</x:v>
      </x:c>
      <x:c r="E194" s="9" t="str">
        <x:v>New proposal</x:v>
      </x:c>
      <x:c r="F194" s="9" t="str">
        <x:v>Support selected small parts in a proposed firing setup.</x:v>
      </x:c>
      <x:c r="G194" s="9" t="str">
        <x:v>Unassigned; no new slot approved</x:v>
      </x:c>
      <x:c r="H194" s="9" t="str">
        <x:v>Carrier / placement policy TBD</x:v>
      </x:c>
      <x:c r="I194" s="13"/>
      <x:c r="J194" s="15"/>
      <x:c r="K194" s="9" t="str">
        <x:v>Specialist ceramic craft or trade; exact production route TBD</x:v>
      </x:c>
      <x:c r="L194" s="9" t="str">
        <x:v>Build on existing claystone, alumina, mineral feeds and insulating blanks where appropriate. No recipe authored.</x:v>
      </x:c>
      <x:c r="M194" s="9" t="str">
        <x:v>Not implemented</x:v>
      </x:c>
      <x:c r="N194" s="9" t="str">
        <x:v>Suitable ceramic grade, kiln system and firing behavior are undefined.</x:v>
      </x:c>
      <x:c r="O194" s="17"/>
      <x:c r="P194" s="17"/>
      <x:c r="Q194" s="17"/>
      <x:c r="R194" s="17"/>
      <x:c r="S194" s="17"/>
      <x:c r="T194" s="9" t="str">
        <x:v>Ceramics requested as a broad item family. Specific objects, grades, sourcing, yield and value remain proposals.</x:v>
      </x:c>
      <x:c r="U194" s="11" t="str">
        <x:v>pottery</x:v>
      </x:c>
      <x:c r="V194" s="9" t="str">
        <x:v>Author ceramics direction October 14, 2026; local game item proposal. Existing mineral/ceramic entries reused where applicable.</x:v>
      </x:c>
      <x:c r="W194" s="4" t="str">
        <x:v>Tool</x:v>
      </x:c>
      <x:c r="X194" s="4" t="str">
        <x:v>Finished item</x:v>
      </x:c>
      <x:c r="Y194" s="4" t="str">
        <x:v>Manufactured / unresolved</x:v>
      </x:c>
      <x:c r="Z194" s="4" t="str">
        <x:v>Glass and ceramics</x:v>
      </x:c>
      <x:c r="AA194" s="4" t="str">
        <x:v>Ceramic</x:v>
      </x:c>
      <x:c r="AB194" s="4" t="str">
        <x:v>Panel</x:v>
      </x:c>
      <x:c r="AC194" s="4" t="str">
        <x:v>Proposal</x:v>
      </x:c>
      <x:c r="AD194" s="4" t="str">
        <x:f>LOWER(A194&amp;"; "&amp;B194&amp;"; "&amp;C194&amp;"; "&amp;D194&amp;"; "&amp;W194&amp;"; "&amp;X194&amp;"; "&amp;Y194&amp;"; "&amp;Z194&amp;"; "&amp;AA194&amp;"; "&amp;AB194&amp;"; "&amp;AC194&amp;"; "&amp;U194)</x:f>
        <x:v>proposal.ceramic.firing_tray; ceramic firing tray; equipment; ceramic workshop; tool; finished item; manufactured / unresolved; glass and ceramics; ceramic; panel; proposal; pottery</x:v>
      </x:c>
      <x:c r="AE194" s="4" t="str">
        <x:v>Specific item proposed from author ceramics direction; functional and material limits remain unresolved.</x:v>
      </x:c>
      <x:c r="AF194" s="4" t="str">
        <x:v>Finished item</x:v>
      </x:c>
      <x:c r="AG194" s="4" t="str">
        <x:v>Completed gear, vessel, food or tool can stop at its chosen material tier; it need not climb to T4.</x:v>
      </x:c>
      <x:c r="AH194" s="4" t="str">
        <x:v>Unassigned</x:v>
      </x:c>
    </x:row>
    <x:row r="195" ht="105" customHeight="1">
      <x:c r="A195" s="9" t="str">
        <x:v>proposal.ceramic.refractory_brick</x:v>
      </x:c>
      <x:c r="B195" s="9" t="str">
        <x:v>Refractory ceramic brick</x:v>
      </x:c>
      <x:c r="C195" s="9" t="str">
        <x:v>Crafting components</x:v>
      </x:c>
      <x:c r="D195" s="9" t="str">
        <x:v>Ceramic thermal component</x:v>
      </x:c>
      <x:c r="E195" s="9" t="str">
        <x:v>New proposal</x:v>
      </x:c>
      <x:c r="F195" s="9" t="str">
        <x:v>Specialist lining brick for a compatible furnace or kiln.</x:v>
      </x:c>
      <x:c r="G195" s="9" t="str">
        <x:v>Unassigned; no new slot approved</x:v>
      </x:c>
      <x:c r="H195" s="9" t="str">
        <x:v>Carrier / placement policy TBD</x:v>
      </x:c>
      <x:c r="I195" s="13"/>
      <x:c r="J195" s="15"/>
      <x:c r="K195" s="9" t="str">
        <x:v>Specialist ceramic craft or trade; exact production route TBD</x:v>
      </x:c>
      <x:c r="L195" s="9" t="str">
        <x:v>Build on existing claystone, alumina, mineral feeds and insulating blanks where appropriate. No recipe authored.</x:v>
      </x:c>
      <x:c r="M195" s="9" t="str">
        <x:v>Not implemented</x:v>
      </x:c>
      <x:c r="N195" s="9" t="str">
        <x:v>Heat-service composition and installation unresolved; no universal fire immunity.</x:v>
      </x:c>
      <x:c r="O195" s="17"/>
      <x:c r="P195" s="17"/>
      <x:c r="Q195" s="17"/>
      <x:c r="R195" s="17"/>
      <x:c r="S195" s="17"/>
      <x:c r="T195" s="9" t="str">
        <x:v>Ceramics requested as a broad item family. Specific objects, grades, sourcing, yield and value remain proposals.</x:v>
      </x:c>
      <x:c r="U195" s="11" t="str">
        <x:v>glass and ceramics; metal refining; pottery</x:v>
      </x:c>
      <x:c r="V195" s="9" t="str">
        <x:v>Author ceramics direction October 14, 2026; local game item proposal. Existing mineral/ceramic entries reused where applicable.</x:v>
      </x:c>
      <x:c r="W195" s="4" t="str">
        <x:v>Crafting component</x:v>
      </x:c>
      <x:c r="X195" s="4" t="str">
        <x:v>Processed intermediate</x:v>
      </x:c>
      <x:c r="Y195" s="4" t="str">
        <x:v>Manufactured / unresolved</x:v>
      </x:c>
      <x:c r="Z195" s="4" t="str">
        <x:v>Protective fabrication</x:v>
      </x:c>
      <x:c r="AA195" s="4" t="str">
        <x:v>Ceramic</x:v>
      </x:c>
      <x:c r="AB195" s="4" t="str">
        <x:v>Solid part</x:v>
      </x:c>
      <x:c r="AC195" s="4" t="str">
        <x:v>Proposal</x:v>
      </x:c>
      <x:c r="AD195" s="4" t="str">
        <x:f>LOWER(A195&amp;"; "&amp;B195&amp;"; "&amp;C195&amp;"; "&amp;D195&amp;"; "&amp;W195&amp;"; "&amp;X195&amp;"; "&amp;Y195&amp;"; "&amp;Z195&amp;"; "&amp;AA195&amp;"; "&amp;AB195&amp;"; "&amp;AC195&amp;"; "&amp;U195)</x:f>
        <x:v>proposal.ceramic.refractory_brick; refractory ceramic brick; crafting components; ceramic thermal component; crafting component; processed intermediate; manufactured / unresolved; protective fabrication; ceramic; solid part; proposal; glass and ceramics; metal refining; pottery</x:v>
      </x:c>
      <x:c r="AE195" s="4" t="str">
        <x:v>Specific item proposed from author ceramics direction; functional and material limits remain unresolved.</x:v>
      </x:c>
      <x:c r="AF195" s="4" t="str">
        <x:v>Unassigned</x:v>
      </x:c>
      <x:c r="AG195" s="4" t="str">
        <x:v>Choose a material/part route before assigning a tier. Processing-stage labels alone do not prove chain depth.</x:v>
      </x:c>
      <x:c r="AH195" s="4" t="str">
        <x:v>Not applicable</x:v>
      </x:c>
    </x:row>
    <x:row r="196" ht="105" customHeight="1">
      <x:c r="A196" s="9" t="str">
        <x:v>proposal.ceramic.kiln_liner</x:v>
      </x:c>
      <x:c r="B196" s="9" t="str">
        <x:v>Ceramic kiln lining panel</x:v>
      </x:c>
      <x:c r="C196" s="9" t="str">
        <x:v>Crafting components</x:v>
      </x:c>
      <x:c r="D196" s="9" t="str">
        <x:v>Ceramic thermal component</x:v>
      </x:c>
      <x:c r="E196" s="9" t="str">
        <x:v>New proposal</x:v>
      </x:c>
      <x:c r="F196" s="9" t="str">
        <x:v>Replaceable shaped hot-face panel for a proposed stationary kiln.</x:v>
      </x:c>
      <x:c r="G196" s="9" t="str">
        <x:v>Unassigned; no new slot approved</x:v>
      </x:c>
      <x:c r="H196" s="9" t="str">
        <x:v>Carrier / placement policy TBD</x:v>
      </x:c>
      <x:c r="I196" s="13"/>
      <x:c r="J196" s="15"/>
      <x:c r="K196" s="9" t="str">
        <x:v>Specialist ceramic craft or trade; exact production route TBD</x:v>
      </x:c>
      <x:c r="L196" s="9" t="str">
        <x:v>Build on existing claystone, alumina, mineral feeds and insulating blanks where appropriate. No recipe authored.</x:v>
      </x:c>
      <x:c r="M196" s="9" t="str">
        <x:v>Not implemented</x:v>
      </x:c>
      <x:c r="N196" s="9" t="str">
        <x:v>Panel differs from brick geometry; kiln implementation and thermal properties TBD.</x:v>
      </x:c>
      <x:c r="O196" s="17"/>
      <x:c r="P196" s="17"/>
      <x:c r="Q196" s="17"/>
      <x:c r="R196" s="17"/>
      <x:c r="S196" s="17"/>
      <x:c r="T196" s="9" t="str">
        <x:v>Ceramics requested as a broad item family. Specific objects, grades, sourcing, yield and value remain proposals.</x:v>
      </x:c>
      <x:c r="U196" s="11" t="str">
        <x:v>glass and ceramics; pottery</x:v>
      </x:c>
      <x:c r="V196" s="9" t="str">
        <x:v>Author ceramics direction October 14, 2026; local game item proposal. Existing mineral/ceramic entries reused where applicable.</x:v>
      </x:c>
      <x:c r="W196" s="4" t="str">
        <x:v>Crafting component</x:v>
      </x:c>
      <x:c r="X196" s="4" t="str">
        <x:v>Processed intermediate</x:v>
      </x:c>
      <x:c r="Y196" s="4" t="str">
        <x:v>Manufactured / unresolved</x:v>
      </x:c>
      <x:c r="Z196" s="4" t="str">
        <x:v>Protective fabrication</x:v>
      </x:c>
      <x:c r="AA196" s="4" t="str">
        <x:v>Ceramic</x:v>
      </x:c>
      <x:c r="AB196" s="4" t="str">
        <x:v>Panel</x:v>
      </x:c>
      <x:c r="AC196" s="4" t="str">
        <x:v>Proposal</x:v>
      </x:c>
      <x:c r="AD196" s="4" t="str">
        <x:f>LOWER(A196&amp;"; "&amp;B196&amp;"; "&amp;C196&amp;"; "&amp;D196&amp;"; "&amp;W196&amp;"; "&amp;X196&amp;"; "&amp;Y196&amp;"; "&amp;Z196&amp;"; "&amp;AA196&amp;"; "&amp;AB196&amp;"; "&amp;AC196&amp;"; "&amp;U196)</x:f>
        <x:v>proposal.ceramic.kiln_liner; ceramic kiln lining panel; crafting components; ceramic thermal component; crafting component; processed intermediate; manufactured / unresolved; protective fabrication; ceramic; panel; proposal; glass and ceramics; pottery</x:v>
      </x:c>
      <x:c r="AE196" s="4" t="str">
        <x:v>Specific item proposed from author ceramics direction; functional and material limits remain unresolved.</x:v>
      </x:c>
      <x:c r="AF196" s="4" t="str">
        <x:v>Unassigned</x:v>
      </x:c>
      <x:c r="AG196" s="4" t="str">
        <x:v>Choose a material/part route before assigning a tier. Processing-stage labels alone do not prove chain depth.</x:v>
      </x:c>
      <x:c r="AH196" s="4" t="str">
        <x:v>Not applicable</x:v>
      </x:c>
    </x:row>
    <x:row r="197" ht="105" customHeight="1">
      <x:c r="A197" s="9" t="str">
        <x:v>proposal.ceramic.bead</x:v>
      </x:c>
      <x:c r="B197" s="9" t="str">
        <x:v>Ceramic insulating bead</x:v>
      </x:c>
      <x:c r="C197" s="9" t="str">
        <x:v>Crafting components</x:v>
      </x:c>
      <x:c r="D197" s="9" t="str">
        <x:v>Ceramic electrical component</x:v>
      </x:c>
      <x:c r="E197" s="9" t="str">
        <x:v>New proposal</x:v>
      </x:c>
      <x:c r="F197" s="9" t="str">
        <x:v>Small fitted bead candidate for separating selected conductor sections.</x:v>
      </x:c>
      <x:c r="G197" s="9" t="str">
        <x:v>Unassigned; no new slot approved</x:v>
      </x:c>
      <x:c r="H197" s="9" t="str">
        <x:v>Carrier / placement policy TBD</x:v>
      </x:c>
      <x:c r="I197" s="13"/>
      <x:c r="J197" s="15"/>
      <x:c r="K197" s="9" t="str">
        <x:v>Specialist ceramic craft or trade; exact production route TBD</x:v>
      </x:c>
      <x:c r="L197" s="9" t="str">
        <x:v>Build on existing claystone, alumina, mineral feeds and insulating blanks where appropriate. No recipe authored.</x:v>
      </x:c>
      <x:c r="M197" s="9" t="str">
        <x:v>Not implemented</x:v>
      </x:c>
      <x:c r="N197" s="9" t="str">
        <x:v>Voltage, contamination, geometry and mounting unresolved; no lightning immunity.</x:v>
      </x:c>
      <x:c r="O197" s="17"/>
      <x:c r="P197" s="17"/>
      <x:c r="Q197" s="17"/>
      <x:c r="R197" s="17"/>
      <x:c r="S197" s="17"/>
      <x:c r="T197" s="9" t="str">
        <x:v>Ceramics requested as a broad item family. Specific objects, grades, sourcing, yield and value remain proposals.</x:v>
      </x:c>
      <x:c r="U197" s="11" t="str">
        <x:v>electrical work; pottery</x:v>
      </x:c>
      <x:c r="V197" s="9" t="str">
        <x:v>Author ceramics direction October 14, 2026; local game item proposal. Existing mineral/ceramic entries reused where applicable.</x:v>
      </x:c>
      <x:c r="W197" s="4" t="str">
        <x:v>Crafting component</x:v>
      </x:c>
      <x:c r="X197" s="4" t="str">
        <x:v>Processed intermediate</x:v>
      </x:c>
      <x:c r="Y197" s="4" t="str">
        <x:v>Manufactured / unresolved</x:v>
      </x:c>
      <x:c r="Z197" s="4" t="str">
        <x:v>Electrical insulation</x:v>
      </x:c>
      <x:c r="AA197" s="4" t="str">
        <x:v>Ceramic</x:v>
      </x:c>
      <x:c r="AB197" s="4" t="str">
        <x:v>Solid part</x:v>
      </x:c>
      <x:c r="AC197" s="4" t="str">
        <x:v>Proposal</x:v>
      </x:c>
      <x:c r="AD197" s="4" t="str">
        <x:f>LOWER(A197&amp;"; "&amp;B197&amp;"; "&amp;C197&amp;"; "&amp;D197&amp;"; "&amp;W197&amp;"; "&amp;X197&amp;"; "&amp;Y197&amp;"; "&amp;Z197&amp;"; "&amp;AA197&amp;"; "&amp;AB197&amp;"; "&amp;AC197&amp;"; "&amp;U197)</x:f>
        <x:v>proposal.ceramic.bead; ceramic insulating bead; crafting components; ceramic electrical component; crafting component; processed intermediate; manufactured / unresolved; electrical insulation; ceramic; solid part; proposal; electrical work; pottery</x:v>
      </x:c>
      <x:c r="AE197" s="4" t="str">
        <x:v>Specific item proposed from author ceramics direction; functional and material limits remain unresolved.</x:v>
      </x:c>
      <x:c r="AF197" s="4" t="str">
        <x:v>Unassigned</x:v>
      </x:c>
      <x:c r="AG197" s="4" t="str">
        <x:v>Choose a material/part route before assigning a tier. Processing-stage labels alone do not prove chain depth.</x:v>
      </x:c>
      <x:c r="AH197" s="4" t="str">
        <x:v>Not applicable</x:v>
      </x:c>
    </x:row>
    <x:row r="198" ht="105" customHeight="1">
      <x:c r="A198" s="9" t="str">
        <x:v>proposal.ceramic.spacer</x:v>
      </x:c>
      <x:c r="B198" s="9" t="str">
        <x:v>Ceramic insulating spacer</x:v>
      </x:c>
      <x:c r="C198" s="9" t="str">
        <x:v>Crafting components</x:v>
      </x:c>
      <x:c r="D198" s="9" t="str">
        <x:v>Ceramic electrical component</x:v>
      </x:c>
      <x:c r="E198" s="9" t="str">
        <x:v>New proposal</x:v>
      </x:c>
      <x:c r="F198" s="9" t="str">
        <x:v>Hard standoff separating compatible conductive parts.</x:v>
      </x:c>
      <x:c r="G198" s="9" t="str">
        <x:v>Unassigned; no new slot approved</x:v>
      </x:c>
      <x:c r="H198" s="9" t="str">
        <x:v>Carrier / placement policy TBD</x:v>
      </x:c>
      <x:c r="I198" s="13"/>
      <x:c r="J198" s="15"/>
      <x:c r="K198" s="9" t="str">
        <x:v>Specialist ceramic craft or trade; exact production route TBD</x:v>
      </x:c>
      <x:c r="L198" s="9" t="str">
        <x:v>Build on existing claystone, alumina, mineral feeds and insulating blanks where appropriate. No recipe authored.</x:v>
      </x:c>
      <x:c r="M198" s="9" t="str">
        <x:v>Not implemented</x:v>
      </x:c>
      <x:c r="N198" s="9" t="str">
        <x:v>Shape-specific part within existing insulating-blank family; no universal substitution.</x:v>
      </x:c>
      <x:c r="O198" s="17"/>
      <x:c r="P198" s="17"/>
      <x:c r="Q198" s="17"/>
      <x:c r="R198" s="17"/>
      <x:c r="S198" s="17"/>
      <x:c r="T198" s="9" t="str">
        <x:v>Ceramics requested as a broad item family. Specific objects, grades, sourcing, yield and value remain proposals.</x:v>
      </x:c>
      <x:c r="U198" s="11" t="str">
        <x:v>electrical work; pottery</x:v>
      </x:c>
      <x:c r="V198" s="9" t="str">
        <x:v>Author ceramics direction October 14, 2026; local game item proposal. Existing mineral/ceramic entries reused where applicable.</x:v>
      </x:c>
      <x:c r="W198" s="4" t="str">
        <x:v>Crafting component</x:v>
      </x:c>
      <x:c r="X198" s="4" t="str">
        <x:v>Processed intermediate</x:v>
      </x:c>
      <x:c r="Y198" s="4" t="str">
        <x:v>Manufactured / unresolved</x:v>
      </x:c>
      <x:c r="Z198" s="4" t="str">
        <x:v>Electrical insulation</x:v>
      </x:c>
      <x:c r="AA198" s="4" t="str">
        <x:v>Ceramic</x:v>
      </x:c>
      <x:c r="AB198" s="4" t="str">
        <x:v>Solid part</x:v>
      </x:c>
      <x:c r="AC198" s="4" t="str">
        <x:v>Proposal</x:v>
      </x:c>
      <x:c r="AD198" s="4" t="str">
        <x:f>LOWER(A198&amp;"; "&amp;B198&amp;"; "&amp;C198&amp;"; "&amp;D198&amp;"; "&amp;W198&amp;"; "&amp;X198&amp;"; "&amp;Y198&amp;"; "&amp;Z198&amp;"; "&amp;AA198&amp;"; "&amp;AB198&amp;"; "&amp;AC198&amp;"; "&amp;U198)</x:f>
        <x:v>proposal.ceramic.spacer; ceramic insulating spacer; crafting components; ceramic electrical component; crafting component; processed intermediate; manufactured / unresolved; electrical insulation; ceramic; solid part; proposal; electrical work; pottery</x:v>
      </x:c>
      <x:c r="AE198" s="4" t="str">
        <x:v>Specific item proposed from author ceramics direction; functional and material limits remain unresolved.</x:v>
      </x:c>
      <x:c r="AF198" s="4" t="str">
        <x:v>Unassigned</x:v>
      </x:c>
      <x:c r="AG198" s="4" t="str">
        <x:v>Choose a material/part route before assigning a tier. Processing-stage labels alone do not prove chain depth.</x:v>
      </x:c>
      <x:c r="AH198" s="4" t="str">
        <x:v>Not applicable</x:v>
      </x:c>
    </x:row>
    <x:row r="199" ht="105" customHeight="1">
      <x:c r="A199" s="9" t="str">
        <x:v>proposal.ceramic.feedthrough</x:v>
      </x:c>
      <x:c r="B199" s="9" t="str">
        <x:v>Ceramic electrical feedthrough</x:v>
      </x:c>
      <x:c r="C199" s="9" t="str">
        <x:v>Crafting components</x:v>
      </x:c>
      <x:c r="D199" s="9" t="str">
        <x:v>Ceramic electrical component</x:v>
      </x:c>
      <x:c r="E199" s="9" t="str">
        <x:v>New proposal</x:v>
      </x:c>
      <x:c r="F199" s="9" t="str">
        <x:v>Fitted ceramic/conductor assembly routing an electrical connection through a housing.</x:v>
      </x:c>
      <x:c r="G199" s="9" t="str">
        <x:v>Unassigned; no new slot approved</x:v>
      </x:c>
      <x:c r="H199" s="9" t="str">
        <x:v>Carrier / placement policy TBD</x:v>
      </x:c>
      <x:c r="I199" s="13"/>
      <x:c r="J199" s="15"/>
      <x:c r="K199" s="9" t="str">
        <x:v>Specialist ceramic craft or trade; exact production route TBD</x:v>
      </x:c>
      <x:c r="L199" s="9" t="str">
        <x:v>Build on existing claystone, alumina, mineral feeds and insulating blanks where appropriate. No recipe authored.</x:v>
      </x:c>
      <x:c r="M199" s="9" t="str">
        <x:v>Not implemented</x:v>
      </x:c>
      <x:c r="N199" s="9" t="str">
        <x:v>Material, seals, voltage and intended service unresolved.</x:v>
      </x:c>
      <x:c r="O199" s="17"/>
      <x:c r="P199" s="17"/>
      <x:c r="Q199" s="17"/>
      <x:c r="R199" s="17"/>
      <x:c r="S199" s="17"/>
      <x:c r="T199" s="9" t="str">
        <x:v>Ceramics requested as a broad item family. Specific objects, grades, sourcing, yield and value remain proposals.</x:v>
      </x:c>
      <x:c r="U199" s="11" t="str">
        <x:v>electrical conduction; ceramic; pottery</x:v>
      </x:c>
      <x:c r="V199" s="9" t="str">
        <x:v>Author ceramics direction October 14, 2026; local game item proposal. Existing mineral/ceramic entries reused where applicable.</x:v>
      </x:c>
      <x:c r="W199" s="4" t="str">
        <x:v>Crafting component</x:v>
      </x:c>
      <x:c r="X199" s="4" t="str">
        <x:v>Processed intermediate</x:v>
      </x:c>
      <x:c r="Y199" s="4" t="str">
        <x:v>Manufactured / unresolved</x:v>
      </x:c>
      <x:c r="Z199" s="4" t="str">
        <x:v>Electrical insulation</x:v>
      </x:c>
      <x:c r="AA199" s="4" t="str">
        <x:v>Ceramic and metal</x:v>
      </x:c>
      <x:c r="AB199" s="4" t="str">
        <x:v>Assembly</x:v>
      </x:c>
      <x:c r="AC199" s="4" t="str">
        <x:v>Proposal</x:v>
      </x:c>
      <x:c r="AD199" s="4" t="str">
        <x:f>LOWER(A199&amp;"; "&amp;B199&amp;"; "&amp;C199&amp;"; "&amp;D199&amp;"; "&amp;W199&amp;"; "&amp;X199&amp;"; "&amp;Y199&amp;"; "&amp;Z199&amp;"; "&amp;AA199&amp;"; "&amp;AB199&amp;"; "&amp;AC199&amp;"; "&amp;U199)</x:f>
        <x:v>proposal.ceramic.feedthrough; ceramic electrical feedthrough; crafting components; ceramic electrical component; crafting component; processed intermediate; manufactured / unresolved; electrical insulation; ceramic and metal; assembly; proposal; electrical conduction; ceramic; pottery</x:v>
      </x:c>
      <x:c r="AE199" s="4" t="str">
        <x:v>Specific item proposed from author ceramics direction; functional and material limits remain unresolved.</x:v>
      </x:c>
      <x:c r="AF199" s="4" t="str">
        <x:v>Unassigned</x:v>
      </x:c>
      <x:c r="AG199" s="4" t="str">
        <x:v>Choose a material/part route before assigning a tier. Processing-stage labels alone do not prove chain depth.</x:v>
      </x:c>
      <x:c r="AH199" s="4" t="str">
        <x:v>Not applicable</x:v>
      </x:c>
    </x:row>
    <x:row r="200" ht="105" customHeight="1">
      <x:c r="A200" s="9" t="str">
        <x:v>proposal.ceramic.stopper</x:v>
      </x:c>
      <x:c r="B200" s="9" t="str">
        <x:v>Fitted ceramic stopper</x:v>
      </x:c>
      <x:c r="C200" s="9" t="str">
        <x:v>Crafting components</x:v>
      </x:c>
      <x:c r="D200" s="9" t="str">
        <x:v>Ceramic vessel fitting</x:v>
      </x:c>
      <x:c r="E200" s="9" t="str">
        <x:v>New proposal</x:v>
      </x:c>
      <x:c r="F200" s="9" t="str">
        <x:v>Hard closure shaped for its matching vessel.</x:v>
      </x:c>
      <x:c r="G200" s="9" t="str">
        <x:v>Unassigned; no new slot approved</x:v>
      </x:c>
      <x:c r="H200" s="9" t="str">
        <x:v>Carrier / placement policy TBD</x:v>
      </x:c>
      <x:c r="I200" s="13"/>
      <x:c r="J200" s="15"/>
      <x:c r="K200" s="9" t="str">
        <x:v>Specialist ceramic craft or trade; exact production route TBD</x:v>
      </x:c>
      <x:c r="L200" s="9" t="str">
        <x:v>Build on existing claystone, alumina, mineral feeds and insulating blanks where appropriate. No recipe authored.</x:v>
      </x:c>
      <x:c r="M200" s="9" t="str">
        <x:v>Not implemented</x:v>
      </x:c>
      <x:c r="N200" s="9" t="str">
        <x:v>Not automatically leak-tight; compatible seat and sealing material may be required.</x:v>
      </x:c>
      <x:c r="O200" s="17"/>
      <x:c r="P200" s="17"/>
      <x:c r="Q200" s="17"/>
      <x:c r="R200" s="17"/>
      <x:c r="S200" s="17"/>
      <x:c r="T200" s="9" t="str">
        <x:v>Ceramics requested as a broad item family. Specific objects, grades, sourcing, yield and value remain proposals.</x:v>
      </x:c>
      <x:c r="U200" s="11" t="str">
        <x:v>pottery</x:v>
      </x:c>
      <x:c r="V200" s="9" t="str">
        <x:v>Author ceramics direction October 14, 2026; local game item proposal. Existing mineral/ceramic entries reused where applicable.</x:v>
      </x:c>
      <x:c r="W200" s="4" t="str">
        <x:v>Container part</x:v>
      </x:c>
      <x:c r="X200" s="4" t="str">
        <x:v>Processed intermediate</x:v>
      </x:c>
      <x:c r="Y200" s="4" t="str">
        <x:v>Manufactured / unresolved</x:v>
      </x:c>
      <x:c r="Z200" s="4" t="str">
        <x:v>Sealing</x:v>
      </x:c>
      <x:c r="AA200" s="4" t="str">
        <x:v>Ceramic</x:v>
      </x:c>
      <x:c r="AB200" s="4" t="str">
        <x:v>Solid part</x:v>
      </x:c>
      <x:c r="AC200" s="4" t="str">
        <x:v>Proposal</x:v>
      </x:c>
      <x:c r="AD200" s="4" t="str">
        <x:f>LOWER(A200&amp;"; "&amp;B200&amp;"; "&amp;C200&amp;"; "&amp;D200&amp;"; "&amp;W200&amp;"; "&amp;X200&amp;"; "&amp;Y200&amp;"; "&amp;Z200&amp;"; "&amp;AA200&amp;"; "&amp;AB200&amp;"; "&amp;AC200&amp;"; "&amp;U200)</x:f>
        <x:v>proposal.ceramic.stopper; fitted ceramic stopper; crafting components; ceramic vessel fitting; container part; processed intermediate; manufactured / unresolved; sealing; ceramic; solid part; proposal; pottery</x:v>
      </x:c>
      <x:c r="AE200" s="4" t="str">
        <x:v>Specific item proposed from author ceramics direction; functional and material limits remain unresolved.</x:v>
      </x:c>
      <x:c r="AF200" s="4" t="str">
        <x:v>Unassigned</x:v>
      </x:c>
      <x:c r="AG200" s="4" t="str">
        <x:v>Choose a material/part route before assigning a tier. Processing-stage labels alone do not prove chain depth.</x:v>
      </x:c>
      <x:c r="AH200" s="4" t="str">
        <x:v>Not applicable</x:v>
      </x:c>
    </x:row>
    <x:row r="201" ht="105" customHeight="1">
      <x:c r="A201" s="9" t="str">
        <x:v>proposal.ceramic.lid</x:v>
      </x:c>
      <x:c r="B201" s="9" t="str">
        <x:v>Ceramic vessel lid</x:v>
      </x:c>
      <x:c r="C201" s="9" t="str">
        <x:v>Crafting components</x:v>
      </x:c>
      <x:c r="D201" s="9" t="str">
        <x:v>Ceramic vessel fitting</x:v>
      </x:c>
      <x:c r="E201" s="9" t="str">
        <x:v>New proposal</x:v>
      </x:c>
      <x:c r="F201" s="9" t="str">
        <x:v>Removable cover matched to an open-topped ceramic vessel.</x:v>
      </x:c>
      <x:c r="G201" s="9" t="str">
        <x:v>Unassigned; no new slot approved</x:v>
      </x:c>
      <x:c r="H201" s="9" t="str">
        <x:v>Carrier / placement policy TBD</x:v>
      </x:c>
      <x:c r="I201" s="13"/>
      <x:c r="J201" s="15"/>
      <x:c r="K201" s="9" t="str">
        <x:v>Specialist ceramic craft or trade; exact production route TBD</x:v>
      </x:c>
      <x:c r="L201" s="9" t="str">
        <x:v>Build on existing claystone, alumina, mineral feeds and insulating blanks where appropriate. No recipe authored.</x:v>
      </x:c>
      <x:c r="M201" s="9" t="str">
        <x:v>Not implemented</x:v>
      </x:c>
      <x:c r="N201" s="9" t="str">
        <x:v>A cover is distinct from a pressure seal or a matched neck stopper.</x:v>
      </x:c>
      <x:c r="O201" s="17"/>
      <x:c r="P201" s="17"/>
      <x:c r="Q201" s="17"/>
      <x:c r="R201" s="17"/>
      <x:c r="S201" s="17"/>
      <x:c r="T201" s="9" t="str">
        <x:v>Ceramics requested as a broad item family. Specific objects, grades, sourcing, yield and value remain proposals.</x:v>
      </x:c>
      <x:c r="U201" s="11" t="str">
        <x:v>dust exclusion; pottery</x:v>
      </x:c>
      <x:c r="V201" s="9" t="str">
        <x:v>Author ceramics direction October 14, 2026; local game item proposal. Existing mineral/ceramic entries reused where applicable.</x:v>
      </x:c>
      <x:c r="W201" s="4" t="str">
        <x:v>Container part</x:v>
      </x:c>
      <x:c r="X201" s="4" t="str">
        <x:v>Processed intermediate</x:v>
      </x:c>
      <x:c r="Y201" s="4" t="str">
        <x:v>Manufactured / unresolved</x:v>
      </x:c>
      <x:c r="Z201" s="4" t="str">
        <x:v>Liquid and bulk containment</x:v>
      </x:c>
      <x:c r="AA201" s="4" t="str">
        <x:v>Ceramic</x:v>
      </x:c>
      <x:c r="AB201" s="4" t="str">
        <x:v>Solid part</x:v>
      </x:c>
      <x:c r="AC201" s="4" t="str">
        <x:v>Proposal</x:v>
      </x:c>
      <x:c r="AD201" s="4" t="str">
        <x:f>LOWER(A201&amp;"; "&amp;B201&amp;"; "&amp;C201&amp;"; "&amp;D201&amp;"; "&amp;W201&amp;"; "&amp;X201&amp;"; "&amp;Y201&amp;"; "&amp;Z201&amp;"; "&amp;AA201&amp;"; "&amp;AB201&amp;"; "&amp;AC201&amp;"; "&amp;U201)</x:f>
        <x:v>proposal.ceramic.lid; ceramic vessel lid; crafting components; ceramic vessel fitting; container part; processed intermediate; manufactured / unresolved; liquid and bulk containment; ceramic; solid part; proposal; dust exclusion; pottery</x:v>
      </x:c>
      <x:c r="AE201" s="4" t="str">
        <x:v>Specific item proposed from author ceramics direction; functional and material limits remain unresolved.</x:v>
      </x:c>
      <x:c r="AF201" s="4" t="str">
        <x:v>Unassigned</x:v>
      </x:c>
      <x:c r="AG201" s="4" t="str">
        <x:v>Choose a material/part route before assigning a tier. Processing-stage labels alone do not prove chain depth.</x:v>
      </x:c>
      <x:c r="AH201" s="4" t="str">
        <x:v>Not applicable</x:v>
      </x:c>
    </x:row>
    <x:row r="202" ht="105" customHeight="1">
      <x:c r="A202" s="9" t="str">
        <x:v>proposal.ceramic.pour_spout</x:v>
      </x:c>
      <x:c r="B202" s="9" t="str">
        <x:v>Ceramic pouring spout</x:v>
      </x:c>
      <x:c r="C202" s="9" t="str">
        <x:v>Crafting components</x:v>
      </x:c>
      <x:c r="D202" s="9" t="str">
        <x:v>Ceramic vessel fitting</x:v>
      </x:c>
      <x:c r="E202" s="9" t="str">
        <x:v>New proposal</x:v>
      </x:c>
      <x:c r="F202" s="9" t="str">
        <x:v>Replaceable outlet candidate for compatible contained material.</x:v>
      </x:c>
      <x:c r="G202" s="9" t="str">
        <x:v>Unassigned; no new slot approved</x:v>
      </x:c>
      <x:c r="H202" s="9" t="str">
        <x:v>Carrier / placement policy TBD</x:v>
      </x:c>
      <x:c r="I202" s="13"/>
      <x:c r="J202" s="15"/>
      <x:c r="K202" s="9" t="str">
        <x:v>Specialist ceramic craft or trade; exact production route TBD</x:v>
      </x:c>
      <x:c r="L202" s="9" t="str">
        <x:v>Build on existing claystone, alumina, mineral feeds and insulating blanks where appropriate. No recipe authored.</x:v>
      </x:c>
      <x:c r="M202" s="9" t="str">
        <x:v>Not implemented</x:v>
      </x:c>
      <x:c r="N202" s="9" t="str">
        <x:v>Viscosity, joints and chemical suitability unresolved; not a universal ichor fitting.</x:v>
      </x:c>
      <x:c r="O202" s="17"/>
      <x:c r="P202" s="17"/>
      <x:c r="Q202" s="17"/>
      <x:c r="R202" s="17"/>
      <x:c r="S202" s="17"/>
      <x:c r="T202" s="9" t="str">
        <x:v>Ceramics requested as a broad item family. Specific objects, grades, sourcing, yield and value remain proposals.</x:v>
      </x:c>
      <x:c r="U202" s="11" t="str">
        <x:v>pottery</x:v>
      </x:c>
      <x:c r="V202" s="9" t="str">
        <x:v>Author ceramics direction October 14, 2026; local game item proposal. Existing mineral/ceramic entries reused where applicable.</x:v>
      </x:c>
      <x:c r="W202" s="4" t="str">
        <x:v>Container part</x:v>
      </x:c>
      <x:c r="X202" s="4" t="str">
        <x:v>Processed intermediate</x:v>
      </x:c>
      <x:c r="Y202" s="4" t="str">
        <x:v>Manufactured / unresolved</x:v>
      </x:c>
      <x:c r="Z202" s="4" t="str">
        <x:v>Material transfer</x:v>
      </x:c>
      <x:c r="AA202" s="4" t="str">
        <x:v>Ceramic</x:v>
      </x:c>
      <x:c r="AB202" s="4" t="str">
        <x:v>Solid part</x:v>
      </x:c>
      <x:c r="AC202" s="4" t="str">
        <x:v>Proposal</x:v>
      </x:c>
      <x:c r="AD202" s="4" t="str">
        <x:f>LOWER(A202&amp;"; "&amp;B202&amp;"; "&amp;C202&amp;"; "&amp;D202&amp;"; "&amp;W202&amp;"; "&amp;X202&amp;"; "&amp;Y202&amp;"; "&amp;Z202&amp;"; "&amp;AA202&amp;"; "&amp;AB202&amp;"; "&amp;AC202&amp;"; "&amp;U202)</x:f>
        <x:v>proposal.ceramic.pour_spout; ceramic pouring spout; crafting components; ceramic vessel fitting; container part; processed intermediate; manufactured / unresolved; material transfer; ceramic; solid part; proposal; pottery</x:v>
      </x:c>
      <x:c r="AE202" s="4" t="str">
        <x:v>Specific item proposed from author ceramics direction; functional and material limits remain unresolved.</x:v>
      </x:c>
      <x:c r="AF202" s="4" t="str">
        <x:v>Unassigned</x:v>
      </x:c>
      <x:c r="AG202" s="4" t="str">
        <x:v>Choose a material/part route before assigning a tier. Processing-stage labels alone do not prove chain depth.</x:v>
      </x:c>
      <x:c r="AH202" s="4" t="str">
        <x:v>Not applicable</x:v>
      </x:c>
    </x:row>
    <x:row r="203" ht="105" customHeight="1">
      <x:c r="A203" s="9" t="str">
        <x:v>proposal.ceramic.conduit</x:v>
      </x:c>
      <x:c r="B203" s="9" t="str">
        <x:v>Ceramic conduit section</x:v>
      </x:c>
      <x:c r="C203" s="9" t="str">
        <x:v>Crafting components</x:v>
      </x:c>
      <x:c r="D203" s="9" t="str">
        <x:v>Ceramic vessel fitting</x:v>
      </x:c>
      <x:c r="E203" s="9" t="str">
        <x:v>New proposal</x:v>
      </x:c>
      <x:c r="F203" s="9" t="str">
        <x:v>Rigid channel candidate for an assigned industrial transfer route.</x:v>
      </x:c>
      <x:c r="G203" s="9" t="str">
        <x:v>Unassigned; no new slot approved</x:v>
      </x:c>
      <x:c r="H203" s="9" t="str">
        <x:v>Carrier / placement policy TBD</x:v>
      </x:c>
      <x:c r="I203" s="13"/>
      <x:c r="J203" s="15"/>
      <x:c r="K203" s="9" t="str">
        <x:v>Specialist ceramic craft or trade; exact production route TBD</x:v>
      </x:c>
      <x:c r="L203" s="9" t="str">
        <x:v>Build on existing claystone, alumina, mineral feeds and insulating blanks where appropriate. No recipe authored.</x:v>
      </x:c>
      <x:c r="M203" s="9" t="str">
        <x:v>Not implemented</x:v>
      </x:c>
      <x:c r="N203" s="9" t="str">
        <x:v>Contents, joints and installation TBD; does not establish outdoor liquid streams.</x:v>
      </x:c>
      <x:c r="O203" s="17"/>
      <x:c r="P203" s="17"/>
      <x:c r="Q203" s="17"/>
      <x:c r="R203" s="17"/>
      <x:c r="S203" s="17"/>
      <x:c r="T203" s="9" t="str">
        <x:v>Ceramics requested as a broad item family. Specific objects, grades, sourcing, yield and value remain proposals.</x:v>
      </x:c>
      <x:c r="U203" s="11" t="str">
        <x:v>pottery</x:v>
      </x:c>
      <x:c r="V203" s="9" t="str">
        <x:v>Author ceramics direction October 14, 2026; local game item proposal. Existing mineral/ceramic entries reused where applicable.</x:v>
      </x:c>
      <x:c r="W203" s="4" t="str">
        <x:v>Crafting component</x:v>
      </x:c>
      <x:c r="X203" s="4" t="str">
        <x:v>Processed intermediate</x:v>
      </x:c>
      <x:c r="Y203" s="4" t="str">
        <x:v>Manufactured / unresolved</x:v>
      </x:c>
      <x:c r="Z203" s="4" t="str">
        <x:v>Material transfer</x:v>
      </x:c>
      <x:c r="AA203" s="4" t="str">
        <x:v>Ceramic</x:v>
      </x:c>
      <x:c r="AB203" s="4" t="str">
        <x:v>Solid part</x:v>
      </x:c>
      <x:c r="AC203" s="4" t="str">
        <x:v>Proposal</x:v>
      </x:c>
      <x:c r="AD203" s="4" t="str">
        <x:f>LOWER(A203&amp;"; "&amp;B203&amp;"; "&amp;C203&amp;"; "&amp;D203&amp;"; "&amp;W203&amp;"; "&amp;X203&amp;"; "&amp;Y203&amp;"; "&amp;Z203&amp;"; "&amp;AA203&amp;"; "&amp;AB203&amp;"; "&amp;AC203&amp;"; "&amp;U203)</x:f>
        <x:v>proposal.ceramic.conduit; ceramic conduit section; crafting components; ceramic vessel fitting; crafting component; processed intermediate; manufactured / unresolved; material transfer; ceramic; solid part; proposal; pottery</x:v>
      </x:c>
      <x:c r="AE203" s="4" t="str">
        <x:v>Specific item proposed from author ceramics direction; functional and material limits remain unresolved.</x:v>
      </x:c>
      <x:c r="AF203" s="4" t="str">
        <x:v>Unassigned</x:v>
      </x:c>
      <x:c r="AG203" s="4" t="str">
        <x:v>Choose a material/part route before assigning a tier. Processing-stage labels alone do not prove chain depth.</x:v>
      </x:c>
      <x:c r="AH203" s="4" t="str">
        <x:v>Not applicable</x:v>
      </x:c>
    </x:row>
    <x:row r="204" ht="105" customHeight="1">
      <x:c r="A204" s="9" t="str">
        <x:v>proposal.ceramic.votive_plaque</x:v>
      </x:c>
      <x:c r="B204" s="9" t="str">
        <x:v>Ceramic votive plaque</x:v>
      </x:c>
      <x:c r="C204" s="9" t="str">
        <x:v>Cultural objects</x:v>
      </x:c>
      <x:c r="D204" s="9" t="str">
        <x:v>Ceramic ceremonial</x:v>
      </x:c>
      <x:c r="E204" s="9" t="str">
        <x:v>New proposal</x:v>
      </x:c>
      <x:c r="F204" s="9" t="str">
        <x:v>Small ceramic offering or devotional image.</x:v>
      </x:c>
      <x:c r="G204" s="9" t="str">
        <x:v>Unassigned; no new slot approved</x:v>
      </x:c>
      <x:c r="H204" s="9" t="str">
        <x:v>Carrier / placement policy TBD</x:v>
      </x:c>
      <x:c r="I204" s="13"/>
      <x:c r="J204" s="15"/>
      <x:c r="K204" s="9" t="str">
        <x:v>Specialist ceramic craft or trade; exact production route TBD</x:v>
      </x:c>
      <x:c r="L204" s="9" t="str">
        <x:v>Build on existing claystone, alumina, mineral feeds and insulating blanks where appropriate. No recipe authored.</x:v>
      </x:c>
      <x:c r="M204" s="9" t="str">
        <x:v>Not implemented</x:v>
      </x:c>
      <x:c r="N204" s="9" t="str">
        <x:v>New material-specific craft family; iconography and institutional acceptance remain proposals.</x:v>
      </x:c>
      <x:c r="O204" s="17"/>
      <x:c r="P204" s="17"/>
      <x:c r="Q204" s="17"/>
      <x:c r="R204" s="17"/>
      <x:c r="S204" s="17"/>
      <x:c r="T204" s="9" t="str">
        <x:v>Ceramics requested as a broad item family. Specific objects, grades, sourcing, yield and value remain proposals.</x:v>
      </x:c>
      <x:c r="U204" s="11" t="str">
        <x:v>decoration; pottery</x:v>
      </x:c>
      <x:c r="V204" s="9" t="str">
        <x:v>Author ceramics direction October 14, 2026; local game item proposal. Existing mineral/ceramic entries reused where applicable.</x:v>
      </x:c>
      <x:c r="W204" s="4" t="str">
        <x:v>Cultural object</x:v>
      </x:c>
      <x:c r="X204" s="4" t="str">
        <x:v>Finished item</x:v>
      </x:c>
      <x:c r="Y204" s="4" t="str">
        <x:v>Manufactured / unresolved</x:v>
      </x:c>
      <x:c r="Z204" s="4" t="str">
        <x:v>Devotion</x:v>
      </x:c>
      <x:c r="AA204" s="4" t="str">
        <x:v>Ceramic</x:v>
      </x:c>
      <x:c r="AB204" s="4" t="str">
        <x:v>Panel</x:v>
      </x:c>
      <x:c r="AC204" s="4" t="str">
        <x:v>Proposal</x:v>
      </x:c>
      <x:c r="AD204" s="4" t="str">
        <x:f>LOWER(A204&amp;"; "&amp;B204&amp;"; "&amp;C204&amp;"; "&amp;D204&amp;"; "&amp;W204&amp;"; "&amp;X204&amp;"; "&amp;Y204&amp;"; "&amp;Z204&amp;"; "&amp;AA204&amp;"; "&amp;AB204&amp;"; "&amp;AC204&amp;"; "&amp;U204)</x:f>
        <x:v>proposal.ceramic.votive_plaque; ceramic votive plaque; cultural objects; ceramic ceremonial; cultural object; finished item; manufactured / unresolved; devotion; ceramic; panel; proposal; decoration; pottery</x:v>
      </x:c>
      <x:c r="AE204" s="4" t="str">
        <x:v>Specific item proposed from author ceramics direction; functional and material limits remain unresolved.</x:v>
      </x:c>
      <x:c r="AF204" s="4" t="str">
        <x:v>Finished item</x:v>
      </x:c>
      <x:c r="AG204" s="4" t="str">
        <x:v>Completed gear, vessel, food or tool can stop at its chosen material tier; it need not climb to T4.</x:v>
      </x:c>
      <x:c r="AH204" s="4" t="str">
        <x:v>Unassigned</x:v>
      </x:c>
    </x:row>
    <x:row r="205" ht="105" customHeight="1">
      <x:c r="A205" s="9" t="str">
        <x:v>proposal.ceramic.figurine</x:v>
      </x:c>
      <x:c r="B205" s="9" t="str">
        <x:v>Ceramic commemorative figurine</x:v>
      </x:c>
      <x:c r="C205" s="9" t="str">
        <x:v>Cultural objects</x:v>
      </x:c>
      <x:c r="D205" s="9" t="str">
        <x:v>Ceramic ceremonial</x:v>
      </x:c>
      <x:c r="E205" s="9" t="str">
        <x:v>New proposal</x:v>
      </x:c>
      <x:c r="F205" s="9" t="str">
        <x:v>Sculpted keepsake of a person, creature or significant event.</x:v>
      </x:c>
      <x:c r="G205" s="9" t="str">
        <x:v>Unassigned; no new slot approved</x:v>
      </x:c>
      <x:c r="H205" s="9" t="str">
        <x:v>Carrier / placement policy TBD</x:v>
      </x:c>
      <x:c r="I205" s="13"/>
      <x:c r="J205" s="15"/>
      <x:c r="K205" s="9" t="str">
        <x:v>Specialist ceramic craft or trade; exact production route TBD</x:v>
      </x:c>
      <x:c r="L205" s="9" t="str">
        <x:v>Build on existing claystone, alumina, mineral feeds and insulating blanks where appropriate. No recipe authored.</x:v>
      </x:c>
      <x:c r="M205" s="9" t="str">
        <x:v>Not implemented</x:v>
      </x:c>
      <x:c r="N205" s="9" t="str">
        <x:v>Subject matter and style TBD; no relic authenticity or supernatural property.</x:v>
      </x:c>
      <x:c r="O205" s="17"/>
      <x:c r="P205" s="17"/>
      <x:c r="Q205" s="17"/>
      <x:c r="R205" s="17"/>
      <x:c r="S205" s="17"/>
      <x:c r="T205" s="9" t="str">
        <x:v>Ceramics requested as a broad item family. Specific objects, grades, sourcing, yield and value remain proposals.</x:v>
      </x:c>
      <x:c r="U205" s="11" t="str">
        <x:v>decoration; pottery</x:v>
      </x:c>
      <x:c r="V205" s="9" t="str">
        <x:v>Author ceramics direction October 14, 2026; local game item proposal. Existing mineral/ceramic entries reused where applicable.</x:v>
      </x:c>
      <x:c r="W205" s="4" t="str">
        <x:v>Cultural object</x:v>
      </x:c>
      <x:c r="X205" s="4" t="str">
        <x:v>Finished item</x:v>
      </x:c>
      <x:c r="Y205" s="4" t="str">
        <x:v>Manufactured / unresolved</x:v>
      </x:c>
      <x:c r="Z205" s="4" t="str">
        <x:v>Remembrance</x:v>
      </x:c>
      <x:c r="AA205" s="4" t="str">
        <x:v>Ceramic</x:v>
      </x:c>
      <x:c r="AB205" s="4" t="str">
        <x:v>Solid piece</x:v>
      </x:c>
      <x:c r="AC205" s="4" t="str">
        <x:v>Proposal</x:v>
      </x:c>
      <x:c r="AD205" s="4" t="str">
        <x:f>LOWER(A205&amp;"; "&amp;B205&amp;"; "&amp;C205&amp;"; "&amp;D205&amp;"; "&amp;W205&amp;"; "&amp;X205&amp;"; "&amp;Y205&amp;"; "&amp;Z205&amp;"; "&amp;AA205&amp;"; "&amp;AB205&amp;"; "&amp;AC205&amp;"; "&amp;U205)</x:f>
        <x:v>proposal.ceramic.figurine; ceramic commemorative figurine; cultural objects; ceramic ceremonial; cultural object; finished item; manufactured / unresolved; remembrance; ceramic; solid piece; proposal; decoration; pottery</x:v>
      </x:c>
      <x:c r="AE205" s="4" t="str">
        <x:v>Specific item proposed from author ceramics direction; functional and material limits remain unresolved.</x:v>
      </x:c>
      <x:c r="AF205" s="4" t="str">
        <x:v>Finished item</x:v>
      </x:c>
      <x:c r="AG205" s="4" t="str">
        <x:v>Completed gear, vessel, food or tool can stop at its chosen material tier; it need not climb to T4.</x:v>
      </x:c>
      <x:c r="AH205" s="4" t="str">
        <x:v>Unassigned</x:v>
      </x:c>
    </x:row>
    <x:row r="206" ht="105" customHeight="1">
      <x:c r="A206" s="9" t="str">
        <x:v>proposal.ceramic.ceremony_bowl</x:v>
      </x:c>
      <x:c r="B206" s="9" t="str">
        <x:v>Ceremonial ceramic bowl</x:v>
      </x:c>
      <x:c r="C206" s="9" t="str">
        <x:v>Cultural objects</x:v>
      </x:c>
      <x:c r="D206" s="9" t="str">
        <x:v>Ceramic ceremonial</x:v>
      </x:c>
      <x:c r="E206" s="9" t="str">
        <x:v>New proposal</x:v>
      </x:c>
      <x:c r="F206" s="9" t="str">
        <x:v>Dedicated presentation bowl with selected finish or engraving.</x:v>
      </x:c>
      <x:c r="G206" s="9" t="str">
        <x:v>Unassigned; no new slot approved</x:v>
      </x:c>
      <x:c r="H206" s="9" t="str">
        <x:v>Carrier / placement policy TBD</x:v>
      </x:c>
      <x:c r="I206" s="13"/>
      <x:c r="J206" s="15"/>
      <x:c r="K206" s="9" t="str">
        <x:v>Specialist ceramic craft or trade; exact production route TBD</x:v>
      </x:c>
      <x:c r="L206" s="9" t="str">
        <x:v>Build on existing claystone, alumina, mineral feeds and insulating blanks where appropriate. No recipe authored.</x:v>
      </x:c>
      <x:c r="M206" s="9" t="str">
        <x:v>Not implemented</x:v>
      </x:c>
      <x:c r="N206" s="9" t="str">
        <x:v>Ceremonial workmanship distinguishes this from ordinary tableware; contents unspecified.</x:v>
      </x:c>
      <x:c r="O206" s="17"/>
      <x:c r="P206" s="17"/>
      <x:c r="Q206" s="17"/>
      <x:c r="R206" s="17"/>
      <x:c r="S206" s="17"/>
      <x:c r="T206" s="9" t="str">
        <x:v>Ceramics requested as a broad item family. Specific objects, grades, sourcing, yield and value remain proposals.</x:v>
      </x:c>
      <x:c r="U206" s="11" t="str">
        <x:v>decoration; pottery</x:v>
      </x:c>
      <x:c r="V206" s="9" t="str">
        <x:v>Author ceramics direction October 14, 2026; local game item proposal. Existing mineral/ceramic entries reused where applicable.</x:v>
      </x:c>
      <x:c r="W206" s="4" t="str">
        <x:v>Cultural object</x:v>
      </x:c>
      <x:c r="X206" s="4" t="str">
        <x:v>Finished item</x:v>
      </x:c>
      <x:c r="Y206" s="4" t="str">
        <x:v>Manufactured / unresolved</x:v>
      </x:c>
      <x:c r="Z206" s="4" t="str">
        <x:v>Ceremony</x:v>
      </x:c>
      <x:c r="AA206" s="4" t="str">
        <x:v>Ceramic</x:v>
      </x:c>
      <x:c r="AB206" s="4" t="str">
        <x:v>Solid part</x:v>
      </x:c>
      <x:c r="AC206" s="4" t="str">
        <x:v>Proposal</x:v>
      </x:c>
      <x:c r="AD206" s="4" t="str">
        <x:f>LOWER(A206&amp;"; "&amp;B206&amp;"; "&amp;C206&amp;"; "&amp;D206&amp;"; "&amp;W206&amp;"; "&amp;X206&amp;"; "&amp;Y206&amp;"; "&amp;Z206&amp;"; "&amp;AA206&amp;"; "&amp;AB206&amp;"; "&amp;AC206&amp;"; "&amp;U206)</x:f>
        <x:v>proposal.ceramic.ceremony_bowl; ceremonial ceramic bowl; cultural objects; ceramic ceremonial; cultural object; finished item; manufactured / unresolved; ceremony; ceramic; solid part; proposal; decoration; pottery</x:v>
      </x:c>
      <x:c r="AE206" s="4" t="str">
        <x:v>Specific item proposed from author ceramics direction; functional and material limits remain unresolved.</x:v>
      </x:c>
      <x:c r="AF206" s="4" t="str">
        <x:v>Finished item</x:v>
      </x:c>
      <x:c r="AG206" s="4" t="str">
        <x:v>Completed gear, vessel, food or tool can stop at its chosen material tier; it need not climb to T4.</x:v>
      </x:c>
      <x:c r="AH206" s="4" t="str">
        <x:v>Unassigned</x:v>
      </x:c>
    </x:row>
    <x:row r="207" ht="105" customHeight="1">
      <x:c r="A207" s="9" t="str">
        <x:v>proposal.ceramic.armor_insert</x:v>
      </x:c>
      <x:c r="B207" s="9" t="str">
        <x:v>Specialist ceramic armor insert</x:v>
      </x:c>
      <x:c r="C207" s="9" t="str">
        <x:v>Equipment</x:v>
      </x:c>
      <x:c r="D207" s="9" t="str">
        <x:v>Ceramic protection</x:v>
      </x:c>
      <x:c r="E207" s="9" t="str">
        <x:v>New proposal</x:v>
      </x:c>
      <x:c r="F207" s="9" t="str">
        <x:v>Candidate fitted insert in the existing specialized-armor-plate family.</x:v>
      </x:c>
      <x:c r="G207" s="9" t="str">
        <x:v>Unassigned; no new slot approved</x:v>
      </x:c>
      <x:c r="H207" s="9" t="str">
        <x:v>Carrier / placement policy TBD</x:v>
      </x:c>
      <x:c r="I207" s="13"/>
      <x:c r="J207" s="15"/>
      <x:c r="K207" s="9" t="str">
        <x:v>Specialist ceramic craft or trade; exact production route TBD</x:v>
      </x:c>
      <x:c r="L207" s="9" t="str">
        <x:v>Build on existing claystone, alumina, mineral feeds and insulating blanks where appropriate. No recipe authored.</x:v>
      </x:c>
      <x:c r="M207" s="9" t="str">
        <x:v>Not implemented</x:v>
      </x:c>
      <x:c r="N207" s="9" t="str">
        <x:v>Performance, brittleness, mounting and damage behavior undecided; no protection stats.</x:v>
      </x:c>
      <x:c r="O207" s="17"/>
      <x:c r="P207" s="17"/>
      <x:c r="Q207" s="17"/>
      <x:c r="R207" s="17"/>
      <x:c r="S207" s="17"/>
      <x:c r="T207" s="9" t="str">
        <x:v>Ceramics requested as a broad item family. Specific objects, grades, sourcing, yield and value remain proposals.</x:v>
      </x:c>
      <x:c r="U207" s="11" t="str">
        <x:v>pottery</x:v>
      </x:c>
      <x:c r="V207" s="9" t="str">
        <x:v>Author ceramics direction October 14, 2026; local game item proposal. Existing mineral/ceramic entries reused where applicable.</x:v>
      </x:c>
      <x:c r="W207" s="4" t="str">
        <x:v>Armor</x:v>
      </x:c>
      <x:c r="X207" s="4" t="str">
        <x:v>Finished item</x:v>
      </x:c>
      <x:c r="Y207" s="4" t="str">
        <x:v>Manufactured / unresolved</x:v>
      </x:c>
      <x:c r="Z207" s="4" t="str">
        <x:v>Protection</x:v>
      </x:c>
      <x:c r="AA207" s="4" t="str">
        <x:v>Ceramic</x:v>
      </x:c>
      <x:c r="AB207" s="4" t="str">
        <x:v>Panel</x:v>
      </x:c>
      <x:c r="AC207" s="4" t="str">
        <x:v>Proposal</x:v>
      </x:c>
      <x:c r="AD207" s="4" t="str">
        <x:f>LOWER(A207&amp;"; "&amp;B207&amp;"; "&amp;C207&amp;"; "&amp;D207&amp;"; "&amp;W207&amp;"; "&amp;X207&amp;"; "&amp;Y207&amp;"; "&amp;Z207&amp;"; "&amp;AA207&amp;"; "&amp;AB207&amp;"; "&amp;AC207&amp;"; "&amp;U207)</x:f>
        <x:v>proposal.ceramic.armor_insert; specialist ceramic armor insert; equipment; ceramic protection; armor; finished item; manufactured / unresolved; protection; ceramic; panel; proposal; pottery</x:v>
      </x:c>
      <x:c r="AE207" s="4" t="str">
        <x:v>Specific item proposed from author ceramics direction; functional and material limits remain unresolved.</x:v>
      </x:c>
      <x:c r="AF207" s="4" t="str">
        <x:v>Finished item</x:v>
      </x:c>
      <x:c r="AG207" s="4" t="str">
        <x:v>Completed gear, vessel, food or tool can stop at its chosen material tier; it need not climb to T4.</x:v>
      </x:c>
      <x:c r="AH207" s="4" t="str">
        <x:v>Unassigned</x:v>
      </x:c>
    </x:row>
    <x:row r="208" ht="105" customHeight="1">
      <x:c r="A208" s="9" t="str">
        <x:v>proposal.ceramic.fastener</x:v>
      </x:c>
      <x:c r="B208" s="9" t="str">
        <x:v>Ceramic toggle fastener</x:v>
      </x:c>
      <x:c r="C208" s="9" t="str">
        <x:v>Crafting components</x:v>
      </x:c>
      <x:c r="D208" s="9" t="str">
        <x:v>Ceramic household fitting</x:v>
      </x:c>
      <x:c r="E208" s="9" t="str">
        <x:v>New proposal</x:v>
      </x:c>
      <x:c r="F208" s="9" t="str">
        <x:v>Shaped toggle for a compatible wrap or fitted carrier.</x:v>
      </x:c>
      <x:c r="G208" s="9" t="str">
        <x:v>Unassigned; no new slot approved</x:v>
      </x:c>
      <x:c r="H208" s="9" t="str">
        <x:v>Carrier / placement policy TBD</x:v>
      </x:c>
      <x:c r="I208" s="13"/>
      <x:c r="J208" s="15"/>
      <x:c r="K208" s="9" t="str">
        <x:v>Specialist ceramic craft or trade; exact production route TBD</x:v>
      </x:c>
      <x:c r="L208" s="9" t="str">
        <x:v>Build on existing claystone, alumina, mineral feeds and insulating blanks where appropriate. No recipe authored.</x:v>
      </x:c>
      <x:c r="M208" s="9" t="str">
        <x:v>Not implemented</x:v>
      </x:c>
      <x:c r="N208" s="9" t="str">
        <x:v>No cloth required; joining method, strength and wear properties unresolved.</x:v>
      </x:c>
      <x:c r="O208" s="17"/>
      <x:c r="P208" s="17"/>
      <x:c r="Q208" s="17"/>
      <x:c r="R208" s="17"/>
      <x:c r="S208" s="17"/>
      <x:c r="T208" s="9" t="str">
        <x:v>Ceramics requested as a broad item family. Specific objects, grades, sourcing, yield and value remain proposals.</x:v>
      </x:c>
      <x:c r="U208" s="11" t="str">
        <x:v>equipment mounting; pottery</x:v>
      </x:c>
      <x:c r="V208" s="9" t="str">
        <x:v>Author ceramics direction October 14, 2026; local game item proposal. Existing mineral/ceramic entries reused where applicable.</x:v>
      </x:c>
      <x:c r="W208" s="4" t="str">
        <x:v>Crafting component</x:v>
      </x:c>
      <x:c r="X208" s="4" t="str">
        <x:v>Processed intermediate</x:v>
      </x:c>
      <x:c r="Y208" s="4" t="str">
        <x:v>Manufactured / unresolved</x:v>
      </x:c>
      <x:c r="Z208" s="4" t="str">
        <x:v>Clothing fabrication</x:v>
      </x:c>
      <x:c r="AA208" s="4" t="str">
        <x:v>Ceramic</x:v>
      </x:c>
      <x:c r="AB208" s="4" t="str">
        <x:v>Solid part</x:v>
      </x:c>
      <x:c r="AC208" s="4" t="str">
        <x:v>Proposal</x:v>
      </x:c>
      <x:c r="AD208" s="4" t="str">
        <x:f>LOWER(A208&amp;"; "&amp;B208&amp;"; "&amp;C208&amp;"; "&amp;D208&amp;"; "&amp;W208&amp;"; "&amp;X208&amp;"; "&amp;Y208&amp;"; "&amp;Z208&amp;"; "&amp;AA208&amp;"; "&amp;AB208&amp;"; "&amp;AC208&amp;"; "&amp;U208)</x:f>
        <x:v>proposal.ceramic.fastener; ceramic toggle fastener; crafting components; ceramic household fitting; crafting component; processed intermediate; manufactured / unresolved; clothing fabrication; ceramic; solid part; proposal; equipment mounting; pottery</x:v>
      </x:c>
      <x:c r="AE208" s="4" t="str">
        <x:v>Specific item proposed from author ceramics direction; functional and material limits remain unresolved.</x:v>
      </x:c>
      <x:c r="AF208" s="4" t="str">
        <x:v>Unassigned</x:v>
      </x:c>
      <x:c r="AG208" s="4" t="str">
        <x:v>Choose a material/part route before assigning a tier. Processing-stage labels alone do not prove chain depth.</x:v>
      </x:c>
      <x:c r="AH208" s="4" t="str">
        <x:v>Not applicable</x:v>
      </x:c>
    </x:row>
    <x:row r="209" ht="105" customHeight="1">
      <x:c r="A209" s="9" t="str">
        <x:v>proposal.ceramic.grinding_disc</x:v>
      </x:c>
      <x:c r="B209" s="9" t="str">
        <x:v>Ceramic abrasive disc</x:v>
      </x:c>
      <x:c r="C209" s="9" t="str">
        <x:v>Equipment</x:v>
      </x:c>
      <x:c r="D209" s="9" t="str">
        <x:v>Ceramic workshop</x:v>
      </x:c>
      <x:c r="E209" s="9" t="str">
        <x:v>New proposal</x:v>
      </x:c>
      <x:c r="F209" s="9" t="str">
        <x:v>Replaceable shaped abrasive for a chosen workshop tool.</x:v>
      </x:c>
      <x:c r="G209" s="9" t="str">
        <x:v>Unassigned; no new slot approved</x:v>
      </x:c>
      <x:c r="H209" s="9" t="str">
        <x:v>Carrier / placement policy TBD</x:v>
      </x:c>
      <x:c r="I209" s="13"/>
      <x:c r="J209" s="15"/>
      <x:c r="K209" s="9" t="str">
        <x:v>Specialist ceramic craft or trade; exact production route TBD</x:v>
      </x:c>
      <x:c r="L209" s="9" t="str">
        <x:v>Build on existing claystone, alumina, mineral feeds and insulating blanks where appropriate. No recipe authored.</x:v>
      </x:c>
      <x:c r="M209" s="9" t="str">
        <x:v>Not implemented</x:v>
      </x:c>
      <x:c r="N209" s="9" t="str">
        <x:v>Abrasive grade, drive method and safe operating limits unresolved; no powered tool granted.</x:v>
      </x:c>
      <x:c r="O209" s="17"/>
      <x:c r="P209" s="17"/>
      <x:c r="Q209" s="17"/>
      <x:c r="R209" s="17"/>
      <x:c r="S209" s="17"/>
      <x:c r="T209" s="9" t="str">
        <x:v>Ceramics requested as a broad item family. Specific objects, grades, sourcing, yield and value remain proposals.</x:v>
      </x:c>
      <x:c r="U209" s="11" t="str">
        <x:v>pottery</x:v>
      </x:c>
      <x:c r="V209" s="9" t="str">
        <x:v>Author ceramics direction October 14, 2026; local game item proposal. Existing mineral/ceramic entries reused where applicable.</x:v>
      </x:c>
      <x:c r="W209" s="4" t="str">
        <x:v>Tool</x:v>
      </x:c>
      <x:c r="X209" s="4" t="str">
        <x:v>Finished item</x:v>
      </x:c>
      <x:c r="Y209" s="4" t="str">
        <x:v>Manufactured / unresolved</x:v>
      </x:c>
      <x:c r="Z209" s="4" t="str">
        <x:v>Surface finishing</x:v>
      </x:c>
      <x:c r="AA209" s="4" t="str">
        <x:v>Ceramic</x:v>
      </x:c>
      <x:c r="AB209" s="4" t="str">
        <x:v>Solid part</x:v>
      </x:c>
      <x:c r="AC209" s="4" t="str">
        <x:v>Proposal</x:v>
      </x:c>
      <x:c r="AD209" s="4" t="str">
        <x:f>LOWER(A209&amp;"; "&amp;B209&amp;"; "&amp;C209&amp;"; "&amp;D209&amp;"; "&amp;W209&amp;"; "&amp;X209&amp;"; "&amp;Y209&amp;"; "&amp;Z209&amp;"; "&amp;AA209&amp;"; "&amp;AB209&amp;"; "&amp;AC209&amp;"; "&amp;U209)</x:f>
        <x:v>proposal.ceramic.grinding_disc; ceramic abrasive disc; equipment; ceramic workshop; tool; finished item; manufactured / unresolved; surface finishing; ceramic; solid part; proposal; pottery</x:v>
      </x:c>
      <x:c r="AE209" s="4" t="str">
        <x:v>Specific item proposed from author ceramics direction; functional and material limits remain unresolved.</x:v>
      </x:c>
      <x:c r="AF209" s="4" t="str">
        <x:v>Finished item</x:v>
      </x:c>
      <x:c r="AG209" s="4" t="str">
        <x:v>Completed gear, vessel, food or tool can stop at its chosen material tier; it need not climb to T4.</x:v>
      </x:c>
      <x:c r="AH209" s="4" t="str">
        <x:v>Unassigned</x:v>
      </x:c>
    </x:row>
    <x:row r="210" ht="115" customHeight="1">
      <x:c r="A210" s="9" t="str">
        <x:v>source.currency.imperial_commons</x:v>
      </x:c>
      <x:c r="B210" s="9" t="str">
        <x:v>Imperial Commons</x:v>
      </x:c>
      <x:c r="C210" s="9" t="str">
        <x:v>Currency</x:v>
      </x:c>
      <x:c r="D210" s="9" t="str">
        <x:v>Currency family; denominations unspecified</x:v>
      </x:c>
      <x:c r="E210" s="9" t="str">
        <x:v>Source proposal; not implemented</x:v>
      </x:c>
      <x:c r="F210" s="9" t="str">
        <x:v>Imperial currency for exchange. Source everyday name: Commons; commercial shorthand: marks.</x:v>
      </x:c>
      <x:c r="G210" s="9" t="str">
        <x:v>None</x:v>
      </x:c>
      <x:c r="H210" s="9" t="str">
        <x:v>Physical form and carrier policy unresolved</x:v>
      </x:c>
      <x:c r="I210" s="13"/>
      <x:c r="J210" s="15"/>
      <x:c r="K210" s="9" t="str">
        <x:v>Source issuer: Empire. Issuance and acquisition are not game systems.</x:v>
      </x:c>
      <x:c r="L210" s="9" t="str">
        <x:v>No minting or crafting recipe authored</x:v>
      </x:c>
      <x:c r="M210" s="9" t="str">
        <x:v>Not implemented</x:v>
      </x:c>
      <x:c r="N210" s="9" t="str">
        <x:v>Source WLD-0032 is draft/proposal. No denomination names, face values, ratios, coin/note materials, dimensions or physical form are specified.</x:v>
      </x:c>
      <x:c r="O210" s="17"/>
      <x:c r="P210" s="17"/>
      <x:c r="Q210" s="17"/>
      <x:c r="R210" s="17"/>
      <x:c r="S210" s="17"/>
      <x:c r="T210" s="9" t="str">
        <x:v>Currency-family placeholder, not a claimed one-Common coin or note. Commons and marks are aliases, not separate denominations. Leave face values, item prices, stack/mass and wallet behavior undefined.</x:v>
      </x:c>
      <x:c r="U210" s="11" t="str">
        <x:v>commons; marks; money; exchange; denomination unspecified</x:v>
      </x:c>
      <x:c r="V210" s="9" t="str">
        <x:v>https://github.com/sleepyseamonster/Arc-Dust/blob/f6f98515c005dc3c73cccd9cbc031691745740c6/02-Arc-Dust-Worldbuilding/world/economy/currency.md; WLD-0032 status=draft, canon_status=proposal; remote master revision verified October 14, 2026.</x:v>
      </x:c>
      <x:c r="W210" s="4" t="str">
        <x:v>Currency</x:v>
      </x:c>
      <x:c r="X210" s="4" t="str">
        <x:v>Unresolved</x:v>
      </x:c>
      <x:c r="Y210" s="4" t="str">
        <x:v>Manufactured / unresolved</x:v>
      </x:c>
      <x:c r="Z210" s="4" t="str">
        <x:v>Trade</x:v>
      </x:c>
      <x:c r="AA210" s="4" t="str">
        <x:v>Unresolved</x:v>
      </x:c>
      <x:c r="AB210" s="4" t="str">
        <x:v>Unresolved</x:v>
      </x:c>
      <x:c r="AC210" s="4" t="str">
        <x:v>Source proposal</x:v>
      </x:c>
      <x:c r="AD210" s="4" t="str">
        <x:f>LOWER(A210&amp;"; "&amp;B210&amp;"; "&amp;C210&amp;"; "&amp;D210&amp;"; "&amp;W210&amp;"; "&amp;X210&amp;"; "&amp;Y210&amp;"; "&amp;Z210&amp;"; "&amp;AA210&amp;"; "&amp;AB210&amp;"; "&amp;AC210&amp;"; "&amp;U210)</x:f>
        <x:v>source.currency.imperial_commons; imperial commons; currency; currency family; denominations unspecified; currency; unresolved; manufactured / unresolved; trade; unresolved; unresolved; source proposal; commons; marks; money; exchange; denomination unspecified</x:v>
      </x:c>
      <x:c r="AE210" s="4" t="str">
        <x:v>Source record explicitly names the currency and aliases; no physical denomination item inferred.</x:v>
      </x:c>
      <x:c r="AF210" s="4" t="str">
        <x:v>Unassigned</x:v>
      </x:c>
      <x:c r="AG210" s="4" t="str">
        <x:v>Tier requires a chosen production route; recovered ancient material is not automatically T4.</x:v>
      </x:c>
      <x:c r="AH210" s="4" t="str">
        <x:v>Unassigned</x:v>
      </x:c>
    </x:row>
    <x:row r="211" ht="115" customHeight="1">
      <x:c r="A211" s="9" t="str">
        <x:v>proposal.fire.oxygen_stone</x:v>
      </x:c>
      <x:c r="B211" s="9" t="str">
        <x:v>Oxygen-releasing stone</x:v>
      </x:c>
      <x:c r="C211" s="9" t="str">
        <x:v>Resources</x:v>
      </x:c>
      <x:c r="D211" s="9" t="str">
        <x:v>Special stone</x:v>
      </x:c>
      <x:c r="E211" s="9" t="str">
        <x:v>User direction; not implemented</x:v>
      </x:c>
      <x:c r="F211" s="9" t="str">
        <x:v>Stone family that releases oxygen, as requested by author.</x:v>
      </x:c>
      <x:c r="G211" s="9" t="str">
        <x:v>Unassigned; no new slot approved</x:v>
      </x:c>
      <x:c r="H211" s="9" t="str">
        <x:v>Carrier / placement policy TBD</x:v>
      </x:c>
      <x:c r="I211" s="13"/>
      <x:c r="J211" s="15"/>
      <x:c r="K211" s="9" t="str">
        <x:v>Gathering, specialist craft or trade; exact acquisition TBD</x:v>
      </x:c>
      <x:c r="L211" s="9" t="str">
        <x:v>No cooking, ignition or oxygen-release recipe authored</x:v>
      </x:c>
      <x:c r="M211" s="9" t="str">
        <x:v>Not implemented</x:v>
      </x:c>
      <x:c r="N211" s="9" t="str">
        <x:v>Source describes active bedrock under geothermal heat/pressure. Continued output after extraction, rate, exhaustion and activation unresolved; no portable infinite air supply.</x:v>
      </x:c>
      <x:c r="O211" s="17"/>
      <x:c r="P211" s="17"/>
      <x:c r="Q211" s="17"/>
      <x:c r="R211" s="17"/>
      <x:c r="S211" s="17"/>
      <x:c r="T211" s="9" t="str">
        <x:v>Names are descriptive working labels. Fire-dependent uses are constrained by source atmosphere proposals; no oxygen/flame simulation, nutrition bonus or automatic detoxification.</x:v>
      </x:c>
      <x:c r="U211" s="11"/>
      <x:c r="V211" s="9" t="str">
        <x:v>https://github.com/sleepyseamonster/Arc-Dust/blob/f6f98515c005dc3c73cccd9cbc031691745740c6/02-Arc-Dust-Worldbuilding/world/geography/atmosphere.md</x:v>
      </x:c>
      <x:c r="W211" s="4" t="str">
        <x:v>Raw material</x:v>
      </x:c>
      <x:c r="X211" s="4" t="str">
        <x:v>Raw</x:v>
      </x:c>
      <x:c r="Y211" s="4" t="str">
        <x:v>Geological</x:v>
      </x:c>
      <x:c r="Z211" s="4" t="str">
        <x:v>Atmospheric support</x:v>
      </x:c>
      <x:c r="AA211" s="4" t="str">
        <x:v>Mineral</x:v>
      </x:c>
      <x:c r="AB211" s="4" t="str">
        <x:v>Rock</x:v>
      </x:c>
      <x:c r="AC211" s="4" t="str">
        <x:v>Author direction</x:v>
      </x:c>
      <x:c r="AD211" s="4" t="str">
        <x:f>LOWER(A211&amp;"; "&amp;B211&amp;"; "&amp;C211&amp;"; "&amp;D211&amp;"; "&amp;W211&amp;"; "&amp;X211&amp;"; "&amp;Y211&amp;"; "&amp;Z211&amp;"; "&amp;AA211&amp;"; "&amp;AB211&amp;"; "&amp;AC211&amp;"; "&amp;U211)</x:f>
        <x:v>proposal.fire.oxygen_stone; oxygen-releasing stone; resources; special stone; raw material; raw; geological; atmospheric support; mineral; rock; author direction; </x:v>
      </x:c>
      <x:c r="AE211" s="4" t="str">
        <x:v>Author direction establishes stone families. Source mechanisms remain proposal-stage; specific equipment functions are proposals.</x:v>
      </x:c>
      <x:c r="AF211" s="4" t="str">
        <x:v>T0</x:v>
      </x:c>
      <x:c r="AG211" s="4" t="str">
        <x:v>Raw gathered/recovered craft input under the author T0 framework. This does not imply a naturally occurring pure metal.</x:v>
      </x:c>
      <x:c r="AH211" s="4" t="str">
        <x:v>Not applicable</x:v>
      </x:c>
    </x:row>
    <x:row r="212" ht="115" customHeight="1">
      <x:c r="A212" s="9" t="str">
        <x:v>proposal.fire.glow_stone</x:v>
      </x:c>
      <x:c r="B212" s="9" t="str">
        <x:v>Glowing stone</x:v>
      </x:c>
      <x:c r="C212" s="9" t="str">
        <x:v>Resources</x:v>
      </x:c>
      <x:c r="D212" s="9" t="str">
        <x:v>Special stone</x:v>
      </x:c>
      <x:c r="E212" s="9" t="str">
        <x:v>User direction; not implemented</x:v>
      </x:c>
      <x:c r="F212" s="9" t="str">
        <x:v>Stone family that emits light, as requested by author.</x:v>
      </x:c>
      <x:c r="G212" s="9" t="str">
        <x:v>Unassigned; no new slot approved</x:v>
      </x:c>
      <x:c r="H212" s="9" t="str">
        <x:v>Carrier / placement policy TBD</x:v>
      </x:c>
      <x:c r="I212" s="13"/>
      <x:c r="J212" s="15"/>
      <x:c r="K212" s="9" t="str">
        <x:v>Gathering, specialist craft or trade; exact acquisition TBD</x:v>
      </x:c>
      <x:c r="L212" s="9" t="str">
        <x:v>No cooking, ignition or oxygen-release recipe authored</x:v>
      </x:c>
      <x:c r="M212" s="9" t="str">
        <x:v>Not implemented</x:v>
      </x:c>
      <x:c r="N212" s="9" t="str">
        <x:v>No owning glow-stone record found in inspected material/atmosphere records. Color, brightness, duration, charging, depletion and heat unresolved; glow does not imply combustion.</x:v>
      </x:c>
      <x:c r="O212" s="17"/>
      <x:c r="P212" s="17"/>
      <x:c r="Q212" s="17"/>
      <x:c r="R212" s="17"/>
      <x:c r="S212" s="17"/>
      <x:c r="T212" s="9" t="str">
        <x:v>Names are descriptive working labels. Fire-dependent uses are constrained by source atmosphere proposals; no oxygen/flame simulation, nutrition bonus or automatic detoxification.</x:v>
      </x:c>
      <x:c r="U212" s="11"/>
      <x:c r="V212" s="9" t="str">
        <x:v>Direct author direction October 14, 2026</x:v>
      </x:c>
      <x:c r="W212" s="4" t="str">
        <x:v>Raw material</x:v>
      </x:c>
      <x:c r="X212" s="4" t="str">
        <x:v>Raw</x:v>
      </x:c>
      <x:c r="Y212" s="4" t="str">
        <x:v>Geological</x:v>
      </x:c>
      <x:c r="Z212" s="4" t="str">
        <x:v>Illumination</x:v>
      </x:c>
      <x:c r="AA212" s="4" t="str">
        <x:v>Mineral</x:v>
      </x:c>
      <x:c r="AB212" s="4" t="str">
        <x:v>Rock</x:v>
      </x:c>
      <x:c r="AC212" s="4" t="str">
        <x:v>Author direction</x:v>
      </x:c>
      <x:c r="AD212" s="4" t="str">
        <x:f>LOWER(A212&amp;"; "&amp;B212&amp;"; "&amp;C212&amp;"; "&amp;D212&amp;"; "&amp;W212&amp;"; "&amp;X212&amp;"; "&amp;Y212&amp;"; "&amp;Z212&amp;"; "&amp;AA212&amp;"; "&amp;AB212&amp;"; "&amp;AC212&amp;"; "&amp;U212)</x:f>
        <x:v>proposal.fire.glow_stone; glowing stone; resources; special stone; raw material; raw; geological; illumination; mineral; rock; author direction; </x:v>
      </x:c>
      <x:c r="AE212" s="4" t="str">
        <x:v>Author direction establishes stone families. Source mechanisms remain proposal-stage; specific equipment functions are proposals.</x:v>
      </x:c>
      <x:c r="AF212" s="4" t="str">
        <x:v>T0</x:v>
      </x:c>
      <x:c r="AG212" s="4" t="str">
        <x:v>Raw gathered/recovered craft input under the author T0 framework. This does not imply a naturally occurring pure metal.</x:v>
      </x:c>
      <x:c r="AH212" s="4" t="str">
        <x:v>Not applicable</x:v>
      </x:c>
    </x:row>
    <x:row r="213" ht="115" customHeight="1">
      <x:c r="A213" s="9" t="str">
        <x:v>proposal.fire.flint</x:v>
      </x:c>
      <x:c r="B213" s="9" t="str">
        <x:v>Flint stone</x:v>
      </x:c>
      <x:c r="C213" s="9" t="str">
        <x:v>Resources</x:v>
      </x:c>
      <x:c r="D213" s="9" t="str">
        <x:v>Special stone</x:v>
      </x:c>
      <x:c r="E213" s="9" t="str">
        <x:v>User direction; not implemented</x:v>
      </x:c>
      <x:c r="F213" s="9" t="str">
        <x:v>Flint resource requested by author; candidate sparking and worked-edge uses.</x:v>
      </x:c>
      <x:c r="G213" s="9" t="str">
        <x:v>Unassigned; no new slot approved</x:v>
      </x:c>
      <x:c r="H213" s="9" t="str">
        <x:v>Carrier / placement policy TBD</x:v>
      </x:c>
      <x:c r="I213" s="13"/>
      <x:c r="J213" s="15"/>
      <x:c r="K213" s="9" t="str">
        <x:v>Gathering, specialist craft or trade; exact acquisition TBD</x:v>
      </x:c>
      <x:c r="L213" s="9" t="str">
        <x:v>No cooking, ignition or oxygen-release recipe authored</x:v>
      </x:c>
      <x:c r="M213" s="9" t="str">
        <x:v>Not implemented</x:v>
      </x:c>
      <x:c r="N213" s="9" t="str">
        <x:v>No matched striker, tinder, guaranteed ignition or crafting recipe assigned. Atmospheric conditions still matter.</x:v>
      </x:c>
      <x:c r="O213" s="17"/>
      <x:c r="P213" s="17"/>
      <x:c r="Q213" s="17"/>
      <x:c r="R213" s="17"/>
      <x:c r="S213" s="17"/>
      <x:c r="T213" s="9" t="str">
        <x:v>Names are descriptive working labels. Fire-dependent uses are constrained by source atmosphere proposals; no oxygen/flame simulation, nutrition bonus or automatic detoxification.</x:v>
      </x:c>
      <x:c r="U213" s="11" t="str">
        <x:v>tool fabrication</x:v>
      </x:c>
      <x:c r="V213" s="9" t="str">
        <x:v>Direct author direction October 14, 2026</x:v>
      </x:c>
      <x:c r="W213" s="4" t="str">
        <x:v>Raw material</x:v>
      </x:c>
      <x:c r="X213" s="4" t="str">
        <x:v>Raw</x:v>
      </x:c>
      <x:c r="Y213" s="4" t="str">
        <x:v>Geological</x:v>
      </x:c>
      <x:c r="Z213" s="4" t="str">
        <x:v>Ignition</x:v>
      </x:c>
      <x:c r="AA213" s="4" t="str">
        <x:v>Mineral</x:v>
      </x:c>
      <x:c r="AB213" s="4" t="str">
        <x:v>Rock</x:v>
      </x:c>
      <x:c r="AC213" s="4" t="str">
        <x:v>Author direction</x:v>
      </x:c>
      <x:c r="AD213" s="4" t="str">
        <x:f>LOWER(A213&amp;"; "&amp;B213&amp;"; "&amp;C213&amp;"; "&amp;D213&amp;"; "&amp;W213&amp;"; "&amp;X213&amp;"; "&amp;Y213&amp;"; "&amp;Z213&amp;"; "&amp;AA213&amp;"; "&amp;AB213&amp;"; "&amp;AC213&amp;"; "&amp;U213)</x:f>
        <x:v>proposal.fire.flint; flint stone; resources; special stone; raw material; raw; geological; ignition; mineral; rock; author direction; tool fabrication</x:v>
      </x:c>
      <x:c r="AE213" s="4" t="str">
        <x:v>Author direction establishes stone families. Source mechanisms remain proposal-stage; specific equipment functions are proposals.</x:v>
      </x:c>
      <x:c r="AF213" s="4" t="str">
        <x:v>T0</x:v>
      </x:c>
      <x:c r="AG213" s="4" t="str">
        <x:v>Raw gathered/recovered craft input under the author T0 framework. This does not imply a naturally occurring pure metal.</x:v>
      </x:c>
      <x:c r="AH213" s="4" t="str">
        <x:v>Not applicable</x:v>
      </x:c>
    </x:row>
    <x:row r="214" ht="115" customHeight="1">
      <x:c r="A214" s="9" t="str">
        <x:v>proposal.fire.striker</x:v>
      </x:c>
      <x:c r="B214" s="9" t="str">
        <x:v>Flint striking tool</x:v>
      </x:c>
      <x:c r="C214" s="9" t="str">
        <x:v>Equipment</x:v>
      </x:c>
      <x:c r="D214" s="9" t="str">
        <x:v>Ignition tool</x:v>
      </x:c>
      <x:c r="E214" s="9" t="str">
        <x:v>New proposal</x:v>
      </x:c>
      <x:c r="F214" s="9" t="str">
        <x:v>Worked striking implement candidate used with compatible flint.</x:v>
      </x:c>
      <x:c r="G214" s="9" t="str">
        <x:v>Unassigned; no new slot approved</x:v>
      </x:c>
      <x:c r="H214" s="9" t="str">
        <x:v>Carrier / placement policy TBD</x:v>
      </x:c>
      <x:c r="I214" s="13"/>
      <x:c r="J214" s="15"/>
      <x:c r="K214" s="9" t="str">
        <x:v>Gathering, specialist craft or trade; exact acquisition TBD</x:v>
      </x:c>
      <x:c r="L214" s="9" t="str">
        <x:v>No cooking, ignition or oxygen-release recipe authored</x:v>
      </x:c>
      <x:c r="M214" s="9" t="str">
        <x:v>Not implemented</x:v>
      </x:c>
      <x:c r="N214" s="9" t="str">
        <x:v>Striking-face composition and fuel/tinder pairing TBD; a spark does not guarantee a sustained cooking fire.</x:v>
      </x:c>
      <x:c r="O214" s="17"/>
      <x:c r="P214" s="17"/>
      <x:c r="Q214" s="17"/>
      <x:c r="R214" s="17"/>
      <x:c r="S214" s="17"/>
      <x:c r="T214" s="9" t="str">
        <x:v>Names are descriptive working labels. Fire-dependent uses are constrained by source atmosphere proposals; no oxygen/flame simulation, nutrition bonus or automatic detoxification.</x:v>
      </x:c>
      <x:c r="U214" s="11"/>
      <x:c r="V214" s="9" t="str">
        <x:v>New game proposal from author flint direction</x:v>
      </x:c>
      <x:c r="W214" s="4" t="str">
        <x:v>Tool</x:v>
      </x:c>
      <x:c r="X214" s="4" t="str">
        <x:v>Finished item</x:v>
      </x:c>
      <x:c r="Y214" s="4" t="str">
        <x:v>Manufactured / unresolved</x:v>
      </x:c>
      <x:c r="Z214" s="4" t="str">
        <x:v>Ignition</x:v>
      </x:c>
      <x:c r="AA214" s="4" t="str">
        <x:v>Metal or shell</x:v>
      </x:c>
      <x:c r="AB214" s="4" t="str">
        <x:v>Assembly</x:v>
      </x:c>
      <x:c r="AC214" s="4" t="str">
        <x:v>Proposal</x:v>
      </x:c>
      <x:c r="AD214" s="4" t="str">
        <x:f>LOWER(A214&amp;"; "&amp;B214&amp;"; "&amp;C214&amp;"; "&amp;D214&amp;"; "&amp;W214&amp;"; "&amp;X214&amp;"; "&amp;Y214&amp;"; "&amp;Z214&amp;"; "&amp;AA214&amp;"; "&amp;AB214&amp;"; "&amp;AC214&amp;"; "&amp;U214)</x:f>
        <x:v>proposal.fire.striker; flint striking tool; equipment; ignition tool; tool; finished item; manufactured / unresolved; ignition; metal or shell; assembly; proposal; </x:v>
      </x:c>
      <x:c r="AE214" s="4" t="str">
        <x:v>Author direction establishes stone families. Source mechanisms remain proposal-stage; specific equipment functions are proposals.</x:v>
      </x:c>
      <x:c r="AF214" s="4" t="str">
        <x:v>Finished item</x:v>
      </x:c>
      <x:c r="AG214" s="4" t="str">
        <x:v>Completed gear, vessel, food or tool can stop at its chosen material tier; it need not climb to T4.</x:v>
      </x:c>
      <x:c r="AH214" s="4" t="str">
        <x:v>Unassigned</x:v>
      </x:c>
    </x:row>
    <x:row r="215" ht="115" customHeight="1">
      <x:c r="A215" s="9" t="str">
        <x:v>proposal.fire.chitin_char</x:v>
      </x:c>
      <x:c r="B215" s="9" t="str">
        <x:v>Chitin-char</x:v>
      </x:c>
      <x:c r="C215" s="9" t="str">
        <x:v>Resources</x:v>
      </x:c>
      <x:c r="D215" s="9" t="str">
        <x:v>Fire fuel</x:v>
      </x:c>
      <x:c r="E215" s="9" t="str">
        <x:v>Source proposal; not implemented</x:v>
      </x:c>
      <x:c r="F215" s="9" t="str">
        <x:v>Carbonized chitin material described in the chitin source record.</x:v>
      </x:c>
      <x:c r="G215" s="9" t="str">
        <x:v>Unassigned; no new slot approved</x:v>
      </x:c>
      <x:c r="H215" s="9" t="str">
        <x:v>Carrier / placement policy TBD</x:v>
      </x:c>
      <x:c r="I215" s="13"/>
      <x:c r="J215" s="15"/>
      <x:c r="K215" s="9" t="str">
        <x:v>Gathering, specialist craft or trade; exact acquisition TBD</x:v>
      </x:c>
      <x:c r="L215" s="9" t="str">
        <x:v>No cooking, ignition or oxygen-release recipe authored</x:v>
      </x:c>
      <x:c r="M215" s="9" t="str">
        <x:v>Not implemented</x:v>
      </x:c>
      <x:c r="N215" s="9" t="str">
        <x:v>Exact preparation and fuel performance unapproved. Existing generic Charcoal is retained; decide whether these become a material variant or separate resources before implementation.</x:v>
      </x:c>
      <x:c r="O215" s="17"/>
      <x:c r="P215" s="17"/>
      <x:c r="Q215" s="17"/>
      <x:c r="R215" s="17"/>
      <x:c r="S215" s="17"/>
      <x:c r="T215" s="9" t="str">
        <x:v>Names are descriptive working labels. Fire-dependent uses are constrained by source atmosphere proposals; no oxygen/flame simulation, nutrition bonus or automatic detoxification.</x:v>
      </x:c>
      <x:c r="U215" s="11"/>
      <x:c r="V215" s="9" t="str">
        <x:v>https://github.com/sleepyseamonster/Arc-Dust/blob/f6f98515c005dc3c73cccd9cbc031691745740c6/02-Arc-Dust-Worldbuilding/world/materials/chitin.md</x:v>
      </x:c>
      <x:c r="W215" s="4" t="str">
        <x:v>Processed material</x:v>
      </x:c>
      <x:c r="X215" s="4" t="str">
        <x:v>Processed intermediate</x:v>
      </x:c>
      <x:c r="Y215" s="4" t="str">
        <x:v>Fauna</x:v>
      </x:c>
      <x:c r="Z215" s="4" t="str">
        <x:v>Fuel</x:v>
      </x:c>
      <x:c r="AA215" s="4" t="str">
        <x:v>Carbonaceous material</x:v>
      </x:c>
      <x:c r="AB215" s="4" t="str">
        <x:v>Solid piece</x:v>
      </x:c>
      <x:c r="AC215" s="4" t="str">
        <x:v>Source proposal</x:v>
      </x:c>
      <x:c r="AD215" s="4" t="str">
        <x:f>LOWER(A215&amp;"; "&amp;B215&amp;"; "&amp;C215&amp;"; "&amp;D215&amp;"; "&amp;W215&amp;"; "&amp;X215&amp;"; "&amp;Y215&amp;"; "&amp;Z215&amp;"; "&amp;AA215&amp;"; "&amp;AB215&amp;"; "&amp;AC215&amp;"; "&amp;U215)</x:f>
        <x:v>proposal.fire.chitin_char; chitin-char; resources; fire fuel; processed material; processed intermediate; fauna; fuel; carbonaceous material; solid piece; source proposal; </x:v>
      </x:c>
      <x:c r="AE215" s="4" t="str">
        <x:v>Author direction establishes stone families. Source mechanisms remain proposal-stage; specific equipment functions are proposals.</x:v>
      </x:c>
      <x:c r="AF215" s="4" t="str">
        <x:v>Unassigned</x:v>
      </x:c>
      <x:c r="AG215" s="4" t="str">
        <x:v>Choose a material/part route before assigning a tier. Processing-stage labels alone do not prove chain depth.</x:v>
      </x:c>
      <x:c r="AH215" s="4" t="str">
        <x:v>Not applicable</x:v>
      </x:c>
    </x:row>
    <x:row r="216" ht="115" customHeight="1">
      <x:c r="A216" s="9" t="str">
        <x:v>proposal.fire.cooking_pot</x:v>
      </x:c>
      <x:c r="B216" s="9" t="str">
        <x:v>Ceramic cooking pot</x:v>
      </x:c>
      <x:c r="C216" s="9" t="str">
        <x:v>Equipment</x:v>
      </x:c>
      <x:c r="D216" s="9" t="str">
        <x:v>Cooking vessel</x:v>
      </x:c>
      <x:c r="E216" s="9" t="str">
        <x:v>New proposal</x:v>
      </x:c>
      <x:c r="F216" s="9" t="str">
        <x:v>Purpose-made ceramic vessel candidate for heating a contained food portion.</x:v>
      </x:c>
      <x:c r="G216" s="9" t="str">
        <x:v>Unassigned; no new slot approved</x:v>
      </x:c>
      <x:c r="H216" s="9" t="str">
        <x:v>Carrier / placement policy TBD</x:v>
      </x:c>
      <x:c r="I216" s="13"/>
      <x:c r="J216" s="15"/>
      <x:c r="K216" s="9" t="str">
        <x:v>Gathering, specialist craft or trade; exact acquisition TBD</x:v>
      </x:c>
      <x:c r="L216" s="9" t="str">
        <x:v>No cooking, ignition or oxygen-release recipe authored</x:v>
      </x:c>
      <x:c r="M216" s="9" t="str">
        <x:v>Not implemented</x:v>
      </x:c>
      <x:c r="N216" s="9" t="str">
        <x:v>Food-contact suitability, supported contents, heat grade and process TBD. Distinct from cold serving bowl, storage crock and chemical-service jar.</x:v>
      </x:c>
      <x:c r="O216" s="17"/>
      <x:c r="P216" s="17"/>
      <x:c r="Q216" s="17"/>
      <x:c r="R216" s="17"/>
      <x:c r="S216" s="17"/>
      <x:c r="T216" s="9" t="str">
        <x:v>Names are descriptive working labels. Fire-dependent uses are constrained by source atmosphere proposals; no oxygen/flame simulation, nutrition bonus or automatic detoxification.</x:v>
      </x:c>
      <x:c r="U216" s="11"/>
      <x:c r="V216" s="9" t="str">
        <x:v>https://github.com/sleepyseamonster/Arc-Dust/blob/f6f98515c005dc3c73cccd9cbc031691745740c6/02-Arc-Dust-Worldbuilding/world/geography/atmosphere.md</x:v>
      </x:c>
      <x:c r="W216" s="4" t="str">
        <x:v>Tool</x:v>
      </x:c>
      <x:c r="X216" s="4" t="str">
        <x:v>Finished item</x:v>
      </x:c>
      <x:c r="Y216" s="4" t="str">
        <x:v>Manufactured / unresolved</x:v>
      </x:c>
      <x:c r="Z216" s="4" t="str">
        <x:v>Cooking</x:v>
      </x:c>
      <x:c r="AA216" s="4" t="str">
        <x:v>Ceramic</x:v>
      </x:c>
      <x:c r="AB216" s="4" t="str">
        <x:v>Solid part</x:v>
      </x:c>
      <x:c r="AC216" s="4" t="str">
        <x:v>Proposal</x:v>
      </x:c>
      <x:c r="AD216" s="4" t="str">
        <x:f>LOWER(A216&amp;"; "&amp;B216&amp;"; "&amp;C216&amp;"; "&amp;D216&amp;"; "&amp;W216&amp;"; "&amp;X216&amp;"; "&amp;Y216&amp;"; "&amp;Z216&amp;"; "&amp;AA216&amp;"; "&amp;AB216&amp;"; "&amp;AC216&amp;"; "&amp;U216)</x:f>
        <x:v>proposal.fire.cooking_pot; ceramic cooking pot; equipment; cooking vessel; tool; finished item; manufactured / unresolved; cooking; ceramic; solid part; proposal; </x:v>
      </x:c>
      <x:c r="AE216" s="4" t="str">
        <x:v>Author direction establishes stone families. Source mechanisms remain proposal-stage; specific equipment functions are proposals.</x:v>
      </x:c>
      <x:c r="AF216" s="4" t="str">
        <x:v>Finished item</x:v>
      </x:c>
      <x:c r="AG216" s="4" t="str">
        <x:v>Completed gear, vessel, food or tool can stop at its chosen material tier; it need not climb to T4.</x:v>
      </x:c>
      <x:c r="AH216" s="4" t="str">
        <x:v>Unassigned</x:v>
      </x:c>
    </x:row>
    <x:row r="217" ht="115" customHeight="1">
      <x:c r="A217" s="9" t="str">
        <x:v>proposal.fire.cooking_slab</x:v>
      </x:c>
      <x:c r="B217" s="9" t="str">
        <x:v>Cooking stone slab</x:v>
      </x:c>
      <x:c r="C217" s="9" t="str">
        <x:v>Equipment</x:v>
      </x:c>
      <x:c r="D217" s="9" t="str">
        <x:v>Cooking tool</x:v>
      </x:c>
      <x:c r="E217" s="9" t="str">
        <x:v>New proposal</x:v>
      </x:c>
      <x:c r="F217" s="9" t="str">
        <x:v>Selected worked stone surface candidate for food heating.</x:v>
      </x:c>
      <x:c r="G217" s="9" t="str">
        <x:v>Unassigned; no new slot approved</x:v>
      </x:c>
      <x:c r="H217" s="9" t="str">
        <x:v>Carrier / placement policy TBD</x:v>
      </x:c>
      <x:c r="I217" s="13"/>
      <x:c r="J217" s="15"/>
      <x:c r="K217" s="9" t="str">
        <x:v>Gathering, specialist craft or trade; exact acquisition TBD</x:v>
      </x:c>
      <x:c r="L217" s="9" t="str">
        <x:v>No cooking, ignition or oxygen-release recipe authored</x:v>
      </x:c>
      <x:c r="M217" s="9" t="str">
        <x:v>Not implemented</x:v>
      </x:c>
      <x:c r="N217" s="9" t="str">
        <x:v>Stone selection and thermal behavior undefined; oxygen/glow stones are not automatically suitable cooking surfaces.</x:v>
      </x:c>
      <x:c r="O217" s="17"/>
      <x:c r="P217" s="17"/>
      <x:c r="Q217" s="17"/>
      <x:c r="R217" s="17"/>
      <x:c r="S217" s="17"/>
      <x:c r="T217" s="9" t="str">
        <x:v>Names are descriptive working labels. Fire-dependent uses are constrained by source atmosphere proposals; no oxygen/flame simulation, nutrition bonus or automatic detoxification.</x:v>
      </x:c>
      <x:c r="U217" s="11"/>
      <x:c r="V217" s="9" t="str">
        <x:v>New game proposal from author cooking direction</x:v>
      </x:c>
      <x:c r="W217" s="4" t="str">
        <x:v>Tool</x:v>
      </x:c>
      <x:c r="X217" s="4" t="str">
        <x:v>Processed intermediate</x:v>
      </x:c>
      <x:c r="Y217" s="4" t="str">
        <x:v>Geological</x:v>
      </x:c>
      <x:c r="Z217" s="4" t="str">
        <x:v>Cooking</x:v>
      </x:c>
      <x:c r="AA217" s="4" t="str">
        <x:v>Mineral</x:v>
      </x:c>
      <x:c r="AB217" s="4" t="str">
        <x:v>Panel</x:v>
      </x:c>
      <x:c r="AC217" s="4" t="str">
        <x:v>Proposal</x:v>
      </x:c>
      <x:c r="AD217" s="4" t="str">
        <x:f>LOWER(A217&amp;"; "&amp;B217&amp;"; "&amp;C217&amp;"; "&amp;D217&amp;"; "&amp;W217&amp;"; "&amp;X217&amp;"; "&amp;Y217&amp;"; "&amp;Z217&amp;"; "&amp;AA217&amp;"; "&amp;AB217&amp;"; "&amp;AC217&amp;"; "&amp;U217)</x:f>
        <x:v>proposal.fire.cooking_slab; cooking stone slab; equipment; cooking tool; tool; processed intermediate; geological; cooking; mineral; panel; proposal; </x:v>
      </x:c>
      <x:c r="AE217" s="4" t="str">
        <x:v>Author direction establishes stone families. Source mechanisms remain proposal-stage; specific equipment functions are proposals.</x:v>
      </x:c>
      <x:c r="AF217" s="4" t="str">
        <x:v>Finished item</x:v>
      </x:c>
      <x:c r="AG217" s="4" t="str">
        <x:v>Completed gear, vessel, food or tool can stop at its chosen material tier; it need not climb to T4.</x:v>
      </x:c>
      <x:c r="AH217" s="4" t="str">
        <x:v>Unassigned</x:v>
      </x:c>
    </x:row>
    <x:row r="218" ht="115" customHeight="1">
      <x:c r="A218" s="9" t="str">
        <x:v>proposal.fire.lidded_pan</x:v>
      </x:c>
      <x:c r="B218" s="9" t="str">
        <x:v>Lidded cooking pan</x:v>
      </x:c>
      <x:c r="C218" s="9" t="str">
        <x:v>Equipment</x:v>
      </x:c>
      <x:c r="D218" s="9" t="str">
        <x:v>Cooking vessel</x:v>
      </x:c>
      <x:c r="E218" s="9" t="str">
        <x:v>New proposal</x:v>
      </x:c>
      <x:c r="F218" s="9" t="str">
        <x:v>Metal cooking pan with matched cover for controlled heating.</x:v>
      </x:c>
      <x:c r="G218" s="9" t="str">
        <x:v>Unassigned; no new slot approved</x:v>
      </x:c>
      <x:c r="H218" s="9" t="str">
        <x:v>Carrier / placement policy TBD</x:v>
      </x:c>
      <x:c r="I218" s="13"/>
      <x:c r="J218" s="15"/>
      <x:c r="K218" s="9" t="str">
        <x:v>Gathering, specialist craft or trade; exact acquisition TBD</x:v>
      </x:c>
      <x:c r="L218" s="9" t="str">
        <x:v>No cooking, ignition or oxygen-release recipe authored</x:v>
      </x:c>
      <x:c r="M218" s="9" t="str">
        <x:v>Not implemented</x:v>
      </x:c>
      <x:c r="N218" s="9" t="str">
        <x:v>Lid is part of the item family; heat requirements and food process unresolved. No water-boiling recipe assumed.</x:v>
      </x:c>
      <x:c r="O218" s="17"/>
      <x:c r="P218" s="17"/>
      <x:c r="Q218" s="17"/>
      <x:c r="R218" s="17"/>
      <x:c r="S218" s="17"/>
      <x:c r="T218" s="9" t="str">
        <x:v>Names are descriptive working labels. Fire-dependent uses are constrained by source atmosphere proposals; no oxygen/flame simulation, nutrition bonus or automatic detoxification.</x:v>
      </x:c>
      <x:c r="U218" s="11"/>
      <x:c r="V218" s="9" t="str">
        <x:v>https://github.com/sleepyseamonster/Arc-Dust/blob/f6f98515c005dc3c73cccd9cbc031691745740c6/02-Arc-Dust-Worldbuilding/world/geography/atmosphere.md</x:v>
      </x:c>
      <x:c r="W218" s="4" t="str">
        <x:v>Tool</x:v>
      </x:c>
      <x:c r="X218" s="4" t="str">
        <x:v>Finished item</x:v>
      </x:c>
      <x:c r="Y218" s="4" t="str">
        <x:v>Manufactured / unresolved</x:v>
      </x:c>
      <x:c r="Z218" s="4" t="str">
        <x:v>Cooking</x:v>
      </x:c>
      <x:c r="AA218" s="4" t="str">
        <x:v>Metal</x:v>
      </x:c>
      <x:c r="AB218" s="4" t="str">
        <x:v>Assembly</x:v>
      </x:c>
      <x:c r="AC218" s="4" t="str">
        <x:v>Proposal</x:v>
      </x:c>
      <x:c r="AD218" s="4" t="str">
        <x:f>LOWER(A218&amp;"; "&amp;B218&amp;"; "&amp;C218&amp;"; "&amp;D218&amp;"; "&amp;W218&amp;"; "&amp;X218&amp;"; "&amp;Y218&amp;"; "&amp;Z218&amp;"; "&amp;AA218&amp;"; "&amp;AB218&amp;"; "&amp;AC218&amp;"; "&amp;U218)</x:f>
        <x:v>proposal.fire.lidded_pan; lidded cooking pan; equipment; cooking vessel; tool; finished item; manufactured / unresolved; cooking; metal; assembly; proposal; </x:v>
      </x:c>
      <x:c r="AE218" s="4" t="str">
        <x:v>Author direction establishes stone families. Source mechanisms remain proposal-stage; specific equipment functions are proposals.</x:v>
      </x:c>
      <x:c r="AF218" s="4" t="str">
        <x:v>Finished item</x:v>
      </x:c>
      <x:c r="AG218" s="4" t="str">
        <x:v>Completed gear, vessel, food or tool can stop at its chosen material tier; it need not climb to T4.</x:v>
      </x:c>
      <x:c r="AH218" s="4" t="str">
        <x:v>Unassigned</x:v>
      </x:c>
    </x:row>
    <x:row r="219" ht="115" customHeight="1">
      <x:c r="A219" s="9" t="str">
        <x:v>proposal.fire.rack</x:v>
      </x:c>
      <x:c r="B219" s="9" t="str">
        <x:v>Cooking rack</x:v>
      </x:c>
      <x:c r="C219" s="9" t="str">
        <x:v>Equipment</x:v>
      </x:c>
      <x:c r="D219" s="9" t="str">
        <x:v>Cooking tool</x:v>
      </x:c>
      <x:c r="E219" s="9" t="str">
        <x:v>New proposal</x:v>
      </x:c>
      <x:c r="F219" s="9" t="str">
        <x:v>Open rack for a specifically supported food-heating method.</x:v>
      </x:c>
      <x:c r="G219" s="9" t="str">
        <x:v>Unassigned; no new slot approved</x:v>
      </x:c>
      <x:c r="H219" s="9" t="str">
        <x:v>Carrier / placement policy TBD</x:v>
      </x:c>
      <x:c r="I219" s="13"/>
      <x:c r="J219" s="15"/>
      <x:c r="K219" s="9" t="str">
        <x:v>Gathering, specialist craft or trade; exact acquisition TBD</x:v>
      </x:c>
      <x:c r="L219" s="9" t="str">
        <x:v>No cooking, ignition or oxygen-release recipe authored</x:v>
      </x:c>
      <x:c r="M219" s="9" t="str">
        <x:v>Not implemented</x:v>
      </x:c>
      <x:c r="N219" s="9" t="str">
        <x:v>Compatible food and heat source TBD; cooking does not automatically detoxify fauna.</x:v>
      </x:c>
      <x:c r="O219" s="17"/>
      <x:c r="P219" s="17"/>
      <x:c r="Q219" s="17"/>
      <x:c r="R219" s="17"/>
      <x:c r="S219" s="17"/>
      <x:c r="T219" s="9" t="str">
        <x:v>Names are descriptive working labels. Fire-dependent uses are constrained by source atmosphere proposals; no oxygen/flame simulation, nutrition bonus or automatic detoxification.</x:v>
      </x:c>
      <x:c r="U219" s="11"/>
      <x:c r="V219" s="9" t="str">
        <x:v>https://github.com/sleepyseamonster/Arc-Dust/blob/f6f98515c005dc3c73cccd9cbc031691745740c6/02-Arc-Dust-Worldbuilding/world/geography/atmosphere.md</x:v>
      </x:c>
      <x:c r="W219" s="4" t="str">
        <x:v>Tool</x:v>
      </x:c>
      <x:c r="X219" s="4" t="str">
        <x:v>Finished item</x:v>
      </x:c>
      <x:c r="Y219" s="4" t="str">
        <x:v>Manufactured / unresolved</x:v>
      </x:c>
      <x:c r="Z219" s="4" t="str">
        <x:v>Cooking</x:v>
      </x:c>
      <x:c r="AA219" s="4" t="str">
        <x:v>Metal</x:v>
      </x:c>
      <x:c r="AB219" s="4" t="str">
        <x:v>Assembly</x:v>
      </x:c>
      <x:c r="AC219" s="4" t="str">
        <x:v>Proposal</x:v>
      </x:c>
      <x:c r="AD219" s="4" t="str">
        <x:f>LOWER(A219&amp;"; "&amp;B219&amp;"; "&amp;C219&amp;"; "&amp;D219&amp;"; "&amp;W219&amp;"; "&amp;X219&amp;"; "&amp;Y219&amp;"; "&amp;Z219&amp;"; "&amp;AA219&amp;"; "&amp;AB219&amp;"; "&amp;AC219&amp;"; "&amp;U219)</x:f>
        <x:v>proposal.fire.rack; cooking rack; equipment; cooking tool; tool; finished item; manufactured / unresolved; cooking; metal; assembly; proposal; </x:v>
      </x:c>
      <x:c r="AE219" s="4" t="str">
        <x:v>Author direction establishes stone families. Source mechanisms remain proposal-stage; specific equipment functions are proposals.</x:v>
      </x:c>
      <x:c r="AF219" s="4" t="str">
        <x:v>Finished item</x:v>
      </x:c>
      <x:c r="AG219" s="4" t="str">
        <x:v>Completed gear, vessel, food or tool can stop at its chosen material tier; it need not climb to T4.</x:v>
      </x:c>
      <x:c r="AH219" s="4" t="str">
        <x:v>Unassigned</x:v>
      </x:c>
    </x:row>
    <x:row r="220" ht="115" customHeight="1">
      <x:c r="A220" s="9" t="str">
        <x:v>proposal.fire.pot_stand</x:v>
      </x:c>
      <x:c r="B220" s="9" t="str">
        <x:v>Cooking pot stand</x:v>
      </x:c>
      <x:c r="C220" s="9" t="str">
        <x:v>Equipment</x:v>
      </x:c>
      <x:c r="D220" s="9" t="str">
        <x:v>Cooking tool</x:v>
      </x:c>
      <x:c r="E220" s="9" t="str">
        <x:v>New proposal</x:v>
      </x:c>
      <x:c r="F220" s="9" t="str">
        <x:v>Support a compatible vessel above a managed heat source.</x:v>
      </x:c>
      <x:c r="G220" s="9" t="str">
        <x:v>Unassigned; no new slot approved</x:v>
      </x:c>
      <x:c r="H220" s="9" t="str">
        <x:v>Carrier / placement policy TBD</x:v>
      </x:c>
      <x:c r="I220" s="13"/>
      <x:c r="J220" s="15"/>
      <x:c r="K220" s="9" t="str">
        <x:v>Gathering, specialist craft or trade; exact acquisition TBD</x:v>
      </x:c>
      <x:c r="L220" s="9" t="str">
        <x:v>No cooking, ignition or oxygen-release recipe authored</x:v>
      </x:c>
      <x:c r="M220" s="9" t="str">
        <x:v>Not implemented</x:v>
      </x:c>
      <x:c r="N220" s="9" t="str">
        <x:v>Footprint, heat clearance and field deployment unresolved; no free-standing workstation service implied.</x:v>
      </x:c>
      <x:c r="O220" s="17"/>
      <x:c r="P220" s="17"/>
      <x:c r="Q220" s="17"/>
      <x:c r="R220" s="17"/>
      <x:c r="S220" s="17"/>
      <x:c r="T220" s="9" t="str">
        <x:v>Names are descriptive working labels. Fire-dependent uses are constrained by source atmosphere proposals; no oxygen/flame simulation, nutrition bonus or automatic detoxification.</x:v>
      </x:c>
      <x:c r="U220" s="11"/>
      <x:c r="V220" s="9" t="str">
        <x:v>https://github.com/sleepyseamonster/Arc-Dust/blob/f6f98515c005dc3c73cccd9cbc031691745740c6/02-Arc-Dust-Worldbuilding/world/geography/atmosphere.md</x:v>
      </x:c>
      <x:c r="W220" s="4" t="str">
        <x:v>Tool</x:v>
      </x:c>
      <x:c r="X220" s="4" t="str">
        <x:v>Finished item</x:v>
      </x:c>
      <x:c r="Y220" s="4" t="str">
        <x:v>Manufactured / unresolved</x:v>
      </x:c>
      <x:c r="Z220" s="4" t="str">
        <x:v>Cooking</x:v>
      </x:c>
      <x:c r="AA220" s="4" t="str">
        <x:v>Metal</x:v>
      </x:c>
      <x:c r="AB220" s="4" t="str">
        <x:v>Assembly</x:v>
      </x:c>
      <x:c r="AC220" s="4" t="str">
        <x:v>Proposal</x:v>
      </x:c>
      <x:c r="AD220" s="4" t="str">
        <x:f>LOWER(A220&amp;"; "&amp;B220&amp;"; "&amp;C220&amp;"; "&amp;D220&amp;"; "&amp;W220&amp;"; "&amp;X220&amp;"; "&amp;Y220&amp;"; "&amp;Z220&amp;"; "&amp;AA220&amp;"; "&amp;AB220&amp;"; "&amp;AC220&amp;"; "&amp;U220)</x:f>
        <x:v>proposal.fire.pot_stand; cooking pot stand; equipment; cooking tool; tool; finished item; manufactured / unresolved; cooking; metal; assembly; proposal; </x:v>
      </x:c>
      <x:c r="AE220" s="4" t="str">
        <x:v>Author direction establishes stone families. Source mechanisms remain proposal-stage; specific equipment functions are proposals.</x:v>
      </x:c>
      <x:c r="AF220" s="4" t="str">
        <x:v>Finished item</x:v>
      </x:c>
      <x:c r="AG220" s="4" t="str">
        <x:v>Completed gear, vessel, food or tool can stop at its chosen material tier; it need not climb to T4.</x:v>
      </x:c>
      <x:c r="AH220" s="4" t="str">
        <x:v>Unassigned</x:v>
      </x:c>
    </x:row>
    <x:row r="221" ht="115" customHeight="1">
      <x:c r="A221" s="9" t="str">
        <x:v>proposal.fire.tongs</x:v>
      </x:c>
      <x:c r="B221" s="9" t="str">
        <x:v>Cooking tongs</x:v>
      </x:c>
      <x:c r="C221" s="9" t="str">
        <x:v>Equipment</x:v>
      </x:c>
      <x:c r="D221" s="9" t="str">
        <x:v>Cooking tool</x:v>
      </x:c>
      <x:c r="E221" s="9" t="str">
        <x:v>New proposal</x:v>
      </x:c>
      <x:c r="F221" s="9" t="str">
        <x:v>Handle compatible hot cooking items.</x:v>
      </x:c>
      <x:c r="G221" s="9" t="str">
        <x:v>Unassigned; no new slot approved</x:v>
      </x:c>
      <x:c r="H221" s="9" t="str">
        <x:v>Carrier / placement policy TBD</x:v>
      </x:c>
      <x:c r="I221" s="13"/>
      <x:c r="J221" s="15"/>
      <x:c r="K221" s="9" t="str">
        <x:v>Gathering, specialist craft or trade; exact acquisition TBD</x:v>
      </x:c>
      <x:c r="L221" s="9" t="str">
        <x:v>No cooking, ignition or oxygen-release recipe authored</x:v>
      </x:c>
      <x:c r="M221" s="9" t="str">
        <x:v>Not implemented</x:v>
      </x:c>
      <x:c r="N221" s="9" t="str">
        <x:v>Contact surfaces, reach and handling behavior TBD; no automatic immunity to heat.</x:v>
      </x:c>
      <x:c r="O221" s="17"/>
      <x:c r="P221" s="17"/>
      <x:c r="Q221" s="17"/>
      <x:c r="R221" s="17"/>
      <x:c r="S221" s="17"/>
      <x:c r="T221" s="9" t="str">
        <x:v>Names are descriptive working labels. Fire-dependent uses are constrained by source atmosphere proposals; no oxygen/flame simulation, nutrition bonus or automatic detoxification.</x:v>
      </x:c>
      <x:c r="U221" s="11"/>
      <x:c r="V221" s="9" t="str">
        <x:v>New game proposal from author cooking direction</x:v>
      </x:c>
      <x:c r="W221" s="4" t="str">
        <x:v>Tool</x:v>
      </x:c>
      <x:c r="X221" s="4" t="str">
        <x:v>Finished item</x:v>
      </x:c>
      <x:c r="Y221" s="4" t="str">
        <x:v>Manufactured / unresolved</x:v>
      </x:c>
      <x:c r="Z221" s="4" t="str">
        <x:v>Cooking</x:v>
      </x:c>
      <x:c r="AA221" s="4" t="str">
        <x:v>Metal</x:v>
      </x:c>
      <x:c r="AB221" s="4" t="str">
        <x:v>Assembly</x:v>
      </x:c>
      <x:c r="AC221" s="4" t="str">
        <x:v>Proposal</x:v>
      </x:c>
      <x:c r="AD221" s="4" t="str">
        <x:f>LOWER(A221&amp;"; "&amp;B221&amp;"; "&amp;C221&amp;"; "&amp;D221&amp;"; "&amp;W221&amp;"; "&amp;X221&amp;"; "&amp;Y221&amp;"; "&amp;Z221&amp;"; "&amp;AA221&amp;"; "&amp;AB221&amp;"; "&amp;AC221&amp;"; "&amp;U221)</x:f>
        <x:v>proposal.fire.tongs; cooking tongs; equipment; cooking tool; tool; finished item; manufactured / unresolved; cooking; metal; assembly; proposal; </x:v>
      </x:c>
      <x:c r="AE221" s="4" t="str">
        <x:v>Author direction establishes stone families. Source mechanisms remain proposal-stage; specific equipment functions are proposals.</x:v>
      </x:c>
      <x:c r="AF221" s="4" t="str">
        <x:v>Finished item</x:v>
      </x:c>
      <x:c r="AG221" s="4" t="str">
        <x:v>Completed gear, vessel, food or tool can stop at its chosen material tier; it need not climb to T4.</x:v>
      </x:c>
      <x:c r="AH221" s="4" t="str">
        <x:v>Unassigned</x:v>
      </x:c>
    </x:row>
    <x:row r="222" ht="115" customHeight="1">
      <x:c r="A222" s="9" t="str">
        <x:v>proposal.fire.firebox</x:v>
      </x:c>
      <x:c r="B222" s="9" t="str">
        <x:v>Managed cooking firebox</x:v>
      </x:c>
      <x:c r="C222" s="9" t="str">
        <x:v>Equipment</x:v>
      </x:c>
      <x:c r="D222" s="9" t="str">
        <x:v>Fire management</x:v>
      </x:c>
      <x:c r="E222" s="9" t="str">
        <x:v>New proposal</x:v>
      </x:c>
      <x:c r="F222" s="9" t="str">
        <x:v>Contained fire-bed assembly candidate for a chosen low-oxygen cooking setup.</x:v>
      </x:c>
      <x:c r="G222" s="9" t="str">
        <x:v>Unassigned; no new slot approved</x:v>
      </x:c>
      <x:c r="H222" s="9" t="str">
        <x:v>Carrier / placement policy TBD</x:v>
      </x:c>
      <x:c r="I222" s="13"/>
      <x:c r="J222" s="15"/>
      <x:c r="K222" s="9" t="str">
        <x:v>Gathering, specialist craft or trade; exact acquisition TBD</x:v>
      </x:c>
      <x:c r="L222" s="9" t="str">
        <x:v>No cooking, ignition or oxygen-release recipe authored</x:v>
      </x:c>
      <x:c r="M222" s="9" t="str">
        <x:v>Not implemented</x:v>
      </x:c>
      <x:c r="N222" s="9" t="str">
        <x:v>Fuel, intake, exhaust and usable surroundings need design. A box does not create oxygen or make a sealed camp safe.</x:v>
      </x:c>
      <x:c r="O222" s="17"/>
      <x:c r="P222" s="17"/>
      <x:c r="Q222" s="17"/>
      <x:c r="R222" s="17"/>
      <x:c r="S222" s="17"/>
      <x:c r="T222" s="9" t="str">
        <x:v>Names are descriptive working labels. Fire-dependent uses are constrained by source atmosphere proposals; no oxygen/flame simulation, nutrition bonus or automatic detoxification.</x:v>
      </x:c>
      <x:c r="U222" s="11" t="str">
        <x:v>fire management</x:v>
      </x:c>
      <x:c r="V222" s="9" t="str">
        <x:v>https://github.com/sleepyseamonster/Arc-Dust/blob/f6f98515c005dc3c73cccd9cbc031691745740c6/02-Arc-Dust-Worldbuilding/world/geography/atmosphere.md</x:v>
      </x:c>
      <x:c r="W222" s="4" t="str">
        <x:v>Tool</x:v>
      </x:c>
      <x:c r="X222" s="4" t="str">
        <x:v>Finished item</x:v>
      </x:c>
      <x:c r="Y222" s="4" t="str">
        <x:v>Manufactured / unresolved</x:v>
      </x:c>
      <x:c r="Z222" s="4" t="str">
        <x:v>Cooking</x:v>
      </x:c>
      <x:c r="AA222" s="4" t="str">
        <x:v>Mixed / unresolved</x:v>
      </x:c>
      <x:c r="AB222" s="4" t="str">
        <x:v>Assembly</x:v>
      </x:c>
      <x:c r="AC222" s="4" t="str">
        <x:v>Proposal</x:v>
      </x:c>
      <x:c r="AD222" s="4" t="str">
        <x:f>LOWER(A222&amp;"; "&amp;B222&amp;"; "&amp;C222&amp;"; "&amp;D222&amp;"; "&amp;W222&amp;"; "&amp;X222&amp;"; "&amp;Y222&amp;"; "&amp;Z222&amp;"; "&amp;AA222&amp;"; "&amp;AB222&amp;"; "&amp;AC222&amp;"; "&amp;U222)</x:f>
        <x:v>proposal.fire.firebox; managed cooking firebox; equipment; fire management; tool; finished item; manufactured / unresolved; cooking; mixed / unresolved; assembly; proposal; fire management</x:v>
      </x:c>
      <x:c r="AE222" s="4" t="str">
        <x:v>Author direction establishes stone families. Source mechanisms remain proposal-stage; specific equipment functions are proposals.</x:v>
      </x:c>
      <x:c r="AF222" s="4" t="str">
        <x:v>Finished item</x:v>
      </x:c>
      <x:c r="AG222" s="4" t="str">
        <x:v>Completed gear, vessel, food or tool can stop at its chosen material tier; it need not climb to T4.</x:v>
      </x:c>
      <x:c r="AH222" s="4" t="str">
        <x:v>Unassigned</x:v>
      </x:c>
    </x:row>
    <x:row r="223" ht="115" customHeight="1">
      <x:c r="A223" s="9" t="str">
        <x:v>proposal.fire.wind_baffle</x:v>
      </x:c>
      <x:c r="B223" s="9" t="str">
        <x:v>Cooking wind baffle</x:v>
      </x:c>
      <x:c r="C223" s="9" t="str">
        <x:v>Crafting components</x:v>
      </x:c>
      <x:c r="D223" s="9" t="str">
        <x:v>Fire management</x:v>
      </x:c>
      <x:c r="E223" s="9" t="str">
        <x:v>New proposal</x:v>
      </x:c>
      <x:c r="F223" s="9" t="str">
        <x:v>Shaped screen candidate to reduce disruptive crosswind around a cooking setup.</x:v>
      </x:c>
      <x:c r="G223" s="9" t="str">
        <x:v>Unassigned; no new slot approved</x:v>
      </x:c>
      <x:c r="H223" s="9" t="str">
        <x:v>Carrier / placement policy TBD</x:v>
      </x:c>
      <x:c r="I223" s="13"/>
      <x:c r="J223" s="15"/>
      <x:c r="K223" s="9" t="str">
        <x:v>Gathering, specialist craft or trade; exact acquisition TBD</x:v>
      </x:c>
      <x:c r="L223" s="9" t="str">
        <x:v>No cooking, ignition or oxygen-release recipe authored</x:v>
      </x:c>
      <x:c r="M223" s="9" t="str">
        <x:v>Not implemented</x:v>
      </x:c>
      <x:c r="N223" s="9" t="str">
        <x:v>Airflow and exhaust must remain part of design; wind protection must not be treated as airtight enclosure.</x:v>
      </x:c>
      <x:c r="O223" s="17"/>
      <x:c r="P223" s="17"/>
      <x:c r="Q223" s="17"/>
      <x:c r="R223" s="17"/>
      <x:c r="S223" s="17"/>
      <x:c r="T223" s="9" t="str">
        <x:v>Names are descriptive working labels. Fire-dependent uses are constrained by source atmosphere proposals; no oxygen/flame simulation, nutrition bonus or automatic detoxification.</x:v>
      </x:c>
      <x:c r="U223" s="11" t="str">
        <x:v>cooking</x:v>
      </x:c>
      <x:c r="V223" s="9" t="str">
        <x:v>https://github.com/sleepyseamonster/Arc-Dust/blob/f6f98515c005dc3c73cccd9cbc031691745740c6/02-Arc-Dust-Worldbuilding/world/geography/atmosphere.md</x:v>
      </x:c>
      <x:c r="W223" s="4" t="str">
        <x:v>Crafting component</x:v>
      </x:c>
      <x:c r="X223" s="4" t="str">
        <x:v>Processed intermediate</x:v>
      </x:c>
      <x:c r="Y223" s="4" t="str">
        <x:v>Manufactured / unresolved</x:v>
      </x:c>
      <x:c r="Z223" s="4" t="str">
        <x:v>Fire management</x:v>
      </x:c>
      <x:c r="AA223" s="4" t="str">
        <x:v>Metal</x:v>
      </x:c>
      <x:c r="AB223" s="4" t="str">
        <x:v>Panel</x:v>
      </x:c>
      <x:c r="AC223" s="4" t="str">
        <x:v>Proposal</x:v>
      </x:c>
      <x:c r="AD223" s="4" t="str">
        <x:f>LOWER(A223&amp;"; "&amp;B223&amp;"; "&amp;C223&amp;"; "&amp;D223&amp;"; "&amp;W223&amp;"; "&amp;X223&amp;"; "&amp;Y223&amp;"; "&amp;Z223&amp;"; "&amp;AA223&amp;"; "&amp;AB223&amp;"; "&amp;AC223&amp;"; "&amp;U223)</x:f>
        <x:v>proposal.fire.wind_baffle; cooking wind baffle; crafting components; fire management; crafting component; processed intermediate; manufactured / unresolved; fire management; metal; panel; proposal; cooking</x:v>
      </x:c>
      <x:c r="AE223" s="4" t="str">
        <x:v>Author direction establishes stone families. Source mechanisms remain proposal-stage; specific equipment functions are proposals.</x:v>
      </x:c>
      <x:c r="AF223" s="4" t="str">
        <x:v>Unassigned</x:v>
      </x:c>
      <x:c r="AG223" s="4" t="str">
        <x:v>Choose a material/part route before assigning a tier. Processing-stage labels alone do not prove chain depth.</x:v>
      </x:c>
      <x:c r="AH223" s="4" t="str">
        <x:v>Not applicable</x:v>
      </x:c>
    </x:row>
    <x:row r="224" ht="115" customHeight="1">
      <x:c r="A224" s="9" t="str">
        <x:v>proposal.fire.draft_collar</x:v>
      </x:c>
      <x:c r="B224" s="9" t="str">
        <x:v>Cooking draft collar</x:v>
      </x:c>
      <x:c r="C224" s="9" t="str">
        <x:v>Crafting components</x:v>
      </x:c>
      <x:c r="D224" s="9" t="str">
        <x:v>Fire management</x:v>
      </x:c>
      <x:c r="E224" s="9" t="str">
        <x:v>New proposal</x:v>
      </x:c>
      <x:c r="F224" s="9" t="str">
        <x:v>Fitted intake/draft part candidate for a compatible cooking firebox.</x:v>
      </x:c>
      <x:c r="G224" s="9" t="str">
        <x:v>Unassigned; no new slot approved</x:v>
      </x:c>
      <x:c r="H224" s="9" t="str">
        <x:v>Carrier / placement policy TBD</x:v>
      </x:c>
      <x:c r="I224" s="13"/>
      <x:c r="J224" s="15"/>
      <x:c r="K224" s="9" t="str">
        <x:v>Gathering, specialist craft or trade; exact acquisition TBD</x:v>
      </x:c>
      <x:c r="L224" s="9" t="str">
        <x:v>No cooking, ignition or oxygen-release recipe authored</x:v>
      </x:c>
      <x:c r="M224" s="9" t="str">
        <x:v>Not implemented</x:v>
      </x:c>
      <x:c r="N224" s="9" t="str">
        <x:v>Proposed small-cooker adaptation of source draft engineering, not a proven design or oxygen-generating device.</x:v>
      </x:c>
      <x:c r="O224" s="17"/>
      <x:c r="P224" s="17"/>
      <x:c r="Q224" s="17"/>
      <x:c r="R224" s="17"/>
      <x:c r="S224" s="17"/>
      <x:c r="T224" s="9" t="str">
        <x:v>Names are descriptive working labels. Fire-dependent uses are constrained by source atmosphere proposals; no oxygen/flame simulation, nutrition bonus or automatic detoxification.</x:v>
      </x:c>
      <x:c r="U224" s="11" t="str">
        <x:v>cooking</x:v>
      </x:c>
      <x:c r="V224" s="9" t="str">
        <x:v>https://github.com/sleepyseamonster/Arc-Dust/blob/f6f98515c005dc3c73cccd9cbc031691745740c6/02-Arc-Dust-Worldbuilding/world/geography/atmosphere.md</x:v>
      </x:c>
      <x:c r="W224" s="4" t="str">
        <x:v>Crafting component</x:v>
      </x:c>
      <x:c r="X224" s="4" t="str">
        <x:v>Processed intermediate</x:v>
      </x:c>
      <x:c r="Y224" s="4" t="str">
        <x:v>Manufactured / unresolved</x:v>
      </x:c>
      <x:c r="Z224" s="4" t="str">
        <x:v>Fire management</x:v>
      </x:c>
      <x:c r="AA224" s="4" t="str">
        <x:v>Ceramic</x:v>
      </x:c>
      <x:c r="AB224" s="4" t="str">
        <x:v>Solid part</x:v>
      </x:c>
      <x:c r="AC224" s="4" t="str">
        <x:v>Proposal</x:v>
      </x:c>
      <x:c r="AD224" s="4" t="str">
        <x:f>LOWER(A224&amp;"; "&amp;B224&amp;"; "&amp;C224&amp;"; "&amp;D224&amp;"; "&amp;W224&amp;"; "&amp;X224&amp;"; "&amp;Y224&amp;"; "&amp;Z224&amp;"; "&amp;AA224&amp;"; "&amp;AB224&amp;"; "&amp;AC224&amp;"; "&amp;U224)</x:f>
        <x:v>proposal.fire.draft_collar; cooking draft collar; crafting components; fire management; crafting component; processed intermediate; manufactured / unresolved; fire management; ceramic; solid part; proposal; cooking</x:v>
      </x:c>
      <x:c r="AE224" s="4" t="str">
        <x:v>Author direction establishes stone families. Source mechanisms remain proposal-stage; specific equipment functions are proposals.</x:v>
      </x:c>
      <x:c r="AF224" s="4" t="str">
        <x:v>Unassigned</x:v>
      </x:c>
      <x:c r="AG224" s="4" t="str">
        <x:v>Choose a material/part route before assigning a tier. Processing-stage labels alone do not prove chain depth.</x:v>
      </x:c>
      <x:c r="AH224" s="4" t="str">
        <x:v>Not applicable</x:v>
      </x:c>
    </x:row>
    <x:row r="225" ht="115" customHeight="1">
      <x:c r="A225" s="9" t="str">
        <x:v>proposal.fire.heat_shroud</x:v>
      </x:c>
      <x:c r="B225" s="9" t="str">
        <x:v>Cooking heat shroud</x:v>
      </x:c>
      <x:c r="C225" s="9" t="str">
        <x:v>Crafting components</x:v>
      </x:c>
      <x:c r="D225" s="9" t="str">
        <x:v>Fire management</x:v>
      </x:c>
      <x:c r="E225" s="9" t="str">
        <x:v>New proposal</x:v>
      </x:c>
      <x:c r="F225" s="9" t="str">
        <x:v>Shaped ceramic panel candidate around a selected heat path.</x:v>
      </x:c>
      <x:c r="G225" s="9" t="str">
        <x:v>Unassigned; no new slot approved</x:v>
      </x:c>
      <x:c r="H225" s="9" t="str">
        <x:v>Carrier / placement policy TBD</x:v>
      </x:c>
      <x:c r="I225" s="13"/>
      <x:c r="J225" s="15"/>
      <x:c r="K225" s="9" t="str">
        <x:v>Gathering, specialist craft or trade; exact acquisition TBD</x:v>
      </x:c>
      <x:c r="L225" s="9" t="str">
        <x:v>No cooking, ignition or oxygen-release recipe authored</x:v>
      </x:c>
      <x:c r="M225" s="9" t="str">
        <x:v>Not implemented</x:v>
      </x:c>
      <x:c r="N225" s="9" t="str">
        <x:v>Service grade, mounting and actual heat performance undefined; reuse ceramic lining craft family where possible.</x:v>
      </x:c>
      <x:c r="O225" s="17"/>
      <x:c r="P225" s="17"/>
      <x:c r="Q225" s="17"/>
      <x:c r="R225" s="17"/>
      <x:c r="S225" s="17"/>
      <x:c r="T225" s="9" t="str">
        <x:v>Names are descriptive working labels. Fire-dependent uses are constrained by source atmosphere proposals; no oxygen/flame simulation, nutrition bonus or automatic detoxification.</x:v>
      </x:c>
      <x:c r="U225" s="11" t="str">
        <x:v>protective fabrication</x:v>
      </x:c>
      <x:c r="V225" s="9" t="str">
        <x:v>https://github.com/sleepyseamonster/Arc-Dust/blob/f6f98515c005dc3c73cccd9cbc031691745740c6/02-Arc-Dust-Worldbuilding/world/geography/atmosphere.md</x:v>
      </x:c>
      <x:c r="W225" s="4" t="str">
        <x:v>Crafting component</x:v>
      </x:c>
      <x:c r="X225" s="4" t="str">
        <x:v>Processed intermediate</x:v>
      </x:c>
      <x:c r="Y225" s="4" t="str">
        <x:v>Manufactured / unresolved</x:v>
      </x:c>
      <x:c r="Z225" s="4" t="str">
        <x:v>Cooking</x:v>
      </x:c>
      <x:c r="AA225" s="4" t="str">
        <x:v>Ceramic</x:v>
      </x:c>
      <x:c r="AB225" s="4" t="str">
        <x:v>Panel</x:v>
      </x:c>
      <x:c r="AC225" s="4" t="str">
        <x:v>Proposal</x:v>
      </x:c>
      <x:c r="AD225" s="4" t="str">
        <x:f>LOWER(A225&amp;"; "&amp;B225&amp;"; "&amp;C225&amp;"; "&amp;D225&amp;"; "&amp;W225&amp;"; "&amp;X225&amp;"; "&amp;Y225&amp;"; "&amp;Z225&amp;"; "&amp;AA225&amp;"; "&amp;AB225&amp;"; "&amp;AC225&amp;"; "&amp;U225)</x:f>
        <x:v>proposal.fire.heat_shroud; cooking heat shroud; crafting components; fire management; crafting component; processed intermediate; manufactured / unresolved; cooking; ceramic; panel; proposal; protective fabrication</x:v>
      </x:c>
      <x:c r="AE225" s="4" t="str">
        <x:v>Author direction establishes stone families. Source mechanisms remain proposal-stage; specific equipment functions are proposals.</x:v>
      </x:c>
      <x:c r="AF225" s="4" t="str">
        <x:v>Unassigned</x:v>
      </x:c>
      <x:c r="AG225" s="4" t="str">
        <x:v>Choose a material/part route before assigning a tier. Processing-stage labels alone do not prove chain depth.</x:v>
      </x:c>
      <x:c r="AH225" s="4" t="str">
        <x:v>Not applicable</x:v>
      </x:c>
    </x:row>
    <x:row r="226" ht="115" customHeight="1">
      <x:c r="A226" s="9" t="str">
        <x:v>proposal.fire.glow_holder</x:v>
      </x:c>
      <x:c r="B226" s="9" t="str">
        <x:v>Shuttered glow-stone holder</x:v>
      </x:c>
      <x:c r="C226" s="9" t="str">
        <x:v>Equipment</x:v>
      </x:c>
      <x:c r="D226" s="9" t="str">
        <x:v>Mineral light</x:v>
      </x:c>
      <x:c r="E226" s="9" t="str">
        <x:v>New proposal</x:v>
      </x:c>
      <x:c r="F226" s="9" t="str">
        <x:v>Carrier with a movable cover for a selected glowing stone.</x:v>
      </x:c>
      <x:c r="G226" s="9" t="str">
        <x:v>Unassigned; no new slot approved</x:v>
      </x:c>
      <x:c r="H226" s="9" t="str">
        <x:v>Carrier / placement policy TBD</x:v>
      </x:c>
      <x:c r="I226" s="13"/>
      <x:c r="J226" s="15"/>
      <x:c r="K226" s="9" t="str">
        <x:v>Gathering, specialist craft or trade; exact acquisition TBD</x:v>
      </x:c>
      <x:c r="L226" s="9" t="str">
        <x:v>No cooking, ignition or oxygen-release recipe authored</x:v>
      </x:c>
      <x:c r="M226" s="9" t="str">
        <x:v>Not implemented</x:v>
      </x:c>
      <x:c r="N226" s="9" t="str">
        <x:v>Holder is separate from its stone payload. It may expose or cover light, but does not establish charging, fuel, heat or brightness behavior.</x:v>
      </x:c>
      <x:c r="O226" s="17"/>
      <x:c r="P226" s="17"/>
      <x:c r="Q226" s="17"/>
      <x:c r="R226" s="17"/>
      <x:c r="S226" s="17"/>
      <x:c r="T226" s="9" t="str">
        <x:v>Names are descriptive working labels. Fire-dependent uses are constrained by source atmosphere proposals; no oxygen/flame simulation, nutrition bonus or automatic detoxification.</x:v>
      </x:c>
      <x:c r="U226" s="11"/>
      <x:c r="V226" s="9" t="str">
        <x:v>New game proposal from author glowing-stone direction</x:v>
      </x:c>
      <x:c r="W226" s="4" t="str">
        <x:v>Tool</x:v>
      </x:c>
      <x:c r="X226" s="4" t="str">
        <x:v>Finished item</x:v>
      </x:c>
      <x:c r="Y226" s="4" t="str">
        <x:v>Manufactured / unresolved</x:v>
      </x:c>
      <x:c r="Z226" s="4" t="str">
        <x:v>Illumination</x:v>
      </x:c>
      <x:c r="AA226" s="4" t="str">
        <x:v>Mixed / unresolved</x:v>
      </x:c>
      <x:c r="AB226" s="4" t="str">
        <x:v>Assembly</x:v>
      </x:c>
      <x:c r="AC226" s="4" t="str">
        <x:v>Proposal</x:v>
      </x:c>
      <x:c r="AD226" s="4" t="str">
        <x:f>LOWER(A226&amp;"; "&amp;B226&amp;"; "&amp;C226&amp;"; "&amp;D226&amp;"; "&amp;W226&amp;"; "&amp;X226&amp;"; "&amp;Y226&amp;"; "&amp;Z226&amp;"; "&amp;AA226&amp;"; "&amp;AB226&amp;"; "&amp;AC226&amp;"; "&amp;U226)</x:f>
        <x:v>proposal.fire.glow_holder; shuttered glow-stone holder; equipment; mineral light; tool; finished item; manufactured / unresolved; illumination; mixed / unresolved; assembly; proposal; </x:v>
      </x:c>
      <x:c r="AE226" s="4" t="str">
        <x:v>Author direction establishes stone families. Source mechanisms remain proposal-stage; specific equipment functions are proposals.</x:v>
      </x:c>
      <x:c r="AF226" s="4" t="str">
        <x:v>Finished item</x:v>
      </x:c>
      <x:c r="AG226" s="4" t="str">
        <x:v>Completed gear, vessel, food or tool can stop at its chosen material tier; it need not climb to T4.</x:v>
      </x:c>
      <x:c r="AH226" s="4" t="str">
        <x:v>Unassigned</x:v>
      </x:c>
    </x:row>
    <x:row r="227" ht="115" customHeight="1">
      <x:c r="A227" s="9" t="str">
        <x:v>proposal.lubricant.base</x:v>
      </x:c>
      <x:c r="B227" s="9" t="str">
        <x:v>Clarified faunal lubricant base</x:v>
      </x:c>
      <x:c r="C227" s="9" t="str">
        <x:v>Resources</x:v>
      </x:c>
      <x:c r="D227" s="9" t="str">
        <x:v>Lubricant intermediate</x:v>
      </x:c>
      <x:c r="E227" s="9" t="str">
        <x:v>New proposal</x:v>
      </x:c>
      <x:c r="F227" s="9" t="str">
        <x:v>Select a candidate lubricating liquid fraction from existing joint secretion or a suitable species-specific metabolic fluid.</x:v>
      </x:c>
      <x:c r="G227" s="9" t="str">
        <x:v>None</x:v>
      </x:c>
      <x:c r="H227" s="9" t="str">
        <x:v>Contained chemical cargo; carrier policy TBD</x:v>
      </x:c>
      <x:c r="I227" s="13"/>
      <x:c r="J227" s="15"/>
      <x:c r="K227" s="9" t="str">
        <x:v>Process existing faunal secretions in a specialist workshop; exact species and route TBD</x:v>
      </x:c>
      <x:c r="L227" s="9" t="str">
        <x:v>Proposed stages: segregated collection, separation, selected-fraction preparation, compatible formulation, service-specific testing. No formula or numeric yield.</x:v>
      </x:c>
      <x:c r="M227" s="9" t="str">
        <x:v>Not implemented</x:v>
      </x:c>
      <x:c r="N227" s="9" t="str">
        <x:v>Separate grit, hard-clotting fractions and unwanted chemistry; exact apparatus, stabilization, yield and residual toxicity unresolved.</x:v>
      </x:c>
      <x:c r="O227" s="17"/>
      <x:c r="P227" s="17"/>
      <x:c r="Q227" s="17"/>
      <x:c r="R227" s="17"/>
      <x:c r="S227" s="17"/>
      <x:c r="T227" s="9" t="str">
        <x:v>Toxic industrial chemistry remains separate from food. Quality, batch consistency and specialist refinement may drive value; no price, spoilage or maintenance timer assigned.</x:v>
      </x:c>
      <x:c r="U227" s="11" t="str">
        <x:v>grease; lubricant; fauna chemistry; lubrication</x:v>
      </x:c>
      <x:c r="V227" s="9" t="str">
        <x:v>New game proposal. Source WLD-0061 processing-agent record describes metabolic oil for machinery; source draft/proposal: https://github.com/sleepyseamonster/Arc-Dust/blob/f6f98515c005dc3c73cccd9cbc031691745740c6/02-Arc-Dust-Worldbuilding/world/materials/chemical-processing-agents.md</x:v>
      </x:c>
      <x:c r="W227" s="4" t="str">
        <x:v>Chemical material</x:v>
      </x:c>
      <x:c r="X227" s="4" t="str">
        <x:v>Processed intermediate</x:v>
      </x:c>
      <x:c r="Y227" s="4" t="str">
        <x:v>Fauna</x:v>
      </x:c>
      <x:c r="Z227" s="4" t="str">
        <x:v>Chemical processing</x:v>
      </x:c>
      <x:c r="AA227" s="4" t="str">
        <x:v>Biological chemical</x:v>
      </x:c>
      <x:c r="AB227" s="4" t="str">
        <x:v>Liquid</x:v>
      </x:c>
      <x:c r="AC227" s="4" t="str">
        <x:v>Proposal</x:v>
      </x:c>
      <x:c r="AD227" s="4" t="str">
        <x:f>LOWER(A227&amp;"; "&amp;B227&amp;"; "&amp;C227&amp;"; "&amp;D227&amp;"; "&amp;W227&amp;"; "&amp;X227&amp;"; "&amp;Y227&amp;"; "&amp;Z227&amp;"; "&amp;AA227&amp;"; "&amp;AB227&amp;"; "&amp;AC227&amp;"; "&amp;U227)</x:f>
        <x:v>proposal.lubricant.base; clarified faunal lubricant base; resources; lubricant intermediate; chemical material; processed intermediate; fauna; chemical processing; biological chemical; liquid; proposal; grease; lubricant; fauna chemistry; lubrication</x:v>
      </x:c>
      <x:c r="AE227" s="4" t="str">
        <x:v>Specific formulation is proposed; source oils and existing joint secretion are references, not validated recipes.</x:v>
      </x:c>
      <x:c r="AF227" s="4" t="str">
        <x:v>T1</x:v>
      </x:c>
      <x:c r="AG227" s="4" t="str">
        <x:v>Proposed game manufacturing tier from the candidate routes. Integrated operations may contain many work steps.</x:v>
      </x:c>
      <x:c r="AH227" s="4" t="str">
        <x:v>Not applicable</x:v>
      </x:c>
    </x:row>
    <x:row r="228" ht="115" customHeight="1">
      <x:c r="A228" s="9" t="str">
        <x:v>proposal.lubricant.thickener</x:v>
      </x:c>
      <x:c r="B228" s="9" t="str">
        <x:v>Prepared secretion thickener</x:v>
      </x:c>
      <x:c r="C228" s="9" t="str">
        <x:v>Resources</x:v>
      </x:c>
      <x:c r="D228" s="9" t="str">
        <x:v>Lubricant intermediate</x:v>
      </x:c>
      <x:c r="E228" s="9" t="str">
        <x:v>New proposal</x:v>
      </x:c>
      <x:c r="F228" s="9" t="str">
        <x:v>Selected biological fraction proposed to give a compatible lubricant body and retention.</x:v>
      </x:c>
      <x:c r="G228" s="9" t="str">
        <x:v>None</x:v>
      </x:c>
      <x:c r="H228" s="9" t="str">
        <x:v>Contained chemical cargo; carrier policy TBD</x:v>
      </x:c>
      <x:c r="I228" s="13"/>
      <x:c r="J228" s="15"/>
      <x:c r="K228" s="9" t="str">
        <x:v>Process existing faunal secretions in a specialist workshop; exact species and route TBD</x:v>
      </x:c>
      <x:c r="L228" s="9" t="str">
        <x:v>Proposed stages: segregated collection, separation, selected-fraction preparation, compatible formulation, service-specific testing. No formula or numeric yield.</x:v>
      </x:c>
      <x:c r="M228" s="9" t="str">
        <x:v>Not implemented</x:v>
      </x:c>
      <x:c r="N228" s="9" t="str">
        <x:v>New research candidate, not automatic use of shell glue, husk enzymes, wax or conventional animal fat. It must remain workable rather than cure hard.</x:v>
      </x:c>
      <x:c r="O228" s="17"/>
      <x:c r="P228" s="17"/>
      <x:c r="Q228" s="17"/>
      <x:c r="R228" s="17"/>
      <x:c r="S228" s="17"/>
      <x:c r="T228" s="9" t="str">
        <x:v>Toxic industrial chemistry remains separate from food. Quality, batch consistency and specialist refinement may drive value; no price, spoilage or maintenance timer assigned.</x:v>
      </x:c>
      <x:c r="U228" s="11" t="str">
        <x:v>grease; lubricant; fauna chemistry; lubrication</x:v>
      </x:c>
      <x:c r="V228" s="9" t="str">
        <x:v>New game proposal. Source WLD-0061 processing-agent record describes metabolic oil for machinery; source draft/proposal: https://github.com/sleepyseamonster/Arc-Dust/blob/f6f98515c005dc3c73cccd9cbc031691745740c6/02-Arc-Dust-Worldbuilding/world/materials/chemical-processing-agents.md</x:v>
      </x:c>
      <x:c r="W228" s="4" t="str">
        <x:v>Chemical material</x:v>
      </x:c>
      <x:c r="X228" s="4" t="str">
        <x:v>Processed intermediate</x:v>
      </x:c>
      <x:c r="Y228" s="4" t="str">
        <x:v>Fauna</x:v>
      </x:c>
      <x:c r="Z228" s="4" t="str">
        <x:v>Chemical processing</x:v>
      </x:c>
      <x:c r="AA228" s="4" t="str">
        <x:v>Biological chemical</x:v>
      </x:c>
      <x:c r="AB228" s="4" t="str">
        <x:v>Unresolved</x:v>
      </x:c>
      <x:c r="AC228" s="4" t="str">
        <x:v>Proposal</x:v>
      </x:c>
      <x:c r="AD228" s="4" t="str">
        <x:f>LOWER(A228&amp;"; "&amp;B228&amp;"; "&amp;C228&amp;"; "&amp;D228&amp;"; "&amp;W228&amp;"; "&amp;X228&amp;"; "&amp;Y228&amp;"; "&amp;Z228&amp;"; "&amp;AA228&amp;"; "&amp;AB228&amp;"; "&amp;AC228&amp;"; "&amp;U228)</x:f>
        <x:v>proposal.lubricant.thickener; prepared secretion thickener; resources; lubricant intermediate; chemical material; processed intermediate; fauna; chemical processing; biological chemical; unresolved; proposal; grease; lubricant; fauna chemistry; lubrication</x:v>
      </x:c>
      <x:c r="AE228" s="4" t="str">
        <x:v>Specific formulation is proposed; source oils and existing joint secretion are references, not validated recipes.</x:v>
      </x:c>
      <x:c r="AF228" s="4" t="str">
        <x:v>T1</x:v>
      </x:c>
      <x:c r="AG228" s="4" t="str">
        <x:v>Proposed game manufacturing tier from the candidate routes. Integrated operations may contain many work steps.</x:v>
      </x:c>
      <x:c r="AH228" s="4" t="str">
        <x:v>Not applicable</x:v>
      </x:c>
    </x:row>
    <x:row r="229" ht="115" customHeight="1">
      <x:c r="A229" s="9" t="str">
        <x:v>proposal.lubricant.joint_grease</x:v>
      </x:c>
      <x:c r="B229" s="9" t="str">
        <x:v>Faunal joint grease</x:v>
      </x:c>
      <x:c r="C229" s="9" t="str">
        <x:v>Resources</x:v>
      </x:c>
      <x:c r="D229" s="9" t="str">
        <x:v>Finished lubricant</x:v>
      </x:c>
      <x:c r="E229" s="9" t="str">
        <x:v>New proposal</x:v>
      </x:c>
      <x:c r="F229" s="9" t="str">
        <x:v>Lubricant base plus a compatible prepared thickener, proposed for slow mechanical pivots and heavy joints.</x:v>
      </x:c>
      <x:c r="G229" s="9" t="str">
        <x:v>None</x:v>
      </x:c>
      <x:c r="H229" s="9" t="str">
        <x:v>Contained chemical cargo; carrier policy TBD</x:v>
      </x:c>
      <x:c r="I229" s="13"/>
      <x:c r="J229" s="15"/>
      <x:c r="K229" s="9" t="str">
        <x:v>Process existing faunal secretions in a specialist workshop; exact species and route TBD</x:v>
      </x:c>
      <x:c r="L229" s="9" t="str">
        <x:v>Proposed stages: segregated collection, separation, selected-fraction preparation, compatible formulation, service-specific testing. No formula or numeric yield.</x:v>
      </x:c>
      <x:c r="M229" s="9" t="str">
        <x:v>Not implemented</x:v>
      </x:c>
      <x:c r="N229" s="9" t="str">
        <x:v>Application, consistency, seal fit and service interval TBD. Raw secretion is not ready-to-use universal grease.</x:v>
      </x:c>
      <x:c r="O229" s="17"/>
      <x:c r="P229" s="17"/>
      <x:c r="Q229" s="17"/>
      <x:c r="R229" s="17"/>
      <x:c r="S229" s="17"/>
      <x:c r="T229" s="9" t="str">
        <x:v>Toxic industrial chemistry remains separate from food. Quality, batch consistency and specialist refinement may drive value; no price, spoilage or maintenance timer assigned.</x:v>
      </x:c>
      <x:c r="U229" s="11" t="str">
        <x:v>grease; lubricant; fauna chemistry; equipment repair</x:v>
      </x:c>
      <x:c r="V229" s="9" t="str">
        <x:v>New game proposal. Source WLD-0061 processing-agent record describes metabolic oil for machinery; source draft/proposal: https://github.com/sleepyseamonster/Arc-Dust/blob/f6f98515c005dc3c73cccd9cbc031691745740c6/02-Arc-Dust-Worldbuilding/world/materials/chemical-processing-agents.md</x:v>
      </x:c>
      <x:c r="W229" s="4" t="str">
        <x:v>Chemical material</x:v>
      </x:c>
      <x:c r="X229" s="4" t="str">
        <x:v>Finished item</x:v>
      </x:c>
      <x:c r="Y229" s="4" t="str">
        <x:v>Fauna</x:v>
      </x:c>
      <x:c r="Z229" s="4" t="str">
        <x:v>Lubrication</x:v>
      </x:c>
      <x:c r="AA229" s="4" t="str">
        <x:v>Biological chemical</x:v>
      </x:c>
      <x:c r="AB229" s="4" t="str">
        <x:v>Paste</x:v>
      </x:c>
      <x:c r="AC229" s="4" t="str">
        <x:v>Proposal</x:v>
      </x:c>
      <x:c r="AD229" s="4" t="str">
        <x:f>LOWER(A229&amp;"; "&amp;B229&amp;"; "&amp;C229&amp;"; "&amp;D229&amp;"; "&amp;W229&amp;"; "&amp;X229&amp;"; "&amp;Y229&amp;"; "&amp;Z229&amp;"; "&amp;AA229&amp;"; "&amp;AB229&amp;"; "&amp;AC229&amp;"; "&amp;U229)</x:f>
        <x:v>proposal.lubricant.joint_grease; faunal joint grease; resources; finished lubricant; chemical material; finished item; fauna; lubrication; biological chemical; paste; proposal; grease; lubricant; fauna chemistry; equipment repair</x:v>
      </x:c>
      <x:c r="AE229" s="4" t="str">
        <x:v>Specific formulation is proposed; source oils and existing joint secretion are references, not validated recipes.</x:v>
      </x:c>
      <x:c r="AF229" s="4" t="str">
        <x:v>T2</x:v>
      </x:c>
      <x:c r="AG229" s="4" t="str">
        <x:v>Proposed game manufacturing tier from the candidate routes. Integrated operations may contain many work steps.</x:v>
      </x:c>
      <x:c r="AH229" s="4" t="str">
        <x:v>Not applicable</x:v>
      </x:c>
    </x:row>
    <x:row r="230" ht="115" customHeight="1">
      <x:c r="A230" s="9" t="str">
        <x:v>proposal.lubricant.dust_film</x:v>
      </x:c>
      <x:c r="B230" s="9" t="str">
        <x:v>Dust-shedding lubricant film</x:v>
      </x:c>
      <x:c r="C230" s="9" t="str">
        <x:v>Resources</x:v>
      </x:c>
      <x:c r="D230" s="9" t="str">
        <x:v>Finished lubricant</x:v>
      </x:c>
      <x:c r="E230" s="9" t="str">
        <x:v>New proposal</x:v>
      </x:c>
      <x:c r="F230" s="9" t="str">
        <x:v>Candidate thin-film finish for exposed tool slides and guides in dusty terrain.</x:v>
      </x:c>
      <x:c r="G230" s="9" t="str">
        <x:v>None</x:v>
      </x:c>
      <x:c r="H230" s="9" t="str">
        <x:v>Contained chemical cargo; carrier policy TBD</x:v>
      </x:c>
      <x:c r="I230" s="13"/>
      <x:c r="J230" s="15"/>
      <x:c r="K230" s="9" t="str">
        <x:v>Process existing faunal secretions in a specialist workshop; exact species and route TBD</x:v>
      </x:c>
      <x:c r="L230" s="9" t="str">
        <x:v>Proposed stages: segregated collection, separation, selected-fraction preparation, compatible formulation, service-specific testing. No formula or numeric yield.</x:v>
      </x:c>
      <x:c r="M230" s="9" t="str">
        <x:v>Not implemented</x:v>
      </x:c>
      <x:c r="N230" s="9" t="str">
        <x:v>Design goal: avoid a persistent sticky exposed coating. Film formation, dust behavior and reapplication remain unverified.</x:v>
      </x:c>
      <x:c r="O230" s="17"/>
      <x:c r="P230" s="17"/>
      <x:c r="Q230" s="17"/>
      <x:c r="R230" s="17"/>
      <x:c r="S230" s="17"/>
      <x:c r="T230" s="9" t="str">
        <x:v>Toxic industrial chemistry remains separate from food. Quality, batch consistency and specialist refinement may drive value; no price, spoilage or maintenance timer assigned.</x:v>
      </x:c>
      <x:c r="U230" s="11" t="str">
        <x:v>grease; lubricant; fauna chemistry; dust exclusion</x:v>
      </x:c>
      <x:c r="V230" s="9" t="str">
        <x:v>New game proposal. Source WLD-0061 processing-agent record describes metabolic oil for machinery; source draft/proposal: https://github.com/sleepyseamonster/Arc-Dust/blob/f6f98515c005dc3c73cccd9cbc031691745740c6/02-Arc-Dust-Worldbuilding/world/materials/chemical-processing-agents.md</x:v>
      </x:c>
      <x:c r="W230" s="4" t="str">
        <x:v>Chemical material</x:v>
      </x:c>
      <x:c r="X230" s="4" t="str">
        <x:v>Finished item</x:v>
      </x:c>
      <x:c r="Y230" s="4" t="str">
        <x:v>Fauna</x:v>
      </x:c>
      <x:c r="Z230" s="4" t="str">
        <x:v>Lubrication</x:v>
      </x:c>
      <x:c r="AA230" s="4" t="str">
        <x:v>Biological chemical</x:v>
      </x:c>
      <x:c r="AB230" s="4" t="str">
        <x:v>Unresolved</x:v>
      </x:c>
      <x:c r="AC230" s="4" t="str">
        <x:v>Proposal</x:v>
      </x:c>
      <x:c r="AD230" s="4" t="str">
        <x:f>LOWER(A230&amp;"; "&amp;B230&amp;"; "&amp;C230&amp;"; "&amp;D230&amp;"; "&amp;W230&amp;"; "&amp;X230&amp;"; "&amp;Y230&amp;"; "&amp;Z230&amp;"; "&amp;AA230&amp;"; "&amp;AB230&amp;"; "&amp;AC230&amp;"; "&amp;U230)</x:f>
        <x:v>proposal.lubricant.dust_film; dust-shedding lubricant film; resources; finished lubricant; chemical material; finished item; fauna; lubrication; biological chemical; unresolved; proposal; grease; lubricant; fauna chemistry; dust exclusion</x:v>
      </x:c>
      <x:c r="AE230" s="4" t="str">
        <x:v>Specific formulation is proposed; source oils and existing joint secretion are references, not validated recipes.</x:v>
      </x:c>
      <x:c r="AF230" s="4" t="str">
        <x:v>Unassigned</x:v>
      </x:c>
      <x:c r="AG230" s="4" t="str">
        <x:v>Choose a material/part route before assigning a tier. Processing-stage labels alone do not prove chain depth.</x:v>
      </x:c>
      <x:c r="AH230" s="4" t="str">
        <x:v>Not applicable</x:v>
      </x:c>
    </x:row>
    <x:row r="231" ht="115" customHeight="1">
      <x:c r="A231" s="9" t="str">
        <x:v>proposal.lubricant.seal_paste</x:v>
      </x:c>
      <x:c r="B231" s="9" t="str">
        <x:v>Seal-conditioning paste</x:v>
      </x:c>
      <x:c r="C231" s="9" t="str">
        <x:v>Resources</x:v>
      </x:c>
      <x:c r="D231" s="9" t="str">
        <x:v>Finished lubricant</x:v>
      </x:c>
      <x:c r="E231" s="9" t="str">
        <x:v>New proposal</x:v>
      </x:c>
      <x:c r="F231" s="9" t="str">
        <x:v>Candidate small-dose conditioner for a specifically compatible canister seal material.</x:v>
      </x:c>
      <x:c r="G231" s="9" t="str">
        <x:v>None</x:v>
      </x:c>
      <x:c r="H231" s="9" t="str">
        <x:v>Contained chemical cargo; carrier policy TBD</x:v>
      </x:c>
      <x:c r="I231" s="13"/>
      <x:c r="J231" s="15"/>
      <x:c r="K231" s="9" t="str">
        <x:v>Process existing faunal secretions in a specialist workshop; exact species and route TBD</x:v>
      </x:c>
      <x:c r="L231" s="9" t="str">
        <x:v>Proposed stages: segregated collection, separation, selected-fraction preparation, compatible formulation, service-specific testing. No formula or numeric yield.</x:v>
      </x:c>
      <x:c r="M231" s="9" t="str">
        <x:v>Not implemented</x:v>
      </x:c>
      <x:c r="N231" s="9" t="str">
        <x:v>Not a sealant, adhesive or repair for a broken seal. Must not contaminate the payload or damage the selected seal.</x:v>
      </x:c>
      <x:c r="O231" s="17"/>
      <x:c r="P231" s="17"/>
      <x:c r="Q231" s="17"/>
      <x:c r="R231" s="17"/>
      <x:c r="S231" s="17"/>
      <x:c r="T231" s="9" t="str">
        <x:v>Toxic industrial chemistry remains separate from food. Quality, batch consistency and specialist refinement may drive value; no price, spoilage or maintenance timer assigned.</x:v>
      </x:c>
      <x:c r="U231" s="11" t="str">
        <x:v>grease; lubricant; fauna chemistry; sealing</x:v>
      </x:c>
      <x:c r="V231" s="9" t="str">
        <x:v>New game proposal. Source WLD-0061 processing-agent record describes metabolic oil for machinery; source draft/proposal: https://github.com/sleepyseamonster/Arc-Dust/blob/f6f98515c005dc3c73cccd9cbc031691745740c6/02-Arc-Dust-Worldbuilding/world/materials/chemical-processing-agents.md</x:v>
      </x:c>
      <x:c r="W231" s="4" t="str">
        <x:v>Chemical material</x:v>
      </x:c>
      <x:c r="X231" s="4" t="str">
        <x:v>Finished item</x:v>
      </x:c>
      <x:c r="Y231" s="4" t="str">
        <x:v>Fauna</x:v>
      </x:c>
      <x:c r="Z231" s="4" t="str">
        <x:v>Lubrication</x:v>
      </x:c>
      <x:c r="AA231" s="4" t="str">
        <x:v>Biological chemical</x:v>
      </x:c>
      <x:c r="AB231" s="4" t="str">
        <x:v>Paste</x:v>
      </x:c>
      <x:c r="AC231" s="4" t="str">
        <x:v>Proposal</x:v>
      </x:c>
      <x:c r="AD231" s="4" t="str">
        <x:f>LOWER(A231&amp;"; "&amp;B231&amp;"; "&amp;C231&amp;"; "&amp;D231&amp;"; "&amp;W231&amp;"; "&amp;X231&amp;"; "&amp;Y231&amp;"; "&amp;Z231&amp;"; "&amp;AA231&amp;"; "&amp;AB231&amp;"; "&amp;AC231&amp;"; "&amp;U231)</x:f>
        <x:v>proposal.lubricant.seal_paste; seal-conditioning paste; resources; finished lubricant; chemical material; finished item; fauna; lubrication; biological chemical; paste; proposal; grease; lubricant; fauna chemistry; sealing</x:v>
      </x:c>
      <x:c r="AE231" s="4" t="str">
        <x:v>Specific formulation is proposed; source oils and existing joint secretion are references, not validated recipes.</x:v>
      </x:c>
      <x:c r="AF231" s="4" t="str">
        <x:v>Unassigned</x:v>
      </x:c>
      <x:c r="AG231" s="4" t="str">
        <x:v>Choose a material/part route before assigning a tier. Processing-stage labels alone do not prove chain depth.</x:v>
      </x:c>
      <x:c r="AH231" s="4" t="str">
        <x:v>Not applicable</x:v>
      </x:c>
    </x:row>
    <x:row r="232" ht="115" customHeight="1">
      <x:c r="A232" s="9" t="str">
        <x:v>proposal.lubricant.graphite_grease</x:v>
      </x:c>
      <x:c r="B232" s="9" t="str">
        <x:v>Graphite faunal grease</x:v>
      </x:c>
      <x:c r="C232" s="9" t="str">
        <x:v>Resources</x:v>
      </x:c>
      <x:c r="D232" s="9" t="str">
        <x:v>Finished lubricant</x:v>
      </x:c>
      <x:c r="E232" s="9" t="str">
        <x:v>New proposal</x:v>
      </x:c>
      <x:c r="F232" s="9" t="str">
        <x:v>Candidate lubricating blend using existing graded graphite flakes in a compatible faunal carrier.</x:v>
      </x:c>
      <x:c r="G232" s="9" t="str">
        <x:v>None</x:v>
      </x:c>
      <x:c r="H232" s="9" t="str">
        <x:v>Contained chemical cargo; carrier policy TBD</x:v>
      </x:c>
      <x:c r="I232" s="13"/>
      <x:c r="J232" s="15"/>
      <x:c r="K232" s="9" t="str">
        <x:v>Process existing faunal secretions in a specialist workshop; exact species and route TBD</x:v>
      </x:c>
      <x:c r="L232" s="9" t="str">
        <x:v>Proposed stages: segregated collection, separation, selected-fraction preparation, compatible formulation, service-specific testing. No formula or numeric yield.</x:v>
      </x:c>
      <x:c r="M232" s="9" t="str">
        <x:v>Not implemented</x:v>
      </x:c>
      <x:c r="N232" s="9" t="str">
        <x:v>Particle grade and part compatibility TBD. Keep electrical-contact behavior separate; no universal lubricant for every machine.</x:v>
      </x:c>
      <x:c r="O232" s="17"/>
      <x:c r="P232" s="17"/>
      <x:c r="Q232" s="17"/>
      <x:c r="R232" s="17"/>
      <x:c r="S232" s="17"/>
      <x:c r="T232" s="9" t="str">
        <x:v>Toxic industrial chemistry remains separate from food. Quality, batch consistency and specialist refinement may drive value; no price, spoilage or maintenance timer assigned.</x:v>
      </x:c>
      <x:c r="U232" s="11" t="str">
        <x:v>grease; lubricant; fauna chemistry; equipment repair</x:v>
      </x:c>
      <x:c r="V232" s="9" t="str">
        <x:v>New game proposal. Source WLD-0061 processing-agent record describes metabolic oil for machinery; source draft/proposal: https://github.com/sleepyseamonster/Arc-Dust/blob/f6f98515c005dc3c73cccd9cbc031691745740c6/02-Arc-Dust-Worldbuilding/world/materials/chemical-processing-agents.md</x:v>
      </x:c>
      <x:c r="W232" s="4" t="str">
        <x:v>Chemical material</x:v>
      </x:c>
      <x:c r="X232" s="4" t="str">
        <x:v>Finished item</x:v>
      </x:c>
      <x:c r="Y232" s="4" t="str">
        <x:v>Fauna</x:v>
      </x:c>
      <x:c r="Z232" s="4" t="str">
        <x:v>Lubrication</x:v>
      </x:c>
      <x:c r="AA232" s="4" t="str">
        <x:v>Biological and mineral mixture</x:v>
      </x:c>
      <x:c r="AB232" s="4" t="str">
        <x:v>Paste</x:v>
      </x:c>
      <x:c r="AC232" s="4" t="str">
        <x:v>Proposal</x:v>
      </x:c>
      <x:c r="AD232" s="4" t="str">
        <x:f>LOWER(A232&amp;"; "&amp;B232&amp;"; "&amp;C232&amp;"; "&amp;D232&amp;"; "&amp;W232&amp;"; "&amp;X232&amp;"; "&amp;Y232&amp;"; "&amp;Z232&amp;"; "&amp;AA232&amp;"; "&amp;AB232&amp;"; "&amp;AC232&amp;"; "&amp;U232)</x:f>
        <x:v>proposal.lubricant.graphite_grease; graphite faunal grease; resources; finished lubricant; chemical material; finished item; fauna; lubrication; biological and mineral mixture; paste; proposal; grease; lubricant; fauna chemistry; equipment repair</x:v>
      </x:c>
      <x:c r="AE232" s="4" t="str">
        <x:v>Specific formulation is proposed; source oils and existing joint secretion are references, not validated recipes.</x:v>
      </x:c>
      <x:c r="AF232" s="4" t="str">
        <x:v>Unassigned</x:v>
      </x:c>
      <x:c r="AG232" s="4" t="str">
        <x:v>Choose a material/part route before assigning a tier. Processing-stage labels alone do not prove chain depth.</x:v>
      </x:c>
      <x:c r="AH232" s="4" t="str">
        <x:v>Not applicable</x:v>
      </x:c>
    </x:row>
    <x:row r="233" ht="115" customHeight="1">
      <x:c r="A233" s="9" t="str">
        <x:v>proposal.lubricant.insulating_grease</x:v>
      </x:c>
      <x:c r="B233" s="9" t="str">
        <x:v>Electrically insulating grease</x:v>
      </x:c>
      <x:c r="C233" s="9" t="str">
        <x:v>Resources</x:v>
      </x:c>
      <x:c r="D233" s="9" t="str">
        <x:v>Finished lubricant</x:v>
      </x:c>
      <x:c r="E233" s="9" t="str">
        <x:v>New proposal</x:v>
      </x:c>
      <x:c r="F233" s="9" t="str">
        <x:v>Candidate grease formulated for a selected insulating joint or equipment interface.</x:v>
      </x:c>
      <x:c r="G233" s="9" t="str">
        <x:v>None</x:v>
      </x:c>
      <x:c r="H233" s="9" t="str">
        <x:v>Contained chemical cargo; carrier policy TBD</x:v>
      </x:c>
      <x:c r="I233" s="13"/>
      <x:c r="J233" s="15"/>
      <x:c r="K233" s="9" t="str">
        <x:v>Process existing faunal secretions in a specialist workshop; exact species and route TBD</x:v>
      </x:c>
      <x:c r="L233" s="9" t="str">
        <x:v>Proposed stages: segregated collection, separation, selected-fraction preparation, compatible formulation, service-specific testing. No formula or numeric yield.</x:v>
      </x:c>
      <x:c r="M233" s="9" t="str">
        <x:v>Not implemented</x:v>
      </x:c>
      <x:c r="N233" s="9" t="str">
        <x:v>Insulation is a design target needing material selection and testing; not inferred from ordinary ichor or graphite grease.</x:v>
      </x:c>
      <x:c r="O233" s="17"/>
      <x:c r="P233" s="17"/>
      <x:c r="Q233" s="17"/>
      <x:c r="R233" s="17"/>
      <x:c r="S233" s="17"/>
      <x:c r="T233" s="9" t="str">
        <x:v>Toxic industrial chemistry remains separate from food. Quality, batch consistency and specialist refinement may drive value; no price, spoilage or maintenance timer assigned.</x:v>
      </x:c>
      <x:c r="U233" s="11" t="str">
        <x:v>grease; lubricant; fauna chemistry; electrical insulation</x:v>
      </x:c>
      <x:c r="V233" s="9" t="str">
        <x:v>New game proposal. Source WLD-0061 processing-agent record describes metabolic oil for machinery; source draft/proposal: https://github.com/sleepyseamonster/Arc-Dust/blob/f6f98515c005dc3c73cccd9cbc031691745740c6/02-Arc-Dust-Worldbuilding/world/materials/chemical-processing-agents.md</x:v>
      </x:c>
      <x:c r="W233" s="4" t="str">
        <x:v>Chemical material</x:v>
      </x:c>
      <x:c r="X233" s="4" t="str">
        <x:v>Finished item</x:v>
      </x:c>
      <x:c r="Y233" s="4" t="str">
        <x:v>Fauna</x:v>
      </x:c>
      <x:c r="Z233" s="4" t="str">
        <x:v>Lubrication</x:v>
      </x:c>
      <x:c r="AA233" s="4" t="str">
        <x:v>Biological chemical</x:v>
      </x:c>
      <x:c r="AB233" s="4" t="str">
        <x:v>Paste</x:v>
      </x:c>
      <x:c r="AC233" s="4" t="str">
        <x:v>Proposal</x:v>
      </x:c>
      <x:c r="AD233" s="4" t="str">
        <x:f>LOWER(A233&amp;"; "&amp;B233&amp;"; "&amp;C233&amp;"; "&amp;D233&amp;"; "&amp;W233&amp;"; "&amp;X233&amp;"; "&amp;Y233&amp;"; "&amp;Z233&amp;"; "&amp;AA233&amp;"; "&amp;AB233&amp;"; "&amp;AC233&amp;"; "&amp;U233)</x:f>
        <x:v>proposal.lubricant.insulating_grease; electrically insulating grease; resources; finished lubricant; chemical material; finished item; fauna; lubrication; biological chemical; paste; proposal; grease; lubricant; fauna chemistry; electrical insulation</x:v>
      </x:c>
      <x:c r="AE233" s="4" t="str">
        <x:v>Specific formulation is proposed; source oils and existing joint secretion are references, not validated recipes.</x:v>
      </x:c>
      <x:c r="AF233" s="4" t="str">
        <x:v>Unassigned</x:v>
      </x:c>
      <x:c r="AG233" s="4" t="str">
        <x:v>Choose a material/part route before assigning a tier. Processing-stage labels alone do not prove chain depth.</x:v>
      </x:c>
      <x:c r="AH233" s="4" t="str">
        <x:v>Not applicable</x:v>
      </x:c>
    </x:row>
    <x:row r="234" ht="115" customHeight="1">
      <x:c r="A234" s="9" t="str">
        <x:v>proposal.lubricant.precision_oil</x:v>
      </x:c>
      <x:c r="B234" s="9" t="str">
        <x:v>Fine mechanism oil</x:v>
      </x:c>
      <x:c r="C234" s="9" t="str">
        <x:v>Resources</x:v>
      </x:c>
      <x:c r="D234" s="9" t="str">
        <x:v>Finished lubricant</x:v>
      </x:c>
      <x:c r="E234" s="9" t="str">
        <x:v>New proposal</x:v>
      </x:c>
      <x:c r="F234" s="9" t="str">
        <x:v>Highly selected liquid lubricant candidate for small mechanisms and specialist workshop work.</x:v>
      </x:c>
      <x:c r="G234" s="9" t="str">
        <x:v>None</x:v>
      </x:c>
      <x:c r="H234" s="9" t="str">
        <x:v>Contained chemical cargo; carrier policy TBD</x:v>
      </x:c>
      <x:c r="I234" s="13"/>
      <x:c r="J234" s="15"/>
      <x:c r="K234" s="9" t="str">
        <x:v>Process existing faunal secretions in a specialist workshop; exact species and route TBD</x:v>
      </x:c>
      <x:c r="L234" s="9" t="str">
        <x:v>Proposed stages: segregated collection, separation, selected-fraction preparation, compatible formulation, service-specific testing. No formula or numeric yield.</x:v>
      </x:c>
      <x:c r="M234" s="9" t="str">
        <x:v>Not implemented</x:v>
      </x:c>
      <x:c r="N234" s="9" t="str">
        <x:v>Precision and low residue are proposed craft grades. No assumed food safety, optical suitability, shelf life or ancient-tech repair capability.</x:v>
      </x:c>
      <x:c r="O234" s="17"/>
      <x:c r="P234" s="17"/>
      <x:c r="Q234" s="17"/>
      <x:c r="R234" s="17"/>
      <x:c r="S234" s="17"/>
      <x:c r="T234" s="9" t="str">
        <x:v>Toxic industrial chemistry remains separate from food. Quality, batch consistency and specialist refinement may drive value; no price, spoilage or maintenance timer assigned.</x:v>
      </x:c>
      <x:c r="U234" s="11" t="str">
        <x:v>grease; lubricant; fauna chemistry; equipment repair</x:v>
      </x:c>
      <x:c r="V234" s="9" t="str">
        <x:v>New game proposal. Source WLD-0061 processing-agent record describes metabolic oil for machinery; source draft/proposal: https://github.com/sleepyseamonster/Arc-Dust/blob/f6f98515c005dc3c73cccd9cbc031691745740c6/02-Arc-Dust-Worldbuilding/world/materials/chemical-processing-agents.md</x:v>
      </x:c>
      <x:c r="W234" s="4" t="str">
        <x:v>Chemical material</x:v>
      </x:c>
      <x:c r="X234" s="4" t="str">
        <x:v>Finished item</x:v>
      </x:c>
      <x:c r="Y234" s="4" t="str">
        <x:v>Fauna</x:v>
      </x:c>
      <x:c r="Z234" s="4" t="str">
        <x:v>Lubrication</x:v>
      </x:c>
      <x:c r="AA234" s="4" t="str">
        <x:v>Biological chemical</x:v>
      </x:c>
      <x:c r="AB234" s="4" t="str">
        <x:v>Liquid</x:v>
      </x:c>
      <x:c r="AC234" s="4" t="str">
        <x:v>Proposal</x:v>
      </x:c>
      <x:c r="AD234" s="4" t="str">
        <x:f>LOWER(A234&amp;"; "&amp;B234&amp;"; "&amp;C234&amp;"; "&amp;D234&amp;"; "&amp;W234&amp;"; "&amp;X234&amp;"; "&amp;Y234&amp;"; "&amp;Z234&amp;"; "&amp;AA234&amp;"; "&amp;AB234&amp;"; "&amp;AC234&amp;"; "&amp;U234)</x:f>
        <x:v>proposal.lubricant.precision_oil; fine mechanism oil; resources; finished lubricant; chemical material; finished item; fauna; lubrication; biological chemical; liquid; proposal; grease; lubricant; fauna chemistry; equipment repair</x:v>
      </x:c>
      <x:c r="AE234" s="4" t="str">
        <x:v>Specific formulation is proposed; source oils and existing joint secretion are references, not validated recipes.</x:v>
      </x:c>
      <x:c r="AF234" s="4" t="str">
        <x:v>Unassigned</x:v>
      </x:c>
      <x:c r="AG234" s="4" t="str">
        <x:v>Choose a material/part route before assigning a tier. Processing-stage labels alone do not prove chain depth.</x:v>
      </x:c>
      <x:c r="AH234" s="4" t="str">
        <x:v>Not applicable</x:v>
      </x:c>
    </x:row>
    <x:row r="235" ht="115" customHeight="1">
      <x:c r="A235" s="9" t="str">
        <x:v>proposal.wind.turbine</x:v>
      </x:c>
      <x:c r="B235" s="9" t="str">
        <x:v>Salvaged wind turbine</x:v>
      </x:c>
      <x:c r="C235" s="9" t="str">
        <x:v>Equipment</x:v>
      </x:c>
      <x:c r="D235" s="9" t="str">
        <x:v>Wind machine</x:v>
      </x:c>
      <x:c r="E235" s="9" t="str">
        <x:v>User direction; not implemented</x:v>
      </x:c>
      <x:c r="F235" s="9" t="str">
        <x:v>Wind turbine assembled from fallen/salvaged parts, as requested by author.</x:v>
      </x:c>
      <x:c r="G235" s="9" t="str">
        <x:v>Unassigned; no new slot approved</x:v>
      </x:c>
      <x:c r="H235" s="9" t="str">
        <x:v>Physical part / installation ownership TBD</x:v>
      </x:c>
      <x:c r="I235" s="13"/>
      <x:c r="J235" s="15"/>
      <x:c r="K235" s="9" t="str">
        <x:v>Salvage, insect-wing processing and specialist assembly; exact routes TBD</x:v>
      </x:c>
      <x:c r="L235" s="9" t="str">
        <x:v>No recipe authored. Existing metal stock, drive salvage, fasteners and compatible lubricant concepts may support later design.</x:v>
      </x:c>
      <x:c r="M235" s="9" t="str">
        <x:v>Not implemented</x:v>
      </x:c>
      <x:c r="N235" s="9" t="str">
        <x:v>Stationary versus deployable installation, mounting, rotor form, wind response and useful output unresolved. Existing drive salvage is a candidate input, not a mandatory recipe.</x:v>
      </x:c>
      <x:c r="O235" s="17"/>
      <x:c r="P235" s="17"/>
      <x:c r="Q235" s="17"/>
      <x:c r="R235" s="17"/>
      <x:c r="S235" s="17"/>
      <x:c r="T235" s="9" t="str">
        <x:v>Working labels; material quantities, durability and value unspecified. Fallen parts is interpreted as recoverable salvage, not proof of mandatory ancient technology.</x:v>
      </x:c>
      <x:c r="U235" s="11" t="str">
        <x:v>machinery drive; wind; sail</x:v>
      </x:c>
      <x:c r="V235" s="9" t="str">
        <x:v>Direct author wind-turbine, insect-wing sail and four-wheel dirtboard direction October 14, 2026; specific component breakdown is proposed.</x:v>
      </x:c>
      <x:c r="W235" s="4" t="str">
        <x:v>Machine</x:v>
      </x:c>
      <x:c r="X235" s="4" t="str">
        <x:v>Finished item</x:v>
      </x:c>
      <x:c r="Y235" s="4" t="str">
        <x:v>Recovered machinery</x:v>
      </x:c>
      <x:c r="Z235" s="4" t="str">
        <x:v>Wind power</x:v>
      </x:c>
      <x:c r="AA235" s="4" t="str">
        <x:v>Mixed / unresolved</x:v>
      </x:c>
      <x:c r="AB235" s="4" t="str">
        <x:v>Assembly</x:v>
      </x:c>
      <x:c r="AC235" s="4" t="str">
        <x:v>Author direction</x:v>
      </x:c>
      <x:c r="AD235" s="4" t="str">
        <x:f>LOWER(A235&amp;"; "&amp;B235&amp;"; "&amp;C235&amp;"; "&amp;D235&amp;"; "&amp;W235&amp;"; "&amp;X235&amp;"; "&amp;Y235&amp;"; "&amp;Z235&amp;"; "&amp;AA235&amp;"; "&amp;AB235&amp;"; "&amp;AC235&amp;"; "&amp;U235)</x:f>
        <x:v>proposal.wind.turbine; salvaged wind turbine; equipment; wind machine; machine; finished item; recovered machinery; wind power; mixed / unresolved; assembly; author direction; machinery drive; wind; sail</x:v>
      </x:c>
      <x:c r="AE235" s="4" t="str">
        <x:v>Author direction for equipment families; proposed components and unimplemented behavior remain explicitly separate.</x:v>
      </x:c>
      <x:c r="AF235" s="4" t="str">
        <x:v>Finished item</x:v>
      </x:c>
      <x:c r="AG235" s="4" t="str">
        <x:v>Completed gear, vessel, food or tool can stop at its chosen material tier; it need not climb to T4.</x:v>
      </x:c>
      <x:c r="AH235" s="4" t="str">
        <x:v>Unassigned</x:v>
      </x:c>
    </x:row>
    <x:row r="236" ht="115" customHeight="1">
      <x:c r="A236" s="9" t="str">
        <x:v>proposal.wind.sail_panel</x:v>
      </x:c>
      <x:c r="B236" s="9" t="str">
        <x:v>Prepared insect-wing sail panel</x:v>
      </x:c>
      <x:c r="C236" s="9" t="str">
        <x:v>Crafting components</x:v>
      </x:c>
      <x:c r="D236" s="9" t="str">
        <x:v>Wind sail material</x:v>
      </x:c>
      <x:c r="E236" s="9" t="str">
        <x:v>User direction; not implemented</x:v>
      </x:c>
      <x:c r="F236" s="9" t="str">
        <x:v>Prepared delicate insectoid-wing membrane intended for a sail.</x:v>
      </x:c>
      <x:c r="G236" s="9" t="str">
        <x:v>Unassigned; no new slot approved</x:v>
      </x:c>
      <x:c r="H236" s="9" t="str">
        <x:v>Physical part / installation ownership TBD</x:v>
      </x:c>
      <x:c r="I236" s="13"/>
      <x:c r="J236" s="15"/>
      <x:c r="K236" s="9" t="str">
        <x:v>Salvage, insect-wing processing and specialist assembly; exact routes TBD</x:v>
      </x:c>
      <x:c r="L236" s="9" t="str">
        <x:v>No recipe authored. Existing metal stock, drive salvage, fasteners and compatible lubricant concepts may support later design.</x:v>
      </x:c>
      <x:c r="M236" s="9" t="str">
        <x:v>Not implemented</x:v>
      </x:c>
      <x:c r="N236" s="9" t="str">
        <x:v>Reuse existing inner-wing resource. Sail panel and shade panel are service-specific intermediate concepts; decide later whether their preparation can share a product.</x:v>
      </x:c>
      <x:c r="O236" s="17"/>
      <x:c r="P236" s="17"/>
      <x:c r="Q236" s="17"/>
      <x:c r="R236" s="17"/>
      <x:c r="S236" s="17"/>
      <x:c r="T236" s="9" t="str">
        <x:v>Working labels; material quantities, durability and value unspecified. Fallen parts is interpreted as recoverable salvage, not proof of mandatory ancient technology.</x:v>
      </x:c>
      <x:c r="U236" s="11" t="str">
        <x:v>wind; sail</x:v>
      </x:c>
      <x:c r="V236" s="9" t="str">
        <x:v>Direct author wind-turbine, insect-wing sail and four-wheel dirtboard direction October 14, 2026; specific component breakdown is proposed.</x:v>
      </x:c>
      <x:c r="W236" s="4" t="str">
        <x:v>Crafting component</x:v>
      </x:c>
      <x:c r="X236" s="4" t="str">
        <x:v>Processed intermediate</x:v>
      </x:c>
      <x:c r="Y236" s="4" t="str">
        <x:v>Manufactured / unresolved</x:v>
      </x:c>
      <x:c r="Z236" s="4" t="str">
        <x:v>Wind propulsion</x:v>
      </x:c>
      <x:c r="AA236" s="4" t="str">
        <x:v>Wing membrane</x:v>
      </x:c>
      <x:c r="AB236" s="4" t="str">
        <x:v>Panel</x:v>
      </x:c>
      <x:c r="AC236" s="4" t="str">
        <x:v>Author direction</x:v>
      </x:c>
      <x:c r="AD236" s="4" t="str">
        <x:f>LOWER(A236&amp;"; "&amp;B236&amp;"; "&amp;C236&amp;"; "&amp;D236&amp;"; "&amp;W236&amp;"; "&amp;X236&amp;"; "&amp;Y236&amp;"; "&amp;Z236&amp;"; "&amp;AA236&amp;"; "&amp;AB236&amp;"; "&amp;AC236&amp;"; "&amp;U236)</x:f>
        <x:v>proposal.wind.sail_panel; prepared insect-wing sail panel; crafting components; wind sail material; crafting component; processed intermediate; manufactured / unresolved; wind propulsion; wing membrane; panel; author direction; wind; sail</x:v>
      </x:c>
      <x:c r="AE236" s="4" t="str">
        <x:v>Author direction for equipment families; proposed components and unimplemented behavior remain explicitly separate.</x:v>
      </x:c>
      <x:c r="AF236" s="4" t="str">
        <x:v>T1</x:v>
      </x:c>
      <x:c r="AG236" s="4" t="str">
        <x:v>Proposed game manufacturing tier from the candidate routes. Integrated operations may contain many work steps.</x:v>
      </x:c>
      <x:c r="AH236" s="4" t="str">
        <x:v>Not applicable</x:v>
      </x:c>
    </x:row>
    <x:row r="237" ht="115" customHeight="1">
      <x:c r="A237" s="9" t="str">
        <x:v>proposal.wind.hand_sail</x:v>
      </x:c>
      <x:c r="B237" s="9" t="str">
        <x:v>Collapsible handheld wind sail</x:v>
      </x:c>
      <x:c r="C237" s="9" t="str">
        <x:v>Equipment</x:v>
      </x:c>
      <x:c r="D237" s="9" t="str">
        <x:v>Wind traversal gear</x:v>
      </x:c>
      <x:c r="E237" s="9" t="str">
        <x:v>User direction; not implemented</x:v>
      </x:c>
      <x:c r="F237" s="9" t="str">
        <x:v>Booter handheld sail that collapses for carrying and opens for wind-driven dirtboard travel.</x:v>
      </x:c>
      <x:c r="G237" s="9" t="str">
        <x:v>Unassigned; no new slot approved</x:v>
      </x:c>
      <x:c r="H237" s="9" t="str">
        <x:v>Booter personal gear intended; stowage policy TBD</x:v>
      </x:c>
      <x:c r="I237" s="13"/>
      <x:c r="J237" s="15"/>
      <x:c r="K237" s="9" t="str">
        <x:v>Salvage, insect-wing processing and specialist assembly; exact routes TBD</x:v>
      </x:c>
      <x:c r="L237" s="9" t="str">
        <x:v>No recipe authored. Existing metal stock, drive salvage, fasteners and compatible lubricant concepts may support later design.</x:v>
      </x:c>
      <x:c r="M237" s="9" t="str">
        <x:v>Not implemented</x:v>
      </x:c>
      <x:c r="N237" s="9" t="str">
        <x:v>One gear item with carried/deployed configurations. Frame geometry, hand use, steering, stowage and carry policy undefined.</x:v>
      </x:c>
      <x:c r="O237" s="17"/>
      <x:c r="P237" s="17"/>
      <x:c r="Q237" s="17"/>
      <x:c r="R237" s="17"/>
      <x:c r="S237" s="17"/>
      <x:c r="T237" s="9" t="str">
        <x:v>Working labels; material quantities, durability and value unspecified. Fallen parts is interpreted as recoverable salvage, not proof of mandatory ancient technology.</x:v>
      </x:c>
      <x:c r="U237" s="11" t="str">
        <x:v>traversal; wind; sail</x:v>
      </x:c>
      <x:c r="V237" s="9" t="str">
        <x:v>Direct author wind-turbine, insect-wing sail and four-wheel dirtboard direction October 14, 2026; specific component breakdown is proposed.</x:v>
      </x:c>
      <x:c r="W237" s="4" t="str">
        <x:v>Traversal device</x:v>
      </x:c>
      <x:c r="X237" s="4" t="str">
        <x:v>Finished item</x:v>
      </x:c>
      <x:c r="Y237" s="4" t="str">
        <x:v>Manufactured / unresolved</x:v>
      </x:c>
      <x:c r="Z237" s="4" t="str">
        <x:v>Wind propulsion</x:v>
      </x:c>
      <x:c r="AA237" s="4" t="str">
        <x:v>Wing membrane and frame</x:v>
      </x:c>
      <x:c r="AB237" s="4" t="str">
        <x:v>Assembly</x:v>
      </x:c>
      <x:c r="AC237" s="4" t="str">
        <x:v>Author direction</x:v>
      </x:c>
      <x:c r="AD237" s="4" t="str">
        <x:f>LOWER(A237&amp;"; "&amp;B237&amp;"; "&amp;C237&amp;"; "&amp;D237&amp;"; "&amp;W237&amp;"; "&amp;X237&amp;"; "&amp;Y237&amp;"; "&amp;Z237&amp;"; "&amp;AA237&amp;"; "&amp;AB237&amp;"; "&amp;AC237&amp;"; "&amp;U237)</x:f>
        <x:v>proposal.wind.hand_sail; collapsible handheld wind sail; equipment; wind traversal gear; traversal device; finished item; manufactured / unresolved; wind propulsion; wing membrane and frame; assembly; author direction; traversal; wind; sail</x:v>
      </x:c>
      <x:c r="AE237" s="4" t="str">
        <x:v>Author direction for equipment families; proposed components and unimplemented behavior remain explicitly separate.</x:v>
      </x:c>
      <x:c r="AF237" s="4" t="str">
        <x:v>Finished item</x:v>
      </x:c>
      <x:c r="AG237" s="4" t="str">
        <x:v>Completed gear, vessel, food or tool can stop at its chosen material tier; it need not climb to T4.</x:v>
      </x:c>
      <x:c r="AH237" s="4" t="str">
        <x:v>Unassigned</x:v>
      </x:c>
    </x:row>
    <x:row r="238" ht="115" customHeight="1">
      <x:c r="A238" s="9" t="str">
        <x:v>proposal.wind.dirtboard</x:v>
      </x:c>
      <x:c r="B238" s="9" t="str">
        <x:v>Four-wheel all-terrain dirtboard</x:v>
      </x:c>
      <x:c r="C238" s="9" t="str">
        <x:v>Equipment</x:v>
      </x:c>
      <x:c r="D238" s="9" t="str">
        <x:v>Wind traversal gear</x:v>
      </x:c>
      <x:c r="E238" s="9" t="str">
        <x:v>User direction; not implemented</x:v>
      </x:c>
      <x:c r="F238" s="9" t="str">
        <x:v>Booter all-terrain skateboard with four wheels, used with the handheld sail across large flat areas.</x:v>
      </x:c>
      <x:c r="G238" s="9" t="str">
        <x:v>Unassigned; no new slot approved</x:v>
      </x:c>
      <x:c r="H238" s="9" t="str">
        <x:v>Booter personal gear intended; stowage policy TBD</x:v>
      </x:c>
      <x:c r="I238" s="13"/>
      <x:c r="J238" s="15"/>
      <x:c r="K238" s="9" t="str">
        <x:v>Salvage, insect-wing processing and specialist assembly; exact routes TBD</x:v>
      </x:c>
      <x:c r="L238" s="9" t="str">
        <x:v>No recipe authored. Existing metal stock, drive salvage, fasteners and compatible lubricant concepts may support later design.</x:v>
      </x:c>
      <x:c r="M238" s="9" t="str">
        <x:v>Not implemented</x:v>
      </x:c>
      <x:c r="N238" s="9" t="str">
        <x:v>Wheel material, steering, braking, traction, terrain limits, speed and cargo effects remain open. Sail and board are separately owned companion items.</x:v>
      </x:c>
      <x:c r="O238" s="17"/>
      <x:c r="P238" s="17"/>
      <x:c r="Q238" s="17"/>
      <x:c r="R238" s="17"/>
      <x:c r="S238" s="17"/>
      <x:c r="T238" s="9" t="str">
        <x:v>Working labels; material quantities, durability and value unspecified. Fallen parts is interpreted as recoverable salvage, not proof of mandatory ancient technology.</x:v>
      </x:c>
      <x:c r="U238" s="11" t="str">
        <x:v>wind propulsion; wind; sail; skateboard mountainboard four wheel dirt board</x:v>
      </x:c>
      <x:c r="V238" s="9" t="str">
        <x:v>Direct author wind-turbine, insect-wing sail and four-wheel dirtboard direction October 14, 2026; specific component breakdown is proposed.</x:v>
      </x:c>
      <x:c r="W238" s="4" t="str">
        <x:v>Traversal device</x:v>
      </x:c>
      <x:c r="X238" s="4" t="str">
        <x:v>Finished item</x:v>
      </x:c>
      <x:c r="Y238" s="4" t="str">
        <x:v>Manufactured / unresolved</x:v>
      </x:c>
      <x:c r="Z238" s="4" t="str">
        <x:v>Traversal</x:v>
      </x:c>
      <x:c r="AA238" s="4" t="str">
        <x:v>Mixed / unresolved</x:v>
      </x:c>
      <x:c r="AB238" s="4" t="str">
        <x:v>Assembly</x:v>
      </x:c>
      <x:c r="AC238" s="4" t="str">
        <x:v>Author direction</x:v>
      </x:c>
      <x:c r="AD238" s="4" t="str">
        <x:f>LOWER(A238&amp;"; "&amp;B238&amp;"; "&amp;C238&amp;"; "&amp;D238&amp;"; "&amp;W238&amp;"; "&amp;X238&amp;"; "&amp;Y238&amp;"; "&amp;Z238&amp;"; "&amp;AA238&amp;"; "&amp;AB238&amp;"; "&amp;AC238&amp;"; "&amp;U238)</x:f>
        <x:v>proposal.wind.dirtboard; four-wheel all-terrain dirtboard; equipment; wind traversal gear; traversal device; finished item; manufactured / unresolved; traversal; mixed / unresolved; assembly; author direction; wind propulsion; wind; sail; skateboard mountainboard four wheel dirt board</x:v>
      </x:c>
      <x:c r="AE238" s="4" t="str">
        <x:v>Author direction for equipment families; proposed components and unimplemented behavior remain explicitly separate.</x:v>
      </x:c>
      <x:c r="AF238" s="4" t="str">
        <x:v>Finished item</x:v>
      </x:c>
      <x:c r="AG238" s="4" t="str">
        <x:v>Completed gear, vessel, food or tool can stop at its chosen material tier; it need not climb to T4.</x:v>
      </x:c>
      <x:c r="AH238" s="4" t="str">
        <x:v>Unassigned</x:v>
      </x:c>
    </x:row>
    <x:row r="239" ht="115" customHeight="1">
      <x:c r="A239" s="9" t="str">
        <x:v>proposal.wind.folding_frame</x:v>
      </x:c>
      <x:c r="B239" s="9" t="str">
        <x:v>Collapsible sail frame</x:v>
      </x:c>
      <x:c r="C239" s="9" t="str">
        <x:v>Crafting components</x:v>
      </x:c>
      <x:c r="D239" s="9" t="str">
        <x:v>Wind sail component</x:v>
      </x:c>
      <x:c r="E239" s="9" t="str">
        <x:v>New proposal</x:v>
      </x:c>
      <x:c r="F239" s="9" t="str">
        <x:v>Proposed folding spars, joints and retainers supporting a wing sail.</x:v>
      </x:c>
      <x:c r="G239" s="9" t="str">
        <x:v>Unassigned; no new slot approved</x:v>
      </x:c>
      <x:c r="H239" s="9" t="str">
        <x:v>Physical part / installation ownership TBD</x:v>
      </x:c>
      <x:c r="I239" s="13"/>
      <x:c r="J239" s="15"/>
      <x:c r="K239" s="9" t="str">
        <x:v>Salvage, insect-wing processing and specialist assembly; exact routes TBD</x:v>
      </x:c>
      <x:c r="L239" s="9" t="str">
        <x:v>No recipe authored. Existing metal stock, drive salvage, fasteners and compatible lubricant concepts may support later design.</x:v>
      </x:c>
      <x:c r="M239" s="9" t="str">
        <x:v>Not implemented</x:v>
      </x:c>
      <x:c r="N239" s="9" t="str">
        <x:v>Use metal/salvaged parts as candidates; folding geometry, weight and membrane attachment require design.</x:v>
      </x:c>
      <x:c r="O239" s="17"/>
      <x:c r="P239" s="17"/>
      <x:c r="Q239" s="17"/>
      <x:c r="R239" s="17"/>
      <x:c r="S239" s="17"/>
      <x:c r="T239" s="9" t="str">
        <x:v>Working labels; material quantities, durability and value unspecified. Fallen parts is interpreted as recoverable salvage, not proof of mandatory ancient technology.</x:v>
      </x:c>
      <x:c r="U239" s="11" t="str">
        <x:v>wind; sail</x:v>
      </x:c>
      <x:c r="V239" s="9" t="str">
        <x:v>Direct author wind-turbine, insect-wing sail and four-wheel dirtboard direction October 14, 2026; specific component breakdown is proposed.</x:v>
      </x:c>
      <x:c r="W239" s="4" t="str">
        <x:v>Crafting component</x:v>
      </x:c>
      <x:c r="X239" s="4" t="str">
        <x:v>Processed intermediate</x:v>
      </x:c>
      <x:c r="Y239" s="4" t="str">
        <x:v>Manufactured / unresolved</x:v>
      </x:c>
      <x:c r="Z239" s="4" t="str">
        <x:v>Equipment fabrication</x:v>
      </x:c>
      <x:c r="AA239" s="4" t="str">
        <x:v>Metal</x:v>
      </x:c>
      <x:c r="AB239" s="4" t="str">
        <x:v>Assembly</x:v>
      </x:c>
      <x:c r="AC239" s="4" t="str">
        <x:v>Proposal</x:v>
      </x:c>
      <x:c r="AD239" s="4" t="str">
        <x:f>LOWER(A239&amp;"; "&amp;B239&amp;"; "&amp;C239&amp;"; "&amp;D239&amp;"; "&amp;W239&amp;"; "&amp;X239&amp;"; "&amp;Y239&amp;"; "&amp;Z239&amp;"; "&amp;AA239&amp;"; "&amp;AB239&amp;"; "&amp;AC239&amp;"; "&amp;U239)</x:f>
        <x:v>proposal.wind.folding_frame; collapsible sail frame; crafting components; wind sail component; crafting component; processed intermediate; manufactured / unresolved; equipment fabrication; metal; assembly; proposal; wind; sail</x:v>
      </x:c>
      <x:c r="AE239" s="4" t="str">
        <x:v>Author direction for equipment families; proposed components and unimplemented behavior remain explicitly separate.</x:v>
      </x:c>
      <x:c r="AF239" s="4" t="str">
        <x:v>Unassigned</x:v>
      </x:c>
      <x:c r="AG239" s="4" t="str">
        <x:v>Choose a material/part route before assigning a tier. Processing-stage labels alone do not prove chain depth.</x:v>
      </x:c>
      <x:c r="AH239" s="4" t="str">
        <x:v>Not applicable</x:v>
      </x:c>
    </x:row>
    <x:row r="240" ht="115" customHeight="1">
      <x:c r="A240" s="9" t="str">
        <x:v>proposal.wind.sail_grip</x:v>
      </x:c>
      <x:c r="B240" s="9" t="str">
        <x:v>Hand-sail grip assembly</x:v>
      </x:c>
      <x:c r="C240" s="9" t="str">
        <x:v>Crafting components</x:v>
      </x:c>
      <x:c r="D240" s="9" t="str">
        <x:v>Wind sail component</x:v>
      </x:c>
      <x:c r="E240" s="9" t="str">
        <x:v>New proposal</x:v>
      </x:c>
      <x:c r="F240" s="9" t="str">
        <x:v>Proposed hand interface and control attachment for the collapsible sail.</x:v>
      </x:c>
      <x:c r="G240" s="9" t="str">
        <x:v>Unassigned; no new slot approved</x:v>
      </x:c>
      <x:c r="H240" s="9" t="str">
        <x:v>Physical part / installation ownership TBD</x:v>
      </x:c>
      <x:c r="I240" s="13"/>
      <x:c r="J240" s="15"/>
      <x:c r="K240" s="9" t="str">
        <x:v>Salvage, insect-wing processing and specialist assembly; exact routes TBD</x:v>
      </x:c>
      <x:c r="L240" s="9" t="str">
        <x:v>No recipe authored. Existing metal stock, drive salvage, fasteners and compatible lubricant concepts may support later design.</x:v>
      </x:c>
      <x:c r="M240" s="9" t="str">
        <x:v>Not implemented</x:v>
      </x:c>
      <x:c r="N240" s="9" t="str">
        <x:v>Grip arrangement, release behavior and hand occupancy undecided; no body harness or bindings assumed.</x:v>
      </x:c>
      <x:c r="O240" s="17"/>
      <x:c r="P240" s="17"/>
      <x:c r="Q240" s="17"/>
      <x:c r="R240" s="17"/>
      <x:c r="S240" s="17"/>
      <x:c r="T240" s="9" t="str">
        <x:v>Working labels; material quantities, durability and value unspecified. Fallen parts is interpreted as recoverable salvage, not proof of mandatory ancient technology.</x:v>
      </x:c>
      <x:c r="U240" s="11" t="str">
        <x:v>equipment mounting; wind; sail</x:v>
      </x:c>
      <x:c r="V240" s="9" t="str">
        <x:v>Direct author wind-turbine, insect-wing sail and four-wheel dirtboard direction October 14, 2026; specific component breakdown is proposed.</x:v>
      </x:c>
      <x:c r="W240" s="4" t="str">
        <x:v>Crafting component</x:v>
      </x:c>
      <x:c r="X240" s="4" t="str">
        <x:v>Processed intermediate</x:v>
      </x:c>
      <x:c r="Y240" s="4" t="str">
        <x:v>Manufactured / unresolved</x:v>
      </x:c>
      <x:c r="Z240" s="4" t="str">
        <x:v>Equipment fabrication</x:v>
      </x:c>
      <x:c r="AA240" s="4" t="str">
        <x:v>Mixed / unresolved</x:v>
      </x:c>
      <x:c r="AB240" s="4" t="str">
        <x:v>Assembly</x:v>
      </x:c>
      <x:c r="AC240" s="4" t="str">
        <x:v>Proposal</x:v>
      </x:c>
      <x:c r="AD240" s="4" t="str">
        <x:f>LOWER(A240&amp;"; "&amp;B240&amp;"; "&amp;C240&amp;"; "&amp;D240&amp;"; "&amp;W240&amp;"; "&amp;X240&amp;"; "&amp;Y240&amp;"; "&amp;Z240&amp;"; "&amp;AA240&amp;"; "&amp;AB240&amp;"; "&amp;AC240&amp;"; "&amp;U240)</x:f>
        <x:v>proposal.wind.sail_grip; hand-sail grip assembly; crafting components; wind sail component; crafting component; processed intermediate; manufactured / unresolved; equipment fabrication; mixed / unresolved; assembly; proposal; equipment mounting; wind; sail</x:v>
      </x:c>
      <x:c r="AE240" s="4" t="str">
        <x:v>Author direction for equipment families; proposed components and unimplemented behavior remain explicitly separate.</x:v>
      </x:c>
      <x:c r="AF240" s="4" t="str">
        <x:v>Unassigned</x:v>
      </x:c>
      <x:c r="AG240" s="4" t="str">
        <x:v>Choose a material/part route before assigning a tier. Processing-stage labels alone do not prove chain depth.</x:v>
      </x:c>
      <x:c r="AH240" s="4" t="str">
        <x:v>Not applicable</x:v>
      </x:c>
    </x:row>
    <x:row r="241" ht="115" customHeight="1">
      <x:c r="A241" s="9" t="str">
        <x:v>proposal.wind.wheel</x:v>
      </x:c>
      <x:c r="B241" s="9" t="str">
        <x:v>Dirtboard wheel assembly</x:v>
      </x:c>
      <x:c r="C241" s="9" t="str">
        <x:v>Crafting components</x:v>
      </x:c>
      <x:c r="D241" s="9" t="str">
        <x:v>Dirtboard component</x:v>
      </x:c>
      <x:c r="E241" s="9" t="str">
        <x:v>New proposal</x:v>
      </x:c>
      <x:c r="F241" s="9" t="str">
        <x:v>Replaceable wheel-and-bearing unit candidate for the four-wheel dirtboard.</x:v>
      </x:c>
      <x:c r="G241" s="9" t="str">
        <x:v>Unassigned; no new slot approved</x:v>
      </x:c>
      <x:c r="H241" s="9" t="str">
        <x:v>Physical part / installation ownership TBD</x:v>
      </x:c>
      <x:c r="I241" s="13"/>
      <x:c r="J241" s="15"/>
      <x:c r="K241" s="9" t="str">
        <x:v>Salvage, insect-wing processing and specialist assembly; exact routes TBD</x:v>
      </x:c>
      <x:c r="L241" s="9" t="str">
        <x:v>No recipe authored. Existing metal stock, drive salvage, fasteners and compatible lubricant concepts may support later design.</x:v>
      </x:c>
      <x:c r="M241" s="9" t="str">
        <x:v>Not implemented</x:v>
      </x:c>
      <x:c r="N241" s="9" t="str">
        <x:v>Exactly four wheels on the assembled board by author direction. Wheel composition unresolved; no ordinary rubber supply assumed.</x:v>
      </x:c>
      <x:c r="O241" s="17"/>
      <x:c r="P241" s="17"/>
      <x:c r="Q241" s="17"/>
      <x:c r="R241" s="17"/>
      <x:c r="S241" s="17"/>
      <x:c r="T241" s="9" t="str">
        <x:v>Working labels; material quantities, durability and value unspecified. Fallen parts is interpreted as recoverable salvage, not proof of mandatory ancient technology.</x:v>
      </x:c>
      <x:c r="U241" s="11" t="str">
        <x:v>equipment repair; wind; sail</x:v>
      </x:c>
      <x:c r="V241" s="9" t="str">
        <x:v>Direct author wind-turbine, insect-wing sail and four-wheel dirtboard direction October 14, 2026; specific component breakdown is proposed.</x:v>
      </x:c>
      <x:c r="W241" s="4" t="str">
        <x:v>Crafting component</x:v>
      </x:c>
      <x:c r="X241" s="4" t="str">
        <x:v>Processed intermediate</x:v>
      </x:c>
      <x:c r="Y241" s="4" t="str">
        <x:v>Manufactured / unresolved</x:v>
      </x:c>
      <x:c r="Z241" s="4" t="str">
        <x:v>Equipment fabrication</x:v>
      </x:c>
      <x:c r="AA241" s="4" t="str">
        <x:v>Mixed / unresolved</x:v>
      </x:c>
      <x:c r="AB241" s="4" t="str">
        <x:v>Assembly</x:v>
      </x:c>
      <x:c r="AC241" s="4" t="str">
        <x:v>Proposal</x:v>
      </x:c>
      <x:c r="AD241" s="4" t="str">
        <x:f>LOWER(A241&amp;"; "&amp;B241&amp;"; "&amp;C241&amp;"; "&amp;D241&amp;"; "&amp;W241&amp;"; "&amp;X241&amp;"; "&amp;Y241&amp;"; "&amp;Z241&amp;"; "&amp;AA241&amp;"; "&amp;AB241&amp;"; "&amp;AC241&amp;"; "&amp;U241)</x:f>
        <x:v>proposal.wind.wheel; dirtboard wheel assembly; crafting components; dirtboard component; crafting component; processed intermediate; manufactured / unresolved; equipment fabrication; mixed / unresolved; assembly; proposal; equipment repair; wind; sail</x:v>
      </x:c>
      <x:c r="AE241" s="4" t="str">
        <x:v>Author direction for equipment families; proposed components and unimplemented behavior remain explicitly separate.</x:v>
      </x:c>
      <x:c r="AF241" s="4" t="str">
        <x:v>Unassigned</x:v>
      </x:c>
      <x:c r="AG241" s="4" t="str">
        <x:v>Choose a material/part route before assigning a tier. Processing-stage labels alone do not prove chain depth.</x:v>
      </x:c>
      <x:c r="AH241" s="4" t="str">
        <x:v>Not applicable</x:v>
      </x:c>
    </x:row>
    <x:row r="242" ht="115" customHeight="1">
      <x:c r="A242" s="9" t="str">
        <x:v>proposal.wind.truck</x:v>
      </x:c>
      <x:c r="B242" s="9" t="str">
        <x:v>Dirtboard axle / steering assembly</x:v>
      </x:c>
      <x:c r="C242" s="9" t="str">
        <x:v>Crafting components</x:v>
      </x:c>
      <x:c r="D242" s="9" t="str">
        <x:v>Dirtboard component</x:v>
      </x:c>
      <x:c r="E242" s="9" t="str">
        <x:v>New proposal</x:v>
      </x:c>
      <x:c r="F242" s="9" t="str">
        <x:v>Proposed mount joining wheels to the board and supporting a chosen steering method.</x:v>
      </x:c>
      <x:c r="G242" s="9" t="str">
        <x:v>Unassigned; no new slot approved</x:v>
      </x:c>
      <x:c r="H242" s="9" t="str">
        <x:v>Physical part / installation ownership TBD</x:v>
      </x:c>
      <x:c r="I242" s="13"/>
      <x:c r="J242" s="15"/>
      <x:c r="K242" s="9" t="str">
        <x:v>Salvage, insect-wing processing and specialist assembly; exact routes TBD</x:v>
      </x:c>
      <x:c r="L242" s="9" t="str">
        <x:v>No recipe authored. Existing metal stock, drive salvage, fasteners and compatible lubricant concepts may support later design.</x:v>
      </x:c>
      <x:c r="M242" s="9" t="str">
        <x:v>Not implemented</x:v>
      </x:c>
      <x:c r="N242" s="9" t="str">
        <x:v>Axle/truck geometry, suspension and steering response are design questions; component count unassigned.</x:v>
      </x:c>
      <x:c r="O242" s="17"/>
      <x:c r="P242" s="17"/>
      <x:c r="Q242" s="17"/>
      <x:c r="R242" s="17"/>
      <x:c r="S242" s="17"/>
      <x:c r="T242" s="9" t="str">
        <x:v>Working labels; material quantities, durability and value unspecified. Fallen parts is interpreted as recoverable salvage, not proof of mandatory ancient technology.</x:v>
      </x:c>
      <x:c r="U242" s="11" t="str">
        <x:v>equipment repair; wind; sail</x:v>
      </x:c>
      <x:c r="V242" s="9" t="str">
        <x:v>Direct author wind-turbine, insect-wing sail and four-wheel dirtboard direction October 14, 2026; specific component breakdown is proposed.</x:v>
      </x:c>
      <x:c r="W242" s="4" t="str">
        <x:v>Crafting component</x:v>
      </x:c>
      <x:c r="X242" s="4" t="str">
        <x:v>Processed intermediate</x:v>
      </x:c>
      <x:c r="Y242" s="4" t="str">
        <x:v>Manufactured / unresolved</x:v>
      </x:c>
      <x:c r="Z242" s="4" t="str">
        <x:v>Equipment fabrication</x:v>
      </x:c>
      <x:c r="AA242" s="4" t="str">
        <x:v>Metal</x:v>
      </x:c>
      <x:c r="AB242" s="4" t="str">
        <x:v>Assembly</x:v>
      </x:c>
      <x:c r="AC242" s="4" t="str">
        <x:v>Proposal</x:v>
      </x:c>
      <x:c r="AD242" s="4" t="str">
        <x:f>LOWER(A242&amp;"; "&amp;B242&amp;"; "&amp;C242&amp;"; "&amp;D242&amp;"; "&amp;W242&amp;"; "&amp;X242&amp;"; "&amp;Y242&amp;"; "&amp;Z242&amp;"; "&amp;AA242&amp;"; "&amp;AB242&amp;"; "&amp;AC242&amp;"; "&amp;U242)</x:f>
        <x:v>proposal.wind.truck; dirtboard axle / steering assembly; crafting components; dirtboard component; crafting component; processed intermediate; manufactured / unresolved; equipment fabrication; metal; assembly; proposal; equipment repair; wind; sail</x:v>
      </x:c>
      <x:c r="AE242" s="4" t="str">
        <x:v>Author direction for equipment families; proposed components and unimplemented behavior remain explicitly separate.</x:v>
      </x:c>
      <x:c r="AF242" s="4" t="str">
        <x:v>Unassigned</x:v>
      </x:c>
      <x:c r="AG242" s="4" t="str">
        <x:v>Choose a material/part route before assigning a tier. Processing-stage labels alone do not prove chain depth.</x:v>
      </x:c>
      <x:c r="AH242" s="4" t="str">
        <x:v>Not applicable</x:v>
      </x:c>
    </x:row>
    <x:row r="243" ht="115" customHeight="1">
      <x:c r="A243" s="9" t="str">
        <x:v>proposal.wind.rotor</x:v>
      </x:c>
      <x:c r="B243" s="9" t="str">
        <x:v>Salvaged turbine rotor assembly</x:v>
      </x:c>
      <x:c r="C243" s="9" t="str">
        <x:v>Crafting components</x:v>
      </x:c>
      <x:c r="D243" s="9" t="str">
        <x:v>Wind machine component</x:v>
      </x:c>
      <x:c r="E243" s="9" t="str">
        <x:v>New proposal</x:v>
      </x:c>
      <x:c r="F243" s="9" t="str">
        <x:v>Recovered or reworked rotor components for a compatible wind turbine.</x:v>
      </x:c>
      <x:c r="G243" s="9" t="str">
        <x:v>Unassigned; no new slot approved</x:v>
      </x:c>
      <x:c r="H243" s="9" t="str">
        <x:v>Physical part / installation ownership TBD</x:v>
      </x:c>
      <x:c r="I243" s="13"/>
      <x:c r="J243" s="15"/>
      <x:c r="K243" s="9" t="str">
        <x:v>Salvage, insect-wing processing and specialist assembly; exact routes TBD</x:v>
      </x:c>
      <x:c r="L243" s="9" t="str">
        <x:v>No recipe authored. Existing metal stock, drive salvage, fasteners and compatible lubricant concepts may support later design.</x:v>
      </x:c>
      <x:c r="M243" s="9" t="str">
        <x:v>Not implemented</x:v>
      </x:c>
      <x:c r="N243" s="9" t="str">
        <x:v>Blade versus membrane rotor design undecided; not automatically a complete operating turbine.</x:v>
      </x:c>
      <x:c r="O243" s="17"/>
      <x:c r="P243" s="17"/>
      <x:c r="Q243" s="17"/>
      <x:c r="R243" s="17"/>
      <x:c r="S243" s="17"/>
      <x:c r="T243" s="9" t="str">
        <x:v>Working labels; material quantities, durability and value unspecified. Fallen parts is interpreted as recoverable salvage, not proof of mandatory ancient technology.</x:v>
      </x:c>
      <x:c r="U243" s="11" t="str">
        <x:v>wind power; wind; sail</x:v>
      </x:c>
      <x:c r="V243" s="9" t="str">
        <x:v>Direct author wind-turbine, insect-wing sail and four-wheel dirtboard direction October 14, 2026; specific component breakdown is proposed.</x:v>
      </x:c>
      <x:c r="W243" s="4" t="str">
        <x:v>Crafting component</x:v>
      </x:c>
      <x:c r="X243" s="4" t="str">
        <x:v>Processed intermediate</x:v>
      </x:c>
      <x:c r="Y243" s="4" t="str">
        <x:v>Recovered machinery</x:v>
      </x:c>
      <x:c r="Z243" s="4" t="str">
        <x:v>Equipment fabrication</x:v>
      </x:c>
      <x:c r="AA243" s="4" t="str">
        <x:v>Mixed / unresolved</x:v>
      </x:c>
      <x:c r="AB243" s="4" t="str">
        <x:v>Assembly</x:v>
      </x:c>
      <x:c r="AC243" s="4" t="str">
        <x:v>Proposal</x:v>
      </x:c>
      <x:c r="AD243" s="4" t="str">
        <x:f>LOWER(A243&amp;"; "&amp;B243&amp;"; "&amp;C243&amp;"; "&amp;D243&amp;"; "&amp;W243&amp;"; "&amp;X243&amp;"; "&amp;Y243&amp;"; "&amp;Z243&amp;"; "&amp;AA243&amp;"; "&amp;AB243&amp;"; "&amp;AC243&amp;"; "&amp;U243)</x:f>
        <x:v>proposal.wind.rotor; salvaged turbine rotor assembly; crafting components; wind machine component; crafting component; processed intermediate; recovered machinery; equipment fabrication; mixed / unresolved; assembly; proposal; wind power; wind; sail</x:v>
      </x:c>
      <x:c r="AE243" s="4" t="str">
        <x:v>Author direction for equipment families; proposed components and unimplemented behavior remain explicitly separate.</x:v>
      </x:c>
      <x:c r="AF243" s="4" t="str">
        <x:v>Unassigned</x:v>
      </x:c>
      <x:c r="AG243" s="4" t="str">
        <x:v>Choose a material/part route before assigning a tier. Processing-stage labels alone do not prove chain depth.</x:v>
      </x:c>
      <x:c r="AH243" s="4" t="str">
        <x:v>Not applicable</x:v>
      </x:c>
    </x:row>
    <x:row r="244" ht="115" customHeight="1">
      <x:c r="A244" s="9" t="str">
        <x:v>proposal.wind.generator</x:v>
      </x:c>
      <x:c r="B244" s="9" t="str">
        <x:v>Salvaged generator assembly</x:v>
      </x:c>
      <x:c r="C244" s="9" t="str">
        <x:v>Crafting components</x:v>
      </x:c>
      <x:c r="D244" s="9" t="str">
        <x:v>Wind machine component</x:v>
      </x:c>
      <x:c r="E244" s="9" t="str">
        <x:v>New proposal</x:v>
      </x:c>
      <x:c r="F244" s="9" t="str">
        <x:v>Optional recovered electromechanical conversion unit for a future electrical-output turbine design.</x:v>
      </x:c>
      <x:c r="G244" s="9" t="str">
        <x:v>Unassigned; no new slot approved</x:v>
      </x:c>
      <x:c r="H244" s="9" t="str">
        <x:v>Physical part / installation ownership TBD</x:v>
      </x:c>
      <x:c r="I244" s="13"/>
      <x:c r="J244" s="15"/>
      <x:c r="K244" s="9" t="str">
        <x:v>Salvage, insect-wing processing and specialist assembly; exact routes TBD</x:v>
      </x:c>
      <x:c r="L244" s="9" t="str">
        <x:v>No recipe authored. Existing metal stock, drive salvage, fasteners and compatible lubricant concepts may support later design.</x:v>
      </x:c>
      <x:c r="M244" s="9" t="str">
        <x:v>Not implemented</x:v>
      </x:c>
      <x:c r="N244" s="9" t="str">
        <x:v>Wind output may instead drive machinery directly. Electrical output, connections and Arc Battery compatibility are undefined.</x:v>
      </x:c>
      <x:c r="O244" s="17"/>
      <x:c r="P244" s="17"/>
      <x:c r="Q244" s="17"/>
      <x:c r="R244" s="17"/>
      <x:c r="S244" s="17"/>
      <x:c r="T244" s="9" t="str">
        <x:v>Working labels; material quantities, durability and value unspecified. Fallen parts is interpreted as recoverable salvage, not proof of mandatory ancient technology.</x:v>
      </x:c>
      <x:c r="U244" s="11" t="str">
        <x:v>wind power; wind; sail</x:v>
      </x:c>
      <x:c r="V244" s="9" t="str">
        <x:v>Direct author wind-turbine, insect-wing sail and four-wheel dirtboard direction October 14, 2026; specific component breakdown is proposed.</x:v>
      </x:c>
      <x:c r="W244" s="4" t="str">
        <x:v>Crafting component</x:v>
      </x:c>
      <x:c r="X244" s="4" t="str">
        <x:v>Processed intermediate</x:v>
      </x:c>
      <x:c r="Y244" s="4" t="str">
        <x:v>Recovered machinery</x:v>
      </x:c>
      <x:c r="Z244" s="4" t="str">
        <x:v>Energy processing</x:v>
      </x:c>
      <x:c r="AA244" s="4" t="str">
        <x:v>Mixed / unresolved</x:v>
      </x:c>
      <x:c r="AB244" s="4" t="str">
        <x:v>Assembly</x:v>
      </x:c>
      <x:c r="AC244" s="4" t="str">
        <x:v>Proposal</x:v>
      </x:c>
      <x:c r="AD244" s="4" t="str">
        <x:f>LOWER(A244&amp;"; "&amp;B244&amp;"; "&amp;C244&amp;"; "&amp;D244&amp;"; "&amp;W244&amp;"; "&amp;X244&amp;"; "&amp;Y244&amp;"; "&amp;Z244&amp;"; "&amp;AA244&amp;"; "&amp;AB244&amp;"; "&amp;AC244&amp;"; "&amp;U244)</x:f>
        <x:v>proposal.wind.generator; salvaged generator assembly; crafting components; wind machine component; crafting component; processed intermediate; recovered machinery; energy processing; mixed / unresolved; assembly; proposal; wind power; wind; sail</x:v>
      </x:c>
      <x:c r="AE244" s="4" t="str">
        <x:v>Author direction for equipment families; proposed components and unimplemented behavior remain explicitly separate.</x:v>
      </x:c>
      <x:c r="AF244" s="4" t="str">
        <x:v>Unassigned</x:v>
      </x:c>
      <x:c r="AG244" s="4" t="str">
        <x:v>Choose a material/part route before assigning a tier. Processing-stage labels alone do not prove chain depth.</x:v>
      </x:c>
      <x:c r="AH244" s="4" t="str">
        <x:v>Not applicable</x:v>
      </x:c>
    </x:row>
    <x:row r="245" ht="115" customHeight="1">
      <x:c r="A245" s="9" t="str">
        <x:v>proposal.legger.sling</x:v>
      </x:c>
      <x:c r="B245" s="9" t="str">
        <x:v>Legger cargo sling</x:v>
      </x:c>
      <x:c r="C245" s="9" t="str">
        <x:v>Equipment</x:v>
      </x:c>
      <x:c r="D245" s="9" t="str">
        <x:v>Legger cargo rigging</x:v>
      </x:c>
      <x:c r="E245" s="9" t="str">
        <x:v>New proposal</x:v>
      </x:c>
      <x:c r="F245" s="9" t="str">
        <x:v>Flexible cradle carrying a physically supported load.</x:v>
      </x:c>
      <x:c r="G245" s="9" t="str">
        <x:v>Legger fitment unresolved</x:v>
      </x:c>
      <x:c r="H245" s="9" t="str">
        <x:v>Legger attachment / replacement intended; physical cargo policy unchanged</x:v>
      </x:c>
      <x:c r="I245" s="13"/>
      <x:c r="J245" s="15"/>
      <x:c r="K245" s="9" t="str">
        <x:v>Local craft, salvage or specialist trade; exact route TBD</x:v>
      </x:c>
      <x:c r="L245" s="9" t="str">
        <x:v>No recipe authored. Reuse existing iron stock, biological materials, ceramic craft, lubricant and ancient-material families where appropriate.</x:v>
      </x:c>
      <x:c r="M245" s="9" t="str">
        <x:v>Not implemented</x:v>
      </x:c>
      <x:c r="N245" s="9" t="str">
        <x:v>Metal links, biological cord or scarce processed hide are candidates; no ordinary cloth. Cargo envelope and fit TBD.</x:v>
      </x:c>
      <x:c r="O245" s="17"/>
      <x:c r="P245" s="17"/>
      <x:c r="Q245" s="17"/>
      <x:c r="R245" s="17"/>
      <x:c r="S245" s="17"/>
      <x:c r="T245" s="9" t="str">
        <x:v>Brainstorming candidate. Geometry, cost, mass, mounting, carrying and replacement behavior remain open. Part belongs to a finite physical companion.</x:v>
      </x:c>
      <x:c r="U245" s="11" t="str">
        <x:v>equipment mounting; legger; leger; companion replacement part</x:v>
      </x:c>
      <x:c r="V245" s="9" t="str">
        <x:v>Author Legger slings/chassis/replacement/iron/ancient-armor brainstorming October 14, 2026; Docs/WORLD_BASIS.md#the-legger; specific item proposal.</x:v>
      </x:c>
      <x:c r="W245" s="4" t="str">
        <x:v>Carrier</x:v>
      </x:c>
      <x:c r="X245" s="4" t="str">
        <x:v>Finished item</x:v>
      </x:c>
      <x:c r="Y245" s="4" t="str">
        <x:v>Manufactured / unresolved</x:v>
      </x:c>
      <x:c r="Z245" s="4" t="str">
        <x:v>Cargo organization</x:v>
      </x:c>
      <x:c r="AA245" s="4" t="str">
        <x:v>Mixed / unresolved</x:v>
      </x:c>
      <x:c r="AB245" s="4" t="str">
        <x:v>Assembly</x:v>
      </x:c>
      <x:c r="AC245" s="4" t="str">
        <x:v>Proposal</x:v>
      </x:c>
      <x:c r="AD245" s="4" t="str">
        <x:f>LOWER(A245&amp;"; "&amp;B245&amp;"; "&amp;C245&amp;"; "&amp;D245&amp;"; "&amp;W245&amp;"; "&amp;X245&amp;"; "&amp;Y245&amp;"; "&amp;Z245&amp;"; "&amp;AA245&amp;"; "&amp;AB245&amp;"; "&amp;AC245&amp;"; "&amp;U245)</x:f>
        <x:v>proposal.legger.sling; legger cargo sling; equipment; legger cargo rigging; carrier; finished item; manufactured / unresolved; cargo organization; mixed / unresolved; assembly; proposal; equipment mounting; legger; leger; companion replacement part</x:v>
      </x:c>
      <x:c r="AE245" s="4" t="str">
        <x:v>Specific parts and protective properties remain proposals; ancient-material scarcity is established author direction.</x:v>
      </x:c>
      <x:c r="AF245" s="4" t="str">
        <x:v>Finished item</x:v>
      </x:c>
      <x:c r="AG245" s="4" t="str">
        <x:v>Completed gear, vessel, food or tool can stop at its chosen material tier; it need not climb to T4.</x:v>
      </x:c>
      <x:c r="AH245" s="4" t="str">
        <x:v>Unassigned</x:v>
      </x:c>
    </x:row>
    <x:row r="246" ht="115" customHeight="1">
      <x:c r="A246" s="9" t="str">
        <x:v>proposal.legger.cradle</x:v>
      </x:c>
      <x:c r="B246" s="9" t="str">
        <x:v>Legger rigid cargo cradle</x:v>
      </x:c>
      <x:c r="C246" s="9" t="str">
        <x:v>Equipment</x:v>
      </x:c>
      <x:c r="D246" s="9" t="str">
        <x:v>Legger cargo rigging</x:v>
      </x:c>
      <x:c r="E246" s="9" t="str">
        <x:v>New proposal</x:v>
      </x:c>
      <x:c r="F246" s="9" t="str">
        <x:v>Fitted frame for an awkward piece of salvage or a compatible container.</x:v>
      </x:c>
      <x:c r="G246" s="9" t="str">
        <x:v>Legger fitment unresolved</x:v>
      </x:c>
      <x:c r="H246" s="9" t="str">
        <x:v>Legger attachment / replacement intended; physical cargo policy unchanged</x:v>
      </x:c>
      <x:c r="I246" s="13"/>
      <x:c r="J246" s="15"/>
      <x:c r="K246" s="9" t="str">
        <x:v>Local craft, salvage or specialist trade; exact route TBD</x:v>
      </x:c>
      <x:c r="L246" s="9" t="str">
        <x:v>No recipe authored. Reuse existing iron stock, biological materials, ceramic craft, lubricant and ancient-material families where appropriate.</x:v>
      </x:c>
      <x:c r="M246" s="9" t="str">
        <x:v>Not implemented</x:v>
      </x:c>
      <x:c r="N246" s="9" t="str">
        <x:v>Shape-specific support differs from a flexible sling; dimensions and capacity undecided.</x:v>
      </x:c>
      <x:c r="O246" s="17"/>
      <x:c r="P246" s="17"/>
      <x:c r="Q246" s="17"/>
      <x:c r="R246" s="17"/>
      <x:c r="S246" s="17"/>
      <x:c r="T246" s="9" t="str">
        <x:v>Brainstorming candidate. Geometry, cost, mass, mounting, carrying and replacement behavior remain open. Part belongs to a finite physical companion.</x:v>
      </x:c>
      <x:c r="U246" s="11" t="str">
        <x:v>equipment mounting; legger; leger; companion replacement part</x:v>
      </x:c>
      <x:c r="V246" s="9" t="str">
        <x:v>Author Legger slings/chassis/replacement/iron/ancient-armor brainstorming October 14, 2026; Docs/WORLD_BASIS.md#the-legger; specific item proposal.</x:v>
      </x:c>
      <x:c r="W246" s="4" t="str">
        <x:v>Carrier</x:v>
      </x:c>
      <x:c r="X246" s="4" t="str">
        <x:v>Finished item</x:v>
      </x:c>
      <x:c r="Y246" s="4" t="str">
        <x:v>Manufactured / unresolved</x:v>
      </x:c>
      <x:c r="Z246" s="4" t="str">
        <x:v>Cargo organization</x:v>
      </x:c>
      <x:c r="AA246" s="4" t="str">
        <x:v>Metal</x:v>
      </x:c>
      <x:c r="AB246" s="4" t="str">
        <x:v>Assembly</x:v>
      </x:c>
      <x:c r="AC246" s="4" t="str">
        <x:v>Proposal</x:v>
      </x:c>
      <x:c r="AD246" s="4" t="str">
        <x:f>LOWER(A246&amp;"; "&amp;B246&amp;"; "&amp;C246&amp;"; "&amp;D246&amp;"; "&amp;W246&amp;"; "&amp;X246&amp;"; "&amp;Y246&amp;"; "&amp;Z246&amp;"; "&amp;AA246&amp;"; "&amp;AB246&amp;"; "&amp;AC246&amp;"; "&amp;U246)</x:f>
        <x:v>proposal.legger.cradle; legger rigid cargo cradle; equipment; legger cargo rigging; carrier; finished item; manufactured / unresolved; cargo organization; metal; assembly; proposal; equipment mounting; legger; leger; companion replacement part</x:v>
      </x:c>
      <x:c r="AE246" s="4" t="str">
        <x:v>Specific parts and protective properties remain proposals; ancient-material scarcity is established author direction.</x:v>
      </x:c>
      <x:c r="AF246" s="4" t="str">
        <x:v>Finished item</x:v>
      </x:c>
      <x:c r="AG246" s="4" t="str">
        <x:v>Completed gear, vessel, food or tool can stop at its chosen material tier; it need not climb to T4.</x:v>
      </x:c>
      <x:c r="AH246" s="4" t="str">
        <x:v>Unassigned</x:v>
      </x:c>
    </x:row>
    <x:row r="247" ht="115" customHeight="1">
      <x:c r="A247" s="9" t="str">
        <x:v>proposal.legger.anchors</x:v>
      </x:c>
      <x:c r="B247" s="9" t="str">
        <x:v>Legger lashing-anchor set</x:v>
      </x:c>
      <x:c r="C247" s="9" t="str">
        <x:v>Crafting components</x:v>
      </x:c>
      <x:c r="D247" s="9" t="str">
        <x:v>Legger cargo rigging</x:v>
      </x:c>
      <x:c r="E247" s="9" t="str">
        <x:v>New proposal</x:v>
      </x:c>
      <x:c r="F247" s="9" t="str">
        <x:v>Attachment eyes and retainers for a chosen cargo rig.</x:v>
      </x:c>
      <x:c r="G247" s="9" t="str">
        <x:v>Legger fitment unresolved</x:v>
      </x:c>
      <x:c r="H247" s="9" t="str">
        <x:v>Legger attachment / replacement intended; physical cargo policy unchanged</x:v>
      </x:c>
      <x:c r="I247" s="13"/>
      <x:c r="J247" s="15"/>
      <x:c r="K247" s="9" t="str">
        <x:v>Local craft, salvage or specialist trade; exact route TBD</x:v>
      </x:c>
      <x:c r="L247" s="9" t="str">
        <x:v>No recipe authored. Reuse existing iron stock, biological materials, ceramic craft, lubricant and ancient-material families where appropriate.</x:v>
      </x:c>
      <x:c r="M247" s="9" t="str">
        <x:v>Not implemented</x:v>
      </x:c>
      <x:c r="N247" s="9" t="str">
        <x:v>Anchor geometry, fastening and loads unresolved; item is a set with quantity not yet defined.</x:v>
      </x:c>
      <x:c r="O247" s="17"/>
      <x:c r="P247" s="17"/>
      <x:c r="Q247" s="17"/>
      <x:c r="R247" s="17"/>
      <x:c r="S247" s="17"/>
      <x:c r="T247" s="9" t="str">
        <x:v>Brainstorming candidate. Geometry, cost, mass, mounting, carrying and replacement behavior remain open. Part belongs to a finite physical companion.</x:v>
      </x:c>
      <x:c r="U247" s="11" t="str">
        <x:v>legger; leger; companion replacement part</x:v>
      </x:c>
      <x:c r="V247" s="9" t="str">
        <x:v>Author Legger slings/chassis/replacement/iron/ancient-armor brainstorming October 14, 2026; Docs/WORLD_BASIS.md#the-legger; specific item proposal.</x:v>
      </x:c>
      <x:c r="W247" s="4" t="str">
        <x:v>Crafting component</x:v>
      </x:c>
      <x:c r="X247" s="4" t="str">
        <x:v>Processed intermediate</x:v>
      </x:c>
      <x:c r="Y247" s="4" t="str">
        <x:v>Manufactured / unresolved</x:v>
      </x:c>
      <x:c r="Z247" s="4" t="str">
        <x:v>Equipment mounting</x:v>
      </x:c>
      <x:c r="AA247" s="4" t="str">
        <x:v>Metal</x:v>
      </x:c>
      <x:c r="AB247" s="4" t="str">
        <x:v>Assembly</x:v>
      </x:c>
      <x:c r="AC247" s="4" t="str">
        <x:v>Proposal</x:v>
      </x:c>
      <x:c r="AD247" s="4" t="str">
        <x:f>LOWER(A247&amp;"; "&amp;B247&amp;"; "&amp;C247&amp;"; "&amp;D247&amp;"; "&amp;W247&amp;"; "&amp;X247&amp;"; "&amp;Y247&amp;"; "&amp;Z247&amp;"; "&amp;AA247&amp;"; "&amp;AB247&amp;"; "&amp;AC247&amp;"; "&amp;U247)</x:f>
        <x:v>proposal.legger.anchors; legger lashing-anchor set; crafting components; legger cargo rigging; crafting component; processed intermediate; manufactured / unresolved; equipment mounting; metal; assembly; proposal; legger; leger; companion replacement part</x:v>
      </x:c>
      <x:c r="AE247" s="4" t="str">
        <x:v>Specific parts and protective properties remain proposals; ancient-material scarcity is established author direction.</x:v>
      </x:c>
      <x:c r="AF247" s="4" t="str">
        <x:v>Unassigned</x:v>
      </x:c>
      <x:c r="AG247" s="4" t="str">
        <x:v>Choose a material/part route before assigning a tier. Processing-stage labels alone do not prove chain depth.</x:v>
      </x:c>
      <x:c r="AH247" s="4" t="str">
        <x:v>Not applicable</x:v>
      </x:c>
    </x:row>
    <x:row r="248" ht="115" customHeight="1">
      <x:c r="A248" s="9" t="str">
        <x:v>proposal.legger.balance_link</x:v>
      </x:c>
      <x:c r="B248" s="9" t="str">
        <x:v>Legger load-balance linkage</x:v>
      </x:c>
      <x:c r="C248" s="9" t="str">
        <x:v>Crafting components</x:v>
      </x:c>
      <x:c r="D248" s="9" t="str">
        <x:v>Legger cargo rigging</x:v>
      </x:c>
      <x:c r="E248" s="9" t="str">
        <x:v>New proposal</x:v>
      </x:c>
      <x:c r="F248" s="9" t="str">
        <x:v>Mechanical linkage candidate to distribute a supported cargo load.</x:v>
      </x:c>
      <x:c r="G248" s="9" t="str">
        <x:v>Legger fitment unresolved</x:v>
      </x:c>
      <x:c r="H248" s="9" t="str">
        <x:v>Legger attachment / replacement intended; physical cargo policy unchanged</x:v>
      </x:c>
      <x:c r="I248" s="13"/>
      <x:c r="J248" s="15"/>
      <x:c r="K248" s="9" t="str">
        <x:v>Local craft, salvage or specialist trade; exact route TBD</x:v>
      </x:c>
      <x:c r="L248" s="9" t="str">
        <x:v>No recipe authored. Reuse existing iron stock, biological materials, ceramic craft, lubricant and ancient-material families where appropriate.</x:v>
      </x:c>
      <x:c r="M248" s="9" t="str">
        <x:v>Not implemented</x:v>
      </x:c>
      <x:c r="N248" s="9" t="str">
        <x:v>A design goal rather than active self-balancing behavior; no increased capacity or stability stat assigned.</x:v>
      </x:c>
      <x:c r="O248" s="17"/>
      <x:c r="P248" s="17"/>
      <x:c r="Q248" s="17"/>
      <x:c r="R248" s="17"/>
      <x:c r="S248" s="17"/>
      <x:c r="T248" s="9" t="str">
        <x:v>Brainstorming candidate. Geometry, cost, mass, mounting, carrying and replacement behavior remain open. Part belongs to a finite physical companion.</x:v>
      </x:c>
      <x:c r="U248" s="11" t="str">
        <x:v>equipment mounting; legger; leger; companion replacement part</x:v>
      </x:c>
      <x:c r="V248" s="9" t="str">
        <x:v>Author Legger slings/chassis/replacement/iron/ancient-armor brainstorming October 14, 2026; Docs/WORLD_BASIS.md#the-legger; specific item proposal.</x:v>
      </x:c>
      <x:c r="W248" s="4" t="str">
        <x:v>Crafting component</x:v>
      </x:c>
      <x:c r="X248" s="4" t="str">
        <x:v>Processed intermediate</x:v>
      </x:c>
      <x:c r="Y248" s="4" t="str">
        <x:v>Manufactured / unresolved</x:v>
      </x:c>
      <x:c r="Z248" s="4" t="str">
        <x:v>Cargo organization</x:v>
      </x:c>
      <x:c r="AA248" s="4" t="str">
        <x:v>Metal</x:v>
      </x:c>
      <x:c r="AB248" s="4" t="str">
        <x:v>Assembly</x:v>
      </x:c>
      <x:c r="AC248" s="4" t="str">
        <x:v>Proposal</x:v>
      </x:c>
      <x:c r="AD248" s="4" t="str">
        <x:f>LOWER(A248&amp;"; "&amp;B248&amp;"; "&amp;C248&amp;"; "&amp;D248&amp;"; "&amp;W248&amp;"; "&amp;X248&amp;"; "&amp;Y248&amp;"; "&amp;Z248&amp;"; "&amp;AA248&amp;"; "&amp;AB248&amp;"; "&amp;AC248&amp;"; "&amp;U248)</x:f>
        <x:v>proposal.legger.balance_link; legger load-balance linkage; crafting components; legger cargo rigging; crafting component; processed intermediate; manufactured / unresolved; cargo organization; metal; assembly; proposal; equipment mounting; legger; leger; companion replacement part</x:v>
      </x:c>
      <x:c r="AE248" s="4" t="str">
        <x:v>Specific parts and protective properties remain proposals; ancient-material scarcity is established author direction.</x:v>
      </x:c>
      <x:c r="AF248" s="4" t="str">
        <x:v>Unassigned</x:v>
      </x:c>
      <x:c r="AG248" s="4" t="str">
        <x:v>Choose a material/part route before assigning a tier. Processing-stage labels alone do not prove chain depth.</x:v>
      </x:c>
      <x:c r="AH248" s="4" t="str">
        <x:v>Not applicable</x:v>
      </x:c>
    </x:row>
    <x:row r="249" ht="115" customHeight="1">
      <x:c r="A249" s="9" t="str">
        <x:v>proposal.legger.iron_rib</x:v>
      </x:c>
      <x:c r="B249" s="9" t="str">
        <x:v>Iron chassis replacement rib</x:v>
      </x:c>
      <x:c r="C249" s="9" t="str">
        <x:v>Crafting components</x:v>
      </x:c>
      <x:c r="D249" s="9" t="str">
        <x:v>Legger chassis</x:v>
      </x:c>
      <x:c r="E249" s="9" t="str">
        <x:v>New proposal</x:v>
      </x:c>
      <x:c r="F249" s="9" t="str">
        <x:v>Locally worked iron replacement for a selected damaged chassis member.</x:v>
      </x:c>
      <x:c r="G249" s="9" t="str">
        <x:v>Legger fitment unresolved</x:v>
      </x:c>
      <x:c r="H249" s="9" t="str">
        <x:v>Legger attachment / replacement intended; physical cargo policy unchanged</x:v>
      </x:c>
      <x:c r="I249" s="13"/>
      <x:c r="J249" s="15"/>
      <x:c r="K249" s="9" t="str">
        <x:v>Local craft, salvage or specialist trade; exact route TBD</x:v>
      </x:c>
      <x:c r="L249" s="9" t="str">
        <x:v>No recipe authored. Reuse existing iron stock, biological materials, ceramic craft, lubricant and ancient-material families where appropriate.</x:v>
      </x:c>
      <x:c r="M249" s="9" t="str">
        <x:v>Not implemented</x:v>
      </x:c>
      <x:c r="N249" s="9" t="str">
        <x:v>Geometry, weight and compatibility must match the selected host; iron is not an automatic drop-in substitute.</x:v>
      </x:c>
      <x:c r="O249" s="17"/>
      <x:c r="P249" s="17"/>
      <x:c r="Q249" s="17"/>
      <x:c r="R249" s="17"/>
      <x:c r="S249" s="17"/>
      <x:c r="T249" s="9" t="str">
        <x:v>Brainstorming candidate. Geometry, cost, mass, mounting, carrying and replacement behavior remain open. Part belongs to a finite physical companion.</x:v>
      </x:c>
      <x:c r="U249" s="11" t="str">
        <x:v>legger; leger; companion replacement part</x:v>
      </x:c>
      <x:c r="V249" s="9" t="str">
        <x:v>Author Legger slings/chassis/replacement/iron/ancient-armor brainstorming October 14, 2026; Docs/WORLD_BASIS.md#the-legger; specific item proposal.</x:v>
      </x:c>
      <x:c r="W249" s="4" t="str">
        <x:v>Crafting component</x:v>
      </x:c>
      <x:c r="X249" s="4" t="str">
        <x:v>Processed intermediate</x:v>
      </x:c>
      <x:c r="Y249" s="4" t="str">
        <x:v>Manufactured / unresolved</x:v>
      </x:c>
      <x:c r="Z249" s="4" t="str">
        <x:v>Equipment repair</x:v>
      </x:c>
      <x:c r="AA249" s="4" t="str">
        <x:v>Metal</x:v>
      </x:c>
      <x:c r="AB249" s="4" t="str">
        <x:v>Solid part</x:v>
      </x:c>
      <x:c r="AC249" s="4" t="str">
        <x:v>Proposal</x:v>
      </x:c>
      <x:c r="AD249" s="4" t="str">
        <x:f>LOWER(A249&amp;"; "&amp;B249&amp;"; "&amp;C249&amp;"; "&amp;D249&amp;"; "&amp;W249&amp;"; "&amp;X249&amp;"; "&amp;Y249&amp;"; "&amp;Z249&amp;"; "&amp;AA249&amp;"; "&amp;AB249&amp;"; "&amp;AC249&amp;"; "&amp;U249)</x:f>
        <x:v>proposal.legger.iron_rib; iron chassis replacement rib; crafting components; legger chassis; crafting component; processed intermediate; manufactured / unresolved; equipment repair; metal; solid part; proposal; legger; leger; companion replacement part</x:v>
      </x:c>
      <x:c r="AE249" s="4" t="str">
        <x:v>Specific parts and protective properties remain proposals; ancient-material scarcity is established author direction.</x:v>
      </x:c>
      <x:c r="AF249" s="4" t="str">
        <x:v>Unassigned</x:v>
      </x:c>
      <x:c r="AG249" s="4" t="str">
        <x:v>Choose a material/part route before assigning a tier. Processing-stage labels alone do not prove chain depth.</x:v>
      </x:c>
      <x:c r="AH249" s="4" t="str">
        <x:v>Not applicable</x:v>
      </x:c>
    </x:row>
    <x:row r="250" ht="115" customHeight="1">
      <x:c r="A250" s="9" t="str">
        <x:v>proposal.legger.crossbrace</x:v>
      </x:c>
      <x:c r="B250" s="9" t="str">
        <x:v>Chassis crossbrace</x:v>
      </x:c>
      <x:c r="C250" s="9" t="str">
        <x:v>Crafting components</x:v>
      </x:c>
      <x:c r="D250" s="9" t="str">
        <x:v>Legger chassis</x:v>
      </x:c>
      <x:c r="E250" s="9" t="str">
        <x:v>New proposal</x:v>
      </x:c>
      <x:c r="F250" s="9" t="str">
        <x:v>Brace joining selected chassis members.</x:v>
      </x:c>
      <x:c r="G250" s="9" t="str">
        <x:v>Legger fitment unresolved</x:v>
      </x:c>
      <x:c r="H250" s="9" t="str">
        <x:v>Legger attachment / replacement intended; physical cargo policy unchanged</x:v>
      </x:c>
      <x:c r="I250" s="13"/>
      <x:c r="J250" s="15"/>
      <x:c r="K250" s="9" t="str">
        <x:v>Local craft, salvage or specialist trade; exact route TBD</x:v>
      </x:c>
      <x:c r="L250" s="9" t="str">
        <x:v>No recipe authored. Reuse existing iron stock, biological materials, ceramic craft, lubricant and ancient-material families where appropriate.</x:v>
      </x:c>
      <x:c r="M250" s="9" t="str">
        <x:v>Not implemented</x:v>
      </x:c>
      <x:c r="N250" s="9" t="str">
        <x:v>Mounting pattern, material grade and repair procedure TBD.</x:v>
      </x:c>
      <x:c r="O250" s="17"/>
      <x:c r="P250" s="17"/>
      <x:c r="Q250" s="17"/>
      <x:c r="R250" s="17"/>
      <x:c r="S250" s="17"/>
      <x:c r="T250" s="9" t="str">
        <x:v>Brainstorming candidate. Geometry, cost, mass, mounting, carrying and replacement behavior remain open. Part belongs to a finite physical companion.</x:v>
      </x:c>
      <x:c r="U250" s="11" t="str">
        <x:v>equipment fabrication; legger; leger; companion replacement part</x:v>
      </x:c>
      <x:c r="V250" s="9" t="str">
        <x:v>Author Legger slings/chassis/replacement/iron/ancient-armor brainstorming October 14, 2026; Docs/WORLD_BASIS.md#the-legger; specific item proposal.</x:v>
      </x:c>
      <x:c r="W250" s="4" t="str">
        <x:v>Crafting component</x:v>
      </x:c>
      <x:c r="X250" s="4" t="str">
        <x:v>Processed intermediate</x:v>
      </x:c>
      <x:c r="Y250" s="4" t="str">
        <x:v>Manufactured / unresolved</x:v>
      </x:c>
      <x:c r="Z250" s="4" t="str">
        <x:v>Equipment repair</x:v>
      </x:c>
      <x:c r="AA250" s="4" t="str">
        <x:v>Metal</x:v>
      </x:c>
      <x:c r="AB250" s="4" t="str">
        <x:v>Solid part</x:v>
      </x:c>
      <x:c r="AC250" s="4" t="str">
        <x:v>Proposal</x:v>
      </x:c>
      <x:c r="AD250" s="4" t="str">
        <x:f>LOWER(A250&amp;"; "&amp;B250&amp;"; "&amp;C250&amp;"; "&amp;D250&amp;"; "&amp;W250&amp;"; "&amp;X250&amp;"; "&amp;Y250&amp;"; "&amp;Z250&amp;"; "&amp;AA250&amp;"; "&amp;AB250&amp;"; "&amp;AC250&amp;"; "&amp;U250)</x:f>
        <x:v>proposal.legger.crossbrace; chassis crossbrace; crafting components; legger chassis; crafting component; processed intermediate; manufactured / unresolved; equipment repair; metal; solid part; proposal; equipment fabrication; legger; leger; companion replacement part</x:v>
      </x:c>
      <x:c r="AE250" s="4" t="str">
        <x:v>Specific parts and protective properties remain proposals; ancient-material scarcity is established author direction.</x:v>
      </x:c>
      <x:c r="AF250" s="4" t="str">
        <x:v>Unassigned</x:v>
      </x:c>
      <x:c r="AG250" s="4" t="str">
        <x:v>Choose a material/part route before assigning a tier. Processing-stage labels alone do not prove chain depth.</x:v>
      </x:c>
      <x:c r="AH250" s="4" t="str">
        <x:v>Not applicable</x:v>
      </x:c>
    </x:row>
    <x:row r="251" ht="115" customHeight="1">
      <x:c r="A251" s="9" t="str">
        <x:v>proposal.legger.belly_pan</x:v>
      </x:c>
      <x:c r="B251" s="9" t="str">
        <x:v>Legger chassis belly pan</x:v>
      </x:c>
      <x:c r="C251" s="9" t="str">
        <x:v>Equipment</x:v>
      </x:c>
      <x:c r="D251" s="9" t="str">
        <x:v>Legger chassis</x:v>
      </x:c>
      <x:c r="E251" s="9" t="str">
        <x:v>New proposal</x:v>
      </x:c>
      <x:c r="F251" s="9" t="str">
        <x:v>Lower chassis cover candidate for debris and contact exposure.</x:v>
      </x:c>
      <x:c r="G251" s="9" t="str">
        <x:v>Legger fitment unresolved</x:v>
      </x:c>
      <x:c r="H251" s="9" t="str">
        <x:v>Legger attachment / replacement intended; physical cargo policy unchanged</x:v>
      </x:c>
      <x:c r="I251" s="13"/>
      <x:c r="J251" s="15"/>
      <x:c r="K251" s="9" t="str">
        <x:v>Local craft, salvage or specialist trade; exact route TBD</x:v>
      </x:c>
      <x:c r="L251" s="9" t="str">
        <x:v>No recipe authored. Reuse existing iron stock, biological materials, ceramic craft, lubricant and ancient-material families where appropriate.</x:v>
      </x:c>
      <x:c r="M251" s="9" t="str">
        <x:v>Not implemented</x:v>
      </x:c>
      <x:c r="N251" s="9" t="str">
        <x:v>Clearance, access and actual protection remain undecided.</x:v>
      </x:c>
      <x:c r="O251" s="17"/>
      <x:c r="P251" s="17"/>
      <x:c r="Q251" s="17"/>
      <x:c r="R251" s="17"/>
      <x:c r="S251" s="17"/>
      <x:c r="T251" s="9" t="str">
        <x:v>Brainstorming candidate. Geometry, cost, mass, mounting, carrying and replacement behavior remain open. Part belongs to a finite physical companion.</x:v>
      </x:c>
      <x:c r="U251" s="11" t="str">
        <x:v>dust exclusion; legger; leger; companion replacement part</x:v>
      </x:c>
      <x:c r="V251" s="9" t="str">
        <x:v>Author Legger slings/chassis/replacement/iron/ancient-armor brainstorming October 14, 2026; Docs/WORLD_BASIS.md#the-legger; specific item proposal.</x:v>
      </x:c>
      <x:c r="W251" s="4" t="str">
        <x:v>Armor</x:v>
      </x:c>
      <x:c r="X251" s="4" t="str">
        <x:v>Finished item</x:v>
      </x:c>
      <x:c r="Y251" s="4" t="str">
        <x:v>Manufactured / unresolved</x:v>
      </x:c>
      <x:c r="Z251" s="4" t="str">
        <x:v>Protection</x:v>
      </x:c>
      <x:c r="AA251" s="4" t="str">
        <x:v>Metal</x:v>
      </x:c>
      <x:c r="AB251" s="4" t="str">
        <x:v>Assembly</x:v>
      </x:c>
      <x:c r="AC251" s="4" t="str">
        <x:v>Proposal</x:v>
      </x:c>
      <x:c r="AD251" s="4" t="str">
        <x:f>LOWER(A251&amp;"; "&amp;B251&amp;"; "&amp;C251&amp;"; "&amp;D251&amp;"; "&amp;W251&amp;"; "&amp;X251&amp;"; "&amp;Y251&amp;"; "&amp;Z251&amp;"; "&amp;AA251&amp;"; "&amp;AB251&amp;"; "&amp;AC251&amp;"; "&amp;U251)</x:f>
        <x:v>proposal.legger.belly_pan; legger chassis belly pan; equipment; legger chassis; armor; finished item; manufactured / unresolved; protection; metal; assembly; proposal; dust exclusion; legger; leger; companion replacement part</x:v>
      </x:c>
      <x:c r="AE251" s="4" t="str">
        <x:v>Specific parts and protective properties remain proposals; ancient-material scarcity is established author direction.</x:v>
      </x:c>
      <x:c r="AF251" s="4" t="str">
        <x:v>Finished item</x:v>
      </x:c>
      <x:c r="AG251" s="4" t="str">
        <x:v>Completed gear, vessel, food or tool can stop at its chosen material tier; it need not climb to T4.</x:v>
      </x:c>
      <x:c r="AH251" s="4" t="str">
        <x:v>Unassigned</x:v>
      </x:c>
    </x:row>
    <x:row r="252" ht="115" customHeight="1">
      <x:c r="A252" s="9" t="str">
        <x:v>proposal.legger.mount_rail</x:v>
      </x:c>
      <x:c r="B252" s="9" t="str">
        <x:v>Legger attachment rail</x:v>
      </x:c>
      <x:c r="C252" s="9" t="str">
        <x:v>Crafting components</x:v>
      </x:c>
      <x:c r="D252" s="9" t="str">
        <x:v>Legger chassis</x:v>
      </x:c>
      <x:c r="E252" s="9" t="str">
        <x:v>New proposal</x:v>
      </x:c>
      <x:c r="F252" s="9" t="str">
        <x:v>Standardized mounting surface candidate for selected Legger attachments.</x:v>
      </x:c>
      <x:c r="G252" s="9" t="str">
        <x:v>Legger fitment unresolved</x:v>
      </x:c>
      <x:c r="H252" s="9" t="str">
        <x:v>Legger attachment / replacement intended; physical cargo policy unchanged</x:v>
      </x:c>
      <x:c r="I252" s="13"/>
      <x:c r="J252" s="15"/>
      <x:c r="K252" s="9" t="str">
        <x:v>Local craft, salvage or specialist trade; exact route TBD</x:v>
      </x:c>
      <x:c r="L252" s="9" t="str">
        <x:v>No recipe authored. Reuse existing iron stock, biological materials, ceramic craft, lubricant and ancient-material families where appropriate.</x:v>
      </x:c>
      <x:c r="M252" s="9" t="str">
        <x:v>Not implemented</x:v>
      </x:c>
      <x:c r="N252" s="9" t="str">
        <x:v>Compatibility is a future design choice; does not create universal sockets or unlimited attachments.</x:v>
      </x:c>
      <x:c r="O252" s="17"/>
      <x:c r="P252" s="17"/>
      <x:c r="Q252" s="17"/>
      <x:c r="R252" s="17"/>
      <x:c r="S252" s="17"/>
      <x:c r="T252" s="9" t="str">
        <x:v>Brainstorming candidate. Geometry, cost, mass, mounting, carrying and replacement behavior remain open. Part belongs to a finite physical companion.</x:v>
      </x:c>
      <x:c r="U252" s="11" t="str">
        <x:v>legger; leger; companion replacement part</x:v>
      </x:c>
      <x:c r="V252" s="9" t="str">
        <x:v>Author Legger slings/chassis/replacement/iron/ancient-armor brainstorming October 14, 2026; Docs/WORLD_BASIS.md#the-legger; specific item proposal.</x:v>
      </x:c>
      <x:c r="W252" s="4" t="str">
        <x:v>Crafting component</x:v>
      </x:c>
      <x:c r="X252" s="4" t="str">
        <x:v>Processed intermediate</x:v>
      </x:c>
      <x:c r="Y252" s="4" t="str">
        <x:v>Manufactured / unresolved</x:v>
      </x:c>
      <x:c r="Z252" s="4" t="str">
        <x:v>Equipment mounting</x:v>
      </x:c>
      <x:c r="AA252" s="4" t="str">
        <x:v>Metal</x:v>
      </x:c>
      <x:c r="AB252" s="4" t="str">
        <x:v>Solid part</x:v>
      </x:c>
      <x:c r="AC252" s="4" t="str">
        <x:v>Proposal</x:v>
      </x:c>
      <x:c r="AD252" s="4" t="str">
        <x:f>LOWER(A252&amp;"; "&amp;B252&amp;"; "&amp;C252&amp;"; "&amp;D252&amp;"; "&amp;W252&amp;"; "&amp;X252&amp;"; "&amp;Y252&amp;"; "&amp;Z252&amp;"; "&amp;AA252&amp;"; "&amp;AB252&amp;"; "&amp;AC252&amp;"; "&amp;U252)</x:f>
        <x:v>proposal.legger.mount_rail; legger attachment rail; crafting components; legger chassis; crafting component; processed intermediate; manufactured / unresolved; equipment mounting; metal; solid part; proposal; legger; leger; companion replacement part</x:v>
      </x:c>
      <x:c r="AE252" s="4" t="str">
        <x:v>Specific parts and protective properties remain proposals; ancient-material scarcity is established author direction.</x:v>
      </x:c>
      <x:c r="AF252" s="4" t="str">
        <x:v>Unassigned</x:v>
      </x:c>
      <x:c r="AG252" s="4" t="str">
        <x:v>Choose a material/part route before assigning a tier. Processing-stage labels alone do not prove chain depth.</x:v>
      </x:c>
      <x:c r="AH252" s="4" t="str">
        <x:v>Not applicable</x:v>
      </x:c>
    </x:row>
    <x:row r="253" ht="115" customHeight="1">
      <x:c r="A253" s="9" t="str">
        <x:v>proposal.legger.joint_bush</x:v>
      </x:c>
      <x:c r="B253" s="9" t="str">
        <x:v>Iron joint bushing</x:v>
      </x:c>
      <x:c r="C253" s="9" t="str">
        <x:v>Crafting components</x:v>
      </x:c>
      <x:c r="D253" s="9" t="str">
        <x:v>Legger mechanical parts</x:v>
      </x:c>
      <x:c r="E253" s="9" t="str">
        <x:v>New proposal</x:v>
      </x:c>
      <x:c r="F253" s="9" t="str">
        <x:v>Replaceable wear sleeve in a specifically matched joint.</x:v>
      </x:c>
      <x:c r="G253" s="9" t="str">
        <x:v>Legger fitment unresolved</x:v>
      </x:c>
      <x:c r="H253" s="9" t="str">
        <x:v>Legger attachment / replacement intended; physical cargo policy unchanged</x:v>
      </x:c>
      <x:c r="I253" s="13"/>
      <x:c r="J253" s="15"/>
      <x:c r="K253" s="9" t="str">
        <x:v>Local craft, salvage or specialist trade; exact route TBD</x:v>
      </x:c>
      <x:c r="L253" s="9" t="str">
        <x:v>No recipe authored. Reuse existing iron stock, biological materials, ceramic craft, lubricant and ancient-material families where appropriate.</x:v>
      </x:c>
      <x:c r="M253" s="9" t="str">
        <x:v>Not implemented</x:v>
      </x:c>
      <x:c r="N253" s="9" t="str">
        <x:v>Material grade, fit and lubrication are unresolved; separate from a full bearing cassette.</x:v>
      </x:c>
      <x:c r="O253" s="17"/>
      <x:c r="P253" s="17"/>
      <x:c r="Q253" s="17"/>
      <x:c r="R253" s="17"/>
      <x:c r="S253" s="17"/>
      <x:c r="T253" s="9" t="str">
        <x:v>Brainstorming candidate. Geometry, cost, mass, mounting, carrying and replacement behavior remain open. Part belongs to a finite physical companion.</x:v>
      </x:c>
      <x:c r="U253" s="11" t="str">
        <x:v>legger; leger; companion replacement part</x:v>
      </x:c>
      <x:c r="V253" s="9" t="str">
        <x:v>Author Legger slings/chassis/replacement/iron/ancient-armor brainstorming October 14, 2026; Docs/WORLD_BASIS.md#the-legger; specific item proposal.</x:v>
      </x:c>
      <x:c r="W253" s="4" t="str">
        <x:v>Crafting component</x:v>
      </x:c>
      <x:c r="X253" s="4" t="str">
        <x:v>Processed intermediate</x:v>
      </x:c>
      <x:c r="Y253" s="4" t="str">
        <x:v>Manufactured / unresolved</x:v>
      </x:c>
      <x:c r="Z253" s="4" t="str">
        <x:v>Equipment repair</x:v>
      </x:c>
      <x:c r="AA253" s="4" t="str">
        <x:v>Metal</x:v>
      </x:c>
      <x:c r="AB253" s="4" t="str">
        <x:v>Solid part</x:v>
      </x:c>
      <x:c r="AC253" s="4" t="str">
        <x:v>Proposal</x:v>
      </x:c>
      <x:c r="AD253" s="4" t="str">
        <x:f>LOWER(A253&amp;"; "&amp;B253&amp;"; "&amp;C253&amp;"; "&amp;D253&amp;"; "&amp;W253&amp;"; "&amp;X253&amp;"; "&amp;Y253&amp;"; "&amp;Z253&amp;"; "&amp;AA253&amp;"; "&amp;AB253&amp;"; "&amp;AC253&amp;"; "&amp;U253)</x:f>
        <x:v>proposal.legger.joint_bush; iron joint bushing; crafting components; legger mechanical parts; crafting component; processed intermediate; manufactured / unresolved; equipment repair; metal; solid part; proposal; legger; leger; companion replacement part</x:v>
      </x:c>
      <x:c r="AE253" s="4" t="str">
        <x:v>Specific parts and protective properties remain proposals; ancient-material scarcity is established author direction.</x:v>
      </x:c>
      <x:c r="AF253" s="4" t="str">
        <x:v>Unassigned</x:v>
      </x:c>
      <x:c r="AG253" s="4" t="str">
        <x:v>Choose a material/part route before assigning a tier. Processing-stage labels alone do not prove chain depth.</x:v>
      </x:c>
      <x:c r="AH253" s="4" t="str">
        <x:v>Not applicable</x:v>
      </x:c>
    </x:row>
    <x:row r="254" ht="115" customHeight="1">
      <x:c r="A254" s="9" t="str">
        <x:v>proposal.legger.bearing</x:v>
      </x:c>
      <x:c r="B254" s="9" t="str">
        <x:v>Replacement bearing assembly</x:v>
      </x:c>
      <x:c r="C254" s="9" t="str">
        <x:v>Crafting components</x:v>
      </x:c>
      <x:c r="D254" s="9" t="str">
        <x:v>Legger mechanical parts</x:v>
      </x:c>
      <x:c r="E254" s="9" t="str">
        <x:v>New proposal</x:v>
      </x:c>
      <x:c r="F254" s="9" t="str">
        <x:v>Locally serviceable bearing assembly for a selected mechanical joint.</x:v>
      </x:c>
      <x:c r="G254" s="9" t="str">
        <x:v>Legger fitment unresolved</x:v>
      </x:c>
      <x:c r="H254" s="9" t="str">
        <x:v>Legger attachment / replacement intended; physical cargo policy unchanged</x:v>
      </x:c>
      <x:c r="I254" s="13"/>
      <x:c r="J254" s="15"/>
      <x:c r="K254" s="9" t="str">
        <x:v>Local craft, salvage or specialist trade; exact route TBD</x:v>
      </x:c>
      <x:c r="L254" s="9" t="str">
        <x:v>No recipe authored. Reuse existing iron stock, biological materials, ceramic craft, lubricant and ancient-material families where appropriate.</x:v>
      </x:c>
      <x:c r="M254" s="9" t="str">
        <x:v>Not implemented</x:v>
      </x:c>
      <x:c r="N254" s="9" t="str">
        <x:v>Load, geometry, grit exclusion and suitable lubricant TBD; no bearing standard assumed.</x:v>
      </x:c>
      <x:c r="O254" s="17"/>
      <x:c r="P254" s="17"/>
      <x:c r="Q254" s="17"/>
      <x:c r="R254" s="17"/>
      <x:c r="S254" s="17"/>
      <x:c r="T254" s="9" t="str">
        <x:v>Brainstorming candidate. Geometry, cost, mass, mounting, carrying and replacement behavior remain open. Part belongs to a finite physical companion.</x:v>
      </x:c>
      <x:c r="U254" s="11" t="str">
        <x:v>legger; leger; companion replacement part</x:v>
      </x:c>
      <x:c r="V254" s="9" t="str">
        <x:v>Author Legger slings/chassis/replacement/iron/ancient-armor brainstorming October 14, 2026; Docs/WORLD_BASIS.md#the-legger; specific item proposal.</x:v>
      </x:c>
      <x:c r="W254" s="4" t="str">
        <x:v>Crafting component</x:v>
      </x:c>
      <x:c r="X254" s="4" t="str">
        <x:v>Processed intermediate</x:v>
      </x:c>
      <x:c r="Y254" s="4" t="str">
        <x:v>Manufactured / unresolved</x:v>
      </x:c>
      <x:c r="Z254" s="4" t="str">
        <x:v>Equipment repair</x:v>
      </x:c>
      <x:c r="AA254" s="4" t="str">
        <x:v>Mixed / unresolved</x:v>
      </x:c>
      <x:c r="AB254" s="4" t="str">
        <x:v>Assembly</x:v>
      </x:c>
      <x:c r="AC254" s="4" t="str">
        <x:v>Proposal</x:v>
      </x:c>
      <x:c r="AD254" s="4" t="str">
        <x:f>LOWER(A254&amp;"; "&amp;B254&amp;"; "&amp;C254&amp;"; "&amp;D254&amp;"; "&amp;W254&amp;"; "&amp;X254&amp;"; "&amp;Y254&amp;"; "&amp;Z254&amp;"; "&amp;AA254&amp;"; "&amp;AB254&amp;"; "&amp;AC254&amp;"; "&amp;U254)</x:f>
        <x:v>proposal.legger.bearing; replacement bearing assembly; crafting components; legger mechanical parts; crafting component; processed intermediate; manufactured / unresolved; equipment repair; mixed / unresolved; assembly; proposal; legger; leger; companion replacement part</x:v>
      </x:c>
      <x:c r="AE254" s="4" t="str">
        <x:v>Specific parts and protective properties remain proposals; ancient-material scarcity is established author direction.</x:v>
      </x:c>
      <x:c r="AF254" s="4" t="str">
        <x:v>Unassigned</x:v>
      </x:c>
      <x:c r="AG254" s="4" t="str">
        <x:v>Choose a material/part route before assigning a tier. Processing-stage labels alone do not prove chain depth.</x:v>
      </x:c>
      <x:c r="AH254" s="4" t="str">
        <x:v>Not applicable</x:v>
      </x:c>
    </x:row>
    <x:row r="255" ht="115" customHeight="1">
      <x:c r="A255" s="9" t="str">
        <x:v>proposal.legger.foot_plate</x:v>
      </x:c>
      <x:c r="B255" s="9" t="str">
        <x:v>Replaceable foot contact plate</x:v>
      </x:c>
      <x:c r="C255" s="9" t="str">
        <x:v>Crafting components</x:v>
      </x:c>
      <x:c r="D255" s="9" t="str">
        <x:v>Legger mechanical parts</x:v>
      </x:c>
      <x:c r="E255" s="9" t="str">
        <x:v>New proposal</x:v>
      </x:c>
      <x:c r="F255" s="9" t="str">
        <x:v>Wear plate at an existing foot-ground contact surface.</x:v>
      </x:c>
      <x:c r="G255" s="9" t="str">
        <x:v>Legger fitment unresolved</x:v>
      </x:c>
      <x:c r="H255" s="9" t="str">
        <x:v>Legger attachment / replacement intended; physical cargo policy unchanged</x:v>
      </x:c>
      <x:c r="I255" s="13"/>
      <x:c r="J255" s="15"/>
      <x:c r="K255" s="9" t="str">
        <x:v>Local craft, salvage or specialist trade; exact route TBD</x:v>
      </x:c>
      <x:c r="L255" s="9" t="str">
        <x:v>No recipe authored. Reuse existing iron stock, biological materials, ceramic craft, lubricant and ancient-material families where appropriate.</x:v>
      </x:c>
      <x:c r="M255" s="9" t="str">
        <x:v>Not implemented</x:v>
      </x:c>
      <x:c r="N255" s="9" t="str">
        <x:v>Foot anatomy and attachment need inspection before implementation; traction and ground effects unassigned.</x:v>
      </x:c>
      <x:c r="O255" s="17"/>
      <x:c r="P255" s="17"/>
      <x:c r="Q255" s="17"/>
      <x:c r="R255" s="17"/>
      <x:c r="S255" s="17"/>
      <x:c r="T255" s="9" t="str">
        <x:v>Brainstorming candidate. Geometry, cost, mass, mounting, carrying and replacement behavior remain open. Part belongs to a finite physical companion.</x:v>
      </x:c>
      <x:c r="U255" s="11" t="str">
        <x:v>traversal; legger; leger; companion replacement part</x:v>
      </x:c>
      <x:c r="V255" s="9" t="str">
        <x:v>Author Legger slings/chassis/replacement/iron/ancient-armor brainstorming October 14, 2026; Docs/WORLD_BASIS.md#the-legger; specific item proposal.</x:v>
      </x:c>
      <x:c r="W255" s="4" t="str">
        <x:v>Crafting component</x:v>
      </x:c>
      <x:c r="X255" s="4" t="str">
        <x:v>Processed intermediate</x:v>
      </x:c>
      <x:c r="Y255" s="4" t="str">
        <x:v>Manufactured / unresolved</x:v>
      </x:c>
      <x:c r="Z255" s="4" t="str">
        <x:v>Equipment repair</x:v>
      </x:c>
      <x:c r="AA255" s="4" t="str">
        <x:v>Metal</x:v>
      </x:c>
      <x:c r="AB255" s="4" t="str">
        <x:v>Solid part</x:v>
      </x:c>
      <x:c r="AC255" s="4" t="str">
        <x:v>Proposal</x:v>
      </x:c>
      <x:c r="AD255" s="4" t="str">
        <x:f>LOWER(A255&amp;"; "&amp;B255&amp;"; "&amp;C255&amp;"; "&amp;D255&amp;"; "&amp;W255&amp;"; "&amp;X255&amp;"; "&amp;Y255&amp;"; "&amp;Z255&amp;"; "&amp;AA255&amp;"; "&amp;AB255&amp;"; "&amp;AC255&amp;"; "&amp;U255)</x:f>
        <x:v>proposal.legger.foot_plate; replaceable foot contact plate; crafting components; legger mechanical parts; crafting component; processed intermediate; manufactured / unresolved; equipment repair; metal; solid part; proposal; traversal; legger; leger; companion replacement part</x:v>
      </x:c>
      <x:c r="AE255" s="4" t="str">
        <x:v>Specific parts and protective properties remain proposals; ancient-material scarcity is established author direction.</x:v>
      </x:c>
      <x:c r="AF255" s="4" t="str">
        <x:v>Unassigned</x:v>
      </x:c>
      <x:c r="AG255" s="4" t="str">
        <x:v>Choose a material/part route before assigning a tier. Processing-stage labels alone do not prove chain depth.</x:v>
      </x:c>
      <x:c r="AH255" s="4" t="str">
        <x:v>Not applicable</x:v>
      </x:c>
    </x:row>
    <x:row r="256" ht="115" customHeight="1">
      <x:c r="A256" s="9" t="str">
        <x:v>proposal.legger.actuator_rod</x:v>
      </x:c>
      <x:c r="B256" s="9" t="str">
        <x:v>Replacement actuator link</x:v>
      </x:c>
      <x:c r="C256" s="9" t="str">
        <x:v>Crafting components</x:v>
      </x:c>
      <x:c r="D256" s="9" t="str">
        <x:v>Legger mechanical parts</x:v>
      </x:c>
      <x:c r="E256" s="9" t="str">
        <x:v>New proposal</x:v>
      </x:c>
      <x:c r="F256" s="9" t="str">
        <x:v>Mechanical link candidate within a compatible existing movement assembly.</x:v>
      </x:c>
      <x:c r="G256" s="9" t="str">
        <x:v>Legger fitment unresolved</x:v>
      </x:c>
      <x:c r="H256" s="9" t="str">
        <x:v>Legger attachment / replacement intended; physical cargo policy unchanged</x:v>
      </x:c>
      <x:c r="I256" s="13"/>
      <x:c r="J256" s="15"/>
      <x:c r="K256" s="9" t="str">
        <x:v>Local craft, salvage or specialist trade; exact route TBD</x:v>
      </x:c>
      <x:c r="L256" s="9" t="str">
        <x:v>No recipe authored. Reuse existing iron stock, biological materials, ceramic craft, lubricant and ancient-material families where appropriate.</x:v>
      </x:c>
      <x:c r="M256" s="9" t="str">
        <x:v>Not implemented</x:v>
      </x:c>
      <x:c r="N256" s="9" t="str">
        <x:v>Does not establish hydraulic, pneumatic or electric actuation; host mechanism remains TBD.</x:v>
      </x:c>
      <x:c r="O256" s="17"/>
      <x:c r="P256" s="17"/>
      <x:c r="Q256" s="17"/>
      <x:c r="R256" s="17"/>
      <x:c r="S256" s="17"/>
      <x:c r="T256" s="9" t="str">
        <x:v>Brainstorming candidate. Geometry, cost, mass, mounting, carrying and replacement behavior remain open. Part belongs to a finite physical companion.</x:v>
      </x:c>
      <x:c r="U256" s="11" t="str">
        <x:v>legger; leger; companion replacement part</x:v>
      </x:c>
      <x:c r="V256" s="9" t="str">
        <x:v>Author Legger slings/chassis/replacement/iron/ancient-armor brainstorming October 14, 2026; Docs/WORLD_BASIS.md#the-legger; specific item proposal.</x:v>
      </x:c>
      <x:c r="W256" s="4" t="str">
        <x:v>Crafting component</x:v>
      </x:c>
      <x:c r="X256" s="4" t="str">
        <x:v>Processed intermediate</x:v>
      </x:c>
      <x:c r="Y256" s="4" t="str">
        <x:v>Manufactured / unresolved</x:v>
      </x:c>
      <x:c r="Z256" s="4" t="str">
        <x:v>Equipment repair</x:v>
      </x:c>
      <x:c r="AA256" s="4" t="str">
        <x:v>Metal</x:v>
      </x:c>
      <x:c r="AB256" s="4" t="str">
        <x:v>Solid part</x:v>
      </x:c>
      <x:c r="AC256" s="4" t="str">
        <x:v>Proposal</x:v>
      </x:c>
      <x:c r="AD256" s="4" t="str">
        <x:f>LOWER(A256&amp;"; "&amp;B256&amp;"; "&amp;C256&amp;"; "&amp;D256&amp;"; "&amp;W256&amp;"; "&amp;X256&amp;"; "&amp;Y256&amp;"; "&amp;Z256&amp;"; "&amp;AA256&amp;"; "&amp;AB256&amp;"; "&amp;AC256&amp;"; "&amp;U256)</x:f>
        <x:v>proposal.legger.actuator_rod; replacement actuator link; crafting components; legger mechanical parts; crafting component; processed intermediate; manufactured / unresolved; equipment repair; metal; solid part; proposal; legger; leger; companion replacement part</x:v>
      </x:c>
      <x:c r="AE256" s="4" t="str">
        <x:v>Specific parts and protective properties remain proposals; ancient-material scarcity is established author direction.</x:v>
      </x:c>
      <x:c r="AF256" s="4" t="str">
        <x:v>Unassigned</x:v>
      </x:c>
      <x:c r="AG256" s="4" t="str">
        <x:v>Choose a material/part route before assigning a tier. Processing-stage labels alone do not prove chain depth.</x:v>
      </x:c>
      <x:c r="AH256" s="4" t="str">
        <x:v>Not applicable</x:v>
      </x:c>
    </x:row>
    <x:row r="257" ht="115" customHeight="1">
      <x:c r="A257" s="9" t="str">
        <x:v>proposal.legger.joint_shroud</x:v>
      </x:c>
      <x:c r="B257" s="9" t="str">
        <x:v>Joint dust shroud</x:v>
      </x:c>
      <x:c r="C257" s="9" t="str">
        <x:v>Crafting components</x:v>
      </x:c>
      <x:c r="D257" s="9" t="str">
        <x:v>Legger service parts</x:v>
      </x:c>
      <x:c r="E257" s="9" t="str">
        <x:v>New proposal</x:v>
      </x:c>
      <x:c r="F257" s="9" t="str">
        <x:v>Protective cover candidate around a moving joint.</x:v>
      </x:c>
      <x:c r="G257" s="9" t="str">
        <x:v>Legger fitment unresolved</x:v>
      </x:c>
      <x:c r="H257" s="9" t="str">
        <x:v>Legger attachment / replacement intended; physical cargo policy unchanged</x:v>
      </x:c>
      <x:c r="I257" s="13"/>
      <x:c r="J257" s="15"/>
      <x:c r="K257" s="9" t="str">
        <x:v>Local craft, salvage or specialist trade; exact route TBD</x:v>
      </x:c>
      <x:c r="L257" s="9" t="str">
        <x:v>No recipe authored. Reuse existing iron stock, biological materials, ceramic craft, lubricant and ancient-material families where appropriate.</x:v>
      </x:c>
      <x:c r="M257" s="9" t="str">
        <x:v>Not implemented</x:v>
      </x:c>
      <x:c r="N257" s="9" t="str">
        <x:v>Selected membrane or segmented metal geometry; no rubber or cloth supply presumed.</x:v>
      </x:c>
      <x:c r="O257" s="17"/>
      <x:c r="P257" s="17"/>
      <x:c r="Q257" s="17"/>
      <x:c r="R257" s="17"/>
      <x:c r="S257" s="17"/>
      <x:c r="T257" s="9" t="str">
        <x:v>Brainstorming candidate. Geometry, cost, mass, mounting, carrying and replacement behavior remain open. Part belongs to a finite physical companion.</x:v>
      </x:c>
      <x:c r="U257" s="11" t="str">
        <x:v>protection; legger; leger; companion replacement part</x:v>
      </x:c>
      <x:c r="V257" s="9" t="str">
        <x:v>Author Legger slings/chassis/replacement/iron/ancient-armor brainstorming October 14, 2026; Docs/WORLD_BASIS.md#the-legger; specific item proposal.</x:v>
      </x:c>
      <x:c r="W257" s="4" t="str">
        <x:v>Crafting component</x:v>
      </x:c>
      <x:c r="X257" s="4" t="str">
        <x:v>Processed intermediate</x:v>
      </x:c>
      <x:c r="Y257" s="4" t="str">
        <x:v>Manufactured / unresolved</x:v>
      </x:c>
      <x:c r="Z257" s="4" t="str">
        <x:v>Dust exclusion</x:v>
      </x:c>
      <x:c r="AA257" s="4" t="str">
        <x:v>Mixed / unresolved</x:v>
      </x:c>
      <x:c r="AB257" s="4" t="str">
        <x:v>Assembly</x:v>
      </x:c>
      <x:c r="AC257" s="4" t="str">
        <x:v>Proposal</x:v>
      </x:c>
      <x:c r="AD257" s="4" t="str">
        <x:f>LOWER(A257&amp;"; "&amp;B257&amp;"; "&amp;C257&amp;"; "&amp;D257&amp;"; "&amp;W257&amp;"; "&amp;X257&amp;"; "&amp;Y257&amp;"; "&amp;Z257&amp;"; "&amp;AA257&amp;"; "&amp;AB257&amp;"; "&amp;AC257&amp;"; "&amp;U257)</x:f>
        <x:v>proposal.legger.joint_shroud; joint dust shroud; crafting components; legger service parts; crafting component; processed intermediate; manufactured / unresolved; dust exclusion; mixed / unresolved; assembly; proposal; protection; legger; leger; companion replacement part</x:v>
      </x:c>
      <x:c r="AE257" s="4" t="str">
        <x:v>Specific parts and protective properties remain proposals; ancient-material scarcity is established author direction.</x:v>
      </x:c>
      <x:c r="AF257" s="4" t="str">
        <x:v>Unassigned</x:v>
      </x:c>
      <x:c r="AG257" s="4" t="str">
        <x:v>Choose a material/part route before assigning a tier. Processing-stage labels alone do not prove chain depth.</x:v>
      </x:c>
      <x:c r="AH257" s="4" t="str">
        <x:v>Not applicable</x:v>
      </x:c>
    </x:row>
    <x:row r="258" ht="115" customHeight="1">
      <x:c r="A258" s="9" t="str">
        <x:v>proposal.legger.grease_cup</x:v>
      </x:c>
      <x:c r="B258" s="9" t="str">
        <x:v>Fitted joint lubricant cup</x:v>
      </x:c>
      <x:c r="C258" s="9" t="str">
        <x:v>Crafting components</x:v>
      </x:c>
      <x:c r="D258" s="9" t="str">
        <x:v>Legger service parts</x:v>
      </x:c>
      <x:c r="E258" s="9" t="str">
        <x:v>New proposal</x:v>
      </x:c>
      <x:c r="F258" s="9" t="str">
        <x:v>Small fitted reservoir candidate for a selected joint lubricant.</x:v>
      </x:c>
      <x:c r="G258" s="9" t="str">
        <x:v>Legger fitment unresolved</x:v>
      </x:c>
      <x:c r="H258" s="9" t="str">
        <x:v>Legger attachment / replacement intended; physical cargo policy unchanged</x:v>
      </x:c>
      <x:c r="I258" s="13"/>
      <x:c r="J258" s="15"/>
      <x:c r="K258" s="9" t="str">
        <x:v>Local craft, salvage or specialist trade; exact route TBD</x:v>
      </x:c>
      <x:c r="L258" s="9" t="str">
        <x:v>No recipe authored. Reuse existing iron stock, biological materials, ceramic craft, lubricant and ancient-material families where appropriate.</x:v>
      </x:c>
      <x:c r="M258" s="9" t="str">
        <x:v>Not implemented</x:v>
      </x:c>
      <x:c r="N258" s="9" t="str">
        <x:v>Supply path, dose and grease compatibility TBD. No automatic replenishment or maintenance timer.</x:v>
      </x:c>
      <x:c r="O258" s="17"/>
      <x:c r="P258" s="17"/>
      <x:c r="Q258" s="17"/>
      <x:c r="R258" s="17"/>
      <x:c r="S258" s="17"/>
      <x:c r="T258" s="9" t="str">
        <x:v>Brainstorming candidate. Geometry, cost, mass, mounting, carrying and replacement behavior remain open. Part belongs to a finite physical companion.</x:v>
      </x:c>
      <x:c r="U258" s="11" t="str">
        <x:v>legger; leger; companion replacement part</x:v>
      </x:c>
      <x:c r="V258" s="9" t="str">
        <x:v>Author Legger slings/chassis/replacement/iron/ancient-armor brainstorming October 14, 2026; Docs/WORLD_BASIS.md#the-legger; specific item proposal.</x:v>
      </x:c>
      <x:c r="W258" s="4" t="str">
        <x:v>Container part</x:v>
      </x:c>
      <x:c r="X258" s="4" t="str">
        <x:v>Processed intermediate</x:v>
      </x:c>
      <x:c r="Y258" s="4" t="str">
        <x:v>Manufactured / unresolved</x:v>
      </x:c>
      <x:c r="Z258" s="4" t="str">
        <x:v>Lubrication</x:v>
      </x:c>
      <x:c r="AA258" s="4" t="str">
        <x:v>Metal</x:v>
      </x:c>
      <x:c r="AB258" s="4" t="str">
        <x:v>Assembly</x:v>
      </x:c>
      <x:c r="AC258" s="4" t="str">
        <x:v>Proposal</x:v>
      </x:c>
      <x:c r="AD258" s="4" t="str">
        <x:f>LOWER(A258&amp;"; "&amp;B258&amp;"; "&amp;C258&amp;"; "&amp;D258&amp;"; "&amp;W258&amp;"; "&amp;X258&amp;"; "&amp;Y258&amp;"; "&amp;Z258&amp;"; "&amp;AA258&amp;"; "&amp;AB258&amp;"; "&amp;AC258&amp;"; "&amp;U258)</x:f>
        <x:v>proposal.legger.grease_cup; fitted joint lubricant cup; crafting components; legger service parts; container part; processed intermediate; manufactured / unresolved; lubrication; metal; assembly; proposal; legger; leger; companion replacement part</x:v>
      </x:c>
      <x:c r="AE258" s="4" t="str">
        <x:v>Specific parts and protective properties remain proposals; ancient-material scarcity is established author direction.</x:v>
      </x:c>
      <x:c r="AF258" s="4" t="str">
        <x:v>Unassigned</x:v>
      </x:c>
      <x:c r="AG258" s="4" t="str">
        <x:v>Choose a material/part route before assigning a tier. Processing-stage labels alone do not prove chain depth.</x:v>
      </x:c>
      <x:c r="AH258" s="4" t="str">
        <x:v>Not applicable</x:v>
      </x:c>
    </x:row>
    <x:row r="259" ht="115" customHeight="1">
      <x:c r="A259" s="9" t="str">
        <x:v>proposal.legger.seal_cartridge</x:v>
      </x:c>
      <x:c r="B259" s="9" t="str">
        <x:v>Replaceable joint-seal cartridge</x:v>
      </x:c>
      <x:c r="C259" s="9" t="str">
        <x:v>Crafting components</x:v>
      </x:c>
      <x:c r="D259" s="9" t="str">
        <x:v>Legger service parts</x:v>
      </x:c>
      <x:c r="E259" s="9" t="str">
        <x:v>New proposal</x:v>
      </x:c>
      <x:c r="F259" s="9" t="str">
        <x:v>Serviceable dust/lubricant retention unit for a specific joint.</x:v>
      </x:c>
      <x:c r="G259" s="9" t="str">
        <x:v>Legger fitment unresolved</x:v>
      </x:c>
      <x:c r="H259" s="9" t="str">
        <x:v>Legger attachment / replacement intended; physical cargo policy unchanged</x:v>
      </x:c>
      <x:c r="I259" s="13"/>
      <x:c r="J259" s="15"/>
      <x:c r="K259" s="9" t="str">
        <x:v>Local craft, salvage or specialist trade; exact route TBD</x:v>
      </x:c>
      <x:c r="L259" s="9" t="str">
        <x:v>No recipe authored. Reuse existing iron stock, biological materials, ceramic craft, lubricant and ancient-material families where appropriate.</x:v>
      </x:c>
      <x:c r="M259" s="9" t="str">
        <x:v>Not implemented</x:v>
      </x:c>
      <x:c r="N259" s="9" t="str">
        <x:v>Different service from a survival-canister seal; materials and fit unresolved.</x:v>
      </x:c>
      <x:c r="O259" s="17"/>
      <x:c r="P259" s="17"/>
      <x:c r="Q259" s="17"/>
      <x:c r="R259" s="17"/>
      <x:c r="S259" s="17"/>
      <x:c r="T259" s="9" t="str">
        <x:v>Brainstorming candidate. Geometry, cost, mass, mounting, carrying and replacement behavior remain open. Part belongs to a finite physical companion.</x:v>
      </x:c>
      <x:c r="U259" s="11" t="str">
        <x:v>equipment repair; legger; leger; companion replacement part</x:v>
      </x:c>
      <x:c r="V259" s="9" t="str">
        <x:v>Author Legger slings/chassis/replacement/iron/ancient-armor brainstorming October 14, 2026; Docs/WORLD_BASIS.md#the-legger; specific item proposal.</x:v>
      </x:c>
      <x:c r="W259" s="4" t="str">
        <x:v>Crafting component</x:v>
      </x:c>
      <x:c r="X259" s="4" t="str">
        <x:v>Processed intermediate</x:v>
      </x:c>
      <x:c r="Y259" s="4" t="str">
        <x:v>Manufactured / unresolved</x:v>
      </x:c>
      <x:c r="Z259" s="4" t="str">
        <x:v>Sealing</x:v>
      </x:c>
      <x:c r="AA259" s="4" t="str">
        <x:v>Mixed / unresolved</x:v>
      </x:c>
      <x:c r="AB259" s="4" t="str">
        <x:v>Assembly</x:v>
      </x:c>
      <x:c r="AC259" s="4" t="str">
        <x:v>Proposal</x:v>
      </x:c>
      <x:c r="AD259" s="4" t="str">
        <x:f>LOWER(A259&amp;"; "&amp;B259&amp;"; "&amp;C259&amp;"; "&amp;D259&amp;"; "&amp;W259&amp;"; "&amp;X259&amp;"; "&amp;Y259&amp;"; "&amp;Z259&amp;"; "&amp;AA259&amp;"; "&amp;AB259&amp;"; "&amp;AC259&amp;"; "&amp;U259)</x:f>
        <x:v>proposal.legger.seal_cartridge; replaceable joint-seal cartridge; crafting components; legger service parts; crafting component; processed intermediate; manufactured / unresolved; sealing; mixed / unresolved; assembly; proposal; equipment repair; legger; leger; companion replacement part</x:v>
      </x:c>
      <x:c r="AE259" s="4" t="str">
        <x:v>Specific parts and protective properties remain proposals; ancient-material scarcity is established author direction.</x:v>
      </x:c>
      <x:c r="AF259" s="4" t="str">
        <x:v>Unassigned</x:v>
      </x:c>
      <x:c r="AG259" s="4" t="str">
        <x:v>Choose a material/part route before assigning a tier. Processing-stage labels alone do not prove chain depth.</x:v>
      </x:c>
      <x:c r="AH259" s="4" t="str">
        <x:v>Not applicable</x:v>
      </x:c>
    </x:row>
    <x:row r="260" ht="115" customHeight="1">
      <x:c r="A260" s="9" t="str">
        <x:v>proposal.legger.fastener_pack</x:v>
      </x:c>
      <x:c r="B260" s="9" t="str">
        <x:v>Legger service fastener pack</x:v>
      </x:c>
      <x:c r="C260" s="9" t="str">
        <x:v>Field supplies</x:v>
      </x:c>
      <x:c r="D260" s="9" t="str">
        <x:v>Legger service parts</x:v>
      </x:c>
      <x:c r="E260" s="9" t="str">
        <x:v>New proposal</x:v>
      </x:c>
      <x:c r="F260" s="9" t="str">
        <x:v>Selected matching pins, retainers and fasteners for a bounded repair job.</x:v>
      </x:c>
      <x:c r="G260" s="9" t="str">
        <x:v>Legger fitment unresolved</x:v>
      </x:c>
      <x:c r="H260" s="9" t="str">
        <x:v>Legger attachment / replacement intended; physical cargo policy unchanged</x:v>
      </x:c>
      <x:c r="I260" s="13"/>
      <x:c r="J260" s="15"/>
      <x:c r="K260" s="9" t="str">
        <x:v>Local craft, salvage or specialist trade; exact route TBD</x:v>
      </x:c>
      <x:c r="L260" s="9" t="str">
        <x:v>No recipe authored. Reuse existing iron stock, biological materials, ceramic craft, lubricant and ancient-material families where appropriate.</x:v>
      </x:c>
      <x:c r="M260" s="9" t="str">
        <x:v>Not implemented</x:v>
      </x:c>
      <x:c r="N260" s="9" t="str">
        <x:v>Pack contents and quantity TBD; no generic ability to repair every part or duplicate uncounted contents.</x:v>
      </x:c>
      <x:c r="O260" s="17"/>
      <x:c r="P260" s="17"/>
      <x:c r="Q260" s="17"/>
      <x:c r="R260" s="17"/>
      <x:c r="S260" s="17"/>
      <x:c r="T260" s="9" t="str">
        <x:v>Brainstorming candidate. Geometry, cost, mass, mounting, carrying and replacement behavior remain open. Part belongs to a finite physical companion.</x:v>
      </x:c>
      <x:c r="U260" s="11" t="str">
        <x:v>legger; leger; companion replacement part</x:v>
      </x:c>
      <x:c r="V260" s="9" t="str">
        <x:v>Author Legger slings/chassis/replacement/iron/ancient-armor brainstorming October 14, 2026; Docs/WORLD_BASIS.md#the-legger; specific item proposal.</x:v>
      </x:c>
      <x:c r="W260" s="4" t="str">
        <x:v>Service kit</x:v>
      </x:c>
      <x:c r="X260" s="4" t="str">
        <x:v>Finished item</x:v>
      </x:c>
      <x:c r="Y260" s="4" t="str">
        <x:v>Manufactured / unresolved</x:v>
      </x:c>
      <x:c r="Z260" s="4" t="str">
        <x:v>Equipment repair</x:v>
      </x:c>
      <x:c r="AA260" s="4" t="str">
        <x:v>Metal</x:v>
      </x:c>
      <x:c r="AB260" s="4" t="str">
        <x:v>Assembly</x:v>
      </x:c>
      <x:c r="AC260" s="4" t="str">
        <x:v>Proposal</x:v>
      </x:c>
      <x:c r="AD260" s="4" t="str">
        <x:f>LOWER(A260&amp;"; "&amp;B260&amp;"; "&amp;C260&amp;"; "&amp;D260&amp;"; "&amp;W260&amp;"; "&amp;X260&amp;"; "&amp;Y260&amp;"; "&amp;Z260&amp;"; "&amp;AA260&amp;"; "&amp;AB260&amp;"; "&amp;AC260&amp;"; "&amp;U260)</x:f>
        <x:v>proposal.legger.fastener_pack; legger service fastener pack; field supplies; legger service parts; service kit; finished item; manufactured / unresolved; equipment repair; metal; assembly; proposal; legger; leger; companion replacement part</x:v>
      </x:c>
      <x:c r="AE260" s="4" t="str">
        <x:v>Specific parts and protective properties remain proposals; ancient-material scarcity is established author direction.</x:v>
      </x:c>
      <x:c r="AF260" s="4" t="str">
        <x:v>Finished item</x:v>
      </x:c>
      <x:c r="AG260" s="4" t="str">
        <x:v>Completed gear, vessel, food or tool can stop at its chosen material tier; it need not climb to T4.</x:v>
      </x:c>
      <x:c r="AH260" s="4" t="str">
        <x:v>Unassigned</x:v>
      </x:c>
    </x:row>
    <x:row r="261" ht="115" customHeight="1">
      <x:c r="A261" s="9" t="str">
        <x:v>proposal.legger.shell_guard</x:v>
      </x:c>
      <x:c r="B261" s="9" t="str">
        <x:v>Chitin chassis guard</x:v>
      </x:c>
      <x:c r="C261" s="9" t="str">
        <x:v>Equipment</x:v>
      </x:c>
      <x:c r="D261" s="9" t="str">
        <x:v>Legger armor</x:v>
      </x:c>
      <x:c r="E261" s="9" t="str">
        <x:v>New proposal</x:v>
      </x:c>
      <x:c r="F261" s="9" t="str">
        <x:v>Worked shell panel candidate covering a selected exposed surface.</x:v>
      </x:c>
      <x:c r="G261" s="9" t="str">
        <x:v>Legger fitment unresolved</x:v>
      </x:c>
      <x:c r="H261" s="9" t="str">
        <x:v>Legger attachment / replacement intended; physical cargo policy unchanged</x:v>
      </x:c>
      <x:c r="I261" s="13"/>
      <x:c r="J261" s="15"/>
      <x:c r="K261" s="9" t="str">
        <x:v>Local craft, salvage or specialist trade; exact route TBD</x:v>
      </x:c>
      <x:c r="L261" s="9" t="str">
        <x:v>No recipe authored. Reuse existing iron stock, biological materials, ceramic craft, lubricant and ancient-material families where appropriate.</x:v>
      </x:c>
      <x:c r="M261" s="9" t="str">
        <x:v>Not implemented</x:v>
      </x:c>
      <x:c r="N261" s="9" t="str">
        <x:v>Cheap raw shell still needs fitting; no numeric protection, durability or ballistic rating.</x:v>
      </x:c>
      <x:c r="O261" s="17"/>
      <x:c r="P261" s="17"/>
      <x:c r="Q261" s="17"/>
      <x:c r="R261" s="17"/>
      <x:c r="S261" s="17"/>
      <x:c r="T261" s="9" t="str">
        <x:v>Brainstorming candidate. Geometry, cost, mass, mounting, carrying and replacement behavior remain open. Part belongs to a finite physical companion.</x:v>
      </x:c>
      <x:c r="U261" s="11" t="str">
        <x:v>legger; leger; companion replacement part</x:v>
      </x:c>
      <x:c r="V261" s="9" t="str">
        <x:v>Author Legger slings/chassis/replacement/iron/ancient-armor brainstorming October 14, 2026; Docs/WORLD_BASIS.md#the-legger; specific item proposal.</x:v>
      </x:c>
      <x:c r="W261" s="4" t="str">
        <x:v>Armor</x:v>
      </x:c>
      <x:c r="X261" s="4" t="str">
        <x:v>Finished item</x:v>
      </x:c>
      <x:c r="Y261" s="4" t="str">
        <x:v>Manufactured / unresolved</x:v>
      </x:c>
      <x:c r="Z261" s="4" t="str">
        <x:v>Protection</x:v>
      </x:c>
      <x:c r="AA261" s="4" t="str">
        <x:v>Shell / chitin</x:v>
      </x:c>
      <x:c r="AB261" s="4" t="str">
        <x:v>Panel</x:v>
      </x:c>
      <x:c r="AC261" s="4" t="str">
        <x:v>Proposal</x:v>
      </x:c>
      <x:c r="AD261" s="4" t="str">
        <x:f>LOWER(A261&amp;"; "&amp;B261&amp;"; "&amp;C261&amp;"; "&amp;D261&amp;"; "&amp;W261&amp;"; "&amp;X261&amp;"; "&amp;Y261&amp;"; "&amp;Z261&amp;"; "&amp;AA261&amp;"; "&amp;AB261&amp;"; "&amp;AC261&amp;"; "&amp;U261)</x:f>
        <x:v>proposal.legger.shell_guard; chitin chassis guard; equipment; legger armor; armor; finished item; manufactured / unresolved; protection; shell / chitin; panel; proposal; legger; leger; companion replacement part</x:v>
      </x:c>
      <x:c r="AE261" s="4" t="str">
        <x:v>Specific parts and protective properties remain proposals; ancient-material scarcity is established author direction.</x:v>
      </x:c>
      <x:c r="AF261" s="4" t="str">
        <x:v>Finished item</x:v>
      </x:c>
      <x:c r="AG261" s="4" t="str">
        <x:v>Completed gear, vessel, food or tool can stop at its chosen material tier; it need not climb to T4.</x:v>
      </x:c>
      <x:c r="AH261" s="4" t="str">
        <x:v>Unassigned</x:v>
      </x:c>
    </x:row>
    <x:row r="262" ht="115" customHeight="1">
      <x:c r="A262" s="9" t="str">
        <x:v>proposal.legger.iron_guard</x:v>
      </x:c>
      <x:c r="B262" s="9" t="str">
        <x:v>Iron chassis guard</x:v>
      </x:c>
      <x:c r="C262" s="9" t="str">
        <x:v>Equipment</x:v>
      </x:c>
      <x:c r="D262" s="9" t="str">
        <x:v>Legger armor</x:v>
      </x:c>
      <x:c r="E262" s="9" t="str">
        <x:v>New proposal</x:v>
      </x:c>
      <x:c r="F262" s="9" t="str">
        <x:v>Worked iron panel candidate for a selected Legger mount.</x:v>
      </x:c>
      <x:c r="G262" s="9" t="str">
        <x:v>Legger fitment unresolved</x:v>
      </x:c>
      <x:c r="H262" s="9" t="str">
        <x:v>Legger attachment / replacement intended; physical cargo policy unchanged</x:v>
      </x:c>
      <x:c r="I262" s="13"/>
      <x:c r="J262" s="15"/>
      <x:c r="K262" s="9" t="str">
        <x:v>Local craft, salvage or specialist trade; exact route TBD</x:v>
      </x:c>
      <x:c r="L262" s="9" t="str">
        <x:v>No recipe authored. Reuse existing iron stock, biological materials, ceramic craft, lubricant and ancient-material families where appropriate.</x:v>
      </x:c>
      <x:c r="M262" s="9" t="str">
        <x:v>Not implemented</x:v>
      </x:c>
      <x:c r="N262" s="9" t="str">
        <x:v>Mass, articulation, shielding and replacement tradeoffs require design.</x:v>
      </x:c>
      <x:c r="O262" s="17"/>
      <x:c r="P262" s="17"/>
      <x:c r="Q262" s="17"/>
      <x:c r="R262" s="17"/>
      <x:c r="S262" s="17"/>
      <x:c r="T262" s="9" t="str">
        <x:v>Brainstorming candidate. Geometry, cost, mass, mounting, carrying and replacement behavior remain open. Part belongs to a finite physical companion.</x:v>
      </x:c>
      <x:c r="U262" s="11" t="str">
        <x:v>legger; leger; companion replacement part</x:v>
      </x:c>
      <x:c r="V262" s="9" t="str">
        <x:v>Author Legger slings/chassis/replacement/iron/ancient-armor brainstorming October 14, 2026; Docs/WORLD_BASIS.md#the-legger; specific item proposal.</x:v>
      </x:c>
      <x:c r="W262" s="4" t="str">
        <x:v>Armor</x:v>
      </x:c>
      <x:c r="X262" s="4" t="str">
        <x:v>Finished item</x:v>
      </x:c>
      <x:c r="Y262" s="4" t="str">
        <x:v>Manufactured / unresolved</x:v>
      </x:c>
      <x:c r="Z262" s="4" t="str">
        <x:v>Protection</x:v>
      </x:c>
      <x:c r="AA262" s="4" t="str">
        <x:v>Metal</x:v>
      </x:c>
      <x:c r="AB262" s="4" t="str">
        <x:v>Panel</x:v>
      </x:c>
      <x:c r="AC262" s="4" t="str">
        <x:v>Proposal</x:v>
      </x:c>
      <x:c r="AD262" s="4" t="str">
        <x:f>LOWER(A262&amp;"; "&amp;B262&amp;"; "&amp;C262&amp;"; "&amp;D262&amp;"; "&amp;W262&amp;"; "&amp;X262&amp;"; "&amp;Y262&amp;"; "&amp;Z262&amp;"; "&amp;AA262&amp;"; "&amp;AB262&amp;"; "&amp;AC262&amp;"; "&amp;U262)</x:f>
        <x:v>proposal.legger.iron_guard; iron chassis guard; equipment; legger armor; armor; finished item; manufactured / unresolved; protection; metal; panel; proposal; legger; leger; companion replacement part</x:v>
      </x:c>
      <x:c r="AE262" s="4" t="str">
        <x:v>Specific parts and protective properties remain proposals; ancient-material scarcity is established author direction.</x:v>
      </x:c>
      <x:c r="AF262" s="4" t="str">
        <x:v>Finished item</x:v>
      </x:c>
      <x:c r="AG262" s="4" t="str">
        <x:v>Completed gear, vessel, food or tool can stop at its chosen material tier; it need not climb to T4.</x:v>
      </x:c>
      <x:c r="AH262" s="4" t="str">
        <x:v>Unassigned</x:v>
      </x:c>
    </x:row>
    <x:row r="263" ht="115" customHeight="1">
      <x:c r="A263" s="9" t="str">
        <x:v>proposal.legger.joint_guard</x:v>
      </x:c>
      <x:c r="B263" s="9" t="str">
        <x:v>Articulated joint guard</x:v>
      </x:c>
      <x:c r="C263" s="9" t="str">
        <x:v>Equipment</x:v>
      </x:c>
      <x:c r="D263" s="9" t="str">
        <x:v>Legger armor</x:v>
      </x:c>
      <x:c r="E263" s="9" t="str">
        <x:v>New proposal</x:v>
      </x:c>
      <x:c r="F263" s="9" t="str">
        <x:v>Overlapping or articulated cover candidate around a moving joint.</x:v>
      </x:c>
      <x:c r="G263" s="9" t="str">
        <x:v>Legger fitment unresolved</x:v>
      </x:c>
      <x:c r="H263" s="9" t="str">
        <x:v>Legger attachment / replacement intended; physical cargo policy unchanged</x:v>
      </x:c>
      <x:c r="I263" s="13"/>
      <x:c r="J263" s="15"/>
      <x:c r="K263" s="9" t="str">
        <x:v>Local craft, salvage or specialist trade; exact route TBD</x:v>
      </x:c>
      <x:c r="L263" s="9" t="str">
        <x:v>No recipe authored. Reuse existing iron stock, biological materials, ceramic craft, lubricant and ancient-material families where appropriate.</x:v>
      </x:c>
      <x:c r="M263" s="9" t="str">
        <x:v>Not implemented</x:v>
      </x:c>
      <x:c r="N263" s="9" t="str">
        <x:v>Geometry must preserve movement and maintenance access; no proven protective effect.</x:v>
      </x:c>
      <x:c r="O263" s="17"/>
      <x:c r="P263" s="17"/>
      <x:c r="Q263" s="17"/>
      <x:c r="R263" s="17"/>
      <x:c r="S263" s="17"/>
      <x:c r="T263" s="9" t="str">
        <x:v>Brainstorming candidate. Geometry, cost, mass, mounting, carrying and replacement behavior remain open. Part belongs to a finite physical companion.</x:v>
      </x:c>
      <x:c r="U263" s="11" t="str">
        <x:v>legger; leger; companion replacement part</x:v>
      </x:c>
      <x:c r="V263" s="9" t="str">
        <x:v>Author Legger slings/chassis/replacement/iron/ancient-armor brainstorming October 14, 2026; Docs/WORLD_BASIS.md#the-legger; specific item proposal.</x:v>
      </x:c>
      <x:c r="W263" s="4" t="str">
        <x:v>Armor</x:v>
      </x:c>
      <x:c r="X263" s="4" t="str">
        <x:v>Finished item</x:v>
      </x:c>
      <x:c r="Y263" s="4" t="str">
        <x:v>Manufactured / unresolved</x:v>
      </x:c>
      <x:c r="Z263" s="4" t="str">
        <x:v>Protection</x:v>
      </x:c>
      <x:c r="AA263" s="4" t="str">
        <x:v>Mixed / unresolved</x:v>
      </x:c>
      <x:c r="AB263" s="4" t="str">
        <x:v>Assembly</x:v>
      </x:c>
      <x:c r="AC263" s="4" t="str">
        <x:v>Proposal</x:v>
      </x:c>
      <x:c r="AD263" s="4" t="str">
        <x:f>LOWER(A263&amp;"; "&amp;B263&amp;"; "&amp;C263&amp;"; "&amp;D263&amp;"; "&amp;W263&amp;"; "&amp;X263&amp;"; "&amp;Y263&amp;"; "&amp;Z263&amp;"; "&amp;AA263&amp;"; "&amp;AB263&amp;"; "&amp;AC263&amp;"; "&amp;U263)</x:f>
        <x:v>proposal.legger.joint_guard; articulated joint guard; equipment; legger armor; armor; finished item; manufactured / unresolved; protection; mixed / unresolved; assembly; proposal; legger; leger; companion replacement part</x:v>
      </x:c>
      <x:c r="AE263" s="4" t="str">
        <x:v>Specific parts and protective properties remain proposals; ancient-material scarcity is established author direction.</x:v>
      </x:c>
      <x:c r="AF263" s="4" t="str">
        <x:v>Finished item</x:v>
      </x:c>
      <x:c r="AG263" s="4" t="str">
        <x:v>Completed gear, vessel, food or tool can stop at its chosen material tier; it need not climb to T4.</x:v>
      </x:c>
      <x:c r="AH263" s="4" t="str">
        <x:v>Unassigned</x:v>
      </x:c>
    </x:row>
    <x:row r="264" ht="115" customHeight="1">
      <x:c r="A264" s="9" t="str">
        <x:v>proposal.legger.ceramic_backing</x:v>
      </x:c>
      <x:c r="B264" s="9" t="str">
        <x:v>Ceramic armor backing insert</x:v>
      </x:c>
      <x:c r="C264" s="9" t="str">
        <x:v>Equipment</x:v>
      </x:c>
      <x:c r="D264" s="9" t="str">
        <x:v>Legger armor</x:v>
      </x:c>
      <x:c r="E264" s="9" t="str">
        <x:v>New proposal</x:v>
      </x:c>
      <x:c r="F264" s="9" t="str">
        <x:v>Fitted ceramic backing candidate within a selected composite guard assembly.</x:v>
      </x:c>
      <x:c r="G264" s="9" t="str">
        <x:v>Legger fitment unresolved</x:v>
      </x:c>
      <x:c r="H264" s="9" t="str">
        <x:v>Legger attachment / replacement intended; physical cargo policy unchanged</x:v>
      </x:c>
      <x:c r="I264" s="13"/>
      <x:c r="J264" s="15"/>
      <x:c r="K264" s="9" t="str">
        <x:v>Local craft, salvage or specialist trade; exact route TBD</x:v>
      </x:c>
      <x:c r="L264" s="9" t="str">
        <x:v>No recipe authored. Reuse existing iron stock, biological materials, ceramic craft, lubricant and ancient-material families where appropriate.</x:v>
      </x:c>
      <x:c r="M264" s="9" t="str">
        <x:v>Not implemented</x:v>
      </x:c>
      <x:c r="N264" s="9" t="str">
        <x:v>An application of the existing ceramic-armor family; layer order, damage and service limits TBD.</x:v>
      </x:c>
      <x:c r="O264" s="17"/>
      <x:c r="P264" s="17"/>
      <x:c r="Q264" s="17"/>
      <x:c r="R264" s="17"/>
      <x:c r="S264" s="17"/>
      <x:c r="T264" s="9" t="str">
        <x:v>Brainstorming candidate. Geometry, cost, mass, mounting, carrying and replacement behavior remain open. Part belongs to a finite physical companion.</x:v>
      </x:c>
      <x:c r="U264" s="11" t="str">
        <x:v>legger; leger; companion replacement part</x:v>
      </x:c>
      <x:c r="V264" s="9" t="str">
        <x:v>Author Legger slings/chassis/replacement/iron/ancient-armor brainstorming October 14, 2026; Docs/WORLD_BASIS.md#the-legger; specific item proposal.</x:v>
      </x:c>
      <x:c r="W264" s="4" t="str">
        <x:v>Armor</x:v>
      </x:c>
      <x:c r="X264" s="4" t="str">
        <x:v>Finished item</x:v>
      </x:c>
      <x:c r="Y264" s="4" t="str">
        <x:v>Manufactured / unresolved</x:v>
      </x:c>
      <x:c r="Z264" s="4" t="str">
        <x:v>Protection</x:v>
      </x:c>
      <x:c r="AA264" s="4" t="str">
        <x:v>Ceramic</x:v>
      </x:c>
      <x:c r="AB264" s="4" t="str">
        <x:v>Panel</x:v>
      </x:c>
      <x:c r="AC264" s="4" t="str">
        <x:v>Proposal</x:v>
      </x:c>
      <x:c r="AD264" s="4" t="str">
        <x:f>LOWER(A264&amp;"; "&amp;B264&amp;"; "&amp;C264&amp;"; "&amp;D264&amp;"; "&amp;W264&amp;"; "&amp;X264&amp;"; "&amp;Y264&amp;"; "&amp;Z264&amp;"; "&amp;AA264&amp;"; "&amp;AB264&amp;"; "&amp;AC264&amp;"; "&amp;U264)</x:f>
        <x:v>proposal.legger.ceramic_backing; ceramic armor backing insert; equipment; legger armor; armor; finished item; manufactured / unresolved; protection; ceramic; panel; proposal; legger; leger; companion replacement part</x:v>
      </x:c>
      <x:c r="AE264" s="4" t="str">
        <x:v>Specific parts and protective properties remain proposals; ancient-material scarcity is established author direction.</x:v>
      </x:c>
      <x:c r="AF264" s="4" t="str">
        <x:v>Finished item</x:v>
      </x:c>
      <x:c r="AG264" s="4" t="str">
        <x:v>Completed gear, vessel, food or tool can stop at its chosen material tier; it need not climb to T4.</x:v>
      </x:c>
      <x:c r="AH264" s="4" t="str">
        <x:v>Unassigned</x:v>
      </x:c>
    </x:row>
    <x:row r="265" ht="115" customHeight="1">
      <x:c r="A265" s="9" t="str">
        <x:v>proposal.legger.plasteel_rib</x:v>
      </x:c>
      <x:c r="B265" s="9" t="str">
        <x:v>Ancient plasteel replacement member</x:v>
      </x:c>
      <x:c r="C265" s="9" t="str">
        <x:v>Crafting components</x:v>
      </x:c>
      <x:c r="D265" s="9" t="str">
        <x:v>Legger ancient replacement</x:v>
      </x:c>
      <x:c r="E265" s="9" t="str">
        <x:v>New proposal</x:v>
      </x:c>
      <x:c r="F265" s="9" t="str">
        <x:v>Recovered plasteel structural piece considered for a compatible chassis replacement.</x:v>
      </x:c>
      <x:c r="G265" s="9" t="str">
        <x:v>Legger fitment unresolved</x:v>
      </x:c>
      <x:c r="H265" s="9" t="str">
        <x:v>Legger attachment / replacement intended; physical cargo policy unchanged</x:v>
      </x:c>
      <x:c r="I265" s="13"/>
      <x:c r="J265" s="15"/>
      <x:c r="K265" s="9" t="str">
        <x:v>Extremely rare recovered technology; fitting and recovery method TBD</x:v>
      </x:c>
      <x:c r="L265" s="9" t="str">
        <x:v>No recipe authored. Reuse existing iron stock, biological materials, ceramic craft, lubricant and ancient-material families where appropriate.</x:v>
      </x:c>
      <x:c r="M265" s="9" t="str">
        <x:v>Not implemented</x:v>
      </x:c>
      <x:c r="N265" s="9" t="str">
        <x:v>Extremely rare; fit, identification, rework and attachment remain unresolved. Recovery does not grant manufacture.</x:v>
      </x:c>
      <x:c r="O265" s="17" t="str">
        <x:v>Extremely rare</x:v>
      </x:c>
      <x:c r="P265" s="17"/>
      <x:c r="Q265" s="17"/>
      <x:c r="R265" s="17"/>
      <x:c r="S265" s="17"/>
      <x:c r="T265" s="9" t="str">
        <x:v>Brainstorming candidate. Geometry, cost, mass, mounting, carrying and replacement behavior remain open. Part belongs to a finite physical companion.</x:v>
      </x:c>
      <x:c r="U265" s="11" t="str">
        <x:v>legger; leger; companion replacement part; ancient salvage plasteel nanotube ballistic</x:v>
      </x:c>
      <x:c r="V265" s="9" t="str">
        <x:v>Author Legger slings/chassis/replacement/iron/ancient-armor brainstorming October 14, 2026; Docs/WORLD_BASIS.md#the-legger; specific item proposal.</x:v>
      </x:c>
      <x:c r="W265" s="4" t="str">
        <x:v>Crafting component</x:v>
      </x:c>
      <x:c r="X265" s="4" t="str">
        <x:v>Processed intermediate</x:v>
      </x:c>
      <x:c r="Y265" s="4" t="str">
        <x:v>Ancient technology</x:v>
      </x:c>
      <x:c r="Z265" s="4" t="str">
        <x:v>Equipment repair</x:v>
      </x:c>
      <x:c r="AA265" s="4" t="str">
        <x:v>Ancient composite</x:v>
      </x:c>
      <x:c r="AB265" s="4" t="str">
        <x:v>Solid part</x:v>
      </x:c>
      <x:c r="AC265" s="4" t="str">
        <x:v>Proposal</x:v>
      </x:c>
      <x:c r="AD265" s="4" t="str">
        <x:f>LOWER(A265&amp;"; "&amp;B265&amp;"; "&amp;C265&amp;"; "&amp;D265&amp;"; "&amp;W265&amp;"; "&amp;X265&amp;"; "&amp;Y265&amp;"; "&amp;Z265&amp;"; "&amp;AA265&amp;"; "&amp;AB265&amp;"; "&amp;AC265&amp;"; "&amp;U265)</x:f>
        <x:v>proposal.legger.plasteel_rib; ancient plasteel replacement member; crafting components; legger ancient replacement; crafting component; processed intermediate; ancient technology; equipment repair; ancient composite; solid part; proposal; legger; leger; companion replacement part; ancient salvage plasteel nanotube ballistic</x:v>
      </x:c>
      <x:c r="AE265" s="4" t="str">
        <x:v>Specific parts and protective properties remain proposals; ancient-material scarcity is established author direction.</x:v>
      </x:c>
      <x:c r="AF265" s="4" t="str">
        <x:v>Unassigned</x:v>
      </x:c>
      <x:c r="AG265" s="4" t="str">
        <x:v>Tier requires a chosen production route; recovered ancient material is not automatically T4.</x:v>
      </x:c>
      <x:c r="AH265" s="4" t="str">
        <x:v>Unassigned</x:v>
      </x:c>
    </x:row>
    <x:row r="266" ht="115" customHeight="1">
      <x:c r="A266" s="9" t="str">
        <x:v>proposal.legger.nanocarbon_panel</x:v>
      </x:c>
      <x:c r="B266" s="9" t="str">
        <x:v>Ancient nanocarbon armor panel</x:v>
      </x:c>
      <x:c r="C266" s="9" t="str">
        <x:v>Equipment</x:v>
      </x:c>
      <x:c r="D266" s="9" t="str">
        <x:v>Legger ancient replacement</x:v>
      </x:c>
      <x:c r="E266" s="9" t="str">
        <x:v>New proposal</x:v>
      </x:c>
      <x:c r="F266" s="9" t="str">
        <x:v>Recovered nanotube/nanocarbon composite protective panel candidate.</x:v>
      </x:c>
      <x:c r="G266" s="9" t="str">
        <x:v>Legger fitment unresolved</x:v>
      </x:c>
      <x:c r="H266" s="9" t="str">
        <x:v>Legger attachment / replacement intended; physical cargo policy unchanged</x:v>
      </x:c>
      <x:c r="I266" s="13"/>
      <x:c r="J266" s="15"/>
      <x:c r="K266" s="9" t="str">
        <x:v>Extremely rare recovered technology; fitting and recovery method TBD</x:v>
      </x:c>
      <x:c r="L266" s="9" t="str">
        <x:v>No recipe authored. Reuse existing iron stock, biological materials, ceramic craft, lubricant and ancient-material families where appropriate.</x:v>
      </x:c>
      <x:c r="M266" s="9" t="str">
        <x:v>Not implemented</x:v>
      </x:c>
      <x:c r="N266" s="9" t="str">
        <x:v>Extremely rare; ballistic response and degradation must be designed, with no automatic immunity or reproducibility.</x:v>
      </x:c>
      <x:c r="O266" s="17" t="str">
        <x:v>Extremely rare</x:v>
      </x:c>
      <x:c r="P266" s="17"/>
      <x:c r="Q266" s="17"/>
      <x:c r="R266" s="17"/>
      <x:c r="S266" s="17"/>
      <x:c r="T266" s="9" t="str">
        <x:v>Brainstorming candidate. Geometry, cost, mass, mounting, carrying and replacement behavior remain open. Part belongs to a finite physical companion.</x:v>
      </x:c>
      <x:c r="U266" s="11" t="str">
        <x:v>legger; leger; companion replacement part; ancient salvage plasteel nanotube ballistic</x:v>
      </x:c>
      <x:c r="V266" s="9" t="str">
        <x:v>Author Legger slings/chassis/replacement/iron/ancient-armor brainstorming October 14, 2026; Docs/WORLD_BASIS.md#the-legger; specific item proposal.</x:v>
      </x:c>
      <x:c r="W266" s="4" t="str">
        <x:v>Armor</x:v>
      </x:c>
      <x:c r="X266" s="4" t="str">
        <x:v>Finished item</x:v>
      </x:c>
      <x:c r="Y266" s="4" t="str">
        <x:v>Ancient technology</x:v>
      </x:c>
      <x:c r="Z266" s="4" t="str">
        <x:v>Protection</x:v>
      </x:c>
      <x:c r="AA266" s="4" t="str">
        <x:v>Ancient composite</x:v>
      </x:c>
      <x:c r="AB266" s="4" t="str">
        <x:v>Panel</x:v>
      </x:c>
      <x:c r="AC266" s="4" t="str">
        <x:v>Proposal</x:v>
      </x:c>
      <x:c r="AD266" s="4" t="str">
        <x:f>LOWER(A266&amp;"; "&amp;B266&amp;"; "&amp;C266&amp;"; "&amp;D266&amp;"; "&amp;W266&amp;"; "&amp;X266&amp;"; "&amp;Y266&amp;"; "&amp;Z266&amp;"; "&amp;AA266&amp;"; "&amp;AB266&amp;"; "&amp;AC266&amp;"; "&amp;U266)</x:f>
        <x:v>proposal.legger.nanocarbon_panel; ancient nanocarbon armor panel; equipment; legger ancient replacement; armor; finished item; ancient technology; protection; ancient composite; panel; proposal; legger; leger; companion replacement part; ancient salvage plasteel nanotube ballistic</x:v>
      </x:c>
      <x:c r="AE266" s="4" t="str">
        <x:v>Specific parts and protective properties remain proposals; ancient-material scarcity is established author direction.</x:v>
      </x:c>
      <x:c r="AF266" s="4" t="str">
        <x:v>Unassigned</x:v>
      </x:c>
      <x:c r="AG266" s="4" t="str">
        <x:v>Tier requires a chosen production route; recovered ancient material is not automatically T4.</x:v>
      </x:c>
      <x:c r="AH266" s="4" t="str">
        <x:v>Unassigned</x:v>
      </x:c>
    </x:row>
    <x:row r="267" ht="115" customHeight="1">
      <x:c r="A267" s="9" t="str">
        <x:v>proposal.legger.ancient_bearing</x:v>
      </x:c>
      <x:c r="B267" s="9" t="str">
        <x:v>Ancient bearing cassette</x:v>
      </x:c>
      <x:c r="C267" s="9" t="str">
        <x:v>Crafting components</x:v>
      </x:c>
      <x:c r="D267" s="9" t="str">
        <x:v>Legger ancient replacement</x:v>
      </x:c>
      <x:c r="E267" s="9" t="str">
        <x:v>New proposal</x:v>
      </x:c>
      <x:c r="F267" s="9" t="str">
        <x:v>Recovered precision bearing module considered for an appropriate joint.</x:v>
      </x:c>
      <x:c r="G267" s="9" t="str">
        <x:v>Legger fitment unresolved</x:v>
      </x:c>
      <x:c r="H267" s="9" t="str">
        <x:v>Legger attachment / replacement intended; physical cargo policy unchanged</x:v>
      </x:c>
      <x:c r="I267" s="13"/>
      <x:c r="J267" s="15"/>
      <x:c r="K267" s="9" t="str">
        <x:v>Extremely rare recovered technology; fitting and recovery method TBD</x:v>
      </x:c>
      <x:c r="L267" s="9" t="str">
        <x:v>No recipe authored. Reuse existing iron stock, biological materials, ceramic craft, lubricant and ancient-material families where appropriate.</x:v>
      </x:c>
      <x:c r="M267" s="9" t="str">
        <x:v>Not implemented</x:v>
      </x:c>
      <x:c r="N267" s="9" t="str">
        <x:v>Extremely rare; compatibility, remaining life and ability to service it are unknown. Material makeup unspecified.</x:v>
      </x:c>
      <x:c r="O267" s="17" t="str">
        <x:v>Extremely rare</x:v>
      </x:c>
      <x:c r="P267" s="17"/>
      <x:c r="Q267" s="17"/>
      <x:c r="R267" s="17"/>
      <x:c r="S267" s="17"/>
      <x:c r="T267" s="9" t="str">
        <x:v>Brainstorming candidate. Geometry, cost, mass, mounting, carrying and replacement behavior remain open. Part belongs to a finite physical companion.</x:v>
      </x:c>
      <x:c r="U267" s="11" t="str">
        <x:v>legger; leger; companion replacement part; ancient salvage plasteel nanotube ballistic</x:v>
      </x:c>
      <x:c r="V267" s="9" t="str">
        <x:v>Author Legger slings/chassis/replacement/iron/ancient-armor brainstorming October 14, 2026; Docs/WORLD_BASIS.md#the-legger; specific item proposal.</x:v>
      </x:c>
      <x:c r="W267" s="4" t="str">
        <x:v>Crafting component</x:v>
      </x:c>
      <x:c r="X267" s="4" t="str">
        <x:v>Processed intermediate</x:v>
      </x:c>
      <x:c r="Y267" s="4" t="str">
        <x:v>Ancient technology</x:v>
      </x:c>
      <x:c r="Z267" s="4" t="str">
        <x:v>Equipment repair</x:v>
      </x:c>
      <x:c r="AA267" s="4" t="str">
        <x:v>Unresolved</x:v>
      </x:c>
      <x:c r="AB267" s="4" t="str">
        <x:v>Assembly</x:v>
      </x:c>
      <x:c r="AC267" s="4" t="str">
        <x:v>Proposal</x:v>
      </x:c>
      <x:c r="AD267" s="4" t="str">
        <x:f>LOWER(A267&amp;"; "&amp;B267&amp;"; "&amp;C267&amp;"; "&amp;D267&amp;"; "&amp;W267&amp;"; "&amp;X267&amp;"; "&amp;Y267&amp;"; "&amp;Z267&amp;"; "&amp;AA267&amp;"; "&amp;AB267&amp;"; "&amp;AC267&amp;"; "&amp;U267)</x:f>
        <x:v>proposal.legger.ancient_bearing; ancient bearing cassette; crafting components; legger ancient replacement; crafting component; processed intermediate; ancient technology; equipment repair; unresolved; assembly; proposal; legger; leger; companion replacement part; ancient salvage plasteel nanotube ballistic</x:v>
      </x:c>
      <x:c r="AE267" s="4" t="str">
        <x:v>Specific parts and protective properties remain proposals; ancient-material scarcity is established author direction.</x:v>
      </x:c>
      <x:c r="AF267" s="4" t="str">
        <x:v>Unassigned</x:v>
      </x:c>
      <x:c r="AG267" s="4" t="str">
        <x:v>Tier requires a chosen production route; recovered ancient material is not automatically T4.</x:v>
      </x:c>
      <x:c r="AH267" s="4" t="str">
        <x:v>Unassigned</x:v>
      </x:c>
    </x:row>
    <x:row r="268" ht="115" customHeight="1">
      <x:c r="A268" s="9" t="str">
        <x:v>proposal.legger.ballistic_guard</x:v>
      </x:c>
      <x:c r="B268" s="9" t="str">
        <x:v>Ancient ballistic-deflecting guard</x:v>
      </x:c>
      <x:c r="C268" s="9" t="str">
        <x:v>Equipment</x:v>
      </x:c>
      <x:c r="D268" s="9" t="str">
        <x:v>Legger ancient replacement</x:v>
      </x:c>
      <x:c r="E268" s="9" t="str">
        <x:v>New proposal</x:v>
      </x:c>
      <x:c r="F268" s="9" t="str">
        <x:v>Working concept for plasteel/nanocarbon armor intended to resist or deflect projectiles.</x:v>
      </x:c>
      <x:c r="G268" s="9" t="str">
        <x:v>Legger fitment unresolved</x:v>
      </x:c>
      <x:c r="H268" s="9" t="str">
        <x:v>Legger attachment / replacement intended; physical cargo policy unchanged</x:v>
      </x:c>
      <x:c r="I268" s="13"/>
      <x:c r="J268" s="15"/>
      <x:c r="K268" s="9" t="str">
        <x:v>Extremely rare recovered technology; fitting and recovery method TBD</x:v>
      </x:c>
      <x:c r="L268" s="9" t="str">
        <x:v>No recipe authored. Reuse existing iron stock, biological materials, ceramic craft, lubricant and ancient-material families where appropriate.</x:v>
      </x:c>
      <x:c r="M268" s="9" t="str">
        <x:v>Not implemented</x:v>
      </x:c>
      <x:c r="N268" s="9" t="str">
        <x:v>Extremely rare. Passive layering, geometry or another mechanism is undecided; no force-field system, guaranteed deflection or armor statistics established.</x:v>
      </x:c>
      <x:c r="O268" s="17" t="str">
        <x:v>Extremely rare</x:v>
      </x:c>
      <x:c r="P268" s="17"/>
      <x:c r="Q268" s="17"/>
      <x:c r="R268" s="17"/>
      <x:c r="S268" s="17"/>
      <x:c r="T268" s="9" t="str">
        <x:v>Brainstorming candidate. Geometry, cost, mass, mounting, carrying and replacement behavior remain open. Part belongs to a finite physical companion.</x:v>
      </x:c>
      <x:c r="U268" s="11" t="str">
        <x:v>legger; leger; companion replacement part; ancient salvage plasteel nanotube ballistic</x:v>
      </x:c>
      <x:c r="V268" s="9" t="str">
        <x:v>Author Legger slings/chassis/replacement/iron/ancient-armor brainstorming October 14, 2026; Docs/WORLD_BASIS.md#the-legger; specific item proposal.</x:v>
      </x:c>
      <x:c r="W268" s="4" t="str">
        <x:v>Armor</x:v>
      </x:c>
      <x:c r="X268" s="4" t="str">
        <x:v>Finished item</x:v>
      </x:c>
      <x:c r="Y268" s="4" t="str">
        <x:v>Ancient technology</x:v>
      </x:c>
      <x:c r="Z268" s="4" t="str">
        <x:v>Protection</x:v>
      </x:c>
      <x:c r="AA268" s="4" t="str">
        <x:v>Ancient composite</x:v>
      </x:c>
      <x:c r="AB268" s="4" t="str">
        <x:v>Panel</x:v>
      </x:c>
      <x:c r="AC268" s="4" t="str">
        <x:v>Proposal</x:v>
      </x:c>
      <x:c r="AD268" s="4" t="str">
        <x:f>LOWER(A268&amp;"; "&amp;B268&amp;"; "&amp;C268&amp;"; "&amp;D268&amp;"; "&amp;W268&amp;"; "&amp;X268&amp;"; "&amp;Y268&amp;"; "&amp;Z268&amp;"; "&amp;AA268&amp;"; "&amp;AB268&amp;"; "&amp;AC268&amp;"; "&amp;U268)</x:f>
        <x:v>proposal.legger.ballistic_guard; ancient ballistic-deflecting guard; equipment; legger ancient replacement; armor; finished item; ancient technology; protection; ancient composite; panel; proposal; legger; leger; companion replacement part; ancient salvage plasteel nanotube ballistic</x:v>
      </x:c>
      <x:c r="AE268" s="4" t="str">
        <x:v>Specific parts and protective properties remain proposals; ancient-material scarcity is established author direction.</x:v>
      </x:c>
      <x:c r="AF268" s="4" t="str">
        <x:v>Unassigned</x:v>
      </x:c>
      <x:c r="AG268" s="4" t="str">
        <x:v>Tier requires a chosen production route; recovered ancient material is not automatically T4.</x:v>
      </x:c>
      <x:c r="AH268" s="4" t="str">
        <x:v>Unassigned</x:v>
      </x:c>
    </x:row>
    <x:row r="269" ht="115" customHeight="1">
      <x:c r="A269" s="9" t="str">
        <x:v>proposal.legger.pannier_frame</x:v>
      </x:c>
      <x:c r="B269" s="9" t="str">
        <x:v>Legger side-pannier frame</x:v>
      </x:c>
      <x:c r="C269" s="9" t="str">
        <x:v>Equipment</x:v>
      </x:c>
      <x:c r="D269" s="9" t="str">
        <x:v>Legger cargo rigging</x:v>
      </x:c>
      <x:c r="E269" s="9" t="str">
        <x:v>New proposal</x:v>
      </x:c>
      <x:c r="F269" s="9" t="str">
        <x:v>Side-mounted support for a matched bounded cargo container.</x:v>
      </x:c>
      <x:c r="G269" s="9" t="str">
        <x:v>Legger fitment unresolved</x:v>
      </x:c>
      <x:c r="H269" s="9" t="str">
        <x:v>Legger attachment / replacement intended; physical cargo policy unchanged</x:v>
      </x:c>
      <x:c r="I269" s="13"/>
      <x:c r="J269" s="15"/>
      <x:c r="K269" s="9" t="str">
        <x:v>Local craft, salvage or specialist trade; exact route TBD</x:v>
      </x:c>
      <x:c r="L269" s="9" t="str">
        <x:v>No recipe authored. Reuse existing iron stock, biological materials, ceramic craft, lubricant and ancient-material families where appropriate.</x:v>
      </x:c>
      <x:c r="M269" s="9" t="str">
        <x:v>Not implemented</x:v>
      </x:c>
      <x:c r="N269" s="9" t="str">
        <x:v>Side clearance, load placement and attachment remain open; distinct from a general cargo cradle.</x:v>
      </x:c>
      <x:c r="O269" s="17"/>
      <x:c r="P269" s="17"/>
      <x:c r="Q269" s="17"/>
      <x:c r="R269" s="17"/>
      <x:c r="S269" s="17"/>
      <x:c r="T269" s="9" t="str">
        <x:v>Brainstorming candidate. Geometry, cost, mass, mounting, carrying and replacement behavior remain open. Part belongs to a finite physical companion.</x:v>
      </x:c>
      <x:c r="U269" s="11" t="str">
        <x:v>equipment mounting; legger; leger; companion replacement part</x:v>
      </x:c>
      <x:c r="V269" s="9" t="str">
        <x:v>Author Legger slings/chassis/replacement/iron/ancient-armor brainstorming October 14, 2026; Docs/WORLD_BASIS.md#the-legger; specific item proposal.</x:v>
      </x:c>
      <x:c r="W269" s="4" t="str">
        <x:v>Carrier</x:v>
      </x:c>
      <x:c r="X269" s="4" t="str">
        <x:v>Finished item</x:v>
      </x:c>
      <x:c r="Y269" s="4" t="str">
        <x:v>Manufactured / unresolved</x:v>
      </x:c>
      <x:c r="Z269" s="4" t="str">
        <x:v>Cargo organization</x:v>
      </x:c>
      <x:c r="AA269" s="4" t="str">
        <x:v>Metal</x:v>
      </x:c>
      <x:c r="AB269" s="4" t="str">
        <x:v>Assembly</x:v>
      </x:c>
      <x:c r="AC269" s="4" t="str">
        <x:v>Proposal</x:v>
      </x:c>
      <x:c r="AD269" s="4" t="str">
        <x:f>LOWER(A269&amp;"; "&amp;B269&amp;"; "&amp;C269&amp;"; "&amp;D269&amp;"; "&amp;W269&amp;"; "&amp;X269&amp;"; "&amp;Y269&amp;"; "&amp;Z269&amp;"; "&amp;AA269&amp;"; "&amp;AB269&amp;"; "&amp;AC269&amp;"; "&amp;U269)</x:f>
        <x:v>proposal.legger.pannier_frame; legger side-pannier frame; equipment; legger cargo rigging; carrier; finished item; manufactured / unresolved; cargo organization; metal; assembly; proposal; equipment mounting; legger; leger; companion replacement part</x:v>
      </x:c>
      <x:c r="AE269" s="4" t="str">
        <x:v>Specific parts and protective properties remain proposals; ancient-material scarcity is established author direction.</x:v>
      </x:c>
      <x:c r="AF269" s="4" t="str">
        <x:v>Finished item</x:v>
      </x:c>
      <x:c r="AG269" s="4" t="str">
        <x:v>Completed gear, vessel, food or tool can stop at its chosen material tier; it need not climb to T4.</x:v>
      </x:c>
      <x:c r="AH269" s="4" t="str">
        <x:v>Unassigned</x:v>
      </x:c>
    </x:row>
    <x:row r="270" ht="115" customHeight="1">
      <x:c r="A270" s="9" t="str">
        <x:v>proposal.legger.sample_rack</x:v>
      </x:c>
      <x:c r="B270" s="9" t="str">
        <x:v>Legger sample-vial rack</x:v>
      </x:c>
      <x:c r="C270" s="9" t="str">
        <x:v>Equipment</x:v>
      </x:c>
      <x:c r="D270" s="9" t="str">
        <x:v>Legger cargo rigging</x:v>
      </x:c>
      <x:c r="E270" s="9" t="str">
        <x:v>New proposal</x:v>
      </x:c>
      <x:c r="F270" s="9" t="str">
        <x:v>Fitted rack holding existing separately sealed sample vessels.</x:v>
      </x:c>
      <x:c r="G270" s="9" t="str">
        <x:v>Legger fitment unresolved</x:v>
      </x:c>
      <x:c r="H270" s="9" t="str">
        <x:v>Legger attachment / replacement intended; physical cargo policy unchanged</x:v>
      </x:c>
      <x:c r="I270" s="13"/>
      <x:c r="J270" s="15"/>
      <x:c r="K270" s="9" t="str">
        <x:v>Local craft, salvage or specialist trade; exact route TBD</x:v>
      </x:c>
      <x:c r="L270" s="9" t="str">
        <x:v>No recipe authored. Reuse existing iron stock, biological materials, ceramic craft, lubricant and ancient-material families where appropriate.</x:v>
      </x:c>
      <x:c r="M270" s="9" t="str">
        <x:v>Not implemented</x:v>
      </x:c>
      <x:c r="N270" s="9" t="str">
        <x:v>Rack geometry, shock isolation and chemistry segregation TBD; vials remain separately counted.</x:v>
      </x:c>
      <x:c r="O270" s="17"/>
      <x:c r="P270" s="17"/>
      <x:c r="Q270" s="17"/>
      <x:c r="R270" s="17"/>
      <x:c r="S270" s="17"/>
      <x:c r="T270" s="9" t="str">
        <x:v>Brainstorming candidate. Geometry, cost, mass, mounting, carrying and replacement behavior remain open. Part belongs to a finite physical companion.</x:v>
      </x:c>
      <x:c r="U270" s="11" t="str">
        <x:v>legger; leger; companion replacement part</x:v>
      </x:c>
      <x:c r="V270" s="9" t="str">
        <x:v>Author Legger slings/chassis/replacement/iron/ancient-armor brainstorming October 14, 2026; Docs/WORLD_BASIS.md#the-legger; specific item proposal.</x:v>
      </x:c>
      <x:c r="W270" s="4" t="str">
        <x:v>Carrier</x:v>
      </x:c>
      <x:c r="X270" s="4" t="str">
        <x:v>Finished item</x:v>
      </x:c>
      <x:c r="Y270" s="4" t="str">
        <x:v>Manufactured / unresolved</x:v>
      </x:c>
      <x:c r="Z270" s="4" t="str">
        <x:v>Cargo organization</x:v>
      </x:c>
      <x:c r="AA270" s="4" t="str">
        <x:v>Mixed / unresolved</x:v>
      </x:c>
      <x:c r="AB270" s="4" t="str">
        <x:v>Assembly</x:v>
      </x:c>
      <x:c r="AC270" s="4" t="str">
        <x:v>Proposal</x:v>
      </x:c>
      <x:c r="AD270" s="4" t="str">
        <x:f>LOWER(A270&amp;"; "&amp;B270&amp;"; "&amp;C270&amp;"; "&amp;D270&amp;"; "&amp;W270&amp;"; "&amp;X270&amp;"; "&amp;Y270&amp;"; "&amp;Z270&amp;"; "&amp;AA270&amp;"; "&amp;AB270&amp;"; "&amp;AC270&amp;"; "&amp;U270)</x:f>
        <x:v>proposal.legger.sample_rack; legger sample-vial rack; equipment; legger cargo rigging; carrier; finished item; manufactured / unresolved; cargo organization; mixed / unresolved; assembly; proposal; legger; leger; companion replacement part</x:v>
      </x:c>
      <x:c r="AE270" s="4" t="str">
        <x:v>Specific parts and protective properties remain proposals; ancient-material scarcity is established author direction.</x:v>
      </x:c>
      <x:c r="AF270" s="4" t="str">
        <x:v>Finished item</x:v>
      </x:c>
      <x:c r="AG270" s="4" t="str">
        <x:v>Completed gear, vessel, food or tool can stop at its chosen material tier; it need not climb to T4.</x:v>
      </x:c>
      <x:c r="AH270" s="4" t="str">
        <x:v>Unassigned</x:v>
      </x:c>
    </x:row>
    <x:row r="271" ht="115" customHeight="1">
      <x:c r="A271" s="9" t="str">
        <x:v>proposal.legger.ore_bin</x:v>
      </x:c>
      <x:c r="B271" s="9" t="str">
        <x:v>Legger removable ore bin</x:v>
      </x:c>
      <x:c r="C271" s="9" t="str">
        <x:v>Equipment</x:v>
      </x:c>
      <x:c r="D271" s="9" t="str">
        <x:v>Legger cargo rigging</x:v>
      </x:c>
      <x:c r="E271" s="9" t="str">
        <x:v>New proposal</x:v>
      </x:c>
      <x:c r="F271" s="9" t="str">
        <x:v>Removable rigid bin for selected bulk mineral cargo.</x:v>
      </x:c>
      <x:c r="G271" s="9" t="str">
        <x:v>Legger fitment unresolved</x:v>
      </x:c>
      <x:c r="H271" s="9" t="str">
        <x:v>Legger attachment / replacement intended; physical cargo policy unchanged</x:v>
      </x:c>
      <x:c r="I271" s="13"/>
      <x:c r="J271" s="15"/>
      <x:c r="K271" s="9" t="str">
        <x:v>Local craft, salvage or specialist trade; exact route TBD</x:v>
      </x:c>
      <x:c r="L271" s="9" t="str">
        <x:v>No recipe authored. Reuse existing iron stock, biological materials, ceramic craft, lubricant and ancient-material families where appropriate.</x:v>
      </x:c>
      <x:c r="M271" s="9" t="str">
        <x:v>Not implemented</x:v>
      </x:c>
      <x:c r="N271" s="9" t="str">
        <x:v>Volume and load limit undefined; remains physical Legger cargo, not extra abstract inventory.</x:v>
      </x:c>
      <x:c r="O271" s="17"/>
      <x:c r="P271" s="17"/>
      <x:c r="Q271" s="17"/>
      <x:c r="R271" s="17"/>
      <x:c r="S271" s="17"/>
      <x:c r="T271" s="9" t="str">
        <x:v>Brainstorming candidate. Geometry, cost, mass, mounting, carrying and replacement behavior remain open. Part belongs to a finite physical companion.</x:v>
      </x:c>
      <x:c r="U271" s="11" t="str">
        <x:v>legger; leger; companion replacement part</x:v>
      </x:c>
      <x:c r="V271" s="9" t="str">
        <x:v>Author Legger slings/chassis/replacement/iron/ancient-armor brainstorming October 14, 2026; Docs/WORLD_BASIS.md#the-legger; specific item proposal.</x:v>
      </x:c>
      <x:c r="W271" s="4" t="str">
        <x:v>Container</x:v>
      </x:c>
      <x:c r="X271" s="4" t="str">
        <x:v>Finished item</x:v>
      </x:c>
      <x:c r="Y271" s="4" t="str">
        <x:v>Manufactured / unresolved</x:v>
      </x:c>
      <x:c r="Z271" s="4" t="str">
        <x:v>Cargo organization</x:v>
      </x:c>
      <x:c r="AA271" s="4" t="str">
        <x:v>Metal</x:v>
      </x:c>
      <x:c r="AB271" s="4" t="str">
        <x:v>Assembly</x:v>
      </x:c>
      <x:c r="AC271" s="4" t="str">
        <x:v>Proposal</x:v>
      </x:c>
      <x:c r="AD271" s="4" t="str">
        <x:f>LOWER(A271&amp;"; "&amp;B271&amp;"; "&amp;C271&amp;"; "&amp;D271&amp;"; "&amp;W271&amp;"; "&amp;X271&amp;"; "&amp;Y271&amp;"; "&amp;Z271&amp;"; "&amp;AA271&amp;"; "&amp;AB271&amp;"; "&amp;AC271&amp;"; "&amp;U271)</x:f>
        <x:v>proposal.legger.ore_bin; legger removable ore bin; equipment; legger cargo rigging; container; finished item; manufactured / unresolved; cargo organization; metal; assembly; proposal; legger; leger; companion replacement part</x:v>
      </x:c>
      <x:c r="AE271" s="4" t="str">
        <x:v>Specific parts and protective properties remain proposals; ancient-material scarcity is established author direction.</x:v>
      </x:c>
      <x:c r="AF271" s="4" t="str">
        <x:v>Finished item</x:v>
      </x:c>
      <x:c r="AG271" s="4" t="str">
        <x:v>Completed gear, vessel, food or tool can stop at its chosen material tier; it need not climb to T4.</x:v>
      </x:c>
      <x:c r="AH271" s="4" t="str">
        <x:v>Unassigned</x:v>
      </x:c>
    </x:row>
    <x:row r="272" ht="115" customHeight="1">
      <x:c r="A272" s="9" t="str">
        <x:v>proposal.legger.long_load_clamp</x:v>
      </x:c>
      <x:c r="B272" s="9" t="str">
        <x:v>Legger long-load clamp</x:v>
      </x:c>
      <x:c r="C272" s="9" t="str">
        <x:v>Crafting components</x:v>
      </x:c>
      <x:c r="D272" s="9" t="str">
        <x:v>Legger cargo rigging</x:v>
      </x:c>
      <x:c r="E272" s="9" t="str">
        <x:v>New proposal</x:v>
      </x:c>
      <x:c r="F272" s="9" t="str">
        <x:v>A matched clamp for carrying a long salvage member.</x:v>
      </x:c>
      <x:c r="G272" s="9" t="str">
        <x:v>Legger fitment unresolved</x:v>
      </x:c>
      <x:c r="H272" s="9" t="str">
        <x:v>Legger attachment / replacement intended; physical cargo policy unchanged</x:v>
      </x:c>
      <x:c r="I272" s="13"/>
      <x:c r="J272" s="15"/>
      <x:c r="K272" s="9" t="str">
        <x:v>Local craft, salvage or specialist trade; exact route TBD</x:v>
      </x:c>
      <x:c r="L272" s="9" t="str">
        <x:v>No recipe authored. Reuse existing iron stock, biological materials, ceramic craft, lubricant and ancient-material families where appropriate.</x:v>
      </x:c>
      <x:c r="M272" s="9" t="str">
        <x:v>Not implemented</x:v>
      </x:c>
      <x:c r="N272" s="9" t="str">
        <x:v>Must account for reach, balance and collision envelope; no automatic carrying of arbitrarily large objects.</x:v>
      </x:c>
      <x:c r="O272" s="17"/>
      <x:c r="P272" s="17"/>
      <x:c r="Q272" s="17"/>
      <x:c r="R272" s="17"/>
      <x:c r="S272" s="17"/>
      <x:c r="T272" s="9" t="str">
        <x:v>Brainstorming candidate. Geometry, cost, mass, mounting, carrying and replacement behavior remain open. Part belongs to a finite physical companion.</x:v>
      </x:c>
      <x:c r="U272" s="11" t="str">
        <x:v>cargo organization; legger; leger; companion replacement part</x:v>
      </x:c>
      <x:c r="V272" s="9" t="str">
        <x:v>Author Legger slings/chassis/replacement/iron/ancient-armor brainstorming October 14, 2026; Docs/WORLD_BASIS.md#the-legger; specific item proposal.</x:v>
      </x:c>
      <x:c r="W272" s="4" t="str">
        <x:v>Crafting component</x:v>
      </x:c>
      <x:c r="X272" s="4" t="str">
        <x:v>Processed intermediate</x:v>
      </x:c>
      <x:c r="Y272" s="4" t="str">
        <x:v>Manufactured / unresolved</x:v>
      </x:c>
      <x:c r="Z272" s="4" t="str">
        <x:v>Equipment mounting</x:v>
      </x:c>
      <x:c r="AA272" s="4" t="str">
        <x:v>Metal</x:v>
      </x:c>
      <x:c r="AB272" s="4" t="str">
        <x:v>Solid part</x:v>
      </x:c>
      <x:c r="AC272" s="4" t="str">
        <x:v>Proposal</x:v>
      </x:c>
      <x:c r="AD272" s="4" t="str">
        <x:f>LOWER(A272&amp;"; "&amp;B272&amp;"; "&amp;C272&amp;"; "&amp;D272&amp;"; "&amp;W272&amp;"; "&amp;X272&amp;"; "&amp;Y272&amp;"; "&amp;Z272&amp;"; "&amp;AA272&amp;"; "&amp;AB272&amp;"; "&amp;AC272&amp;"; "&amp;U272)</x:f>
        <x:v>proposal.legger.long_load_clamp; legger long-load clamp; crafting components; legger cargo rigging; crafting component; processed intermediate; manufactured / unresolved; equipment mounting; metal; solid part; proposal; cargo organization; legger; leger; companion replacement part</x:v>
      </x:c>
      <x:c r="AE272" s="4" t="str">
        <x:v>Specific parts and protective properties remain proposals; ancient-material scarcity is established author direction.</x:v>
      </x:c>
      <x:c r="AF272" s="4" t="str">
        <x:v>Unassigned</x:v>
      </x:c>
      <x:c r="AG272" s="4" t="str">
        <x:v>Choose a material/part route before assigning a tier. Processing-stage labels alone do not prove chain depth.</x:v>
      </x:c>
      <x:c r="AH272" s="4" t="str">
        <x:v>Not applicable</x:v>
      </x:c>
    </x:row>
    <x:row r="273" ht="115" customHeight="1">
      <x:c r="A273" s="9" t="str">
        <x:v>proposal.legger.release_latch</x:v>
      </x:c>
      <x:c r="B273" s="9" t="str">
        <x:v>Cargo quick-release latch</x:v>
      </x:c>
      <x:c r="C273" s="9" t="str">
        <x:v>Crafting components</x:v>
      </x:c>
      <x:c r="D273" s="9" t="str">
        <x:v>Legger cargo rigging</x:v>
      </x:c>
      <x:c r="E273" s="9" t="str">
        <x:v>New proposal</x:v>
      </x:c>
      <x:c r="F273" s="9" t="str">
        <x:v>Serviceable latch securing one compatible cargo carrier.</x:v>
      </x:c>
      <x:c r="G273" s="9" t="str">
        <x:v>Legger fitment unresolved</x:v>
      </x:c>
      <x:c r="H273" s="9" t="str">
        <x:v>Legger attachment / replacement intended; physical cargo policy unchanged</x:v>
      </x:c>
      <x:c r="I273" s="13"/>
      <x:c r="J273" s="15"/>
      <x:c r="K273" s="9" t="str">
        <x:v>Local craft, salvage or specialist trade; exact route TBD</x:v>
      </x:c>
      <x:c r="L273" s="9" t="str">
        <x:v>No recipe authored. Reuse existing iron stock, biological materials, ceramic craft, lubricant and ancient-material families where appropriate.</x:v>
      </x:c>
      <x:c r="M273" s="9" t="str">
        <x:v>Not implemented</x:v>
      </x:c>
      <x:c r="N273" s="9" t="str">
        <x:v>Release action, retention and failure behavior TBD; distinguish from mounting eyes and lashings.</x:v>
      </x:c>
      <x:c r="O273" s="17"/>
      <x:c r="P273" s="17"/>
      <x:c r="Q273" s="17"/>
      <x:c r="R273" s="17"/>
      <x:c r="S273" s="17"/>
      <x:c r="T273" s="9" t="str">
        <x:v>Brainstorming candidate. Geometry, cost, mass, mounting, carrying and replacement behavior remain open. Part belongs to a finite physical companion.</x:v>
      </x:c>
      <x:c r="U273" s="11" t="str">
        <x:v>legger; leger; companion replacement part</x:v>
      </x:c>
      <x:c r="V273" s="9" t="str">
        <x:v>Author Legger slings/chassis/replacement/iron/ancient-armor brainstorming October 14, 2026; Docs/WORLD_BASIS.md#the-legger; specific item proposal.</x:v>
      </x:c>
      <x:c r="W273" s="4" t="str">
        <x:v>Crafting component</x:v>
      </x:c>
      <x:c r="X273" s="4" t="str">
        <x:v>Processed intermediate</x:v>
      </x:c>
      <x:c r="Y273" s="4" t="str">
        <x:v>Manufactured / unresolved</x:v>
      </x:c>
      <x:c r="Z273" s="4" t="str">
        <x:v>Equipment mounting</x:v>
      </x:c>
      <x:c r="AA273" s="4" t="str">
        <x:v>Metal</x:v>
      </x:c>
      <x:c r="AB273" s="4" t="str">
        <x:v>Solid part</x:v>
      </x:c>
      <x:c r="AC273" s="4" t="str">
        <x:v>Proposal</x:v>
      </x:c>
      <x:c r="AD273" s="4" t="str">
        <x:f>LOWER(A273&amp;"; "&amp;B273&amp;"; "&amp;C273&amp;"; "&amp;D273&amp;"; "&amp;W273&amp;"; "&amp;X273&amp;"; "&amp;Y273&amp;"; "&amp;Z273&amp;"; "&amp;AA273&amp;"; "&amp;AB273&amp;"; "&amp;AC273&amp;"; "&amp;U273)</x:f>
        <x:v>proposal.legger.release_latch; cargo quick-release latch; crafting components; legger cargo rigging; crafting component; processed intermediate; manufactured / unresolved; equipment mounting; metal; solid part; proposal; legger; leger; companion replacement part</x:v>
      </x:c>
      <x:c r="AE273" s="4" t="str">
        <x:v>Specific parts and protective properties remain proposals; ancient-material scarcity is established author direction.</x:v>
      </x:c>
      <x:c r="AF273" s="4" t="str">
        <x:v>Unassigned</x:v>
      </x:c>
      <x:c r="AG273" s="4" t="str">
        <x:v>Choose a material/part route before assigning a tier. Processing-stage labels alone do not prove chain depth.</x:v>
      </x:c>
      <x:c r="AH273" s="4" t="str">
        <x:v>Not applicable</x:v>
      </x:c>
    </x:row>
    <x:row r="274" ht="115" customHeight="1">
      <x:c r="A274" s="9" t="str">
        <x:v>proposal.legger.board_bracket</x:v>
      </x:c>
      <x:c r="B274" s="9" t="str">
        <x:v>Legger dirtboard carrying bracket</x:v>
      </x:c>
      <x:c r="C274" s="9" t="str">
        <x:v>Equipment</x:v>
      </x:c>
      <x:c r="D274" s="9" t="str">
        <x:v>Legger cargo rigging</x:v>
      </x:c>
      <x:c r="E274" s="9" t="str">
        <x:v>New proposal</x:v>
      </x:c>
      <x:c r="F274" s="9" t="str">
        <x:v>Proposed stowage bracket for Booter four-wheel dirtboard.</x:v>
      </x:c>
      <x:c r="G274" s="9" t="str">
        <x:v>Legger fitment unresolved</x:v>
      </x:c>
      <x:c r="H274" s="9" t="str">
        <x:v>Legger attachment / replacement intended; physical cargo policy unchanged</x:v>
      </x:c>
      <x:c r="I274" s="13"/>
      <x:c r="J274" s="15"/>
      <x:c r="K274" s="9" t="str">
        <x:v>Local craft, salvage or specialist trade; exact route TBD</x:v>
      </x:c>
      <x:c r="L274" s="9" t="str">
        <x:v>No recipe authored. Reuse existing iron stock, biological materials, ceramic craft, lubricant and ancient-material families where appropriate.</x:v>
      </x:c>
      <x:c r="M274" s="9" t="str">
        <x:v>Not implemented</x:v>
      </x:c>
      <x:c r="N274" s="9" t="str">
        <x:v>Fits only after gear/companion carry design; adds no remote board access or capacity.</x:v>
      </x:c>
      <x:c r="O274" s="17"/>
      <x:c r="P274" s="17"/>
      <x:c r="Q274" s="17"/>
      <x:c r="R274" s="17"/>
      <x:c r="S274" s="17"/>
      <x:c r="T274" s="9" t="str">
        <x:v>Brainstorming candidate. Geometry, cost, mass, mounting, carrying and replacement behavior remain open. Part belongs to a finite physical companion.</x:v>
      </x:c>
      <x:c r="U274" s="11" t="str">
        <x:v>equipment mounting; legger; leger; companion replacement part</x:v>
      </x:c>
      <x:c r="V274" s="9" t="str">
        <x:v>Author Legger slings/chassis/replacement/iron/ancient-armor brainstorming October 14, 2026; Docs/WORLD_BASIS.md#the-legger; specific item proposal.</x:v>
      </x:c>
      <x:c r="W274" s="4" t="str">
        <x:v>Carrier</x:v>
      </x:c>
      <x:c r="X274" s="4" t="str">
        <x:v>Finished item</x:v>
      </x:c>
      <x:c r="Y274" s="4" t="str">
        <x:v>Manufactured / unresolved</x:v>
      </x:c>
      <x:c r="Z274" s="4" t="str">
        <x:v>Cargo organization</x:v>
      </x:c>
      <x:c r="AA274" s="4" t="str">
        <x:v>Metal</x:v>
      </x:c>
      <x:c r="AB274" s="4" t="str">
        <x:v>Assembly</x:v>
      </x:c>
      <x:c r="AC274" s="4" t="str">
        <x:v>Proposal</x:v>
      </x:c>
      <x:c r="AD274" s="4" t="str">
        <x:f>LOWER(A274&amp;"; "&amp;B274&amp;"; "&amp;C274&amp;"; "&amp;D274&amp;"; "&amp;W274&amp;"; "&amp;X274&amp;"; "&amp;Y274&amp;"; "&amp;Z274&amp;"; "&amp;AA274&amp;"; "&amp;AB274&amp;"; "&amp;AC274&amp;"; "&amp;U274)</x:f>
        <x:v>proposal.legger.board_bracket; legger dirtboard carrying bracket; equipment; legger cargo rigging; carrier; finished item; manufactured / unresolved; cargo organization; metal; assembly; proposal; equipment mounting; legger; leger; companion replacement part</x:v>
      </x:c>
      <x:c r="AE274" s="4" t="str">
        <x:v>Specific parts and protective properties remain proposals; ancient-material scarcity is established author direction.</x:v>
      </x:c>
      <x:c r="AF274" s="4" t="str">
        <x:v>Finished item</x:v>
      </x:c>
      <x:c r="AG274" s="4" t="str">
        <x:v>Completed gear, vessel, food or tool can stop at its chosen material tier; it need not climb to T4.</x:v>
      </x:c>
      <x:c r="AH274" s="4" t="str">
        <x:v>Unassigned</x:v>
      </x:c>
    </x:row>
    <x:row r="275" ht="115" customHeight="1">
      <x:c r="A275" s="9" t="str">
        <x:v>proposal.legger.hinge_plate</x:v>
      </x:c>
      <x:c r="B275" s="9" t="str">
        <x:v>Chassis hinge-mount plate</x:v>
      </x:c>
      <x:c r="C275" s="9" t="str">
        <x:v>Crafting components</x:v>
      </x:c>
      <x:c r="D275" s="9" t="str">
        <x:v>Legger chassis</x:v>
      </x:c>
      <x:c r="E275" s="9" t="str">
        <x:v>New proposal</x:v>
      </x:c>
      <x:c r="F275" s="9" t="str">
        <x:v>Replaceable mounting face for a compatible hinged chassis assembly.</x:v>
      </x:c>
      <x:c r="G275" s="9" t="str">
        <x:v>Legger fitment unresolved</x:v>
      </x:c>
      <x:c r="H275" s="9" t="str">
        <x:v>Legger attachment / replacement intended; physical cargo policy unchanged</x:v>
      </x:c>
      <x:c r="I275" s="13"/>
      <x:c r="J275" s="15"/>
      <x:c r="K275" s="9" t="str">
        <x:v>Local craft, salvage or specialist trade; exact route TBD</x:v>
      </x:c>
      <x:c r="L275" s="9" t="str">
        <x:v>No recipe authored. Reuse existing iron stock, biological materials, ceramic craft, lubricant and ancient-material families where appropriate.</x:v>
      </x:c>
      <x:c r="M275" s="9" t="str">
        <x:v>Not implemented</x:v>
      </x:c>
      <x:c r="N275" s="9" t="str">
        <x:v>Host joint geometry and fasteners must be established first.</x:v>
      </x:c>
      <x:c r="O275" s="17"/>
      <x:c r="P275" s="17"/>
      <x:c r="Q275" s="17"/>
      <x:c r="R275" s="17"/>
      <x:c r="S275" s="17"/>
      <x:c r="T275" s="9" t="str">
        <x:v>Brainstorming candidate. Geometry, cost, mass, mounting, carrying and replacement behavior remain open. Part belongs to a finite physical companion.</x:v>
      </x:c>
      <x:c r="U275" s="11" t="str">
        <x:v>equipment mounting; legger; leger; companion replacement part</x:v>
      </x:c>
      <x:c r="V275" s="9" t="str">
        <x:v>Author Legger slings/chassis/replacement/iron/ancient-armor brainstorming October 14, 2026; Docs/WORLD_BASIS.md#the-legger; specific item proposal.</x:v>
      </x:c>
      <x:c r="W275" s="4" t="str">
        <x:v>Crafting component</x:v>
      </x:c>
      <x:c r="X275" s="4" t="str">
        <x:v>Processed intermediate</x:v>
      </x:c>
      <x:c r="Y275" s="4" t="str">
        <x:v>Manufactured / unresolved</x:v>
      </x:c>
      <x:c r="Z275" s="4" t="str">
        <x:v>Equipment repair</x:v>
      </x:c>
      <x:c r="AA275" s="4" t="str">
        <x:v>Metal</x:v>
      </x:c>
      <x:c r="AB275" s="4" t="str">
        <x:v>Panel</x:v>
      </x:c>
      <x:c r="AC275" s="4" t="str">
        <x:v>Proposal</x:v>
      </x:c>
      <x:c r="AD275" s="4" t="str">
        <x:f>LOWER(A275&amp;"; "&amp;B275&amp;"; "&amp;C275&amp;"; "&amp;D275&amp;"; "&amp;W275&amp;"; "&amp;X275&amp;"; "&amp;Y275&amp;"; "&amp;Z275&amp;"; "&amp;AA275&amp;"; "&amp;AB275&amp;"; "&amp;AC275&amp;"; "&amp;U275)</x:f>
        <x:v>proposal.legger.hinge_plate; chassis hinge-mount plate; crafting components; legger chassis; crafting component; processed intermediate; manufactured / unresolved; equipment repair; metal; panel; proposal; equipment mounting; legger; leger; companion replacement part</x:v>
      </x:c>
      <x:c r="AE275" s="4" t="str">
        <x:v>Specific parts and protective properties remain proposals; ancient-material scarcity is established author direction.</x:v>
      </x:c>
      <x:c r="AF275" s="4" t="str">
        <x:v>Unassigned</x:v>
      </x:c>
      <x:c r="AG275" s="4" t="str">
        <x:v>Choose a material/part route before assigning a tier. Processing-stage labels alone do not prove chain depth.</x:v>
      </x:c>
      <x:c r="AH275" s="4" t="str">
        <x:v>Not applicable</x:v>
      </x:c>
    </x:row>
    <x:row r="276" ht="115" customHeight="1">
      <x:c r="A276" s="9" t="str">
        <x:v>proposal.legger.inspection_hatch</x:v>
      </x:c>
      <x:c r="B276" s="9" t="str">
        <x:v>Legger inspection hatch</x:v>
      </x:c>
      <x:c r="C276" s="9" t="str">
        <x:v>Crafting components</x:v>
      </x:c>
      <x:c r="D276" s="9" t="str">
        <x:v>Legger chassis</x:v>
      </x:c>
      <x:c r="E276" s="9" t="str">
        <x:v>New proposal</x:v>
      </x:c>
      <x:c r="F276" s="9" t="str">
        <x:v>Removable chassis access cover for selected service points.</x:v>
      </x:c>
      <x:c r="G276" s="9" t="str">
        <x:v>Legger fitment unresolved</x:v>
      </x:c>
      <x:c r="H276" s="9" t="str">
        <x:v>Legger attachment / replacement intended; physical cargo policy unchanged</x:v>
      </x:c>
      <x:c r="I276" s="13"/>
      <x:c r="J276" s="15"/>
      <x:c r="K276" s="9" t="str">
        <x:v>Local craft, salvage or specialist trade; exact route TBD</x:v>
      </x:c>
      <x:c r="L276" s="9" t="str">
        <x:v>No recipe authored. Reuse existing iron stock, biological materials, ceramic craft, lubricant and ancient-material families where appropriate.</x:v>
      </x:c>
      <x:c r="M276" s="9" t="str">
        <x:v>Not implemented</x:v>
      </x:c>
      <x:c r="N276" s="9" t="str">
        <x:v>Opening and sealing details remain open; distinct from an armor cover.</x:v>
      </x:c>
      <x:c r="O276" s="17"/>
      <x:c r="P276" s="17"/>
      <x:c r="Q276" s="17"/>
      <x:c r="R276" s="17"/>
      <x:c r="S276" s="17"/>
      <x:c r="T276" s="9" t="str">
        <x:v>Brainstorming candidate. Geometry, cost, mass, mounting, carrying and replacement behavior remain open. Part belongs to a finite physical companion.</x:v>
      </x:c>
      <x:c r="U276" s="11" t="str">
        <x:v>equipment repair; legger; leger; companion replacement part</x:v>
      </x:c>
      <x:c r="V276" s="9" t="str">
        <x:v>Author Legger slings/chassis/replacement/iron/ancient-armor brainstorming October 14, 2026; Docs/WORLD_BASIS.md#the-legger; specific item proposal.</x:v>
      </x:c>
      <x:c r="W276" s="4" t="str">
        <x:v>Crafting component</x:v>
      </x:c>
      <x:c r="X276" s="4" t="str">
        <x:v>Processed intermediate</x:v>
      </x:c>
      <x:c r="Y276" s="4" t="str">
        <x:v>Manufactured / unresolved</x:v>
      </x:c>
      <x:c r="Z276" s="4" t="str">
        <x:v>Inspection</x:v>
      </x:c>
      <x:c r="AA276" s="4" t="str">
        <x:v>Metal</x:v>
      </x:c>
      <x:c r="AB276" s="4" t="str">
        <x:v>Assembly</x:v>
      </x:c>
      <x:c r="AC276" s="4" t="str">
        <x:v>Proposal</x:v>
      </x:c>
      <x:c r="AD276" s="4" t="str">
        <x:f>LOWER(A276&amp;"; "&amp;B276&amp;"; "&amp;C276&amp;"; "&amp;D276&amp;"; "&amp;W276&amp;"; "&amp;X276&amp;"; "&amp;Y276&amp;"; "&amp;Z276&amp;"; "&amp;AA276&amp;"; "&amp;AB276&amp;"; "&amp;AC276&amp;"; "&amp;U276)</x:f>
        <x:v>proposal.legger.inspection_hatch; legger inspection hatch; crafting components; legger chassis; crafting component; processed intermediate; manufactured / unresolved; inspection; metal; assembly; proposal; equipment repair; legger; leger; companion replacement part</x:v>
      </x:c>
      <x:c r="AE276" s="4" t="str">
        <x:v>Specific parts and protective properties remain proposals; ancient-material scarcity is established author direction.</x:v>
      </x:c>
      <x:c r="AF276" s="4" t="str">
        <x:v>Unassigned</x:v>
      </x:c>
      <x:c r="AG276" s="4" t="str">
        <x:v>Choose a material/part route before assigning a tier. Processing-stage labels alone do not prove chain depth.</x:v>
      </x:c>
      <x:c r="AH276" s="4" t="str">
        <x:v>Not applicable</x:v>
      </x:c>
    </x:row>
    <x:row r="277" ht="115" customHeight="1">
      <x:c r="A277" s="9" t="str">
        <x:v>proposal.legger.fracture_patch</x:v>
      </x:c>
      <x:c r="B277" s="9" t="str">
        <x:v>Iron chassis fracture patch</x:v>
      </x:c>
      <x:c r="C277" s="9" t="str">
        <x:v>Crafting components</x:v>
      </x:c>
      <x:c r="D277" s="9" t="str">
        <x:v>Legger chassis</x:v>
      </x:c>
      <x:c r="E277" s="9" t="str">
        <x:v>New proposal</x:v>
      </x:c>
      <x:c r="F277" s="9" t="str">
        <x:v>Shaped bridging piece for a particular damaged frame location.</x:v>
      </x:c>
      <x:c r="G277" s="9" t="str">
        <x:v>Legger fitment unresolved</x:v>
      </x:c>
      <x:c r="H277" s="9" t="str">
        <x:v>Legger attachment / replacement intended; physical cargo policy unchanged</x:v>
      </x:c>
      <x:c r="I277" s="13"/>
      <x:c r="J277" s="15"/>
      <x:c r="K277" s="9" t="str">
        <x:v>Local craft, salvage or specialist trade; exact route TBD</x:v>
      </x:c>
      <x:c r="L277" s="9" t="str">
        <x:v>No recipe authored. Reuse existing iron stock, biological materials, ceramic craft, lubricant and ancient-material families where appropriate.</x:v>
      </x:c>
      <x:c r="M277" s="9" t="str">
        <x:v>Not implemented</x:v>
      </x:c>
      <x:c r="N277" s="9" t="str">
        <x:v>Temporary versus permanent repair and installation method TBD; not universal structural healing.</x:v>
      </x:c>
      <x:c r="O277" s="17"/>
      <x:c r="P277" s="17"/>
      <x:c r="Q277" s="17"/>
      <x:c r="R277" s="17"/>
      <x:c r="S277" s="17"/>
      <x:c r="T277" s="9" t="str">
        <x:v>Brainstorming candidate. Geometry, cost, mass, mounting, carrying and replacement behavior remain open. Part belongs to a finite physical companion.</x:v>
      </x:c>
      <x:c r="U277" s="11" t="str">
        <x:v>legger; leger; companion replacement part</x:v>
      </x:c>
      <x:c r="V277" s="9" t="str">
        <x:v>Author Legger slings/chassis/replacement/iron/ancient-armor brainstorming October 14, 2026; Docs/WORLD_BASIS.md#the-legger; specific item proposal.</x:v>
      </x:c>
      <x:c r="W277" s="4" t="str">
        <x:v>Crafting component</x:v>
      </x:c>
      <x:c r="X277" s="4" t="str">
        <x:v>Processed intermediate</x:v>
      </x:c>
      <x:c r="Y277" s="4" t="str">
        <x:v>Manufactured / unresolved</x:v>
      </x:c>
      <x:c r="Z277" s="4" t="str">
        <x:v>Equipment repair</x:v>
      </x:c>
      <x:c r="AA277" s="4" t="str">
        <x:v>Metal</x:v>
      </x:c>
      <x:c r="AB277" s="4" t="str">
        <x:v>Panel</x:v>
      </x:c>
      <x:c r="AC277" s="4" t="str">
        <x:v>Proposal</x:v>
      </x:c>
      <x:c r="AD277" s="4" t="str">
        <x:f>LOWER(A277&amp;"; "&amp;B277&amp;"; "&amp;C277&amp;"; "&amp;D277&amp;"; "&amp;W277&amp;"; "&amp;X277&amp;"; "&amp;Y277&amp;"; "&amp;Z277&amp;"; "&amp;AA277&amp;"; "&amp;AB277&amp;"; "&amp;AC277&amp;"; "&amp;U277)</x:f>
        <x:v>proposal.legger.fracture_patch; iron chassis fracture patch; crafting components; legger chassis; crafting component; processed intermediate; manufactured / unresolved; equipment repair; metal; panel; proposal; legger; leger; companion replacement part</x:v>
      </x:c>
      <x:c r="AE277" s="4" t="str">
        <x:v>Specific parts and protective properties remain proposals; ancient-material scarcity is established author direction.</x:v>
      </x:c>
      <x:c r="AF277" s="4" t="str">
        <x:v>Unassigned</x:v>
      </x:c>
      <x:c r="AG277" s="4" t="str">
        <x:v>Choose a material/part route before assigning a tier. Processing-stage labels alone do not prove chain depth.</x:v>
      </x:c>
      <x:c r="AH277" s="4" t="str">
        <x:v>Not applicable</x:v>
      </x:c>
    </x:row>
    <x:row r="278" ht="115" customHeight="1">
      <x:c r="A278" s="9" t="str">
        <x:v>proposal.legger.crush_mount</x:v>
      </x:c>
      <x:c r="B278" s="9" t="str">
        <x:v>Sacrificial attachment mount</x:v>
      </x:c>
      <x:c r="C278" s="9" t="str">
        <x:v>Crafting components</x:v>
      </x:c>
      <x:c r="D278" s="9" t="str">
        <x:v>Legger chassis</x:v>
      </x:c>
      <x:c r="E278" s="9" t="str">
        <x:v>New proposal</x:v>
      </x:c>
      <x:c r="F278" s="9" t="str">
        <x:v>Replaceable mount proposed to localize damage at an attachment.</x:v>
      </x:c>
      <x:c r="G278" s="9" t="str">
        <x:v>Legger fitment unresolved</x:v>
      </x:c>
      <x:c r="H278" s="9" t="str">
        <x:v>Legger attachment / replacement intended; physical cargo policy unchanged</x:v>
      </x:c>
      <x:c r="I278" s="13"/>
      <x:c r="J278" s="15"/>
      <x:c r="K278" s="9" t="str">
        <x:v>Local craft, salvage or specialist trade; exact route TBD</x:v>
      </x:c>
      <x:c r="L278" s="9" t="str">
        <x:v>No recipe authored. Reuse existing iron stock, biological materials, ceramic craft, lubricant and ancient-material families where appropriate.</x:v>
      </x:c>
      <x:c r="M278" s="9" t="str">
        <x:v>Not implemented</x:v>
      </x:c>
      <x:c r="N278" s="9" t="str">
        <x:v>Controlled failure is a design goal; thresholds and damage transfer unresolved.</x:v>
      </x:c>
      <x:c r="O278" s="17"/>
      <x:c r="P278" s="17"/>
      <x:c r="Q278" s="17"/>
      <x:c r="R278" s="17"/>
      <x:c r="S278" s="17"/>
      <x:c r="T278" s="9" t="str">
        <x:v>Brainstorming candidate. Geometry, cost, mass, mounting, carrying and replacement behavior remain open. Part belongs to a finite physical companion.</x:v>
      </x:c>
      <x:c r="U278" s="11" t="str">
        <x:v>protection; legger; leger; companion replacement part</x:v>
      </x:c>
      <x:c r="V278" s="9" t="str">
        <x:v>Author Legger slings/chassis/replacement/iron/ancient-armor brainstorming October 14, 2026; Docs/WORLD_BASIS.md#the-legger; specific item proposal.</x:v>
      </x:c>
      <x:c r="W278" s="4" t="str">
        <x:v>Crafting component</x:v>
      </x:c>
      <x:c r="X278" s="4" t="str">
        <x:v>Processed intermediate</x:v>
      </x:c>
      <x:c r="Y278" s="4" t="str">
        <x:v>Manufactured / unresolved</x:v>
      </x:c>
      <x:c r="Z278" s="4" t="str">
        <x:v>Equipment mounting</x:v>
      </x:c>
      <x:c r="AA278" s="4" t="str">
        <x:v>Metal</x:v>
      </x:c>
      <x:c r="AB278" s="4" t="str">
        <x:v>Assembly</x:v>
      </x:c>
      <x:c r="AC278" s="4" t="str">
        <x:v>Proposal</x:v>
      </x:c>
      <x:c r="AD278" s="4" t="str">
        <x:f>LOWER(A278&amp;"; "&amp;B278&amp;"; "&amp;C278&amp;"; "&amp;D278&amp;"; "&amp;W278&amp;"; "&amp;X278&amp;"; "&amp;Y278&amp;"; "&amp;Z278&amp;"; "&amp;AA278&amp;"; "&amp;AB278&amp;"; "&amp;AC278&amp;"; "&amp;U278)</x:f>
        <x:v>proposal.legger.crush_mount; sacrificial attachment mount; crafting components; legger chassis; crafting component; processed intermediate; manufactured / unresolved; equipment mounting; metal; assembly; proposal; protection; legger; leger; companion replacement part</x:v>
      </x:c>
      <x:c r="AE278" s="4" t="str">
        <x:v>Specific parts and protective properties remain proposals; ancient-material scarcity is established author direction.</x:v>
      </x:c>
      <x:c r="AF278" s="4" t="str">
        <x:v>Unassigned</x:v>
      </x:c>
      <x:c r="AG278" s="4" t="str">
        <x:v>Choose a material/part route before assigning a tier. Processing-stage labels alone do not prove chain depth.</x:v>
      </x:c>
      <x:c r="AH278" s="4" t="str">
        <x:v>Not applicable</x:v>
      </x:c>
    </x:row>
    <x:row r="279" ht="115" customHeight="1">
      <x:c r="A279" s="9" t="str">
        <x:v>proposal.legger.bulkhead_ring</x:v>
      </x:c>
      <x:c r="B279" s="9" t="str">
        <x:v>Chassis reinforcing ring</x:v>
      </x:c>
      <x:c r="C279" s="9" t="str">
        <x:v>Crafting components</x:v>
      </x:c>
      <x:c r="D279" s="9" t="str">
        <x:v>Legger chassis</x:v>
      </x:c>
      <x:c r="E279" s="9" t="str">
        <x:v>New proposal</x:v>
      </x:c>
      <x:c r="F279" s="9" t="str">
        <x:v>Shaped reinforcement around a selected chassis opening.</x:v>
      </x:c>
      <x:c r="G279" s="9" t="str">
        <x:v>Legger fitment unresolved</x:v>
      </x:c>
      <x:c r="H279" s="9" t="str">
        <x:v>Legger attachment / replacement intended; physical cargo policy unchanged</x:v>
      </x:c>
      <x:c r="I279" s="13"/>
      <x:c r="J279" s="15"/>
      <x:c r="K279" s="9" t="str">
        <x:v>Local craft, salvage or specialist trade; exact route TBD</x:v>
      </x:c>
      <x:c r="L279" s="9" t="str">
        <x:v>No recipe authored. Reuse existing iron stock, biological materials, ceramic craft, lubricant and ancient-material families where appropriate.</x:v>
      </x:c>
      <x:c r="M279" s="9" t="str">
        <x:v>Not implemented</x:v>
      </x:c>
      <x:c r="N279" s="9" t="str">
        <x:v>Requires actual host geometry; reinforcement and mass effects undefined.</x:v>
      </x:c>
      <x:c r="O279" s="17"/>
      <x:c r="P279" s="17"/>
      <x:c r="Q279" s="17"/>
      <x:c r="R279" s="17"/>
      <x:c r="S279" s="17"/>
      <x:c r="T279" s="9" t="str">
        <x:v>Brainstorming candidate. Geometry, cost, mass, mounting, carrying and replacement behavior remain open. Part belongs to a finite physical companion.</x:v>
      </x:c>
      <x:c r="U279" s="11" t="str">
        <x:v>legger; leger; companion replacement part</x:v>
      </x:c>
      <x:c r="V279" s="9" t="str">
        <x:v>Author Legger slings/chassis/replacement/iron/ancient-armor brainstorming October 14, 2026; Docs/WORLD_BASIS.md#the-legger; specific item proposal.</x:v>
      </x:c>
      <x:c r="W279" s="4" t="str">
        <x:v>Crafting component</x:v>
      </x:c>
      <x:c r="X279" s="4" t="str">
        <x:v>Processed intermediate</x:v>
      </x:c>
      <x:c r="Y279" s="4" t="str">
        <x:v>Manufactured / unresolved</x:v>
      </x:c>
      <x:c r="Z279" s="4" t="str">
        <x:v>Equipment fabrication</x:v>
      </x:c>
      <x:c r="AA279" s="4" t="str">
        <x:v>Metal</x:v>
      </x:c>
      <x:c r="AB279" s="4" t="str">
        <x:v>Solid part</x:v>
      </x:c>
      <x:c r="AC279" s="4" t="str">
        <x:v>Proposal</x:v>
      </x:c>
      <x:c r="AD279" s="4" t="str">
        <x:f>LOWER(A279&amp;"; "&amp;B279&amp;"; "&amp;C279&amp;"; "&amp;D279&amp;"; "&amp;W279&amp;"; "&amp;X279&amp;"; "&amp;Y279&amp;"; "&amp;Z279&amp;"; "&amp;AA279&amp;"; "&amp;AB279&amp;"; "&amp;AC279&amp;"; "&amp;U279)</x:f>
        <x:v>proposal.legger.bulkhead_ring; chassis reinforcing ring; crafting components; legger chassis; crafting component; processed intermediate; manufactured / unresolved; equipment fabrication; metal; solid part; proposal; legger; leger; companion replacement part</x:v>
      </x:c>
      <x:c r="AE279" s="4" t="str">
        <x:v>Specific parts and protective properties remain proposals; ancient-material scarcity is established author direction.</x:v>
      </x:c>
      <x:c r="AF279" s="4" t="str">
        <x:v>Unassigned</x:v>
      </x:c>
      <x:c r="AG279" s="4" t="str">
        <x:v>Choose a material/part route before assigning a tier. Processing-stage labels alone do not prove chain depth.</x:v>
      </x:c>
      <x:c r="AH279" s="4" t="str">
        <x:v>Not applicable</x:v>
      </x:c>
    </x:row>
    <x:row r="280" ht="115" customHeight="1">
      <x:c r="A280" s="9" t="str">
        <x:v>proposal.legger.alignment_shims</x:v>
      </x:c>
      <x:c r="B280" s="9" t="str">
        <x:v>Chassis alignment-shim set</x:v>
      </x:c>
      <x:c r="C280" s="9" t="str">
        <x:v>Crafting components</x:v>
      </x:c>
      <x:c r="D280" s="9" t="str">
        <x:v>Legger chassis</x:v>
      </x:c>
      <x:c r="E280" s="9" t="str">
        <x:v>New proposal</x:v>
      </x:c>
      <x:c r="F280" s="9" t="str">
        <x:v>Selected thin inserts for matching fitted structural faces.</x:v>
      </x:c>
      <x:c r="G280" s="9" t="str">
        <x:v>Legger fitment unresolved</x:v>
      </x:c>
      <x:c r="H280" s="9" t="str">
        <x:v>Legger attachment / replacement intended; physical cargo policy unchanged</x:v>
      </x:c>
      <x:c r="I280" s="13"/>
      <x:c r="J280" s="15"/>
      <x:c r="K280" s="9" t="str">
        <x:v>Local craft, salvage or specialist trade; exact route TBD</x:v>
      </x:c>
      <x:c r="L280" s="9" t="str">
        <x:v>No recipe authored. Reuse existing iron stock, biological materials, ceramic craft, lubricant and ancient-material families where appropriate.</x:v>
      </x:c>
      <x:c r="M280" s="9" t="str">
        <x:v>Not implemented</x:v>
      </x:c>
      <x:c r="N280" s="9" t="str">
        <x:v>Set sizes and required tolerances unresolved; no universal-fit interface.</x:v>
      </x:c>
      <x:c r="O280" s="17"/>
      <x:c r="P280" s="17"/>
      <x:c r="Q280" s="17"/>
      <x:c r="R280" s="17"/>
      <x:c r="S280" s="17"/>
      <x:c r="T280" s="9" t="str">
        <x:v>Brainstorming candidate. Geometry, cost, mass, mounting, carrying and replacement behavior remain open. Part belongs to a finite physical companion.</x:v>
      </x:c>
      <x:c r="U280" s="11" t="str">
        <x:v>legger; leger; companion replacement part</x:v>
      </x:c>
      <x:c r="V280" s="9" t="str">
        <x:v>Author Legger slings/chassis/replacement/iron/ancient-armor brainstorming October 14, 2026; Docs/WORLD_BASIS.md#the-legger; specific item proposal.</x:v>
      </x:c>
      <x:c r="W280" s="4" t="str">
        <x:v>Crafting component</x:v>
      </x:c>
      <x:c r="X280" s="4" t="str">
        <x:v>Processed intermediate</x:v>
      </x:c>
      <x:c r="Y280" s="4" t="str">
        <x:v>Manufactured / unresolved</x:v>
      </x:c>
      <x:c r="Z280" s="4" t="str">
        <x:v>Equipment repair</x:v>
      </x:c>
      <x:c r="AA280" s="4" t="str">
        <x:v>Metal</x:v>
      </x:c>
      <x:c r="AB280" s="4" t="str">
        <x:v>Solid part</x:v>
      </x:c>
      <x:c r="AC280" s="4" t="str">
        <x:v>Proposal</x:v>
      </x:c>
      <x:c r="AD280" s="4" t="str">
        <x:f>LOWER(A280&amp;"; "&amp;B280&amp;"; "&amp;C280&amp;"; "&amp;D280&amp;"; "&amp;W280&amp;"; "&amp;X280&amp;"; "&amp;Y280&amp;"; "&amp;Z280&amp;"; "&amp;AA280&amp;"; "&amp;AB280&amp;"; "&amp;AC280&amp;"; "&amp;U280)</x:f>
        <x:v>proposal.legger.alignment_shims; chassis alignment-shim set; crafting components; legger chassis; crafting component; processed intermediate; manufactured / unresolved; equipment repair; metal; solid part; proposal; legger; leger; companion replacement part</x:v>
      </x:c>
      <x:c r="AE280" s="4" t="str">
        <x:v>Specific parts and protective properties remain proposals; ancient-material scarcity is established author direction.</x:v>
      </x:c>
      <x:c r="AF280" s="4" t="str">
        <x:v>Unassigned</x:v>
      </x:c>
      <x:c r="AG280" s="4" t="str">
        <x:v>Choose a material/part route before assigning a tier. Processing-stage labels alone do not prove chain depth.</x:v>
      </x:c>
      <x:c r="AH280" s="4" t="str">
        <x:v>Not applicable</x:v>
      </x:c>
    </x:row>
    <x:row r="281" ht="115" customHeight="1">
      <x:c r="A281" s="9" t="str">
        <x:v>proposal.legger.joint_pin</x:v>
      </x:c>
      <x:c r="B281" s="9" t="str">
        <x:v>Replaceable joint pin</x:v>
      </x:c>
      <x:c r="C281" s="9" t="str">
        <x:v>Crafting components</x:v>
      </x:c>
      <x:c r="D281" s="9" t="str">
        <x:v>Legger mechanical parts</x:v>
      </x:c>
      <x:c r="E281" s="9" t="str">
        <x:v>New proposal</x:v>
      </x:c>
      <x:c r="F281" s="9" t="str">
        <x:v>Matched pivot pin within a selected Legger joint.</x:v>
      </x:c>
      <x:c r="G281" s="9" t="str">
        <x:v>Legger fitment unresolved</x:v>
      </x:c>
      <x:c r="H281" s="9" t="str">
        <x:v>Legger attachment / replacement intended; physical cargo policy unchanged</x:v>
      </x:c>
      <x:c r="I281" s="13"/>
      <x:c r="J281" s="15"/>
      <x:c r="K281" s="9" t="str">
        <x:v>Local craft, salvage or specialist trade; exact route TBD</x:v>
      </x:c>
      <x:c r="L281" s="9" t="str">
        <x:v>No recipe authored. Reuse existing iron stock, biological materials, ceramic craft, lubricant and ancient-material families where appropriate.</x:v>
      </x:c>
      <x:c r="M281" s="9" t="str">
        <x:v>Not implemented</x:v>
      </x:c>
      <x:c r="N281" s="9" t="str">
        <x:v>Pin, sleeve and bearing are different parts; geometry and material grade unresolved.</x:v>
      </x:c>
      <x:c r="O281" s="17"/>
      <x:c r="P281" s="17"/>
      <x:c r="Q281" s="17"/>
      <x:c r="R281" s="17"/>
      <x:c r="S281" s="17"/>
      <x:c r="T281" s="9" t="str">
        <x:v>Brainstorming candidate. Geometry, cost, mass, mounting, carrying and replacement behavior remain open. Part belongs to a finite physical companion.</x:v>
      </x:c>
      <x:c r="U281" s="11" t="str">
        <x:v>legger; leger; companion replacement part</x:v>
      </x:c>
      <x:c r="V281" s="9" t="str">
        <x:v>Author Legger slings/chassis/replacement/iron/ancient-armor brainstorming October 14, 2026; Docs/WORLD_BASIS.md#the-legger; specific item proposal.</x:v>
      </x:c>
      <x:c r="W281" s="4" t="str">
        <x:v>Crafting component</x:v>
      </x:c>
      <x:c r="X281" s="4" t="str">
        <x:v>Processed intermediate</x:v>
      </x:c>
      <x:c r="Y281" s="4" t="str">
        <x:v>Manufactured / unresolved</x:v>
      </x:c>
      <x:c r="Z281" s="4" t="str">
        <x:v>Equipment repair</x:v>
      </x:c>
      <x:c r="AA281" s="4" t="str">
        <x:v>Metal</x:v>
      </x:c>
      <x:c r="AB281" s="4" t="str">
        <x:v>Solid part</x:v>
      </x:c>
      <x:c r="AC281" s="4" t="str">
        <x:v>Proposal</x:v>
      </x:c>
      <x:c r="AD281" s="4" t="str">
        <x:f>LOWER(A281&amp;"; "&amp;B281&amp;"; "&amp;C281&amp;"; "&amp;D281&amp;"; "&amp;W281&amp;"; "&amp;X281&amp;"; "&amp;Y281&amp;"; "&amp;Z281&amp;"; "&amp;AA281&amp;"; "&amp;AB281&amp;"; "&amp;AC281&amp;"; "&amp;U281)</x:f>
        <x:v>proposal.legger.joint_pin; replaceable joint pin; crafting components; legger mechanical parts; crafting component; processed intermediate; manufactured / unresolved; equipment repair; metal; solid part; proposal; legger; leger; companion replacement part</x:v>
      </x:c>
      <x:c r="AE281" s="4" t="str">
        <x:v>Specific parts and protective properties remain proposals; ancient-material scarcity is established author direction.</x:v>
      </x:c>
      <x:c r="AF281" s="4" t="str">
        <x:v>Unassigned</x:v>
      </x:c>
      <x:c r="AG281" s="4" t="str">
        <x:v>Choose a material/part route before assigning a tier. Processing-stage labels alone do not prove chain depth.</x:v>
      </x:c>
      <x:c r="AH281" s="4" t="str">
        <x:v>Not applicable</x:v>
      </x:c>
    </x:row>
    <x:row r="282" ht="115" customHeight="1">
      <x:c r="A282" s="9" t="str">
        <x:v>proposal.legger.thrust_washer</x:v>
      </x:c>
      <x:c r="B282" s="9" t="str">
        <x:v>Joint thrust washer</x:v>
      </x:c>
      <x:c r="C282" s="9" t="str">
        <x:v>Crafting components</x:v>
      </x:c>
      <x:c r="D282" s="9" t="str">
        <x:v>Legger mechanical parts</x:v>
      </x:c>
      <x:c r="E282" s="9" t="str">
        <x:v>New proposal</x:v>
      </x:c>
      <x:c r="F282" s="9" t="str">
        <x:v>Wear-interface insert proposed for a selected axial contact.</x:v>
      </x:c>
      <x:c r="G282" s="9" t="str">
        <x:v>Legger fitment unresolved</x:v>
      </x:c>
      <x:c r="H282" s="9" t="str">
        <x:v>Legger attachment / replacement intended; physical cargo policy unchanged</x:v>
      </x:c>
      <x:c r="I282" s="13"/>
      <x:c r="J282" s="15"/>
      <x:c r="K282" s="9" t="str">
        <x:v>Local craft, salvage or specialist trade; exact route TBD</x:v>
      </x:c>
      <x:c r="L282" s="9" t="str">
        <x:v>No recipe authored. Reuse existing iron stock, biological materials, ceramic craft, lubricant and ancient-material families where appropriate.</x:v>
      </x:c>
      <x:c r="M282" s="9" t="str">
        <x:v>Not implemented</x:v>
      </x:c>
      <x:c r="N282" s="9" t="str">
        <x:v>Actual load path, lubrication and service requirements TBD.</x:v>
      </x:c>
      <x:c r="O282" s="17"/>
      <x:c r="P282" s="17"/>
      <x:c r="Q282" s="17"/>
      <x:c r="R282" s="17"/>
      <x:c r="S282" s="17"/>
      <x:c r="T282" s="9" t="str">
        <x:v>Brainstorming candidate. Geometry, cost, mass, mounting, carrying and replacement behavior remain open. Part belongs to a finite physical companion.</x:v>
      </x:c>
      <x:c r="U282" s="11" t="str">
        <x:v>legger; leger; companion replacement part</x:v>
      </x:c>
      <x:c r="V282" s="9" t="str">
        <x:v>Author Legger slings/chassis/replacement/iron/ancient-armor brainstorming October 14, 2026; Docs/WORLD_BASIS.md#the-legger; specific item proposal.</x:v>
      </x:c>
      <x:c r="W282" s="4" t="str">
        <x:v>Crafting component</x:v>
      </x:c>
      <x:c r="X282" s="4" t="str">
        <x:v>Processed intermediate</x:v>
      </x:c>
      <x:c r="Y282" s="4" t="str">
        <x:v>Manufactured / unresolved</x:v>
      </x:c>
      <x:c r="Z282" s="4" t="str">
        <x:v>Equipment repair</x:v>
      </x:c>
      <x:c r="AA282" s="4" t="str">
        <x:v>Metal</x:v>
      </x:c>
      <x:c r="AB282" s="4" t="str">
        <x:v>Solid part</x:v>
      </x:c>
      <x:c r="AC282" s="4" t="str">
        <x:v>Proposal</x:v>
      </x:c>
      <x:c r="AD282" s="4" t="str">
        <x:f>LOWER(A282&amp;"; "&amp;B282&amp;"; "&amp;C282&amp;"; "&amp;D282&amp;"; "&amp;W282&amp;"; "&amp;X282&amp;"; "&amp;Y282&amp;"; "&amp;Z282&amp;"; "&amp;AA282&amp;"; "&amp;AB282&amp;"; "&amp;AC282&amp;"; "&amp;U282)</x:f>
        <x:v>proposal.legger.thrust_washer; joint thrust washer; crafting components; legger mechanical parts; crafting component; processed intermediate; manufactured / unresolved; equipment repair; metal; solid part; proposal; legger; leger; companion replacement part</x:v>
      </x:c>
      <x:c r="AE282" s="4" t="str">
        <x:v>Specific parts and protective properties remain proposals; ancient-material scarcity is established author direction.</x:v>
      </x:c>
      <x:c r="AF282" s="4" t="str">
        <x:v>Unassigned</x:v>
      </x:c>
      <x:c r="AG282" s="4" t="str">
        <x:v>Choose a material/part route before assigning a tier. Processing-stage labels alone do not prove chain depth.</x:v>
      </x:c>
      <x:c r="AH282" s="4" t="str">
        <x:v>Not applicable</x:v>
      </x:c>
    </x:row>
    <x:row r="283" ht="115" customHeight="1">
      <x:c r="A283" s="9" t="str">
        <x:v>proposal.legger.gear_cluster</x:v>
      </x:c>
      <x:c r="B283" s="9" t="str">
        <x:v>Replacement gear cluster</x:v>
      </x:c>
      <x:c r="C283" s="9" t="str">
        <x:v>Crafting components</x:v>
      </x:c>
      <x:c r="D283" s="9" t="str">
        <x:v>Legger mechanical parts</x:v>
      </x:c>
      <x:c r="E283" s="9" t="str">
        <x:v>New proposal</x:v>
      </x:c>
      <x:c r="F283" s="9" t="str">
        <x:v>Matched gears for a compatible drive assembly.</x:v>
      </x:c>
      <x:c r="G283" s="9" t="str">
        <x:v>Legger fitment unresolved</x:v>
      </x:c>
      <x:c r="H283" s="9" t="str">
        <x:v>Legger attachment / replacement intended; physical cargo policy unchanged</x:v>
      </x:c>
      <x:c r="I283" s="13"/>
      <x:c r="J283" s="15"/>
      <x:c r="K283" s="9" t="str">
        <x:v>Local craft, salvage or specialist trade; exact route TBD</x:v>
      </x:c>
      <x:c r="L283" s="9" t="str">
        <x:v>No recipe authored. Reuse existing iron stock, biological materials, ceramic craft, lubricant and ancient-material families where appropriate.</x:v>
      </x:c>
      <x:c r="M283" s="9" t="str">
        <x:v>Not implemented</x:v>
      </x:c>
      <x:c r="N283" s="9" t="str">
        <x:v>A candidate mechanism rather than proof the current Legger uses this transmission.</x:v>
      </x:c>
      <x:c r="O283" s="17"/>
      <x:c r="P283" s="17"/>
      <x:c r="Q283" s="17"/>
      <x:c r="R283" s="17"/>
      <x:c r="S283" s="17"/>
      <x:c r="T283" s="9" t="str">
        <x:v>Brainstorming candidate. Geometry, cost, mass, mounting, carrying and replacement behavior remain open. Part belongs to a finite physical companion.</x:v>
      </x:c>
      <x:c r="U283" s="11" t="str">
        <x:v>equipment repair; legger; leger; companion replacement part</x:v>
      </x:c>
      <x:c r="V283" s="9" t="str">
        <x:v>Author Legger slings/chassis/replacement/iron/ancient-armor brainstorming October 14, 2026; Docs/WORLD_BASIS.md#the-legger; specific item proposal.</x:v>
      </x:c>
      <x:c r="W283" s="4" t="str">
        <x:v>Crafting component</x:v>
      </x:c>
      <x:c r="X283" s="4" t="str">
        <x:v>Processed intermediate</x:v>
      </x:c>
      <x:c r="Y283" s="4" t="str">
        <x:v>Manufactured / unresolved</x:v>
      </x:c>
      <x:c r="Z283" s="4" t="str">
        <x:v>Machinery drive</x:v>
      </x:c>
      <x:c r="AA283" s="4" t="str">
        <x:v>Metal</x:v>
      </x:c>
      <x:c r="AB283" s="4" t="str">
        <x:v>Assembly</x:v>
      </x:c>
      <x:c r="AC283" s="4" t="str">
        <x:v>Proposal</x:v>
      </x:c>
      <x:c r="AD283" s="4" t="str">
        <x:f>LOWER(A283&amp;"; "&amp;B283&amp;"; "&amp;C283&amp;"; "&amp;D283&amp;"; "&amp;W283&amp;"; "&amp;X283&amp;"; "&amp;Y283&amp;"; "&amp;Z283&amp;"; "&amp;AA283&amp;"; "&amp;AB283&amp;"; "&amp;AC283&amp;"; "&amp;U283)</x:f>
        <x:v>proposal.legger.gear_cluster; replacement gear cluster; crafting components; legger mechanical parts; crafting component; processed intermediate; manufactured / unresolved; machinery drive; metal; assembly; proposal; equipment repair; legger; leger; companion replacement part</x:v>
      </x:c>
      <x:c r="AE283" s="4" t="str">
        <x:v>Specific parts and protective properties remain proposals; ancient-material scarcity is established author direction.</x:v>
      </x:c>
      <x:c r="AF283" s="4" t="str">
        <x:v>Unassigned</x:v>
      </x:c>
      <x:c r="AG283" s="4" t="str">
        <x:v>Choose a material/part route before assigning a tier. Processing-stage labels alone do not prove chain depth.</x:v>
      </x:c>
      <x:c r="AH283" s="4" t="str">
        <x:v>Not applicable</x:v>
      </x:c>
    </x:row>
    <x:row r="284" ht="115" customHeight="1">
      <x:c r="A284" s="9" t="str">
        <x:v>proposal.legger.linkage_end</x:v>
      </x:c>
      <x:c r="B284" s="9" t="str">
        <x:v>Replacement linkage-end joint</x:v>
      </x:c>
      <x:c r="C284" s="9" t="str">
        <x:v>Crafting components</x:v>
      </x:c>
      <x:c r="D284" s="9" t="str">
        <x:v>Legger mechanical parts</x:v>
      </x:c>
      <x:c r="E284" s="9" t="str">
        <x:v>New proposal</x:v>
      </x:c>
      <x:c r="F284" s="9" t="str">
        <x:v>End connector joining a selected movement link to its mount.</x:v>
      </x:c>
      <x:c r="G284" s="9" t="str">
        <x:v>Legger fitment unresolved</x:v>
      </x:c>
      <x:c r="H284" s="9" t="str">
        <x:v>Legger attachment / replacement intended; physical cargo policy unchanged</x:v>
      </x:c>
      <x:c r="I284" s="13"/>
      <x:c r="J284" s="15"/>
      <x:c r="K284" s="9" t="str">
        <x:v>Local craft, salvage or specialist trade; exact route TBD</x:v>
      </x:c>
      <x:c r="L284" s="9" t="str">
        <x:v>No recipe authored. Reuse existing iron stock, biological materials, ceramic craft, lubricant and ancient-material families where appropriate.</x:v>
      </x:c>
      <x:c r="M284" s="9" t="str">
        <x:v>Not implemented</x:v>
      </x:c>
      <x:c r="N284" s="9" t="str">
        <x:v>Degrees of movement, fit and service method unresolved.</x:v>
      </x:c>
      <x:c r="O284" s="17"/>
      <x:c r="P284" s="17"/>
      <x:c r="Q284" s="17"/>
      <x:c r="R284" s="17"/>
      <x:c r="S284" s="17"/>
      <x:c r="T284" s="9" t="str">
        <x:v>Brainstorming candidate. Geometry, cost, mass, mounting, carrying and replacement behavior remain open. Part belongs to a finite physical companion.</x:v>
      </x:c>
      <x:c r="U284" s="11" t="str">
        <x:v>legger; leger; companion replacement part</x:v>
      </x:c>
      <x:c r="V284" s="9" t="str">
        <x:v>Author Legger slings/chassis/replacement/iron/ancient-armor brainstorming October 14, 2026; Docs/WORLD_BASIS.md#the-legger; specific item proposal.</x:v>
      </x:c>
      <x:c r="W284" s="4" t="str">
        <x:v>Crafting component</x:v>
      </x:c>
      <x:c r="X284" s="4" t="str">
        <x:v>Processed intermediate</x:v>
      </x:c>
      <x:c r="Y284" s="4" t="str">
        <x:v>Manufactured / unresolved</x:v>
      </x:c>
      <x:c r="Z284" s="4" t="str">
        <x:v>Equipment repair</x:v>
      </x:c>
      <x:c r="AA284" s="4" t="str">
        <x:v>Metal</x:v>
      </x:c>
      <x:c r="AB284" s="4" t="str">
        <x:v>Solid part</x:v>
      </x:c>
      <x:c r="AC284" s="4" t="str">
        <x:v>Proposal</x:v>
      </x:c>
      <x:c r="AD284" s="4" t="str">
        <x:f>LOWER(A284&amp;"; "&amp;B284&amp;"; "&amp;C284&amp;"; "&amp;D284&amp;"; "&amp;W284&amp;"; "&amp;X284&amp;"; "&amp;Y284&amp;"; "&amp;Z284&amp;"; "&amp;AA284&amp;"; "&amp;AB284&amp;"; "&amp;AC284&amp;"; "&amp;U284)</x:f>
        <x:v>proposal.legger.linkage_end; replacement linkage-end joint; crafting components; legger mechanical parts; crafting component; processed intermediate; manufactured / unresolved; equipment repair; metal; solid part; proposal; legger; leger; companion replacement part</x:v>
      </x:c>
      <x:c r="AE284" s="4" t="str">
        <x:v>Specific parts and protective properties remain proposals; ancient-material scarcity is established author direction.</x:v>
      </x:c>
      <x:c r="AF284" s="4" t="str">
        <x:v>Unassigned</x:v>
      </x:c>
      <x:c r="AG284" s="4" t="str">
        <x:v>Choose a material/part route before assigning a tier. Processing-stage labels alone do not prove chain depth.</x:v>
      </x:c>
      <x:c r="AH284" s="4" t="str">
        <x:v>Not applicable</x:v>
      </x:c>
    </x:row>
    <x:row r="285" ht="115" customHeight="1">
      <x:c r="A285" s="9" t="str">
        <x:v>proposal.legger.tensioner</x:v>
      </x:c>
      <x:c r="B285" s="9" t="str">
        <x:v>Drive tensioner assembly</x:v>
      </x:c>
      <x:c r="C285" s="9" t="str">
        <x:v>Crafting components</x:v>
      </x:c>
      <x:c r="D285" s="9" t="str">
        <x:v>Legger mechanical parts</x:v>
      </x:c>
      <x:c r="E285" s="9" t="str">
        <x:v>New proposal</x:v>
      </x:c>
      <x:c r="F285" s="9" t="str">
        <x:v>Adjustment assembly candidate for a selected mechanical drive path.</x:v>
      </x:c>
      <x:c r="G285" s="9" t="str">
        <x:v>Legger fitment unresolved</x:v>
      </x:c>
      <x:c r="H285" s="9" t="str">
        <x:v>Legger attachment / replacement intended; physical cargo policy unchanged</x:v>
      </x:c>
      <x:c r="I285" s="13"/>
      <x:c r="J285" s="15"/>
      <x:c r="K285" s="9" t="str">
        <x:v>Local craft, salvage or specialist trade; exact route TBD</x:v>
      </x:c>
      <x:c r="L285" s="9" t="str">
        <x:v>No recipe authored. Reuse existing iron stock, biological materials, ceramic craft, lubricant and ancient-material families where appropriate.</x:v>
      </x:c>
      <x:c r="M285" s="9" t="str">
        <x:v>Not implemented</x:v>
      </x:c>
      <x:c r="N285" s="9" t="str">
        <x:v>Requires a compatible drive architecture; no belt or chain transmission assumed.</x:v>
      </x:c>
      <x:c r="O285" s="17"/>
      <x:c r="P285" s="17"/>
      <x:c r="Q285" s="17"/>
      <x:c r="R285" s="17"/>
      <x:c r="S285" s="17"/>
      <x:c r="T285" s="9" t="str">
        <x:v>Brainstorming candidate. Geometry, cost, mass, mounting, carrying and replacement behavior remain open. Part belongs to a finite physical companion.</x:v>
      </x:c>
      <x:c r="U285" s="11" t="str">
        <x:v>equipment repair; legger; leger; companion replacement part</x:v>
      </x:c>
      <x:c r="V285" s="9" t="str">
        <x:v>Author Legger slings/chassis/replacement/iron/ancient-armor brainstorming October 14, 2026; Docs/WORLD_BASIS.md#the-legger; specific item proposal.</x:v>
      </x:c>
      <x:c r="W285" s="4" t="str">
        <x:v>Crafting component</x:v>
      </x:c>
      <x:c r="X285" s="4" t="str">
        <x:v>Processed intermediate</x:v>
      </x:c>
      <x:c r="Y285" s="4" t="str">
        <x:v>Manufactured / unresolved</x:v>
      </x:c>
      <x:c r="Z285" s="4" t="str">
        <x:v>Machinery drive</x:v>
      </x:c>
      <x:c r="AA285" s="4" t="str">
        <x:v>Mixed / unresolved</x:v>
      </x:c>
      <x:c r="AB285" s="4" t="str">
        <x:v>Assembly</x:v>
      </x:c>
      <x:c r="AC285" s="4" t="str">
        <x:v>Proposal</x:v>
      </x:c>
      <x:c r="AD285" s="4" t="str">
        <x:f>LOWER(A285&amp;"; "&amp;B285&amp;"; "&amp;C285&amp;"; "&amp;D285&amp;"; "&amp;W285&amp;"; "&amp;X285&amp;"; "&amp;Y285&amp;"; "&amp;Z285&amp;"; "&amp;AA285&amp;"; "&amp;AB285&amp;"; "&amp;AC285&amp;"; "&amp;U285)</x:f>
        <x:v>proposal.legger.tensioner; drive tensioner assembly; crafting components; legger mechanical parts; crafting component; processed intermediate; manufactured / unresolved; machinery drive; mixed / unresolved; assembly; proposal; equipment repair; legger; leger; companion replacement part</x:v>
      </x:c>
      <x:c r="AE285" s="4" t="str">
        <x:v>Specific parts and protective properties remain proposals; ancient-material scarcity is established author direction.</x:v>
      </x:c>
      <x:c r="AF285" s="4" t="str">
        <x:v>Unassigned</x:v>
      </x:c>
      <x:c r="AG285" s="4" t="str">
        <x:v>Choose a material/part route before assigning a tier. Processing-stage labels alone do not prove chain depth.</x:v>
      </x:c>
      <x:c r="AH285" s="4" t="str">
        <x:v>Not applicable</x:v>
      </x:c>
    </x:row>
    <x:row r="286" ht="115" customHeight="1">
      <x:c r="A286" s="9" t="str">
        <x:v>proposal.legger.scraper_ring</x:v>
      </x:c>
      <x:c r="B286" s="9" t="str">
        <x:v>Joint grit-scraper ring</x:v>
      </x:c>
      <x:c r="C286" s="9" t="str">
        <x:v>Crafting components</x:v>
      </x:c>
      <x:c r="D286" s="9" t="str">
        <x:v>Legger mechanical parts</x:v>
      </x:c>
      <x:c r="E286" s="9" t="str">
        <x:v>New proposal</x:v>
      </x:c>
      <x:c r="F286" s="9" t="str">
        <x:v>Replaceable contact ring proposed to clear grit from a matched moving surface.</x:v>
      </x:c>
      <x:c r="G286" s="9" t="str">
        <x:v>Legger fitment unresolved</x:v>
      </x:c>
      <x:c r="H286" s="9" t="str">
        <x:v>Legger attachment / replacement intended; physical cargo policy unchanged</x:v>
      </x:c>
      <x:c r="I286" s="13"/>
      <x:c r="J286" s="15"/>
      <x:c r="K286" s="9" t="str">
        <x:v>Local craft, salvage or specialist trade; exact route TBD</x:v>
      </x:c>
      <x:c r="L286" s="9" t="str">
        <x:v>No recipe authored. Reuse existing iron stock, biological materials, ceramic craft, lubricant and ancient-material families where appropriate.</x:v>
      </x:c>
      <x:c r="M286" s="9" t="str">
        <x:v>Not implemented</x:v>
      </x:c>
      <x:c r="N286" s="9" t="str">
        <x:v>Distinct from a seal cartridge or external shroud; contact and wear properties TBD.</x:v>
      </x:c>
      <x:c r="O286" s="17"/>
      <x:c r="P286" s="17"/>
      <x:c r="Q286" s="17"/>
      <x:c r="R286" s="17"/>
      <x:c r="S286" s="17"/>
      <x:c r="T286" s="9" t="str">
        <x:v>Brainstorming candidate. Geometry, cost, mass, mounting, carrying and replacement behavior remain open. Part belongs to a finite physical companion.</x:v>
      </x:c>
      <x:c r="U286" s="11" t="str">
        <x:v>equipment repair; legger; leger; companion replacement part</x:v>
      </x:c>
      <x:c r="V286" s="9" t="str">
        <x:v>Author Legger slings/chassis/replacement/iron/ancient-armor brainstorming October 14, 2026; Docs/WORLD_BASIS.md#the-legger; specific item proposal.</x:v>
      </x:c>
      <x:c r="W286" s="4" t="str">
        <x:v>Crafting component</x:v>
      </x:c>
      <x:c r="X286" s="4" t="str">
        <x:v>Processed intermediate</x:v>
      </x:c>
      <x:c r="Y286" s="4" t="str">
        <x:v>Manufactured / unresolved</x:v>
      </x:c>
      <x:c r="Z286" s="4" t="str">
        <x:v>Dust exclusion</x:v>
      </x:c>
      <x:c r="AA286" s="4" t="str">
        <x:v>Mixed / unresolved</x:v>
      </x:c>
      <x:c r="AB286" s="4" t="str">
        <x:v>Solid part</x:v>
      </x:c>
      <x:c r="AC286" s="4" t="str">
        <x:v>Proposal</x:v>
      </x:c>
      <x:c r="AD286" s="4" t="str">
        <x:f>LOWER(A286&amp;"; "&amp;B286&amp;"; "&amp;C286&amp;"; "&amp;D286&amp;"; "&amp;W286&amp;"; "&amp;X286&amp;"; "&amp;Y286&amp;"; "&amp;Z286&amp;"; "&amp;AA286&amp;"; "&amp;AB286&amp;"; "&amp;AC286&amp;"; "&amp;U286)</x:f>
        <x:v>proposal.legger.scraper_ring; joint grit-scraper ring; crafting components; legger mechanical parts; crafting component; processed intermediate; manufactured / unresolved; dust exclusion; mixed / unresolved; solid part; proposal; equipment repair; legger; leger; companion replacement part</x:v>
      </x:c>
      <x:c r="AE286" s="4" t="str">
        <x:v>Specific parts and protective properties remain proposals; ancient-material scarcity is established author direction.</x:v>
      </x:c>
      <x:c r="AF286" s="4" t="str">
        <x:v>Unassigned</x:v>
      </x:c>
      <x:c r="AG286" s="4" t="str">
        <x:v>Choose a material/part route before assigning a tier. Processing-stage labels alone do not prove chain depth.</x:v>
      </x:c>
      <x:c r="AH286" s="4" t="str">
        <x:v>Not applicable</x:v>
      </x:c>
    </x:row>
    <x:row r="287" ht="115" customHeight="1">
      <x:c r="A287" s="9" t="str">
        <x:v>proposal.legger.grease_applicator</x:v>
      </x:c>
      <x:c r="B287" s="9" t="str">
        <x:v>Joint grease applicator</x:v>
      </x:c>
      <x:c r="C287" s="9" t="str">
        <x:v>Equipment</x:v>
      </x:c>
      <x:c r="D287" s="9" t="str">
        <x:v>Legger service parts</x:v>
      </x:c>
      <x:c r="E287" s="9" t="str">
        <x:v>New proposal</x:v>
      </x:c>
      <x:c r="F287" s="9" t="str">
        <x:v>Hand-operated tool candidate for placing selected faunal grease at a service point.</x:v>
      </x:c>
      <x:c r="G287" s="9" t="str">
        <x:v>Legger fitment unresolved</x:v>
      </x:c>
      <x:c r="H287" s="9" t="str">
        <x:v>Legger attachment / replacement intended; physical cargo policy unchanged</x:v>
      </x:c>
      <x:c r="I287" s="13"/>
      <x:c r="J287" s="15"/>
      <x:c r="K287" s="9" t="str">
        <x:v>Local craft, salvage or specialist trade; exact route TBD</x:v>
      </x:c>
      <x:c r="L287" s="9" t="str">
        <x:v>No recipe authored. Reuse existing iron stock, biological materials, ceramic craft, lubricant and ancient-material families where appropriate.</x:v>
      </x:c>
      <x:c r="M287" s="9" t="str">
        <x:v>Not implemented</x:v>
      </x:c>
      <x:c r="N287" s="9" t="str">
        <x:v>Pressure, fitting and dose undefined; does not imply hydraulic actuation.</x:v>
      </x:c>
      <x:c r="O287" s="17"/>
      <x:c r="P287" s="17"/>
      <x:c r="Q287" s="17"/>
      <x:c r="R287" s="17"/>
      <x:c r="S287" s="17"/>
      <x:c r="T287" s="9" t="str">
        <x:v>Brainstorming candidate. Geometry, cost, mass, mounting, carrying and replacement behavior remain open. Part belongs to a finite physical companion.</x:v>
      </x:c>
      <x:c r="U287" s="11" t="str">
        <x:v>equipment repair; legger; leger; companion replacement part</x:v>
      </x:c>
      <x:c r="V287" s="9" t="str">
        <x:v>Author Legger slings/chassis/replacement/iron/ancient-armor brainstorming October 14, 2026; Docs/WORLD_BASIS.md#the-legger; specific item proposal.</x:v>
      </x:c>
      <x:c r="W287" s="4" t="str">
        <x:v>Tool</x:v>
      </x:c>
      <x:c r="X287" s="4" t="str">
        <x:v>Finished item</x:v>
      </x:c>
      <x:c r="Y287" s="4" t="str">
        <x:v>Manufactured / unresolved</x:v>
      </x:c>
      <x:c r="Z287" s="4" t="str">
        <x:v>Lubrication</x:v>
      </x:c>
      <x:c r="AA287" s="4" t="str">
        <x:v>Metal</x:v>
      </x:c>
      <x:c r="AB287" s="4" t="str">
        <x:v>Assembly</x:v>
      </x:c>
      <x:c r="AC287" s="4" t="str">
        <x:v>Proposal</x:v>
      </x:c>
      <x:c r="AD287" s="4" t="str">
        <x:f>LOWER(A287&amp;"; "&amp;B287&amp;"; "&amp;C287&amp;"; "&amp;D287&amp;"; "&amp;W287&amp;"; "&amp;X287&amp;"; "&amp;Y287&amp;"; "&amp;Z287&amp;"; "&amp;AA287&amp;"; "&amp;AB287&amp;"; "&amp;AC287&amp;"; "&amp;U287)</x:f>
        <x:v>proposal.legger.grease_applicator; joint grease applicator; equipment; legger service parts; tool; finished item; manufactured / unresolved; lubrication; metal; assembly; proposal; equipment repair; legger; leger; companion replacement part</x:v>
      </x:c>
      <x:c r="AE287" s="4" t="str">
        <x:v>Specific parts and protective properties remain proposals; ancient-material scarcity is established author direction.</x:v>
      </x:c>
      <x:c r="AF287" s="4" t="str">
        <x:v>Finished item</x:v>
      </x:c>
      <x:c r="AG287" s="4" t="str">
        <x:v>Completed gear, vessel, food or tool can stop at its chosen material tier; it need not climb to T4.</x:v>
      </x:c>
      <x:c r="AH287" s="4" t="str">
        <x:v>Unassigned</x:v>
      </x:c>
    </x:row>
    <x:row r="288" ht="115" customHeight="1">
      <x:c r="A288" s="9" t="str">
        <x:v>proposal.legger.service_adapter</x:v>
      </x:c>
      <x:c r="B288" s="9" t="str">
        <x:v>Lubricant service-port adapter</x:v>
      </x:c>
      <x:c r="C288" s="9" t="str">
        <x:v>Crafting components</x:v>
      </x:c>
      <x:c r="D288" s="9" t="str">
        <x:v>Legger service parts</x:v>
      </x:c>
      <x:c r="E288" s="9" t="str">
        <x:v>New proposal</x:v>
      </x:c>
      <x:c r="F288" s="9" t="str">
        <x:v>Matched connection between a lubricant tool and a selected service port.</x:v>
      </x:c>
      <x:c r="G288" s="9" t="str">
        <x:v>Legger fitment unresolved</x:v>
      </x:c>
      <x:c r="H288" s="9" t="str">
        <x:v>Legger attachment / replacement intended; physical cargo policy unchanged</x:v>
      </x:c>
      <x:c r="I288" s="13"/>
      <x:c r="J288" s="15"/>
      <x:c r="K288" s="9" t="str">
        <x:v>Local craft, salvage or specialist trade; exact route TBD</x:v>
      </x:c>
      <x:c r="L288" s="9" t="str">
        <x:v>No recipe authored. Reuse existing iron stock, biological materials, ceramic craft, lubricant and ancient-material families where appropriate.</x:v>
      </x:c>
      <x:c r="M288" s="9" t="str">
        <x:v>Not implemented</x:v>
      </x:c>
      <x:c r="N288" s="9" t="str">
        <x:v>Compatible fitting standard remains open; not a universal chemical connector.</x:v>
      </x:c>
      <x:c r="O288" s="17"/>
      <x:c r="P288" s="17"/>
      <x:c r="Q288" s="17"/>
      <x:c r="R288" s="17"/>
      <x:c r="S288" s="17"/>
      <x:c r="T288" s="9" t="str">
        <x:v>Brainstorming candidate. Geometry, cost, mass, mounting, carrying and replacement behavior remain open. Part belongs to a finite physical companion.</x:v>
      </x:c>
      <x:c r="U288" s="11" t="str">
        <x:v>lubrication; legger; leger; companion replacement part</x:v>
      </x:c>
      <x:c r="V288" s="9" t="str">
        <x:v>Author Legger slings/chassis/replacement/iron/ancient-armor brainstorming October 14, 2026; Docs/WORLD_BASIS.md#the-legger; specific item proposal.</x:v>
      </x:c>
      <x:c r="W288" s="4" t="str">
        <x:v>Container part</x:v>
      </x:c>
      <x:c r="X288" s="4" t="str">
        <x:v>Processed intermediate</x:v>
      </x:c>
      <x:c r="Y288" s="4" t="str">
        <x:v>Manufactured / unresolved</x:v>
      </x:c>
      <x:c r="Z288" s="4" t="str">
        <x:v>Material transfer</x:v>
      </x:c>
      <x:c r="AA288" s="4" t="str">
        <x:v>Metal</x:v>
      </x:c>
      <x:c r="AB288" s="4" t="str">
        <x:v>Solid part</x:v>
      </x:c>
      <x:c r="AC288" s="4" t="str">
        <x:v>Proposal</x:v>
      </x:c>
      <x:c r="AD288" s="4" t="str">
        <x:f>LOWER(A288&amp;"; "&amp;B288&amp;"; "&amp;C288&amp;"; "&amp;D288&amp;"; "&amp;W288&amp;"; "&amp;X288&amp;"; "&amp;Y288&amp;"; "&amp;Z288&amp;"; "&amp;AA288&amp;"; "&amp;AB288&amp;"; "&amp;AC288&amp;"; "&amp;U288)</x:f>
        <x:v>proposal.legger.service_adapter; lubricant service-port adapter; crafting components; legger service parts; container part; processed intermediate; manufactured / unresolved; material transfer; metal; solid part; proposal; lubrication; legger; leger; companion replacement part</x:v>
      </x:c>
      <x:c r="AE288" s="4" t="str">
        <x:v>Specific parts and protective properties remain proposals; ancient-material scarcity is established author direction.</x:v>
      </x:c>
      <x:c r="AF288" s="4" t="str">
        <x:v>Unassigned</x:v>
      </x:c>
      <x:c r="AG288" s="4" t="str">
        <x:v>Choose a material/part route before assigning a tier. Processing-stage labels alone do not prove chain depth.</x:v>
      </x:c>
      <x:c r="AH288" s="4" t="str">
        <x:v>Not applicable</x:v>
      </x:c>
    </x:row>
    <x:row r="289" ht="115" customHeight="1">
      <x:c r="A289" s="9" t="str">
        <x:v>proposal.legger.service_pick</x:v>
      </x:c>
      <x:c r="B289" s="9" t="str">
        <x:v>Joint-service cleaning pick</x:v>
      </x:c>
      <x:c r="C289" s="9" t="str">
        <x:v>Equipment</x:v>
      </x:c>
      <x:c r="D289" s="9" t="str">
        <x:v>Legger service parts</x:v>
      </x:c>
      <x:c r="E289" s="9" t="str">
        <x:v>New proposal</x:v>
      </x:c>
      <x:c r="F289" s="9" t="str">
        <x:v>Shaped tool for removing residue from an accessible service recess.</x:v>
      </x:c>
      <x:c r="G289" s="9" t="str">
        <x:v>Legger fitment unresolved</x:v>
      </x:c>
      <x:c r="H289" s="9" t="str">
        <x:v>Legger attachment / replacement intended; physical cargo policy unchanged</x:v>
      </x:c>
      <x:c r="I289" s="13"/>
      <x:c r="J289" s="15"/>
      <x:c r="K289" s="9" t="str">
        <x:v>Local craft, salvage or specialist trade; exact route TBD</x:v>
      </x:c>
      <x:c r="L289" s="9" t="str">
        <x:v>No recipe authored. Reuse existing iron stock, biological materials, ceramic craft, lubricant and ancient-material families where appropriate.</x:v>
      </x:c>
      <x:c r="M289" s="9" t="str">
        <x:v>Not implemented</x:v>
      </x:c>
      <x:c r="N289" s="9" t="str">
        <x:v>Tool tip and use must preserve the selected seal/contact surface.</x:v>
      </x:c>
      <x:c r="O289" s="17"/>
      <x:c r="P289" s="17"/>
      <x:c r="Q289" s="17"/>
      <x:c r="R289" s="17"/>
      <x:c r="S289" s="17"/>
      <x:c r="T289" s="9" t="str">
        <x:v>Brainstorming candidate. Geometry, cost, mass, mounting, carrying and replacement behavior remain open. Part belongs to a finite physical companion.</x:v>
      </x:c>
      <x:c r="U289" s="11" t="str">
        <x:v>equipment repair; legger; leger; companion replacement part</x:v>
      </x:c>
      <x:c r="V289" s="9" t="str">
        <x:v>Author Legger slings/chassis/replacement/iron/ancient-armor brainstorming October 14, 2026; Docs/WORLD_BASIS.md#the-legger; specific item proposal.</x:v>
      </x:c>
      <x:c r="W289" s="4" t="str">
        <x:v>Tool</x:v>
      </x:c>
      <x:c r="X289" s="4" t="str">
        <x:v>Finished item</x:v>
      </x:c>
      <x:c r="Y289" s="4" t="str">
        <x:v>Manufactured / unresolved</x:v>
      </x:c>
      <x:c r="Z289" s="4" t="str">
        <x:v>Cleaning</x:v>
      </x:c>
      <x:c r="AA289" s="4" t="str">
        <x:v>Metal</x:v>
      </x:c>
      <x:c r="AB289" s="4" t="str">
        <x:v>Solid part</x:v>
      </x:c>
      <x:c r="AC289" s="4" t="str">
        <x:v>Proposal</x:v>
      </x:c>
      <x:c r="AD289" s="4" t="str">
        <x:f>LOWER(A289&amp;"; "&amp;B289&amp;"; "&amp;C289&amp;"; "&amp;D289&amp;"; "&amp;W289&amp;"; "&amp;X289&amp;"; "&amp;Y289&amp;"; "&amp;Z289&amp;"; "&amp;AA289&amp;"; "&amp;AB289&amp;"; "&amp;AC289&amp;"; "&amp;U289)</x:f>
        <x:v>proposal.legger.service_pick; joint-service cleaning pick; equipment; legger service parts; tool; finished item; manufactured / unresolved; cleaning; metal; solid part; proposal; equipment repair; legger; leger; companion replacement part</x:v>
      </x:c>
      <x:c r="AE289" s="4" t="str">
        <x:v>Specific parts and protective properties remain proposals; ancient-material scarcity is established author direction.</x:v>
      </x:c>
      <x:c r="AF289" s="4" t="str">
        <x:v>Finished item</x:v>
      </x:c>
      <x:c r="AG289" s="4" t="str">
        <x:v>Completed gear, vessel, food or tool can stop at its chosen material tier; it need not climb to T4.</x:v>
      </x:c>
      <x:c r="AH289" s="4" t="str">
        <x:v>Unassigned</x:v>
      </x:c>
    </x:row>
    <x:row r="290" ht="115" customHeight="1">
      <x:c r="A290" s="9" t="str">
        <x:v>proposal.legger.bearing_puller</x:v>
      </x:c>
      <x:c r="B290" s="9" t="str">
        <x:v>Matched bearing-removal tool</x:v>
      </x:c>
      <x:c r="C290" s="9" t="str">
        <x:v>Equipment</x:v>
      </x:c>
      <x:c r="D290" s="9" t="str">
        <x:v>Legger service parts</x:v>
      </x:c>
      <x:c r="E290" s="9" t="str">
        <x:v>New proposal</x:v>
      </x:c>
      <x:c r="F290" s="9" t="str">
        <x:v>Workshop tool candidate for removing a selected bearing assembly.</x:v>
      </x:c>
      <x:c r="G290" s="9" t="str">
        <x:v>Legger fitment unresolved</x:v>
      </x:c>
      <x:c r="H290" s="9" t="str">
        <x:v>Legger attachment / replacement intended; physical cargo policy unchanged</x:v>
      </x:c>
      <x:c r="I290" s="13"/>
      <x:c r="J290" s="15"/>
      <x:c r="K290" s="9" t="str">
        <x:v>Local craft, salvage or specialist trade; exact route TBD</x:v>
      </x:c>
      <x:c r="L290" s="9" t="str">
        <x:v>No recipe authored. Reuse existing iron stock, biological materials, ceramic craft, lubricant and ancient-material families where appropriate.</x:v>
      </x:c>
      <x:c r="M290" s="9" t="str">
        <x:v>Not implemented</x:v>
      </x:c>
      <x:c r="N290" s="9" t="str">
        <x:v>Requires the actual bearing and host fit; does not grant field disassembly of all joints.</x:v>
      </x:c>
      <x:c r="O290" s="17"/>
      <x:c r="P290" s="17"/>
      <x:c r="Q290" s="17"/>
      <x:c r="R290" s="17"/>
      <x:c r="S290" s="17"/>
      <x:c r="T290" s="9" t="str">
        <x:v>Brainstorming candidate. Geometry, cost, mass, mounting, carrying and replacement behavior remain open. Part belongs to a finite physical companion.</x:v>
      </x:c>
      <x:c r="U290" s="11" t="str">
        <x:v>legger; leger; companion replacement part</x:v>
      </x:c>
      <x:c r="V290" s="9" t="str">
        <x:v>Author Legger slings/chassis/replacement/iron/ancient-armor brainstorming October 14, 2026; Docs/WORLD_BASIS.md#the-legger; specific item proposal.</x:v>
      </x:c>
      <x:c r="W290" s="4" t="str">
        <x:v>Tool</x:v>
      </x:c>
      <x:c r="X290" s="4" t="str">
        <x:v>Finished item</x:v>
      </x:c>
      <x:c r="Y290" s="4" t="str">
        <x:v>Manufactured / unresolved</x:v>
      </x:c>
      <x:c r="Z290" s="4" t="str">
        <x:v>Equipment repair</x:v>
      </x:c>
      <x:c r="AA290" s="4" t="str">
        <x:v>Metal</x:v>
      </x:c>
      <x:c r="AB290" s="4" t="str">
        <x:v>Assembly</x:v>
      </x:c>
      <x:c r="AC290" s="4" t="str">
        <x:v>Proposal</x:v>
      </x:c>
      <x:c r="AD290" s="4" t="str">
        <x:f>LOWER(A290&amp;"; "&amp;B290&amp;"; "&amp;C290&amp;"; "&amp;D290&amp;"; "&amp;W290&amp;"; "&amp;X290&amp;"; "&amp;Y290&amp;"; "&amp;Z290&amp;"; "&amp;AA290&amp;"; "&amp;AB290&amp;"; "&amp;AC290&amp;"; "&amp;U290)</x:f>
        <x:v>proposal.legger.bearing_puller; matched bearing-removal tool; equipment; legger service parts; tool; finished item; manufactured / unresolved; equipment repair; metal; assembly; proposal; legger; leger; companion replacement part</x:v>
      </x:c>
      <x:c r="AE290" s="4" t="str">
        <x:v>Specific parts and protective properties remain proposals; ancient-material scarcity is established author direction.</x:v>
      </x:c>
      <x:c r="AF290" s="4" t="str">
        <x:v>Finished item</x:v>
      </x:c>
      <x:c r="AG290" s="4" t="str">
        <x:v>Completed gear, vessel, food or tool can stop at its chosen material tier; it need not climb to T4.</x:v>
      </x:c>
      <x:c r="AH290" s="4" t="str">
        <x:v>Unassigned</x:v>
      </x:c>
    </x:row>
    <x:row r="291" ht="115" customHeight="1">
      <x:c r="A291" s="9" t="str">
        <x:v>proposal.legger.alignment_gauge</x:v>
      </x:c>
      <x:c r="B291" s="9" t="str">
        <x:v>Legger alignment gauge</x:v>
      </x:c>
      <x:c r="C291" s="9" t="str">
        <x:v>Equipment</x:v>
      </x:c>
      <x:c r="D291" s="9" t="str">
        <x:v>Legger service parts</x:v>
      </x:c>
      <x:c r="E291" s="9" t="str">
        <x:v>New proposal</x:v>
      </x:c>
      <x:c r="F291" s="9" t="str">
        <x:v>Template or gauge for checking a defined fitted relationship.</x:v>
      </x:c>
      <x:c r="G291" s="9" t="str">
        <x:v>Legger fitment unresolved</x:v>
      </x:c>
      <x:c r="H291" s="9" t="str">
        <x:v>Legger attachment / replacement intended; physical cargo policy unchanged</x:v>
      </x:c>
      <x:c r="I291" s="13"/>
      <x:c r="J291" s="15"/>
      <x:c r="K291" s="9" t="str">
        <x:v>Local craft, salvage or specialist trade; exact route TBD</x:v>
      </x:c>
      <x:c r="L291" s="9" t="str">
        <x:v>No recipe authored. Reuse existing iron stock, biological materials, ceramic craft, lubricant and ancient-material families where appropriate.</x:v>
      </x:c>
      <x:c r="M291" s="9" t="str">
        <x:v>Not implemented</x:v>
      </x:c>
      <x:c r="N291" s="9" t="str">
        <x:v>Reference geometry and acceptable tolerances unresolved.</x:v>
      </x:c>
      <x:c r="O291" s="17"/>
      <x:c r="P291" s="17"/>
      <x:c r="Q291" s="17"/>
      <x:c r="R291" s="17"/>
      <x:c r="S291" s="17"/>
      <x:c r="T291" s="9" t="str">
        <x:v>Brainstorming candidate. Geometry, cost, mass, mounting, carrying and replacement behavior remain open. Part belongs to a finite physical companion.</x:v>
      </x:c>
      <x:c r="U291" s="11" t="str">
        <x:v>equipment repair; legger; leger; companion replacement part</x:v>
      </x:c>
      <x:c r="V291" s="9" t="str">
        <x:v>Author Legger slings/chassis/replacement/iron/ancient-armor brainstorming October 14, 2026; Docs/WORLD_BASIS.md#the-legger; specific item proposal.</x:v>
      </x:c>
      <x:c r="W291" s="4" t="str">
        <x:v>Tool</x:v>
      </x:c>
      <x:c r="X291" s="4" t="str">
        <x:v>Finished item</x:v>
      </x:c>
      <x:c r="Y291" s="4" t="str">
        <x:v>Manufactured / unresolved</x:v>
      </x:c>
      <x:c r="Z291" s="4" t="str">
        <x:v>Inspection</x:v>
      </x:c>
      <x:c r="AA291" s="4" t="str">
        <x:v>Metal</x:v>
      </x:c>
      <x:c r="AB291" s="4" t="str">
        <x:v>Solid part</x:v>
      </x:c>
      <x:c r="AC291" s="4" t="str">
        <x:v>Proposal</x:v>
      </x:c>
      <x:c r="AD291" s="4" t="str">
        <x:f>LOWER(A291&amp;"; "&amp;B291&amp;"; "&amp;C291&amp;"; "&amp;D291&amp;"; "&amp;W291&amp;"; "&amp;X291&amp;"; "&amp;Y291&amp;"; "&amp;Z291&amp;"; "&amp;AA291&amp;"; "&amp;AB291&amp;"; "&amp;AC291&amp;"; "&amp;U291)</x:f>
        <x:v>proposal.legger.alignment_gauge; legger alignment gauge; equipment; legger service parts; tool; finished item; manufactured / unresolved; inspection; metal; solid part; proposal; equipment repair; legger; leger; companion replacement part</x:v>
      </x:c>
      <x:c r="AE291" s="4" t="str">
        <x:v>Specific parts and protective properties remain proposals; ancient-material scarcity is established author direction.</x:v>
      </x:c>
      <x:c r="AF291" s="4" t="str">
        <x:v>Finished item</x:v>
      </x:c>
      <x:c r="AG291" s="4" t="str">
        <x:v>Completed gear, vessel, food or tool can stop at its chosen material tier; it need not climb to T4.</x:v>
      </x:c>
      <x:c r="AH291" s="4" t="str">
        <x:v>Unassigned</x:v>
      </x:c>
    </x:row>
    <x:row r="292" ht="115" customHeight="1">
      <x:c r="A292" s="9" t="str">
        <x:v>proposal.legger.spares_case</x:v>
      </x:c>
      <x:c r="B292" s="9" t="str">
        <x:v>Legger fitted spares case</x:v>
      </x:c>
      <x:c r="C292" s="9" t="str">
        <x:v>Equipment</x:v>
      </x:c>
      <x:c r="D292" s="9" t="str">
        <x:v>Legger service parts</x:v>
      </x:c>
      <x:c r="E292" s="9" t="str">
        <x:v>New proposal</x:v>
      </x:c>
      <x:c r="F292" s="9" t="str">
        <x:v>Partitioned case for selected small replacement parts and service tools.</x:v>
      </x:c>
      <x:c r="G292" s="9" t="str">
        <x:v>Legger fitment unresolved</x:v>
      </x:c>
      <x:c r="H292" s="9" t="str">
        <x:v>Legger attachment / replacement intended; physical cargo policy unchanged</x:v>
      </x:c>
      <x:c r="I292" s="13"/>
      <x:c r="J292" s="15"/>
      <x:c r="K292" s="9" t="str">
        <x:v>Local craft, salvage or specialist trade; exact route TBD</x:v>
      </x:c>
      <x:c r="L292" s="9" t="str">
        <x:v>No recipe authored. Reuse existing iron stock, biological materials, ceramic craft, lubricant and ancient-material families where appropriate.</x:v>
      </x:c>
      <x:c r="M292" s="9" t="str">
        <x:v>Not implemented</x:v>
      </x:c>
      <x:c r="N292" s="9" t="str">
        <x:v>Contents remain separate items; no uncounted complete repair kit or capacity increase.</x:v>
      </x:c>
      <x:c r="O292" s="17"/>
      <x:c r="P292" s="17"/>
      <x:c r="Q292" s="17"/>
      <x:c r="R292" s="17"/>
      <x:c r="S292" s="17"/>
      <x:c r="T292" s="9" t="str">
        <x:v>Brainstorming candidate. Geometry, cost, mass, mounting, carrying and replacement behavior remain open. Part belongs to a finite physical companion.</x:v>
      </x:c>
      <x:c r="U292" s="11" t="str">
        <x:v>legger; leger; companion replacement part</x:v>
      </x:c>
      <x:c r="V292" s="9" t="str">
        <x:v>Author Legger slings/chassis/replacement/iron/ancient-armor brainstorming October 14, 2026; Docs/WORLD_BASIS.md#the-legger; specific item proposal.</x:v>
      </x:c>
      <x:c r="W292" s="4" t="str">
        <x:v>Container</x:v>
      </x:c>
      <x:c r="X292" s="4" t="str">
        <x:v>Finished item</x:v>
      </x:c>
      <x:c r="Y292" s="4" t="str">
        <x:v>Manufactured / unresolved</x:v>
      </x:c>
      <x:c r="Z292" s="4" t="str">
        <x:v>Cargo organization</x:v>
      </x:c>
      <x:c r="AA292" s="4" t="str">
        <x:v>Metal or shell</x:v>
      </x:c>
      <x:c r="AB292" s="4" t="str">
        <x:v>Assembly</x:v>
      </x:c>
      <x:c r="AC292" s="4" t="str">
        <x:v>Proposal</x:v>
      </x:c>
      <x:c r="AD292" s="4" t="str">
        <x:f>LOWER(A292&amp;"; "&amp;B292&amp;"; "&amp;C292&amp;"; "&amp;D292&amp;"; "&amp;W292&amp;"; "&amp;X292&amp;"; "&amp;Y292&amp;"; "&amp;Z292&amp;"; "&amp;AA292&amp;"; "&amp;AB292&amp;"; "&amp;AC292&amp;"; "&amp;U292)</x:f>
        <x:v>proposal.legger.spares_case; legger fitted spares case; equipment; legger service parts; container; finished item; manufactured / unresolved; cargo organization; metal or shell; assembly; proposal; legger; leger; companion replacement part</x:v>
      </x:c>
      <x:c r="AE292" s="4" t="str">
        <x:v>Specific parts and protective properties remain proposals; ancient-material scarcity is established author direction.</x:v>
      </x:c>
      <x:c r="AF292" s="4" t="str">
        <x:v>Finished item</x:v>
      </x:c>
      <x:c r="AG292" s="4" t="str">
        <x:v>Completed gear, vessel, food or tool can stop at its chosen material tier; it need not climb to T4.</x:v>
      </x:c>
      <x:c r="AH292" s="4" t="str">
        <x:v>Unassigned</x:v>
      </x:c>
    </x:row>
    <x:row r="293" ht="115" customHeight="1">
      <x:c r="A293" s="9" t="str">
        <x:v>proposal.legger.edge_guard</x:v>
      </x:c>
      <x:c r="B293" s="9" t="str">
        <x:v>Chassis leading-edge guard</x:v>
      </x:c>
      <x:c r="C293" s="9" t="str">
        <x:v>Equipment</x:v>
      </x:c>
      <x:c r="D293" s="9" t="str">
        <x:v>Legger armor</x:v>
      </x:c>
      <x:c r="E293" s="9" t="str">
        <x:v>New proposal</x:v>
      </x:c>
      <x:c r="F293" s="9" t="str">
        <x:v>Replaceable narrow guard on a selected exposed frame edge.</x:v>
      </x:c>
      <x:c r="G293" s="9" t="str">
        <x:v>Legger fitment unresolved</x:v>
      </x:c>
      <x:c r="H293" s="9" t="str">
        <x:v>Legger attachment / replacement intended; physical cargo policy unchanged</x:v>
      </x:c>
      <x:c r="I293" s="13"/>
      <x:c r="J293" s="15"/>
      <x:c r="K293" s="9" t="str">
        <x:v>Local craft, salvage or specialist trade; exact route TBD</x:v>
      </x:c>
      <x:c r="L293" s="9" t="str">
        <x:v>No recipe authored. Reuse existing iron stock, biological materials, ceramic craft, lubricant and ancient-material families where appropriate.</x:v>
      </x:c>
      <x:c r="M293" s="9" t="str">
        <x:v>Not implemented</x:v>
      </x:c>
      <x:c r="N293" s="9" t="str">
        <x:v>Coverage and host geometry distinguish it from full chassis plates; protection TBD.</x:v>
      </x:c>
      <x:c r="O293" s="17"/>
      <x:c r="P293" s="17"/>
      <x:c r="Q293" s="17"/>
      <x:c r="R293" s="17"/>
      <x:c r="S293" s="17"/>
      <x:c r="T293" s="9" t="str">
        <x:v>Brainstorming candidate. Geometry, cost, mass, mounting, carrying and replacement behavior remain open. Part belongs to a finite physical companion.</x:v>
      </x:c>
      <x:c r="U293" s="11" t="str">
        <x:v>legger; leger; companion replacement part</x:v>
      </x:c>
      <x:c r="V293" s="9" t="str">
        <x:v>Author Legger slings/chassis/replacement/iron/ancient-armor brainstorming October 14, 2026; Docs/WORLD_BASIS.md#the-legger; specific item proposal.</x:v>
      </x:c>
      <x:c r="W293" s="4" t="str">
        <x:v>Armor</x:v>
      </x:c>
      <x:c r="X293" s="4" t="str">
        <x:v>Finished item</x:v>
      </x:c>
      <x:c r="Y293" s="4" t="str">
        <x:v>Manufactured / unresolved</x:v>
      </x:c>
      <x:c r="Z293" s="4" t="str">
        <x:v>Protection</x:v>
      </x:c>
      <x:c r="AA293" s="4" t="str">
        <x:v>Metal</x:v>
      </x:c>
      <x:c r="AB293" s="4" t="str">
        <x:v>Panel</x:v>
      </x:c>
      <x:c r="AC293" s="4" t="str">
        <x:v>Proposal</x:v>
      </x:c>
      <x:c r="AD293" s="4" t="str">
        <x:f>LOWER(A293&amp;"; "&amp;B293&amp;"; "&amp;C293&amp;"; "&amp;D293&amp;"; "&amp;W293&amp;"; "&amp;X293&amp;"; "&amp;Y293&amp;"; "&amp;Z293&amp;"; "&amp;AA293&amp;"; "&amp;AB293&amp;"; "&amp;AC293&amp;"; "&amp;U293)</x:f>
        <x:v>proposal.legger.edge_guard; chassis leading-edge guard; equipment; legger armor; armor; finished item; manufactured / unresolved; protection; metal; panel; proposal; legger; leger; companion replacement part</x:v>
      </x:c>
      <x:c r="AE293" s="4" t="str">
        <x:v>Specific parts and protective properties remain proposals; ancient-material scarcity is established author direction.</x:v>
      </x:c>
      <x:c r="AF293" s="4" t="str">
        <x:v>Finished item</x:v>
      </x:c>
      <x:c r="AG293" s="4" t="str">
        <x:v>Completed gear, vessel, food or tool can stop at its chosen material tier; it need not climb to T4.</x:v>
      </x:c>
      <x:c r="AH293" s="4" t="str">
        <x:v>Unassigned</x:v>
      </x:c>
    </x:row>
    <x:row r="294" ht="115" customHeight="1">
      <x:c r="A294" s="9" t="str">
        <x:v>proposal.legger.instrument_guard</x:v>
      </x:c>
      <x:c r="B294" s="9" t="str">
        <x:v>Instrument-face guard</x:v>
      </x:c>
      <x:c r="C294" s="9" t="str">
        <x:v>Equipment</x:v>
      </x:c>
      <x:c r="D294" s="9" t="str">
        <x:v>Legger armor</x:v>
      </x:c>
      <x:c r="E294" s="9" t="str">
        <x:v>New proposal</x:v>
      </x:c>
      <x:c r="F294" s="9" t="str">
        <x:v>Protective cage candidate around a selected exposed instrument face.</x:v>
      </x:c>
      <x:c r="G294" s="9" t="str">
        <x:v>Legger fitment unresolved</x:v>
      </x:c>
      <x:c r="H294" s="9" t="str">
        <x:v>Legger attachment / replacement intended; physical cargo policy unchanged</x:v>
      </x:c>
      <x:c r="I294" s="13"/>
      <x:c r="J294" s="15"/>
      <x:c r="K294" s="9" t="str">
        <x:v>Local craft, salvage or specialist trade; exact route TBD</x:v>
      </x:c>
      <x:c r="L294" s="9" t="str">
        <x:v>No recipe authored. Reuse existing iron stock, biological materials, ceramic craft, lubricant and ancient-material families where appropriate.</x:v>
      </x:c>
      <x:c r="M294" s="9" t="str">
        <x:v>Not implemented</x:v>
      </x:c>
      <x:c r="N294" s="9" t="str">
        <x:v>Requires a real instrument and sight/clearance review; grants no new sensor capability.</x:v>
      </x:c>
      <x:c r="O294" s="17"/>
      <x:c r="P294" s="17"/>
      <x:c r="Q294" s="17"/>
      <x:c r="R294" s="17"/>
      <x:c r="S294" s="17"/>
      <x:c r="T294" s="9" t="str">
        <x:v>Brainstorming candidate. Geometry, cost, mass, mounting, carrying and replacement behavior remain open. Part belongs to a finite physical companion.</x:v>
      </x:c>
      <x:c r="U294" s="11" t="str">
        <x:v>legger; leger; companion replacement part</x:v>
      </x:c>
      <x:c r="V294" s="9" t="str">
        <x:v>Author Legger slings/chassis/replacement/iron/ancient-armor brainstorming October 14, 2026; Docs/WORLD_BASIS.md#the-legger; specific item proposal.</x:v>
      </x:c>
      <x:c r="W294" s="4" t="str">
        <x:v>Armor</x:v>
      </x:c>
      <x:c r="X294" s="4" t="str">
        <x:v>Finished item</x:v>
      </x:c>
      <x:c r="Y294" s="4" t="str">
        <x:v>Manufactured / unresolved</x:v>
      </x:c>
      <x:c r="Z294" s="4" t="str">
        <x:v>Protection</x:v>
      </x:c>
      <x:c r="AA294" s="4" t="str">
        <x:v>Mixed / unresolved</x:v>
      </x:c>
      <x:c r="AB294" s="4" t="str">
        <x:v>Assembly</x:v>
      </x:c>
      <x:c r="AC294" s="4" t="str">
        <x:v>Proposal</x:v>
      </x:c>
      <x:c r="AD294" s="4" t="str">
        <x:f>LOWER(A294&amp;"; "&amp;B294&amp;"; "&amp;C294&amp;"; "&amp;D294&amp;"; "&amp;W294&amp;"; "&amp;X294&amp;"; "&amp;Y294&amp;"; "&amp;Z294&amp;"; "&amp;AA294&amp;"; "&amp;AB294&amp;"; "&amp;AC294&amp;"; "&amp;U294)</x:f>
        <x:v>proposal.legger.instrument_guard; instrument-face guard; equipment; legger armor; armor; finished item; manufactured / unresolved; protection; mixed / unresolved; assembly; proposal; legger; leger; companion replacement part</x:v>
      </x:c>
      <x:c r="AE294" s="4" t="str">
        <x:v>Specific parts and protective properties remain proposals; ancient-material scarcity is established author direction.</x:v>
      </x:c>
      <x:c r="AF294" s="4" t="str">
        <x:v>Finished item</x:v>
      </x:c>
      <x:c r="AG294" s="4" t="str">
        <x:v>Completed gear, vessel, food or tool can stop at its chosen material tier; it need not climb to T4.</x:v>
      </x:c>
      <x:c r="AH294" s="4" t="str">
        <x:v>Unassigned</x:v>
      </x:c>
    </x:row>
    <x:row r="295" ht="115" customHeight="1">
      <x:c r="A295" s="9" t="str">
        <x:v>proposal.legger.seam_guard</x:v>
      </x:c>
      <x:c r="B295" s="9" t="str">
        <x:v>Armor seam-cover strip</x:v>
      </x:c>
      <x:c r="C295" s="9" t="str">
        <x:v>Equipment</x:v>
      </x:c>
      <x:c r="D295" s="9" t="str">
        <x:v>Legger armor</x:v>
      </x:c>
      <x:c r="E295" s="9" t="str">
        <x:v>New proposal</x:v>
      </x:c>
      <x:c r="F295" s="9" t="str">
        <x:v>Overlap piece covering a selected gap between fitted guards.</x:v>
      </x:c>
      <x:c r="G295" s="9" t="str">
        <x:v>Legger fitment unresolved</x:v>
      </x:c>
      <x:c r="H295" s="9" t="str">
        <x:v>Legger attachment / replacement intended; physical cargo policy unchanged</x:v>
      </x:c>
      <x:c r="I295" s="13"/>
      <x:c r="J295" s="15"/>
      <x:c r="K295" s="9" t="str">
        <x:v>Local craft, salvage or specialist trade; exact route TBD</x:v>
      </x:c>
      <x:c r="L295" s="9" t="str">
        <x:v>No recipe authored. Reuse existing iron stock, biological materials, ceramic craft, lubricant and ancient-material families where appropriate.</x:v>
      </x:c>
      <x:c r="M295" s="9" t="str">
        <x:v>Not implemented</x:v>
      </x:c>
      <x:c r="N295" s="9" t="str">
        <x:v>Must preserve movement and service access; no complete gap-free protection inferred.</x:v>
      </x:c>
      <x:c r="O295" s="17"/>
      <x:c r="P295" s="17"/>
      <x:c r="Q295" s="17"/>
      <x:c r="R295" s="17"/>
      <x:c r="S295" s="17"/>
      <x:c r="T295" s="9" t="str">
        <x:v>Brainstorming candidate. Geometry, cost, mass, mounting, carrying and replacement behavior remain open. Part belongs to a finite physical companion.</x:v>
      </x:c>
      <x:c r="U295" s="11" t="str">
        <x:v>legger; leger; companion replacement part</x:v>
      </x:c>
      <x:c r="V295" s="9" t="str">
        <x:v>Author Legger slings/chassis/replacement/iron/ancient-armor brainstorming October 14, 2026; Docs/WORLD_BASIS.md#the-legger; specific item proposal.</x:v>
      </x:c>
      <x:c r="W295" s="4" t="str">
        <x:v>Armor</x:v>
      </x:c>
      <x:c r="X295" s="4" t="str">
        <x:v>Finished item</x:v>
      </x:c>
      <x:c r="Y295" s="4" t="str">
        <x:v>Manufactured / unresolved</x:v>
      </x:c>
      <x:c r="Z295" s="4" t="str">
        <x:v>Protection</x:v>
      </x:c>
      <x:c r="AA295" s="4" t="str">
        <x:v>Metal</x:v>
      </x:c>
      <x:c r="AB295" s="4" t="str">
        <x:v>Panel</x:v>
      </x:c>
      <x:c r="AC295" s="4" t="str">
        <x:v>Proposal</x:v>
      </x:c>
      <x:c r="AD295" s="4" t="str">
        <x:f>LOWER(A295&amp;"; "&amp;B295&amp;"; "&amp;C295&amp;"; "&amp;D295&amp;"; "&amp;W295&amp;"; "&amp;X295&amp;"; "&amp;Y295&amp;"; "&amp;Z295&amp;"; "&amp;AA295&amp;"; "&amp;AB295&amp;"; "&amp;AC295&amp;"; "&amp;U295)</x:f>
        <x:v>proposal.legger.seam_guard; armor seam-cover strip; equipment; legger armor; armor; finished item; manufactured / unresolved; protection; metal; panel; proposal; legger; leger; companion replacement part</x:v>
      </x:c>
      <x:c r="AE295" s="4" t="str">
        <x:v>Specific parts and protective properties remain proposals; ancient-material scarcity is established author direction.</x:v>
      </x:c>
      <x:c r="AF295" s="4" t="str">
        <x:v>Finished item</x:v>
      </x:c>
      <x:c r="AG295" s="4" t="str">
        <x:v>Completed gear, vessel, food or tool can stop at its chosen material tier; it need not climb to T4.</x:v>
      </x:c>
      <x:c r="AH295" s="4" t="str">
        <x:v>Unassigned</x:v>
      </x:c>
    </x:row>
    <x:row r="296" ht="115" customHeight="1">
      <x:c r="A296" s="9" t="str">
        <x:v>proposal.legger.impact_cap</x:v>
      </x:c>
      <x:c r="B296" s="9" t="str">
        <x:v>Sacrificial impact cap</x:v>
      </x:c>
      <x:c r="C296" s="9" t="str">
        <x:v>Equipment</x:v>
      </x:c>
      <x:c r="D296" s="9" t="str">
        <x:v>Legger armor</x:v>
      </x:c>
      <x:c r="E296" s="9" t="str">
        <x:v>New proposal</x:v>
      </x:c>
      <x:c r="F296" s="9" t="str">
        <x:v>Replaceable cap candidate over a selected protruding part.</x:v>
      </x:c>
      <x:c r="G296" s="9" t="str">
        <x:v>Legger fitment unresolved</x:v>
      </x:c>
      <x:c r="H296" s="9" t="str">
        <x:v>Legger attachment / replacement intended; physical cargo policy unchanged</x:v>
      </x:c>
      <x:c r="I296" s="13"/>
      <x:c r="J296" s="15"/>
      <x:c r="K296" s="9" t="str">
        <x:v>Local craft, salvage or specialist trade; exact route TBD</x:v>
      </x:c>
      <x:c r="L296" s="9" t="str">
        <x:v>No recipe authored. Reuse existing iron stock, biological materials, ceramic craft, lubricant and ancient-material families where appropriate.</x:v>
      </x:c>
      <x:c r="M296" s="9" t="str">
        <x:v>Not implemented</x:v>
      </x:c>
      <x:c r="N296" s="9" t="str">
        <x:v>Damage localization, shell grade and replacement behavior remain proposed.</x:v>
      </x:c>
      <x:c r="O296" s="17"/>
      <x:c r="P296" s="17"/>
      <x:c r="Q296" s="17"/>
      <x:c r="R296" s="17"/>
      <x:c r="S296" s="17"/>
      <x:c r="T296" s="9" t="str">
        <x:v>Brainstorming candidate. Geometry, cost, mass, mounting, carrying and replacement behavior remain open. Part belongs to a finite physical companion.</x:v>
      </x:c>
      <x:c r="U296" s="11" t="str">
        <x:v>legger; leger; companion replacement part</x:v>
      </x:c>
      <x:c r="V296" s="9" t="str">
        <x:v>Author Legger slings/chassis/replacement/iron/ancient-armor brainstorming October 14, 2026; Docs/WORLD_BASIS.md#the-legger; specific item proposal.</x:v>
      </x:c>
      <x:c r="W296" s="4" t="str">
        <x:v>Armor</x:v>
      </x:c>
      <x:c r="X296" s="4" t="str">
        <x:v>Finished item</x:v>
      </x:c>
      <x:c r="Y296" s="4" t="str">
        <x:v>Manufactured / unresolved</x:v>
      </x:c>
      <x:c r="Z296" s="4" t="str">
        <x:v>Protection</x:v>
      </x:c>
      <x:c r="AA296" s="4" t="str">
        <x:v>Shell / chitin</x:v>
      </x:c>
      <x:c r="AB296" s="4" t="str">
        <x:v>Solid part</x:v>
      </x:c>
      <x:c r="AC296" s="4" t="str">
        <x:v>Proposal</x:v>
      </x:c>
      <x:c r="AD296" s="4" t="str">
        <x:f>LOWER(A296&amp;"; "&amp;B296&amp;"; "&amp;C296&amp;"; "&amp;D296&amp;"; "&amp;W296&amp;"; "&amp;X296&amp;"; "&amp;Y296&amp;"; "&amp;Z296&amp;"; "&amp;AA296&amp;"; "&amp;AB296&amp;"; "&amp;AC296&amp;"; "&amp;U296)</x:f>
        <x:v>proposal.legger.impact_cap; sacrificial impact cap; equipment; legger armor; armor; finished item; manufactured / unresolved; protection; shell / chitin; solid part; proposal; legger; leger; companion replacement part</x:v>
      </x:c>
      <x:c r="AE296" s="4" t="str">
        <x:v>Specific parts and protective properties remain proposals; ancient-material scarcity is established author direction.</x:v>
      </x:c>
      <x:c r="AF296" s="4" t="str">
        <x:v>Finished item</x:v>
      </x:c>
      <x:c r="AG296" s="4" t="str">
        <x:v>Completed gear, vessel, food or tool can stop at its chosen material tier; it need not climb to T4.</x:v>
      </x:c>
      <x:c r="AH296" s="4" t="str">
        <x:v>Unassigned</x:v>
      </x:c>
    </x:row>
    <x:row r="297" ht="115" customHeight="1">
      <x:c r="A297" s="9" t="str">
        <x:v>proposal.legger.fragment_liner</x:v>
      </x:c>
      <x:c r="B297" s="9" t="str">
        <x:v>Pressed-husk fragment liner</x:v>
      </x:c>
      <x:c r="C297" s="9" t="str">
        <x:v>Equipment</x:v>
      </x:c>
      <x:c r="D297" s="9" t="str">
        <x:v>Legger armor</x:v>
      </x:c>
      <x:c r="E297" s="9" t="str">
        <x:v>New proposal</x:v>
      </x:c>
      <x:c r="F297" s="9" t="str">
        <x:v>Scarce pressed-fiber backing proposed inside a selected guard.</x:v>
      </x:c>
      <x:c r="G297" s="9" t="str">
        <x:v>Legger fitment unresolved</x:v>
      </x:c>
      <x:c r="H297" s="9" t="str">
        <x:v>Legger attachment / replacement intended; physical cargo policy unchanged</x:v>
      </x:c>
      <x:c r="I297" s="13"/>
      <x:c r="J297" s="15"/>
      <x:c r="K297" s="9" t="str">
        <x:v>Local craft, salvage or specialist trade; exact route TBD</x:v>
      </x:c>
      <x:c r="L297" s="9" t="str">
        <x:v>No recipe authored. Reuse existing iron stock, biological materials, ceramic craft, lubricant and ancient-material families where appropriate.</x:v>
      </x:c>
      <x:c r="M297" s="9" t="str">
        <x:v>Not implemented</x:v>
      </x:c>
      <x:c r="N297" s="9" t="str">
        <x:v>Fragment retention is a research goal, not proven ballistic protection; difficult textile processing still applies.</x:v>
      </x:c>
      <x:c r="O297" s="17"/>
      <x:c r="P297" s="17"/>
      <x:c r="Q297" s="17"/>
      <x:c r="R297" s="17"/>
      <x:c r="S297" s="17"/>
      <x:c r="T297" s="9" t="str">
        <x:v>Brainstorming candidate. Geometry, cost, mass, mounting, carrying and replacement behavior remain open. Part belongs to a finite physical companion.</x:v>
      </x:c>
      <x:c r="U297" s="11" t="str">
        <x:v>legger; leger; companion replacement part</x:v>
      </x:c>
      <x:c r="V297" s="9" t="str">
        <x:v>Author Legger slings/chassis/replacement/iron/ancient-armor brainstorming October 14, 2026; Docs/WORLD_BASIS.md#the-legger; specific item proposal.</x:v>
      </x:c>
      <x:c r="W297" s="4" t="str">
        <x:v>Armor</x:v>
      </x:c>
      <x:c r="X297" s="4" t="str">
        <x:v>Finished item</x:v>
      </x:c>
      <x:c r="Y297" s="4" t="str">
        <x:v>Manufactured / unresolved</x:v>
      </x:c>
      <x:c r="Z297" s="4" t="str">
        <x:v>Protection</x:v>
      </x:c>
      <x:c r="AA297" s="4" t="str">
        <x:v>Husk fiber</x:v>
      </x:c>
      <x:c r="AB297" s="4" t="str">
        <x:v>Panel</x:v>
      </x:c>
      <x:c r="AC297" s="4" t="str">
        <x:v>Proposal</x:v>
      </x:c>
      <x:c r="AD297" s="4" t="str">
        <x:f>LOWER(A297&amp;"; "&amp;B297&amp;"; "&amp;C297&amp;"; "&amp;D297&amp;"; "&amp;W297&amp;"; "&amp;X297&amp;"; "&amp;Y297&amp;"; "&amp;Z297&amp;"; "&amp;AA297&amp;"; "&amp;AB297&amp;"; "&amp;AC297&amp;"; "&amp;U297)</x:f>
        <x:v>proposal.legger.fragment_liner; pressed-husk fragment liner; equipment; legger armor; armor; finished item; manufactured / unresolved; protection; husk fiber; panel; proposal; legger; leger; companion replacement part</x:v>
      </x:c>
      <x:c r="AE297" s="4" t="str">
        <x:v>Specific parts and protective properties remain proposals; ancient-material scarcity is established author direction.</x:v>
      </x:c>
      <x:c r="AF297" s="4" t="str">
        <x:v>Finished item</x:v>
      </x:c>
      <x:c r="AG297" s="4" t="str">
        <x:v>Completed gear, vessel, food or tool can stop at its chosen material tier; it need not climb to T4.</x:v>
      </x:c>
      <x:c r="AH297" s="4" t="str">
        <x:v>Unassigned</x:v>
      </x:c>
    </x:row>
    <x:row r="298" ht="115" customHeight="1">
      <x:c r="A298" s="9" t="str">
        <x:v>proposal.legger.guard_hinge</x:v>
      </x:c>
      <x:c r="B298" s="9" t="str">
        <x:v>Armor-guard hinge assembly</x:v>
      </x:c>
      <x:c r="C298" s="9" t="str">
        <x:v>Crafting components</x:v>
      </x:c>
      <x:c r="D298" s="9" t="str">
        <x:v>Legger armor</x:v>
      </x:c>
      <x:c r="E298" s="9" t="str">
        <x:v>New proposal</x:v>
      </x:c>
      <x:c r="F298" s="9" t="str">
        <x:v>Hinge/retainer unit candidate for an articulated protective panel.</x:v>
      </x:c>
      <x:c r="G298" s="9" t="str">
        <x:v>Legger fitment unresolved</x:v>
      </x:c>
      <x:c r="H298" s="9" t="str">
        <x:v>Legger attachment / replacement intended; physical cargo policy unchanged</x:v>
      </x:c>
      <x:c r="I298" s="13"/>
      <x:c r="J298" s="15"/>
      <x:c r="K298" s="9" t="str">
        <x:v>Local craft, salvage or specialist trade; exact route TBD</x:v>
      </x:c>
      <x:c r="L298" s="9" t="str">
        <x:v>No recipe authored. Reuse existing iron stock, biological materials, ceramic craft, lubricant and ancient-material families where appropriate.</x:v>
      </x:c>
      <x:c r="M298" s="9" t="str">
        <x:v>Not implemented</x:v>
      </x:c>
      <x:c r="N298" s="9" t="str">
        <x:v>Different from the joint guard itself; geometry and durability TBD.</x:v>
      </x:c>
      <x:c r="O298" s="17"/>
      <x:c r="P298" s="17"/>
      <x:c r="Q298" s="17"/>
      <x:c r="R298" s="17"/>
      <x:c r="S298" s="17"/>
      <x:c r="T298" s="9" t="str">
        <x:v>Brainstorming candidate. Geometry, cost, mass, mounting, carrying and replacement behavior remain open. Part belongs to a finite physical companion.</x:v>
      </x:c>
      <x:c r="U298" s="11" t="str">
        <x:v>equipment repair; legger; leger; companion replacement part</x:v>
      </x:c>
      <x:c r="V298" s="9" t="str">
        <x:v>Author Legger slings/chassis/replacement/iron/ancient-armor brainstorming October 14, 2026; Docs/WORLD_BASIS.md#the-legger; specific item proposal.</x:v>
      </x:c>
      <x:c r="W298" s="4" t="str">
        <x:v>Crafting component</x:v>
      </x:c>
      <x:c r="X298" s="4" t="str">
        <x:v>Processed intermediate</x:v>
      </x:c>
      <x:c r="Y298" s="4" t="str">
        <x:v>Manufactured / unresolved</x:v>
      </x:c>
      <x:c r="Z298" s="4" t="str">
        <x:v>Equipment mounting</x:v>
      </x:c>
      <x:c r="AA298" s="4" t="str">
        <x:v>Metal</x:v>
      </x:c>
      <x:c r="AB298" s="4" t="str">
        <x:v>Assembly</x:v>
      </x:c>
      <x:c r="AC298" s="4" t="str">
        <x:v>Proposal</x:v>
      </x:c>
      <x:c r="AD298" s="4" t="str">
        <x:f>LOWER(A298&amp;"; "&amp;B298&amp;"; "&amp;C298&amp;"; "&amp;D298&amp;"; "&amp;W298&amp;"; "&amp;X298&amp;"; "&amp;Y298&amp;"; "&amp;Z298&amp;"; "&amp;AA298&amp;"; "&amp;AB298&amp;"; "&amp;AC298&amp;"; "&amp;U298)</x:f>
        <x:v>proposal.legger.guard_hinge; armor-guard hinge assembly; crafting components; legger armor; crafting component; processed intermediate; manufactured / unresolved; equipment mounting; metal; assembly; proposal; equipment repair; legger; leger; companion replacement part</x:v>
      </x:c>
      <x:c r="AE298" s="4" t="str">
        <x:v>Specific parts and protective properties remain proposals; ancient-material scarcity is established author direction.</x:v>
      </x:c>
      <x:c r="AF298" s="4" t="str">
        <x:v>Unassigned</x:v>
      </x:c>
      <x:c r="AG298" s="4" t="str">
        <x:v>Choose a material/part route before assigning a tier. Processing-stage labels alone do not prove chain depth.</x:v>
      </x:c>
      <x:c r="AH298" s="4" t="str">
        <x:v>Not applicable</x:v>
      </x:c>
    </x:row>
    <x:row r="299" ht="115" customHeight="1">
      <x:c r="A299" s="9" t="str">
        <x:v>proposal.legger.plasteel_collar</x:v>
      </x:c>
      <x:c r="B299" s="9" t="str">
        <x:v>Ancient plasteel joint collar</x:v>
      </x:c>
      <x:c r="C299" s="9" t="str">
        <x:v>Crafting components</x:v>
      </x:c>
      <x:c r="D299" s="9" t="str">
        <x:v>Legger ancient replacement</x:v>
      </x:c>
      <x:c r="E299" s="9" t="str">
        <x:v>New proposal</x:v>
      </x:c>
      <x:c r="F299" s="9" t="str">
        <x:v>Recovered shaped collar considered for an appropriate joint housing.</x:v>
      </x:c>
      <x:c r="G299" s="9" t="str">
        <x:v>Legger fitment unresolved</x:v>
      </x:c>
      <x:c r="H299" s="9" t="str">
        <x:v>Legger attachment / replacement intended; physical cargo policy unchanged</x:v>
      </x:c>
      <x:c r="I299" s="13"/>
      <x:c r="J299" s="15"/>
      <x:c r="K299" s="9" t="str">
        <x:v>Extremely rare recovered technology; fitting and recovery method TBD</x:v>
      </x:c>
      <x:c r="L299" s="9" t="str">
        <x:v>No recipe authored. Reuse existing iron stock, biological materials, ceramic craft, lubricant and ancient-material families where appropriate.</x:v>
      </x:c>
      <x:c r="M299" s="9" t="str">
        <x:v>Not implemented</x:v>
      </x:c>
      <x:c r="N299" s="9" t="str">
        <x:v>Extremely rare; interfaces, residual condition and rework capability unknown.</x:v>
      </x:c>
      <x:c r="O299" s="17" t="str">
        <x:v>Extremely rare</x:v>
      </x:c>
      <x:c r="P299" s="17"/>
      <x:c r="Q299" s="17"/>
      <x:c r="R299" s="17"/>
      <x:c r="S299" s="17"/>
      <x:c r="T299" s="9" t="str">
        <x:v>Brainstorming candidate. Geometry, cost, mass, mounting, carrying and replacement behavior remain open. Part belongs to a finite physical companion.</x:v>
      </x:c>
      <x:c r="U299" s="11" t="str">
        <x:v>legger; leger; companion replacement part; ancient salvage plasteel nanotube ballistic</x:v>
      </x:c>
      <x:c r="V299" s="9" t="str">
        <x:v>Author Legger slings/chassis/replacement/iron/ancient-armor brainstorming October 14, 2026; Docs/WORLD_BASIS.md#the-legger; specific item proposal.</x:v>
      </x:c>
      <x:c r="W299" s="4" t="str">
        <x:v>Crafting component</x:v>
      </x:c>
      <x:c r="X299" s="4" t="str">
        <x:v>Processed intermediate</x:v>
      </x:c>
      <x:c r="Y299" s="4" t="str">
        <x:v>Ancient technology</x:v>
      </x:c>
      <x:c r="Z299" s="4" t="str">
        <x:v>Equipment repair</x:v>
      </x:c>
      <x:c r="AA299" s="4" t="str">
        <x:v>Ancient composite</x:v>
      </x:c>
      <x:c r="AB299" s="4" t="str">
        <x:v>Solid part</x:v>
      </x:c>
      <x:c r="AC299" s="4" t="str">
        <x:v>Proposal</x:v>
      </x:c>
      <x:c r="AD299" s="4" t="str">
        <x:f>LOWER(A299&amp;"; "&amp;B299&amp;"; "&amp;C299&amp;"; "&amp;D299&amp;"; "&amp;W299&amp;"; "&amp;X299&amp;"; "&amp;Y299&amp;"; "&amp;Z299&amp;"; "&amp;AA299&amp;"; "&amp;AB299&amp;"; "&amp;AC299&amp;"; "&amp;U299)</x:f>
        <x:v>proposal.legger.plasteel_collar; ancient plasteel joint collar; crafting components; legger ancient replacement; crafting component; processed intermediate; ancient technology; equipment repair; ancient composite; solid part; proposal; legger; leger; companion replacement part; ancient salvage plasteel nanotube ballistic</x:v>
      </x:c>
      <x:c r="AE299" s="4" t="str">
        <x:v>Specific parts and protective properties remain proposals; ancient-material scarcity is established author direction.</x:v>
      </x:c>
      <x:c r="AF299" s="4" t="str">
        <x:v>Unassigned</x:v>
      </x:c>
      <x:c r="AG299" s="4" t="str">
        <x:v>Tier requires a chosen production route; recovered ancient material is not automatically T4.</x:v>
      </x:c>
      <x:c r="AH299" s="4" t="str">
        <x:v>Unassigned</x:v>
      </x:c>
    </x:row>
    <x:row r="300" ht="115" customHeight="1">
      <x:c r="A300" s="9" t="str">
        <x:v>proposal.legger.tension_member</x:v>
      </x:c>
      <x:c r="B300" s="9" t="str">
        <x:v>Ancient nanocarbon tension member</x:v>
      </x:c>
      <x:c r="C300" s="9" t="str">
        <x:v>Crafting components</x:v>
      </x:c>
      <x:c r="D300" s="9" t="str">
        <x:v>Legger ancient replacement</x:v>
      </x:c>
      <x:c r="E300" s="9" t="str">
        <x:v>New proposal</x:v>
      </x:c>
      <x:c r="F300" s="9" t="str">
        <x:v>Recovered fiber/composite member considered for a selected tensile linkage.</x:v>
      </x:c>
      <x:c r="G300" s="9" t="str">
        <x:v>Legger fitment unresolved</x:v>
      </x:c>
      <x:c r="H300" s="9" t="str">
        <x:v>Legger attachment / replacement intended; physical cargo policy unchanged</x:v>
      </x:c>
      <x:c r="I300" s="13"/>
      <x:c r="J300" s="15"/>
      <x:c r="K300" s="9" t="str">
        <x:v>Extremely rare recovered technology; fitting and recovery method TBD</x:v>
      </x:c>
      <x:c r="L300" s="9" t="str">
        <x:v>No recipe authored. Reuse existing iron stock, biological materials, ceramic craft, lubricant and ancient-material families where appropriate.</x:v>
      </x:c>
      <x:c r="M300" s="9" t="str">
        <x:v>Not implemented</x:v>
      </x:c>
      <x:c r="N300" s="9" t="str">
        <x:v>Extremely rare; term describes intended structural role, not confirmed strength or active muscle behavior.</x:v>
      </x:c>
      <x:c r="O300" s="17" t="str">
        <x:v>Extremely rare</x:v>
      </x:c>
      <x:c r="P300" s="17"/>
      <x:c r="Q300" s="17"/>
      <x:c r="R300" s="17"/>
      <x:c r="S300" s="17"/>
      <x:c r="T300" s="9" t="str">
        <x:v>Brainstorming candidate. Geometry, cost, mass, mounting, carrying and replacement behavior remain open. Part belongs to a finite physical companion.</x:v>
      </x:c>
      <x:c r="U300" s="11" t="str">
        <x:v>legger; leger; companion replacement part; ancient salvage plasteel nanotube ballistic</x:v>
      </x:c>
      <x:c r="V300" s="9" t="str">
        <x:v>Author Legger slings/chassis/replacement/iron/ancient-armor brainstorming October 14, 2026; Docs/WORLD_BASIS.md#the-legger; specific item proposal.</x:v>
      </x:c>
      <x:c r="W300" s="4" t="str">
        <x:v>Crafting component</x:v>
      </x:c>
      <x:c r="X300" s="4" t="str">
        <x:v>Processed intermediate</x:v>
      </x:c>
      <x:c r="Y300" s="4" t="str">
        <x:v>Ancient technology</x:v>
      </x:c>
      <x:c r="Z300" s="4" t="str">
        <x:v>Equipment repair</x:v>
      </x:c>
      <x:c r="AA300" s="4" t="str">
        <x:v>Ancient composite</x:v>
      </x:c>
      <x:c r="AB300" s="4" t="str">
        <x:v>Solid part</x:v>
      </x:c>
      <x:c r="AC300" s="4" t="str">
        <x:v>Proposal</x:v>
      </x:c>
      <x:c r="AD300" s="4" t="str">
        <x:f>LOWER(A300&amp;"; "&amp;B300&amp;"; "&amp;C300&amp;"; "&amp;D300&amp;"; "&amp;W300&amp;"; "&amp;X300&amp;"; "&amp;Y300&amp;"; "&amp;Z300&amp;"; "&amp;AA300&amp;"; "&amp;AB300&amp;"; "&amp;AC300&amp;"; "&amp;U300)</x:f>
        <x:v>proposal.legger.tension_member; ancient nanocarbon tension member; crafting components; legger ancient replacement; crafting component; processed intermediate; ancient technology; equipment repair; ancient composite; solid part; proposal; legger; leger; companion replacement part; ancient salvage plasteel nanotube ballistic</x:v>
      </x:c>
      <x:c r="AE300" s="4" t="str">
        <x:v>Specific parts and protective properties remain proposals; ancient-material scarcity is established author direction.</x:v>
      </x:c>
      <x:c r="AF300" s="4" t="str">
        <x:v>Unassigned</x:v>
      </x:c>
      <x:c r="AG300" s="4" t="str">
        <x:v>Tier requires a chosen production route; recovered ancient material is not automatically T4.</x:v>
      </x:c>
      <x:c r="AH300" s="4" t="str">
        <x:v>Unassigned</x:v>
      </x:c>
    </x:row>
    <x:row r="301" ht="115" customHeight="1">
      <x:c r="A301" s="9" t="str">
        <x:v>proposal.legger.friction_insert</x:v>
      </x:c>
      <x:c r="B301" s="9" t="str">
        <x:v>Ancient friction-interface insert</x:v>
      </x:c>
      <x:c r="C301" s="9" t="str">
        <x:v>Crafting components</x:v>
      </x:c>
      <x:c r="D301" s="9" t="str">
        <x:v>Legger ancient replacement</x:v>
      </x:c>
      <x:c r="E301" s="9" t="str">
        <x:v>New proposal</x:v>
      </x:c>
      <x:c r="F301" s="9" t="str">
        <x:v>Recovered contact insert considered for a matched wear interface.</x:v>
      </x:c>
      <x:c r="G301" s="9" t="str">
        <x:v>Legger fitment unresolved</x:v>
      </x:c>
      <x:c r="H301" s="9" t="str">
        <x:v>Legger attachment / replacement intended; physical cargo policy unchanged</x:v>
      </x:c>
      <x:c r="I301" s="13"/>
      <x:c r="J301" s="15"/>
      <x:c r="K301" s="9" t="str">
        <x:v>Extremely rare recovered technology; fitting and recovery method TBD</x:v>
      </x:c>
      <x:c r="L301" s="9" t="str">
        <x:v>No recipe authored. Reuse existing iron stock, biological materials, ceramic craft, lubricant and ancient-material families where appropriate.</x:v>
      </x:c>
      <x:c r="M301" s="9" t="str">
        <x:v>Not implemented</x:v>
      </x:c>
      <x:c r="N301" s="9" t="str">
        <x:v>Extremely rare; composition, remaining life and lubricant requirements unknown.</x:v>
      </x:c>
      <x:c r="O301" s="17" t="str">
        <x:v>Extremely rare</x:v>
      </x:c>
      <x:c r="P301" s="17"/>
      <x:c r="Q301" s="17"/>
      <x:c r="R301" s="17"/>
      <x:c r="S301" s="17"/>
      <x:c r="T301" s="9" t="str">
        <x:v>Brainstorming candidate. Geometry, cost, mass, mounting, carrying and replacement behavior remain open. Part belongs to a finite physical companion.</x:v>
      </x:c>
      <x:c r="U301" s="11" t="str">
        <x:v>legger; leger; companion replacement part; ancient salvage plasteel nanotube ballistic</x:v>
      </x:c>
      <x:c r="V301" s="9" t="str">
        <x:v>Author Legger slings/chassis/replacement/iron/ancient-armor brainstorming October 14, 2026; Docs/WORLD_BASIS.md#the-legger; specific item proposal.</x:v>
      </x:c>
      <x:c r="W301" s="4" t="str">
        <x:v>Crafting component</x:v>
      </x:c>
      <x:c r="X301" s="4" t="str">
        <x:v>Processed intermediate</x:v>
      </x:c>
      <x:c r="Y301" s="4" t="str">
        <x:v>Ancient technology</x:v>
      </x:c>
      <x:c r="Z301" s="4" t="str">
        <x:v>Equipment repair</x:v>
      </x:c>
      <x:c r="AA301" s="4" t="str">
        <x:v>Unresolved</x:v>
      </x:c>
      <x:c r="AB301" s="4" t="str">
        <x:v>Solid part</x:v>
      </x:c>
      <x:c r="AC301" s="4" t="str">
        <x:v>Proposal</x:v>
      </x:c>
      <x:c r="AD301" s="4" t="str">
        <x:f>LOWER(A301&amp;"; "&amp;B301&amp;"; "&amp;C301&amp;"; "&amp;D301&amp;"; "&amp;W301&amp;"; "&amp;X301&amp;"; "&amp;Y301&amp;"; "&amp;Z301&amp;"; "&amp;AA301&amp;"; "&amp;AB301&amp;"; "&amp;AC301&amp;"; "&amp;U301)</x:f>
        <x:v>proposal.legger.friction_insert; ancient friction-interface insert; crafting components; legger ancient replacement; crafting component; processed intermediate; ancient technology; equipment repair; unresolved; solid part; proposal; legger; leger; companion replacement part; ancient salvage plasteel nanotube ballistic</x:v>
      </x:c>
      <x:c r="AE301" s="4" t="str">
        <x:v>Specific parts and protective properties remain proposals; ancient-material scarcity is established author direction.</x:v>
      </x:c>
      <x:c r="AF301" s="4" t="str">
        <x:v>Unassigned</x:v>
      </x:c>
      <x:c r="AG301" s="4" t="str">
        <x:v>Tier requires a chosen production route; recovered ancient material is not automatically T4.</x:v>
      </x:c>
      <x:c r="AH301" s="4" t="str">
        <x:v>Unassigned</x:v>
      </x:c>
    </x:row>
    <x:row r="302" ht="115" customHeight="1">
      <x:c r="A302" s="9" t="str">
        <x:v>proposal.legger.ceramic_race</x:v>
      </x:c>
      <x:c r="B302" s="9" t="str">
        <x:v>Ancient precision ceramic bearing race</x:v>
      </x:c>
      <x:c r="C302" s="9" t="str">
        <x:v>Crafting components</x:v>
      </x:c>
      <x:c r="D302" s="9" t="str">
        <x:v>Legger ancient replacement</x:v>
      </x:c>
      <x:c r="E302" s="9" t="str">
        <x:v>New proposal</x:v>
      </x:c>
      <x:c r="F302" s="9" t="str">
        <x:v>Recovered high-precision ceramic race candidate within a compatible bearing.</x:v>
      </x:c>
      <x:c r="G302" s="9" t="str">
        <x:v>Legger fitment unresolved</x:v>
      </x:c>
      <x:c r="H302" s="9" t="str">
        <x:v>Legger attachment / replacement intended; physical cargo policy unchanged</x:v>
      </x:c>
      <x:c r="I302" s="13"/>
      <x:c r="J302" s="15"/>
      <x:c r="K302" s="9" t="str">
        <x:v>Extremely rare recovered technology; fitting and recovery method TBD</x:v>
      </x:c>
      <x:c r="L302" s="9" t="str">
        <x:v>No recipe authored. Reuse existing iron stock, biological materials, ceramic craft, lubricant and ancient-material families where appropriate.</x:v>
      </x:c>
      <x:c r="M302" s="9" t="str">
        <x:v>Not implemented</x:v>
      </x:c>
      <x:c r="N302" s="9" t="str">
        <x:v>Extremely rare because of its ancient fabrication; ordinary modern ceramic parts are a separate family.</x:v>
      </x:c>
      <x:c r="O302" s="17" t="str">
        <x:v>Extremely rare</x:v>
      </x:c>
      <x:c r="P302" s="17"/>
      <x:c r="Q302" s="17"/>
      <x:c r="R302" s="17"/>
      <x:c r="S302" s="17"/>
      <x:c r="T302" s="9" t="str">
        <x:v>Brainstorming candidate. Geometry, cost, mass, mounting, carrying and replacement behavior remain open. Part belongs to a finite physical companion.</x:v>
      </x:c>
      <x:c r="U302" s="11" t="str">
        <x:v>legger; leger; companion replacement part; ancient salvage plasteel nanotube ballistic</x:v>
      </x:c>
      <x:c r="V302" s="9" t="str">
        <x:v>Author Legger slings/chassis/replacement/iron/ancient-armor brainstorming October 14, 2026; Docs/WORLD_BASIS.md#the-legger; specific item proposal.</x:v>
      </x:c>
      <x:c r="W302" s="4" t="str">
        <x:v>Crafting component</x:v>
      </x:c>
      <x:c r="X302" s="4" t="str">
        <x:v>Processed intermediate</x:v>
      </x:c>
      <x:c r="Y302" s="4" t="str">
        <x:v>Ancient technology</x:v>
      </x:c>
      <x:c r="Z302" s="4" t="str">
        <x:v>Equipment repair</x:v>
      </x:c>
      <x:c r="AA302" s="4" t="str">
        <x:v>Ceramic</x:v>
      </x:c>
      <x:c r="AB302" s="4" t="str">
        <x:v>Solid part</x:v>
      </x:c>
      <x:c r="AC302" s="4" t="str">
        <x:v>Proposal</x:v>
      </x:c>
      <x:c r="AD302" s="4" t="str">
        <x:f>LOWER(A302&amp;"; "&amp;B302&amp;"; "&amp;C302&amp;"; "&amp;D302&amp;"; "&amp;W302&amp;"; "&amp;X302&amp;"; "&amp;Y302&amp;"; "&amp;Z302&amp;"; "&amp;AA302&amp;"; "&amp;AB302&amp;"; "&amp;AC302&amp;"; "&amp;U302)</x:f>
        <x:v>proposal.legger.ceramic_race; ancient precision ceramic bearing race; crafting components; legger ancient replacement; crafting component; processed intermediate; ancient technology; equipment repair; ceramic; solid part; proposal; legger; leger; companion replacement part; ancient salvage plasteel nanotube ballistic</x:v>
      </x:c>
      <x:c r="AE302" s="4" t="str">
        <x:v>Specific parts and protective properties remain proposals; ancient-material scarcity is established author direction.</x:v>
      </x:c>
      <x:c r="AF302" s="4" t="str">
        <x:v>Unassigned</x:v>
      </x:c>
      <x:c r="AG302" s="4" t="str">
        <x:v>Tier requires a chosen production route; recovered ancient material is not automatically T4.</x:v>
      </x:c>
      <x:c r="AH302" s="4" t="str">
        <x:v>Unassigned</x:v>
      </x:c>
    </x:row>
    <x:row r="303" ht="115" customHeight="1">
      <x:c r="A303" s="9" t="str">
        <x:v>proposal.legger.impact_lattice</x:v>
      </x:c>
      <x:c r="B303" s="9" t="str">
        <x:v>Ancient impact-lattice backing</x:v>
      </x:c>
      <x:c r="C303" s="9" t="str">
        <x:v>Equipment</x:v>
      </x:c>
      <x:c r="D303" s="9" t="str">
        <x:v>Legger ancient replacement</x:v>
      </x:c>
      <x:c r="E303" s="9" t="str">
        <x:v>New proposal</x:v>
      </x:c>
      <x:c r="F303" s="9" t="str">
        <x:v>Recovered structured backing considered for a composite guard.</x:v>
      </x:c>
      <x:c r="G303" s="9" t="str">
        <x:v>Legger fitment unresolved</x:v>
      </x:c>
      <x:c r="H303" s="9" t="str">
        <x:v>Legger attachment / replacement intended; physical cargo policy unchanged</x:v>
      </x:c>
      <x:c r="I303" s="13"/>
      <x:c r="J303" s="15"/>
      <x:c r="K303" s="9" t="str">
        <x:v>Extremely rare recovered technology; fitting and recovery method TBD</x:v>
      </x:c>
      <x:c r="L303" s="9" t="str">
        <x:v>No recipe authored. Reuse existing iron stock, biological materials, ceramic craft, lubricant and ancient-material families where appropriate.</x:v>
      </x:c>
      <x:c r="M303" s="9" t="str">
        <x:v>Not implemented</x:v>
      </x:c>
      <x:c r="N303" s="9" t="str">
        <x:v>Extremely rare; energy response, layer compatibility and protection behavior remain undefined.</x:v>
      </x:c>
      <x:c r="O303" s="17" t="str">
        <x:v>Extremely rare</x:v>
      </x:c>
      <x:c r="P303" s="17"/>
      <x:c r="Q303" s="17"/>
      <x:c r="R303" s="17"/>
      <x:c r="S303" s="17"/>
      <x:c r="T303" s="9" t="str">
        <x:v>Brainstorming candidate. Geometry, cost, mass, mounting, carrying and replacement behavior remain open. Part belongs to a finite physical companion.</x:v>
      </x:c>
      <x:c r="U303" s="11" t="str">
        <x:v>legger; leger; companion replacement part; ancient salvage plasteel nanotube ballistic</x:v>
      </x:c>
      <x:c r="V303" s="9" t="str">
        <x:v>Author Legger slings/chassis/replacement/iron/ancient-armor brainstorming October 14, 2026; Docs/WORLD_BASIS.md#the-legger; specific item proposal.</x:v>
      </x:c>
      <x:c r="W303" s="4" t="str">
        <x:v>Armor</x:v>
      </x:c>
      <x:c r="X303" s="4" t="str">
        <x:v>Finished item</x:v>
      </x:c>
      <x:c r="Y303" s="4" t="str">
        <x:v>Ancient technology</x:v>
      </x:c>
      <x:c r="Z303" s="4" t="str">
        <x:v>Protection</x:v>
      </x:c>
      <x:c r="AA303" s="4" t="str">
        <x:v>Ancient composite</x:v>
      </x:c>
      <x:c r="AB303" s="4" t="str">
        <x:v>Panel</x:v>
      </x:c>
      <x:c r="AC303" s="4" t="str">
        <x:v>Proposal</x:v>
      </x:c>
      <x:c r="AD303" s="4" t="str">
        <x:f>LOWER(A303&amp;"; "&amp;B303&amp;"; "&amp;C303&amp;"; "&amp;D303&amp;"; "&amp;W303&amp;"; "&amp;X303&amp;"; "&amp;Y303&amp;"; "&amp;Z303&amp;"; "&amp;AA303&amp;"; "&amp;AB303&amp;"; "&amp;AC303&amp;"; "&amp;U303)</x:f>
        <x:v>proposal.legger.impact_lattice; ancient impact-lattice backing; equipment; legger ancient replacement; armor; finished item; ancient technology; protection; ancient composite; panel; proposal; legger; leger; companion replacement part; ancient salvage plasteel nanotube ballistic</x:v>
      </x:c>
      <x:c r="AE303" s="4" t="str">
        <x:v>Specific parts and protective properties remain proposals; ancient-material scarcity is established author direction.</x:v>
      </x:c>
      <x:c r="AF303" s="4" t="str">
        <x:v>Unassigned</x:v>
      </x:c>
      <x:c r="AG303" s="4" t="str">
        <x:v>Tier requires a chosen production route; recovered ancient material is not automatically T4.</x:v>
      </x:c>
      <x:c r="AH303" s="4" t="str">
        <x:v>Unassigned</x:v>
      </x:c>
    </x:row>
    <x:row r="304" ht="115" customHeight="1">
      <x:c r="A304" s="9" t="str">
        <x:v>proposal.legger.interface_adapter</x:v>
      </x:c>
      <x:c r="B304" s="9" t="str">
        <x:v>Ancient module interface adapter</x:v>
      </x:c>
      <x:c r="C304" s="9" t="str">
        <x:v>Crafting components</x:v>
      </x:c>
      <x:c r="D304" s="9" t="str">
        <x:v>Legger ancient replacement</x:v>
      </x:c>
      <x:c r="E304" s="9" t="str">
        <x:v>New proposal</x:v>
      </x:c>
      <x:c r="F304" s="9" t="str">
        <x:v>Recovered adapter candidate joining one identified ancient module to a matching host.</x:v>
      </x:c>
      <x:c r="G304" s="9" t="str">
        <x:v>Legger fitment unresolved</x:v>
      </x:c>
      <x:c r="H304" s="9" t="str">
        <x:v>Legger attachment / replacement intended; physical cargo policy unchanged</x:v>
      </x:c>
      <x:c r="I304" s="13"/>
      <x:c r="J304" s="15"/>
      <x:c r="K304" s="9" t="str">
        <x:v>Extremely rare recovered technology; fitting and recovery method TBD</x:v>
      </x:c>
      <x:c r="L304" s="9" t="str">
        <x:v>No recipe authored. Reuse existing iron stock, biological materials, ceramic craft, lubricant and ancient-material families where appropriate.</x:v>
      </x:c>
      <x:c r="M304" s="9" t="str">
        <x:v>Not implemented</x:v>
      </x:c>
      <x:c r="N304" s="9" t="str">
        <x:v>Extremely rare and interface-specific; does not unlock universal ancient-module compatibility.</x:v>
      </x:c>
      <x:c r="O304" s="17" t="str">
        <x:v>Extremely rare</x:v>
      </x:c>
      <x:c r="P304" s="17"/>
      <x:c r="Q304" s="17"/>
      <x:c r="R304" s="17"/>
      <x:c r="S304" s="17"/>
      <x:c r="T304" s="9" t="str">
        <x:v>Brainstorming candidate. Geometry, cost, mass, mounting, carrying and replacement behavior remain open. Part belongs to a finite physical companion.</x:v>
      </x:c>
      <x:c r="U304" s="11" t="str">
        <x:v>legger; leger; companion replacement part; ancient salvage plasteel nanotube ballistic</x:v>
      </x:c>
      <x:c r="V304" s="9" t="str">
        <x:v>Author Legger slings/chassis/replacement/iron/ancient-armor brainstorming October 14, 2026; Docs/WORLD_BASIS.md#the-legger; specific item proposal.</x:v>
      </x:c>
      <x:c r="W304" s="4" t="str">
        <x:v>Crafting component</x:v>
      </x:c>
      <x:c r="X304" s="4" t="str">
        <x:v>Processed intermediate</x:v>
      </x:c>
      <x:c r="Y304" s="4" t="str">
        <x:v>Ancient technology</x:v>
      </x:c>
      <x:c r="Z304" s="4" t="str">
        <x:v>Equipment mounting</x:v>
      </x:c>
      <x:c r="AA304" s="4" t="str">
        <x:v>Unresolved</x:v>
      </x:c>
      <x:c r="AB304" s="4" t="str">
        <x:v>Solid part</x:v>
      </x:c>
      <x:c r="AC304" s="4" t="str">
        <x:v>Proposal</x:v>
      </x:c>
      <x:c r="AD304" s="4" t="str">
        <x:f>LOWER(A304&amp;"; "&amp;B304&amp;"; "&amp;C304&amp;"; "&amp;D304&amp;"; "&amp;W304&amp;"; "&amp;X304&amp;"; "&amp;Y304&amp;"; "&amp;Z304&amp;"; "&amp;AA304&amp;"; "&amp;AB304&amp;"; "&amp;AC304&amp;"; "&amp;U304)</x:f>
        <x:v>proposal.legger.interface_adapter; ancient module interface adapter; crafting components; legger ancient replacement; crafting component; processed intermediate; ancient technology; equipment mounting; unresolved; solid part; proposal; legger; leger; companion replacement part; ancient salvage plasteel nanotube ballistic</x:v>
      </x:c>
      <x:c r="AE304" s="4" t="str">
        <x:v>Specific parts and protective properties remain proposals; ancient-material scarcity is established author direction.</x:v>
      </x:c>
      <x:c r="AF304" s="4" t="str">
        <x:v>Unassigned</x:v>
      </x:c>
      <x:c r="AG304" s="4" t="str">
        <x:v>Tier requires a chosen production route; recovered ancient material is not automatically T4.</x:v>
      </x:c>
      <x:c r="AH304" s="4" t="str">
        <x:v>Unassigned</x:v>
      </x:c>
    </x:row>
    <x:row r="305" ht="115" customHeight="1">
      <x:c r="A305" s="9" t="str">
        <x:v>proposal.food.drink_portion</x:v>
      </x:c>
      <x:c r="B305" s="9" t="str">
        <x:v>Prepared Phagia drink portion</x:v>
      </x:c>
      <x:c r="C305" s="9" t="str">
        <x:v>Consumables</x:v>
      </x:c>
      <x:c r="D305" s="9" t="str">
        <x:v>Phagia drink</x:v>
      </x:c>
      <x:c r="E305" s="9" t="str">
        <x:v>User direction; not implemented</x:v>
      </x:c>
      <x:c r="F305" s="9" t="str">
        <x:v>Prepared algae drink in a food-service vessel, intended to improve on an unprocessed baseline portion.</x:v>
      </x:c>
      <x:c r="G305" s="9" t="str">
        <x:v>None</x:v>
      </x:c>
      <x:c r="H305" s="9" t="str">
        <x:v>Prepared portions / vessels; Booter eligibility and capacity TBD</x:v>
      </x:c>
      <x:c r="I305" s="13"/>
      <x:c r="J305" s="15"/>
      <x:c r="K305" s="9" t="str">
        <x:v>Specialist Phagia processing, provisioning or trade; exact route TBD</x:v>
      </x:c>
      <x:c r="L305" s="9" t="str">
        <x:v>No recipe, ratio or serving quantity authored. Food processing and any heating need setting-compatible design.</x:v>
      </x:c>
      <x:c r="M305" s="9" t="str">
        <x:v>Not implemented</x:v>
      </x:c>
      <x:c r="N305" s="9" t="str">
        <x:v>Serving size, preparation, performance and live-culture requirements TBD. Drinkable biological preparation is not a free-water resource.</x:v>
      </x:c>
      <x:c r="O305" s="17"/>
      <x:c r="P305" s="17"/>
      <x:c r="Q305" s="17"/>
      <x:c r="R305" s="17"/>
      <x:c r="S305" s="17"/>
      <x:c r="T305" s="9" t="str">
        <x:v>Higher-performing processed Phagia consumables and high-quality fauna-mixed delicacies are author direction. Specific performance, supply costs, value, shelf life and consumption behavior remain unresolved.</x:v>
      </x:c>
      <x:c r="U305" s="11" t="str">
        <x:v>nutrition; phagea; algae</x:v>
      </x:c>
      <x:c r="V305" s="9" t="str">
        <x:v>Direct author Phagia food/drink processing and fauna-delicacy direction October 14, 2026; Docs/WORLD_BASIS.md#survival-rules. Specific named dishes and packaging are proposals.</x:v>
      </x:c>
      <x:c r="W305" s="4" t="str">
        <x:v>Drink consumable</x:v>
      </x:c>
      <x:c r="X305" s="4" t="str">
        <x:v>Finished item</x:v>
      </x:c>
      <x:c r="Y305" s="4" t="str">
        <x:v>Living culture</x:v>
      </x:c>
      <x:c r="Z305" s="4" t="str">
        <x:v>Hydration</x:v>
      </x:c>
      <x:c r="AA305" s="4" t="str">
        <x:v>Phagia preparation</x:v>
      </x:c>
      <x:c r="AB305" s="4" t="str">
        <x:v>Liquid</x:v>
      </x:c>
      <x:c r="AC305" s="4" t="str">
        <x:v>Author direction</x:v>
      </x:c>
      <x:c r="AD305" s="4" t="str">
        <x:f>LOWER(A305&amp;"; "&amp;B305&amp;"; "&amp;C305&amp;"; "&amp;D305&amp;"; "&amp;W305&amp;"; "&amp;X305&amp;"; "&amp;Y305&amp;"; "&amp;Z305&amp;"; "&amp;AA305&amp;"; "&amp;AB305&amp;"; "&amp;AC305&amp;"; "&amp;U305)</x:f>
        <x:v>proposal.food.drink_portion; prepared phagia drink portion; consumables; phagia drink; drink consumable; finished item; living culture; hydration; phagia preparation; liquid; author direction; nutrition; phagea; algae</x:v>
      </x:c>
      <x:c r="AE305" s="4" t="str">
        <x:v>Accepted direction for processed-food families; individual recipes, ingredient qualification and effects remain design proposals.</x:v>
      </x:c>
      <x:c r="AF305" s="4" t="str">
        <x:v>Finished item</x:v>
      </x:c>
      <x:c r="AG305" s="4" t="str">
        <x:v>Completed gear, vessel, food or tool can stop at its chosen material tier; it need not climb to T4.</x:v>
      </x:c>
      <x:c r="AH305" s="4" t="str">
        <x:v>Unassigned</x:v>
      </x:c>
    </x:row>
    <x:row r="306" ht="115" customHeight="1">
      <x:c r="A306" s="9" t="str">
        <x:v>proposal.food.dense_drink</x:v>
      </x:c>
      <x:c r="B306" s="9" t="str">
        <x:v>Dense Phagia nutrient drink</x:v>
      </x:c>
      <x:c r="C306" s="9" t="str">
        <x:v>Consumables</x:v>
      </x:c>
      <x:c r="D306" s="9" t="str">
        <x:v>Phagia drink</x:v>
      </x:c>
      <x:c r="E306" s="9" t="str">
        <x:v>New proposal</x:v>
      </x:c>
      <x:c r="F306" s="9" t="str">
        <x:v>Candidate concentrated drink preparation for a compact food-and-drink serving.</x:v>
      </x:c>
      <x:c r="G306" s="9" t="str">
        <x:v>None</x:v>
      </x:c>
      <x:c r="H306" s="9" t="str">
        <x:v>Prepared portions / vessels; Booter eligibility and capacity TBD</x:v>
      </x:c>
      <x:c r="I306" s="13"/>
      <x:c r="J306" s="15"/>
      <x:c r="K306" s="9" t="str">
        <x:v>Specialist Phagia processing, provisioning or trade; exact route TBD</x:v>
      </x:c>
      <x:c r="L306" s="9" t="str">
        <x:v>No recipe, ratio or serving quantity authored. Food processing and any heating need setting-compatible design.</x:v>
      </x:c>
      <x:c r="M306" s="9" t="str">
        <x:v>Not implemented</x:v>
      </x:c>
      <x:c r="N306" s="9" t="str">
        <x:v>Drinkability, concentration process, nutritional benefit and hydration tradeoffs remain proposed; no dilution water or numeric effects assigned.</x:v>
      </x:c>
      <x:c r="O306" s="17"/>
      <x:c r="P306" s="17"/>
      <x:c r="Q306" s="17"/>
      <x:c r="R306" s="17"/>
      <x:c r="S306" s="17"/>
      <x:c r="T306" s="9" t="str">
        <x:v>Higher-performing processed Phagia consumables and high-quality fauna-mixed delicacies are author direction. Specific performance, supply costs, value, shelf life and consumption behavior remain unresolved.</x:v>
      </x:c>
      <x:c r="U306" s="11" t="str">
        <x:v>hydration; phagea; algae</x:v>
      </x:c>
      <x:c r="V306" s="9" t="str">
        <x:v>Direct author Phagia food/drink processing and fauna-delicacy direction October 14, 2026; Docs/WORLD_BASIS.md#survival-rules. Specific named dishes and packaging are proposals.</x:v>
      </x:c>
      <x:c r="W306" s="4" t="str">
        <x:v>Drink consumable</x:v>
      </x:c>
      <x:c r="X306" s="4" t="str">
        <x:v>Finished item</x:v>
      </x:c>
      <x:c r="Y306" s="4" t="str">
        <x:v>Living culture</x:v>
      </x:c>
      <x:c r="Z306" s="4" t="str">
        <x:v>Nutrition</x:v>
      </x:c>
      <x:c r="AA306" s="4" t="str">
        <x:v>Phagia preparation</x:v>
      </x:c>
      <x:c r="AB306" s="4" t="str">
        <x:v>Liquid</x:v>
      </x:c>
      <x:c r="AC306" s="4" t="str">
        <x:v>Proposal</x:v>
      </x:c>
      <x:c r="AD306" s="4" t="str">
        <x:f>LOWER(A306&amp;"; "&amp;B306&amp;"; "&amp;C306&amp;"; "&amp;D306&amp;"; "&amp;W306&amp;"; "&amp;X306&amp;"; "&amp;Y306&amp;"; "&amp;Z306&amp;"; "&amp;AA306&amp;"; "&amp;AB306&amp;"; "&amp;AC306&amp;"; "&amp;U306)</x:f>
        <x:v>proposal.food.dense_drink; dense phagia nutrient drink; consumables; phagia drink; drink consumable; finished item; living culture; nutrition; phagia preparation; liquid; proposal; hydration; phagea; algae</x:v>
      </x:c>
      <x:c r="AE306" s="4" t="str">
        <x:v>Accepted direction for processed-food families; individual recipes, ingredient qualification and effects remain design proposals.</x:v>
      </x:c>
      <x:c r="AF306" s="4" t="str">
        <x:v>Finished item</x:v>
      </x:c>
      <x:c r="AG306" s="4" t="str">
        <x:v>Completed gear, vessel, food or tool can stop at its chosen material tier; it need not climb to T4.</x:v>
      </x:c>
      <x:c r="AH306" s="4" t="str">
        <x:v>Unassigned</x:v>
      </x:c>
    </x:row>
    <x:row r="307" ht="115" customHeight="1">
      <x:c r="A307" s="9" t="str">
        <x:v>proposal.food.ration_bar</x:v>
      </x:c>
      <x:c r="B307" s="9" t="str">
        <x:v>Phagia ration bar</x:v>
      </x:c>
      <x:c r="C307" s="9" t="str">
        <x:v>Consumables</x:v>
      </x:c>
      <x:c r="D307" s="9" t="str">
        <x:v>Phagia bar</x:v>
      </x:c>
      <x:c r="E307" s="9" t="str">
        <x:v>User direction; not implemented</x:v>
      </x:c>
      <x:c r="F307" s="9" t="str">
        <x:v>Prepared algae bar comparable in use to a protein/meal bar.</x:v>
      </x:c>
      <x:c r="G307" s="9" t="str">
        <x:v>None</x:v>
      </x:c>
      <x:c r="H307" s="9" t="str">
        <x:v>Prepared portions / vessels; Booter eligibility and capacity TBD</x:v>
      </x:c>
      <x:c r="I307" s="13"/>
      <x:c r="J307" s="15"/>
      <x:c r="K307" s="9" t="str">
        <x:v>Specialist Phagia processing, provisioning or trade; exact route TBD</x:v>
      </x:c>
      <x:c r="L307" s="9" t="str">
        <x:v>No recipe, ratio or serving quantity authored. Food processing and any heating need setting-compatible design.</x:v>
      </x:c>
      <x:c r="M307" s="9" t="str">
        <x:v>Not implemented</x:v>
      </x:c>
      <x:c r="N307" s="9" t="str">
        <x:v>Comparison describes portable food format; exact protein composition, binding, serving size and benefits unresolved.</x:v>
      </x:c>
      <x:c r="O307" s="17"/>
      <x:c r="P307" s="17"/>
      <x:c r="Q307" s="17"/>
      <x:c r="R307" s="17"/>
      <x:c r="S307" s="17"/>
      <x:c r="T307" s="9" t="str">
        <x:v>Higher-performing processed Phagia consumables and high-quality fauna-mixed delicacies are author direction. Specific performance, supply costs, value, shelf life and consumption behavior remain unresolved.</x:v>
      </x:c>
      <x:c r="U307" s="11" t="str">
        <x:v>phagea; algae</x:v>
      </x:c>
      <x:c r="V307" s="9" t="str">
        <x:v>Direct author Phagia food/drink processing and fauna-delicacy direction October 14, 2026; Docs/WORLD_BASIS.md#survival-rules. Specific named dishes and packaging are proposals.</x:v>
      </x:c>
      <x:c r="W307" s="4" t="str">
        <x:v>Food consumable</x:v>
      </x:c>
      <x:c r="X307" s="4" t="str">
        <x:v>Finished item</x:v>
      </x:c>
      <x:c r="Y307" s="4" t="str">
        <x:v>Living culture</x:v>
      </x:c>
      <x:c r="Z307" s="4" t="str">
        <x:v>Nutrition</x:v>
      </x:c>
      <x:c r="AA307" s="4" t="str">
        <x:v>Phagia preparation</x:v>
      </x:c>
      <x:c r="AB307" s="4" t="str">
        <x:v>Solid piece</x:v>
      </x:c>
      <x:c r="AC307" s="4" t="str">
        <x:v>Author direction</x:v>
      </x:c>
      <x:c r="AD307" s="4" t="str">
        <x:f>LOWER(A307&amp;"; "&amp;B307&amp;"; "&amp;C307&amp;"; "&amp;D307&amp;"; "&amp;W307&amp;"; "&amp;X307&amp;"; "&amp;Y307&amp;"; "&amp;Z307&amp;"; "&amp;AA307&amp;"; "&amp;AB307&amp;"; "&amp;AC307&amp;"; "&amp;U307)</x:f>
        <x:v>proposal.food.ration_bar; phagia ration bar; consumables; phagia bar; food consumable; finished item; living culture; nutrition; phagia preparation; solid piece; author direction; phagea; algae</x:v>
      </x:c>
      <x:c r="AE307" s="4" t="str">
        <x:v>Accepted direction for processed-food families; individual recipes, ingredient qualification and effects remain design proposals.</x:v>
      </x:c>
      <x:c r="AF307" s="4" t="str">
        <x:v>Finished item</x:v>
      </x:c>
      <x:c r="AG307" s="4" t="str">
        <x:v>Completed gear, vessel, food or tool can stop at its chosen material tier; it need not climb to T4.</x:v>
      </x:c>
      <x:c r="AH307" s="4" t="str">
        <x:v>Unassigned</x:v>
      </x:c>
    </x:row>
    <x:row r="308" ht="115" customHeight="1">
      <x:c r="A308" s="9" t="str">
        <x:v>proposal.food.dried_bar</x:v>
      </x:c>
      <x:c r="B308" s="9" t="str">
        <x:v>Dried Phagia travel bar</x:v>
      </x:c>
      <x:c r="C308" s="9" t="str">
        <x:v>Consumables</x:v>
      </x:c>
      <x:c r="D308" s="9" t="str">
        <x:v>Phagia bar</x:v>
      </x:c>
      <x:c r="E308" s="9" t="str">
        <x:v>User direction; not implemented</x:v>
      </x:c>
      <x:c r="F308" s="9" t="str">
        <x:v>Dried algae bar proposed as a processed travel consumable.</x:v>
      </x:c>
      <x:c r="G308" s="9" t="str">
        <x:v>None</x:v>
      </x:c>
      <x:c r="H308" s="9" t="str">
        <x:v>Prepared portions / vessels; Booter eligibility and capacity TBD</x:v>
      </x:c>
      <x:c r="I308" s="13"/>
      <x:c r="J308" s="15"/>
      <x:c r="K308" s="9" t="str">
        <x:v>Specialist Phagia processing, provisioning or trade; exact route TBD</x:v>
      </x:c>
      <x:c r="L308" s="9" t="str">
        <x:v>No recipe, ratio or serving quantity authored. Food processing and any heating need setting-compatible design.</x:v>
      </x:c>
      <x:c r="M308" s="9" t="str">
        <x:v>Not implemented</x:v>
      </x:c>
      <x:c r="N308" s="9" t="str">
        <x:v>Drying method, retained compounds, texture and storage life require design. No hydration restoration inferred from a dry format.</x:v>
      </x:c>
      <x:c r="O308" s="17"/>
      <x:c r="P308" s="17"/>
      <x:c r="Q308" s="17"/>
      <x:c r="R308" s="17"/>
      <x:c r="S308" s="17"/>
      <x:c r="T308" s="9" t="str">
        <x:v>Higher-performing processed Phagia consumables and high-quality fauna-mixed delicacies are author direction. Specific performance, supply costs, value, shelf life and consumption behavior remain unresolved.</x:v>
      </x:c>
      <x:c r="U308" s="11" t="str">
        <x:v>phagea; algae</x:v>
      </x:c>
      <x:c r="V308" s="9" t="str">
        <x:v>Direct author Phagia food/drink processing and fauna-delicacy direction October 14, 2026; Docs/WORLD_BASIS.md#survival-rules. Specific named dishes and packaging are proposals.</x:v>
      </x:c>
      <x:c r="W308" s="4" t="str">
        <x:v>Food consumable</x:v>
      </x:c>
      <x:c r="X308" s="4" t="str">
        <x:v>Finished item</x:v>
      </x:c>
      <x:c r="Y308" s="4" t="str">
        <x:v>Living culture</x:v>
      </x:c>
      <x:c r="Z308" s="4" t="str">
        <x:v>Nutrition</x:v>
      </x:c>
      <x:c r="AA308" s="4" t="str">
        <x:v>Phagia preparation</x:v>
      </x:c>
      <x:c r="AB308" s="4" t="str">
        <x:v>Solid piece</x:v>
      </x:c>
      <x:c r="AC308" s="4" t="str">
        <x:v>Author direction</x:v>
      </x:c>
      <x:c r="AD308" s="4" t="str">
        <x:f>LOWER(A308&amp;"; "&amp;B308&amp;"; "&amp;C308&amp;"; "&amp;D308&amp;"; "&amp;W308&amp;"; "&amp;X308&amp;"; "&amp;Y308&amp;"; "&amp;Z308&amp;"; "&amp;AA308&amp;"; "&amp;AB308&amp;"; "&amp;AC308&amp;"; "&amp;U308)</x:f>
        <x:v>proposal.food.dried_bar; dried phagia travel bar; consumables; phagia bar; food consumable; finished item; living culture; nutrition; phagia preparation; solid piece; author direction; phagea; algae</x:v>
      </x:c>
      <x:c r="AE308" s="4" t="str">
        <x:v>Accepted direction for processed-food families; individual recipes, ingredient qualification and effects remain design proposals.</x:v>
      </x:c>
      <x:c r="AF308" s="4" t="str">
        <x:v>Finished item</x:v>
      </x:c>
      <x:c r="AG308" s="4" t="str">
        <x:v>Completed gear, vessel, food or tool can stop at its chosen material tier; it need not climb to T4.</x:v>
      </x:c>
      <x:c r="AH308" s="4" t="str">
        <x:v>Unassigned</x:v>
      </x:c>
    </x:row>
    <x:row r="309" ht="115" customHeight="1">
      <x:c r="A309" s="9" t="str">
        <x:v>proposal.food.meal_paste</x:v>
      </x:c>
      <x:c r="B309" s="9" t="str">
        <x:v>Prepared Phagia meal paste</x:v>
      </x:c>
      <x:c r="C309" s="9" t="str">
        <x:v>Consumables</x:v>
      </x:c>
      <x:c r="D309" s="9" t="str">
        <x:v>Phagia prepared meal</x:v>
      </x:c>
      <x:c r="E309" s="9" t="str">
        <x:v>New proposal</x:v>
      </x:c>
      <x:c r="F309" s="9" t="str">
        <x:v>Smooth prepared algae meal candidate portioned for consumption.</x:v>
      </x:c>
      <x:c r="G309" s="9" t="str">
        <x:v>None</x:v>
      </x:c>
      <x:c r="H309" s="9" t="str">
        <x:v>Prepared portions / vessels; Booter eligibility and capacity TBD</x:v>
      </x:c>
      <x:c r="I309" s="13"/>
      <x:c r="J309" s="15"/>
      <x:c r="K309" s="9" t="str">
        <x:v>Specialist Phagia processing, provisioning or trade; exact route TBD</x:v>
      </x:c>
      <x:c r="L309" s="9" t="str">
        <x:v>No recipe, ratio or serving quantity authored. Food processing and any heating need setting-compatible design.</x:v>
      </x:c>
      <x:c r="M309" s="9" t="str">
        <x:v>Not implemented</x:v>
      </x:c>
      <x:c r="N309" s="9" t="str">
        <x:v>Formulation, preparation, containment, food value and serving size remain open.</x:v>
      </x:c>
      <x:c r="O309" s="17"/>
      <x:c r="P309" s="17"/>
      <x:c r="Q309" s="17"/>
      <x:c r="R309" s="17"/>
      <x:c r="S309" s="17"/>
      <x:c r="T309" s="9" t="str">
        <x:v>Higher-performing processed Phagia consumables and high-quality fauna-mixed delicacies are author direction. Specific performance, supply costs, value, shelf life and consumption behavior remain unresolved.</x:v>
      </x:c>
      <x:c r="U309" s="11" t="str">
        <x:v>phagea; algae</x:v>
      </x:c>
      <x:c r="V309" s="9" t="str">
        <x:v>Direct author Phagia food/drink processing and fauna-delicacy direction October 14, 2026; Docs/WORLD_BASIS.md#survival-rules. Specific named dishes and packaging are proposals.</x:v>
      </x:c>
      <x:c r="W309" s="4" t="str">
        <x:v>Food consumable</x:v>
      </x:c>
      <x:c r="X309" s="4" t="str">
        <x:v>Finished item</x:v>
      </x:c>
      <x:c r="Y309" s="4" t="str">
        <x:v>Living culture</x:v>
      </x:c>
      <x:c r="Z309" s="4" t="str">
        <x:v>Nutrition</x:v>
      </x:c>
      <x:c r="AA309" s="4" t="str">
        <x:v>Phagia preparation</x:v>
      </x:c>
      <x:c r="AB309" s="4" t="str">
        <x:v>Paste</x:v>
      </x:c>
      <x:c r="AC309" s="4" t="str">
        <x:v>Proposal</x:v>
      </x:c>
      <x:c r="AD309" s="4" t="str">
        <x:f>LOWER(A309&amp;"; "&amp;B309&amp;"; "&amp;C309&amp;"; "&amp;D309&amp;"; "&amp;W309&amp;"; "&amp;X309&amp;"; "&amp;Y309&amp;"; "&amp;Z309&amp;"; "&amp;AA309&amp;"; "&amp;AB309&amp;"; "&amp;AC309&amp;"; "&amp;U309)</x:f>
        <x:v>proposal.food.meal_paste; prepared phagia meal paste; consumables; phagia prepared meal; food consumable; finished item; living culture; nutrition; phagia preparation; paste; proposal; phagea; algae</x:v>
      </x:c>
      <x:c r="AE309" s="4" t="str">
        <x:v>Accepted direction for processed-food families; individual recipes, ingredient qualification and effects remain design proposals.</x:v>
      </x:c>
      <x:c r="AF309" s="4" t="str">
        <x:v>Finished item</x:v>
      </x:c>
      <x:c r="AG309" s="4" t="str">
        <x:v>Completed gear, vessel, food or tool can stop at its chosen material tier; it need not climb to T4.</x:v>
      </x:c>
      <x:c r="AH309" s="4" t="str">
        <x:v>Unassigned</x:v>
      </x:c>
    </x:row>
    <x:row r="310" ht="115" customHeight="1">
      <x:c r="A310" s="9" t="str">
        <x:v>proposal.food.meal_portion</x:v>
      </x:c>
      <x:c r="B310" s="9" t="str">
        <x:v>Prepared Phagia meal portion</x:v>
      </x:c>
      <x:c r="C310" s="9" t="str">
        <x:v>Consumables</x:v>
      </x:c>
      <x:c r="D310" s="9" t="str">
        <x:v>Phagia prepared meal</x:v>
      </x:c>
      <x:c r="E310" s="9" t="str">
        <x:v>User direction; not implemented</x:v>
      </x:c>
      <x:c r="F310" s="9" t="str">
        <x:v>Prepared consumable meal based on the survival algae.</x:v>
      </x:c>
      <x:c r="G310" s="9" t="str">
        <x:v>None</x:v>
      </x:c>
      <x:c r="H310" s="9" t="str">
        <x:v>Prepared portions / vessels; Booter eligibility and capacity TBD</x:v>
      </x:c>
      <x:c r="I310" s="13"/>
      <x:c r="J310" s="15"/>
      <x:c r="K310" s="9" t="str">
        <x:v>Specialist Phagia processing, provisioning or trade; exact route TBD</x:v>
      </x:c>
      <x:c r="L310" s="9" t="str">
        <x:v>No recipe, ratio or serving quantity authored. Food processing and any heating need setting-compatible design.</x:v>
      </x:c>
      <x:c r="M310" s="9" t="str">
        <x:v>Not implemented</x:v>
      </x:c>
      <x:c r="N310" s="9" t="str">
        <x:v>Warmed, cold-set or other preparation routes remain open; cooking follows the world fire rules. No universal healing or stamina effect.</x:v>
      </x:c>
      <x:c r="O310" s="17"/>
      <x:c r="P310" s="17"/>
      <x:c r="Q310" s="17"/>
      <x:c r="R310" s="17"/>
      <x:c r="S310" s="17"/>
      <x:c r="T310" s="9" t="str">
        <x:v>Higher-performing processed Phagia consumables and high-quality fauna-mixed delicacies are author direction. Specific performance, supply costs, value, shelf life and consumption behavior remain unresolved.</x:v>
      </x:c>
      <x:c r="U310" s="11" t="str">
        <x:v>phagea; algae</x:v>
      </x:c>
      <x:c r="V310" s="9" t="str">
        <x:v>Direct author Phagia food/drink processing and fauna-delicacy direction October 14, 2026; Docs/WORLD_BASIS.md#survival-rules. Specific named dishes and packaging are proposals.</x:v>
      </x:c>
      <x:c r="W310" s="4" t="str">
        <x:v>Food consumable</x:v>
      </x:c>
      <x:c r="X310" s="4" t="str">
        <x:v>Finished item</x:v>
      </x:c>
      <x:c r="Y310" s="4" t="str">
        <x:v>Living culture</x:v>
      </x:c>
      <x:c r="Z310" s="4" t="str">
        <x:v>Nutrition</x:v>
      </x:c>
      <x:c r="AA310" s="4" t="str">
        <x:v>Phagia preparation</x:v>
      </x:c>
      <x:c r="AB310" s="4" t="str">
        <x:v>Unresolved</x:v>
      </x:c>
      <x:c r="AC310" s="4" t="str">
        <x:v>Author direction</x:v>
      </x:c>
      <x:c r="AD310" s="4" t="str">
        <x:f>LOWER(A310&amp;"; "&amp;B310&amp;"; "&amp;C310&amp;"; "&amp;D310&amp;"; "&amp;W310&amp;"; "&amp;X310&amp;"; "&amp;Y310&amp;"; "&amp;Z310&amp;"; "&amp;AA310&amp;"; "&amp;AB310&amp;"; "&amp;AC310&amp;"; "&amp;U310)</x:f>
        <x:v>proposal.food.meal_portion; prepared phagia meal portion; consumables; phagia prepared meal; food consumable; finished item; living culture; nutrition; phagia preparation; unresolved; author direction; phagea; algae</x:v>
      </x:c>
      <x:c r="AE310" s="4" t="str">
        <x:v>Accepted direction for processed-food families; individual recipes, ingredient qualification and effects remain design proposals.</x:v>
      </x:c>
      <x:c r="AF310" s="4" t="str">
        <x:v>Finished item</x:v>
      </x:c>
      <x:c r="AG310" s="4" t="str">
        <x:v>Completed gear, vessel, food or tool can stop at its chosen material tier; it need not climb to T4.</x:v>
      </x:c>
      <x:c r="AH310" s="4" t="str">
        <x:v>Unassigned</x:v>
      </x:c>
    </x:row>
    <x:row r="311" ht="115" customHeight="1">
      <x:c r="A311" s="9" t="str">
        <x:v>proposal.food.fauna_flake_dish</x:v>
      </x:c>
      <x:c r="B311" s="9" t="str">
        <x:v>Phagia and edible-fauna flake delicacy</x:v>
      </x:c>
      <x:c r="C311" s="9" t="str">
        <x:v>Consumables</x:v>
      </x:c>
      <x:c r="D311" s="9" t="str">
        <x:v>Phagia delicacy</x:v>
      </x:c>
      <x:c r="E311" s="9" t="str">
        <x:v>New proposal</x:v>
      </x:c>
      <x:c r="F311" s="9" t="str">
        <x:v>Candidate fine meal combining algae with selected prepared edible fauna flakes.</x:v>
      </x:c>
      <x:c r="G311" s="9" t="str">
        <x:v>None</x:v>
      </x:c>
      <x:c r="H311" s="9" t="str">
        <x:v>Prepared portions / vessels; Booter eligibility and capacity TBD</x:v>
      </x:c>
      <x:c r="I311" s="13"/>
      <x:c r="J311" s="15"/>
      <x:c r="K311" s="9" t="str">
        <x:v>Specialist Phagia processing, provisioning or trade; exact route TBD</x:v>
      </x:c>
      <x:c r="L311" s="9" t="str">
        <x:v>No recipe, ratio or serving quantity authored. Food processing and any heating need setting-compatible design.</x:v>
      </x:c>
      <x:c r="M311" s="9" t="str">
        <x:v>Not implemented</x:v>
      </x:c>
      <x:c r="N311" s="9" t="str">
        <x:v>Species and exact edible fraction unresolved. Fauna contributes culinary character; improved nutritional performance is not assumed to come from fauna.</x:v>
      </x:c>
      <x:c r="O311" s="17"/>
      <x:c r="P311" s="17"/>
      <x:c r="Q311" s="17"/>
      <x:c r="R311" s="17"/>
      <x:c r="S311" s="17"/>
      <x:c r="T311" s="9" t="str">
        <x:v>Higher-performing processed Phagia consumables and high-quality fauna-mixed delicacies are author direction. Specific performance, supply costs, value, shelf life and consumption behavior remain unresolved.</x:v>
      </x:c>
      <x:c r="U311" s="11" t="str">
        <x:v>phagea; algae</x:v>
      </x:c>
      <x:c r="V311" s="9" t="str">
        <x:v>Direct author Phagia food/drink processing and fauna-delicacy direction October 14, 2026; Docs/WORLD_BASIS.md#survival-rules. Specific named dishes and packaging are proposals.</x:v>
      </x:c>
      <x:c r="W311" s="4" t="str">
        <x:v>Food consumable</x:v>
      </x:c>
      <x:c r="X311" s="4" t="str">
        <x:v>Finished item</x:v>
      </x:c>
      <x:c r="Y311" s="4" t="str">
        <x:v>Biological mixture</x:v>
      </x:c>
      <x:c r="Z311" s="4" t="str">
        <x:v>Nutrition</x:v>
      </x:c>
      <x:c r="AA311" s="4" t="str">
        <x:v>Phagia and edible fauna</x:v>
      </x:c>
      <x:c r="AB311" s="4" t="str">
        <x:v>Unresolved</x:v>
      </x:c>
      <x:c r="AC311" s="4" t="str">
        <x:v>Proposal</x:v>
      </x:c>
      <x:c r="AD311" s="4" t="str">
        <x:f>LOWER(A311&amp;"; "&amp;B311&amp;"; "&amp;C311&amp;"; "&amp;D311&amp;"; "&amp;W311&amp;"; "&amp;X311&amp;"; "&amp;Y311&amp;"; "&amp;Z311&amp;"; "&amp;AA311&amp;"; "&amp;AB311&amp;"; "&amp;AC311&amp;"; "&amp;U311)</x:f>
        <x:v>proposal.food.fauna_flake_dish; phagia and edible-fauna flake delicacy; consumables; phagia delicacy; food consumable; finished item; biological mixture; nutrition; phagia and edible fauna; unresolved; proposal; phagea; algae</x:v>
      </x:c>
      <x:c r="AE311" s="4" t="str">
        <x:v>Accepted direction for processed-food families; individual recipes, ingredient qualification and effects remain design proposals.</x:v>
      </x:c>
      <x:c r="AF311" s="4" t="str">
        <x:v>Finished item</x:v>
      </x:c>
      <x:c r="AG311" s="4" t="str">
        <x:v>Completed gear, vessel, food or tool can stop at its chosen material tier; it need not climb to T4.</x:v>
      </x:c>
      <x:c r="AH311" s="4" t="str">
        <x:v>Unassigned</x:v>
      </x:c>
    </x:row>
    <x:row r="312" ht="115" customHeight="1">
      <x:c r="A312" s="9" t="str">
        <x:v>proposal.food.layered_delicacy</x:v>
      </x:c>
      <x:c r="B312" s="9" t="str">
        <x:v>Layered Phagia-fauna delicacy</x:v>
      </x:c>
      <x:c r="C312" s="9" t="str">
        <x:v>Consumables</x:v>
      </x:c>
      <x:c r="D312" s="9" t="str">
        <x:v>Phagia delicacy</x:v>
      </x:c>
      <x:c r="E312" s="9" t="str">
        <x:v>New proposal</x:v>
      </x:c>
      <x:c r="F312" s="9" t="str">
        <x:v>Candidate composed meal using distinct prepared algae and edible-fauna layers.</x:v>
      </x:c>
      <x:c r="G312" s="9" t="str">
        <x:v>None</x:v>
      </x:c>
      <x:c r="H312" s="9" t="str">
        <x:v>Prepared portions / vessels; Booter eligibility and capacity TBD</x:v>
      </x:c>
      <x:c r="I312" s="13"/>
      <x:c r="J312" s="15"/>
      <x:c r="K312" s="9" t="str">
        <x:v>Specialist Phagia processing, provisioning or trade; exact route TBD</x:v>
      </x:c>
      <x:c r="L312" s="9" t="str">
        <x:v>No recipe, ratio or serving quantity authored. Food processing and any heating need setting-compatible design.</x:v>
      </x:c>
      <x:c r="M312" s="9" t="str">
        <x:v>Not implemented</x:v>
      </x:c>
      <x:c r="N312" s="9" t="str">
        <x:v>Layering, texture, service method and skilled preparation differentiate this culinary concept; no accepted recipe or rarity.</x:v>
      </x:c>
      <x:c r="O312" s="17"/>
      <x:c r="P312" s="17"/>
      <x:c r="Q312" s="17"/>
      <x:c r="R312" s="17"/>
      <x:c r="S312" s="17"/>
      <x:c r="T312" s="9" t="str">
        <x:v>Higher-performing processed Phagia consumables and high-quality fauna-mixed delicacies are author direction. Specific performance, supply costs, value, shelf life and consumption behavior remain unresolved.</x:v>
      </x:c>
      <x:c r="U312" s="11" t="str">
        <x:v>phagea; algae</x:v>
      </x:c>
      <x:c r="V312" s="9" t="str">
        <x:v>Direct author Phagia food/drink processing and fauna-delicacy direction October 14, 2026; Docs/WORLD_BASIS.md#survival-rules. Specific named dishes and packaging are proposals.</x:v>
      </x:c>
      <x:c r="W312" s="4" t="str">
        <x:v>Food consumable</x:v>
      </x:c>
      <x:c r="X312" s="4" t="str">
        <x:v>Finished item</x:v>
      </x:c>
      <x:c r="Y312" s="4" t="str">
        <x:v>Biological mixture</x:v>
      </x:c>
      <x:c r="Z312" s="4" t="str">
        <x:v>Nutrition</x:v>
      </x:c>
      <x:c r="AA312" s="4" t="str">
        <x:v>Phagia and edible fauna</x:v>
      </x:c>
      <x:c r="AB312" s="4" t="str">
        <x:v>Unresolved</x:v>
      </x:c>
      <x:c r="AC312" s="4" t="str">
        <x:v>Proposal</x:v>
      </x:c>
      <x:c r="AD312" s="4" t="str">
        <x:f>LOWER(A312&amp;"; "&amp;B312&amp;"; "&amp;C312&amp;"; "&amp;D312&amp;"; "&amp;W312&amp;"; "&amp;X312&amp;"; "&amp;Y312&amp;"; "&amp;Z312&amp;"; "&amp;AA312&amp;"; "&amp;AB312&amp;"; "&amp;AC312&amp;"; "&amp;U312)</x:f>
        <x:v>proposal.food.layered_delicacy; layered phagia-fauna delicacy; consumables; phagia delicacy; food consumable; finished item; biological mixture; nutrition; phagia and edible fauna; unresolved; proposal; phagea; algae</x:v>
      </x:c>
      <x:c r="AE312" s="4" t="str">
        <x:v>Accepted direction for processed-food families; individual recipes, ingredient qualification and effects remain design proposals.</x:v>
      </x:c>
      <x:c r="AF312" s="4" t="str">
        <x:v>Finished item</x:v>
      </x:c>
      <x:c r="AG312" s="4" t="str">
        <x:v>Completed gear, vessel, food or tool can stop at its chosen material tier; it need not climb to T4.</x:v>
      </x:c>
      <x:c r="AH312" s="4" t="str">
        <x:v>Unassigned</x:v>
      </x:c>
    </x:row>
    <x:row r="313" ht="115" customHeight="1">
      <x:c r="A313" s="9" t="str">
        <x:v>proposal.food.crisp_delicacy</x:v>
      </x:c>
      <x:c r="B313" s="9" t="str">
        <x:v>Crisp Phagia-fauna wafer</x:v>
      </x:c>
      <x:c r="C313" s="9" t="str">
        <x:v>Consumables</x:v>
      </x:c>
      <x:c r="D313" s="9" t="str">
        <x:v>Phagia delicacy</x:v>
      </x:c>
      <x:c r="E313" s="9" t="str">
        <x:v>New proposal</x:v>
      </x:c>
      <x:c r="F313" s="9" t="str">
        <x:v>Candidate delicate crisp combining processed algae and a selected edible fauna ingredient.</x:v>
      </x:c>
      <x:c r="G313" s="9" t="str">
        <x:v>None</x:v>
      </x:c>
      <x:c r="H313" s="9" t="str">
        <x:v>Prepared portions / vessels; Booter eligibility and capacity TBD</x:v>
      </x:c>
      <x:c r="I313" s="13"/>
      <x:c r="J313" s="15"/>
      <x:c r="K313" s="9" t="str">
        <x:v>Specialist Phagia processing, provisioning or trade; exact route TBD</x:v>
      </x:c>
      <x:c r="L313" s="9" t="str">
        <x:v>No recipe, ratio or serving quantity authored. Food processing and any heating need setting-compatible design.</x:v>
      </x:c>
      <x:c r="M313" s="9" t="str">
        <x:v>Not implemented</x:v>
      </x:c>
      <x:c r="N313" s="9" t="str">
        <x:v>Edible binders, crisping method and food safety remain open. It is a proposed delicacy, not an automatic dried-bar ingredient substitution.</x:v>
      </x:c>
      <x:c r="O313" s="17"/>
      <x:c r="P313" s="17"/>
      <x:c r="Q313" s="17"/>
      <x:c r="R313" s="17"/>
      <x:c r="S313" s="17"/>
      <x:c r="T313" s="9" t="str">
        <x:v>Higher-performing processed Phagia consumables and high-quality fauna-mixed delicacies are author direction. Specific performance, supply costs, value, shelf life and consumption behavior remain unresolved.</x:v>
      </x:c>
      <x:c r="U313" s="11" t="str">
        <x:v>phagea; algae</x:v>
      </x:c>
      <x:c r="V313" s="9" t="str">
        <x:v>Direct author Phagia food/drink processing and fauna-delicacy direction October 14, 2026; Docs/WORLD_BASIS.md#survival-rules. Specific named dishes and packaging are proposals.</x:v>
      </x:c>
      <x:c r="W313" s="4" t="str">
        <x:v>Food consumable</x:v>
      </x:c>
      <x:c r="X313" s="4" t="str">
        <x:v>Finished item</x:v>
      </x:c>
      <x:c r="Y313" s="4" t="str">
        <x:v>Biological mixture</x:v>
      </x:c>
      <x:c r="Z313" s="4" t="str">
        <x:v>Nutrition</x:v>
      </x:c>
      <x:c r="AA313" s="4" t="str">
        <x:v>Phagia and edible fauna</x:v>
      </x:c>
      <x:c r="AB313" s="4" t="str">
        <x:v>Solid piece</x:v>
      </x:c>
      <x:c r="AC313" s="4" t="str">
        <x:v>Proposal</x:v>
      </x:c>
      <x:c r="AD313" s="4" t="str">
        <x:f>LOWER(A313&amp;"; "&amp;B313&amp;"; "&amp;C313&amp;"; "&amp;D313&amp;"; "&amp;W313&amp;"; "&amp;X313&amp;"; "&amp;Y313&amp;"; "&amp;Z313&amp;"; "&amp;AA313&amp;"; "&amp;AB313&amp;"; "&amp;AC313&amp;"; "&amp;U313)</x:f>
        <x:v>proposal.food.crisp_delicacy; crisp phagia-fauna wafer; consumables; phagia delicacy; food consumable; finished item; biological mixture; nutrition; phagia and edible fauna; solid piece; proposal; phagea; algae</x:v>
      </x:c>
      <x:c r="AE313" s="4" t="str">
        <x:v>Accepted direction for processed-food families; individual recipes, ingredient qualification and effects remain design proposals.</x:v>
      </x:c>
      <x:c r="AF313" s="4" t="str">
        <x:v>Finished item</x:v>
      </x:c>
      <x:c r="AG313" s="4" t="str">
        <x:v>Completed gear, vessel, food or tool can stop at its chosen material tier; it need not climb to T4.</x:v>
      </x:c>
      <x:c r="AH313" s="4" t="str">
        <x:v>Unassigned</x:v>
      </x:c>
    </x:row>
    <x:row r="314" ht="115" customHeight="1">
      <x:c r="A314" s="9" t="str">
        <x:v>proposal.food.edible_flakes</x:v>
      </x:c>
      <x:c r="B314" s="9" t="str">
        <x:v>Prepared edible-fauna flakes</x:v>
      </x:c>
      <x:c r="C314" s="9" t="str">
        <x:v>Resources</x:v>
      </x:c>
      <x:c r="D314" s="9" t="str">
        <x:v>Prepared fauna food ingredient</x:v>
      </x:c>
      <x:c r="E314" s="9" t="str">
        <x:v>New proposal</x:v>
      </x:c>
      <x:c r="F314" s="9" t="str">
        <x:v>Selected known-edible fauna fraction prepared as a possible Phagia meal ingredient.</x:v>
      </x:c>
      <x:c r="G314" s="9" t="str">
        <x:v>None</x:v>
      </x:c>
      <x:c r="H314" s="9" t="str">
        <x:v>Prepared portions / vessels; Booter eligibility and capacity TBD</x:v>
      </x:c>
      <x:c r="I314" s="13"/>
      <x:c r="J314" s="15"/>
      <x:c r="K314" s="9" t="str">
        <x:v>Prepare selected edible-fauna fraction; method TBD</x:v>
      </x:c>
      <x:c r="L314" s="9" t="str">
        <x:v>No recipe, ratio or serving quantity authored. Food processing and any heating need setting-compatible design.</x:v>
      </x:c>
      <x:c r="M314" s="9" t="str">
        <x:v>Not implemented</x:v>
      </x:c>
      <x:c r="N314" s="9" t="str">
        <x:v>Reuses existing generic edible fauna fraction. Selection, preparation and retained toxicity require species-specific design; conventional meat is not assumed.</x:v>
      </x:c>
      <x:c r="O314" s="17"/>
      <x:c r="P314" s="17"/>
      <x:c r="Q314" s="17"/>
      <x:c r="R314" s="17"/>
      <x:c r="S314" s="17"/>
      <x:c r="T314" s="9" t="str">
        <x:v>Higher-performing processed Phagia consumables and high-quality fauna-mixed delicacies are author direction. Specific performance, supply costs, value, shelf life and consumption behavior remain unresolved.</x:v>
      </x:c>
      <x:c r="U314" s="11" t="str">
        <x:v>phagea; algae</x:v>
      </x:c>
      <x:c r="V314" s="9" t="str">
        <x:v>Direct author Phagia food/drink processing and fauna-delicacy direction October 14, 2026; Docs/WORLD_BASIS.md#survival-rules. Specific named dishes and packaging are proposals.</x:v>
      </x:c>
      <x:c r="W314" s="4" t="str">
        <x:v>Food material</x:v>
      </x:c>
      <x:c r="X314" s="4" t="str">
        <x:v>Processed intermediate</x:v>
      </x:c>
      <x:c r="Y314" s="4" t="str">
        <x:v>Fauna</x:v>
      </x:c>
      <x:c r="Z314" s="4" t="str">
        <x:v>Food preparation</x:v>
      </x:c>
      <x:c r="AA314" s="4" t="str">
        <x:v>Faunal tissue</x:v>
      </x:c>
      <x:c r="AB314" s="4" t="str">
        <x:v>Particles</x:v>
      </x:c>
      <x:c r="AC314" s="4" t="str">
        <x:v>Proposal</x:v>
      </x:c>
      <x:c r="AD314" s="4" t="str">
        <x:f>LOWER(A314&amp;"; "&amp;B314&amp;"; "&amp;C314&amp;"; "&amp;D314&amp;"; "&amp;W314&amp;"; "&amp;X314&amp;"; "&amp;Y314&amp;"; "&amp;Z314&amp;"; "&amp;AA314&amp;"; "&amp;AB314&amp;"; "&amp;AC314&amp;"; "&amp;U314)</x:f>
        <x:v>proposal.food.edible_flakes; prepared edible-fauna flakes; resources; prepared fauna food ingredient; food material; processed intermediate; fauna; food preparation; faunal tissue; particles; proposal; phagea; algae</x:v>
      </x:c>
      <x:c r="AE314" s="4" t="str">
        <x:v>Accepted direction for processed-food families; individual recipes, ingredient qualification and effects remain design proposals.</x:v>
      </x:c>
      <x:c r="AF314" s="4" t="str">
        <x:v>Unassigned</x:v>
      </x:c>
      <x:c r="AG314" s="4" t="str">
        <x:v>Choose a material/part route before assigning a tier. Processing-stage labels alone do not prove chain depth.</x:v>
      </x:c>
      <x:c r="AH314" s="4" t="str">
        <x:v>Not applicable</x:v>
      </x:c>
    </x:row>
    <x:row r="315" ht="115" customHeight="1">
      <x:c r="A315" s="9" t="str">
        <x:v>proposal.food.edible_paste</x:v>
      </x:c>
      <x:c r="B315" s="9" t="str">
        <x:v>Prepared edible-fauna paste</x:v>
      </x:c>
      <x:c r="C315" s="9" t="str">
        <x:v>Resources</x:v>
      </x:c>
      <x:c r="D315" s="9" t="str">
        <x:v>Prepared fauna food ingredient</x:v>
      </x:c>
      <x:c r="E315" s="9" t="str">
        <x:v>New proposal</x:v>
      </x:c>
      <x:c r="F315" s="9" t="str">
        <x:v>Selected edible fauna fraction prepared for mixing or layering with algae.</x:v>
      </x:c>
      <x:c r="G315" s="9" t="str">
        <x:v>None</x:v>
      </x:c>
      <x:c r="H315" s="9" t="str">
        <x:v>Prepared portions / vessels; Booter eligibility and capacity TBD</x:v>
      </x:c>
      <x:c r="I315" s="13"/>
      <x:c r="J315" s="15"/>
      <x:c r="K315" s="9" t="str">
        <x:v>Prepare selected edible-fauna fraction; method TBD</x:v>
      </x:c>
      <x:c r="L315" s="9" t="str">
        <x:v>No recipe, ratio or serving quantity authored. Food processing and any heating need setting-compatible design.</x:v>
      </x:c>
      <x:c r="M315" s="9" t="str">
        <x:v>Not implemented</x:v>
      </x:c>
      <x:c r="N315" s="9" t="str">
        <x:v>Preparation is not automatic detoxification. Nutritional contribution remains low; chemistry used for machinery is not a food substitute.</x:v>
      </x:c>
      <x:c r="O315" s="17"/>
      <x:c r="P315" s="17"/>
      <x:c r="Q315" s="17"/>
      <x:c r="R315" s="17"/>
      <x:c r="S315" s="17"/>
      <x:c r="T315" s="9" t="str">
        <x:v>Higher-performing processed Phagia consumables and high-quality fauna-mixed delicacies are author direction. Specific performance, supply costs, value, shelf life and consumption behavior remain unresolved.</x:v>
      </x:c>
      <x:c r="U315" s="11" t="str">
        <x:v>phagea; algae</x:v>
      </x:c>
      <x:c r="V315" s="9" t="str">
        <x:v>Direct author Phagia food/drink processing and fauna-delicacy direction October 14, 2026; Docs/WORLD_BASIS.md#survival-rules. Specific named dishes and packaging are proposals.</x:v>
      </x:c>
      <x:c r="W315" s="4" t="str">
        <x:v>Food material</x:v>
      </x:c>
      <x:c r="X315" s="4" t="str">
        <x:v>Processed intermediate</x:v>
      </x:c>
      <x:c r="Y315" s="4" t="str">
        <x:v>Fauna</x:v>
      </x:c>
      <x:c r="Z315" s="4" t="str">
        <x:v>Food preparation</x:v>
      </x:c>
      <x:c r="AA315" s="4" t="str">
        <x:v>Faunal tissue</x:v>
      </x:c>
      <x:c r="AB315" s="4" t="str">
        <x:v>Paste</x:v>
      </x:c>
      <x:c r="AC315" s="4" t="str">
        <x:v>Proposal</x:v>
      </x:c>
      <x:c r="AD315" s="4" t="str">
        <x:f>LOWER(A315&amp;"; "&amp;B315&amp;"; "&amp;C315&amp;"; "&amp;D315&amp;"; "&amp;W315&amp;"; "&amp;X315&amp;"; "&amp;Y315&amp;"; "&amp;Z315&amp;"; "&amp;AA315&amp;"; "&amp;AB315&amp;"; "&amp;AC315&amp;"; "&amp;U315)</x:f>
        <x:v>proposal.food.edible_paste; prepared edible-fauna paste; resources; prepared fauna food ingredient; food material; processed intermediate; fauna; food preparation; faunal tissue; paste; proposal; phagea; algae</x:v>
      </x:c>
      <x:c r="AE315" s="4" t="str">
        <x:v>Accepted direction for processed-food families; individual recipes, ingredient qualification and effects remain design proposals.</x:v>
      </x:c>
      <x:c r="AF315" s="4" t="str">
        <x:v>Unassigned</x:v>
      </x:c>
      <x:c r="AG315" s="4" t="str">
        <x:v>Choose a material/part route before assigning a tier. Processing-stage labels alone do not prove chain depth.</x:v>
      </x:c>
      <x:c r="AH315" s="4" t="str">
        <x:v>Not applicable</x:v>
      </x:c>
    </x:row>
    <x:row r="316" ht="115" customHeight="1">
      <x:c r="A316" s="9" t="str">
        <x:v>proposal.food.drink_flask</x:v>
      </x:c>
      <x:c r="B316" s="9" t="str">
        <x:v>Reusable Phagia drinking flask</x:v>
      </x:c>
      <x:c r="C316" s="9" t="str">
        <x:v>Containers</x:v>
      </x:c>
      <x:c r="D316" s="9" t="str">
        <x:v>Food packaging</x:v>
      </x:c>
      <x:c r="E316" s="9" t="str">
        <x:v>New proposal</x:v>
      </x:c>
      <x:c r="F316" s="9" t="str">
        <x:v>Dedicated food-contact vessel for a prepared Phagia drink portion.</x:v>
      </x:c>
      <x:c r="G316" s="9" t="str">
        <x:v>None</x:v>
      </x:c>
      <x:c r="H316" s="9" t="str">
        <x:v>Prepared portions / vessels; Booter eligibility and capacity TBD</x:v>
      </x:c>
      <x:c r="I316" s="13"/>
      <x:c r="J316" s="15"/>
      <x:c r="K316" s="9" t="str">
        <x:v>Food-service craft or trade; exact route TBD</x:v>
      </x:c>
      <x:c r="L316" s="9" t="str">
        <x:v>No recipe, ratio or serving quantity authored. Food processing and any heating need setting-compatible design.</x:v>
      </x:c>
      <x:c r="M316" s="9" t="str">
        <x:v>Not implemented</x:v>
      </x:c>
      <x:c r="N316" s="9" t="str">
        <x:v>Vessel and edible payload are distinct. Refill, cleaning, seal compatibility and material qualification TBD; do not repurpose a contaminated reagent vessel.</x:v>
      </x:c>
      <x:c r="O316" s="17"/>
      <x:c r="P316" s="17"/>
      <x:c r="Q316" s="17"/>
      <x:c r="R316" s="17"/>
      <x:c r="S316" s="17"/>
      <x:c r="T316" s="9" t="str">
        <x:v>Higher-performing processed Phagia consumables and high-quality fauna-mixed delicacies are author direction. Specific performance, supply costs, value, shelf life and consumption behavior remain unresolved.</x:v>
      </x:c>
      <x:c r="U316" s="11" t="str">
        <x:v>cargo organization; phagea; algae</x:v>
      </x:c>
      <x:c r="V316" s="9" t="str">
        <x:v>Direct author Phagia food/drink processing and fauna-delicacy direction October 14, 2026; Docs/WORLD_BASIS.md#survival-rules. Specific named dishes and packaging are proposals.</x:v>
      </x:c>
      <x:c r="W316" s="4" t="str">
        <x:v>Container</x:v>
      </x:c>
      <x:c r="X316" s="4" t="str">
        <x:v>Finished item</x:v>
      </x:c>
      <x:c r="Y316" s="4" t="str">
        <x:v>Manufactured / unresolved</x:v>
      </x:c>
      <x:c r="Z316" s="4" t="str">
        <x:v>Food service</x:v>
      </x:c>
      <x:c r="AA316" s="4" t="str">
        <x:v>Glass or ceramic</x:v>
      </x:c>
      <x:c r="AB316" s="4" t="str">
        <x:v>Assembly</x:v>
      </x:c>
      <x:c r="AC316" s="4" t="str">
        <x:v>Proposal</x:v>
      </x:c>
      <x:c r="AD316" s="4" t="str">
        <x:f>LOWER(A316&amp;"; "&amp;B316&amp;"; "&amp;C316&amp;"; "&amp;D316&amp;"; "&amp;W316&amp;"; "&amp;X316&amp;"; "&amp;Y316&amp;"; "&amp;Z316&amp;"; "&amp;AA316&amp;"; "&amp;AB316&amp;"; "&amp;AC316&amp;"; "&amp;U316)</x:f>
        <x:v>proposal.food.drink_flask; reusable phagia drinking flask; containers; food packaging; container; finished item; manufactured / unresolved; food service; glass or ceramic; assembly; proposal; cargo organization; phagea; algae</x:v>
      </x:c>
      <x:c r="AE316" s="4" t="str">
        <x:v>Accepted direction for processed-food families; individual recipes, ingredient qualification and effects remain design proposals.</x:v>
      </x:c>
      <x:c r="AF316" s="4" t="str">
        <x:v>Finished item</x:v>
      </x:c>
      <x:c r="AG316" s="4" t="str">
        <x:v>Completed gear, vessel, food or tool can stop at its chosen material tier; it need not climb to T4.</x:v>
      </x:c>
      <x:c r="AH316" s="4" t="str">
        <x:v>Unassigned</x:v>
      </x:c>
    </x:row>
    <x:row r="317" ht="115" customHeight="1">
      <x:c r="A317" s="9" t="str">
        <x:v>proposal.food.bar_case</x:v>
      </x:c>
      <x:c r="B317" s="9" t="str">
        <x:v>Phagia ration-bar case</x:v>
      </x:c>
      <x:c r="C317" s="9" t="str">
        <x:v>Containers</x:v>
      </x:c>
      <x:c r="D317" s="9" t="str">
        <x:v>Food packaging</x:v>
      </x:c>
      <x:c r="E317" s="9" t="str">
        <x:v>New proposal</x:v>
      </x:c>
      <x:c r="F317" s="9" t="str">
        <x:v>Reusable fitted carrier protecting selected prepared bars from dust and damage.</x:v>
      </x:c>
      <x:c r="G317" s="9" t="str">
        <x:v>None</x:v>
      </x:c>
      <x:c r="H317" s="9" t="str">
        <x:v>Prepared portions / vessels; Booter eligibility and capacity TBD</x:v>
      </x:c>
      <x:c r="I317" s="13"/>
      <x:c r="J317" s="15"/>
      <x:c r="K317" s="9" t="str">
        <x:v>Food-service craft or trade; exact route TBD</x:v>
      </x:c>
      <x:c r="L317" s="9" t="str">
        <x:v>No recipe, ratio or serving quantity authored. Food processing and any heating need setting-compatible design.</x:v>
      </x:c>
      <x:c r="M317" s="9" t="str">
        <x:v>Not implemented</x:v>
      </x:c>
      <x:c r="N317" s="9" t="str">
        <x:v>Bars count separately from their case. Food contact and closure remain design work; no cloth wrapper or invisible storage capacity.</x:v>
      </x:c>
      <x:c r="O317" s="17"/>
      <x:c r="P317" s="17"/>
      <x:c r="Q317" s="17"/>
      <x:c r="R317" s="17"/>
      <x:c r="S317" s="17"/>
      <x:c r="T317" s="9" t="str">
        <x:v>Higher-performing processed Phagia consumables and high-quality fauna-mixed delicacies are author direction. Specific performance, supply costs, value, shelf life and consumption behavior remain unresolved.</x:v>
      </x:c>
      <x:c r="U317" s="11" t="str">
        <x:v>cargo organization; phagea; algae</x:v>
      </x:c>
      <x:c r="V317" s="9" t="str">
        <x:v>Direct author Phagia food/drink processing and fauna-delicacy direction October 14, 2026; Docs/WORLD_BASIS.md#survival-rules. Specific named dishes and packaging are proposals.</x:v>
      </x:c>
      <x:c r="W317" s="4" t="str">
        <x:v>Carrier</x:v>
      </x:c>
      <x:c r="X317" s="4" t="str">
        <x:v>Finished item</x:v>
      </x:c>
      <x:c r="Y317" s="4" t="str">
        <x:v>Manufactured / unresolved</x:v>
      </x:c>
      <x:c r="Z317" s="4" t="str">
        <x:v>Food service</x:v>
      </x:c>
      <x:c r="AA317" s="4" t="str">
        <x:v>Metal or shell</x:v>
      </x:c>
      <x:c r="AB317" s="4" t="str">
        <x:v>Assembly</x:v>
      </x:c>
      <x:c r="AC317" s="4" t="str">
        <x:v>Proposal</x:v>
      </x:c>
      <x:c r="AD317" s="4" t="str">
        <x:f>LOWER(A317&amp;"; "&amp;B317&amp;"; "&amp;C317&amp;"; "&amp;D317&amp;"; "&amp;W317&amp;"; "&amp;X317&amp;"; "&amp;Y317&amp;"; "&amp;Z317&amp;"; "&amp;AA317&amp;"; "&amp;AB317&amp;"; "&amp;AC317&amp;"; "&amp;U317)</x:f>
        <x:v>proposal.food.bar_case; phagia ration-bar case; containers; food packaging; carrier; finished item; manufactured / unresolved; food service; metal or shell; assembly; proposal; cargo organization; phagea; algae</x:v>
      </x:c>
      <x:c r="AE317" s="4" t="str">
        <x:v>Accepted direction for processed-food families; individual recipes, ingredient qualification and effects remain design proposals.</x:v>
      </x:c>
      <x:c r="AF317" s="4" t="str">
        <x:v>Finished item</x:v>
      </x:c>
      <x:c r="AG317" s="4" t="str">
        <x:v>Completed gear, vessel, food or tool can stop at its chosen material tier; it need not climb to T4.</x:v>
      </x:c>
      <x:c r="AH317" s="4" t="str">
        <x:v>Unassigned</x:v>
      </x:c>
    </x:row>
    <x:row r="318" ht="115" customHeight="1">
      <x:c r="A318" s="9" t="str">
        <x:v>proposal.food.meal_carrier</x:v>
      </x:c>
      <x:c r="B318" s="9" t="str">
        <x:v>Prepared-meal carrier</x:v>
      </x:c>
      <x:c r="C318" s="9" t="str">
        <x:v>Containers</x:v>
      </x:c>
      <x:c r="D318" s="9" t="str">
        <x:v>Food packaging</x:v>
      </x:c>
      <x:c r="E318" s="9" t="str">
        <x:v>New proposal</x:v>
      </x:c>
      <x:c r="F318" s="9" t="str">
        <x:v>Lidded food-service carrier for a prepared algae meal portion.</x:v>
      </x:c>
      <x:c r="G318" s="9" t="str">
        <x:v>None</x:v>
      </x:c>
      <x:c r="H318" s="9" t="str">
        <x:v>Prepared portions / vessels; Booter eligibility and capacity TBD</x:v>
      </x:c>
      <x:c r="I318" s="13"/>
      <x:c r="J318" s="15"/>
      <x:c r="K318" s="9" t="str">
        <x:v>Food-service craft or trade; exact route TBD</x:v>
      </x:c>
      <x:c r="L318" s="9" t="str">
        <x:v>No recipe, ratio or serving quantity authored. Food processing and any heating need setting-compatible design.</x:v>
      </x:c>
      <x:c r="M318" s="9" t="str">
        <x:v>Not implemented</x:v>
      </x:c>
      <x:c r="N318" s="9" t="str">
        <x:v>Build on existing ceramic lid/vessel craft. It is distinct from meal contents, a cooking pot and an industrial chemical jar.</x:v>
      </x:c>
      <x:c r="O318" s="17"/>
      <x:c r="P318" s="17"/>
      <x:c r="Q318" s="17"/>
      <x:c r="R318" s="17"/>
      <x:c r="S318" s="17"/>
      <x:c r="T318" s="9" t="str">
        <x:v>Higher-performing processed Phagia consumables and high-quality fauna-mixed delicacies are author direction. Specific performance, supply costs, value, shelf life and consumption behavior remain unresolved.</x:v>
      </x:c>
      <x:c r="U318" s="11" t="str">
        <x:v>cargo organization; phagea; algae</x:v>
      </x:c>
      <x:c r="V318" s="9" t="str">
        <x:v>Direct author Phagia food/drink processing and fauna-delicacy direction October 14, 2026; Docs/WORLD_BASIS.md#survival-rules. Specific named dishes and packaging are proposals.</x:v>
      </x:c>
      <x:c r="W318" s="4" t="str">
        <x:v>Container</x:v>
      </x:c>
      <x:c r="X318" s="4" t="str">
        <x:v>Finished item</x:v>
      </x:c>
      <x:c r="Y318" s="4" t="str">
        <x:v>Manufactured / unresolved</x:v>
      </x:c>
      <x:c r="Z318" s="4" t="str">
        <x:v>Food service</x:v>
      </x:c>
      <x:c r="AA318" s="4" t="str">
        <x:v>Ceramic</x:v>
      </x:c>
      <x:c r="AB318" s="4" t="str">
        <x:v>Assembly</x:v>
      </x:c>
      <x:c r="AC318" s="4" t="str">
        <x:v>Proposal</x:v>
      </x:c>
      <x:c r="AD318" s="4" t="str">
        <x:f>LOWER(A318&amp;"; "&amp;B318&amp;"; "&amp;C318&amp;"; "&amp;D318&amp;"; "&amp;W318&amp;"; "&amp;X318&amp;"; "&amp;Y318&amp;"; "&amp;Z318&amp;"; "&amp;AA318&amp;"; "&amp;AB318&amp;"; "&amp;AC318&amp;"; "&amp;U318)</x:f>
        <x:v>proposal.food.meal_carrier; prepared-meal carrier; containers; food packaging; container; finished item; manufactured / unresolved; food service; ceramic; assembly; proposal; cargo organization; phagea; algae</x:v>
      </x:c>
      <x:c r="AE318" s="4" t="str">
        <x:v>Accepted direction for processed-food families; individual recipes, ingredient qualification and effects remain design proposals.</x:v>
      </x:c>
      <x:c r="AF318" s="4" t="str">
        <x:v>Finished item</x:v>
      </x:c>
      <x:c r="AG318" s="4" t="str">
        <x:v>Completed gear, vessel, food or tool can stop at its chosen material tier; it need not climb to T4.</x:v>
      </x:c>
      <x:c r="AH318" s="4" t="str">
        <x:v>Unassigned</x:v>
      </x:c>
    </x:row>
    <x:row r="319" ht="110" customHeight="1">
      <x:c r="A319" s="9" t="str">
        <x:v>proposal.raw.basalt</x:v>
      </x:c>
      <x:c r="B319" s="9" t="str">
        <x:v>Basalt blocks</x:v>
      </x:c>
      <x:c r="C319" s="9" t="str">
        <x:v>Resources</x:v>
      </x:c>
      <x:c r="D319" s="9" t="str">
        <x:v>Stone feedstock</x:v>
      </x:c>
      <x:c r="E319" s="9" t="str">
        <x:v>New proposal</x:v>
      </x:c>
      <x:c r="F319" s="9" t="str">
        <x:v>Candidate use: binding and construction. Tangible input before specialist preparation.</x:v>
      </x:c>
      <x:c r="G319" s="9" t="str">
        <x:v>None</x:v>
      </x:c>
      <x:c r="H319" s="9" t="str">
        <x:v>Gathered raw/salvage cargo: Legger or local storage; policy TBD</x:v>
      </x:c>
      <x:c r="I319" s="13"/>
      <x:c r="J319" s="15"/>
      <x:c r="K319" s="9" t="str">
        <x:v>Loose dark stone blocks and exposed hard-rock faces</x:v>
      </x:c>
      <x:c r="L319" s="9" t="str">
        <x:v>Select and dress blocks for building or workshop supports; no recipe or yield authored.</x:v>
      </x:c>
      <x:c r="M319" s="9" t="str">
        <x:v>Not implemented</x:v>
      </x:c>
      <x:c r="N319" s="9" t="str">
        <x:v>Proposed rock type; distribution, workability and thermal behavior are undecided.</x:v>
      </x:c>
      <x:c r="O319" s="17"/>
      <x:c r="P319" s="17"/>
      <x:c r="Q319" s="17"/>
      <x:c r="R319" s="17"/>
      <x:c r="S319" s="17"/>
      <x:c r="T319" s="9" t="str">
        <x:v>New raw-material proposal; collection, processing grade, mass, trade value and host compatibility undecided. Existing broad resources are reused rather than replaced.</x:v>
      </x:c>
      <x:c r="U319" s="11"/>
      <x:c r="V319" s="9" t="str">
        <x:v>Local brainstorming from author request for grounded raw materials October 14, 2026. These candidates are not claims retrieved from the lore repository.</x:v>
      </x:c>
      <x:c r="W319" s="4" t="str">
        <x:v>Raw material</x:v>
      </x:c>
      <x:c r="X319" s="4" t="str">
        <x:v>Raw</x:v>
      </x:c>
      <x:c r="Y319" s="4" t="str">
        <x:v>Geological</x:v>
      </x:c>
      <x:c r="Z319" s="4" t="str">
        <x:v>Binding and construction</x:v>
      </x:c>
      <x:c r="AA319" s="4" t="str">
        <x:v>Mineral</x:v>
      </x:c>
      <x:c r="AB319" s="4" t="str">
        <x:v>Rock</x:v>
      </x:c>
      <x:c r="AC319" s="4" t="str">
        <x:v>Proposal</x:v>
      </x:c>
      <x:c r="AD319" s="4" t="str">
        <x:f>LOWER(A319&amp;"; "&amp;B319&amp;"; "&amp;C319&amp;"; "&amp;D319&amp;"; "&amp;W319&amp;"; "&amp;X319&amp;"; "&amp;Y319&amp;"; "&amp;Z319&amp;"; "&amp;AA319&amp;"; "&amp;AB319&amp;"; "&amp;AC319&amp;"; "&amp;U319)</x:f>
        <x:v>proposal.raw.basalt; basalt blocks; resources; stone feedstock; raw material; raw; geological; binding and construction; mineral; rock; proposal; </x:v>
      </x:c>
      <x:c r="AE319" s="4" t="str">
        <x:v>Specific raw form and candidate uses are proposals; no automatic biological function, chemistry, deposit or crafting capability.</x:v>
      </x:c>
      <x:c r="AF319" s="4" t="str">
        <x:v>T0</x:v>
      </x:c>
      <x:c r="AG319" s="4" t="str">
        <x:v>Raw gathered/recovered craft input under the author T0 framework. This does not imply a naturally occurring pure metal.</x:v>
      </x:c>
      <x:c r="AH319" s="4" t="str">
        <x:v>Not applicable</x:v>
      </x:c>
    </x:row>
    <x:row r="320" ht="110" customHeight="1">
      <x:c r="A320" s="9" t="str">
        <x:v>proposal.raw.slate</x:v>
      </x:c>
      <x:c r="B320" s="9" t="str">
        <x:v>Slate plates</x:v>
      </x:c>
      <x:c r="C320" s="9" t="str">
        <x:v>Resources</x:v>
      </x:c>
      <x:c r="D320" s="9" t="str">
        <x:v>Stone feedstock</x:v>
      </x:c>
      <x:c r="E320" s="9" t="str">
        <x:v>New proposal</x:v>
      </x:c>
      <x:c r="F320" s="9" t="str">
        <x:v>Candidate use: fabrication. Tangible input before specialist preparation.</x:v>
      </x:c>
      <x:c r="G320" s="9" t="str">
        <x:v>None</x:v>
      </x:c>
      <x:c r="H320" s="9" t="str">
        <x:v>Gathered raw/salvage cargo: Legger or local storage; policy TBD</x:v>
      </x:c>
      <x:c r="I320" s="13"/>
      <x:c r="J320" s="15"/>
      <x:c r="K320" s="9" t="str">
        <x:v>Thin plates split from suitable layered rock</x:v>
      </x:c>
      <x:c r="L320" s="9" t="str">
        <x:v>Trim into small covers, tiles or marking surfaces; no recipe or yield authored.</x:v>
      </x:c>
      <x:c r="M320" s="9" t="str">
        <x:v>Not implemented</x:v>
      </x:c>
      <x:c r="N320" s="9" t="str">
        <x:v>Specific rock availability and suitability remain proposals; no automatic waterproof or heat-proof rating.</x:v>
      </x:c>
      <x:c r="O320" s="17"/>
      <x:c r="P320" s="17"/>
      <x:c r="Q320" s="17"/>
      <x:c r="R320" s="17"/>
      <x:c r="S320" s="17"/>
      <x:c r="T320" s="9" t="str">
        <x:v>New raw-material proposal; collection, processing grade, mass, trade value and host compatibility undecided. Existing broad resources are reused rather than replaced.</x:v>
      </x:c>
      <x:c r="U320" s="11" t="str">
        <x:v>writing and records</x:v>
      </x:c>
      <x:c r="V320" s="9" t="str">
        <x:v>Local brainstorming from author request for grounded raw materials October 14, 2026. These candidates are not claims retrieved from the lore repository.</x:v>
      </x:c>
      <x:c r="W320" s="4" t="str">
        <x:v>Raw material</x:v>
      </x:c>
      <x:c r="X320" s="4" t="str">
        <x:v>Raw</x:v>
      </x:c>
      <x:c r="Y320" s="4" t="str">
        <x:v>Geological</x:v>
      </x:c>
      <x:c r="Z320" s="4" t="str">
        <x:v>Fabrication</x:v>
      </x:c>
      <x:c r="AA320" s="4" t="str">
        <x:v>Mineral</x:v>
      </x:c>
      <x:c r="AB320" s="4" t="str">
        <x:v>Panel</x:v>
      </x:c>
      <x:c r="AC320" s="4" t="str">
        <x:v>Proposal</x:v>
      </x:c>
      <x:c r="AD320" s="4" t="str">
        <x:f>LOWER(A320&amp;"; "&amp;B320&amp;"; "&amp;C320&amp;"; "&amp;D320&amp;"; "&amp;W320&amp;"; "&amp;X320&amp;"; "&amp;Y320&amp;"; "&amp;Z320&amp;"; "&amp;AA320&amp;"; "&amp;AB320&amp;"; "&amp;AC320&amp;"; "&amp;U320)</x:f>
        <x:v>proposal.raw.slate; slate plates; resources; stone feedstock; raw material; raw; geological; fabrication; mineral; panel; proposal; writing and records</x:v>
      </x:c>
      <x:c r="AE320" s="4" t="str">
        <x:v>Specific raw form and candidate uses are proposals; no automatic biological function, chemistry, deposit or crafting capability.</x:v>
      </x:c>
      <x:c r="AF320" s="4" t="str">
        <x:v>T0</x:v>
      </x:c>
      <x:c r="AG320" s="4" t="str">
        <x:v>Raw gathered/recovered craft input under the author T0 framework. This does not imply a naturally occurring pure metal.</x:v>
      </x:c>
      <x:c r="AH320" s="4" t="str">
        <x:v>Not applicable</x:v>
      </x:c>
    </x:row>
    <x:row r="321" ht="110" customHeight="1">
      <x:c r="A321" s="9" t="str">
        <x:v>proposal.raw.pumice</x:v>
      </x:c>
      <x:c r="B321" s="9" t="str">
        <x:v>Pumice lumps</x:v>
      </x:c>
      <x:c r="C321" s="9" t="str">
        <x:v>Resources</x:v>
      </x:c>
      <x:c r="D321" s="9" t="str">
        <x:v>Stone feedstock</x:v>
      </x:c>
      <x:c r="E321" s="9" t="str">
        <x:v>New proposal</x:v>
      </x:c>
      <x:c r="F321" s="9" t="str">
        <x:v>Candidate use: surface finishing. Tangible input before specialist preparation.</x:v>
      </x:c>
      <x:c r="G321" s="9" t="str">
        <x:v>None</x:v>
      </x:c>
      <x:c r="H321" s="9" t="str">
        <x:v>Gathered raw/salvage cargo: Legger or local storage; policy TBD</x:v>
      </x:c>
      <x:c r="I321" s="13"/>
      <x:c r="J321" s="15"/>
      <x:c r="K321" s="9" t="str">
        <x:v>Recognizable pitted volcanic-looking stone pieces</x:v>
      </x:c>
      <x:c r="L321" s="9" t="str">
        <x:v>Select or grade candidate rubbing/finishing pieces; no recipe or yield authored.</x:v>
      </x:c>
      <x:c r="M321" s="9" t="str">
        <x:v>Not implemented</x:v>
      </x:c>
      <x:c r="N321" s="9" t="str">
        <x:v>Proposed mineral feedstock; abrasive grade and equipment suitability require design.</x:v>
      </x:c>
      <x:c r="O321" s="17"/>
      <x:c r="P321" s="17"/>
      <x:c r="Q321" s="17"/>
      <x:c r="R321" s="17"/>
      <x:c r="S321" s="17"/>
      <x:c r="T321" s="9" t="str">
        <x:v>New raw-material proposal; collection, processing grade, mass, trade value and host compatibility undecided. Existing broad resources are reused rather than replaced.</x:v>
      </x:c>
      <x:c r="U321" s="11"/>
      <x:c r="V321" s="9" t="str">
        <x:v>Local brainstorming from author request for grounded raw materials October 14, 2026. These candidates are not claims retrieved from the lore repository.</x:v>
      </x:c>
      <x:c r="W321" s="4" t="str">
        <x:v>Raw material</x:v>
      </x:c>
      <x:c r="X321" s="4" t="str">
        <x:v>Raw</x:v>
      </x:c>
      <x:c r="Y321" s="4" t="str">
        <x:v>Geological</x:v>
      </x:c>
      <x:c r="Z321" s="4" t="str">
        <x:v>Surface finishing</x:v>
      </x:c>
      <x:c r="AA321" s="4" t="str">
        <x:v>Mineral</x:v>
      </x:c>
      <x:c r="AB321" s="4" t="str">
        <x:v>Rock</x:v>
      </x:c>
      <x:c r="AC321" s="4" t="str">
        <x:v>Proposal</x:v>
      </x:c>
      <x:c r="AD321" s="4" t="str">
        <x:f>LOWER(A321&amp;"; "&amp;B321&amp;"; "&amp;C321&amp;"; "&amp;D321&amp;"; "&amp;W321&amp;"; "&amp;X321&amp;"; "&amp;Y321&amp;"; "&amp;Z321&amp;"; "&amp;AA321&amp;"; "&amp;AB321&amp;"; "&amp;AC321&amp;"; "&amp;U321)</x:f>
        <x:v>proposal.raw.pumice; pumice lumps; resources; stone feedstock; raw material; raw; geological; surface finishing; mineral; rock; proposal; </x:v>
      </x:c>
      <x:c r="AE321" s="4" t="str">
        <x:v>Specific raw form and candidate uses are proposals; no automatic biological function, chemistry, deposit or crafting capability.</x:v>
      </x:c>
      <x:c r="AF321" s="4" t="str">
        <x:v>T0</x:v>
      </x:c>
      <x:c r="AG321" s="4" t="str">
        <x:v>Raw gathered/recovered craft input under the author T0 framework. This does not imply a naturally occurring pure metal.</x:v>
      </x:c>
      <x:c r="AH321" s="4" t="str">
        <x:v>Not applicable</x:v>
      </x:c>
    </x:row>
    <x:row r="322" ht="110" customHeight="1">
      <x:c r="A322" s="9" t="str">
        <x:v>proposal.raw.feldspar</x:v>
      </x:c>
      <x:c r="B322" s="9" t="str">
        <x:v>Feldspar fragments</x:v>
      </x:c>
      <x:c r="C322" s="9" t="str">
        <x:v>Resources</x:v>
      </x:c>
      <x:c r="D322" s="9" t="str">
        <x:v>Stone feedstock</x:v>
      </x:c>
      <x:c r="E322" s="9" t="str">
        <x:v>New proposal</x:v>
      </x:c>
      <x:c r="F322" s="9" t="str">
        <x:v>Candidate use: glass and ceramics. Tangible input before specialist preparation.</x:v>
      </x:c>
      <x:c r="G322" s="9" t="str">
        <x:v>None</x:v>
      </x:c>
      <x:c r="H322" s="9" t="str">
        <x:v>Gathered raw/salvage cargo: Legger or local storage; policy TBD</x:v>
      </x:c>
      <x:c r="I322" s="13"/>
      <x:c r="J322" s="15"/>
      <x:c r="K322" s="9" t="str">
        <x:v>Pale angular mineral fragments in suitable rock</x:v>
      </x:c>
      <x:c r="L322" s="9" t="str">
        <x:v>Sort mineral feed for proposed glass/ceramic body work; no recipe or yield authored.</x:v>
      </x:c>
      <x:c r="M322" s="9" t="str">
        <x:v>Not implemented</x:v>
      </x:c>
      <x:c r="N322" s="9" t="str">
        <x:v>Proposed input; no deposit, flux formula or ceramic recipe is established.</x:v>
      </x:c>
      <x:c r="O322" s="17"/>
      <x:c r="P322" s="17"/>
      <x:c r="Q322" s="17"/>
      <x:c r="R322" s="17"/>
      <x:c r="S322" s="17"/>
      <x:c r="T322" s="9" t="str">
        <x:v>New raw-material proposal; collection, processing grade, mass, trade value and host compatibility undecided. Existing broad resources are reused rather than replaced.</x:v>
      </x:c>
      <x:c r="U322" s="11"/>
      <x:c r="V322" s="9" t="str">
        <x:v>Local brainstorming from author request for grounded raw materials October 14, 2026. These candidates are not claims retrieved from the lore repository.</x:v>
      </x:c>
      <x:c r="W322" s="4" t="str">
        <x:v>Raw material</x:v>
      </x:c>
      <x:c r="X322" s="4" t="str">
        <x:v>Raw</x:v>
      </x:c>
      <x:c r="Y322" s="4" t="str">
        <x:v>Geological</x:v>
      </x:c>
      <x:c r="Z322" s="4" t="str">
        <x:v>Glass and ceramics</x:v>
      </x:c>
      <x:c r="AA322" s="4" t="str">
        <x:v>Mineral</x:v>
      </x:c>
      <x:c r="AB322" s="4" t="str">
        <x:v>Rock</x:v>
      </x:c>
      <x:c r="AC322" s="4" t="str">
        <x:v>Proposal</x:v>
      </x:c>
      <x:c r="AD322" s="4" t="str">
        <x:f>LOWER(A322&amp;"; "&amp;B322&amp;"; "&amp;C322&amp;"; "&amp;D322&amp;"; "&amp;W322&amp;"; "&amp;X322&amp;"; "&amp;Y322&amp;"; "&amp;Z322&amp;"; "&amp;AA322&amp;"; "&amp;AB322&amp;"; "&amp;AC322&amp;"; "&amp;U322)</x:f>
        <x:v>proposal.raw.feldspar; feldspar fragments; resources; stone feedstock; raw material; raw; geological; glass and ceramics; mineral; rock; proposal; </x:v>
      </x:c>
      <x:c r="AE322" s="4" t="str">
        <x:v>Specific raw form and candidate uses are proposals; no automatic biological function, chemistry, deposit or crafting capability.</x:v>
      </x:c>
      <x:c r="AF322" s="4" t="str">
        <x:v>T0</x:v>
      </x:c>
      <x:c r="AG322" s="4" t="str">
        <x:v>Raw gathered/recovered craft input under the author T0 framework. This does not imply a naturally occurring pure metal.</x:v>
      </x:c>
      <x:c r="AH322" s="4" t="str">
        <x:v>Not applicable</x:v>
      </x:c>
    </x:row>
    <x:row r="323" ht="110" customHeight="1">
      <x:c r="A323" s="9" t="str">
        <x:v>proposal.raw.spines</x:v>
      </x:c>
      <x:c r="B323" s="9" t="str">
        <x:v>Loose fauna spines</x:v>
      </x:c>
      <x:c r="C323" s="9" t="str">
        <x:v>Resources</x:v>
      </x:c>
      <x:c r="D323" s="9" t="str">
        <x:v>Faunal hard-part feedstock</x:v>
      </x:c>
      <x:c r="E323" s="9" t="str">
        <x:v>New proposal</x:v>
      </x:c>
      <x:c r="F323" s="9" t="str">
        <x:v>Candidate use: tool fabrication. Tangible input before specialist preparation.</x:v>
      </x:c>
      <x:c r="G323" s="9" t="str">
        <x:v>None</x:v>
      </x:c>
      <x:c r="H323" s="9" t="str">
        <x:v>Gathered raw/salvage cargo: Legger or local storage; policy TBD</x:v>
      </x:c>
      <x:c r="I323" s="13"/>
      <x:c r="J323" s="15"/>
      <x:c r="K323" s="9" t="str">
        <x:v>Shed or harvested spines from selected spined fauna</x:v>
      </x:c>
      <x:c r="L323" s="9" t="str">
        <x:v>Select and shape small points or piercing-tool blanks; no recipe or yield authored.</x:v>
      </x:c>
      <x:c r="M323" s="9" t="str">
        <x:v>Not implemented</x:v>
      </x:c>
      <x:c r="N323" s="9" t="str">
        <x:v>Species, composition, toxicity and working properties unresolved; no bone or venom assumed.</x:v>
      </x:c>
      <x:c r="O323" s="17"/>
      <x:c r="P323" s="17"/>
      <x:c r="Q323" s="17"/>
      <x:c r="R323" s="17"/>
      <x:c r="S323" s="17"/>
      <x:c r="T323" s="9" t="str">
        <x:v>New raw-material proposal; collection, processing grade, mass, trade value and host compatibility undecided. Existing broad resources are reused rather than replaced.</x:v>
      </x:c>
      <x:c r="U323" s="11"/>
      <x:c r="V323" s="9" t="str">
        <x:v>Local brainstorming from author request for grounded raw materials October 14, 2026. These candidates are not claims retrieved from the lore repository.</x:v>
      </x:c>
      <x:c r="W323" s="4" t="str">
        <x:v>Raw material</x:v>
      </x:c>
      <x:c r="X323" s="4" t="str">
        <x:v>Raw</x:v>
      </x:c>
      <x:c r="Y323" s="4" t="str">
        <x:v>Fauna</x:v>
      </x:c>
      <x:c r="Z323" s="4" t="str">
        <x:v>Tool fabrication</x:v>
      </x:c>
      <x:c r="AA323" s="4" t="str">
        <x:v>Faunal hard tissue</x:v>
      </x:c>
      <x:c r="AB323" s="4" t="str">
        <x:v>Solid piece</x:v>
      </x:c>
      <x:c r="AC323" s="4" t="str">
        <x:v>Proposal</x:v>
      </x:c>
      <x:c r="AD323" s="4" t="str">
        <x:f>LOWER(A323&amp;"; "&amp;B323&amp;"; "&amp;C323&amp;"; "&amp;D323&amp;"; "&amp;W323&amp;"; "&amp;X323&amp;"; "&amp;Y323&amp;"; "&amp;Z323&amp;"; "&amp;AA323&amp;"; "&amp;AB323&amp;"; "&amp;AC323&amp;"; "&amp;U323)</x:f>
        <x:v>proposal.raw.spines; loose fauna spines; resources; faunal hard-part feedstock; raw material; raw; fauna; tool fabrication; faunal hard tissue; solid piece; proposal; </x:v>
      </x:c>
      <x:c r="AE323" s="4" t="str">
        <x:v>Specific raw form and candidate uses are proposals; no automatic biological function, chemistry, deposit or crafting capability.</x:v>
      </x:c>
      <x:c r="AF323" s="4" t="str">
        <x:v>T0</x:v>
      </x:c>
      <x:c r="AG323" s="4" t="str">
        <x:v>Raw gathered/recovered craft input under the author T0 framework. This does not imply a naturally occurring pure metal.</x:v>
      </x:c>
      <x:c r="AH323" s="4" t="str">
        <x:v>Not applicable</x:v>
      </x:c>
    </x:row>
    <x:row r="324" ht="110" customHeight="1">
      <x:c r="A324" s="9" t="str">
        <x:v>proposal.raw.claws</x:v>
      </x:c>
      <x:c r="B324" s="9" t="str">
        <x:v>Fauna claw tips</x:v>
      </x:c>
      <x:c r="C324" s="9" t="str">
        <x:v>Resources</x:v>
      </x:c>
      <x:c r="D324" s="9" t="str">
        <x:v>Faunal hard-part feedstock</x:v>
      </x:c>
      <x:c r="E324" s="9" t="str">
        <x:v>New proposal</x:v>
      </x:c>
      <x:c r="F324" s="9" t="str">
        <x:v>Candidate use: tool fabrication. Tangible input before specialist preparation.</x:v>
      </x:c>
      <x:c r="G324" s="9" t="str">
        <x:v>None</x:v>
      </x:c>
      <x:c r="H324" s="9" t="str">
        <x:v>Gathered raw/salvage cargo: Legger or local storage; policy TBD</x:v>
      </x:c>
      <x:c r="I324" s="13"/>
      <x:c r="J324" s="15"/>
      <x:c r="K324" s="9" t="str">
        <x:v>Detached hard claw ends from selected fauna</x:v>
      </x:c>
      <x:c r="L324" s="9" t="str">
        <x:v>Shape hook or cutting-edge candidates; no recipe or yield authored.</x:v>
      </x:c>
      <x:c r="M324" s="9" t="str">
        <x:v>Not implemented</x:v>
      </x:c>
      <x:c r="N324" s="9" t="str">
        <x:v>Claw-bearing species and material properties remain proposed; distinct from existing broad jaw plates.</x:v>
      </x:c>
      <x:c r="O324" s="17"/>
      <x:c r="P324" s="17"/>
      <x:c r="Q324" s="17"/>
      <x:c r="R324" s="17"/>
      <x:c r="S324" s="17"/>
      <x:c r="T324" s="9" t="str">
        <x:v>New raw-material proposal; collection, processing grade, mass, trade value and host compatibility undecided. Existing broad resources are reused rather than replaced.</x:v>
      </x:c>
      <x:c r="U324" s="11"/>
      <x:c r="V324" s="9" t="str">
        <x:v>Local brainstorming from author request for grounded raw materials October 14, 2026. These candidates are not claims retrieved from the lore repository.</x:v>
      </x:c>
      <x:c r="W324" s="4" t="str">
        <x:v>Raw material</x:v>
      </x:c>
      <x:c r="X324" s="4" t="str">
        <x:v>Raw</x:v>
      </x:c>
      <x:c r="Y324" s="4" t="str">
        <x:v>Fauna</x:v>
      </x:c>
      <x:c r="Z324" s="4" t="str">
        <x:v>Tool fabrication</x:v>
      </x:c>
      <x:c r="AA324" s="4" t="str">
        <x:v>Faunal hard tissue</x:v>
      </x:c>
      <x:c r="AB324" s="4" t="str">
        <x:v>Solid piece</x:v>
      </x:c>
      <x:c r="AC324" s="4" t="str">
        <x:v>Proposal</x:v>
      </x:c>
      <x:c r="AD324" s="4" t="str">
        <x:f>LOWER(A324&amp;"; "&amp;B324&amp;"; "&amp;C324&amp;"; "&amp;D324&amp;"; "&amp;W324&amp;"; "&amp;X324&amp;"; "&amp;Y324&amp;"; "&amp;Z324&amp;"; "&amp;AA324&amp;"; "&amp;AB324&amp;"; "&amp;AC324&amp;"; "&amp;U324)</x:f>
        <x:v>proposal.raw.claws; fauna claw tips; resources; faunal hard-part feedstock; raw material; raw; fauna; tool fabrication; faunal hard tissue; solid piece; proposal; </x:v>
      </x:c>
      <x:c r="AE324" s="4" t="str">
        <x:v>Specific raw form and candidate uses are proposals; no automatic biological function, chemistry, deposit or crafting capability.</x:v>
      </x:c>
      <x:c r="AF324" s="4" t="str">
        <x:v>T0</x:v>
      </x:c>
      <x:c r="AG324" s="4" t="str">
        <x:v>Raw gathered/recovered craft input under the author T0 framework. This does not imply a naturally occurring pure metal.</x:v>
      </x:c>
      <x:c r="AH324" s="4" t="str">
        <x:v>Not applicable</x:v>
      </x:c>
    </x:row>
    <x:row r="325" ht="110" customHeight="1">
      <x:c r="A325" s="9" t="str">
        <x:v>proposal.raw.brood_casing</x:v>
      </x:c>
      <x:c r="B325" s="9" t="str">
        <x:v>Empty brood casings</x:v>
      </x:c>
      <x:c r="C325" s="9" t="str">
        <x:v>Resources</x:v>
      </x:c>
      <x:c r="D325" s="9" t="str">
        <x:v>Faunal hard-part feedstock</x:v>
      </x:c>
      <x:c r="E325" s="9" t="str">
        <x:v>New proposal</x:v>
      </x:c>
      <x:c r="F325" s="9" t="str">
        <x:v>Candidate use: fabrication. Tangible input before specialist preparation.</x:v>
      </x:c>
      <x:c r="G325" s="9" t="str">
        <x:v>None</x:v>
      </x:c>
      <x:c r="H325" s="9" t="str">
        <x:v>Gathered raw/salvage cargo: Legger or local storage; policy TBD</x:v>
      </x:c>
      <x:c r="I325" s="13"/>
      <x:c r="J325" s="15"/>
      <x:c r="K325" s="9" t="str">
        <x:v>Spent egg/brood casings from a compatible reproductive lineage</x:v>
      </x:c>
      <x:c r="L325" s="9" t="str">
        <x:v>Sort intact curved pieces for small covers or molds; no recipe or yield authored.</x:v>
      </x:c>
      <x:c r="M325" s="9" t="str">
        <x:v>Not implemented</x:v>
      </x:c>
      <x:c r="N325" s="9" t="str">
        <x:v>Reproductive anatomy is a species-level proposal; empty casing is not automatically clean, edible or food-safe.</x:v>
      </x:c>
      <x:c r="O325" s="17"/>
      <x:c r="P325" s="17"/>
      <x:c r="Q325" s="17"/>
      <x:c r="R325" s="17"/>
      <x:c r="S325" s="17"/>
      <x:c r="T325" s="9" t="str">
        <x:v>New raw-material proposal; collection, processing grade, mass, trade value and host compatibility undecided. Existing broad resources are reused rather than replaced.</x:v>
      </x:c>
      <x:c r="U325" s="11"/>
      <x:c r="V325" s="9" t="str">
        <x:v>Local brainstorming from author request for grounded raw materials October 14, 2026. These candidates are not claims retrieved from the lore repository.</x:v>
      </x:c>
      <x:c r="W325" s="4" t="str">
        <x:v>Raw material</x:v>
      </x:c>
      <x:c r="X325" s="4" t="str">
        <x:v>Raw</x:v>
      </x:c>
      <x:c r="Y325" s="4" t="str">
        <x:v>Fauna</x:v>
      </x:c>
      <x:c r="Z325" s="4" t="str">
        <x:v>Fabrication</x:v>
      </x:c>
      <x:c r="AA325" s="4" t="str">
        <x:v>Faunal hard tissue</x:v>
      </x:c>
      <x:c r="AB325" s="4" t="str">
        <x:v>Shell plate</x:v>
      </x:c>
      <x:c r="AC325" s="4" t="str">
        <x:v>Proposal</x:v>
      </x:c>
      <x:c r="AD325" s="4" t="str">
        <x:f>LOWER(A325&amp;"; "&amp;B325&amp;"; "&amp;C325&amp;"; "&amp;D325&amp;"; "&amp;W325&amp;"; "&amp;X325&amp;"; "&amp;Y325&amp;"; "&amp;Z325&amp;"; "&amp;AA325&amp;"; "&amp;AB325&amp;"; "&amp;AC325&amp;"; "&amp;U325)</x:f>
        <x:v>proposal.raw.brood_casing; empty brood casings; resources; faunal hard-part feedstock; raw material; raw; fauna; fabrication; faunal hard tissue; shell plate; proposal; </x:v>
      </x:c>
      <x:c r="AE325" s="4" t="str">
        <x:v>Specific raw form and candidate uses are proposals; no automatic biological function, chemistry, deposit or crafting capability.</x:v>
      </x:c>
      <x:c r="AF325" s="4" t="str">
        <x:v>T0</x:v>
      </x:c>
      <x:c r="AG325" s="4" t="str">
        <x:v>Raw gathered/recovered craft input under the author T0 framework. This does not imply a naturally occurring pure metal.</x:v>
      </x:c>
      <x:c r="AH325" s="4" t="str">
        <x:v>Not applicable</x:v>
      </x:c>
    </x:row>
    <x:row r="326" ht="110" customHeight="1">
      <x:c r="A326" s="9" t="str">
        <x:v>proposal.raw.antenna_sheath</x:v>
      </x:c>
      <x:c r="B326" s="9" t="str">
        <x:v>Empty antenna sheaths</x:v>
      </x:c>
      <x:c r="C326" s="9" t="str">
        <x:v>Resources</x:v>
      </x:c>
      <x:c r="D326" s="9" t="str">
        <x:v>Faunal hard-part feedstock</x:v>
      </x:c>
      <x:c r="E326" s="9" t="str">
        <x:v>New proposal</x:v>
      </x:c>
      <x:c r="F326" s="9" t="str">
        <x:v>Candidate use: fabrication. Tangible input before specialist preparation.</x:v>
      </x:c>
      <x:c r="G326" s="9" t="str">
        <x:v>None</x:v>
      </x:c>
      <x:c r="H326" s="9" t="str">
        <x:v>Gathered raw/salvage cargo: Legger or local storage; policy TBD</x:v>
      </x:c>
      <x:c r="I326" s="13"/>
      <x:c r="J326" s="15"/>
      <x:c r="K326" s="9" t="str">
        <x:v>Hollow hard outer sections from selected antenna-bearing fauna</x:v>
      </x:c>
      <x:c r="L326" s="9" t="str">
        <x:v>Trim candidate small housings or protective sleeves; no recipe or yield authored.</x:v>
      </x:c>
      <x:c r="M326" s="9" t="str">
        <x:v>Not implemented</x:v>
      </x:c>
      <x:c r="N326" s="9" t="str">
        <x:v>Exact species, hollowness and strength require design; no live sensory capability carried with the scrap.</x:v>
      </x:c>
      <x:c r="O326" s="17"/>
      <x:c r="P326" s="17"/>
      <x:c r="Q326" s="17"/>
      <x:c r="R326" s="17"/>
      <x:c r="S326" s="17"/>
      <x:c r="T326" s="9" t="str">
        <x:v>New raw-material proposal; collection, processing grade, mass, trade value and host compatibility undecided. Existing broad resources are reused rather than replaced.</x:v>
      </x:c>
      <x:c r="U326" s="11"/>
      <x:c r="V326" s="9" t="str">
        <x:v>Local brainstorming from author request for grounded raw materials October 14, 2026. These candidates are not claims retrieved from the lore repository.</x:v>
      </x:c>
      <x:c r="W326" s="4" t="str">
        <x:v>Raw material</x:v>
      </x:c>
      <x:c r="X326" s="4" t="str">
        <x:v>Raw</x:v>
      </x:c>
      <x:c r="Y326" s="4" t="str">
        <x:v>Fauna</x:v>
      </x:c>
      <x:c r="Z326" s="4" t="str">
        <x:v>Fabrication</x:v>
      </x:c>
      <x:c r="AA326" s="4" t="str">
        <x:v>Faunal hard tissue</x:v>
      </x:c>
      <x:c r="AB326" s="4" t="str">
        <x:v>Solid piece</x:v>
      </x:c>
      <x:c r="AC326" s="4" t="str">
        <x:v>Proposal</x:v>
      </x:c>
      <x:c r="AD326" s="4" t="str">
        <x:f>LOWER(A326&amp;"; "&amp;B326&amp;"; "&amp;C326&amp;"; "&amp;D326&amp;"; "&amp;W326&amp;"; "&amp;X326&amp;"; "&amp;Y326&amp;"; "&amp;Z326&amp;"; "&amp;AA326&amp;"; "&amp;AB326&amp;"; "&amp;AC326&amp;"; "&amp;U326)</x:f>
        <x:v>proposal.raw.antenna_sheath; empty antenna sheaths; resources; faunal hard-part feedstock; raw material; raw; fauna; fabrication; faunal hard tissue; solid piece; proposal; </x:v>
      </x:c>
      <x:c r="AE326" s="4" t="str">
        <x:v>Specific raw form and candidate uses are proposals; no automatic biological function, chemistry, deposit or crafting capability.</x:v>
      </x:c>
      <x:c r="AF326" s="4" t="str">
        <x:v>T0</x:v>
      </x:c>
      <x:c r="AG326" s="4" t="str">
        <x:v>Raw gathered/recovered craft input under the author T0 framework. This does not imply a naturally occurring pure metal.</x:v>
      </x:c>
      <x:c r="AH326" s="4" t="str">
        <x:v>Not applicable</x:v>
      </x:c>
    </x:row>
    <x:row r="327" ht="110" customHeight="1">
      <x:c r="A327" s="9" t="str">
        <x:v>proposal.raw.wing_ribs</x:v>
      </x:c>
      <x:c r="B327" s="9" t="str">
        <x:v>Insectoid wing ribs</x:v>
      </x:c>
      <x:c r="C327" s="9" t="str">
        <x:v>Resources</x:v>
      </x:c>
      <x:c r="D327" s="9" t="str">
        <x:v>Faunal hard-part feedstock</x:v>
      </x:c>
      <x:c r="E327" s="9" t="str">
        <x:v>New proposal</x:v>
      </x:c>
      <x:c r="F327" s="9" t="str">
        <x:v>Candidate use: fabrication. Tangible input before specialist preparation.</x:v>
      </x:c>
      <x:c r="G327" s="9" t="str">
        <x:v>None</x:v>
      </x:c>
      <x:c r="H327" s="9" t="str">
        <x:v>Gathered raw/salvage cargo: Legger or local storage; policy TBD</x:v>
      </x:c>
      <x:c r="I327" s="13"/>
      <x:c r="J327" s="15"/>
      <x:c r="K327" s="9" t="str">
        <x:v>Supporting rib pieces separated from suitable insectoid wings</x:v>
      </x:c>
      <x:c r="L327" s="9" t="str">
        <x:v>Select small strut or frame candidates; no recipe or yield authored.</x:v>
      </x:c>
      <x:c r="M327" s="9" t="str">
        <x:v>Not implemented</x:v>
      </x:c>
      <x:c r="N327" s="9" t="str">
        <x:v>Separate from existing delicate inner-wing membranes. Usable length and structural grade are not established.</x:v>
      </x:c>
      <x:c r="O327" s="17"/>
      <x:c r="P327" s="17"/>
      <x:c r="Q327" s="17"/>
      <x:c r="R327" s="17"/>
      <x:c r="S327" s="17"/>
      <x:c r="T327" s="9" t="str">
        <x:v>New raw-material proposal; collection, processing grade, mass, trade value and host compatibility undecided. Existing broad resources are reused rather than replaced.</x:v>
      </x:c>
      <x:c r="U327" s="11" t="str">
        <x:v>equipment fabrication</x:v>
      </x:c>
      <x:c r="V327" s="9" t="str">
        <x:v>Local brainstorming from author request for grounded raw materials October 14, 2026. These candidates are not claims retrieved from the lore repository.</x:v>
      </x:c>
      <x:c r="W327" s="4" t="str">
        <x:v>Raw material</x:v>
      </x:c>
      <x:c r="X327" s="4" t="str">
        <x:v>Raw</x:v>
      </x:c>
      <x:c r="Y327" s="4" t="str">
        <x:v>Fauna</x:v>
      </x:c>
      <x:c r="Z327" s="4" t="str">
        <x:v>Fabrication</x:v>
      </x:c>
      <x:c r="AA327" s="4" t="str">
        <x:v>Faunal hard tissue</x:v>
      </x:c>
      <x:c r="AB327" s="4" t="str">
        <x:v>Solid piece</x:v>
      </x:c>
      <x:c r="AC327" s="4" t="str">
        <x:v>Proposal</x:v>
      </x:c>
      <x:c r="AD327" s="4" t="str">
        <x:f>LOWER(A327&amp;"; "&amp;B327&amp;"; "&amp;C327&amp;"; "&amp;D327&amp;"; "&amp;W327&amp;"; "&amp;X327&amp;"; "&amp;Y327&amp;"; "&amp;Z327&amp;"; "&amp;AA327&amp;"; "&amp;AB327&amp;"; "&amp;AC327&amp;"; "&amp;U327)</x:f>
        <x:v>proposal.raw.wing_ribs; insectoid wing ribs; resources; faunal hard-part feedstock; raw material; raw; fauna; fabrication; faunal hard tissue; solid piece; proposal; equipment fabrication</x:v>
      </x:c>
      <x:c r="AE327" s="4" t="str">
        <x:v>Specific raw form and candidate uses are proposals; no automatic biological function, chemistry, deposit or crafting capability.</x:v>
      </x:c>
      <x:c r="AF327" s="4" t="str">
        <x:v>T0</x:v>
      </x:c>
      <x:c r="AG327" s="4" t="str">
        <x:v>Raw gathered/recovered craft input under the author T0 framework. This does not imply a naturally occurring pure metal.</x:v>
      </x:c>
      <x:c r="AH327" s="4" t="str">
        <x:v>Not applicable</x:v>
      </x:c>
    </x:row>
    <x:row r="328" ht="110" customHeight="1">
      <x:c r="A328" s="9" t="str">
        <x:v>proposal.raw.ceramic_shards</x:v>
      </x:c>
      <x:c r="B328" s="9" t="str">
        <x:v>Broken ceramic shards</x:v>
      </x:c>
      <x:c r="C328" s="9" t="str">
        <x:v>Resources</x:v>
      </x:c>
      <x:c r="D328" s="9" t="str">
        <x:v>Salvaged feedstock</x:v>
      </x:c>
      <x:c r="E328" s="9" t="str">
        <x:v>New proposal</x:v>
      </x:c>
      <x:c r="F328" s="9" t="str">
        <x:v>Candidate use: glass and ceramics. Tangible input before specialist preparation.</x:v>
      </x:c>
      <x:c r="G328" s="9" t="str">
        <x:v>None</x:v>
      </x:c>
      <x:c r="H328" s="9" t="str">
        <x:v>Gathered raw/salvage cargo: Legger or local storage; policy TBD</x:v>
      </x:c>
      <x:c r="I328" s="13"/>
      <x:c r="J328" s="15"/>
      <x:c r="K328" s="9" t="str">
        <x:v>Discarded vessels, tiles and identified ceramic parts</x:v>
      </x:c>
      <x:c r="L328" s="9" t="str">
        <x:v>Sort and crush suitable shards into existing ceramic grit/grog; no recipe or yield authored.</x:v>
      </x:c>
      <x:c r="M328" s="9" t="str">
        <x:v>Not implemented</x:v>
      </x:c>
      <x:c r="N328" s="9" t="str">
        <x:v>Unknown coatings and residues can disqualify pieces. Unprocessed shards differ from prepared crushed grog.</x:v>
      </x:c>
      <x:c r="O328" s="17"/>
      <x:c r="P328" s="17"/>
      <x:c r="Q328" s="17"/>
      <x:c r="R328" s="17"/>
      <x:c r="S328" s="17"/>
      <x:c r="T328" s="9" t="str">
        <x:v>New raw-material proposal; collection, processing grade, mass, trade value and host compatibility undecided. Existing broad resources are reused rather than replaced.</x:v>
      </x:c>
      <x:c r="U328" s="11"/>
      <x:c r="V328" s="9" t="str">
        <x:v>Local brainstorming from author request for grounded raw materials October 14, 2026. These candidates are not claims retrieved from the lore repository.</x:v>
      </x:c>
      <x:c r="W328" s="4" t="str">
        <x:v>Raw material</x:v>
      </x:c>
      <x:c r="X328" s="4" t="str">
        <x:v>Recovered material</x:v>
      </x:c>
      <x:c r="Y328" s="4" t="str">
        <x:v>Industrial salvage</x:v>
      </x:c>
      <x:c r="Z328" s="4" t="str">
        <x:v>Glass and ceramics</x:v>
      </x:c>
      <x:c r="AA328" s="4" t="str">
        <x:v>Ceramic</x:v>
      </x:c>
      <x:c r="AB328" s="4" t="str">
        <x:v>Solid piece</x:v>
      </x:c>
      <x:c r="AC328" s="4" t="str">
        <x:v>Proposal</x:v>
      </x:c>
      <x:c r="AD328" s="4" t="str">
        <x:f>LOWER(A328&amp;"; "&amp;B328&amp;"; "&amp;C328&amp;"; "&amp;D328&amp;"; "&amp;W328&amp;"; "&amp;X328&amp;"; "&amp;Y328&amp;"; "&amp;Z328&amp;"; "&amp;AA328&amp;"; "&amp;AB328&amp;"; "&amp;AC328&amp;"; "&amp;U328)</x:f>
        <x:v>proposal.raw.ceramic_shards; broken ceramic shards; resources; salvaged feedstock; raw material; recovered material; industrial salvage; glass and ceramics; ceramic; solid piece; proposal; </x:v>
      </x:c>
      <x:c r="AE328" s="4" t="str">
        <x:v>Specific raw form and candidate uses are proposals; no automatic biological function, chemistry, deposit or crafting capability.</x:v>
      </x:c>
      <x:c r="AF328" s="4" t="str">
        <x:v>T0</x:v>
      </x:c>
      <x:c r="AG328" s="4" t="str">
        <x:v>Raw gathered/recovered craft input under the author T0 framework. This does not imply a naturally occurring pure metal.</x:v>
      </x:c>
      <x:c r="AH328" s="4" t="str">
        <x:v>Not applicable</x:v>
      </x:c>
    </x:row>
    <x:row r="329" ht="110" customHeight="1">
      <x:c r="A329" s="9" t="str">
        <x:v>proposal.raw.glass_shards</x:v>
      </x:c>
      <x:c r="B329" s="9" t="str">
        <x:v>Broken glass pieces</x:v>
      </x:c>
      <x:c r="C329" s="9" t="str">
        <x:v>Resources</x:v>
      </x:c>
      <x:c r="D329" s="9" t="str">
        <x:v>Salvaged feedstock</x:v>
      </x:c>
      <x:c r="E329" s="9" t="str">
        <x:v>New proposal</x:v>
      </x:c>
      <x:c r="F329" s="9" t="str">
        <x:v>Candidate use: glass and ceramics. Tangible input before specialist preparation.</x:v>
      </x:c>
      <x:c r="G329" s="9" t="str">
        <x:v>None</x:v>
      </x:c>
      <x:c r="H329" s="9" t="str">
        <x:v>Gathered raw/salvage cargo: Legger or local storage; policy TBD</x:v>
      </x:c>
      <x:c r="I329" s="13"/>
      <x:c r="J329" s="15"/>
      <x:c r="K329" s="9" t="str">
        <x:v>Broken identified glass containers or panes</x:v>
      </x:c>
      <x:c r="L329" s="9" t="str">
        <x:v>Sort compatible glass feed for a future remelting route; no recipe or yield authored.</x:v>
      </x:c>
      <x:c r="M329" s="9" t="str">
        <x:v>Not implemented</x:v>
      </x:c>
      <x:c r="N329" s="9" t="str">
        <x:v>Mixed glass, dirt and chemical contamination need identification; no guaranteed clear-glass or optical output.</x:v>
      </x:c>
      <x:c r="O329" s="17"/>
      <x:c r="P329" s="17"/>
      <x:c r="Q329" s="17"/>
      <x:c r="R329" s="17"/>
      <x:c r="S329" s="17"/>
      <x:c r="T329" s="9" t="str">
        <x:v>New raw-material proposal; collection, processing grade, mass, trade value and host compatibility undecided. Existing broad resources are reused rather than replaced.</x:v>
      </x:c>
      <x:c r="U329" s="11"/>
      <x:c r="V329" s="9" t="str">
        <x:v>Local brainstorming from author request for grounded raw materials October 14, 2026. These candidates are not claims retrieved from the lore repository.</x:v>
      </x:c>
      <x:c r="W329" s="4" t="str">
        <x:v>Raw material</x:v>
      </x:c>
      <x:c r="X329" s="4" t="str">
        <x:v>Recovered material</x:v>
      </x:c>
      <x:c r="Y329" s="4" t="str">
        <x:v>Industrial salvage</x:v>
      </x:c>
      <x:c r="Z329" s="4" t="str">
        <x:v>Glass and ceramics</x:v>
      </x:c>
      <x:c r="AA329" s="4" t="str">
        <x:v>Glass</x:v>
      </x:c>
      <x:c r="AB329" s="4" t="str">
        <x:v>Solid piece</x:v>
      </x:c>
      <x:c r="AC329" s="4" t="str">
        <x:v>Proposal</x:v>
      </x:c>
      <x:c r="AD329" s="4" t="str">
        <x:f>LOWER(A329&amp;"; "&amp;B329&amp;"; "&amp;C329&amp;"; "&amp;D329&amp;"; "&amp;W329&amp;"; "&amp;X329&amp;"; "&amp;Y329&amp;"; "&amp;Z329&amp;"; "&amp;AA329&amp;"; "&amp;AB329&amp;"; "&amp;AC329&amp;"; "&amp;U329)</x:f>
        <x:v>proposal.raw.glass_shards; broken glass pieces; resources; salvaged feedstock; raw material; recovered material; industrial salvage; glass and ceramics; glass; solid piece; proposal; </x:v>
      </x:c>
      <x:c r="AE329" s="4" t="str">
        <x:v>Specific raw form and candidate uses are proposals; no automatic biological function, chemistry, deposit or crafting capability.</x:v>
      </x:c>
      <x:c r="AF329" s="4" t="str">
        <x:v>T0</x:v>
      </x:c>
      <x:c r="AG329" s="4" t="str">
        <x:v>Raw gathered/recovered craft input under the author T0 framework. This does not imply a naturally occurring pure metal.</x:v>
      </x:c>
      <x:c r="AH329" s="4" t="str">
        <x:v>Not applicable</x:v>
      </x:c>
    </x:row>
    <x:row r="330" ht="110" customHeight="1">
      <x:c r="A330" s="9" t="str">
        <x:v>proposal.raw.spring_strips</x:v>
      </x:c>
      <x:c r="B330" s="9" t="str">
        <x:v>Salvaged spring-metal strips</x:v>
      </x:c>
      <x:c r="C330" s="9" t="str">
        <x:v>Resources</x:v>
      </x:c>
      <x:c r="D330" s="9" t="str">
        <x:v>Salvaged feedstock</x:v>
      </x:c>
      <x:c r="E330" s="9" t="str">
        <x:v>New proposal</x:v>
      </x:c>
      <x:c r="F330" s="9" t="str">
        <x:v>Candidate use: equipment fabrication. Tangible input before specialist preparation.</x:v>
      </x:c>
      <x:c r="G330" s="9" t="str">
        <x:v>None</x:v>
      </x:c>
      <x:c r="H330" s="9" t="str">
        <x:v>Gathered raw/salvage cargo: Legger or local storage; policy TBD</x:v>
      </x:c>
      <x:c r="I330" s="13"/>
      <x:c r="J330" s="15"/>
      <x:c r="K330" s="9" t="str">
        <x:v>Strips recovered from discarded spring assemblies</x:v>
      </x:c>
      <x:c r="L330" s="9" t="str">
        <x:v>Select suitable strips for a matched catch or spring-part blank; no recipe or yield authored.</x:v>
      </x:c>
      <x:c r="M330" s="9" t="str">
        <x:v>Not implemented</x:v>
      </x:c>
      <x:c r="N330" s="9" t="str">
        <x:v>Metal identity, fatigue and retained spring behavior unresolved; salvage does not grant production of spring alloys.</x:v>
      </x:c>
      <x:c r="O330" s="17"/>
      <x:c r="P330" s="17"/>
      <x:c r="Q330" s="17"/>
      <x:c r="R330" s="17"/>
      <x:c r="S330" s="17"/>
      <x:c r="T330" s="9" t="str">
        <x:v>New raw-material proposal; collection, processing grade, mass, trade value and host compatibility undecided. Existing broad resources are reused rather than replaced.</x:v>
      </x:c>
      <x:c r="U330" s="11" t="str">
        <x:v>equipment repair</x:v>
      </x:c>
      <x:c r="V330" s="9" t="str">
        <x:v>Local brainstorming from author request for grounded raw materials October 14, 2026. These candidates are not claims retrieved from the lore repository.</x:v>
      </x:c>
      <x:c r="W330" s="4" t="str">
        <x:v>Raw material</x:v>
      </x:c>
      <x:c r="X330" s="4" t="str">
        <x:v>Recovered material</x:v>
      </x:c>
      <x:c r="Y330" s="4" t="str">
        <x:v>Industrial salvage</x:v>
      </x:c>
      <x:c r="Z330" s="4" t="str">
        <x:v>Equipment fabrication</x:v>
      </x:c>
      <x:c r="AA330" s="4" t="str">
        <x:v>Metal</x:v>
      </x:c>
      <x:c r="AB330" s="4" t="str">
        <x:v>Strip</x:v>
      </x:c>
      <x:c r="AC330" s="4" t="str">
        <x:v>Proposal</x:v>
      </x:c>
      <x:c r="AD330" s="4" t="str">
        <x:f>LOWER(A330&amp;"; "&amp;B330&amp;"; "&amp;C330&amp;"; "&amp;D330&amp;"; "&amp;W330&amp;"; "&amp;X330&amp;"; "&amp;Y330&amp;"; "&amp;Z330&amp;"; "&amp;AA330&amp;"; "&amp;AB330&amp;"; "&amp;AC330&amp;"; "&amp;U330)</x:f>
        <x:v>proposal.raw.spring_strips; salvaged spring-metal strips; resources; salvaged feedstock; raw material; recovered material; industrial salvage; equipment fabrication; metal; strip; proposal; equipment repair</x:v>
      </x:c>
      <x:c r="AE330" s="4" t="str">
        <x:v>Specific raw form and candidate uses are proposals; no automatic biological function, chemistry, deposit or crafting capability.</x:v>
      </x:c>
      <x:c r="AF330" s="4" t="str">
        <x:v>T0</x:v>
      </x:c>
      <x:c r="AG330" s="4" t="str">
        <x:v>Raw gathered/recovered craft input under the author T0 framework. This does not imply a naturally occurring pure metal.</x:v>
      </x:c>
      <x:c r="AH330" s="4" t="str">
        <x:v>Not applicable</x:v>
      </x:c>
    </x:row>
    <x:row r="331" ht="110" customHeight="1">
      <x:c r="A331" s="9" t="str">
        <x:v>proposal.raw.metal_cable</x:v>
      </x:c>
      <x:c r="B331" s="9" t="str">
        <x:v>Salvaged metal cable</x:v>
      </x:c>
      <x:c r="C331" s="9" t="str">
        <x:v>Resources</x:v>
      </x:c>
      <x:c r="D331" s="9" t="str">
        <x:v>Salvaged feedstock</x:v>
      </x:c>
      <x:c r="E331" s="9" t="str">
        <x:v>New proposal</x:v>
      </x:c>
      <x:c r="F331" s="9" t="str">
        <x:v>Candidate use: binding and construction. Tangible input before specialist preparation.</x:v>
      </x:c>
      <x:c r="G331" s="9" t="str">
        <x:v>None</x:v>
      </x:c>
      <x:c r="H331" s="9" t="str">
        <x:v>Gathered raw/salvage cargo: Legger or local storage; policy TBD</x:v>
      </x:c>
      <x:c r="I331" s="13"/>
      <x:c r="J331" s="15"/>
      <x:c r="K331" s="9" t="str">
        <x:v>Recovered stranded metal lengths from machinery or structures</x:v>
      </x:c>
      <x:c r="L331" s="9" t="str">
        <x:v>Sort, shorten and fit appropriate recovered cable; no recipe or yield authored.</x:v>
      </x:c>
      <x:c r="M331" s="9" t="str">
        <x:v>Not implemented</x:v>
      </x:c>
      <x:c r="N331" s="9" t="str">
        <x:v>Corrosion, broken strands, endpoints and usable load remain undefined. Reuse existing wire-bundle item for electrical wire.</x:v>
      </x:c>
      <x:c r="O331" s="17"/>
      <x:c r="P331" s="17"/>
      <x:c r="Q331" s="17"/>
      <x:c r="R331" s="17"/>
      <x:c r="S331" s="17"/>
      <x:c r="T331" s="9" t="str">
        <x:v>New raw-material proposal; collection, processing grade, mass, trade value and host compatibility undecided. Existing broad resources are reused rather than replaced.</x:v>
      </x:c>
      <x:c r="U331" s="11" t="str">
        <x:v>equipment mounting</x:v>
      </x:c>
      <x:c r="V331" s="9" t="str">
        <x:v>Local brainstorming from author request for grounded raw materials October 14, 2026. These candidates are not claims retrieved from the lore repository.</x:v>
      </x:c>
      <x:c r="W331" s="4" t="str">
        <x:v>Raw material</x:v>
      </x:c>
      <x:c r="X331" s="4" t="str">
        <x:v>Recovered material</x:v>
      </x:c>
      <x:c r="Y331" s="4" t="str">
        <x:v>Industrial salvage</x:v>
      </x:c>
      <x:c r="Z331" s="4" t="str">
        <x:v>Binding and construction</x:v>
      </x:c>
      <x:c r="AA331" s="4" t="str">
        <x:v>Metal</x:v>
      </x:c>
      <x:c r="AB331" s="4" t="str">
        <x:v>Cord</x:v>
      </x:c>
      <x:c r="AC331" s="4" t="str">
        <x:v>Proposal</x:v>
      </x:c>
      <x:c r="AD331" s="4" t="str">
        <x:f>LOWER(A331&amp;"; "&amp;B331&amp;"; "&amp;C331&amp;"; "&amp;D331&amp;"; "&amp;W331&amp;"; "&amp;X331&amp;"; "&amp;Y331&amp;"; "&amp;Z331&amp;"; "&amp;AA331&amp;"; "&amp;AB331&amp;"; "&amp;AC331&amp;"; "&amp;U331)</x:f>
        <x:v>proposal.raw.metal_cable; salvaged metal cable; resources; salvaged feedstock; raw material; recovered material; industrial salvage; binding and construction; metal; cord; proposal; equipment mounting</x:v>
      </x:c>
      <x:c r="AE331" s="4" t="str">
        <x:v>Specific raw form and candidate uses are proposals; no automatic biological function, chemistry, deposit or crafting capability.</x:v>
      </x:c>
      <x:c r="AF331" s="4" t="str">
        <x:v>T0</x:v>
      </x:c>
      <x:c r="AG331" s="4" t="str">
        <x:v>Raw gathered/recovered craft input under the author T0 framework. This does not imply a naturally occurring pure metal.</x:v>
      </x:c>
      <x:c r="AH331" s="4" t="str">
        <x:v>Not applicable</x:v>
      </x:c>
    </x:row>
    <x:row r="332" ht="110" customHeight="1">
      <x:c r="A332" s="9" t="str">
        <x:v>proposal.raw.metal_mesh</x:v>
      </x:c>
      <x:c r="B332" s="9" t="str">
        <x:v>Metal mesh scrap</x:v>
      </x:c>
      <x:c r="C332" s="9" t="str">
        <x:v>Resources</x:v>
      </x:c>
      <x:c r="D332" s="9" t="str">
        <x:v>Salvaged feedstock</x:v>
      </x:c>
      <x:c r="E332" s="9" t="str">
        <x:v>New proposal</x:v>
      </x:c>
      <x:c r="F332" s="9" t="str">
        <x:v>Candidate use: fabrication. Tangible input before specialist preparation.</x:v>
      </x:c>
      <x:c r="G332" s="9" t="str">
        <x:v>None</x:v>
      </x:c>
      <x:c r="H332" s="9" t="str">
        <x:v>Gathered raw/salvage cargo: Legger or local storage; policy TBD</x:v>
      </x:c>
      <x:c r="I332" s="13"/>
      <x:c r="J332" s="15"/>
      <x:c r="K332" s="9" t="str">
        <x:v>Damaged screens, grilles and industrial mesh</x:v>
      </x:c>
      <x:c r="L332" s="9" t="str">
        <x:v>Cut candidate guards, coarse screens or dry-sorting inserts; no recipe or yield authored.</x:v>
      </x:c>
      <x:c r="M332" s="9" t="str">
        <x:v>Not implemented</x:v>
      </x:c>
      <x:c r="N332" s="9" t="str">
        <x:v>Mesh size, soundness and cleanliness must match the use; no automatic fine filtration or food-contact grade.</x:v>
      </x:c>
      <x:c r="O332" s="17"/>
      <x:c r="P332" s="17"/>
      <x:c r="Q332" s="17"/>
      <x:c r="R332" s="17"/>
      <x:c r="S332" s="17"/>
      <x:c r="T332" s="9" t="str">
        <x:v>New raw-material proposal; collection, processing grade, mass, trade value and host compatibility undecided. Existing broad resources are reused rather than replaced.</x:v>
      </x:c>
      <x:c r="U332" s="11" t="str">
        <x:v>protection</x:v>
      </x:c>
      <x:c r="V332" s="9" t="str">
        <x:v>Local brainstorming from author request for grounded raw materials October 14, 2026. These candidates are not claims retrieved from the lore repository.</x:v>
      </x:c>
      <x:c r="W332" s="4" t="str">
        <x:v>Raw material</x:v>
      </x:c>
      <x:c r="X332" s="4" t="str">
        <x:v>Recovered material</x:v>
      </x:c>
      <x:c r="Y332" s="4" t="str">
        <x:v>Industrial salvage</x:v>
      </x:c>
      <x:c r="Z332" s="4" t="str">
        <x:v>Fabrication</x:v>
      </x:c>
      <x:c r="AA332" s="4" t="str">
        <x:v>Metal</x:v>
      </x:c>
      <x:c r="AB332" s="4" t="str">
        <x:v>Sheet</x:v>
      </x:c>
      <x:c r="AC332" s="4" t="str">
        <x:v>Proposal</x:v>
      </x:c>
      <x:c r="AD332" s="4" t="str">
        <x:f>LOWER(A332&amp;"; "&amp;B332&amp;"; "&amp;C332&amp;"; "&amp;D332&amp;"; "&amp;W332&amp;"; "&amp;X332&amp;"; "&amp;Y332&amp;"; "&amp;Z332&amp;"; "&amp;AA332&amp;"; "&amp;AB332&amp;"; "&amp;AC332&amp;"; "&amp;U332)</x:f>
        <x:v>proposal.raw.metal_mesh; metal mesh scrap; resources; salvaged feedstock; raw material; recovered material; industrial salvage; fabrication; metal; sheet; proposal; protection</x:v>
      </x:c>
      <x:c r="AE332" s="4" t="str">
        <x:v>Specific raw form and candidate uses are proposals; no automatic biological function, chemistry, deposit or crafting capability.</x:v>
      </x:c>
      <x:c r="AF332" s="4" t="str">
        <x:v>T0</x:v>
      </x:c>
      <x:c r="AG332" s="4" t="str">
        <x:v>Raw gathered/recovered craft input under the author T0 framework. This does not imply a naturally occurring pure metal.</x:v>
      </x:c>
      <x:c r="AH332" s="4" t="str">
        <x:v>Not applicable</x:v>
      </x:c>
    </x:row>
    <x:row r="333" ht="110" customHeight="1">
      <x:c r="A333" s="9" t="str">
        <x:v>proposal.raw.clinker</x:v>
      </x:c>
      <x:c r="B333" s="9" t="str">
        <x:v>Furnace clinker chunks</x:v>
      </x:c>
      <x:c r="C333" s="9" t="str">
        <x:v>Resources</x:v>
      </x:c>
      <x:c r="D333" s="9" t="str">
        <x:v>Salvaged feedstock</x:v>
      </x:c>
      <x:c r="E333" s="9" t="str">
        <x:v>New proposal</x:v>
      </x:c>
      <x:c r="F333" s="9" t="str">
        <x:v>Candidate use: binding and construction. Tangible input before specialist preparation.</x:v>
      </x:c>
      <x:c r="G333" s="9" t="str">
        <x:v>None</x:v>
      </x:c>
      <x:c r="H333" s="9" t="str">
        <x:v>Gathered raw/salvage cargo: Legger or local storage; policy TBD</x:v>
      </x:c>
      <x:c r="I333" s="13"/>
      <x:c r="J333" s="15"/>
      <x:c r="K333" s="9" t="str">
        <x:v>Solid waste chunks from identified furnace sites</x:v>
      </x:c>
      <x:c r="L333" s="9" t="str">
        <x:v>Sort possible aggregate or bulk-fill candidates; no recipe or yield authored.</x:v>
      </x:c>
      <x:c r="M333" s="9" t="str">
        <x:v>Not implemented</x:v>
      </x:c>
      <x:c r="N333" s="9" t="str">
        <x:v>Composition and contaminants vary. Reuse is proposed; not all furnace waste is useful ore or safe construction feed.</x:v>
      </x:c>
      <x:c r="O333" s="17"/>
      <x:c r="P333" s="17"/>
      <x:c r="Q333" s="17"/>
      <x:c r="R333" s="17"/>
      <x:c r="S333" s="17"/>
      <x:c r="T333" s="9" t="str">
        <x:v>New raw-material proposal; collection, processing grade, mass, trade value and host compatibility undecided. Existing broad resources are reused rather than replaced.</x:v>
      </x:c>
      <x:c r="U333" s="11"/>
      <x:c r="V333" s="9" t="str">
        <x:v>Local brainstorming from author request for grounded raw materials October 14, 2026. These candidates are not claims retrieved from the lore repository.</x:v>
      </x:c>
      <x:c r="W333" s="4" t="str">
        <x:v>Raw material</x:v>
      </x:c>
      <x:c r="X333" s="4" t="str">
        <x:v>Recovered material</x:v>
      </x:c>
      <x:c r="Y333" s="4" t="str">
        <x:v>Industrial salvage</x:v>
      </x:c>
      <x:c r="Z333" s="4" t="str">
        <x:v>Binding and construction</x:v>
      </x:c>
      <x:c r="AA333" s="4" t="str">
        <x:v>Mixed / unresolved</x:v>
      </x:c>
      <x:c r="AB333" s="4" t="str">
        <x:v>Rock</x:v>
      </x:c>
      <x:c r="AC333" s="4" t="str">
        <x:v>Proposal</x:v>
      </x:c>
      <x:c r="AD333" s="4" t="str">
        <x:f>LOWER(A333&amp;"; "&amp;B333&amp;"; "&amp;C333&amp;"; "&amp;D333&amp;"; "&amp;W333&amp;"; "&amp;X333&amp;"; "&amp;Y333&amp;"; "&amp;Z333&amp;"; "&amp;AA333&amp;"; "&amp;AB333&amp;"; "&amp;AC333&amp;"; "&amp;U333)</x:f>
        <x:v>proposal.raw.clinker; furnace clinker chunks; resources; salvaged feedstock; raw material; recovered material; industrial salvage; binding and construction; mixed / unresolved; rock; proposal; </x:v>
      </x:c>
      <x:c r="AE333" s="4" t="str">
        <x:v>Specific raw form and candidate uses are proposals; no automatic biological function, chemistry, deposit or crafting capability.</x:v>
      </x:c>
      <x:c r="AF333" s="4" t="str">
        <x:v>T0</x:v>
      </x:c>
      <x:c r="AG333" s="4" t="str">
        <x:v>Raw gathered/recovered craft input under the author T0 framework. This does not imply a naturally occurring pure metal.</x:v>
      </x:c>
      <x:c r="AH333" s="4" t="str">
        <x:v>Not applicable</x:v>
      </x:c>
    </x:row>
    <x:row r="334" ht="110" customHeight="1">
      <x:c r="A334" s="9" t="str">
        <x:v>proposal.raw.spent_refractory</x:v>
      </x:c>
      <x:c r="B334" s="9" t="str">
        <x:v>Spent refractory chunks</x:v>
      </x:c>
      <x:c r="C334" s="9" t="str">
        <x:v>Resources</x:v>
      </x:c>
      <x:c r="D334" s="9" t="str">
        <x:v>Salvaged feedstock</x:v>
      </x:c>
      <x:c r="E334" s="9" t="str">
        <x:v>New proposal</x:v>
      </x:c>
      <x:c r="F334" s="9" t="str">
        <x:v>Candidate use: glass and ceramics. Tangible input before specialist preparation.</x:v>
      </x:c>
      <x:c r="G334" s="9" t="str">
        <x:v>None</x:v>
      </x:c>
      <x:c r="H334" s="9" t="str">
        <x:v>Gathered raw/salvage cargo: Legger or local storage; policy TBD</x:v>
      </x:c>
      <x:c r="I334" s="13"/>
      <x:c r="J334" s="15"/>
      <x:c r="K334" s="9" t="str">
        <x:v>Broken identified furnace/kiln lining pieces</x:v>
      </x:c>
      <x:c r="L334" s="9" t="str">
        <x:v>Grade salvage as a possible body/fill input or selected repair piece; no recipe or yield authored.</x:v>
      </x:c>
      <x:c r="M334" s="9" t="str">
        <x:v>Not implemented</x:v>
      </x:c>
      <x:c r="N334" s="9" t="str">
        <x:v>Heat history and contamination matter; original heat-service performance is not automatically retained.</x:v>
      </x:c>
      <x:c r="O334" s="17"/>
      <x:c r="P334" s="17"/>
      <x:c r="Q334" s="17"/>
      <x:c r="R334" s="17"/>
      <x:c r="S334" s="17"/>
      <x:c r="T334" s="9" t="str">
        <x:v>New raw-material proposal; collection, processing grade, mass, trade value and host compatibility undecided. Existing broad resources are reused rather than replaced.</x:v>
      </x:c>
      <x:c r="U334" s="11" t="str">
        <x:v>equipment repair</x:v>
      </x:c>
      <x:c r="V334" s="9" t="str">
        <x:v>Local brainstorming from author request for grounded raw materials October 14, 2026. These candidates are not claims retrieved from the lore repository.</x:v>
      </x:c>
      <x:c r="W334" s="4" t="str">
        <x:v>Raw material</x:v>
      </x:c>
      <x:c r="X334" s="4" t="str">
        <x:v>Recovered material</x:v>
      </x:c>
      <x:c r="Y334" s="4" t="str">
        <x:v>Industrial salvage</x:v>
      </x:c>
      <x:c r="Z334" s="4" t="str">
        <x:v>Glass and ceramics</x:v>
      </x:c>
      <x:c r="AA334" s="4" t="str">
        <x:v>Ceramic</x:v>
      </x:c>
      <x:c r="AB334" s="4" t="str">
        <x:v>Solid piece</x:v>
      </x:c>
      <x:c r="AC334" s="4" t="str">
        <x:v>Proposal</x:v>
      </x:c>
      <x:c r="AD334" s="4" t="str">
        <x:f>LOWER(A334&amp;"; "&amp;B334&amp;"; "&amp;C334&amp;"; "&amp;D334&amp;"; "&amp;W334&amp;"; "&amp;X334&amp;"; "&amp;Y334&amp;"; "&amp;Z334&amp;"; "&amp;AA334&amp;"; "&amp;AB334&amp;"; "&amp;AC334&amp;"; "&amp;U334)</x:f>
        <x:v>proposal.raw.spent_refractory; spent refractory chunks; resources; salvaged feedstock; raw material; recovered material; industrial salvage; glass and ceramics; ceramic; solid piece; proposal; equipment repair</x:v>
      </x:c>
      <x:c r="AE334" s="4" t="str">
        <x:v>Specific raw form and candidate uses are proposals; no automatic biological function, chemistry, deposit or crafting capability.</x:v>
      </x:c>
      <x:c r="AF334" s="4" t="str">
        <x:v>T0</x:v>
      </x:c>
      <x:c r="AG334" s="4" t="str">
        <x:v>Raw gathered/recovered craft input under the author T0 framework. This does not imply a naturally occurring pure metal.</x:v>
      </x:c>
      <x:c r="AH334" s="4" t="str">
        <x:v>Not applicable</x:v>
      </x:c>
    </x:row>
    <x:row r="335" ht="110" customHeight="1">
      <x:c r="A335" s="9" t="str">
        <x:v>proposal.raw.sandstone</x:v>
      </x:c>
      <x:c r="B335" s="9" t="str">
        <x:v>Sandstone blocks</x:v>
      </x:c>
      <x:c r="C335" s="9" t="str">
        <x:v>Resources</x:v>
      </x:c>
      <x:c r="D335" s="9" t="str">
        <x:v>Stone feedstock</x:v>
      </x:c>
      <x:c r="E335" s="9" t="str">
        <x:v>New proposal</x:v>
      </x:c>
      <x:c r="F335" s="9" t="str">
        <x:v>Candidate use: binding and construction. Tangible input before specialist preparation.</x:v>
      </x:c>
      <x:c r="G335" s="9" t="str">
        <x:v>None</x:v>
      </x:c>
      <x:c r="H335" s="9" t="str">
        <x:v>Gathered raw/salvage cargo: Legger or local storage; policy TBD</x:v>
      </x:c>
      <x:c r="I335" s="13"/>
      <x:c r="J335" s="15"/>
      <x:c r="K335" s="9" t="str">
        <x:v>Loose blocks from suitable old sedimentary formations</x:v>
      </x:c>
      <x:c r="L335" s="9" t="str">
        <x:v>Select and dress building or workshop blocks; no recipe or yield authored.</x:v>
      </x:c>
      <x:c r="M335" s="9" t="str">
        <x:v>Not implemented</x:v>
      </x:c>
      <x:c r="N335" s="9" t="str">
        <x:v>Ancient rock origin does not establish present-day rivers or water; strength and service grade TBD.</x:v>
      </x:c>
      <x:c r="O335" s="17"/>
      <x:c r="P335" s="17"/>
      <x:c r="Q335" s="17"/>
      <x:c r="R335" s="17"/>
      <x:c r="S335" s="17"/>
      <x:c r="T335" s="9" t="str">
        <x:v>New raw-material proposal; collection, processing grade, mass, trade value and host compatibility undecided. Existing broad resources are reused rather than replaced.</x:v>
      </x:c>
      <x:c r="U335" s="11"/>
      <x:c r="V335" s="9" t="str">
        <x:v>Local brainstorming from author request for grounded raw materials October 14, 2026. These candidates are not claims retrieved from the lore repository.</x:v>
      </x:c>
      <x:c r="W335" s="4" t="str">
        <x:v>Raw material</x:v>
      </x:c>
      <x:c r="X335" s="4" t="str">
        <x:v>Raw</x:v>
      </x:c>
      <x:c r="Y335" s="4" t="str">
        <x:v>Geological</x:v>
      </x:c>
      <x:c r="Z335" s="4" t="str">
        <x:v>Binding and construction</x:v>
      </x:c>
      <x:c r="AA335" s="4" t="str">
        <x:v>Mineral</x:v>
      </x:c>
      <x:c r="AB335" s="4" t="str">
        <x:v>Rock</x:v>
      </x:c>
      <x:c r="AC335" s="4" t="str">
        <x:v>Proposal</x:v>
      </x:c>
      <x:c r="AD335" s="4" t="str">
        <x:f>LOWER(A335&amp;"; "&amp;B335&amp;"; "&amp;C335&amp;"; "&amp;D335&amp;"; "&amp;W335&amp;"; "&amp;X335&amp;"; "&amp;Y335&amp;"; "&amp;Z335&amp;"; "&amp;AA335&amp;"; "&amp;AB335&amp;"; "&amp;AC335&amp;"; "&amp;U335)</x:f>
        <x:v>proposal.raw.sandstone; sandstone blocks; resources; stone feedstock; raw material; raw; geological; binding and construction; mineral; rock; proposal; </x:v>
      </x:c>
      <x:c r="AE335" s="4" t="str">
        <x:v>Specific raw form and candidate uses are proposals; no automatic biological function, chemistry, deposit or crafting capability.</x:v>
      </x:c>
      <x:c r="AF335" s="4" t="str">
        <x:v>T0</x:v>
      </x:c>
      <x:c r="AG335" s="4" t="str">
        <x:v>Raw gathered/recovered craft input under the author T0 framework. This does not imply a naturally occurring pure metal.</x:v>
      </x:c>
      <x:c r="AH335" s="4" t="str">
        <x:v>Not applicable</x:v>
      </x:c>
    </x:row>
    <x:row r="336" ht="110" customHeight="1">
      <x:c r="A336" s="9" t="str">
        <x:v>proposal.raw.obsidian</x:v>
      </x:c>
      <x:c r="B336" s="9" t="str">
        <x:v>Obsidian chunks</x:v>
      </x:c>
      <x:c r="C336" s="9" t="str">
        <x:v>Resources</x:v>
      </x:c>
      <x:c r="D336" s="9" t="str">
        <x:v>Stone feedstock</x:v>
      </x:c>
      <x:c r="E336" s="9" t="str">
        <x:v>New proposal</x:v>
      </x:c>
      <x:c r="F336" s="9" t="str">
        <x:v>Candidate use: tool fabrication. Tangible input before specialist preparation.</x:v>
      </x:c>
      <x:c r="G336" s="9" t="str">
        <x:v>None</x:v>
      </x:c>
      <x:c r="H336" s="9" t="str">
        <x:v>Gathered raw/salvage cargo: Legger or local storage; policy TBD</x:v>
      </x:c>
      <x:c r="I336" s="13"/>
      <x:c r="J336" s="15"/>
      <x:c r="K336" s="9" t="str">
        <x:v>Dark glassy rock pieces from proposed ancient volcanic deposits</x:v>
      </x:c>
      <x:c r="L336" s="9" t="str">
        <x:v>Select candidate cutting-edge or small inset blanks; no recipe or yield authored.</x:v>
      </x:c>
      <x:c r="M336" s="9" t="str">
        <x:v>Not implemented</x:v>
      </x:c>
      <x:c r="N336" s="9" t="str">
        <x:v>Deposit occurrence, working method, edge durability and handling remain design questions.</x:v>
      </x:c>
      <x:c r="O336" s="17"/>
      <x:c r="P336" s="17"/>
      <x:c r="Q336" s="17"/>
      <x:c r="R336" s="17"/>
      <x:c r="S336" s="17"/>
      <x:c r="T336" s="9" t="str">
        <x:v>New raw-material proposal; collection, processing grade, mass, trade value and host compatibility undecided. Existing broad resources are reused rather than replaced.</x:v>
      </x:c>
      <x:c r="U336" s="11"/>
      <x:c r="V336" s="9" t="str">
        <x:v>Local brainstorming from author request for grounded raw materials October 14, 2026. These candidates are not claims retrieved from the lore repository.</x:v>
      </x:c>
      <x:c r="W336" s="4" t="str">
        <x:v>Raw material</x:v>
      </x:c>
      <x:c r="X336" s="4" t="str">
        <x:v>Raw</x:v>
      </x:c>
      <x:c r="Y336" s="4" t="str">
        <x:v>Geological</x:v>
      </x:c>
      <x:c r="Z336" s="4" t="str">
        <x:v>Tool fabrication</x:v>
      </x:c>
      <x:c r="AA336" s="4" t="str">
        <x:v>Mineral</x:v>
      </x:c>
      <x:c r="AB336" s="4" t="str">
        <x:v>Rock</x:v>
      </x:c>
      <x:c r="AC336" s="4" t="str">
        <x:v>Proposal</x:v>
      </x:c>
      <x:c r="AD336" s="4" t="str">
        <x:f>LOWER(A336&amp;"; "&amp;B336&amp;"; "&amp;C336&amp;"; "&amp;D336&amp;"; "&amp;W336&amp;"; "&amp;X336&amp;"; "&amp;Y336&amp;"; "&amp;Z336&amp;"; "&amp;AA336&amp;"; "&amp;AB336&amp;"; "&amp;AC336&amp;"; "&amp;U336)</x:f>
        <x:v>proposal.raw.obsidian; obsidian chunks; resources; stone feedstock; raw material; raw; geological; tool fabrication; mineral; rock; proposal; </x:v>
      </x:c>
      <x:c r="AE336" s="4" t="str">
        <x:v>Specific raw form and candidate uses are proposals; no automatic biological function, chemistry, deposit or crafting capability.</x:v>
      </x:c>
      <x:c r="AF336" s="4" t="str">
        <x:v>T0</x:v>
      </x:c>
      <x:c r="AG336" s="4" t="str">
        <x:v>Raw gathered/recovered craft input under the author T0 framework. This does not imply a naturally occurring pure metal.</x:v>
      </x:c>
      <x:c r="AH336" s="4" t="str">
        <x:v>Not applicable</x:v>
      </x:c>
    </x:row>
    <x:row r="337" ht="110" customHeight="1">
      <x:c r="A337" s="9" t="str">
        <x:v>proposal.raw.emery</x:v>
      </x:c>
      <x:c r="B337" s="9" t="str">
        <x:v>Emery-bearing lumps</x:v>
      </x:c>
      <x:c r="C337" s="9" t="str">
        <x:v>Resources</x:v>
      </x:c>
      <x:c r="D337" s="9" t="str">
        <x:v>Stone feedstock</x:v>
      </x:c>
      <x:c r="E337" s="9" t="str">
        <x:v>New proposal</x:v>
      </x:c>
      <x:c r="F337" s="9" t="str">
        <x:v>Candidate use: surface finishing. Tangible input before specialist preparation.</x:v>
      </x:c>
      <x:c r="G337" s="9" t="str">
        <x:v>None</x:v>
      </x:c>
      <x:c r="H337" s="9" t="str">
        <x:v>Gathered raw/salvage cargo: Legger or local storage; policy TBD</x:v>
      </x:c>
      <x:c r="I337" s="13"/>
      <x:c r="J337" s="15"/>
      <x:c r="K337" s="9" t="str">
        <x:v>Rough dark abrasive-bearing stone lumps</x:v>
      </x:c>
      <x:c r="L337" s="9" t="str">
        <x:v>Grade candidate grinding or polishing feed; no recipe or yield authored.</x:v>
      </x:c>
      <x:c r="M337" s="9" t="str">
        <x:v>Not implemented</x:v>
      </x:c>
      <x:c r="N337" s="9" t="str">
        <x:v>A specific abrasive mineral input proposal; no accepted geology or universal abrasive grade.</x:v>
      </x:c>
      <x:c r="O337" s="17"/>
      <x:c r="P337" s="17"/>
      <x:c r="Q337" s="17"/>
      <x:c r="R337" s="17"/>
      <x:c r="S337" s="17"/>
      <x:c r="T337" s="9" t="str">
        <x:v>New raw-material proposal; collection, processing grade, mass, trade value and host compatibility undecided. Existing broad resources are reused rather than replaced.</x:v>
      </x:c>
      <x:c r="U337" s="11"/>
      <x:c r="V337" s="9" t="str">
        <x:v>Local brainstorming from author request for grounded raw materials October 14, 2026. These candidates are not claims retrieved from the lore repository.</x:v>
      </x:c>
      <x:c r="W337" s="4" t="str">
        <x:v>Raw material</x:v>
      </x:c>
      <x:c r="X337" s="4" t="str">
        <x:v>Raw</x:v>
      </x:c>
      <x:c r="Y337" s="4" t="str">
        <x:v>Geological</x:v>
      </x:c>
      <x:c r="Z337" s="4" t="str">
        <x:v>Surface finishing</x:v>
      </x:c>
      <x:c r="AA337" s="4" t="str">
        <x:v>Mineral</x:v>
      </x:c>
      <x:c r="AB337" s="4" t="str">
        <x:v>Rock</x:v>
      </x:c>
      <x:c r="AC337" s="4" t="str">
        <x:v>Proposal</x:v>
      </x:c>
      <x:c r="AD337" s="4" t="str">
        <x:f>LOWER(A337&amp;"; "&amp;B337&amp;"; "&amp;C337&amp;"; "&amp;D337&amp;"; "&amp;W337&amp;"; "&amp;X337&amp;"; "&amp;Y337&amp;"; "&amp;Z337&amp;"; "&amp;AA337&amp;"; "&amp;AB337&amp;"; "&amp;AC337&amp;"; "&amp;U337)</x:f>
        <x:v>proposal.raw.emery; emery-bearing lumps; resources; stone feedstock; raw material; raw; geological; surface finishing; mineral; rock; proposal; </x:v>
      </x:c>
      <x:c r="AE337" s="4" t="str">
        <x:v>Specific raw form and candidate uses are proposals; no automatic biological function, chemistry, deposit or crafting capability.</x:v>
      </x:c>
      <x:c r="AF337" s="4" t="str">
        <x:v>T0</x:v>
      </x:c>
      <x:c r="AG337" s="4" t="str">
        <x:v>Raw gathered/recovered craft input under the author T0 framework. This does not imply a naturally occurring pure metal.</x:v>
      </x:c>
      <x:c r="AH337" s="4" t="str">
        <x:v>Not applicable</x:v>
      </x:c>
    </x:row>
    <x:row r="338" ht="110" customHeight="1">
      <x:c r="A338" s="9" t="str">
        <x:v>proposal.raw.barite</x:v>
      </x:c>
      <x:c r="B338" s="9" t="str">
        <x:v>Dense barite lumps</x:v>
      </x:c>
      <x:c r="C338" s="9" t="str">
        <x:v>Resources</x:v>
      </x:c>
      <x:c r="D338" s="9" t="str">
        <x:v>Stone feedstock</x:v>
      </x:c>
      <x:c r="E338" s="9" t="str">
        <x:v>New proposal</x:v>
      </x:c>
      <x:c r="F338" s="9" t="str">
        <x:v>Candidate use: fabrication. Tangible input before specialist preparation.</x:v>
      </x:c>
      <x:c r="G338" s="9" t="str">
        <x:v>None</x:v>
      </x:c>
      <x:c r="H338" s="9" t="str">
        <x:v>Gathered raw/salvage cargo: Legger or local storage; policy TBD</x:v>
      </x:c>
      <x:c r="I338" s="13"/>
      <x:c r="J338" s="15"/>
      <x:c r="K338" s="9" t="str">
        <x:v>Heavy pale mineral chunks from suitable seams</x:v>
      </x:c>
      <x:c r="L338" s="9" t="str">
        <x:v>Select possible counterweights or dense filler feed; no recipe or yield authored.</x:v>
      </x:c>
      <x:c r="M338" s="9" t="str">
        <x:v>Not implemented</x:v>
      </x:c>
      <x:c r="N338" s="9" t="str">
        <x:v>Proposed mineral type; exact density, purity and safe service are not assigned.</x:v>
      </x:c>
      <x:c r="O338" s="17"/>
      <x:c r="P338" s="17"/>
      <x:c r="Q338" s="17"/>
      <x:c r="R338" s="17"/>
      <x:c r="S338" s="17"/>
      <x:c r="T338" s="9" t="str">
        <x:v>New raw-material proposal; collection, processing grade, mass, trade value and host compatibility undecided. Existing broad resources are reused rather than replaced.</x:v>
      </x:c>
      <x:c r="U338" s="11"/>
      <x:c r="V338" s="9" t="str">
        <x:v>Local brainstorming from author request for grounded raw materials October 14, 2026. These candidates are not claims retrieved from the lore repository.</x:v>
      </x:c>
      <x:c r="W338" s="4" t="str">
        <x:v>Raw material</x:v>
      </x:c>
      <x:c r="X338" s="4" t="str">
        <x:v>Raw</x:v>
      </x:c>
      <x:c r="Y338" s="4" t="str">
        <x:v>Geological</x:v>
      </x:c>
      <x:c r="Z338" s="4" t="str">
        <x:v>Fabrication</x:v>
      </x:c>
      <x:c r="AA338" s="4" t="str">
        <x:v>Mineral</x:v>
      </x:c>
      <x:c r="AB338" s="4" t="str">
        <x:v>Rock</x:v>
      </x:c>
      <x:c r="AC338" s="4" t="str">
        <x:v>Proposal</x:v>
      </x:c>
      <x:c r="AD338" s="4" t="str">
        <x:f>LOWER(A338&amp;"; "&amp;B338&amp;"; "&amp;C338&amp;"; "&amp;D338&amp;"; "&amp;W338&amp;"; "&amp;X338&amp;"; "&amp;Y338&amp;"; "&amp;Z338&amp;"; "&amp;AA338&amp;"; "&amp;AB338&amp;"; "&amp;AC338&amp;"; "&amp;U338)</x:f>
        <x:v>proposal.raw.barite; dense barite lumps; resources; stone feedstock; raw material; raw; geological; fabrication; mineral; rock; proposal; </x:v>
      </x:c>
      <x:c r="AE338" s="4" t="str">
        <x:v>Specific raw form and candidate uses are proposals; no automatic biological function, chemistry, deposit or crafting capability.</x:v>
      </x:c>
      <x:c r="AF338" s="4" t="str">
        <x:v>T0</x:v>
      </x:c>
      <x:c r="AG338" s="4" t="str">
        <x:v>Raw gathered/recovered craft input under the author T0 framework. This does not imply a naturally occurring pure metal.</x:v>
      </x:c>
      <x:c r="AH338" s="4" t="str">
        <x:v>Not applicable</x:v>
      </x:c>
    </x:row>
    <x:row r="339" ht="110" customHeight="1">
      <x:c r="A339" s="9" t="str">
        <x:v>proposal.raw.grinding_pebbles</x:v>
      </x:c>
      <x:c r="B339" s="9" t="str">
        <x:v>Rounded grinding stones</x:v>
      </x:c>
      <x:c r="C339" s="9" t="str">
        <x:v>Resources</x:v>
      </x:c>
      <x:c r="D339" s="9" t="str">
        <x:v>Stone feedstock</x:v>
      </x:c>
      <x:c r="E339" s="9" t="str">
        <x:v>New proposal</x:v>
      </x:c>
      <x:c r="F339" s="9" t="str">
        <x:v>Candidate use: chemical processing. Tangible input before specialist preparation.</x:v>
      </x:c>
      <x:c r="G339" s="9" t="str">
        <x:v>None</x:v>
      </x:c>
      <x:c r="H339" s="9" t="str">
        <x:v>Gathered raw/salvage cargo: Legger or local storage; policy TBD</x:v>
      </x:c>
      <x:c r="I339" s="13"/>
      <x:c r="J339" s="15"/>
      <x:c r="K339" s="9" t="str">
        <x:v>Naturally rounded hard stones preserved in ancient deposits or shaped by long wear</x:v>
      </x:c>
      <x:c r="L339" s="9" t="str">
        <x:v>Select candidate hand-grinding stones or processing media; no recipe or yield authored.</x:v>
      </x:c>
      <x:c r="M339" s="9" t="str">
        <x:v>Not implemented</x:v>
      </x:c>
      <x:c r="N339" s="9" t="str">
        <x:v>Natural shape is not a finished pestle or food-contact qualification. No active water erosion assumed.</x:v>
      </x:c>
      <x:c r="O339" s="17"/>
      <x:c r="P339" s="17"/>
      <x:c r="Q339" s="17"/>
      <x:c r="R339" s="17"/>
      <x:c r="S339" s="17"/>
      <x:c r="T339" s="9" t="str">
        <x:v>New raw-material proposal; collection, processing grade, mass, trade value and host compatibility undecided. Existing broad resources are reused rather than replaced.</x:v>
      </x:c>
      <x:c r="U339" s="11" t="str">
        <x:v>food preparation</x:v>
      </x:c>
      <x:c r="V339" s="9" t="str">
        <x:v>Local brainstorming from author request for grounded raw materials October 14, 2026. These candidates are not claims retrieved from the lore repository.</x:v>
      </x:c>
      <x:c r="W339" s="4" t="str">
        <x:v>Raw material</x:v>
      </x:c>
      <x:c r="X339" s="4" t="str">
        <x:v>Raw</x:v>
      </x:c>
      <x:c r="Y339" s="4" t="str">
        <x:v>Geological</x:v>
      </x:c>
      <x:c r="Z339" s="4" t="str">
        <x:v>Chemical processing</x:v>
      </x:c>
      <x:c r="AA339" s="4" t="str">
        <x:v>Mineral</x:v>
      </x:c>
      <x:c r="AB339" s="4" t="str">
        <x:v>Rock</x:v>
      </x:c>
      <x:c r="AC339" s="4" t="str">
        <x:v>Proposal</x:v>
      </x:c>
      <x:c r="AD339" s="4" t="str">
        <x:f>LOWER(A339&amp;"; "&amp;B339&amp;"; "&amp;C339&amp;"; "&amp;D339&amp;"; "&amp;W339&amp;"; "&amp;X339&amp;"; "&amp;Y339&amp;"; "&amp;Z339&amp;"; "&amp;AA339&amp;"; "&amp;AB339&amp;"; "&amp;AC339&amp;"; "&amp;U339)</x:f>
        <x:v>proposal.raw.grinding_pebbles; rounded grinding stones; resources; stone feedstock; raw material; raw; geological; chemical processing; mineral; rock; proposal; food preparation</x:v>
      </x:c>
      <x:c r="AE339" s="4" t="str">
        <x:v>Specific raw form and candidate uses are proposals; no automatic biological function, chemistry, deposit or crafting capability.</x:v>
      </x:c>
      <x:c r="AF339" s="4" t="str">
        <x:v>T0</x:v>
      </x:c>
      <x:c r="AG339" s="4" t="str">
        <x:v>Raw gathered/recovered craft input under the author T0 framework. This does not imply a naturally occurring pure metal.</x:v>
      </x:c>
      <x:c r="AH339" s="4" t="str">
        <x:v>Not applicable</x:v>
      </x:c>
    </x:row>
    <x:row r="340" ht="110" customHeight="1">
      <x:c r="A340" s="9" t="str">
        <x:v>proposal.raw.ochre</x:v>
      </x:c>
      <x:c r="B340" s="9" t="str">
        <x:v>Yellow ochre clods</x:v>
      </x:c>
      <x:c r="C340" s="9" t="str">
        <x:v>Resources</x:v>
      </x:c>
      <x:c r="D340" s="9" t="str">
        <x:v>Stone feedstock</x:v>
      </x:c>
      <x:c r="E340" s="9" t="str">
        <x:v>New proposal</x:v>
      </x:c>
      <x:c r="F340" s="9" t="str">
        <x:v>Candidate use: decoration. Tangible input before specialist preparation.</x:v>
      </x:c>
      <x:c r="G340" s="9" t="str">
        <x:v>None</x:v>
      </x:c>
      <x:c r="H340" s="9" t="str">
        <x:v>Gathered raw/salvage cargo: Legger or local storage; policy TBD</x:v>
      </x:c>
      <x:c r="I340" s="13"/>
      <x:c r="J340" s="15"/>
      <x:c r="K340" s="9" t="str">
        <x:v>Earthy yellow mineral clods in proposed old deposits</x:v>
      </x:c>
      <x:c r="L340" s="9" t="str">
        <x:v>Sort and prepare candidate marking or colorant feed; no recipe or yield authored.</x:v>
      </x:c>
      <x:c r="M340" s="9" t="str">
        <x:v>Not implemented</x:v>
      </x:c>
      <x:c r="N340" s="9" t="str">
        <x:v>An appearance-grade raw input, distinct from generic hematite ore; pigment formulation and deposit distribution TBD.</x:v>
      </x:c>
      <x:c r="O340" s="17"/>
      <x:c r="P340" s="17"/>
      <x:c r="Q340" s="17"/>
      <x:c r="R340" s="17"/>
      <x:c r="S340" s="17"/>
      <x:c r="T340" s="9" t="str">
        <x:v>New raw-material proposal; collection, processing grade, mass, trade value and host compatibility undecided. Existing broad resources are reused rather than replaced.</x:v>
      </x:c>
      <x:c r="U340" s="11" t="str">
        <x:v>writing and records</x:v>
      </x:c>
      <x:c r="V340" s="9" t="str">
        <x:v>Local brainstorming from author request for grounded raw materials October 14, 2026. These candidates are not claims retrieved from the lore repository.</x:v>
      </x:c>
      <x:c r="W340" s="4" t="str">
        <x:v>Raw material</x:v>
      </x:c>
      <x:c r="X340" s="4" t="str">
        <x:v>Raw</x:v>
      </x:c>
      <x:c r="Y340" s="4" t="str">
        <x:v>Geological</x:v>
      </x:c>
      <x:c r="Z340" s="4" t="str">
        <x:v>Decoration</x:v>
      </x:c>
      <x:c r="AA340" s="4" t="str">
        <x:v>Mineral</x:v>
      </x:c>
      <x:c r="AB340" s="4" t="str">
        <x:v>Rock</x:v>
      </x:c>
      <x:c r="AC340" s="4" t="str">
        <x:v>Proposal</x:v>
      </x:c>
      <x:c r="AD340" s="4" t="str">
        <x:f>LOWER(A340&amp;"; "&amp;B340&amp;"; "&amp;C340&amp;"; "&amp;D340&amp;"; "&amp;W340&amp;"; "&amp;X340&amp;"; "&amp;Y340&amp;"; "&amp;Z340&amp;"; "&amp;AA340&amp;"; "&amp;AB340&amp;"; "&amp;AC340&amp;"; "&amp;U340)</x:f>
        <x:v>proposal.raw.ochre; yellow ochre clods; resources; stone feedstock; raw material; raw; geological; decoration; mineral; rock; proposal; writing and records</x:v>
      </x:c>
      <x:c r="AE340" s="4" t="str">
        <x:v>Specific raw form and candidate uses are proposals; no automatic biological function, chemistry, deposit or crafting capability.</x:v>
      </x:c>
      <x:c r="AF340" s="4" t="str">
        <x:v>T0</x:v>
      </x:c>
      <x:c r="AG340" s="4" t="str">
        <x:v>Raw gathered/recovered craft input under the author T0 framework. This does not imply a naturally occurring pure metal.</x:v>
      </x:c>
      <x:c r="AH340" s="4" t="str">
        <x:v>Not applicable</x:v>
      </x:c>
    </x:row>
    <x:row r="341" ht="110" customHeight="1">
      <x:c r="A341" s="9" t="str">
        <x:v>proposal.raw.horn_core</x:v>
      </x:c>
      <x:c r="B341" s="9" t="str">
        <x:v>Fauna horn cores</x:v>
      </x:c>
      <x:c r="C341" s="9" t="str">
        <x:v>Resources</x:v>
      </x:c>
      <x:c r="D341" s="9" t="str">
        <x:v>Faunal hard-part feedstock</x:v>
      </x:c>
      <x:c r="E341" s="9" t="str">
        <x:v>New proposal</x:v>
      </x:c>
      <x:c r="F341" s="9" t="str">
        <x:v>Candidate use: tool fabrication. Tangible input before specialist preparation.</x:v>
      </x:c>
      <x:c r="G341" s="9" t="str">
        <x:v>None</x:v>
      </x:c>
      <x:c r="H341" s="9" t="str">
        <x:v>Gathered raw/salvage cargo: Legger or local storage; policy TBD</x:v>
      </x:c>
      <x:c r="I341" s="13"/>
      <x:c r="J341" s="15"/>
      <x:c r="K341" s="9" t="str">
        <x:v>Hard internal horn pieces from selected horn-bearing fauna</x:v>
      </x:c>
      <x:c r="L341" s="9" t="str">
        <x:v>Shape candidate handles, spacers or tool blanks; no recipe or yield authored.</x:v>
      </x:c>
      <x:c r="M341" s="9" t="str">
        <x:v>Not implemented</x:v>
      </x:c>
      <x:c r="N341" s="9" t="str">
        <x:v>Horn anatomy and composition remain species proposals; no conventional bone or keratin assumption.</x:v>
      </x:c>
      <x:c r="O341" s="17"/>
      <x:c r="P341" s="17"/>
      <x:c r="Q341" s="17"/>
      <x:c r="R341" s="17"/>
      <x:c r="S341" s="17"/>
      <x:c r="T341" s="9" t="str">
        <x:v>New raw-material proposal; collection, processing grade, mass, trade value and host compatibility undecided. Existing broad resources are reused rather than replaced.</x:v>
      </x:c>
      <x:c r="U341" s="11"/>
      <x:c r="V341" s="9" t="str">
        <x:v>Local brainstorming from author request for grounded raw materials October 14, 2026. These candidates are not claims retrieved from the lore repository.</x:v>
      </x:c>
      <x:c r="W341" s="4" t="str">
        <x:v>Raw material</x:v>
      </x:c>
      <x:c r="X341" s="4" t="str">
        <x:v>Raw</x:v>
      </x:c>
      <x:c r="Y341" s="4" t="str">
        <x:v>Fauna</x:v>
      </x:c>
      <x:c r="Z341" s="4" t="str">
        <x:v>Tool fabrication</x:v>
      </x:c>
      <x:c r="AA341" s="4" t="str">
        <x:v>Faunal hard tissue</x:v>
      </x:c>
      <x:c r="AB341" s="4" t="str">
        <x:v>Solid piece</x:v>
      </x:c>
      <x:c r="AC341" s="4" t="str">
        <x:v>Proposal</x:v>
      </x:c>
      <x:c r="AD341" s="4" t="str">
        <x:f>LOWER(A341&amp;"; "&amp;B341&amp;"; "&amp;C341&amp;"; "&amp;D341&amp;"; "&amp;W341&amp;"; "&amp;X341&amp;"; "&amp;Y341&amp;"; "&amp;Z341&amp;"; "&amp;AA341&amp;"; "&amp;AB341&amp;"; "&amp;AC341&amp;"; "&amp;U341)</x:f>
        <x:v>proposal.raw.horn_core; fauna horn cores; resources; faunal hard-part feedstock; raw material; raw; fauna; tool fabrication; faunal hard tissue; solid piece; proposal; </x:v>
      </x:c>
      <x:c r="AE341" s="4" t="str">
        <x:v>Specific raw form and candidate uses are proposals; no automatic biological function, chemistry, deposit or crafting capability.</x:v>
      </x:c>
      <x:c r="AF341" s="4" t="str">
        <x:v>T0</x:v>
      </x:c>
      <x:c r="AG341" s="4" t="str">
        <x:v>Raw gathered/recovered craft input under the author T0 framework. This does not imply a naturally occurring pure metal.</x:v>
      </x:c>
      <x:c r="AH341" s="4" t="str">
        <x:v>Not applicable</x:v>
      </x:c>
    </x:row>
    <x:row r="342" ht="110" customHeight="1">
      <x:c r="A342" s="9" t="str">
        <x:v>proposal.raw.tail_rings</x:v>
      </x:c>
      <x:c r="B342" s="9" t="str">
        <x:v>Fauna tail rings</x:v>
      </x:c>
      <x:c r="C342" s="9" t="str">
        <x:v>Resources</x:v>
      </x:c>
      <x:c r="D342" s="9" t="str">
        <x:v>Faunal hard-part feedstock</x:v>
      </x:c>
      <x:c r="E342" s="9" t="str">
        <x:v>New proposal</x:v>
      </x:c>
      <x:c r="F342" s="9" t="str">
        <x:v>Candidate use: protective fabrication. Tangible input before specialist preparation.</x:v>
      </x:c>
      <x:c r="G342" s="9" t="str">
        <x:v>None</x:v>
      </x:c>
      <x:c r="H342" s="9" t="str">
        <x:v>Gathered raw/salvage cargo: Legger or local storage; policy TBD</x:v>
      </x:c>
      <x:c r="I342" s="13"/>
      <x:c r="J342" s="15"/>
      <x:c r="K342" s="9" t="str">
        <x:v>Separate curved hard segments from suitable armored tails</x:v>
      </x:c>
      <x:c r="L342" s="9" t="str">
        <x:v>Select candidate curved covers or small guards; no recipe or yield authored.</x:v>
      </x:c>
      <x:c r="M342" s="9" t="str">
        <x:v>Not implemented</x:v>
      </x:c>
      <x:c r="N342" s="9" t="str">
        <x:v>Species, joining and protective performance unresolved; not a complete armor item.</x:v>
      </x:c>
      <x:c r="O342" s="17"/>
      <x:c r="P342" s="17"/>
      <x:c r="Q342" s="17"/>
      <x:c r="R342" s="17"/>
      <x:c r="S342" s="17"/>
      <x:c r="T342" s="9" t="str">
        <x:v>New raw-material proposal; collection, processing grade, mass, trade value and host compatibility undecided. Existing broad resources are reused rather than replaced.</x:v>
      </x:c>
      <x:c r="U342" s="11" t="str">
        <x:v>fabrication</x:v>
      </x:c>
      <x:c r="V342" s="9" t="str">
        <x:v>Local brainstorming from author request for grounded raw materials October 14, 2026. These candidates are not claims retrieved from the lore repository.</x:v>
      </x:c>
      <x:c r="W342" s="4" t="str">
        <x:v>Raw material</x:v>
      </x:c>
      <x:c r="X342" s="4" t="str">
        <x:v>Raw</x:v>
      </x:c>
      <x:c r="Y342" s="4" t="str">
        <x:v>Fauna</x:v>
      </x:c>
      <x:c r="Z342" s="4" t="str">
        <x:v>Protective fabrication</x:v>
      </x:c>
      <x:c r="AA342" s="4" t="str">
        <x:v>Faunal hard tissue</x:v>
      </x:c>
      <x:c r="AB342" s="4" t="str">
        <x:v>Shell plate</x:v>
      </x:c>
      <x:c r="AC342" s="4" t="str">
        <x:v>Proposal</x:v>
      </x:c>
      <x:c r="AD342" s="4" t="str">
        <x:f>LOWER(A342&amp;"; "&amp;B342&amp;"; "&amp;C342&amp;"; "&amp;D342&amp;"; "&amp;W342&amp;"; "&amp;X342&amp;"; "&amp;Y342&amp;"; "&amp;Z342&amp;"; "&amp;AA342&amp;"; "&amp;AB342&amp;"; "&amp;AC342&amp;"; "&amp;U342)</x:f>
        <x:v>proposal.raw.tail_rings; fauna tail rings; resources; faunal hard-part feedstock; raw material; raw; fauna; protective fabrication; faunal hard tissue; shell plate; proposal; fabrication</x:v>
      </x:c>
      <x:c r="AE342" s="4" t="str">
        <x:v>Specific raw form and candidate uses are proposals; no automatic biological function, chemistry, deposit or crafting capability.</x:v>
      </x:c>
      <x:c r="AF342" s="4" t="str">
        <x:v>T0</x:v>
      </x:c>
      <x:c r="AG342" s="4" t="str">
        <x:v>Raw gathered/recovered craft input under the author T0 framework. This does not imply a naturally occurring pure metal.</x:v>
      </x:c>
      <x:c r="AH342" s="4" t="str">
        <x:v>Not applicable</x:v>
      </x:c>
    </x:row>
    <x:row r="343" ht="110" customHeight="1">
      <x:c r="A343" s="9" t="str">
        <x:v>proposal.raw.socket_cups</x:v>
      </x:c>
      <x:c r="B343" s="9" t="str">
        <x:v>Fauna joint-socket cups</x:v>
      </x:c>
      <x:c r="C343" s="9" t="str">
        <x:v>Resources</x:v>
      </x:c>
      <x:c r="D343" s="9" t="str">
        <x:v>Faunal hard-part feedstock</x:v>
      </x:c>
      <x:c r="E343" s="9" t="str">
        <x:v>New proposal</x:v>
      </x:c>
      <x:c r="F343" s="9" t="str">
        <x:v>Candidate use: fabrication. Tangible input before specialist preparation.</x:v>
      </x:c>
      <x:c r="G343" s="9" t="str">
        <x:v>None</x:v>
      </x:c>
      <x:c r="H343" s="9" t="str">
        <x:v>Gathered raw/salvage cargo: Legger or local storage; policy TBD</x:v>
      </x:c>
      <x:c r="I343" s="13"/>
      <x:c r="J343" s="15"/>
      <x:c r="K343" s="9" t="str">
        <x:v>Concave hard pieces recovered from selected joint structures</x:v>
      </x:c>
      <x:c r="L343" s="9" t="str">
        <x:v>Prepare candidate mold faces or small protective housings; no recipe or yield authored.</x:v>
      </x:c>
      <x:c r="M343" s="9" t="str">
        <x:v>Not implemented</x:v>
      </x:c>
      <x:c r="N343" s="9" t="str">
        <x:v>Separate hard shell geometry from existing joint fluid/membrane resources; not automatically food-safe.</x:v>
      </x:c>
      <x:c r="O343" s="17"/>
      <x:c r="P343" s="17"/>
      <x:c r="Q343" s="17"/>
      <x:c r="R343" s="17"/>
      <x:c r="S343" s="17"/>
      <x:c r="T343" s="9" t="str">
        <x:v>New raw-material proposal; collection, processing grade, mass, trade value and host compatibility undecided. Existing broad resources are reused rather than replaced.</x:v>
      </x:c>
      <x:c r="U343" s="11"/>
      <x:c r="V343" s="9" t="str">
        <x:v>Local brainstorming from author request for grounded raw materials October 14, 2026. These candidates are not claims retrieved from the lore repository.</x:v>
      </x:c>
      <x:c r="W343" s="4" t="str">
        <x:v>Raw material</x:v>
      </x:c>
      <x:c r="X343" s="4" t="str">
        <x:v>Raw</x:v>
      </x:c>
      <x:c r="Y343" s="4" t="str">
        <x:v>Fauna</x:v>
      </x:c>
      <x:c r="Z343" s="4" t="str">
        <x:v>Fabrication</x:v>
      </x:c>
      <x:c r="AA343" s="4" t="str">
        <x:v>Faunal hard tissue</x:v>
      </x:c>
      <x:c r="AB343" s="4" t="str">
        <x:v>Solid piece</x:v>
      </x:c>
      <x:c r="AC343" s="4" t="str">
        <x:v>Proposal</x:v>
      </x:c>
      <x:c r="AD343" s="4" t="str">
        <x:f>LOWER(A343&amp;"; "&amp;B343&amp;"; "&amp;C343&amp;"; "&amp;D343&amp;"; "&amp;W343&amp;"; "&amp;X343&amp;"; "&amp;Y343&amp;"; "&amp;Z343&amp;"; "&amp;AA343&amp;"; "&amp;AB343&amp;"; "&amp;AC343&amp;"; "&amp;U343)</x:f>
        <x:v>proposal.raw.socket_cups; fauna joint-socket cups; resources; faunal hard-part feedstock; raw material; raw; fauna; fabrication; faunal hard tissue; solid piece; proposal; </x:v>
      </x:c>
      <x:c r="AE343" s="4" t="str">
        <x:v>Specific raw form and candidate uses are proposals; no automatic biological function, chemistry, deposit or crafting capability.</x:v>
      </x:c>
      <x:c r="AF343" s="4" t="str">
        <x:v>T0</x:v>
      </x:c>
      <x:c r="AG343" s="4" t="str">
        <x:v>Raw gathered/recovered craft input under the author T0 framework. This does not imply a naturally occurring pure metal.</x:v>
      </x:c>
      <x:c r="AH343" s="4" t="str">
        <x:v>Not applicable</x:v>
      </x:c>
    </x:row>
    <x:row r="344" ht="110" customHeight="1">
      <x:c r="A344" s="9" t="str">
        <x:v>proposal.raw.eye_lenses</x:v>
      </x:c>
      <x:c r="B344" s="9" t="str">
        <x:v>Fauna eye lenses</x:v>
      </x:c>
      <x:c r="C344" s="9" t="str">
        <x:v>Resources</x:v>
      </x:c>
      <x:c r="D344" s="9" t="str">
        <x:v>Faunal hard-part feedstock</x:v>
      </x:c>
      <x:c r="E344" s="9" t="str">
        <x:v>New proposal</x:v>
      </x:c>
      <x:c r="F344" s="9" t="str">
        <x:v>Candidate use: vision. Tangible input before specialist preparation.</x:v>
      </x:c>
      <x:c r="G344" s="9" t="str">
        <x:v>None</x:v>
      </x:c>
      <x:c r="H344" s="9" t="str">
        <x:v>Gathered raw/salvage cargo: Legger or local storage; policy TBD</x:v>
      </x:c>
      <x:c r="I344" s="13"/>
      <x:c r="J344" s="15"/>
      <x:c r="K344" s="9" t="str">
        <x:v>Intact optical-looking structures from selected fauna eyes</x:v>
      </x:c>
      <x:c r="L344" s="9" t="str">
        <x:v>Inspect candidate viewing inserts or optical-material research feed; no recipe or yield authored.</x:v>
      </x:c>
      <x:c r="M344" s="9" t="str">
        <x:v>Not implemented</x:v>
      </x:c>
      <x:c r="N344" s="9" t="str">
        <x:v>Clarity, stability, extraction yield and optical usefulness TBD; does not make spectacles common or grant a new sensor.</x:v>
      </x:c>
      <x:c r="O344" s="17"/>
      <x:c r="P344" s="17"/>
      <x:c r="Q344" s="17"/>
      <x:c r="R344" s="17"/>
      <x:c r="S344" s="17"/>
      <x:c r="T344" s="9" t="str">
        <x:v>New raw-material proposal; collection, processing grade, mass, trade value and host compatibility undecided. Existing broad resources are reused rather than replaced.</x:v>
      </x:c>
      <x:c r="U344" s="11"/>
      <x:c r="V344" s="9" t="str">
        <x:v>Local brainstorming from author request for grounded raw materials October 14, 2026. These candidates are not claims retrieved from the lore repository.</x:v>
      </x:c>
      <x:c r="W344" s="4" t="str">
        <x:v>Raw material</x:v>
      </x:c>
      <x:c r="X344" s="4" t="str">
        <x:v>Raw</x:v>
      </x:c>
      <x:c r="Y344" s="4" t="str">
        <x:v>Fauna</x:v>
      </x:c>
      <x:c r="Z344" s="4" t="str">
        <x:v>Vision</x:v>
      </x:c>
      <x:c r="AA344" s="4" t="str">
        <x:v>Faunal tissue</x:v>
      </x:c>
      <x:c r="AB344" s="4" t="str">
        <x:v>Solid piece</x:v>
      </x:c>
      <x:c r="AC344" s="4" t="str">
        <x:v>Proposal</x:v>
      </x:c>
      <x:c r="AD344" s="4" t="str">
        <x:f>LOWER(A344&amp;"; "&amp;B344&amp;"; "&amp;C344&amp;"; "&amp;D344&amp;"; "&amp;W344&amp;"; "&amp;X344&amp;"; "&amp;Y344&amp;"; "&amp;Z344&amp;"; "&amp;AA344&amp;"; "&amp;AB344&amp;"; "&amp;AC344&amp;"; "&amp;U344)</x:f>
        <x:v>proposal.raw.eye_lenses; fauna eye lenses; resources; faunal hard-part feedstock; raw material; raw; fauna; vision; faunal tissue; solid piece; proposal; </x:v>
      </x:c>
      <x:c r="AE344" s="4" t="str">
        <x:v>Specific raw form and candidate uses are proposals; no automatic biological function, chemistry, deposit or crafting capability.</x:v>
      </x:c>
      <x:c r="AF344" s="4" t="str">
        <x:v>T0</x:v>
      </x:c>
      <x:c r="AG344" s="4" t="str">
        <x:v>Raw gathered/recovered craft input under the author T0 framework. This does not imply a naturally occurring pure metal.</x:v>
      </x:c>
      <x:c r="AH344" s="4" t="str">
        <x:v>Not applicable</x:v>
      </x:c>
    </x:row>
    <x:row r="345" ht="110" customHeight="1">
      <x:c r="A345" s="9" t="str">
        <x:v>proposal.raw.filter_plates</x:v>
      </x:c>
      <x:c r="B345" s="9" t="str">
        <x:v>Fauna breathing-filter plates</x:v>
      </x:c>
      <x:c r="C345" s="9" t="str">
        <x:v>Resources</x:v>
      </x:c>
      <x:c r="D345" s="9" t="str">
        <x:v>Faunal hard-part feedstock</x:v>
      </x:c>
      <x:c r="E345" s="9" t="str">
        <x:v>New proposal</x:v>
      </x:c>
      <x:c r="F345" s="9" t="str">
        <x:v>Candidate use: dust exclusion. Tangible input before specialist preparation.</x:v>
      </x:c>
      <x:c r="G345" s="9" t="str">
        <x:v>None</x:v>
      </x:c>
      <x:c r="H345" s="9" t="str">
        <x:v>Gathered raw/salvage cargo: Legger or local storage; policy TBD</x:v>
      </x:c>
      <x:c r="I345" s="13"/>
      <x:c r="J345" s="15"/>
      <x:c r="K345" s="9" t="str">
        <x:v>Porous-looking hard plates from a proposed compatible respiratory anatomy</x:v>
      </x:c>
      <x:c r="L345" s="9" t="str">
        <x:v>Inspect possible coarse dust-screen or pattern-forming material; no recipe or yield authored.</x:v>
      </x:c>
      <x:c r="M345" s="9" t="str">
        <x:v>Not implemented</x:v>
      </x:c>
      <x:c r="N345" s="9" t="str">
        <x:v>Respiratory anatomy is a proposal. Detached plates are not certified breathing filters and retain no automatic biological function.</x:v>
      </x:c>
      <x:c r="O345" s="17"/>
      <x:c r="P345" s="17"/>
      <x:c r="Q345" s="17"/>
      <x:c r="R345" s="17"/>
      <x:c r="S345" s="17"/>
      <x:c r="T345" s="9" t="str">
        <x:v>New raw-material proposal; collection, processing grade, mass, trade value and host compatibility undecided. Existing broad resources are reused rather than replaced.</x:v>
      </x:c>
      <x:c r="U345" s="11"/>
      <x:c r="V345" s="9" t="str">
        <x:v>Local brainstorming from author request for grounded raw materials October 14, 2026. These candidates are not claims retrieved from the lore repository.</x:v>
      </x:c>
      <x:c r="W345" s="4" t="str">
        <x:v>Raw material</x:v>
      </x:c>
      <x:c r="X345" s="4" t="str">
        <x:v>Raw</x:v>
      </x:c>
      <x:c r="Y345" s="4" t="str">
        <x:v>Fauna</x:v>
      </x:c>
      <x:c r="Z345" s="4" t="str">
        <x:v>Dust exclusion</x:v>
      </x:c>
      <x:c r="AA345" s="4" t="str">
        <x:v>Faunal hard tissue</x:v>
      </x:c>
      <x:c r="AB345" s="4" t="str">
        <x:v>Panel</x:v>
      </x:c>
      <x:c r="AC345" s="4" t="str">
        <x:v>Proposal</x:v>
      </x:c>
      <x:c r="AD345" s="4" t="str">
        <x:f>LOWER(A345&amp;"; "&amp;B345&amp;"; "&amp;C345&amp;"; "&amp;D345&amp;"; "&amp;W345&amp;"; "&amp;X345&amp;"; "&amp;Y345&amp;"; "&amp;Z345&amp;"; "&amp;AA345&amp;"; "&amp;AB345&amp;"; "&amp;AC345&amp;"; "&amp;U345)</x:f>
        <x:v>proposal.raw.filter_plates; fauna breathing-filter plates; resources; faunal hard-part feedstock; raw material; raw; fauna; dust exclusion; faunal hard tissue; panel; proposal; </x:v>
      </x:c>
      <x:c r="AE345" s="4" t="str">
        <x:v>Specific raw form and candidate uses are proposals; no automatic biological function, chemistry, deposit or crafting capability.</x:v>
      </x:c>
      <x:c r="AF345" s="4" t="str">
        <x:v>T0</x:v>
      </x:c>
      <x:c r="AG345" s="4" t="str">
        <x:v>Raw gathered/recovered craft input under the author T0 framework. This does not imply a naturally occurring pure metal.</x:v>
      </x:c>
      <x:c r="AH345" s="4" t="str">
        <x:v>Not applicable</x:v>
      </x:c>
    </x:row>
    <x:row r="346" ht="110" customHeight="1">
      <x:c r="A346" s="9" t="str">
        <x:v>proposal.raw.droppings</x:v>
      </x:c>
      <x:c r="B346" s="9" t="str">
        <x:v>Dried mineral-rich fauna droppings</x:v>
      </x:c>
      <x:c r="C346" s="9" t="str">
        <x:v>Resources</x:v>
      </x:c>
      <x:c r="D346" s="9" t="str">
        <x:v>Faunal waste feedstock</x:v>
      </x:c>
      <x:c r="E346" s="9" t="str">
        <x:v>New proposal</x:v>
      </x:c>
      <x:c r="F346" s="9" t="str">
        <x:v>Candidate use: chemical processing. Tangible input before specialist preparation.</x:v>
      </x:c>
      <x:c r="G346" s="9" t="str">
        <x:v>None</x:v>
      </x:c>
      <x:c r="H346" s="9" t="str">
        <x:v>Gathered raw/salvage cargo: Legger or local storage; policy TBD</x:v>
      </x:c>
      <x:c r="I346" s="13"/>
      <x:c r="J346" s="15"/>
      <x:c r="K346" s="9" t="str">
        <x:v>Solid dried waste from suitable mineral-feeding fauna</x:v>
      </x:c>
      <x:c r="L346" s="9" t="str">
        <x:v>Sort possible mineral-recovery feed in a dedicated industrial process; no recipe or yield authored.</x:v>
      </x:c>
      <x:c r="M346" s="9" t="str">
        <x:v>Not implemented</x:v>
      </x:c>
      <x:c r="N346" s="9" t="str">
        <x:v>Composition, contamination and useful yield unresolved; not food, clean pigment, fertilizer or automatically valuable ore.</x:v>
      </x:c>
      <x:c r="O346" s="17"/>
      <x:c r="P346" s="17"/>
      <x:c r="Q346" s="17"/>
      <x:c r="R346" s="17"/>
      <x:c r="S346" s="17"/>
      <x:c r="T346" s="9" t="str">
        <x:v>New raw-material proposal; collection, processing grade, mass, trade value and host compatibility undecided. Existing broad resources are reused rather than replaced.</x:v>
      </x:c>
      <x:c r="U346" s="11"/>
      <x:c r="V346" s="9" t="str">
        <x:v>Local brainstorming from author request for grounded raw materials October 14, 2026. These candidates are not claims retrieved from the lore repository.</x:v>
      </x:c>
      <x:c r="W346" s="4" t="str">
        <x:v>Raw material</x:v>
      </x:c>
      <x:c r="X346" s="4" t="str">
        <x:v>Raw</x:v>
      </x:c>
      <x:c r="Y346" s="4" t="str">
        <x:v>Fauna</x:v>
      </x:c>
      <x:c r="Z346" s="4" t="str">
        <x:v>Chemical processing</x:v>
      </x:c>
      <x:c r="AA346" s="4" t="str">
        <x:v>Mixed / unresolved</x:v>
      </x:c>
      <x:c r="AB346" s="4" t="str">
        <x:v>Solid piece</x:v>
      </x:c>
      <x:c r="AC346" s="4" t="str">
        <x:v>Proposal</x:v>
      </x:c>
      <x:c r="AD346" s="4" t="str">
        <x:f>LOWER(A346&amp;"; "&amp;B346&amp;"; "&amp;C346&amp;"; "&amp;D346&amp;"; "&amp;W346&amp;"; "&amp;X346&amp;"; "&amp;Y346&amp;"; "&amp;Z346&amp;"; "&amp;AA346&amp;"; "&amp;AB346&amp;"; "&amp;AC346&amp;"; "&amp;U346)</x:f>
        <x:v>proposal.raw.droppings; dried mineral-rich fauna droppings; resources; faunal waste feedstock; raw material; raw; fauna; chemical processing; mixed / unresolved; solid piece; proposal; </x:v>
      </x:c>
      <x:c r="AE346" s="4" t="str">
        <x:v>Specific raw form and candidate uses are proposals; no automatic biological function, chemistry, deposit or crafting capability.</x:v>
      </x:c>
      <x:c r="AF346" s="4" t="str">
        <x:v>T0</x:v>
      </x:c>
      <x:c r="AG346" s="4" t="str">
        <x:v>Raw gathered/recovered craft input under the author T0 framework. This does not imply a naturally occurring pure metal.</x:v>
      </x:c>
      <x:c r="AH346" s="4" t="str">
        <x:v>Not applicable</x:v>
      </x:c>
    </x:row>
    <x:row r="347" ht="110" customHeight="1">
      <x:c r="A347" s="9" t="str">
        <x:v>proposal.raw.chain</x:v>
      </x:c>
      <x:c r="B347" s="9" t="str">
        <x:v>Rusted chain lengths</x:v>
      </x:c>
      <x:c r="C347" s="9" t="str">
        <x:v>Resources</x:v>
      </x:c>
      <x:c r="D347" s="9" t="str">
        <x:v>Salvaged feedstock</x:v>
      </x:c>
      <x:c r="E347" s="9" t="str">
        <x:v>New proposal</x:v>
      </x:c>
      <x:c r="F347" s="9" t="str">
        <x:v>Candidate use: binding and construction. Tangible input before specialist preparation.</x:v>
      </x:c>
      <x:c r="G347" s="9" t="str">
        <x:v>None</x:v>
      </x:c>
      <x:c r="H347" s="9" t="str">
        <x:v>Gathered raw/salvage cargo: Legger or local storage; policy TBD</x:v>
      </x:c>
      <x:c r="I347" s="13"/>
      <x:c r="J347" s="15"/>
      <x:c r="K347" s="9" t="str">
        <x:v>Lengths of old linked chain recovered from machinery or structures</x:v>
      </x:c>
      <x:c r="L347" s="9" t="str">
        <x:v>Inspect and cut usable links or retain as metal feed; no recipe or yield authored.</x:v>
      </x:c>
      <x:c r="M347" s="9" t="str">
        <x:v>Not implemented</x:v>
      </x:c>
      <x:c r="N347" s="9" t="str">
        <x:v>Corrosion and link condition determine any reuse; no load rating or generic lifting capability.</x:v>
      </x:c>
      <x:c r="O347" s="17"/>
      <x:c r="P347" s="17"/>
      <x:c r="Q347" s="17"/>
      <x:c r="R347" s="17"/>
      <x:c r="S347" s="17"/>
      <x:c r="T347" s="9" t="str">
        <x:v>New raw-material proposal; collection, processing grade, mass, trade value and host compatibility undecided. Existing broad resources are reused rather than replaced.</x:v>
      </x:c>
      <x:c r="U347" s="11" t="str">
        <x:v>equipment mounting</x:v>
      </x:c>
      <x:c r="V347" s="9" t="str">
        <x:v>Local brainstorming from author request for grounded raw materials October 14, 2026. These candidates are not claims retrieved from the lore repository.</x:v>
      </x:c>
      <x:c r="W347" s="4" t="str">
        <x:v>Raw material</x:v>
      </x:c>
      <x:c r="X347" s="4" t="str">
        <x:v>Recovered material</x:v>
      </x:c>
      <x:c r="Y347" s="4" t="str">
        <x:v>Industrial salvage</x:v>
      </x:c>
      <x:c r="Z347" s="4" t="str">
        <x:v>Binding and construction</x:v>
      </x:c>
      <x:c r="AA347" s="4" t="str">
        <x:v>Metal</x:v>
      </x:c>
      <x:c r="AB347" s="4" t="str">
        <x:v>Assembly</x:v>
      </x:c>
      <x:c r="AC347" s="4" t="str">
        <x:v>Proposal</x:v>
      </x:c>
      <x:c r="AD347" s="4" t="str">
        <x:f>LOWER(A347&amp;"; "&amp;B347&amp;"; "&amp;C347&amp;"; "&amp;D347&amp;"; "&amp;W347&amp;"; "&amp;X347&amp;"; "&amp;Y347&amp;"; "&amp;Z347&amp;"; "&amp;AA347&amp;"; "&amp;AB347&amp;"; "&amp;AC347&amp;"; "&amp;U347)</x:f>
        <x:v>proposal.raw.chain; rusted chain lengths; resources; salvaged feedstock; raw material; recovered material; industrial salvage; binding and construction; metal; assembly; proposal; equipment mounting</x:v>
      </x:c>
      <x:c r="AE347" s="4" t="str">
        <x:v>Specific raw form and candidate uses are proposals; no automatic biological function, chemistry, deposit or crafting capability.</x:v>
      </x:c>
      <x:c r="AF347" s="4" t="str">
        <x:v>T0</x:v>
      </x:c>
      <x:c r="AG347" s="4" t="str">
        <x:v>Raw gathered/recovered craft input under the author T0 framework. This does not imply a naturally occurring pure metal.</x:v>
      </x:c>
      <x:c r="AH347" s="4" t="str">
        <x:v>Not applicable</x:v>
      </x:c>
    </x:row>
    <x:row r="348" ht="110" customHeight="1">
      <x:c r="A348" s="9" t="str">
        <x:v>proposal.raw.brass_scrap</x:v>
      </x:c>
      <x:c r="B348" s="9" t="str">
        <x:v>Salvaged brass fragments</x:v>
      </x:c>
      <x:c r="C348" s="9" t="str">
        <x:v>Resources</x:v>
      </x:c>
      <x:c r="D348" s="9" t="str">
        <x:v>Salvaged feedstock</x:v>
      </x:c>
      <x:c r="E348" s="9" t="str">
        <x:v>New proposal</x:v>
      </x:c>
      <x:c r="F348" s="9" t="str">
        <x:v>Candidate use: metal refining. Tangible input before specialist preparation.</x:v>
      </x:c>
      <x:c r="G348" s="9" t="str">
        <x:v>None</x:v>
      </x:c>
      <x:c r="H348" s="9" t="str">
        <x:v>Gathered raw/salvage cargo: Legger or local storage; policy TBD</x:v>
      </x:c>
      <x:c r="I348" s="13"/>
      <x:c r="J348" s="15"/>
      <x:c r="K348" s="9" t="str">
        <x:v>Identifiable yellow-metal scrap from old fittings</x:v>
      </x:c>
      <x:c r="L348" s="9" t="str">
        <x:v>Sort candidate alloy feed or small fitting blanks; no recipe or yield authored.</x:v>
      </x:c>
      <x:c r="M348" s="9" t="str">
        <x:v>Not implemented</x:v>
      </x:c>
      <x:c r="N348" s="9" t="str">
        <x:v>Brass is a proposed recovered material, not a new manufacturing capability or currency denomination.</x:v>
      </x:c>
      <x:c r="O348" s="17"/>
      <x:c r="P348" s="17"/>
      <x:c r="Q348" s="17"/>
      <x:c r="R348" s="17"/>
      <x:c r="S348" s="17"/>
      <x:c r="T348" s="9" t="str">
        <x:v>New raw-material proposal; collection, processing grade, mass, trade value and host compatibility undecided. Existing broad resources are reused rather than replaced.</x:v>
      </x:c>
      <x:c r="U348" s="11"/>
      <x:c r="V348" s="9" t="str">
        <x:v>Local brainstorming from author request for grounded raw materials October 14, 2026. These candidates are not claims retrieved from the lore repository.</x:v>
      </x:c>
      <x:c r="W348" s="4" t="str">
        <x:v>Raw material</x:v>
      </x:c>
      <x:c r="X348" s="4" t="str">
        <x:v>Recovered material</x:v>
      </x:c>
      <x:c r="Y348" s="4" t="str">
        <x:v>Industrial salvage</x:v>
      </x:c>
      <x:c r="Z348" s="4" t="str">
        <x:v>Metal refining</x:v>
      </x:c>
      <x:c r="AA348" s="4" t="str">
        <x:v>Metal</x:v>
      </x:c>
      <x:c r="AB348" s="4" t="str">
        <x:v>Solid piece</x:v>
      </x:c>
      <x:c r="AC348" s="4" t="str">
        <x:v>Proposal</x:v>
      </x:c>
      <x:c r="AD348" s="4" t="str">
        <x:f>LOWER(A348&amp;"; "&amp;B348&amp;"; "&amp;C348&amp;"; "&amp;D348&amp;"; "&amp;W348&amp;"; "&amp;X348&amp;"; "&amp;Y348&amp;"; "&amp;Z348&amp;"; "&amp;AA348&amp;"; "&amp;AB348&amp;"; "&amp;AC348&amp;"; "&amp;U348)</x:f>
        <x:v>proposal.raw.brass_scrap; salvaged brass fragments; resources; salvaged feedstock; raw material; recovered material; industrial salvage; metal refining; metal; solid piece; proposal; </x:v>
      </x:c>
      <x:c r="AE348" s="4" t="str">
        <x:v>Specific raw form and candidate uses are proposals; no automatic biological function, chemistry, deposit or crafting capability.</x:v>
      </x:c>
      <x:c r="AF348" s="4" t="str">
        <x:v>T0</x:v>
      </x:c>
      <x:c r="AG348" s="4" t="str">
        <x:v>Raw gathered/recovered craft input under the author T0 framework. This does not imply a naturally occurring pure metal.</x:v>
      </x:c>
      <x:c r="AH348" s="4" t="str">
        <x:v>Not applicable</x:v>
      </x:c>
    </x:row>
    <x:row r="349" ht="110" customHeight="1">
      <x:c r="A349" s="9" t="str">
        <x:v>proposal.raw.bronze_scrap</x:v>
      </x:c>
      <x:c r="B349" s="9" t="str">
        <x:v>Salvaged bronze fragments</x:v>
      </x:c>
      <x:c r="C349" s="9" t="str">
        <x:v>Resources</x:v>
      </x:c>
      <x:c r="D349" s="9" t="str">
        <x:v>Salvaged feedstock</x:v>
      </x:c>
      <x:c r="E349" s="9" t="str">
        <x:v>New proposal</x:v>
      </x:c>
      <x:c r="F349" s="9" t="str">
        <x:v>Candidate use: metal refining. Tangible input before specialist preparation.</x:v>
      </x:c>
      <x:c r="G349" s="9" t="str">
        <x:v>None</x:v>
      </x:c>
      <x:c r="H349" s="9" t="str">
        <x:v>Gathered raw/salvage cargo: Legger or local storage; policy TBD</x:v>
      </x:c>
      <x:c r="I349" s="13"/>
      <x:c r="J349" s="15"/>
      <x:c r="K349" s="9" t="str">
        <x:v>Identifiable bronze-like scrap from old components</x:v>
      </x:c>
      <x:c r="L349" s="9" t="str">
        <x:v>Sort candidate alloy feed or compatible repair-stock blanks; no recipe or yield authored.</x:v>
      </x:c>
      <x:c r="M349" s="9" t="str">
        <x:v>Not implemented</x:v>
      </x:c>
      <x:c r="N349" s="9" t="str">
        <x:v>Alloy identity and properties need qualification; no automatic compatibility with iron or ancient parts.</x:v>
      </x:c>
      <x:c r="O349" s="17"/>
      <x:c r="P349" s="17"/>
      <x:c r="Q349" s="17"/>
      <x:c r="R349" s="17"/>
      <x:c r="S349" s="17"/>
      <x:c r="T349" s="9" t="str">
        <x:v>New raw-material proposal; collection, processing grade, mass, trade value and host compatibility undecided. Existing broad resources are reused rather than replaced.</x:v>
      </x:c>
      <x:c r="U349" s="11"/>
      <x:c r="V349" s="9" t="str">
        <x:v>Local brainstorming from author request for grounded raw materials October 14, 2026. These candidates are not claims retrieved from the lore repository.</x:v>
      </x:c>
      <x:c r="W349" s="4" t="str">
        <x:v>Raw material</x:v>
      </x:c>
      <x:c r="X349" s="4" t="str">
        <x:v>Recovered material</x:v>
      </x:c>
      <x:c r="Y349" s="4" t="str">
        <x:v>Industrial salvage</x:v>
      </x:c>
      <x:c r="Z349" s="4" t="str">
        <x:v>Metal refining</x:v>
      </x:c>
      <x:c r="AA349" s="4" t="str">
        <x:v>Metal</x:v>
      </x:c>
      <x:c r="AB349" s="4" t="str">
        <x:v>Solid piece</x:v>
      </x:c>
      <x:c r="AC349" s="4" t="str">
        <x:v>Proposal</x:v>
      </x:c>
      <x:c r="AD349" s="4" t="str">
        <x:f>LOWER(A349&amp;"; "&amp;B349&amp;"; "&amp;C349&amp;"; "&amp;D349&amp;"; "&amp;W349&amp;"; "&amp;X349&amp;"; "&amp;Y349&amp;"; "&amp;Z349&amp;"; "&amp;AA349&amp;"; "&amp;AB349&amp;"; "&amp;AC349&amp;"; "&amp;U349)</x:f>
        <x:v>proposal.raw.bronze_scrap; salvaged bronze fragments; resources; salvaged feedstock; raw material; recovered material; industrial salvage; metal refining; metal; solid piece; proposal; </x:v>
      </x:c>
      <x:c r="AE349" s="4" t="str">
        <x:v>Specific raw form and candidate uses are proposals; no automatic biological function, chemistry, deposit or crafting capability.</x:v>
      </x:c>
      <x:c r="AF349" s="4" t="str">
        <x:v>T0</x:v>
      </x:c>
      <x:c r="AG349" s="4" t="str">
        <x:v>Raw gathered/recovered craft input under the author T0 framework. This does not imply a naturally occurring pure metal.</x:v>
      </x:c>
      <x:c r="AH349" s="4" t="str">
        <x:v>Not applicable</x:v>
      </x:c>
    </x:row>
    <x:row r="350" ht="110" customHeight="1">
      <x:c r="A350" s="9" t="str">
        <x:v>proposal.raw.hinge_halves</x:v>
      </x:c>
      <x:c r="B350" s="9" t="str">
        <x:v>Discarded hinge halves</x:v>
      </x:c>
      <x:c r="C350" s="9" t="str">
        <x:v>Resources</x:v>
      </x:c>
      <x:c r="D350" s="9" t="str">
        <x:v>Salvaged feedstock</x:v>
      </x:c>
      <x:c r="E350" s="9" t="str">
        <x:v>New proposal</x:v>
      </x:c>
      <x:c r="F350" s="9" t="str">
        <x:v>Candidate use: equipment fabrication. Tangible input before specialist preparation.</x:v>
      </x:c>
      <x:c r="G350" s="9" t="str">
        <x:v>None</x:v>
      </x:c>
      <x:c r="H350" s="9" t="str">
        <x:v>Gathered raw/salvage cargo: Legger or local storage; policy TBD</x:v>
      </x:c>
      <x:c r="I350" s="13"/>
      <x:c r="J350" s="15"/>
      <x:c r="K350" s="9" t="str">
        <x:v>Separated metal leaves from damaged hinges</x:v>
      </x:c>
      <x:c r="L350" s="9" t="str">
        <x:v>Recover usable geometry or metal feed for small mechanisms; no recipe or yield authored.</x:v>
      </x:c>
      <x:c r="M350" s="9" t="str">
        <x:v>Not implemented</x:v>
      </x:c>
      <x:c r="N350" s="9" t="str">
        <x:v>Not the finished Legger hinge plate or guard hinge; fit and remaining service life unresolved.</x:v>
      </x:c>
      <x:c r="O350" s="17"/>
      <x:c r="P350" s="17"/>
      <x:c r="Q350" s="17"/>
      <x:c r="R350" s="17"/>
      <x:c r="S350" s="17"/>
      <x:c r="T350" s="9" t="str">
        <x:v>New raw-material proposal; collection, processing grade, mass, trade value and host compatibility undecided. Existing broad resources are reused rather than replaced.</x:v>
      </x:c>
      <x:c r="U350" s="11" t="str">
        <x:v>equipment repair</x:v>
      </x:c>
      <x:c r="V350" s="9" t="str">
        <x:v>Local brainstorming from author request for grounded raw materials October 14, 2026. These candidates are not claims retrieved from the lore repository.</x:v>
      </x:c>
      <x:c r="W350" s="4" t="str">
        <x:v>Raw material</x:v>
      </x:c>
      <x:c r="X350" s="4" t="str">
        <x:v>Recovered material</x:v>
      </x:c>
      <x:c r="Y350" s="4" t="str">
        <x:v>Industrial salvage</x:v>
      </x:c>
      <x:c r="Z350" s="4" t="str">
        <x:v>Equipment fabrication</x:v>
      </x:c>
      <x:c r="AA350" s="4" t="str">
        <x:v>Metal</x:v>
      </x:c>
      <x:c r="AB350" s="4" t="str">
        <x:v>Solid part</x:v>
      </x:c>
      <x:c r="AC350" s="4" t="str">
        <x:v>Proposal</x:v>
      </x:c>
      <x:c r="AD350" s="4" t="str">
        <x:f>LOWER(A350&amp;"; "&amp;B350&amp;"; "&amp;C350&amp;"; "&amp;D350&amp;"; "&amp;W350&amp;"; "&amp;X350&amp;"; "&amp;Y350&amp;"; "&amp;Z350&amp;"; "&amp;AA350&amp;"; "&amp;AB350&amp;"; "&amp;AC350&amp;"; "&amp;U350)</x:f>
        <x:v>proposal.raw.hinge_halves; discarded hinge halves; resources; salvaged feedstock; raw material; recovered material; industrial salvage; equipment fabrication; metal; solid part; proposal; equipment repair</x:v>
      </x:c>
      <x:c r="AE350" s="4" t="str">
        <x:v>Specific raw form and candidate uses are proposals; no automatic biological function, chemistry, deposit or crafting capability.</x:v>
      </x:c>
      <x:c r="AF350" s="4" t="str">
        <x:v>T0</x:v>
      </x:c>
      <x:c r="AG350" s="4" t="str">
        <x:v>Raw gathered/recovered craft input under the author T0 framework. This does not imply a naturally occurring pure metal.</x:v>
      </x:c>
      <x:c r="AH350" s="4" t="str">
        <x:v>Not applicable</x:v>
      </x:c>
    </x:row>
    <x:row r="351" ht="110" customHeight="1">
      <x:c r="A351" s="9" t="str">
        <x:v>proposal.raw.hoop_bands</x:v>
      </x:c>
      <x:c r="B351" s="9" t="str">
        <x:v>Salvaged metal hoop bands</x:v>
      </x:c>
      <x:c r="C351" s="9" t="str">
        <x:v>Resources</x:v>
      </x:c>
      <x:c r="D351" s="9" t="str">
        <x:v>Salvaged feedstock</x:v>
      </x:c>
      <x:c r="E351" s="9" t="str">
        <x:v>New proposal</x:v>
      </x:c>
      <x:c r="F351" s="9" t="str">
        <x:v>Candidate use: equipment mounting. Tangible input before specialist preparation.</x:v>
      </x:c>
      <x:c r="G351" s="9" t="str">
        <x:v>None</x:v>
      </x:c>
      <x:c r="H351" s="9" t="str">
        <x:v>Gathered raw/salvage cargo: Legger or local storage; policy TBD</x:v>
      </x:c>
      <x:c r="I351" s="13"/>
      <x:c r="J351" s="15"/>
      <x:c r="K351" s="9" t="str">
        <x:v>Curved metal bands from discarded vessels and assemblies</x:v>
      </x:c>
      <x:c r="L351" s="9" t="str">
        <x:v>Trim candidate retaining bands or shaped-stock feed; no recipe or yield authored.</x:v>
      </x:c>
      <x:c r="M351" s="9" t="str">
        <x:v>Not implemented</x:v>
      </x:c>
      <x:c r="N351" s="9" t="str">
        <x:v>Diameter, material and fatigue matter; not automatically a pressure-vessel clamp.</x:v>
      </x:c>
      <x:c r="O351" s="17"/>
      <x:c r="P351" s="17"/>
      <x:c r="Q351" s="17"/>
      <x:c r="R351" s="17"/>
      <x:c r="S351" s="17"/>
      <x:c r="T351" s="9" t="str">
        <x:v>New raw-material proposal; collection, processing grade, mass, trade value and host compatibility undecided. Existing broad resources are reused rather than replaced.</x:v>
      </x:c>
      <x:c r="U351" s="11" t="str">
        <x:v>fabrication</x:v>
      </x:c>
      <x:c r="V351" s="9" t="str">
        <x:v>Local brainstorming from author request for grounded raw materials October 14, 2026. These candidates are not claims retrieved from the lore repository.</x:v>
      </x:c>
      <x:c r="W351" s="4" t="str">
        <x:v>Raw material</x:v>
      </x:c>
      <x:c r="X351" s="4" t="str">
        <x:v>Recovered material</x:v>
      </x:c>
      <x:c r="Y351" s="4" t="str">
        <x:v>Industrial salvage</x:v>
      </x:c>
      <x:c r="Z351" s="4" t="str">
        <x:v>Equipment mounting</x:v>
      </x:c>
      <x:c r="AA351" s="4" t="str">
        <x:v>Metal</x:v>
      </x:c>
      <x:c r="AB351" s="4" t="str">
        <x:v>Strip</x:v>
      </x:c>
      <x:c r="AC351" s="4" t="str">
        <x:v>Proposal</x:v>
      </x:c>
      <x:c r="AD351" s="4" t="str">
        <x:f>LOWER(A351&amp;"; "&amp;B351&amp;"; "&amp;C351&amp;"; "&amp;D351&amp;"; "&amp;W351&amp;"; "&amp;X351&amp;"; "&amp;Y351&amp;"; "&amp;Z351&amp;"; "&amp;AA351&amp;"; "&amp;AB351&amp;"; "&amp;AC351&amp;"; "&amp;U351)</x:f>
        <x:v>proposal.raw.hoop_bands; salvaged metal hoop bands; resources; salvaged feedstock; raw material; recovered material; industrial salvage; equipment mounting; metal; strip; proposal; fabrication</x:v>
      </x:c>
      <x:c r="AE351" s="4" t="str">
        <x:v>Specific raw form and candidate uses are proposals; no automatic biological function, chemistry, deposit or crafting capability.</x:v>
      </x:c>
      <x:c r="AF351" s="4" t="str">
        <x:v>T0</x:v>
      </x:c>
      <x:c r="AG351" s="4" t="str">
        <x:v>Raw gathered/recovered craft input under the author T0 framework. This does not imply a naturally occurring pure metal.</x:v>
      </x:c>
      <x:c r="AH351" s="4" t="str">
        <x:v>Not applicable</x:v>
      </x:c>
    </x:row>
    <x:row r="352" ht="110" customHeight="1">
      <x:c r="A352" s="9" t="str">
        <x:v>proposal.raw.pipe_sections</x:v>
      </x:c>
      <x:c r="B352" s="9" t="str">
        <x:v>Old metal pipe sections</x:v>
      </x:c>
      <x:c r="C352" s="9" t="str">
        <x:v>Resources</x:v>
      </x:c>
      <x:c r="D352" s="9" t="str">
        <x:v>Salvaged feedstock</x:v>
      </x:c>
      <x:c r="E352" s="9" t="str">
        <x:v>New proposal</x:v>
      </x:c>
      <x:c r="F352" s="9" t="str">
        <x:v>Candidate use: fabrication. Tangible input before specialist preparation.</x:v>
      </x:c>
      <x:c r="G352" s="9" t="str">
        <x:v>None</x:v>
      </x:c>
      <x:c r="H352" s="9" t="str">
        <x:v>Gathered raw/salvage cargo: Legger or local storage; policy TBD</x:v>
      </x:c>
      <x:c r="I352" s="13"/>
      <x:c r="J352" s="15"/>
      <x:c r="K352" s="9" t="str">
        <x:v>Short recovered metal tube lengths</x:v>
      </x:c>
      <x:c r="L352" s="9" t="str">
        <x:v>Select candidate sleeves, housings or raw metal feed; no recipe or yield authored.</x:v>
      </x:c>
      <x:c r="M352" s="9" t="str">
        <x:v>Not implemented</x:v>
      </x:c>
      <x:c r="N352" s="9" t="str">
        <x:v>Contents history, corrosion and service grade TBD; no assumed leak-tight liquid or pressure service.</x:v>
      </x:c>
      <x:c r="O352" s="17"/>
      <x:c r="P352" s="17"/>
      <x:c r="Q352" s="17"/>
      <x:c r="R352" s="17"/>
      <x:c r="S352" s="17"/>
      <x:c r="T352" s="9" t="str">
        <x:v>New raw-material proposal; collection, processing grade, mass, trade value and host compatibility undecided. Existing broad resources are reused rather than replaced.</x:v>
      </x:c>
      <x:c r="U352" s="11"/>
      <x:c r="V352" s="9" t="str">
        <x:v>Local brainstorming from author request for grounded raw materials October 14, 2026. These candidates are not claims retrieved from the lore repository.</x:v>
      </x:c>
      <x:c r="W352" s="4" t="str">
        <x:v>Raw material</x:v>
      </x:c>
      <x:c r="X352" s="4" t="str">
        <x:v>Recovered material</x:v>
      </x:c>
      <x:c r="Y352" s="4" t="str">
        <x:v>Industrial salvage</x:v>
      </x:c>
      <x:c r="Z352" s="4" t="str">
        <x:v>Fabrication</x:v>
      </x:c>
      <x:c r="AA352" s="4" t="str">
        <x:v>Metal</x:v>
      </x:c>
      <x:c r="AB352" s="4" t="str">
        <x:v>Solid piece</x:v>
      </x:c>
      <x:c r="AC352" s="4" t="str">
        <x:v>Proposal</x:v>
      </x:c>
      <x:c r="AD352" s="4" t="str">
        <x:f>LOWER(A352&amp;"; "&amp;B352&amp;"; "&amp;C352&amp;"; "&amp;D352&amp;"; "&amp;W352&amp;"; "&amp;X352&amp;"; "&amp;Y352&amp;"; "&amp;Z352&amp;"; "&amp;AA352&amp;"; "&amp;AB352&amp;"; "&amp;AC352&amp;"; "&amp;U352)</x:f>
        <x:v>proposal.raw.pipe_sections; old metal pipe sections; resources; salvaged feedstock; raw material; recovered material; industrial salvage; fabrication; metal; solid piece; proposal; </x:v>
      </x:c>
      <x:c r="AE352" s="4" t="str">
        <x:v>Specific raw form and candidate uses are proposals; no automatic biological function, chemistry, deposit or crafting capability.</x:v>
      </x:c>
      <x:c r="AF352" s="4" t="str">
        <x:v>T0</x:v>
      </x:c>
      <x:c r="AG352" s="4" t="str">
        <x:v>Raw gathered/recovered craft input under the author T0 framework. This does not imply a naturally occurring pure metal.</x:v>
      </x:c>
      <x:c r="AH352" s="4" t="str">
        <x:v>Not applicable</x:v>
      </x:c>
    </x:row>
    <x:row r="353" ht="110" customHeight="1">
      <x:c r="A353" s="9" t="str">
        <x:v>proposal.raw.coated_sheet</x:v>
      </x:c>
      <x:c r="B353" s="9" t="str">
        <x:v>Coated sheet-metal scrap</x:v>
      </x:c>
      <x:c r="C353" s="9" t="str">
        <x:v>Resources</x:v>
      </x:c>
      <x:c r="D353" s="9" t="str">
        <x:v>Salvaged feedstock</x:v>
      </x:c>
      <x:c r="E353" s="9" t="str">
        <x:v>New proposal</x:v>
      </x:c>
      <x:c r="F353" s="9" t="str">
        <x:v>Candidate use: fabrication. Tangible input before specialist preparation.</x:v>
      </x:c>
      <x:c r="G353" s="9" t="str">
        <x:v>None</x:v>
      </x:c>
      <x:c r="H353" s="9" t="str">
        <x:v>Gathered raw/salvage cargo: Legger or local storage; policy TBD</x:v>
      </x:c>
      <x:c r="I353" s="13"/>
      <x:c r="J353" s="15"/>
      <x:c r="K353" s="9" t="str">
        <x:v>Thin coated metal from damaged panels or containers</x:v>
      </x:c>
      <x:c r="L353" s="9" t="str">
        <x:v>Sort and qualify sheet stock for selected small parts; no recipe or yield authored.</x:v>
      </x:c>
      <x:c r="M353" s="9" t="str">
        <x:v>Not implemented</x:v>
      </x:c>
      <x:c r="N353" s="9" t="str">
        <x:v>Coating identity and residues unresolved; not automatically food-safe or suitable to heat.</x:v>
      </x:c>
      <x:c r="O353" s="17"/>
      <x:c r="P353" s="17"/>
      <x:c r="Q353" s="17"/>
      <x:c r="R353" s="17"/>
      <x:c r="S353" s="17"/>
      <x:c r="T353" s="9" t="str">
        <x:v>New raw-material proposal; collection, processing grade, mass, trade value and host compatibility undecided. Existing broad resources are reused rather than replaced.</x:v>
      </x:c>
      <x:c r="U353" s="11"/>
      <x:c r="V353" s="9" t="str">
        <x:v>Local brainstorming from author request for grounded raw materials October 14, 2026. These candidates are not claims retrieved from the lore repository.</x:v>
      </x:c>
      <x:c r="W353" s="4" t="str">
        <x:v>Raw material</x:v>
      </x:c>
      <x:c r="X353" s="4" t="str">
        <x:v>Recovered material</x:v>
      </x:c>
      <x:c r="Y353" s="4" t="str">
        <x:v>Industrial salvage</x:v>
      </x:c>
      <x:c r="Z353" s="4" t="str">
        <x:v>Fabrication</x:v>
      </x:c>
      <x:c r="AA353" s="4" t="str">
        <x:v>Metal</x:v>
      </x:c>
      <x:c r="AB353" s="4" t="str">
        <x:v>Sheet</x:v>
      </x:c>
      <x:c r="AC353" s="4" t="str">
        <x:v>Proposal</x:v>
      </x:c>
      <x:c r="AD353" s="4" t="str">
        <x:f>LOWER(A353&amp;"; "&amp;B353&amp;"; "&amp;C353&amp;"; "&amp;D353&amp;"; "&amp;W353&amp;"; "&amp;X353&amp;"; "&amp;Y353&amp;"; "&amp;Z353&amp;"; "&amp;AA353&amp;"; "&amp;AB353&amp;"; "&amp;AC353&amp;"; "&amp;U353)</x:f>
        <x:v>proposal.raw.coated_sheet; coated sheet-metal scrap; resources; salvaged feedstock; raw material; recovered material; industrial salvage; fabrication; metal; sheet; proposal; </x:v>
      </x:c>
      <x:c r="AE353" s="4" t="str">
        <x:v>Specific raw form and candidate uses are proposals; no automatic biological function, chemistry, deposit or crafting capability.</x:v>
      </x:c>
      <x:c r="AF353" s="4" t="str">
        <x:v>T0</x:v>
      </x:c>
      <x:c r="AG353" s="4" t="str">
        <x:v>Raw gathered/recovered craft input under the author T0 framework. This does not imply a naturally occurring pure metal.</x:v>
      </x:c>
      <x:c r="AH353" s="4" t="str">
        <x:v>Not applicable</x:v>
      </x:c>
    </x:row>
    <x:row r="354" ht="110" customHeight="1">
      <x:c r="A354" s="9" t="str">
        <x:v>proposal.raw.bent_fasteners</x:v>
      </x:c>
      <x:c r="B354" s="9" t="str">
        <x:v>Bent nails and rivets</x:v>
      </x:c>
      <x:c r="C354" s="9" t="str">
        <x:v>Resources</x:v>
      </x:c>
      <x:c r="D354" s="9" t="str">
        <x:v>Salvaged feedstock</x:v>
      </x:c>
      <x:c r="E354" s="9" t="str">
        <x:v>New proposal</x:v>
      </x:c>
      <x:c r="F354" s="9" t="str">
        <x:v>Candidate use: metal refining. Tangible input before specialist preparation.</x:v>
      </x:c>
      <x:c r="G354" s="9" t="str">
        <x:v>None</x:v>
      </x:c>
      <x:c r="H354" s="9" t="str">
        <x:v>Gathered raw/salvage cargo: Legger or local storage; policy TBD</x:v>
      </x:c>
      <x:c r="I354" s="13"/>
      <x:c r="J354" s="15"/>
      <x:c r="K354" s="9" t="str">
        <x:v>Damaged fasteners removed from scrap assemblies</x:v>
      </x:c>
      <x:c r="L354" s="9" t="str">
        <x:v>Sort as metal feed or assess selected reworking candidates; no recipe or yield authored.</x:v>
      </x:c>
      <x:c r="M354" s="9" t="str">
        <x:v>Not implemented</x:v>
      </x:c>
      <x:c r="N354" s="9" t="str">
        <x:v>Different from a matched service fastener pack; damaged fasteners are not ready replacements.</x:v>
      </x:c>
      <x:c r="O354" s="17"/>
      <x:c r="P354" s="17"/>
      <x:c r="Q354" s="17"/>
      <x:c r="R354" s="17"/>
      <x:c r="S354" s="17"/>
      <x:c r="T354" s="9" t="str">
        <x:v>New raw-material proposal; collection, processing grade, mass, trade value and host compatibility undecided. Existing broad resources are reused rather than replaced.</x:v>
      </x:c>
      <x:c r="U354" s="11" t="str">
        <x:v>equipment fabrication</x:v>
      </x:c>
      <x:c r="V354" s="9" t="str">
        <x:v>Local brainstorming from author request for grounded raw materials October 14, 2026. These candidates are not claims retrieved from the lore repository.</x:v>
      </x:c>
      <x:c r="W354" s="4" t="str">
        <x:v>Raw material</x:v>
      </x:c>
      <x:c r="X354" s="4" t="str">
        <x:v>Recovered material</x:v>
      </x:c>
      <x:c r="Y354" s="4" t="str">
        <x:v>Industrial salvage</x:v>
      </x:c>
      <x:c r="Z354" s="4" t="str">
        <x:v>Metal refining</x:v>
      </x:c>
      <x:c r="AA354" s="4" t="str">
        <x:v>Metal</x:v>
      </x:c>
      <x:c r="AB354" s="4" t="str">
        <x:v>Solid piece</x:v>
      </x:c>
      <x:c r="AC354" s="4" t="str">
        <x:v>Proposal</x:v>
      </x:c>
      <x:c r="AD354" s="4" t="str">
        <x:f>LOWER(A354&amp;"; "&amp;B354&amp;"; "&amp;C354&amp;"; "&amp;D354&amp;"; "&amp;W354&amp;"; "&amp;X354&amp;"; "&amp;Y354&amp;"; "&amp;Z354&amp;"; "&amp;AA354&amp;"; "&amp;AB354&amp;"; "&amp;AC354&amp;"; "&amp;U354)</x:f>
        <x:v>proposal.raw.bent_fasteners; bent nails and rivets; resources; salvaged feedstock; raw material; recovered material; industrial salvage; metal refining; metal; solid piece; proposal; equipment fabrication</x:v>
      </x:c>
      <x:c r="AE354" s="4" t="str">
        <x:v>Specific raw form and candidate uses are proposals; no automatic biological function, chemistry, deposit or crafting capability.</x:v>
      </x:c>
      <x:c r="AF354" s="4" t="str">
        <x:v>T0</x:v>
      </x:c>
      <x:c r="AG354" s="4" t="str">
        <x:v>Raw gathered/recovered craft input under the author T0 framework. This does not imply a naturally occurring pure metal.</x:v>
      </x:c>
      <x:c r="AH354" s="4" t="str">
        <x:v>Not applicable</x:v>
      </x:c>
    </x:row>
    <x:row r="355" ht="110" customHeight="1">
      <x:c r="A355" s="9" t="str">
        <x:v>proposal.raw.furnace_ash</x:v>
      </x:c>
      <x:c r="B355" s="9" t="str">
        <x:v>Coarse furnace ash</x:v>
      </x:c>
      <x:c r="C355" s="9" t="str">
        <x:v>Resources</x:v>
      </x:c>
      <x:c r="D355" s="9" t="str">
        <x:v>Salvaged feedstock</x:v>
      </x:c>
      <x:c r="E355" s="9" t="str">
        <x:v>New proposal</x:v>
      </x:c>
      <x:c r="F355" s="9" t="str">
        <x:v>Candidate use: chemical processing. Tangible input before specialist preparation.</x:v>
      </x:c>
      <x:c r="G355" s="9" t="str">
        <x:v>None</x:v>
      </x:c>
      <x:c r="H355" s="9" t="str">
        <x:v>Gathered raw/salvage cargo: Legger or local storage; policy TBD</x:v>
      </x:c>
      <x:c r="I355" s="13"/>
      <x:c r="J355" s="15"/>
      <x:c r="K355" s="9" t="str">
        <x:v>Fine solid residue from identified furnace/fuel sites</x:v>
      </x:c>
      <x:c r="L355" s="9" t="str">
        <x:v>Assess candidate mineral residue streams after sorting; no recipe or yield authored.</x:v>
      </x:c>
      <x:c r="M355" s="9" t="str">
        <x:v>Not implemented</x:v>
      </x:c>
      <x:c r="N355" s="9" t="str">
        <x:v>Plant-free fuel sources remain controlling. Not Arc/Airborne Dust; composition, contamination and reuse are unresolved.</x:v>
      </x:c>
      <x:c r="O355" s="17"/>
      <x:c r="P355" s="17"/>
      <x:c r="Q355" s="17"/>
      <x:c r="R355" s="17"/>
      <x:c r="S355" s="17"/>
      <x:c r="T355" s="9" t="str">
        <x:v>New raw-material proposal; collection, processing grade, mass, trade value and host compatibility undecided. Existing broad resources are reused rather than replaced.</x:v>
      </x:c>
      <x:c r="U355" s="11"/>
      <x:c r="V355" s="9" t="str">
        <x:v>Local brainstorming from author request for grounded raw materials October 14, 2026. These candidates are not claims retrieved from the lore repository.</x:v>
      </x:c>
      <x:c r="W355" s="4" t="str">
        <x:v>Raw material</x:v>
      </x:c>
      <x:c r="X355" s="4" t="str">
        <x:v>Recovered material</x:v>
      </x:c>
      <x:c r="Y355" s="4" t="str">
        <x:v>Industrial salvage</x:v>
      </x:c>
      <x:c r="Z355" s="4" t="str">
        <x:v>Chemical processing</x:v>
      </x:c>
      <x:c r="AA355" s="4" t="str">
        <x:v>Mixed / unresolved</x:v>
      </x:c>
      <x:c r="AB355" s="4" t="str">
        <x:v>Particles</x:v>
      </x:c>
      <x:c r="AC355" s="4" t="str">
        <x:v>Proposal</x:v>
      </x:c>
      <x:c r="AD355" s="4" t="str">
        <x:f>LOWER(A355&amp;"; "&amp;B355&amp;"; "&amp;C355&amp;"; "&amp;D355&amp;"; "&amp;W355&amp;"; "&amp;X355&amp;"; "&amp;Y355&amp;"; "&amp;Z355&amp;"; "&amp;AA355&amp;"; "&amp;AB355&amp;"; "&amp;AC355&amp;"; "&amp;U355)</x:f>
        <x:v>proposal.raw.furnace_ash; coarse furnace ash; resources; salvaged feedstock; raw material; recovered material; industrial salvage; chemical processing; mixed / unresolved; particles; proposal; </x:v>
      </x:c>
      <x:c r="AE355" s="4" t="str">
        <x:v>Specific raw form and candidate uses are proposals; no automatic biological function, chemistry, deposit or crafting capability.</x:v>
      </x:c>
      <x:c r="AF355" s="4" t="str">
        <x:v>T0</x:v>
      </x:c>
      <x:c r="AG355" s="4" t="str">
        <x:v>Raw gathered/recovered craft input under the author T0 framework. This does not imply a naturally occurring pure metal.</x:v>
      </x:c>
      <x:c r="AH355" s="4" t="str">
        <x:v>Not applicable</x:v>
      </x:c>
    </x:row>
    <x:row r="356" ht="110" customHeight="1">
      <x:c r="A356" s="9" t="str">
        <x:v>proposal.raw.abrasive_fragments</x:v>
      </x:c>
      <x:c r="B356" s="9" t="str">
        <x:v>Broken abrasive-wheel fragments</x:v>
      </x:c>
      <x:c r="C356" s="9" t="str">
        <x:v>Resources</x:v>
      </x:c>
      <x:c r="D356" s="9" t="str">
        <x:v>Salvaged feedstock</x:v>
      </x:c>
      <x:c r="E356" s="9" t="str">
        <x:v>New proposal</x:v>
      </x:c>
      <x:c r="F356" s="9" t="str">
        <x:v>Candidate use: surface finishing. Tangible input before specialist preparation.</x:v>
      </x:c>
      <x:c r="G356" s="9" t="str">
        <x:v>None</x:v>
      </x:c>
      <x:c r="H356" s="9" t="str">
        <x:v>Gathered raw/salvage cargo: Legger or local storage; policy TBD</x:v>
      </x:c>
      <x:c r="I356" s="13"/>
      <x:c r="J356" s="15"/>
      <x:c r="K356" s="9" t="str">
        <x:v>Fragments from identifiable worn workshop grinding tools</x:v>
      </x:c>
      <x:c r="L356" s="9" t="str">
        <x:v>Select possible hand-finishing pieces or qualified recovered grit; no recipe or yield authored.</x:v>
      </x:c>
      <x:c r="M356" s="9" t="str">
        <x:v>Not implemented</x:v>
      </x:c>
      <x:c r="N356" s="9" t="str">
        <x:v>Abrasive/binder identity and condition need review; not a replacement powered wheel.</x:v>
      </x:c>
      <x:c r="O356" s="17"/>
      <x:c r="P356" s="17"/>
      <x:c r="Q356" s="17"/>
      <x:c r="R356" s="17"/>
      <x:c r="S356" s="17"/>
      <x:c r="T356" s="9" t="str">
        <x:v>New raw-material proposal; collection, processing grade, mass, trade value and host compatibility undecided. Existing broad resources are reused rather than replaced.</x:v>
      </x:c>
      <x:c r="U356" s="11"/>
      <x:c r="V356" s="9" t="str">
        <x:v>Local brainstorming from author request for grounded raw materials October 14, 2026. These candidates are not claims retrieved from the lore repository.</x:v>
      </x:c>
      <x:c r="W356" s="4" t="str">
        <x:v>Raw material</x:v>
      </x:c>
      <x:c r="X356" s="4" t="str">
        <x:v>Recovered material</x:v>
      </x:c>
      <x:c r="Y356" s="4" t="str">
        <x:v>Industrial salvage</x:v>
      </x:c>
      <x:c r="Z356" s="4" t="str">
        <x:v>Surface finishing</x:v>
      </x:c>
      <x:c r="AA356" s="4" t="str">
        <x:v>Mixed / unresolved</x:v>
      </x:c>
      <x:c r="AB356" s="4" t="str">
        <x:v>Solid piece</x:v>
      </x:c>
      <x:c r="AC356" s="4" t="str">
        <x:v>Proposal</x:v>
      </x:c>
      <x:c r="AD356" s="4" t="str">
        <x:f>LOWER(A356&amp;"; "&amp;B356&amp;"; "&amp;C356&amp;"; "&amp;D356&amp;"; "&amp;W356&amp;"; "&amp;X356&amp;"; "&amp;Y356&amp;"; "&amp;Z356&amp;"; "&amp;AA356&amp;"; "&amp;AB356&amp;"; "&amp;AC356&amp;"; "&amp;U356)</x:f>
        <x:v>proposal.raw.abrasive_fragments; broken abrasive-wheel fragments; resources; salvaged feedstock; raw material; recovered material; industrial salvage; surface finishing; mixed / unresolved; solid piece; proposal; </x:v>
      </x:c>
      <x:c r="AE356" s="4" t="str">
        <x:v>Specific raw form and candidate uses are proposals; no automatic biological function, chemistry, deposit or crafting capability.</x:v>
      </x:c>
      <x:c r="AF356" s="4" t="str">
        <x:v>T0</x:v>
      </x:c>
      <x:c r="AG356" s="4" t="str">
        <x:v>Raw gathered/recovered craft input under the author T0 framework. This does not imply a naturally occurring pure metal.</x:v>
      </x:c>
      <x:c r="AH356" s="4" t="str">
        <x:v>Not applicable</x:v>
      </x:c>
    </x:row>
    <x:row r="357" ht="110" customHeight="1">
      <x:c r="A357" s="9" t="str">
        <x:v>proposal.raw.magnet_fragments</x:v>
      </x:c>
      <x:c r="B357" s="9" t="str">
        <x:v>Broken magnet fragments</x:v>
      </x:c>
      <x:c r="C357" s="9" t="str">
        <x:v>Resources</x:v>
      </x:c>
      <x:c r="D357" s="9" t="str">
        <x:v>Salvaged feedstock</x:v>
      </x:c>
      <x:c r="E357" s="9" t="str">
        <x:v>New proposal</x:v>
      </x:c>
      <x:c r="F357" s="9" t="str">
        <x:v>Candidate use: magnetic tools. Tangible input before specialist preparation.</x:v>
      </x:c>
      <x:c r="G357" s="9" t="str">
        <x:v>None</x:v>
      </x:c>
      <x:c r="H357" s="9" t="str">
        <x:v>Gathered raw/salvage cargo: Legger or local storage; policy TBD</x:v>
      </x:c>
      <x:c r="I357" s="13"/>
      <x:c r="J357" s="15"/>
      <x:c r="K357" s="9" t="str">
        <x:v>Fragments from identifiable damaged magnetic assemblies</x:v>
      </x:c>
      <x:c r="L357" s="9" t="str">
        <x:v>Inspect possible small work-holding pieces or material research feed; no recipe or yield authored.</x:v>
      </x:c>
      <x:c r="M357" s="9" t="str">
        <x:v>Not implemented</x:v>
      </x:c>
      <x:c r="N357" s="9" t="str">
        <x:v>Retained magnetism, strength and composition TBD; distinct from a complete field-magnet tool.</x:v>
      </x:c>
      <x:c r="O357" s="17"/>
      <x:c r="P357" s="17"/>
      <x:c r="Q357" s="17"/>
      <x:c r="R357" s="17"/>
      <x:c r="S357" s="17"/>
      <x:c r="T357" s="9" t="str">
        <x:v>New raw-material proposal; collection, processing grade, mass, trade value and host compatibility undecided. Existing broad resources are reused rather than replaced.</x:v>
      </x:c>
      <x:c r="U357" s="11" t="str">
        <x:v>work holding</x:v>
      </x:c>
      <x:c r="V357" s="9" t="str">
        <x:v>Local brainstorming from author request for grounded raw materials October 14, 2026. These candidates are not claims retrieved from the lore repository.</x:v>
      </x:c>
      <x:c r="W357" s="4" t="str">
        <x:v>Raw material</x:v>
      </x:c>
      <x:c r="X357" s="4" t="str">
        <x:v>Recovered material</x:v>
      </x:c>
      <x:c r="Y357" s="4" t="str">
        <x:v>Industrial salvage</x:v>
      </x:c>
      <x:c r="Z357" s="4" t="str">
        <x:v>Magnetic tools</x:v>
      </x:c>
      <x:c r="AA357" s="4" t="str">
        <x:v>Mixed / unresolved</x:v>
      </x:c>
      <x:c r="AB357" s="4" t="str">
        <x:v>Solid piece</x:v>
      </x:c>
      <x:c r="AC357" s="4" t="str">
        <x:v>Proposal</x:v>
      </x:c>
      <x:c r="AD357" s="4" t="str">
        <x:f>LOWER(A357&amp;"; "&amp;B357&amp;"; "&amp;C357&amp;"; "&amp;D357&amp;"; "&amp;W357&amp;"; "&amp;X357&amp;"; "&amp;Y357&amp;"; "&amp;Z357&amp;"; "&amp;AA357&amp;"; "&amp;AB357&amp;"; "&amp;AC357&amp;"; "&amp;U357)</x:f>
        <x:v>proposal.raw.magnet_fragments; broken magnet fragments; resources; salvaged feedstock; raw material; recovered material; industrial salvage; magnetic tools; mixed / unresolved; solid piece; proposal; work holding</x:v>
      </x:c>
      <x:c r="AE357" s="4" t="str">
        <x:v>Specific raw form and candidate uses are proposals; no automatic biological function, chemistry, deposit or crafting capability.</x:v>
      </x:c>
      <x:c r="AF357" s="4" t="str">
        <x:v>T0</x:v>
      </x:c>
      <x:c r="AG357" s="4" t="str">
        <x:v>Raw gathered/recovered craft input under the author T0 framework. This does not imply a naturally occurring pure metal.</x:v>
      </x:c>
      <x:c r="AH357" s="4" t="str">
        <x:v>Not applicable</x:v>
      </x:c>
    </x:row>
    <x:row r="358" ht="110" customHeight="1">
      <x:c r="A358" s="9" t="str">
        <x:v>proposal.raw.punching_offcuts</x:v>
      </x:c>
      <x:c r="B358" s="9" t="str">
        <x:v>Metal punching offcuts</x:v>
      </x:c>
      <x:c r="C358" s="9" t="str">
        <x:v>Resources</x:v>
      </x:c>
      <x:c r="D358" s="9" t="str">
        <x:v>Salvaged feedstock</x:v>
      </x:c>
      <x:c r="E358" s="9" t="str">
        <x:v>New proposal</x:v>
      </x:c>
      <x:c r="F358" s="9" t="str">
        <x:v>Candidate use: equipment fabrication. Tangible input before specialist preparation.</x:v>
      </x:c>
      <x:c r="G358" s="9" t="str">
        <x:v>None</x:v>
      </x:c>
      <x:c r="H358" s="9" t="str">
        <x:v>Gathered raw/salvage cargo: Legger or local storage; policy TBD</x:v>
      </x:c>
      <x:c r="I358" s="13"/>
      <x:c r="J358" s="15"/>
      <x:c r="K358" s="9" t="str">
        <x:v>Small discs and shaped remnants from metalworking waste</x:v>
      </x:c>
      <x:c r="L358" s="9" t="str">
        <x:v>Sort candidate washer or tiny-part blanks; no recipe or yield authored.</x:v>
      </x:c>
      <x:c r="M358" s="9" t="str">
        <x:v>Not implemented</x:v>
      </x:c>
      <x:c r="N358" s="9" t="str">
        <x:v>Raw offcuts do not establish standard fastener sizes or currency tokens; grade and dimensions remain undefined.</x:v>
      </x:c>
      <x:c r="O358" s="17"/>
      <x:c r="P358" s="17"/>
      <x:c r="Q358" s="17"/>
      <x:c r="R358" s="17"/>
      <x:c r="S358" s="17"/>
      <x:c r="T358" s="9" t="str">
        <x:v>New raw-material proposal; collection, processing grade, mass, trade value and host compatibility undecided. Existing broad resources are reused rather than replaced.</x:v>
      </x:c>
      <x:c r="U358" s="11"/>
      <x:c r="V358" s="9" t="str">
        <x:v>Local brainstorming from author request for grounded raw materials October 14, 2026. These candidates are not claims retrieved from the lore repository.</x:v>
      </x:c>
      <x:c r="W358" s="4" t="str">
        <x:v>Raw material</x:v>
      </x:c>
      <x:c r="X358" s="4" t="str">
        <x:v>Recovered material</x:v>
      </x:c>
      <x:c r="Y358" s="4" t="str">
        <x:v>Industrial salvage</x:v>
      </x:c>
      <x:c r="Z358" s="4" t="str">
        <x:v>Equipment fabrication</x:v>
      </x:c>
      <x:c r="AA358" s="4" t="str">
        <x:v>Metal</x:v>
      </x:c>
      <x:c r="AB358" s="4" t="str">
        <x:v>Solid piece</x:v>
      </x:c>
      <x:c r="AC358" s="4" t="str">
        <x:v>Proposal</x:v>
      </x:c>
      <x:c r="AD358" s="4" t="str">
        <x:f>LOWER(A358&amp;"; "&amp;B358&amp;"; "&amp;C358&amp;"; "&amp;D358&amp;"; "&amp;W358&amp;"; "&amp;X358&amp;"; "&amp;Y358&amp;"; "&amp;Z358&amp;"; "&amp;AA358&amp;"; "&amp;AB358&amp;"; "&amp;AC358&amp;"; "&amp;U358)</x:f>
        <x:v>proposal.raw.punching_offcuts; metal punching offcuts; resources; salvaged feedstock; raw material; recovered material; industrial salvage; equipment fabrication; metal; solid piece; proposal; </x:v>
      </x:c>
      <x:c r="AE358" s="4" t="str">
        <x:v>Specific raw form and candidate uses are proposals; no automatic biological function, chemistry, deposit or crafting capability.</x:v>
      </x:c>
      <x:c r="AF358" s="4" t="str">
        <x:v>T0</x:v>
      </x:c>
      <x:c r="AG358" s="4" t="str">
        <x:v>Raw gathered/recovered craft input under the author T0 framework. This does not imply a naturally occurring pure metal.</x:v>
      </x:c>
      <x:c r="AH358" s="4" t="str">
        <x:v>Not applicable</x:v>
      </x:c>
    </x:row>
    <x:row r="359" ht="115" customHeight="1">
      <x:c r="A359" s="9" t="str">
        <x:v>proposal.t1.iron_bloom</x:v>
      </x:c>
      <x:c r="B359" s="9" t="str">
        <x:v>Smelted iron bloom</x:v>
      </x:c>
      <x:c r="C359" s="9" t="str">
        <x:v>Resources</x:v>
      </x:c>
      <x:c r="D359" s="9" t="str">
        <x:v>Tier 1 material concept</x:v>
      </x:c>
      <x:c r="E359" s="9" t="str">
        <x:v>New proposal</x:v>
      </x:c>
      <x:c r="F359" s="9" t="str">
        <x:v>First-stage material stock for metal refining.</x:v>
      </x:c>
      <x:c r="G359" s="9" t="str">
        <x:v>None</x:v>
      </x:c>
      <x:c r="H359" s="9" t="str">
        <x:v>Material cargo / workshop storage; policy TBD</x:v>
      </x:c>
      <x:c r="I359" s="13"/>
      <x:c r="J359" s="15"/>
      <x:c r="K359" s="9" t="str">
        <x:v>Process a selected T0 raw/salvage input; candidate input resource.ironstone_ore</x:v>
      </x:c>
      <x:c r="L359" s="9" t="str">
        <x:v>Sort/reduce raw iron-rich feed into a first metal mass in a specialist furnace.</x:v>
      </x:c>
      <x:c r="M359" s="9" t="str">
        <x:v>Not implemented</x:v>
      </x:c>
      <x:c r="N359" s="9" t="str">
        <x:v>Furnace/fuel/draft craft follows source atmosphere constraints. This is not forged finished stock.</x:v>
      </x:c>
      <x:c r="O359" s="17"/>
      <x:c r="P359" s="17"/>
      <x:c r="Q359" s="17"/>
      <x:c r="R359" s="17"/>
      <x:c r="S359" s="17"/>
      <x:c r="T359" s="9" t="str">
        <x:v>Tier is manufacturing lineage, not rarity, value, quality or number of hand operations. Routes are partial ingredient proposals, not authored recipes.</x:v>
      </x:c>
      <x:c r="U359" s="11" t="str">
        <x:v>fabrication</x:v>
      </x:c>
      <x:c r="V359" s="9" t="str">
        <x:v>New game T1 proposal aligned to source draft/proposal https://github.com/sleepyseamonster/Arc-Dust/blob/f6f98515c005dc3c73cccd9cbc031691745740c6/02-Arc-Dust-Worldbuilding/world/materials/industrial-material-palette.md; source does not approve this game recipe.</x:v>
      </x:c>
      <x:c r="W359" s="4" t="str">
        <x:v>Processed material</x:v>
      </x:c>
      <x:c r="X359" s="4" t="str">
        <x:v>Processed intermediate</x:v>
      </x:c>
      <x:c r="Y359" s="4" t="str">
        <x:v>Geological</x:v>
      </x:c>
      <x:c r="Z359" s="4" t="str">
        <x:v>Metal refining</x:v>
      </x:c>
      <x:c r="AA359" s="4" t="str">
        <x:v>Metal</x:v>
      </x:c>
      <x:c r="AB359" s="4" t="str">
        <x:v>Solid piece</x:v>
      </x:c>
      <x:c r="AC359" s="4" t="str">
        <x:v>Proposal</x:v>
      </x:c>
      <x:c r="AD359" s="4" t="str">
        <x:f>LOWER(A359&amp;"; "&amp;B359&amp;"; "&amp;C359&amp;"; "&amp;D359&amp;"; "&amp;W359&amp;"; "&amp;X359&amp;"; "&amp;Y359&amp;"; "&amp;Z359&amp;"; "&amp;AA359&amp;"; "&amp;AB359&amp;"; "&amp;AC359&amp;"; "&amp;U359)</x:f>
        <x:v>proposal.t1.iron_bloom; smelted iron bloom; resources; tier 1 material concept; processed material; processed intermediate; geological; metal refining; metal; solid piece; proposal; fabrication</x:v>
      </x:c>
      <x:c r="AE359" s="4" t="str">
        <x:v>First-stage refinement proposal. Source material/cultural records remain proposal-stage.</x:v>
      </x:c>
      <x:c r="AF359" s="4" t="str">
        <x:v>T1</x:v>
      </x:c>
      <x:c r="AG359" s="4" t="str">
        <x:v>Proposed game manufacturing tier from the candidate routes. Integrated operations may contain many work steps.</x:v>
      </x:c>
      <x:c r="AH359" s="4" t="str">
        <x:v>Not applicable</x:v>
      </x:c>
    </x:row>
    <x:row r="360" ht="115" customHeight="1">
      <x:c r="A360" s="9" t="str">
        <x:v>proposal.t1.copper_cake</x:v>
      </x:c>
      <x:c r="B360" s="9" t="str">
        <x:v>Refined copper cake</x:v>
      </x:c>
      <x:c r="C360" s="9" t="str">
        <x:v>Resources</x:v>
      </x:c>
      <x:c r="D360" s="9" t="str">
        <x:v>Tier 1 material concept</x:v>
      </x:c>
      <x:c r="E360" s="9" t="str">
        <x:v>New proposal</x:v>
      </x:c>
      <x:c r="F360" s="9" t="str">
        <x:v>First-stage material stock for electrical conduction.</x:v>
      </x:c>
      <x:c r="G360" s="9" t="str">
        <x:v>None</x:v>
      </x:c>
      <x:c r="H360" s="9" t="str">
        <x:v>Material cargo / workshop storage; policy TBD</x:v>
      </x:c>
      <x:c r="I360" s="13"/>
      <x:c r="J360" s="15"/>
      <x:c r="K360" s="9" t="str">
        <x:v>Process a selected T0 raw/salvage input; candidate input proposal.natural.raw_copper</x:v>
      </x:c>
      <x:c r="L360" s="9" t="str">
        <x:v>Select and refine unworked copper into a qualified first metal batch.</x:v>
      </x:c>
      <x:c r="M360" s="9" t="str">
        <x:v>Not implemented</x:v>
      </x:c>
      <x:c r="N360" s="9" t="str">
        <x:v>Purity, process and conductor quality unresolved; scarce conductor context remains.</x:v>
      </x:c>
      <x:c r="O360" s="17"/>
      <x:c r="P360" s="17"/>
      <x:c r="Q360" s="17"/>
      <x:c r="R360" s="17"/>
      <x:c r="S360" s="17"/>
      <x:c r="T360" s="9" t="str">
        <x:v>Tier is manufacturing lineage, not rarity, value, quality or number of hand operations. Routes are partial ingredient proposals, not authored recipes.</x:v>
      </x:c>
      <x:c r="U360" s="11" t="str">
        <x:v>fabrication</x:v>
      </x:c>
      <x:c r="V360" s="9" t="str">
        <x:v>New game T1 proposal aligned to source draft/proposal https://github.com/sleepyseamonster/Arc-Dust/blob/f6f98515c005dc3c73cccd9cbc031691745740c6/02-Arc-Dust-Worldbuilding/world/materials/industrial-material-palette.md; source does not approve this game recipe.</x:v>
      </x:c>
      <x:c r="W360" s="4" t="str">
        <x:v>Processed material</x:v>
      </x:c>
      <x:c r="X360" s="4" t="str">
        <x:v>Processed intermediate</x:v>
      </x:c>
      <x:c r="Y360" s="4" t="str">
        <x:v>Geological</x:v>
      </x:c>
      <x:c r="Z360" s="4" t="str">
        <x:v>Electrical conduction</x:v>
      </x:c>
      <x:c r="AA360" s="4" t="str">
        <x:v>Metal</x:v>
      </x:c>
      <x:c r="AB360" s="4" t="str">
        <x:v>Solid piece</x:v>
      </x:c>
      <x:c r="AC360" s="4" t="str">
        <x:v>Proposal</x:v>
      </x:c>
      <x:c r="AD360" s="4" t="str">
        <x:f>LOWER(A360&amp;"; "&amp;B360&amp;"; "&amp;C360&amp;"; "&amp;D360&amp;"; "&amp;W360&amp;"; "&amp;X360&amp;"; "&amp;Y360&amp;"; "&amp;Z360&amp;"; "&amp;AA360&amp;"; "&amp;AB360&amp;"; "&amp;AC360&amp;"; "&amp;U360)</x:f>
        <x:v>proposal.t1.copper_cake; refined copper cake; resources; tier 1 material concept; processed material; processed intermediate; geological; electrical conduction; metal; solid piece; proposal; fabrication</x:v>
      </x:c>
      <x:c r="AE360" s="4" t="str">
        <x:v>First-stage refinement proposal. Source material/cultural records remain proposal-stage.</x:v>
      </x:c>
      <x:c r="AF360" s="4" t="str">
        <x:v>T1</x:v>
      </x:c>
      <x:c r="AG360" s="4" t="str">
        <x:v>Proposed game manufacturing tier from the candidate routes. Integrated operations may contain many work steps.</x:v>
      </x:c>
      <x:c r="AH360" s="4" t="str">
        <x:v>Not applicable</x:v>
      </x:c>
    </x:row>
    <x:row r="361" ht="115" customHeight="1">
      <x:c r="A361" s="9" t="str">
        <x:v>proposal.t1.brass_billet</x:v>
      </x:c>
      <x:c r="B361" s="9" t="str">
        <x:v>Reclaimed brass billet</x:v>
      </x:c>
      <x:c r="C361" s="9" t="str">
        <x:v>Resources</x:v>
      </x:c>
      <x:c r="D361" s="9" t="str">
        <x:v>Tier 1 material concept</x:v>
      </x:c>
      <x:c r="E361" s="9" t="str">
        <x:v>New proposal</x:v>
      </x:c>
      <x:c r="F361" s="9" t="str">
        <x:v>First-stage material stock for fabrication.</x:v>
      </x:c>
      <x:c r="G361" s="9" t="str">
        <x:v>None</x:v>
      </x:c>
      <x:c r="H361" s="9" t="str">
        <x:v>Material cargo / workshop storage; policy TBD</x:v>
      </x:c>
      <x:c r="I361" s="13"/>
      <x:c r="J361" s="15"/>
      <x:c r="K361" s="9" t="str">
        <x:v>Process a selected T0 raw/salvage input; candidate input proposal.raw.brass_scrap</x:v>
      </x:c>
      <x:c r="L361" s="9" t="str">
        <x:v>Sort identified brass scrap and recover a first usable metal billet.</x:v>
      </x:c>
      <x:c r="M361" s="9" t="str">
        <x:v>Not implemented</x:v>
      </x:c>
      <x:c r="N361" s="9" t="str">
        <x:v>Salvage alloy proposal, not proof of new brass production or a currency tier.</x:v>
      </x:c>
      <x:c r="O361" s="17"/>
      <x:c r="P361" s="17"/>
      <x:c r="Q361" s="17"/>
      <x:c r="R361" s="17"/>
      <x:c r="S361" s="17"/>
      <x:c r="T361" s="9" t="str">
        <x:v>Tier is manufacturing lineage, not rarity, value, quality or number of hand operations. Routes are partial ingredient proposals, not authored recipes.</x:v>
      </x:c>
      <x:c r="U361" s="11" t="str"/>
      <x:c r="V361" s="9" t="str">
        <x:v>New game T1 proposal aligned to source draft/proposal https://github.com/sleepyseamonster/Arc-Dust/blob/f6f98515c005dc3c73cccd9cbc031691745740c6/02-Arc-Dust-Worldbuilding/world/materials/industrial-material-palette.md; source does not approve this game recipe.</x:v>
      </x:c>
      <x:c r="W361" s="4" t="str">
        <x:v>Processed material</x:v>
      </x:c>
      <x:c r="X361" s="4" t="str">
        <x:v>Processed intermediate</x:v>
      </x:c>
      <x:c r="Y361" s="4" t="str">
        <x:v>Industrial salvage</x:v>
      </x:c>
      <x:c r="Z361" s="4" t="str">
        <x:v>Fabrication</x:v>
      </x:c>
      <x:c r="AA361" s="4" t="str">
        <x:v>Metal</x:v>
      </x:c>
      <x:c r="AB361" s="4" t="str">
        <x:v>Solid piece</x:v>
      </x:c>
      <x:c r="AC361" s="4" t="str">
        <x:v>Proposal</x:v>
      </x:c>
      <x:c r="AD361" s="4" t="str">
        <x:f>LOWER(A361&amp;"; "&amp;B361&amp;"; "&amp;C361&amp;"; "&amp;D361&amp;"; "&amp;W361&amp;"; "&amp;X361&amp;"; "&amp;Y361&amp;"; "&amp;Z361&amp;"; "&amp;AA361&amp;"; "&amp;AB361&amp;"; "&amp;AC361&amp;"; "&amp;U361)</x:f>
        <x:v>proposal.t1.brass_billet; reclaimed brass billet; resources; tier 1 material concept; processed material; processed intermediate; industrial salvage; fabrication; metal; solid piece; proposal; </x:v>
      </x:c>
      <x:c r="AE361" s="4" t="str">
        <x:v>First-stage refinement proposal. Source material/cultural records remain proposal-stage.</x:v>
      </x:c>
      <x:c r="AF361" s="4" t="str">
        <x:v>T1</x:v>
      </x:c>
      <x:c r="AG361" s="4" t="str">
        <x:v>Proposed game manufacturing tier from the candidate routes. Integrated operations may contain many work steps.</x:v>
      </x:c>
      <x:c r="AH361" s="4" t="str">
        <x:v>Not applicable</x:v>
      </x:c>
    </x:row>
    <x:row r="362" ht="115" customHeight="1">
      <x:c r="A362" s="9" t="str">
        <x:v>proposal.t1.bronze_billet</x:v>
      </x:c>
      <x:c r="B362" s="9" t="str">
        <x:v>Reclaimed bronze billet</x:v>
      </x:c>
      <x:c r="C362" s="9" t="str">
        <x:v>Resources</x:v>
      </x:c>
      <x:c r="D362" s="9" t="str">
        <x:v>Tier 1 material concept</x:v>
      </x:c>
      <x:c r="E362" s="9" t="str">
        <x:v>New proposal</x:v>
      </x:c>
      <x:c r="F362" s="9" t="str">
        <x:v>First-stage material stock for fabrication.</x:v>
      </x:c>
      <x:c r="G362" s="9" t="str">
        <x:v>None</x:v>
      </x:c>
      <x:c r="H362" s="9" t="str">
        <x:v>Material cargo / workshop storage; policy TBD</x:v>
      </x:c>
      <x:c r="I362" s="13"/>
      <x:c r="J362" s="15"/>
      <x:c r="K362" s="9" t="str">
        <x:v>Process a selected T0 raw/salvage input; candidate input proposal.raw.bronze_scrap</x:v>
      </x:c>
      <x:c r="L362" s="9" t="str">
        <x:v>Sort identified bronze scrap and recover a first usable metal billet.</x:v>
      </x:c>
      <x:c r="M362" s="9" t="str">
        <x:v>Not implemented</x:v>
      </x:c>
      <x:c r="N362" s="9" t="str">
        <x:v>Composition, yield and workability require design; no universal alloy substitution.</x:v>
      </x:c>
      <x:c r="O362" s="17"/>
      <x:c r="P362" s="17"/>
      <x:c r="Q362" s="17"/>
      <x:c r="R362" s="17"/>
      <x:c r="S362" s="17"/>
      <x:c r="T362" s="9" t="str">
        <x:v>Tier is manufacturing lineage, not rarity, value, quality or number of hand operations. Routes are partial ingredient proposals, not authored recipes.</x:v>
      </x:c>
      <x:c r="U362" s="11" t="str"/>
      <x:c r="V362" s="9" t="str">
        <x:v>New game T1 proposal aligned to source draft/proposal https://github.com/sleepyseamonster/Arc-Dust/blob/f6f98515c005dc3c73cccd9cbc031691745740c6/02-Arc-Dust-Worldbuilding/world/materials/industrial-material-palette.md; source does not approve this game recipe.</x:v>
      </x:c>
      <x:c r="W362" s="4" t="str">
        <x:v>Processed material</x:v>
      </x:c>
      <x:c r="X362" s="4" t="str">
        <x:v>Processed intermediate</x:v>
      </x:c>
      <x:c r="Y362" s="4" t="str">
        <x:v>Industrial salvage</x:v>
      </x:c>
      <x:c r="Z362" s="4" t="str">
        <x:v>Fabrication</x:v>
      </x:c>
      <x:c r="AA362" s="4" t="str">
        <x:v>Metal</x:v>
      </x:c>
      <x:c r="AB362" s="4" t="str">
        <x:v>Solid piece</x:v>
      </x:c>
      <x:c r="AC362" s="4" t="str">
        <x:v>Proposal</x:v>
      </x:c>
      <x:c r="AD362" s="4" t="str">
        <x:f>LOWER(A362&amp;"; "&amp;B362&amp;"; "&amp;C362&amp;"; "&amp;D362&amp;"; "&amp;W362&amp;"; "&amp;X362&amp;"; "&amp;Y362&amp;"; "&amp;Z362&amp;"; "&amp;AA362&amp;"; "&amp;AB362&amp;"; "&amp;AC362&amp;"; "&amp;U362)</x:f>
        <x:v>proposal.t1.bronze_billet; reclaimed bronze billet; resources; tier 1 material concept; processed material; processed intermediate; industrial salvage; fabrication; metal; solid piece; proposal; </x:v>
      </x:c>
      <x:c r="AE362" s="4" t="str">
        <x:v>First-stage refinement proposal. Source material/cultural records remain proposal-stage.</x:v>
      </x:c>
      <x:c r="AF362" s="4" t="str">
        <x:v>T1</x:v>
      </x:c>
      <x:c r="AG362" s="4" t="str">
        <x:v>Proposed game manufacturing tier from the candidate routes. Integrated operations may contain many work steps.</x:v>
      </x:c>
      <x:c r="AH362" s="4" t="str">
        <x:v>Not applicable</x:v>
      </x:c>
    </x:row>
    <x:row r="363" ht="115" customHeight="1">
      <x:c r="A363" s="9" t="str">
        <x:v>proposal.t1.opaque_glass</x:v>
      </x:c>
      <x:c r="B363" s="9" t="str">
        <x:v>Opaque mineral-glass stock</x:v>
      </x:c>
      <x:c r="C363" s="9" t="str">
        <x:v>Resources</x:v>
      </x:c>
      <x:c r="D363" s="9" t="str">
        <x:v>Tier 1 material concept</x:v>
      </x:c>
      <x:c r="E363" s="9" t="str">
        <x:v>New proposal</x:v>
      </x:c>
      <x:c r="F363" s="9" t="str">
        <x:v>First-stage material stock for glass and ceramics.</x:v>
      </x:c>
      <x:c r="G363" s="9" t="str">
        <x:v>None</x:v>
      </x:c>
      <x:c r="H363" s="9" t="str">
        <x:v>Material cargo / workshop storage; policy TBD</x:v>
      </x:c>
      <x:c r="I363" s="13"/>
      <x:c r="J363" s="15"/>
      <x:c r="K363" s="9" t="str">
        <x:v>Process a selected T0 raw/salvage input; candidate input proposal.natural.silica</x:v>
      </x:c>
      <x:c r="L363" s="9" t="str">
        <x:v>Use qualified raw silicate/mineral inputs in a first integrated melt and cooling batch.</x:v>
      </x:c>
      <x:c r="M363" s="9" t="str">
        <x:v>Not implemented</x:v>
      </x:c>
      <x:c r="N363" s="9" t="str">
        <x:v>Colored opaque glass is source-aligned. Actual additives, furnace recipe and material performance TBD.</x:v>
      </x:c>
      <x:c r="O363" s="17"/>
      <x:c r="P363" s="17"/>
      <x:c r="Q363" s="17"/>
      <x:c r="R363" s="17"/>
      <x:c r="S363" s="17"/>
      <x:c r="T363" s="9" t="str">
        <x:v>Tier is manufacturing lineage, not rarity, value, quality or number of hand operations. Routes are partial ingredient proposals, not authored recipes.</x:v>
      </x:c>
      <x:c r="U363" s="11" t="str">
        <x:v>fabrication</x:v>
      </x:c>
      <x:c r="V363" s="9" t="str">
        <x:v>New game T1 proposal aligned to source draft/proposal https://github.com/sleepyseamonster/Arc-Dust/blob/f6f98515c005dc3c73cccd9cbc031691745740c6/02-Arc-Dust-Worldbuilding/world/materials/glass.md; source does not approve this game recipe.</x:v>
      </x:c>
      <x:c r="W363" s="4" t="str">
        <x:v>Processed material</x:v>
      </x:c>
      <x:c r="X363" s="4" t="str">
        <x:v>Processed intermediate</x:v>
      </x:c>
      <x:c r="Y363" s="4" t="str">
        <x:v>Geological</x:v>
      </x:c>
      <x:c r="Z363" s="4" t="str">
        <x:v>Glass and ceramics</x:v>
      </x:c>
      <x:c r="AA363" s="4" t="str">
        <x:v>Glass</x:v>
      </x:c>
      <x:c r="AB363" s="4" t="str">
        <x:v>Solid piece</x:v>
      </x:c>
      <x:c r="AC363" s="4" t="str">
        <x:v>Proposal</x:v>
      </x:c>
      <x:c r="AD363" s="4" t="str">
        <x:f>LOWER(A363&amp;"; "&amp;B363&amp;"; "&amp;C363&amp;"; "&amp;D363&amp;"; "&amp;W363&amp;"; "&amp;X363&amp;"; "&amp;Y363&amp;"; "&amp;Z363&amp;"; "&amp;AA363&amp;"; "&amp;AB363&amp;"; "&amp;AC363&amp;"; "&amp;U363)</x:f>
        <x:v>proposal.t1.opaque_glass; opaque mineral-glass stock; resources; tier 1 material concept; processed material; processed intermediate; geological; glass and ceramics; glass; solid piece; proposal; fabrication</x:v>
      </x:c>
      <x:c r="AE363" s="4" t="str">
        <x:v>First-stage refinement proposal. Source material/cultural records remain proposal-stage.</x:v>
      </x:c>
      <x:c r="AF363" s="4" t="str">
        <x:v>T1</x:v>
      </x:c>
      <x:c r="AG363" s="4" t="str">
        <x:v>Proposed game manufacturing tier from the candidate routes. Integrated operations may contain many work steps.</x:v>
      </x:c>
      <x:c r="AH363" s="4" t="str">
        <x:v>Not applicable</x:v>
      </x:c>
    </x:row>
    <x:row r="364" ht="115" customHeight="1">
      <x:c r="A364" s="9" t="str">
        <x:v>proposal.t1.clear_glass_blank</x:v>
      </x:c>
      <x:c r="B364" s="9" t="str">
        <x:v>Rough clear-glass blank</x:v>
      </x:c>
      <x:c r="C364" s="9" t="str">
        <x:v>Resources</x:v>
      </x:c>
      <x:c r="D364" s="9" t="str">
        <x:v>Tier 1 material concept</x:v>
      </x:c>
      <x:c r="E364" s="9" t="str">
        <x:v>New proposal</x:v>
      </x:c>
      <x:c r="F364" s="9" t="str">
        <x:v>First-stage material stock for inspection.</x:v>
      </x:c>
      <x:c r="G364" s="9" t="str">
        <x:v>None</x:v>
      </x:c>
      <x:c r="H364" s="9" t="str">
        <x:v>Material cargo / workshop storage; policy TBD</x:v>
      </x:c>
      <x:c r="I364" s="13"/>
      <x:c r="J364" s="15"/>
      <x:c r="K364" s="9" t="str">
        <x:v>Process a selected T0 raw/salvage input; candidate input proposal.natural.silica</x:v>
      </x:c>
      <x:c r="L364" s="9" t="str">
        <x:v>Select exceptional clean raw silicate for a specialist first clear-glass batch.</x:v>
      </x:c>
      <x:c r="M364" s="9" t="str">
        <x:v>Not implemented</x:v>
      </x:c>
      <x:c r="N364" s="9" t="str">
        <x:v>A costly conditional T1 route, not common glass or a finished lens. If purified T1 feed is required, this route must move to T2.</x:v>
      </x:c>
      <x:c r="O364" s="17"/>
      <x:c r="P364" s="17"/>
      <x:c r="Q364" s="17"/>
      <x:c r="R364" s="17"/>
      <x:c r="S364" s="17"/>
      <x:c r="T364" s="9" t="str">
        <x:v>Tier is manufacturing lineage, not rarity, value, quality or number of hand operations. Routes are partial ingredient proposals, not authored recipes.</x:v>
      </x:c>
      <x:c r="U364" s="11" t="str">
        <x:v>glass and ceramics</x:v>
      </x:c>
      <x:c r="V364" s="9" t="str">
        <x:v>New game T1 proposal aligned to source draft/proposal https://github.com/sleepyseamonster/Arc-Dust/blob/f6f98515c005dc3c73cccd9cbc031691745740c6/02-Arc-Dust-Worldbuilding/world/materials/glass.md; source does not approve this game recipe.</x:v>
      </x:c>
      <x:c r="W364" s="4" t="str">
        <x:v>Processed material</x:v>
      </x:c>
      <x:c r="X364" s="4" t="str">
        <x:v>Processed intermediate</x:v>
      </x:c>
      <x:c r="Y364" s="4" t="str">
        <x:v>Geological</x:v>
      </x:c>
      <x:c r="Z364" s="4" t="str">
        <x:v>Inspection</x:v>
      </x:c>
      <x:c r="AA364" s="4" t="str">
        <x:v>Glass</x:v>
      </x:c>
      <x:c r="AB364" s="4" t="str">
        <x:v>Solid piece</x:v>
      </x:c>
      <x:c r="AC364" s="4" t="str">
        <x:v>Proposal</x:v>
      </x:c>
      <x:c r="AD364" s="4" t="str">
        <x:f>LOWER(A364&amp;"; "&amp;B364&amp;"; "&amp;C364&amp;"; "&amp;D364&amp;"; "&amp;W364&amp;"; "&amp;X364&amp;"; "&amp;Y364&amp;"; "&amp;Z364&amp;"; "&amp;AA364&amp;"; "&amp;AB364&amp;"; "&amp;AC364&amp;"; "&amp;U364)</x:f>
        <x:v>proposal.t1.clear_glass_blank; rough clear-glass blank; resources; tier 1 material concept; processed material; processed intermediate; geological; inspection; glass; solid piece; proposal; glass and ceramics</x:v>
      </x:c>
      <x:c r="AE364" s="4" t="str">
        <x:v>First-stage refinement proposal. Source material/cultural records remain proposal-stage.</x:v>
      </x:c>
      <x:c r="AF364" s="4" t="str">
        <x:v>T1</x:v>
      </x:c>
      <x:c r="AG364" s="4" t="str">
        <x:v>Proposed game manufacturing tier from the candidate routes. Integrated operations may contain many work steps.</x:v>
      </x:c>
      <x:c r="AH364" s="4" t="str">
        <x:v>Not applicable</x:v>
      </x:c>
    </x:row>
    <x:row r="365" ht="115" customHeight="1">
      <x:c r="A365" s="9" t="str">
        <x:v>proposal.t1.dressed_stone</x:v>
      </x:c>
      <x:c r="B365" s="9" t="str">
        <x:v>Dressed building-stone stock</x:v>
      </x:c>
      <x:c r="C365" s="9" t="str">
        <x:v>Resources</x:v>
      </x:c>
      <x:c r="D365" s="9" t="str">
        <x:v>Tier 1 material concept</x:v>
      </x:c>
      <x:c r="E365" s="9" t="str">
        <x:v>New proposal</x:v>
      </x:c>
      <x:c r="F365" s="9" t="str">
        <x:v>First-stage material stock for binding and construction.</x:v>
      </x:c>
      <x:c r="G365" s="9" t="str">
        <x:v>None</x:v>
      </x:c>
      <x:c r="H365" s="9" t="str">
        <x:v>Material cargo / workshop storage; policy TBD</x:v>
      </x:c>
      <x:c r="I365" s="13"/>
      <x:c r="J365" s="15"/>
      <x:c r="K365" s="9" t="str">
        <x:v>Process a selected T0 raw/salvage input; candidate input proposal.raw.basalt</x:v>
      </x:c>
      <x:c r="L365" s="9" t="str">
        <x:v>Select, dress and size raw blocks into reusable building stock.</x:v>
      </x:c>
      <x:c r="M365" s="9" t="str">
        <x:v>Not implemented</x:v>
      </x:c>
      <x:c r="N365" s="9" t="str">
        <x:v>Stone type, geometry and service grade are independent of crafting tier.</x:v>
      </x:c>
      <x:c r="O365" s="17"/>
      <x:c r="P365" s="17"/>
      <x:c r="Q365" s="17"/>
      <x:c r="R365" s="17"/>
      <x:c r="S365" s="17"/>
      <x:c r="T365" s="9" t="str">
        <x:v>Tier is manufacturing lineage, not rarity, value, quality or number of hand operations. Routes are partial ingredient proposals, not authored recipes.</x:v>
      </x:c>
      <x:c r="U365" s="11" t="str">
        <x:v>fabrication</x:v>
      </x:c>
      <x:c r="V365" s="9" t="str">
        <x:v>New game T1 proposal aligned to source draft/proposal https://github.com/sleepyseamonster/Arc-Dust/blob/f6f98515c005dc3c73cccd9cbc031691745740c6/02-Arc-Dust-Worldbuilding/world/materials/industrial-material-palette.md; source does not approve this game recipe.</x:v>
      </x:c>
      <x:c r="W365" s="4" t="str">
        <x:v>Processed material</x:v>
      </x:c>
      <x:c r="X365" s="4" t="str">
        <x:v>Processed intermediate</x:v>
      </x:c>
      <x:c r="Y365" s="4" t="str">
        <x:v>Geological</x:v>
      </x:c>
      <x:c r="Z365" s="4" t="str">
        <x:v>Binding and construction</x:v>
      </x:c>
      <x:c r="AA365" s="4" t="str">
        <x:v>Mineral</x:v>
      </x:c>
      <x:c r="AB365" s="4" t="str">
        <x:v>Solid piece</x:v>
      </x:c>
      <x:c r="AC365" s="4" t="str">
        <x:v>Proposal</x:v>
      </x:c>
      <x:c r="AD365" s="4" t="str">
        <x:f>LOWER(A365&amp;"; "&amp;B365&amp;"; "&amp;C365&amp;"; "&amp;D365&amp;"; "&amp;W365&amp;"; "&amp;X365&amp;"; "&amp;Y365&amp;"; "&amp;Z365&amp;"; "&amp;AA365&amp;"; "&amp;AB365&amp;"; "&amp;AC365&amp;"; "&amp;U365)</x:f>
        <x:v>proposal.t1.dressed_stone; dressed building-stone stock; resources; tier 1 material concept; processed material; processed intermediate; geological; binding and construction; mineral; solid piece; proposal; fabrication</x:v>
      </x:c>
      <x:c r="AE365" s="4" t="str">
        <x:v>First-stage refinement proposal. Source material/cultural records remain proposal-stage.</x:v>
      </x:c>
      <x:c r="AF365" s="4" t="str">
        <x:v>T1</x:v>
      </x:c>
      <x:c r="AG365" s="4" t="str">
        <x:v>Proposed game manufacturing tier from the candidate routes. Integrated operations may contain many work steps.</x:v>
      </x:c>
      <x:c r="AH365" s="4" t="str">
        <x:v>Not applicable</x:v>
      </x:c>
    </x:row>
    <x:row r="366" ht="115" customHeight="1">
      <x:c r="A366" s="9" t="str">
        <x:v>proposal.t1.resonant_blank</x:v>
      </x:c>
      <x:c r="B366" s="9" t="str">
        <x:v>Selected resonant-stone blank</x:v>
      </x:c>
      <x:c r="C366" s="9" t="str">
        <x:v>Resources</x:v>
      </x:c>
      <x:c r="D366" s="9" t="str">
        <x:v>Tier 1 material concept</x:v>
      </x:c>
      <x:c r="E366" s="9" t="str">
        <x:v>New proposal</x:v>
      </x:c>
      <x:c r="F366" s="9" t="str">
        <x:v>First-stage material stock for music.</x:v>
      </x:c>
      <x:c r="G366" s="9" t="str">
        <x:v>None</x:v>
      </x:c>
      <x:c r="H366" s="9" t="str">
        <x:v>Material cargo / workshop storage; policy TBD</x:v>
      </x:c>
      <x:c r="I366" s="13"/>
      <x:c r="J366" s="15"/>
      <x:c r="K366" s="9" t="str">
        <x:v>Process a selected T0 raw/salvage input; candidate input proposal.raw.slate</x:v>
      </x:c>
      <x:c r="L366" s="9" t="str">
        <x:v>Select and rough-shape candidate stone blanks for later instrument tuning.</x:v>
      </x:c>
      <x:c r="M366" s="9" t="str">
        <x:v>Not implemented</x:v>
      </x:c>
      <x:c r="N366" s="9" t="str">
        <x:v>Source supports tuned stone craft, not this mineral selection. Resonance qualification is open; no Caller ability granted.</x:v>
      </x:c>
      <x:c r="O366" s="17"/>
      <x:c r="P366" s="17"/>
      <x:c r="Q366" s="17"/>
      <x:c r="R366" s="17"/>
      <x:c r="S366" s="17"/>
      <x:c r="T366" s="9" t="str">
        <x:v>Tier is manufacturing lineage, not rarity, value, quality or number of hand operations. Routes are partial ingredient proposals, not authored recipes.</x:v>
      </x:c>
      <x:c r="U366" s="11" t="str">
        <x:v>fabrication</x:v>
      </x:c>
      <x:c r="V366" s="9" t="str">
        <x:v>New game T1 proposal aligned to source draft/proposal https://github.com/sleepyseamonster/Arc-Dust/blob/f6f98515c005dc3c73cccd9cbc031691745740c6/02-Arc-Dust-Worldbuilding/world/peoples/resonance-callers.md; source does not approve this game recipe.</x:v>
      </x:c>
      <x:c r="W366" s="4" t="str">
        <x:v>Processed material</x:v>
      </x:c>
      <x:c r="X366" s="4" t="str">
        <x:v>Processed intermediate</x:v>
      </x:c>
      <x:c r="Y366" s="4" t="str">
        <x:v>Geological</x:v>
      </x:c>
      <x:c r="Z366" s="4" t="str">
        <x:v>Music</x:v>
      </x:c>
      <x:c r="AA366" s="4" t="str">
        <x:v>Mineral</x:v>
      </x:c>
      <x:c r="AB366" s="4" t="str">
        <x:v>Solid piece</x:v>
      </x:c>
      <x:c r="AC366" s="4" t="str">
        <x:v>Proposal</x:v>
      </x:c>
      <x:c r="AD366" s="4" t="str">
        <x:f>LOWER(A366&amp;"; "&amp;B366&amp;"; "&amp;C366&amp;"; "&amp;D366&amp;"; "&amp;W366&amp;"; "&amp;X366&amp;"; "&amp;Y366&amp;"; "&amp;Z366&amp;"; "&amp;AA366&amp;"; "&amp;AB366&amp;"; "&amp;AC366&amp;"; "&amp;U366)</x:f>
        <x:v>proposal.t1.resonant_blank; selected resonant-stone blank; resources; tier 1 material concept; processed material; processed intermediate; geological; music; mineral; solid piece; proposal; fabrication</x:v>
      </x:c>
      <x:c r="AE366" s="4" t="str">
        <x:v>First-stage refinement proposal. Source material/cultural records remain proposal-stage.</x:v>
      </x:c>
      <x:c r="AF366" s="4" t="str">
        <x:v>T1</x:v>
      </x:c>
      <x:c r="AG366" s="4" t="str">
        <x:v>Proposed game manufacturing tier from the candidate routes. Integrated operations may contain many work steps.</x:v>
      </x:c>
      <x:c r="AH366" s="4" t="str">
        <x:v>Not applicable</x:v>
      </x:c>
    </x:row>
    <x:row r="367" ht="115" customHeight="1">
      <x:c r="A367" s="9" t="str">
        <x:v>proposal.t1.pigment_powder</x:v>
      </x:c>
      <x:c r="B367" s="9" t="str">
        <x:v>Prepared mineral pigment powder</x:v>
      </x:c>
      <x:c r="C367" s="9" t="str">
        <x:v>Resources</x:v>
      </x:c>
      <x:c r="D367" s="9" t="str">
        <x:v>Tier 1 material concept</x:v>
      </x:c>
      <x:c r="E367" s="9" t="str">
        <x:v>New proposal</x:v>
      </x:c>
      <x:c r="F367" s="9" t="str">
        <x:v>First-stage material stock for decoration.</x:v>
      </x:c>
      <x:c r="G367" s="9" t="str">
        <x:v>None</x:v>
      </x:c>
      <x:c r="H367" s="9" t="str">
        <x:v>Material cargo / workshop storage; policy TBD</x:v>
      </x:c>
      <x:c r="I367" s="13"/>
      <x:c r="J367" s="15"/>
      <x:c r="K367" s="9" t="str">
        <x:v>Process a selected T0 raw/salvage input; candidate input proposal.raw.ochre</x:v>
      </x:c>
      <x:c r="L367" s="9" t="str">
        <x:v>Sort and grind a chosen raw color-bearing feed.</x:v>
      </x:c>
      <x:c r="M367" s="9" t="str">
        <x:v>Not implemented</x:v>
      </x:c>
      <x:c r="N367" s="9" t="str">
        <x:v>A first industrial colorant, not prepared paint or food color. Carrier formulation is a later material stage.</x:v>
      </x:c>
      <x:c r="O367" s="17"/>
      <x:c r="P367" s="17"/>
      <x:c r="Q367" s="17"/>
      <x:c r="R367" s="17"/>
      <x:c r="S367" s="17"/>
      <x:c r="T367" s="9" t="str">
        <x:v>Tier is manufacturing lineage, not rarity, value, quality or number of hand operations. Routes are partial ingredient proposals, not authored recipes.</x:v>
      </x:c>
      <x:c r="U367" s="11" t="str">
        <x:v>writing and records</x:v>
      </x:c>
      <x:c r="V367" s="9" t="str">
        <x:v>New game T1 proposal aligned to source draft/proposal https://github.com/sleepyseamonster/Arc-Dust/blob/f6f98515c005dc3c73cccd9cbc031691745740c6/02-Arc-Dust-Worldbuilding/world/materials/chemical-processing-agents.md; source does not approve this game recipe.</x:v>
      </x:c>
      <x:c r="W367" s="4" t="str">
        <x:v>Processed material</x:v>
      </x:c>
      <x:c r="X367" s="4" t="str">
        <x:v>Processed intermediate</x:v>
      </x:c>
      <x:c r="Y367" s="4" t="str">
        <x:v>Geological</x:v>
      </x:c>
      <x:c r="Z367" s="4" t="str">
        <x:v>Decoration</x:v>
      </x:c>
      <x:c r="AA367" s="4" t="str">
        <x:v>Mineral</x:v>
      </x:c>
      <x:c r="AB367" s="4" t="str">
        <x:v>Particles</x:v>
      </x:c>
      <x:c r="AC367" s="4" t="str">
        <x:v>Proposal</x:v>
      </x:c>
      <x:c r="AD367" s="4" t="str">
        <x:f>LOWER(A367&amp;"; "&amp;B367&amp;"; "&amp;C367&amp;"; "&amp;D367&amp;"; "&amp;W367&amp;"; "&amp;X367&amp;"; "&amp;Y367&amp;"; "&amp;Z367&amp;"; "&amp;AA367&amp;"; "&amp;AB367&amp;"; "&amp;AC367&amp;"; "&amp;U367)</x:f>
        <x:v>proposal.t1.pigment_powder; prepared mineral pigment powder; resources; tier 1 material concept; processed material; processed intermediate; geological; decoration; mineral; particles; proposal; writing and records</x:v>
      </x:c>
      <x:c r="AE367" s="4" t="str">
        <x:v>First-stage refinement proposal. Source material/cultural records remain proposal-stage.</x:v>
      </x:c>
      <x:c r="AF367" s="4" t="str">
        <x:v>T1</x:v>
      </x:c>
      <x:c r="AG367" s="4" t="str">
        <x:v>Proposed game manufacturing tier from the candidate routes. Integrated operations may contain many work steps.</x:v>
      </x:c>
      <x:c r="AH367" s="4" t="str">
        <x:v>Not applicable</x:v>
      </x:c>
    </x:row>
    <x:row r="368" ht="115" customHeight="1">
      <x:c r="A368" s="9" t="str">
        <x:v>proposal.t1.mineral_filler</x:v>
      </x:c>
      <x:c r="B368" s="9" t="str">
        <x:v>Graded mineral filler</x:v>
      </x:c>
      <x:c r="C368" s="9" t="str">
        <x:v>Resources</x:v>
      </x:c>
      <x:c r="D368" s="9" t="str">
        <x:v>Tier 1 material concept</x:v>
      </x:c>
      <x:c r="E368" s="9" t="str">
        <x:v>New proposal</x:v>
      </x:c>
      <x:c r="F368" s="9" t="str">
        <x:v>First-stage material stock for binding and construction.</x:v>
      </x:c>
      <x:c r="G368" s="9" t="str">
        <x:v>None</x:v>
      </x:c>
      <x:c r="H368" s="9" t="str">
        <x:v>Material cargo / workshop storage; policy TBD</x:v>
      </x:c>
      <x:c r="I368" s="13"/>
      <x:c r="J368" s="15"/>
      <x:c r="K368" s="9" t="str">
        <x:v>Process a selected T0 raw/salvage input; candidate input proposal.raw.barite</x:v>
      </x:c>
      <x:c r="L368" s="9" t="str">
        <x:v>Select and grade raw mineral feed into a defined filler fraction.</x:v>
      </x:c>
      <x:c r="M368" s="9" t="str">
        <x:v>Not implemented</x:v>
      </x:c>
      <x:c r="N368" s="9" t="str">
        <x:v>Feed composition and usefulness must be qualified; not universal clean aggregate.</x:v>
      </x:c>
      <x:c r="O368" s="17"/>
      <x:c r="P368" s="17"/>
      <x:c r="Q368" s="17"/>
      <x:c r="R368" s="17"/>
      <x:c r="S368" s="17"/>
      <x:c r="T368" s="9" t="str">
        <x:v>Tier is manufacturing lineage, not rarity, value, quality or number of hand operations. Routes are partial ingredient proposals, not authored recipes.</x:v>
      </x:c>
      <x:c r="U368" s="11" t="str">
        <x:v>fabrication</x:v>
      </x:c>
      <x:c r="V368" s="9" t="str">
        <x:v>New game T1 proposal aligned to source draft/proposal https://github.com/sleepyseamonster/Arc-Dust/blob/f6f98515c005dc3c73cccd9cbc031691745740c6/02-Arc-Dust-Worldbuilding/world/materials/chemical-processing-agents.md; source does not approve this game recipe.</x:v>
      </x:c>
      <x:c r="W368" s="4" t="str">
        <x:v>Processed material</x:v>
      </x:c>
      <x:c r="X368" s="4" t="str">
        <x:v>Processed intermediate</x:v>
      </x:c>
      <x:c r="Y368" s="4" t="str">
        <x:v>Geological</x:v>
      </x:c>
      <x:c r="Z368" s="4" t="str">
        <x:v>Binding and construction</x:v>
      </x:c>
      <x:c r="AA368" s="4" t="str">
        <x:v>Mineral</x:v>
      </x:c>
      <x:c r="AB368" s="4" t="str">
        <x:v>Particles</x:v>
      </x:c>
      <x:c r="AC368" s="4" t="str">
        <x:v>Proposal</x:v>
      </x:c>
      <x:c r="AD368" s="4" t="str">
        <x:f>LOWER(A368&amp;"; "&amp;B368&amp;"; "&amp;C368&amp;"; "&amp;D368&amp;"; "&amp;W368&amp;"; "&amp;X368&amp;"; "&amp;Y368&amp;"; "&amp;Z368&amp;"; "&amp;AA368&amp;"; "&amp;AB368&amp;"; "&amp;AC368&amp;"; "&amp;U368)</x:f>
        <x:v>proposal.t1.mineral_filler; graded mineral filler; resources; tier 1 material concept; processed material; processed intermediate; geological; binding and construction; mineral; particles; proposal; fabrication</x:v>
      </x:c>
      <x:c r="AE368" s="4" t="str">
        <x:v>First-stage refinement proposal. Source material/cultural records remain proposal-stage.</x:v>
      </x:c>
      <x:c r="AF368" s="4" t="str">
        <x:v>T1</x:v>
      </x:c>
      <x:c r="AG368" s="4" t="str">
        <x:v>Proposed game manufacturing tier from the candidate routes. Integrated operations may contain many work steps.</x:v>
      </x:c>
      <x:c r="AH368" s="4" t="str">
        <x:v>Not applicable</x:v>
      </x:c>
    </x:row>
    <x:row r="369" ht="115" customHeight="1">
      <x:c r="A369" s="9" t="str">
        <x:v>proposal.t1.glass_feed</x:v>
      </x:c>
      <x:c r="B369" s="9" t="str">
        <x:v>Sorted glass remelt feed</x:v>
      </x:c>
      <x:c r="C369" s="9" t="str">
        <x:v>Resources</x:v>
      </x:c>
      <x:c r="D369" s="9" t="str">
        <x:v>Tier 1 material concept</x:v>
      </x:c>
      <x:c r="E369" s="9" t="str">
        <x:v>New proposal</x:v>
      </x:c>
      <x:c r="F369" s="9" t="str">
        <x:v>First-stage material stock for glass and ceramics.</x:v>
      </x:c>
      <x:c r="G369" s="9" t="str">
        <x:v>None</x:v>
      </x:c>
      <x:c r="H369" s="9" t="str">
        <x:v>Material cargo / workshop storage; policy TBD</x:v>
      </x:c>
      <x:c r="I369" s="13"/>
      <x:c r="J369" s="15"/>
      <x:c r="K369" s="9" t="str">
        <x:v>Process a selected T0 raw/salvage input; candidate input proposal.raw.glass_shards</x:v>
      </x:c>
      <x:c r="L369" s="9" t="str">
        <x:v>Identify, segregate and prepare recovered glass for a compatible later melt.</x:v>
      </x:c>
      <x:c r="M369" s="9" t="str">
        <x:v>Not implemented</x:v>
      </x:c>
      <x:c r="N369" s="9" t="str">
        <x:v>This is a salvage-preparation branch. Glass made from this T1 feed would be T2, not a second T1 transformation.</x:v>
      </x:c>
      <x:c r="O369" s="17"/>
      <x:c r="P369" s="17"/>
      <x:c r="Q369" s="17"/>
      <x:c r="R369" s="17"/>
      <x:c r="S369" s="17"/>
      <x:c r="T369" s="9" t="str">
        <x:v>Tier is manufacturing lineage, not rarity, value, quality or number of hand operations. Routes are partial ingredient proposals, not authored recipes.</x:v>
      </x:c>
      <x:c r="U369" s="11" t="str"/>
      <x:c r="V369" s="9" t="str">
        <x:v>New game T1 proposal aligned to source draft/proposal https://github.com/sleepyseamonster/Arc-Dust/blob/f6f98515c005dc3c73cccd9cbc031691745740c6/02-Arc-Dust-Worldbuilding/world/materials/glass.md; source does not approve this game recipe.</x:v>
      </x:c>
      <x:c r="W369" s="4" t="str">
        <x:v>Processed material</x:v>
      </x:c>
      <x:c r="X369" s="4" t="str">
        <x:v>Processed intermediate</x:v>
      </x:c>
      <x:c r="Y369" s="4" t="str">
        <x:v>Industrial salvage</x:v>
      </x:c>
      <x:c r="Z369" s="4" t="str">
        <x:v>Glass and ceramics</x:v>
      </x:c>
      <x:c r="AA369" s="4" t="str">
        <x:v>Glass</x:v>
      </x:c>
      <x:c r="AB369" s="4" t="str">
        <x:v>Particles</x:v>
      </x:c>
      <x:c r="AC369" s="4" t="str">
        <x:v>Proposal</x:v>
      </x:c>
      <x:c r="AD369" s="4" t="str">
        <x:f>LOWER(A369&amp;"; "&amp;B369&amp;"; "&amp;C369&amp;"; "&amp;D369&amp;"; "&amp;W369&amp;"; "&amp;X369&amp;"; "&amp;Y369&amp;"; "&amp;Z369&amp;"; "&amp;AA369&amp;"; "&amp;AB369&amp;"; "&amp;AC369&amp;"; "&amp;U369)</x:f>
        <x:v>proposal.t1.glass_feed; sorted glass remelt feed; resources; tier 1 material concept; processed material; processed intermediate; industrial salvage; glass and ceramics; glass; particles; proposal; </x:v>
      </x:c>
      <x:c r="AE369" s="4" t="str">
        <x:v>First-stage refinement proposal. Source material/cultural records remain proposal-stage.</x:v>
      </x:c>
      <x:c r="AF369" s="4" t="str">
        <x:v>T1</x:v>
      </x:c>
      <x:c r="AG369" s="4" t="str">
        <x:v>Proposed game manufacturing tier from the candidate routes. Integrated operations may contain many work steps.</x:v>
      </x:c>
      <x:c r="AH369" s="4" t="str">
        <x:v>Not applicable</x:v>
      </x:c>
    </x:row>
    <x:row r="370" ht="115" customHeight="1">
      <x:c r="A370" s="9" t="str">
        <x:v>proposal.t1.mica_flakes</x:v>
      </x:c>
      <x:c r="B370" s="9" t="str">
        <x:v>Separated mica flake grade</x:v>
      </x:c>
      <x:c r="C370" s="9" t="str">
        <x:v>Resources</x:v>
      </x:c>
      <x:c r="D370" s="9" t="str">
        <x:v>Tier 1 material concept</x:v>
      </x:c>
      <x:c r="E370" s="9" t="str">
        <x:v>New proposal</x:v>
      </x:c>
      <x:c r="F370" s="9" t="str">
        <x:v>First-stage material stock for fabrication.</x:v>
      </x:c>
      <x:c r="G370" s="9" t="str">
        <x:v>None</x:v>
      </x:c>
      <x:c r="H370" s="9" t="str">
        <x:v>Material cargo / workshop storage; policy TBD</x:v>
      </x:c>
      <x:c r="I370" s="13"/>
      <x:c r="J370" s="15"/>
      <x:c r="K370" s="9" t="str">
        <x:v>Process a selected T0 raw/salvage input; candidate input proposal.natural.mica</x:v>
      </x:c>
      <x:c r="L370" s="9" t="str">
        <x:v>Split and grade selected raw mica into flake feed.</x:v>
      </x:c>
      <x:c r="M370" s="9" t="str">
        <x:v>Not implemented</x:v>
      </x:c>
      <x:c r="N370" s="9" t="str">
        <x:v>Composition and target composite/finish remain open; no electrical rating assigned.</x:v>
      </x:c>
      <x:c r="O370" s="17"/>
      <x:c r="P370" s="17"/>
      <x:c r="Q370" s="17"/>
      <x:c r="R370" s="17"/>
      <x:c r="S370" s="17"/>
      <x:c r="T370" s="9" t="str">
        <x:v>Tier is manufacturing lineage, not rarity, value, quality or number of hand operations. Routes are partial ingredient proposals, not authored recipes.</x:v>
      </x:c>
      <x:c r="U370" s="11" t="str">
        <x:v>decoration</x:v>
      </x:c>
      <x:c r="V370" s="9" t="str">
        <x:v>New game T1 proposal aligned to source draft/proposal https://github.com/sleepyseamonster/Arc-Dust/blob/f6f98515c005dc3c73cccd9cbc031691745740c6/02-Arc-Dust-Worldbuilding/world/materials/industrial-material-palette.md; source does not approve this game recipe.</x:v>
      </x:c>
      <x:c r="W370" s="4" t="str">
        <x:v>Processed material</x:v>
      </x:c>
      <x:c r="X370" s="4" t="str">
        <x:v>Processed intermediate</x:v>
      </x:c>
      <x:c r="Y370" s="4" t="str">
        <x:v>Geological</x:v>
      </x:c>
      <x:c r="Z370" s="4" t="str">
        <x:v>Fabrication</x:v>
      </x:c>
      <x:c r="AA370" s="4" t="str">
        <x:v>Mineral</x:v>
      </x:c>
      <x:c r="AB370" s="4" t="str">
        <x:v>Particles</x:v>
      </x:c>
      <x:c r="AC370" s="4" t="str">
        <x:v>Proposal</x:v>
      </x:c>
      <x:c r="AD370" s="4" t="str">
        <x:f>LOWER(A370&amp;"; "&amp;B370&amp;"; "&amp;C370&amp;"; "&amp;D370&amp;"; "&amp;W370&amp;"; "&amp;X370&amp;"; "&amp;Y370&amp;"; "&amp;Z370&amp;"; "&amp;AA370&amp;"; "&amp;AB370&amp;"; "&amp;AC370&amp;"; "&amp;U370)</x:f>
        <x:v>proposal.t1.mica_flakes; separated mica flake grade; resources; tier 1 material concept; processed material; processed intermediate; geological; fabrication; mineral; particles; proposal; decoration</x:v>
      </x:c>
      <x:c r="AE370" s="4" t="str">
        <x:v>First-stage refinement proposal. Source material/cultural records remain proposal-stage.</x:v>
      </x:c>
      <x:c r="AF370" s="4" t="str">
        <x:v>T1</x:v>
      </x:c>
      <x:c r="AG370" s="4" t="str">
        <x:v>Proposed game manufacturing tier from the candidate routes. Integrated operations may contain many work steps.</x:v>
      </x:c>
      <x:c r="AH370" s="4" t="str">
        <x:v>Not applicable</x:v>
      </x:c>
    </x:row>
    <x:row r="371" ht="115" customHeight="1">
      <x:c r="A371" s="9" t="str">
        <x:v>proposal.t1.husk_pulp</x:v>
      </x:c>
      <x:c r="B371" s="9" t="str">
        <x:v>Prepared husk-fiber pulp</x:v>
      </x:c>
      <x:c r="C371" s="9" t="str">
        <x:v>Resources</x:v>
      </x:c>
      <x:c r="D371" s="9" t="str">
        <x:v>Tier 1 material concept</x:v>
      </x:c>
      <x:c r="E371" s="9" t="str">
        <x:v>New proposal</x:v>
      </x:c>
      <x:c r="F371" s="9" t="str">
        <x:v>First-stage material stock for paper making.</x:v>
      </x:c>
      <x:c r="G371" s="9" t="str">
        <x:v>None</x:v>
      </x:c>
      <x:c r="H371" s="9" t="str">
        <x:v>Material cargo / workshop storage; policy TBD</x:v>
      </x:c>
      <x:c r="I371" s="13"/>
      <x:c r="J371" s="15"/>
      <x:c r="K371" s="9" t="str">
        <x:v>Process a selected T0 raw/salvage input; candidate input proposal.bio.chitin_fibers</x:v>
      </x:c>
      <x:c r="L371" s="9" t="str">
        <x:v>Separate and condition scraped husk fiber into a first paper-making feed.</x:v>
      </x:c>
      <x:c r="M371" s="9" t="str">
        <x:v>Not implemented</x:v>
      </x:c>
      <x:c r="N371" s="9" t="str">
        <x:v>No free-water slurry assumed. Contained carrier or dry preparation remains undecided.</x:v>
      </x:c>
      <x:c r="O371" s="17"/>
      <x:c r="P371" s="17"/>
      <x:c r="Q371" s="17"/>
      <x:c r="R371" s="17"/>
      <x:c r="S371" s="17"/>
      <x:c r="T371" s="9" t="str">
        <x:v>Tier is manufacturing lineage, not rarity, value, quality or number of hand operations. Routes are partial ingredient proposals, not authored recipes.</x:v>
      </x:c>
      <x:c r="U371" s="11" t="str">
        <x:v>textile processing</x:v>
      </x:c>
      <x:c r="V371" s="9" t="str">
        <x:v>New game T1 proposal aligned to source draft/proposal https://github.com/sleepyseamonster/Arc-Dust/blob/f6f98515c005dc3c73cccd9cbc031691745740c6/02-Arc-Dust-Worldbuilding/world/materials/chitin.md; source does not approve this game recipe.</x:v>
      </x:c>
      <x:c r="W371" s="4" t="str">
        <x:v>Processed material</x:v>
      </x:c>
      <x:c r="X371" s="4" t="str">
        <x:v>Processed intermediate</x:v>
      </x:c>
      <x:c r="Y371" s="4" t="str">
        <x:v>Fauna</x:v>
      </x:c>
      <x:c r="Z371" s="4" t="str">
        <x:v>Paper making</x:v>
      </x:c>
      <x:c r="AA371" s="4" t="str">
        <x:v>Husk fiber</x:v>
      </x:c>
      <x:c r="AB371" s="4" t="str">
        <x:v>Unresolved</x:v>
      </x:c>
      <x:c r="AC371" s="4" t="str">
        <x:v>Proposal</x:v>
      </x:c>
      <x:c r="AD371" s="4" t="str">
        <x:f>LOWER(A371&amp;"; "&amp;B371&amp;"; "&amp;C371&amp;"; "&amp;D371&amp;"; "&amp;W371&amp;"; "&amp;X371&amp;"; "&amp;Y371&amp;"; "&amp;Z371&amp;"; "&amp;AA371&amp;"; "&amp;AB371&amp;"; "&amp;AC371&amp;"; "&amp;U371)</x:f>
        <x:v>proposal.t1.husk_pulp; prepared husk-fiber pulp; resources; tier 1 material concept; processed material; processed intermediate; fauna; paper making; husk fiber; unresolved; proposal; textile processing</x:v>
      </x:c>
      <x:c r="AE371" s="4" t="str">
        <x:v>First-stage refinement proposal. Source material/cultural records remain proposal-stage.</x:v>
      </x:c>
      <x:c r="AF371" s="4" t="str">
        <x:v>T1</x:v>
      </x:c>
      <x:c r="AG371" s="4" t="str">
        <x:v>Proposed game manufacturing tier from the candidate routes. Integrated operations may contain many work steps.</x:v>
      </x:c>
      <x:c r="AH371" s="4" t="str">
        <x:v>Not applicable</x:v>
      </x:c>
    </x:row>
    <x:row r="372" ht="115" customHeight="1">
      <x:c r="A372" s="9" t="str">
        <x:v>proposal.t1.bristle_bundle</x:v>
      </x:c>
      <x:c r="B372" s="9" t="str">
        <x:v>Clean graded bristle bundles</x:v>
      </x:c>
      <x:c r="C372" s="9" t="str">
        <x:v>Resources</x:v>
      </x:c>
      <x:c r="D372" s="9" t="str">
        <x:v>Tier 1 material concept</x:v>
      </x:c>
      <x:c r="E372" s="9" t="str">
        <x:v>New proposal</x:v>
      </x:c>
      <x:c r="F372" s="9" t="str">
        <x:v>First-stage material stock for dust exclusion.</x:v>
      </x:c>
      <x:c r="G372" s="9" t="str">
        <x:v>None</x:v>
      </x:c>
      <x:c r="H372" s="9" t="str">
        <x:v>Material cargo / workshop storage; policy TBD</x:v>
      </x:c>
      <x:c r="I372" s="13"/>
      <x:c r="J372" s="15"/>
      <x:c r="K372" s="9" t="str">
        <x:v>Process a selected T0 raw/salvage input; candidate input proposal.bio.bristles</x:v>
      </x:c>
      <x:c r="L372" s="9" t="str">
        <x:v>Sort and prepare a selected bristle batch.</x:v>
      </x:c>
      <x:c r="M372" s="9" t="str">
        <x:v>Not implemented</x:v>
      </x:c>
      <x:c r="N372" s="9" t="str">
        <x:v>Cleaning method and residue qualification unresolved; not ordinary spun cloth or a finished brush.</x:v>
      </x:c>
      <x:c r="O372" s="17"/>
      <x:c r="P372" s="17"/>
      <x:c r="Q372" s="17"/>
      <x:c r="R372" s="17"/>
      <x:c r="S372" s="17"/>
      <x:c r="T372" s="9" t="str">
        <x:v>Tier is manufacturing lineage, not rarity, value, quality or number of hand operations. Routes are partial ingredient proposals, not authored recipes.</x:v>
      </x:c>
      <x:c r="U372" s="11" t="str"/>
      <x:c r="V372" s="9" t="str">
        <x:v>New game T1 proposal aligned to source draft/proposal https://github.com/sleepyseamonster/Arc-Dust/blob/f6f98515c005dc3c73cccd9cbc031691745740c6/02-Arc-Dust-Worldbuilding/world/materials/chitin.md; source does not approve this game recipe.</x:v>
      </x:c>
      <x:c r="W372" s="4" t="str">
        <x:v>Processed material</x:v>
      </x:c>
      <x:c r="X372" s="4" t="str">
        <x:v>Processed intermediate</x:v>
      </x:c>
      <x:c r="Y372" s="4" t="str">
        <x:v>Fauna</x:v>
      </x:c>
      <x:c r="Z372" s="4" t="str">
        <x:v>Dust exclusion</x:v>
      </x:c>
      <x:c r="AA372" s="4" t="str">
        <x:v>Faunal fiber</x:v>
      </x:c>
      <x:c r="AB372" s="4" t="str">
        <x:v>Bundle</x:v>
      </x:c>
      <x:c r="AC372" s="4" t="str">
        <x:v>Proposal</x:v>
      </x:c>
      <x:c r="AD372" s="4" t="str">
        <x:f>LOWER(A372&amp;"; "&amp;B372&amp;"; "&amp;C372&amp;"; "&amp;D372&amp;"; "&amp;W372&amp;"; "&amp;X372&amp;"; "&amp;Y372&amp;"; "&amp;Z372&amp;"; "&amp;AA372&amp;"; "&amp;AB372&amp;"; "&amp;AC372&amp;"; "&amp;U372)</x:f>
        <x:v>proposal.t1.bristle_bundle; clean graded bristle bundles; resources; tier 1 material concept; processed material; processed intermediate; fauna; dust exclusion; faunal fiber; bundle; proposal; </x:v>
      </x:c>
      <x:c r="AE372" s="4" t="str">
        <x:v>First-stage refinement proposal. Source material/cultural records remain proposal-stage.</x:v>
      </x:c>
      <x:c r="AF372" s="4" t="str">
        <x:v>T1</x:v>
      </x:c>
      <x:c r="AG372" s="4" t="str">
        <x:v>Proposed game manufacturing tier from the candidate routes. Integrated operations may contain many work steps.</x:v>
      </x:c>
      <x:c r="AH372" s="4" t="str">
        <x:v>Not applicable</x:v>
      </x:c>
    </x:row>
    <x:row r="373" ht="115" customHeight="1">
      <x:c r="A373" s="9" t="str">
        <x:v>proposal.t1.shell_lamina</x:v>
      </x:c>
      <x:c r="B373" s="9" t="str">
        <x:v>Separated shell lamina stock</x:v>
      </x:c>
      <x:c r="C373" s="9" t="str">
        <x:v>Resources</x:v>
      </x:c>
      <x:c r="D373" s="9" t="str">
        <x:v>Tier 1 material concept</x:v>
      </x:c>
      <x:c r="E373" s="9" t="str">
        <x:v>New proposal</x:v>
      </x:c>
      <x:c r="F373" s="9" t="str">
        <x:v>First-stage material stock for protective fabrication.</x:v>
      </x:c>
      <x:c r="G373" s="9" t="str">
        <x:v>None</x:v>
      </x:c>
      <x:c r="H373" s="9" t="str">
        <x:v>Material cargo / workshop storage; policy TBD</x:v>
      </x:c>
      <x:c r="I373" s="13"/>
      <x:c r="J373" s="15"/>
      <x:c r="K373" s="9" t="str">
        <x:v>Process a selected T0 raw/salvage input; candidate input proposal.bio.shell</x:v>
      </x:c>
      <x:c r="L373" s="9" t="str">
        <x:v>Separate and prepare selected shell layers as first sheet stock.</x:v>
      </x:c>
      <x:c r="M373" s="9" t="str">
        <x:v>Not implemented</x:v>
      </x:c>
      <x:c r="N373" s="9" t="str">
        <x:v>The no-cloth rule and species-specific material limits control. A single lamina is not a bonded laminate.</x:v>
      </x:c>
      <x:c r="O373" s="17"/>
      <x:c r="P373" s="17"/>
      <x:c r="Q373" s="17"/>
      <x:c r="R373" s="17"/>
      <x:c r="S373" s="17"/>
      <x:c r="T373" s="9" t="str">
        <x:v>Tier is manufacturing lineage, not rarity, value, quality or number of hand operations. Routes are partial ingredient proposals, not authored recipes.</x:v>
      </x:c>
      <x:c r="U373" s="11" t="str">
        <x:v>fabrication</x:v>
      </x:c>
      <x:c r="V373" s="9" t="str">
        <x:v>New game T1 proposal aligned to source draft/proposal https://github.com/sleepyseamonster/Arc-Dust/blob/f6f98515c005dc3c73cccd9cbc031691745740c6/02-Arc-Dust-Worldbuilding/world/materials/chitin.md; source does not approve this game recipe.</x:v>
      </x:c>
      <x:c r="W373" s="4" t="str">
        <x:v>Processed material</x:v>
      </x:c>
      <x:c r="X373" s="4" t="str">
        <x:v>Processed intermediate</x:v>
      </x:c>
      <x:c r="Y373" s="4" t="str">
        <x:v>Fauna</x:v>
      </x:c>
      <x:c r="Z373" s="4" t="str">
        <x:v>Protective fabrication</x:v>
      </x:c>
      <x:c r="AA373" s="4" t="str">
        <x:v>Shell / chitin</x:v>
      </x:c>
      <x:c r="AB373" s="4" t="str">
        <x:v>Sheet</x:v>
      </x:c>
      <x:c r="AC373" s="4" t="str">
        <x:v>Proposal</x:v>
      </x:c>
      <x:c r="AD373" s="4" t="str">
        <x:f>LOWER(A373&amp;"; "&amp;B373&amp;"; "&amp;C373&amp;"; "&amp;D373&amp;"; "&amp;W373&amp;"; "&amp;X373&amp;"; "&amp;Y373&amp;"; "&amp;Z373&amp;"; "&amp;AA373&amp;"; "&amp;AB373&amp;"; "&amp;AC373&amp;"; "&amp;U373)</x:f>
        <x:v>proposal.t1.shell_lamina; separated shell lamina stock; resources; tier 1 material concept; processed material; processed intermediate; fauna; protective fabrication; shell / chitin; sheet; proposal; fabrication</x:v>
      </x:c>
      <x:c r="AE373" s="4" t="str">
        <x:v>First-stage refinement proposal. Source material/cultural records remain proposal-stage.</x:v>
      </x:c>
      <x:c r="AF373" s="4" t="str">
        <x:v>T1</x:v>
      </x:c>
      <x:c r="AG373" s="4" t="str">
        <x:v>Proposed game manufacturing tier from the candidate routes. Integrated operations may contain many work steps.</x:v>
      </x:c>
      <x:c r="AH373" s="4" t="str">
        <x:v>Not applicable</x:v>
      </x:c>
    </x:row>
    <x:row r="374" ht="115" customHeight="1">
      <x:c r="A374" s="9" t="str">
        <x:v>proposal.t1.hardpart_blank</x:v>
      </x:c>
      <x:c r="B374" s="9" t="str">
        <x:v>Shaped fauna hard-part blanks</x:v>
      </x:c>
      <x:c r="C374" s="9" t="str">
        <x:v>Resources</x:v>
      </x:c>
      <x:c r="D374" s="9" t="str">
        <x:v>Tier 1 material concept</x:v>
      </x:c>
      <x:c r="E374" s="9" t="str">
        <x:v>New proposal</x:v>
      </x:c>
      <x:c r="F374" s="9" t="str">
        <x:v>First-stage material stock for tool fabrication.</x:v>
      </x:c>
      <x:c r="G374" s="9" t="str">
        <x:v>None</x:v>
      </x:c>
      <x:c r="H374" s="9" t="str">
        <x:v>Material cargo / workshop storage; policy TBD</x:v>
      </x:c>
      <x:c r="I374" s="13"/>
      <x:c r="J374" s="15"/>
      <x:c r="K374" s="9" t="str">
        <x:v>Process a selected T0 raw/salvage input; candidate input proposal.raw.horn_core</x:v>
      </x:c>
      <x:c r="L374" s="9" t="str">
        <x:v>Select and rough-shape usable horn/core hard tissue into tool-stock blanks.</x:v>
      </x:c>
      <x:c r="M374" s="9" t="str">
        <x:v>Not implemented</x:v>
      </x:c>
      <x:c r="N374" s="9" t="str">
        <x:v>Source supports shaped hard fauna parts; horn composition and lineage remain game proposals.</x:v>
      </x:c>
      <x:c r="O374" s="17"/>
      <x:c r="P374" s="17"/>
      <x:c r="Q374" s="17"/>
      <x:c r="R374" s="17"/>
      <x:c r="S374" s="17"/>
      <x:c r="T374" s="9" t="str">
        <x:v>Tier is manufacturing lineage, not rarity, value, quality or number of hand operations. Routes are partial ingredient proposals, not authored recipes.</x:v>
      </x:c>
      <x:c r="U374" s="11" t="str"/>
      <x:c r="V374" s="9" t="str">
        <x:v>New game T1 proposal aligned to source draft/proposal https://github.com/sleepyseamonster/Arc-Dust/blob/f6f98515c005dc3c73cccd9cbc031691745740c6/02-Arc-Dust-Worldbuilding/world/materials/chitin.md; source does not approve this game recipe.</x:v>
      </x:c>
      <x:c r="W374" s="4" t="str">
        <x:v>Processed material</x:v>
      </x:c>
      <x:c r="X374" s="4" t="str">
        <x:v>Processed intermediate</x:v>
      </x:c>
      <x:c r="Y374" s="4" t="str">
        <x:v>Fauna</x:v>
      </x:c>
      <x:c r="Z374" s="4" t="str">
        <x:v>Tool fabrication</x:v>
      </x:c>
      <x:c r="AA374" s="4" t="str">
        <x:v>Faunal hard tissue</x:v>
      </x:c>
      <x:c r="AB374" s="4" t="str">
        <x:v>Solid piece</x:v>
      </x:c>
      <x:c r="AC374" s="4" t="str">
        <x:v>Proposal</x:v>
      </x:c>
      <x:c r="AD374" s="4" t="str">
        <x:f>LOWER(A374&amp;"; "&amp;B374&amp;"; "&amp;C374&amp;"; "&amp;D374&amp;"; "&amp;W374&amp;"; "&amp;X374&amp;"; "&amp;Y374&amp;"; "&amp;Z374&amp;"; "&amp;AA374&amp;"; "&amp;AB374&amp;"; "&amp;AC374&amp;"; "&amp;U374)</x:f>
        <x:v>proposal.t1.hardpart_blank; shaped fauna hard-part blanks; resources; tier 1 material concept; processed material; processed intermediate; fauna; tool fabrication; faunal hard tissue; solid piece; proposal; </x:v>
      </x:c>
      <x:c r="AE374" s="4" t="str">
        <x:v>First-stage refinement proposal. Source material/cultural records remain proposal-stage.</x:v>
      </x:c>
      <x:c r="AF374" s="4" t="str">
        <x:v>T1</x:v>
      </x:c>
      <x:c r="AG374" s="4" t="str">
        <x:v>Proposed game manufacturing tier from the candidate routes. Integrated operations may contain many work steps.</x:v>
      </x:c>
      <x:c r="AH374" s="4" t="str">
        <x:v>Not applicable</x:v>
      </x:c>
    </x:row>
    <x:row r="375" ht="115" customHeight="1">
      <x:c r="A375" s="9" t="str">
        <x:v>proposal.t1.process_salts</x:v>
      </x:c>
      <x:c r="B375" s="9" t="str">
        <x:v>Graded process salts</x:v>
      </x:c>
      <x:c r="C375" s="9" t="str">
        <x:v>Resources</x:v>
      </x:c>
      <x:c r="D375" s="9" t="str">
        <x:v>Tier 1 material concept</x:v>
      </x:c>
      <x:c r="E375" s="9" t="str">
        <x:v>New proposal</x:v>
      </x:c>
      <x:c r="F375" s="9" t="str">
        <x:v>First-stage material stock for chemical processing.</x:v>
      </x:c>
      <x:c r="G375" s="9" t="str">
        <x:v>None</x:v>
      </x:c>
      <x:c r="H375" s="9" t="str">
        <x:v>Material cargo / workshop storage; policy TBD</x:v>
      </x:c>
      <x:c r="I375" s="13"/>
      <x:c r="J375" s="15"/>
      <x:c r="K375" s="9" t="str">
        <x:v>Process a selected T0 raw/salvage input; candidate input proposal.natural.salts</x:v>
      </x:c>
      <x:c r="L375" s="9" t="str">
        <x:v>Identify and segregate a specific raw salt fraction for workshop use.</x:v>
      </x:c>
      <x:c r="M375" s="9" t="str">
        <x:v>Not implemented</x:v>
      </x:c>
      <x:c r="N375" s="9" t="str">
        <x:v>No universal reagent, potable solution or food salt inferred; containment and exact chemistry TBD.</x:v>
      </x:c>
      <x:c r="O375" s="17"/>
      <x:c r="P375" s="17"/>
      <x:c r="Q375" s="17"/>
      <x:c r="R375" s="17"/>
      <x:c r="S375" s="17"/>
      <x:c r="T375" s="9" t="str">
        <x:v>Tier is manufacturing lineage, not rarity, value, quality or number of hand operations. Routes are partial ingredient proposals, not authored recipes.</x:v>
      </x:c>
      <x:c r="U375" s="11" t="str"/>
      <x:c r="V375" s="9" t="str">
        <x:v>New game T1 proposal aligned to source draft/proposal https://github.com/sleepyseamonster/Arc-Dust/blob/f6f98515c005dc3c73cccd9cbc031691745740c6/02-Arc-Dust-Worldbuilding/world/materials/chemical-processing-agents.md; source does not approve this game recipe.</x:v>
      </x:c>
      <x:c r="W375" s="4" t="str">
        <x:v>Processed material</x:v>
      </x:c>
      <x:c r="X375" s="4" t="str">
        <x:v>Processed intermediate</x:v>
      </x:c>
      <x:c r="Y375" s="4" t="str">
        <x:v>Geological</x:v>
      </x:c>
      <x:c r="Z375" s="4" t="str">
        <x:v>Chemical processing</x:v>
      </x:c>
      <x:c r="AA375" s="4" t="str">
        <x:v>Mineral</x:v>
      </x:c>
      <x:c r="AB375" s="4" t="str">
        <x:v>Particles</x:v>
      </x:c>
      <x:c r="AC375" s="4" t="str">
        <x:v>Proposal</x:v>
      </x:c>
      <x:c r="AD375" s="4" t="str">
        <x:f>LOWER(A375&amp;"; "&amp;B375&amp;"; "&amp;C375&amp;"; "&amp;D375&amp;"; "&amp;W375&amp;"; "&amp;X375&amp;"; "&amp;Y375&amp;"; "&amp;Z375&amp;"; "&amp;AA375&amp;"; "&amp;AB375&amp;"; "&amp;AC375&amp;"; "&amp;U375)</x:f>
        <x:v>proposal.t1.process_salts; graded process salts; resources; tier 1 material concept; processed material; processed intermediate; geological; chemical processing; mineral; particles; proposal; </x:v>
      </x:c>
      <x:c r="AE375" s="4" t="str">
        <x:v>First-stage refinement proposal. Source material/cultural records remain proposal-stage.</x:v>
      </x:c>
      <x:c r="AF375" s="4" t="str">
        <x:v>T1</x:v>
      </x:c>
      <x:c r="AG375" s="4" t="str">
        <x:v>Proposed game manufacturing tier from the candidate routes. Integrated operations may contain many work steps.</x:v>
      </x:c>
      <x:c r="AH375" s="4" t="str">
        <x:v>Not applicable</x:v>
      </x:c>
    </x:row>
    <x:row r="376" ht="115" customHeight="1">
      <x:c r="A376" s="9" t="str">
        <x:v>proposal.t1.faunal_carrier</x:v>
      </x:c>
      <x:c r="B376" s="9" t="str">
        <x:v>Selected faunal carrier fraction</x:v>
      </x:c>
      <x:c r="C376" s="9" t="str">
        <x:v>Resources</x:v>
      </x:c>
      <x:c r="D376" s="9" t="str">
        <x:v>Tier 1 material concept</x:v>
      </x:c>
      <x:c r="E376" s="9" t="str">
        <x:v>New proposal</x:v>
      </x:c>
      <x:c r="F376" s="9" t="str">
        <x:v>First-stage material stock for chemical processing.</x:v>
      </x:c>
      <x:c r="G376" s="9" t="str">
        <x:v>None</x:v>
      </x:c>
      <x:c r="H376" s="9" t="str">
        <x:v>Material cargo / workshop storage; policy TBD</x:v>
      </x:c>
      <x:c r="I376" s="13"/>
      <x:c r="J376" s="15"/>
      <x:c r="K376" s="9" t="str">
        <x:v>Process a selected T0 raw/salvage input; candidate input proposal.bio.liquid_material</x:v>
      </x:c>
      <x:c r="L376" s="9" t="str">
        <x:v>Separate a candidate contained faunal liquid for controlled coating/material application.</x:v>
      </x:c>
      <x:c r="M376" s="9" t="str">
        <x:v>Not implemented</x:v>
      </x:c>
      <x:c r="N376" s="9" t="str">
        <x:v>Distinct service grade from lubricant base. This is an industrial carrier, not edible oil or an automatically benign solvent.</x:v>
      </x:c>
      <x:c r="O376" s="17"/>
      <x:c r="P376" s="17"/>
      <x:c r="Q376" s="17"/>
      <x:c r="R376" s="17"/>
      <x:c r="S376" s="17"/>
      <x:c r="T376" s="9" t="str">
        <x:v>Tier is manufacturing lineage, not rarity, value, quality or number of hand operations. Routes are partial ingredient proposals, not authored recipes.</x:v>
      </x:c>
      <x:c r="U376" s="11" t="str">
        <x:v>surface finishing</x:v>
      </x:c>
      <x:c r="V376" s="9" t="str">
        <x:v>New game T1 proposal aligned to source draft/proposal https://github.com/sleepyseamonster/Arc-Dust/blob/f6f98515c005dc3c73cccd9cbc031691745740c6/02-Arc-Dust-Worldbuilding/world/materials/chemical-processing-agents.md; source does not approve this game recipe.</x:v>
      </x:c>
      <x:c r="W376" s="4" t="str">
        <x:v>Chemical material</x:v>
      </x:c>
      <x:c r="X376" s="4" t="str">
        <x:v>Processed intermediate</x:v>
      </x:c>
      <x:c r="Y376" s="4" t="str">
        <x:v>Fauna</x:v>
      </x:c>
      <x:c r="Z376" s="4" t="str">
        <x:v>Chemical processing</x:v>
      </x:c>
      <x:c r="AA376" s="4" t="str">
        <x:v>Biological chemical</x:v>
      </x:c>
      <x:c r="AB376" s="4" t="str">
        <x:v>Liquid</x:v>
      </x:c>
      <x:c r="AC376" s="4" t="str">
        <x:v>Proposal</x:v>
      </x:c>
      <x:c r="AD376" s="4" t="str">
        <x:f>LOWER(A376&amp;"; "&amp;B376&amp;"; "&amp;C376&amp;"; "&amp;D376&amp;"; "&amp;W376&amp;"; "&amp;X376&amp;"; "&amp;Y376&amp;"; "&amp;Z376&amp;"; "&amp;AA376&amp;"; "&amp;AB376&amp;"; "&amp;AC376&amp;"; "&amp;U376)</x:f>
        <x:v>proposal.t1.faunal_carrier; selected faunal carrier fraction; resources; tier 1 material concept; chemical material; processed intermediate; fauna; chemical processing; biological chemical; liquid; proposal; surface finishing</x:v>
      </x:c>
      <x:c r="AE376" s="4" t="str">
        <x:v>First-stage refinement proposal. Source material/cultural records remain proposal-stage.</x:v>
      </x:c>
      <x:c r="AF376" s="4" t="str">
        <x:v>T1</x:v>
      </x:c>
      <x:c r="AG376" s="4" t="str">
        <x:v>Proposed game manufacturing tier from the candidate routes. Integrated operations may contain many work steps.</x:v>
      </x:c>
      <x:c r="AH376" s="4" t="str">
        <x:v>Not applicable</x:v>
      </x:c>
    </x:row>
    <x:row r="377" ht="115" customHeight="1">
      <x:c r="A377" s="9" t="str">
        <x:v>proposal.t1.shell_adhesive</x:v>
      </x:c>
      <x:c r="B377" s="9" t="str">
        <x:v>Prepared shell-binding adhesive</x:v>
      </x:c>
      <x:c r="C377" s="9" t="str">
        <x:v>Resources</x:v>
      </x:c>
      <x:c r="D377" s="9" t="str">
        <x:v>Tier 1 material concept</x:v>
      </x:c>
      <x:c r="E377" s="9" t="str">
        <x:v>New proposal</x:v>
      </x:c>
      <x:c r="F377" s="9" t="str">
        <x:v>First-stage material stock for binding and construction.</x:v>
      </x:c>
      <x:c r="G377" s="9" t="str">
        <x:v>None</x:v>
      </x:c>
      <x:c r="H377" s="9" t="str">
        <x:v>Material cargo / workshop storage; policy TBD</x:v>
      </x:c>
      <x:c r="I377" s="13"/>
      <x:c r="J377" s="15"/>
      <x:c r="K377" s="9" t="str">
        <x:v>Process a selected T0 raw/salvage input; candidate input proposal.chemical.shell_binder</x:v>
      </x:c>
      <x:c r="L377" s="9" t="str">
        <x:v>Qualify and prepare a selected raw shell-binding secretion.</x:v>
      </x:c>
      <x:c r="M377" s="9" t="str">
        <x:v>Not implemented</x:v>
      </x:c>
      <x:c r="N377" s="9" t="str">
        <x:v>Cure behavior, compatibility and toxicity remain design questions. Not interchangeable with seal lubricant.</x:v>
      </x:c>
      <x:c r="O377" s="17"/>
      <x:c r="P377" s="17"/>
      <x:c r="Q377" s="17"/>
      <x:c r="R377" s="17"/>
      <x:c r="S377" s="17"/>
      <x:c r="T377" s="9" t="str">
        <x:v>Tier is manufacturing lineage, not rarity, value, quality or number of hand operations. Routes are partial ingredient proposals, not authored recipes.</x:v>
      </x:c>
      <x:c r="U377" s="11" t="str">
        <x:v>protective fabrication</x:v>
      </x:c>
      <x:c r="V377" s="9" t="str">
        <x:v>New game T1 proposal aligned to source draft/proposal https://github.com/sleepyseamonster/Arc-Dust/blob/f6f98515c005dc3c73cccd9cbc031691745740c6/02-Arc-Dust-Worldbuilding/world/materials/chemical-processing-agents.md; source does not approve this game recipe.</x:v>
      </x:c>
      <x:c r="W377" s="4" t="str">
        <x:v>Chemical material</x:v>
      </x:c>
      <x:c r="X377" s="4" t="str">
        <x:v>Processed intermediate</x:v>
      </x:c>
      <x:c r="Y377" s="4" t="str">
        <x:v>Fauna</x:v>
      </x:c>
      <x:c r="Z377" s="4" t="str">
        <x:v>Binding and construction</x:v>
      </x:c>
      <x:c r="AA377" s="4" t="str">
        <x:v>Biological chemical</x:v>
      </x:c>
      <x:c r="AB377" s="4" t="str">
        <x:v>Unresolved</x:v>
      </x:c>
      <x:c r="AC377" s="4" t="str">
        <x:v>Proposal</x:v>
      </x:c>
      <x:c r="AD377" s="4" t="str">
        <x:f>LOWER(A377&amp;"; "&amp;B377&amp;"; "&amp;C377&amp;"; "&amp;D377&amp;"; "&amp;W377&amp;"; "&amp;X377&amp;"; "&amp;Y377&amp;"; "&amp;Z377&amp;"; "&amp;AA377&amp;"; "&amp;AB377&amp;"; "&amp;AC377&amp;"; "&amp;U377)</x:f>
        <x:v>proposal.t1.shell_adhesive; prepared shell-binding adhesive; resources; tier 1 material concept; chemical material; processed intermediate; fauna; binding and construction; biological chemical; unresolved; proposal; protective fabrication</x:v>
      </x:c>
      <x:c r="AE377" s="4" t="str">
        <x:v>First-stage refinement proposal. Source material/cultural records remain proposal-stage.</x:v>
      </x:c>
      <x:c r="AF377" s="4" t="str">
        <x:v>T1</x:v>
      </x:c>
      <x:c r="AG377" s="4" t="str">
        <x:v>Proposed game manufacturing tier from the candidate routes. Integrated operations may contain many work steps.</x:v>
      </x:c>
      <x:c r="AH377" s="4" t="str">
        <x:v>Not applicable</x:v>
      </x:c>
    </x:row>
    <x:row r="378" ht="115" customHeight="1">
      <x:c r="A378" s="9" t="str">
        <x:v>proposal.t1.clot_seal</x:v>
      </x:c>
      <x:c r="B378" s="9" t="str">
        <x:v>Prepared clot-seal compound</x:v>
      </x:c>
      <x:c r="C378" s="9" t="str">
        <x:v>Resources</x:v>
      </x:c>
      <x:c r="D378" s="9" t="str">
        <x:v>Tier 1 material concept</x:v>
      </x:c>
      <x:c r="E378" s="9" t="str">
        <x:v>New proposal</x:v>
      </x:c>
      <x:c r="F378" s="9" t="str">
        <x:v>First-stage material stock for equipment repair.</x:v>
      </x:c>
      <x:c r="G378" s="9" t="str">
        <x:v>None</x:v>
      </x:c>
      <x:c r="H378" s="9" t="str">
        <x:v>Material cargo / workshop storage; policy TBD</x:v>
      </x:c>
      <x:c r="I378" s="13"/>
      <x:c r="J378" s="15"/>
      <x:c r="K378" s="9" t="str">
        <x:v>Process a selected T0 raw/salvage input; candidate input proposal.chemical.clotting_compound</x:v>
      </x:c>
      <x:c r="L378" s="9" t="str">
        <x:v>Separate and prepare a selected raw hard-setting secretion for a bounded patching service.</x:v>
      </x:c>
      <x:c r="M378" s="9" t="str">
        <x:v>Not implemented</x:v>
      </x:c>
      <x:c r="N378" s="9" t="str">
        <x:v>Source material chemistry is a proposal. It does not certify a pressure seal or survival-canister repair.</x:v>
      </x:c>
      <x:c r="O378" s="17"/>
      <x:c r="P378" s="17"/>
      <x:c r="Q378" s="17"/>
      <x:c r="R378" s="17"/>
      <x:c r="S378" s="17"/>
      <x:c r="T378" s="9" t="str">
        <x:v>Tier is manufacturing lineage, not rarity, value, quality or number of hand operations. Routes are partial ingredient proposals, not authored recipes.</x:v>
      </x:c>
      <x:c r="U378" s="11" t="str">
        <x:v>sealing</x:v>
      </x:c>
      <x:c r="V378" s="9" t="str">
        <x:v>New game T1 proposal aligned to source draft/proposal https://github.com/sleepyseamonster/Arc-Dust/blob/f6f98515c005dc3c73cccd9cbc031691745740c6/02-Arc-Dust-Worldbuilding/world/materials/chemical-processing-agents.md; source does not approve this game recipe.</x:v>
      </x:c>
      <x:c r="W378" s="4" t="str">
        <x:v>Chemical material</x:v>
      </x:c>
      <x:c r="X378" s="4" t="str">
        <x:v>Processed intermediate</x:v>
      </x:c>
      <x:c r="Y378" s="4" t="str">
        <x:v>Fauna</x:v>
      </x:c>
      <x:c r="Z378" s="4" t="str">
        <x:v>Equipment repair</x:v>
      </x:c>
      <x:c r="AA378" s="4" t="str">
        <x:v>Biological chemical</x:v>
      </x:c>
      <x:c r="AB378" s="4" t="str">
        <x:v>Unresolved</x:v>
      </x:c>
      <x:c r="AC378" s="4" t="str">
        <x:v>Proposal</x:v>
      </x:c>
      <x:c r="AD378" s="4" t="str">
        <x:f>LOWER(A378&amp;"; "&amp;B378&amp;"; "&amp;C378&amp;"; "&amp;D378&amp;"; "&amp;W378&amp;"; "&amp;X378&amp;"; "&amp;Y378&amp;"; "&amp;Z378&amp;"; "&amp;AA378&amp;"; "&amp;AB378&amp;"; "&amp;AC378&amp;"; "&amp;U378)</x:f>
        <x:v>proposal.t1.clot_seal; prepared clot-seal compound; resources; tier 1 material concept; chemical material; processed intermediate; fauna; equipment repair; biological chemical; unresolved; proposal; sealing</x:v>
      </x:c>
      <x:c r="AE378" s="4" t="str">
        <x:v>First-stage refinement proposal. Source material/cultural records remain proposal-stage.</x:v>
      </x:c>
      <x:c r="AF378" s="4" t="str">
        <x:v>T1</x:v>
      </x:c>
      <x:c r="AG378" s="4" t="str">
        <x:v>Proposed game manufacturing tier from the candidate routes. Integrated operations may contain many work steps.</x:v>
      </x:c>
      <x:c r="AH378" s="4" t="str">
        <x:v>Not applicable</x:v>
      </x:c>
    </x:row>
    <x:row r="379" ht="115" customHeight="1">
      <x:c r="A379" s="9" t="str">
        <x:v>proposal.t1.gem_preform</x:v>
      </x:c>
      <x:c r="B379" s="9" t="str">
        <x:v>Cut gemstone preform</x:v>
      </x:c>
      <x:c r="C379" s="9" t="str">
        <x:v>Resources</x:v>
      </x:c>
      <x:c r="D379" s="9" t="str">
        <x:v>Tier 1 material concept</x:v>
      </x:c>
      <x:c r="E379" s="9" t="str">
        <x:v>New proposal</x:v>
      </x:c>
      <x:c r="F379" s="9" t="str">
        <x:v>First-stage material stock for decoration.</x:v>
      </x:c>
      <x:c r="G379" s="9" t="str">
        <x:v>None</x:v>
      </x:c>
      <x:c r="H379" s="9" t="str">
        <x:v>Material cargo / workshop storage; policy TBD</x:v>
      </x:c>
      <x:c r="I379" s="13"/>
      <x:c r="J379" s="15"/>
      <x:c r="K379" s="9" t="str">
        <x:v>Process a selected T0 raw/salvage input; candidate input proposal.gem.garnet</x:v>
      </x:c>
      <x:c r="L379" s="9" t="str">
        <x:v>Select and rough-cut a raw-gem interpretation of the existing gemstone family.</x:v>
      </x:c>
      <x:c r="M379" s="9" t="str">
        <x:v>Not implemented</x:v>
      </x:c>
      <x:c r="N379" s="9" t="str">
        <x:v>Gem entries have unresolved cut state; this T0 input reading is explicitly provisional. Fine polish/setting is a later craft decision.</x:v>
      </x:c>
      <x:c r="O379" s="17"/>
      <x:c r="P379" s="17"/>
      <x:c r="Q379" s="17"/>
      <x:c r="R379" s="17"/>
      <x:c r="S379" s="17"/>
      <x:c r="T379" s="9" t="str">
        <x:v>Tier is manufacturing lineage, not rarity, value, quality or number of hand operations. Routes are partial ingredient proposals, not authored recipes.</x:v>
      </x:c>
      <x:c r="U379" s="11" t="str"/>
      <x:c r="V379" s="9" t="str">
        <x:v>New game T1 proposal aligned to source draft/proposal https://github.com/sleepyseamonster/Arc-Dust/blob/f6f98515c005dc3c73cccd9cbc031691745740c6/02-Arc-Dust-Worldbuilding/world/materials/canyon-depth-geology.md; source does not approve this game recipe.</x:v>
      </x:c>
      <x:c r="W379" s="4" t="str">
        <x:v>Processed material</x:v>
      </x:c>
      <x:c r="X379" s="4" t="str">
        <x:v>Processed intermediate</x:v>
      </x:c>
      <x:c r="Y379" s="4" t="str">
        <x:v>Geological</x:v>
      </x:c>
      <x:c r="Z379" s="4" t="str">
        <x:v>Decoration</x:v>
      </x:c>
      <x:c r="AA379" s="4" t="str">
        <x:v>Gemstone</x:v>
      </x:c>
      <x:c r="AB379" s="4" t="str">
        <x:v>Solid piece</x:v>
      </x:c>
      <x:c r="AC379" s="4" t="str">
        <x:v>Proposal</x:v>
      </x:c>
      <x:c r="AD379" s="4" t="str">
        <x:f>LOWER(A379&amp;"; "&amp;B379&amp;"; "&amp;C379&amp;"; "&amp;D379&amp;"; "&amp;W379&amp;"; "&amp;X379&amp;"; "&amp;Y379&amp;"; "&amp;Z379&amp;"; "&amp;AA379&amp;"; "&amp;AB379&amp;"; "&amp;AC379&amp;"; "&amp;U379)</x:f>
        <x:v>proposal.t1.gem_preform; cut gemstone preform; resources; tier 1 material concept; processed material; processed intermediate; geological; decoration; gemstone; solid piece; proposal; </x:v>
      </x:c>
      <x:c r="AE379" s="4" t="str">
        <x:v>First-stage refinement proposal. Source material/cultural records remain proposal-stage.</x:v>
      </x:c>
      <x:c r="AF379" s="4" t="str">
        <x:v>T1</x:v>
      </x:c>
      <x:c r="AG379" s="4" t="str">
        <x:v>Proposed game manufacturing tier from the candidate routes. Integrated operations may contain many work steps.</x:v>
      </x:c>
      <x:c r="AH379" s="4" t="str">
        <x:v>Not applicable</x:v>
      </x:c>
    </x:row>
    <x:row r="380" ht="115" customHeight="1">
      <x:c r="A380" s="9" t="str">
        <x:v>proposal.t1.gem_chips</x:v>
      </x:c>
      <x:c r="B380" s="9" t="str">
        <x:v>Graded stone inlay chips</x:v>
      </x:c>
      <x:c r="C380" s="9" t="str">
        <x:v>Resources</x:v>
      </x:c>
      <x:c r="D380" s="9" t="str">
        <x:v>Tier 1 material concept</x:v>
      </x:c>
      <x:c r="E380" s="9" t="str">
        <x:v>New proposal</x:v>
      </x:c>
      <x:c r="F380" s="9" t="str">
        <x:v>First-stage material stock for decoration.</x:v>
      </x:c>
      <x:c r="G380" s="9" t="str">
        <x:v>None</x:v>
      </x:c>
      <x:c r="H380" s="9" t="str">
        <x:v>Material cargo / workshop storage; policy TBD</x:v>
      </x:c>
      <x:c r="I380" s="13"/>
      <x:c r="J380" s="15"/>
      <x:c r="K380" s="9" t="str">
        <x:v>Process a selected T0 raw/salvage input; candidate input proposal.gem.clear_quartz</x:v>
      </x:c>
      <x:c r="L380" s="9" t="str">
        <x:v>Select and size raw crystal offcuts for decorative setting work.</x:v>
      </x:c>
      <x:c r="M380" s="9" t="str">
        <x:v>Not implemented</x:v>
      </x:c>
      <x:c r="N380" s="9" t="str">
        <x:v>Cut-state interpretation is provisional; no named nation or universal gemstone demand is established.</x:v>
      </x:c>
      <x:c r="O380" s="17"/>
      <x:c r="P380" s="17"/>
      <x:c r="Q380" s="17"/>
      <x:c r="R380" s="17"/>
      <x:c r="S380" s="17"/>
      <x:c r="T380" s="9" t="str">
        <x:v>Tier is manufacturing lineage, not rarity, value, quality or number of hand operations. Routes are partial ingredient proposals, not authored recipes.</x:v>
      </x:c>
      <x:c r="U380" s="11" t="str"/>
      <x:c r="V380" s="9" t="str">
        <x:v>New game T1 proposal aligned to source draft/proposal https://github.com/sleepyseamonster/Arc-Dust/blob/f6f98515c005dc3c73cccd9cbc031691745740c6/02-Arc-Dust-Worldbuilding/world/materials/canyon-depth-geology.md; source does not approve this game recipe.</x:v>
      </x:c>
      <x:c r="W380" s="4" t="str">
        <x:v>Processed material</x:v>
      </x:c>
      <x:c r="X380" s="4" t="str">
        <x:v>Processed intermediate</x:v>
      </x:c>
      <x:c r="Y380" s="4" t="str">
        <x:v>Geological</x:v>
      </x:c>
      <x:c r="Z380" s="4" t="str">
        <x:v>Decoration</x:v>
      </x:c>
      <x:c r="AA380" s="4" t="str">
        <x:v>Gemstone</x:v>
      </x:c>
      <x:c r="AB380" s="4" t="str">
        <x:v>Particles</x:v>
      </x:c>
      <x:c r="AC380" s="4" t="str">
        <x:v>Proposal</x:v>
      </x:c>
      <x:c r="AD380" s="4" t="str">
        <x:f>LOWER(A380&amp;"; "&amp;B380&amp;"; "&amp;C380&amp;"; "&amp;D380&amp;"; "&amp;W380&amp;"; "&amp;X380&amp;"; "&amp;Y380&amp;"; "&amp;Z380&amp;"; "&amp;AA380&amp;"; "&amp;AB380&amp;"; "&amp;AC380&amp;"; "&amp;U380)</x:f>
        <x:v>proposal.t1.gem_chips; graded stone inlay chips; resources; tier 1 material concept; processed material; processed intermediate; geological; decoration; gemstone; particles; proposal; </x:v>
      </x:c>
      <x:c r="AE380" s="4" t="str">
        <x:v>First-stage refinement proposal. Source material/cultural records remain proposal-stage.</x:v>
      </x:c>
      <x:c r="AF380" s="4" t="str">
        <x:v>T1</x:v>
      </x:c>
      <x:c r="AG380" s="4" t="str">
        <x:v>Proposed game manufacturing tier from the candidate routes. Integrated operations may contain many work steps.</x:v>
      </x:c>
      <x:c r="AH380" s="4" t="str">
        <x:v>Not applicable</x:v>
      </x:c>
    </x:row>
    <x:row r="381" ht="115" customHeight="1">
      <x:c r="A381" s="9" t="str">
        <x:v>proposal.t1.shell_inlay</x:v>
      </x:c>
      <x:c r="B381" s="9" t="str">
        <x:v>Burnished shell inlay scales</x:v>
      </x:c>
      <x:c r="C381" s="9" t="str">
        <x:v>Resources</x:v>
      </x:c>
      <x:c r="D381" s="9" t="str">
        <x:v>Tier 1 material concept</x:v>
      </x:c>
      <x:c r="E381" s="9" t="str">
        <x:v>New proposal</x:v>
      </x:c>
      <x:c r="F381" s="9" t="str">
        <x:v>First-stage material stock for decoration.</x:v>
      </x:c>
      <x:c r="G381" s="9" t="str">
        <x:v>None</x:v>
      </x:c>
      <x:c r="H381" s="9" t="str">
        <x:v>Material cargo / workshop storage; policy TBD</x:v>
      </x:c>
      <x:c r="I381" s="13"/>
      <x:c r="J381" s="15"/>
      <x:c r="K381" s="9" t="str">
        <x:v>Process a selected T0 raw/salvage input; candidate input proposal.bio.shell</x:v>
      </x:c>
      <x:c r="L381" s="9" t="str">
        <x:v>Select and prepare small shell surfaces for decorative inlay stock.</x:v>
      </x:c>
      <x:c r="M381" s="9" t="str">
        <x:v>Not implemented</x:v>
      </x:c>
      <x:c r="N381" s="9" t="str">
        <x:v>Selected material and skilled finish can carry value without making all raw shell expensive.</x:v>
      </x:c>
      <x:c r="O381" s="17"/>
      <x:c r="P381" s="17"/>
      <x:c r="Q381" s="17"/>
      <x:c r="R381" s="17"/>
      <x:c r="S381" s="17"/>
      <x:c r="T381" s="9" t="str">
        <x:v>Tier is manufacturing lineage, not rarity, value, quality or number of hand operations. Routes are partial ingredient proposals, not authored recipes.</x:v>
      </x:c>
      <x:c r="U381" s="11" t="str"/>
      <x:c r="V381" s="9" t="str">
        <x:v>New game T1 proposal aligned to source draft/proposal https://github.com/sleepyseamonster/Arc-Dust/blob/f6f98515c005dc3c73cccd9cbc031691745740c6/02-Arc-Dust-Worldbuilding/world/economy/canister-identity.md; source does not approve this game recipe.</x:v>
      </x:c>
      <x:c r="W381" s="4" t="str">
        <x:v>Processed material</x:v>
      </x:c>
      <x:c r="X381" s="4" t="str">
        <x:v>Processed intermediate</x:v>
      </x:c>
      <x:c r="Y381" s="4" t="str">
        <x:v>Fauna</x:v>
      </x:c>
      <x:c r="Z381" s="4" t="str">
        <x:v>Decoration</x:v>
      </x:c>
      <x:c r="AA381" s="4" t="str">
        <x:v>Shell / chitin</x:v>
      </x:c>
      <x:c r="AB381" s="4" t="str">
        <x:v>Sheet</x:v>
      </x:c>
      <x:c r="AC381" s="4" t="str">
        <x:v>Proposal</x:v>
      </x:c>
      <x:c r="AD381" s="4" t="str">
        <x:f>LOWER(A381&amp;"; "&amp;B381&amp;"; "&amp;C381&amp;"; "&amp;D381&amp;"; "&amp;W381&amp;"; "&amp;X381&amp;"; "&amp;Y381&amp;"; "&amp;Z381&amp;"; "&amp;AA381&amp;"; "&amp;AB381&amp;"; "&amp;AC381&amp;"; "&amp;U381)</x:f>
        <x:v>proposal.t1.shell_inlay; burnished shell inlay scales; resources; tier 1 material concept; processed material; processed intermediate; fauna; decoration; shell / chitin; sheet; proposal; </x:v>
      </x:c>
      <x:c r="AE381" s="4" t="str">
        <x:v>First-stage refinement proposal. Source material/cultural records remain proposal-stage.</x:v>
      </x:c>
      <x:c r="AF381" s="4" t="str">
        <x:v>T1</x:v>
      </x:c>
      <x:c r="AG381" s="4" t="str">
        <x:v>Proposed game manufacturing tier from the candidate routes. Integrated operations may contain many work steps.</x:v>
      </x:c>
      <x:c r="AH381" s="4" t="str">
        <x:v>Not applicable</x:v>
      </x:c>
    </x:row>
    <x:row r="382" ht="115" customHeight="1">
      <x:c r="A382" s="9" t="str">
        <x:v>proposal.t1.mica_window</x:v>
      </x:c>
      <x:c r="B382" s="9" t="str">
        <x:v>Sized mica viewing sheet</x:v>
      </x:c>
      <x:c r="C382" s="9" t="str">
        <x:v>Resources</x:v>
      </x:c>
      <x:c r="D382" s="9" t="str">
        <x:v>Tier 1 material concept</x:v>
      </x:c>
      <x:c r="E382" s="9" t="str">
        <x:v>New proposal</x:v>
      </x:c>
      <x:c r="F382" s="9" t="str">
        <x:v>First-stage material stock for inspection.</x:v>
      </x:c>
      <x:c r="G382" s="9" t="str">
        <x:v>None</x:v>
      </x:c>
      <x:c r="H382" s="9" t="str">
        <x:v>Material cargo / workshop storage; policy TBD</x:v>
      </x:c>
      <x:c r="I382" s="13"/>
      <x:c r="J382" s="15"/>
      <x:c r="K382" s="9" t="str">
        <x:v>Process a selected T0 raw/salvage input; candidate input proposal.natural.mica</x:v>
      </x:c>
      <x:c r="L382" s="9" t="str">
        <x:v>Split, select and size a suitable raw sheet for a proposed viewing/cover insert.</x:v>
      </x:c>
      <x:c r="M382" s="9" t="str">
        <x:v>Not implemented</x:v>
      </x:c>
      <x:c r="N382" s="9" t="str">
        <x:v>Optical, thermal and electrical performance remain unqualified; not a substitute for precision glass lenses.</x:v>
      </x:c>
      <x:c r="O382" s="17"/>
      <x:c r="P382" s="17"/>
      <x:c r="Q382" s="17"/>
      <x:c r="R382" s="17"/>
      <x:c r="S382" s="17"/>
      <x:c r="T382" s="9" t="str">
        <x:v>Tier is manufacturing lineage, not rarity, value, quality or number of hand operations. Routes are partial ingredient proposals, not authored recipes.</x:v>
      </x:c>
      <x:c r="U382" s="11" t="str">
        <x:v>fabrication</x:v>
      </x:c>
      <x:c r="V382" s="9" t="str">
        <x:v>New game T1 proposal aligned to source draft/proposal https://github.com/sleepyseamonster/Arc-Dust/blob/f6f98515c005dc3c73cccd9cbc031691745740c6/02-Arc-Dust-Worldbuilding/world/materials/industrial-material-palette.md; source does not approve this game recipe.</x:v>
      </x:c>
      <x:c r="W382" s="4" t="str">
        <x:v>Processed material</x:v>
      </x:c>
      <x:c r="X382" s="4" t="str">
        <x:v>Processed intermediate</x:v>
      </x:c>
      <x:c r="Y382" s="4" t="str">
        <x:v>Geological</x:v>
      </x:c>
      <x:c r="Z382" s="4" t="str">
        <x:v>Inspection</x:v>
      </x:c>
      <x:c r="AA382" s="4" t="str">
        <x:v>Mineral</x:v>
      </x:c>
      <x:c r="AB382" s="4" t="str">
        <x:v>Sheet</x:v>
      </x:c>
      <x:c r="AC382" s="4" t="str">
        <x:v>Proposal</x:v>
      </x:c>
      <x:c r="AD382" s="4" t="str">
        <x:f>LOWER(A382&amp;"; "&amp;B382&amp;"; "&amp;C382&amp;"; "&amp;D382&amp;"; "&amp;W382&amp;"; "&amp;X382&amp;"; "&amp;Y382&amp;"; "&amp;Z382&amp;"; "&amp;AA382&amp;"; "&amp;AB382&amp;"; "&amp;AC382&amp;"; "&amp;U382)</x:f>
        <x:v>proposal.t1.mica_window; sized mica viewing sheet; resources; tier 1 material concept; processed material; processed intermediate; geological; inspection; mineral; sheet; proposal; fabrication</x:v>
      </x:c>
      <x:c r="AE382" s="4" t="str">
        <x:v>First-stage refinement proposal. Source material/cultural records remain proposal-stage.</x:v>
      </x:c>
      <x:c r="AF382" s="4" t="str">
        <x:v>T1</x:v>
      </x:c>
      <x:c r="AG382" s="4" t="str">
        <x:v>Proposed game manufacturing tier from the candidate routes. Integrated operations may contain many work steps.</x:v>
      </x:c>
      <x:c r="AH382" s="4" t="str">
        <x:v>Not applicable</x:v>
      </x:c>
    </x:row>
    <x:row r="383" ht="115" customHeight="1">
      <x:c r="A383" s="9" t="str">
        <x:v>author.communication.crude_two_way_radio</x:v>
      </x:c>
      <x:c r="B383" s="9" t="str">
        <x:v>Crude two-way radio</x:v>
      </x:c>
      <x:c r="C383" s="9" t="str">
        <x:v>Equipment</x:v>
      </x:c>
      <x:c r="D383" s="9" t="str">
        <x:v>Communication equipment</x:v>
      </x:c>
      <x:c r="E383" s="9" t="str">
        <x:v>Author-directed concept</x:v>
      </x:c>
      <x:c r="F383" s="9" t="str">
        <x:v>Two-way radio communication.</x:v>
      </x:c>
      <x:c r="G383" s="9" t="str">
        <x:v>Unresolved</x:v>
      </x:c>
      <x:c r="H383" s="9" t="str">
        <x:v>Carriage and mounting unresolved</x:v>
      </x:c>
      <x:c r="I383" s="13"/>
      <x:c r="J383" s="15"/>
      <x:c r="K383" s="9" t="str">
        <x:v>Reverse-engineered from machine technology; acquisition unresolved</x:v>
      </x:c>
      <x:c r="L383" s="9" t="str">
        <x:v>Manufacturing process and required materials unresolved</x:v>
      </x:c>
      <x:c r="M383" s="9" t="str">
        <x:v>Lore item family; not implemented</x:v>
      </x:c>
      <x:c r="N383" s="9" t="str">
        <x:v>No range, power source, reliability, channel or transmission behavior defined</x:v>
      </x:c>
      <x:c r="O383" s="17"/>
      <x:c r="P383" s="17"/>
      <x:c r="Q383" s="17"/>
      <x:c r="R383" s="17"/>
      <x:c r="S383" s="17"/>
      <x:c r="T383" s="9" t="str">
        <x:v>Construction, ingredient tiers, controls, availability and setting-specific signal behavior remain open</x:v>
      </x:c>
      <x:c r="U383" s="11" t="str">
        <x:v>radio; transceiver; two way; machine-tech communications</x:v>
      </x:c>
      <x:c r="V383" s="9" t="str">
        <x:v>Direct author direction, October 14, 2026; Docs/WORLD_BASIS.md#machine-derived-communications</x:v>
      </x:c>
      <x:c r="W383" s="4" t="str">
        <x:v>Tool</x:v>
      </x:c>
      <x:c r="X383" s="4" t="str">
        <x:v>Finished item</x:v>
      </x:c>
      <x:c r="Y383" s="4" t="str">
        <x:v>Manufactured / unresolved</x:v>
      </x:c>
      <x:c r="Z383" s="4" t="str">
        <x:v>Radio communication</x:v>
      </x:c>
      <x:c r="AA383" s="4" t="str">
        <x:v>Mixed / unresolved</x:v>
      </x:c>
      <x:c r="AB383" s="4" t="str">
        <x:v>Assembly</x:v>
      </x:c>
      <x:c r="AC383" s="4" t="str">
        <x:v>Author direction</x:v>
      </x:c>
      <x:c r="AD383" s="4" t="str">
        <x:f>LOWER(A383&amp;"; "&amp;B383&amp;"; "&amp;C383&amp;"; "&amp;D383&amp;"; "&amp;W383&amp;"; "&amp;X383&amp;"; "&amp;Y383&amp;"; "&amp;Z383&amp;"; "&amp;AA383&amp;"; "&amp;AB383&amp;"; "&amp;AC383&amp;"; "&amp;U383)</x:f>
        <x:v>author.communication.crude_two_way_radio; crude two-way radio; equipment; communication equipment; tool; finished item; manufactured / unresolved; radio communication; mixed / unresolved; assembly; author direction; radio; transceiver; two way; machine-tech communications</x:v>
      </x:c>
      <x:c r="AE383" s="4" t="str">
        <x:v>Existence and machine-tech reverse-engineering origin are author direction. Physical construction and performance remain undefined.</x:v>
      </x:c>
      <x:c r="AF383" s="4" t="str">
        <x:v>Finished item</x:v>
      </x:c>
      <x:c r="AG383" s="4" t="str">
        <x:v>Finished communication equipment; no material manufacturing route has been selected.</x:v>
      </x:c>
      <x:c r="AH383" s="4" t="str">
        <x:v>Unassigned</x:v>
      </x:c>
    </x:row>
    <x:row r="384" ht="115" customHeight="1">
      <x:c r="A384" s="9" t="str">
        <x:v>author.ancient.laser_sword</x:v>
      </x:c>
      <x:c r="B384" s="9" t="str">
        <x:v>Laser sword</x:v>
      </x:c>
      <x:c r="C384" s="9" t="str">
        <x:v>Weapons</x:v>
      </x:c>
      <x:c r="D384" s="9" t="str">
        <x:v>Energy melee weapon</x:v>
      </x:c>
      <x:c r="E384" s="9" t="str">
        <x:v>Author-directed concept</x:v>
      </x:c>
      <x:c r="F384" s="9" t="str">
        <x:v>Ancient laser-sword weapon family.</x:v>
      </x:c>
      <x:c r="G384" s="9" t="str">
        <x:v>Unresolved</x:v>
      </x:c>
      <x:c r="H384" s="9" t="str">
        <x:v>Carriage, mounting and compatible equipment unresolved</x:v>
      </x:c>
      <x:c r="I384" s="13"/>
      <x:c r="J384" s="15"/>
      <x:c r="K384" s="9" t="str">
        <x:v>Ancient machine technology; recovery and access unresolved</x:v>
      </x:c>
      <x:c r="L384" s="9" t="str">
        <x:v>Some machine technology is reverse engineered into crude Iron Age machinery. Which of these families has a working reproduction remains unassigned.</x:v>
      </x:c>
      <x:c r="M384" s="9" t="str">
        <x:v>Lore item family; not implemented</x:v>
      </x:c>
      <x:c r="N384" s="9" t="str">
        <x:v>Mechanism, energy or propulsion supply, ammunition compatibility, effectiveness and operating limits remain open</x:v>
      </x:c>
      <x:c r="O384" s="17"/>
      <x:c r="P384" s="17"/>
      <x:c r="Q384" s="17"/>
      <x:c r="R384" s="17"/>
      <x:c r="S384" s="17"/>
      <x:c r="T384" s="9" t="str">
        <x:v>No reverse-engineered variant, recipe, manufacturing tier, specification or combat statistic established.</x:v>
      </x:c>
      <x:c r="U384" s="11" t="str">
        <x:v>laser blade; laser sword; ancient machine weapon</x:v>
      </x:c>
      <x:c r="V384" s="9" t="str">
        <x:v>Direct author direction, October 14, 2026; Docs/WORLD_BASIS.md#ancient-weapons-and-reverse-engineered-machinery</x:v>
      </x:c>
      <x:c r="W384" s="4" t="str">
        <x:v>Weapon</x:v>
      </x:c>
      <x:c r="X384" s="4" t="str">
        <x:v>Finished item</x:v>
      </x:c>
      <x:c r="Y384" s="4" t="str">
        <x:v>Ancient technology</x:v>
      </x:c>
      <x:c r="Z384" s="4" t="str">
        <x:v>Offensive combat</x:v>
      </x:c>
      <x:c r="AA384" s="4" t="str">
        <x:v>Mixed / unresolved</x:v>
      </x:c>
      <x:c r="AB384" s="4" t="str">
        <x:v>Assembly</x:v>
      </x:c>
      <x:c r="AC384" s="4" t="str">
        <x:v>Author direction</x:v>
      </x:c>
      <x:c r="AD384" s="4" t="str">
        <x:f>LOWER(A384&amp;"; "&amp;B384&amp;"; "&amp;C384&amp;"; "&amp;D384&amp;"; "&amp;W384&amp;"; "&amp;X384&amp;"; "&amp;Y384&amp;"; "&amp;Z384&amp;"; "&amp;AA384&amp;"; "&amp;AB384&amp;"; "&amp;AC384&amp;"; "&amp;U384)</x:f>
        <x:v>author.ancient.laser_sword; laser sword; weapons; energy melee weapon; weapon; finished item; ancient technology; offensive combat; mixed / unresolved; assembly; author direction; laser blade; laser sword; ancient machine weapon</x:v>
      </x:c>
      <x:c r="AE384" s="4" t="str">
        <x:v>Ancient machine-tech family is author direction. Reverse-engineered examples exist in the broader technology tradition; specific reproducible families remain open.</x:v>
      </x:c>
      <x:c r="AF384" s="4" t="str">
        <x:v>Unassigned</x:v>
      </x:c>
      <x:c r="AG384" s="4" t="str">
        <x:v>Ancient origin does not establish T4 or modern reproducibility. This is a finished item whose manufacturing lineage is unassigned.</x:v>
      </x:c>
      <x:c r="AH384" s="4" t="str">
        <x:v>Unassigned</x:v>
      </x:c>
    </x:row>
    <x:row r="385" ht="115" customHeight="1">
      <x:c r="A385" s="9" t="str">
        <x:v>author.ancient.laser_blaster</x:v>
      </x:c>
      <x:c r="B385" s="9" t="str">
        <x:v>Laser blaster</x:v>
      </x:c>
      <x:c r="C385" s="9" t="str">
        <x:v>Weapons</x:v>
      </x:c>
      <x:c r="D385" s="9" t="str">
        <x:v>Energy ranged weapon</x:v>
      </x:c>
      <x:c r="E385" s="9" t="str">
        <x:v>Author-directed concept</x:v>
      </x:c>
      <x:c r="F385" s="9" t="str">
        <x:v>Ancient laser-blaster weapon family.</x:v>
      </x:c>
      <x:c r="G385" s="9" t="str">
        <x:v>Unresolved</x:v>
      </x:c>
      <x:c r="H385" s="9" t="str">
        <x:v>Carriage, mounting and compatible equipment unresolved</x:v>
      </x:c>
      <x:c r="I385" s="13"/>
      <x:c r="J385" s="15"/>
      <x:c r="K385" s="9" t="str">
        <x:v>Ancient machine technology; recovery and access unresolved</x:v>
      </x:c>
      <x:c r="L385" s="9" t="str">
        <x:v>Some machine technology is reverse engineered into crude Iron Age machinery. Which of these families has a working reproduction remains unassigned.</x:v>
      </x:c>
      <x:c r="M385" s="9" t="str">
        <x:v>Lore item family; not implemented</x:v>
      </x:c>
      <x:c r="N385" s="9" t="str">
        <x:v>Mechanism, energy or propulsion supply, ammunition compatibility, effectiveness and operating limits remain open</x:v>
      </x:c>
      <x:c r="O385" s="17"/>
      <x:c r="P385" s="17"/>
      <x:c r="Q385" s="17"/>
      <x:c r="R385" s="17"/>
      <x:c r="S385" s="17"/>
      <x:c r="T385" s="9" t="str">
        <x:v>No reverse-engineered variant, recipe, manufacturing tier, specification or combat statistic established.</x:v>
      </x:c>
      <x:c r="U385" s="11" t="str">
        <x:v>laser gun; blaster; ancient machine weapon</x:v>
      </x:c>
      <x:c r="V385" s="9" t="str">
        <x:v>Direct author direction, October 14, 2026; Docs/WORLD_BASIS.md#ancient-weapons-and-reverse-engineered-machinery</x:v>
      </x:c>
      <x:c r="W385" s="4" t="str">
        <x:v>Weapon</x:v>
      </x:c>
      <x:c r="X385" s="4" t="str">
        <x:v>Finished item</x:v>
      </x:c>
      <x:c r="Y385" s="4" t="str">
        <x:v>Ancient technology</x:v>
      </x:c>
      <x:c r="Z385" s="4" t="str">
        <x:v>Offensive combat</x:v>
      </x:c>
      <x:c r="AA385" s="4" t="str">
        <x:v>Mixed / unresolved</x:v>
      </x:c>
      <x:c r="AB385" s="4" t="str">
        <x:v>Assembly</x:v>
      </x:c>
      <x:c r="AC385" s="4" t="str">
        <x:v>Author direction</x:v>
      </x:c>
      <x:c r="AD385" s="4" t="str">
        <x:f>LOWER(A385&amp;"; "&amp;B385&amp;"; "&amp;C385&amp;"; "&amp;D385&amp;"; "&amp;W385&amp;"; "&amp;X385&amp;"; "&amp;Y385&amp;"; "&amp;Z385&amp;"; "&amp;AA385&amp;"; "&amp;AB385&amp;"; "&amp;AC385&amp;"; "&amp;U385)</x:f>
        <x:v>author.ancient.laser_blaster; laser blaster; weapons; energy ranged weapon; weapon; finished item; ancient technology; offensive combat; mixed / unresolved; assembly; author direction; laser gun; blaster; ancient machine weapon</x:v>
      </x:c>
      <x:c r="AE385" s="4" t="str">
        <x:v>Ancient machine-tech family is author direction. Reverse-engineered examples exist in the broader technology tradition; specific reproducible families remain open.</x:v>
      </x:c>
      <x:c r="AF385" s="4" t="str">
        <x:v>Unassigned</x:v>
      </x:c>
      <x:c r="AG385" s="4" t="str">
        <x:v>Ancient origin does not establish T4 or modern reproducibility. This is a finished item whose manufacturing lineage is unassigned.</x:v>
      </x:c>
      <x:c r="AH385" s="4" t="str">
        <x:v>Unassigned</x:v>
      </x:c>
    </x:row>
    <x:row r="386" ht="115" customHeight="1">
      <x:c r="A386" s="9" t="str">
        <x:v>author.ancient.rocket</x:v>
      </x:c>
      <x:c r="B386" s="9" t="str">
        <x:v>Rocket</x:v>
      </x:c>
      <x:c r="C386" s="9" t="str">
        <x:v>Weapons</x:v>
      </x:c>
      <x:c r="D386" s="9" t="str">
        <x:v>Rocket ammunition</x:v>
      </x:c>
      <x:c r="E386" s="9" t="str">
        <x:v>Author-directed concept</x:v>
      </x:c>
      <x:c r="F386" s="9" t="str">
        <x:v>Ancient rocket projectile/ammunition family.</x:v>
      </x:c>
      <x:c r="G386" s="9" t="str">
        <x:v>Unresolved</x:v>
      </x:c>
      <x:c r="H386" s="9" t="str">
        <x:v>Carriage, mounting and compatible equipment unresolved</x:v>
      </x:c>
      <x:c r="I386" s="13"/>
      <x:c r="J386" s="15"/>
      <x:c r="K386" s="9" t="str">
        <x:v>Ancient machine technology; recovery and access unresolved</x:v>
      </x:c>
      <x:c r="L386" s="9" t="str">
        <x:v>Some machine technology is reverse engineered into crude Iron Age machinery. Which of these families has a working reproduction remains unassigned.</x:v>
      </x:c>
      <x:c r="M386" s="9" t="str">
        <x:v>Lore item family; not implemented</x:v>
      </x:c>
      <x:c r="N386" s="9" t="str">
        <x:v>Mechanism, energy or propulsion supply, ammunition compatibility, effectiveness and operating limits remain open</x:v>
      </x:c>
      <x:c r="O386" s="17"/>
      <x:c r="P386" s="17"/>
      <x:c r="Q386" s="17"/>
      <x:c r="R386" s="17"/>
      <x:c r="S386" s="17"/>
      <x:c r="T386" s="9" t="str">
        <x:v>No reverse-engineered variant, recipe, manufacturing tier, specification or combat statistic established.</x:v>
      </x:c>
      <x:c r="U386" s="11" t="str">
        <x:v>rocket; projectile; ancient machine ammunition</x:v>
      </x:c>
      <x:c r="V386" s="9" t="str">
        <x:v>Direct author direction, October 14, 2026; Docs/WORLD_BASIS.md#ancient-weapons-and-reverse-engineered-machinery</x:v>
      </x:c>
      <x:c r="W386" s="4" t="str">
        <x:v>Ammunition</x:v>
      </x:c>
      <x:c r="X386" s="4" t="str">
        <x:v>Finished item</x:v>
      </x:c>
      <x:c r="Y386" s="4" t="str">
        <x:v>Ancient technology</x:v>
      </x:c>
      <x:c r="Z386" s="4" t="str">
        <x:v>Offensive combat</x:v>
      </x:c>
      <x:c r="AA386" s="4" t="str">
        <x:v>Mixed / unresolved</x:v>
      </x:c>
      <x:c r="AB386" s="4" t="str">
        <x:v>Assembly</x:v>
      </x:c>
      <x:c r="AC386" s="4" t="str">
        <x:v>Author direction</x:v>
      </x:c>
      <x:c r="AD386" s="4" t="str">
        <x:f>LOWER(A386&amp;"; "&amp;B386&amp;"; "&amp;C386&amp;"; "&amp;D386&amp;"; "&amp;W386&amp;"; "&amp;X386&amp;"; "&amp;Y386&amp;"; "&amp;Z386&amp;"; "&amp;AA386&amp;"; "&amp;AB386&amp;"; "&amp;AC386&amp;"; "&amp;U386)</x:f>
        <x:v>author.ancient.rocket; rocket; weapons; rocket ammunition; ammunition; finished item; ancient technology; offensive combat; mixed / unresolved; assembly; author direction; rocket; projectile; ancient machine ammunition</x:v>
      </x:c>
      <x:c r="AE386" s="4" t="str">
        <x:v>Ancient machine-tech family is author direction. Reverse-engineered examples exist in the broader technology tradition; specific reproducible families remain open.</x:v>
      </x:c>
      <x:c r="AF386" s="4" t="str">
        <x:v>Unassigned</x:v>
      </x:c>
      <x:c r="AG386" s="4" t="str">
        <x:v>Ancient origin does not establish T4 or modern reproducibility. This is a finished item whose manufacturing lineage is unassigned.</x:v>
      </x:c>
      <x:c r="AH386" s="4" t="str">
        <x:v>Unassigned</x:v>
      </x:c>
    </x:row>
    <x:row r="387" ht="115" customHeight="1">
      <x:c r="A387" s="9" t="str">
        <x:v>author.ancient.rocket_launcher</x:v>
      </x:c>
      <x:c r="B387" s="9" t="str">
        <x:v>Rocket launcher</x:v>
      </x:c>
      <x:c r="C387" s="9" t="str">
        <x:v>Weapons</x:v>
      </x:c>
      <x:c r="D387" s="9" t="str">
        <x:v>Rocket-launching weapon</x:v>
      </x:c>
      <x:c r="E387" s="9" t="str">
        <x:v>Author-directed concept</x:v>
      </x:c>
      <x:c r="F387" s="9" t="str">
        <x:v>Ancient rocket-launcher weapon family.</x:v>
      </x:c>
      <x:c r="G387" s="9" t="str">
        <x:v>Unresolved</x:v>
      </x:c>
      <x:c r="H387" s="9" t="str">
        <x:v>Carriage, mounting and compatible equipment unresolved</x:v>
      </x:c>
      <x:c r="I387" s="13"/>
      <x:c r="J387" s="15"/>
      <x:c r="K387" s="9" t="str">
        <x:v>Ancient machine technology; recovery and access unresolved</x:v>
      </x:c>
      <x:c r="L387" s="9" t="str">
        <x:v>Some machine technology is reverse engineered into crude Iron Age machinery. Which of these families has a working reproduction remains unassigned.</x:v>
      </x:c>
      <x:c r="M387" s="9" t="str">
        <x:v>Lore item family; not implemented</x:v>
      </x:c>
      <x:c r="N387" s="9" t="str">
        <x:v>Mechanism, energy or propulsion supply, ammunition compatibility, effectiveness and operating limits remain open</x:v>
      </x:c>
      <x:c r="O387" s="17"/>
      <x:c r="P387" s="17"/>
      <x:c r="Q387" s="17"/>
      <x:c r="R387" s="17"/>
      <x:c r="S387" s="17"/>
      <x:c r="T387" s="9" t="str">
        <x:v>No reverse-engineered variant, recipe, manufacturing tier, specification or combat statistic established.</x:v>
      </x:c>
      <x:c r="U387" s="11" t="str">
        <x:v>rocket launcher; launcher; ancient machine weapon</x:v>
      </x:c>
      <x:c r="V387" s="9" t="str">
        <x:v>Direct author direction, October 14, 2026; Docs/WORLD_BASIS.md#ancient-weapons-and-reverse-engineered-machinery</x:v>
      </x:c>
      <x:c r="W387" s="4" t="str">
        <x:v>Weapon</x:v>
      </x:c>
      <x:c r="X387" s="4" t="str">
        <x:v>Finished item</x:v>
      </x:c>
      <x:c r="Y387" s="4" t="str">
        <x:v>Ancient technology</x:v>
      </x:c>
      <x:c r="Z387" s="4" t="str">
        <x:v>Offensive combat</x:v>
      </x:c>
      <x:c r="AA387" s="4" t="str">
        <x:v>Mixed / unresolved</x:v>
      </x:c>
      <x:c r="AB387" s="4" t="str">
        <x:v>Assembly</x:v>
      </x:c>
      <x:c r="AC387" s="4" t="str">
        <x:v>Author direction</x:v>
      </x:c>
      <x:c r="AD387" s="4" t="str">
        <x:f>LOWER(A387&amp;"; "&amp;B387&amp;"; "&amp;C387&amp;"; "&amp;D387&amp;"; "&amp;W387&amp;"; "&amp;X387&amp;"; "&amp;Y387&amp;"; "&amp;Z387&amp;"; "&amp;AA387&amp;"; "&amp;AB387&amp;"; "&amp;AC387&amp;"; "&amp;U387)</x:f>
        <x:v>author.ancient.rocket_launcher; rocket launcher; weapons; rocket-launching weapon; weapon; finished item; ancient technology; offensive combat; mixed / unresolved; assembly; author direction; rocket launcher; launcher; ancient machine weapon</x:v>
      </x:c>
      <x:c r="AE387" s="4" t="str">
        <x:v>Ancient machine-tech family is author direction. Reverse-engineered examples exist in the broader technology tradition; specific reproducible families remain open.</x:v>
      </x:c>
      <x:c r="AF387" s="4" t="str">
        <x:v>Unassigned</x:v>
      </x:c>
      <x:c r="AG387" s="4" t="str">
        <x:v>Ancient origin does not establish T4 or modern reproducibility. This is a finished item whose manufacturing lineage is unassigned.</x:v>
      </x:c>
      <x:c r="AH387" s="4" t="str">
        <x:v>Unassigned</x:v>
      </x:c>
    </x:row>
    <x:row r="388" ht="115" customHeight="1">
      <x:c r="A388" s="9" t="str">
        <x:v>author.electrical.magnetic_disruptor</x:v>
      </x:c>
      <x:c r="B388" s="9" t="str">
        <x:v>Magnetic field disruptor</x:v>
      </x:c>
      <x:c r="C388" s="9" t="str">
        <x:v>Equipment</x:v>
      </x:c>
      <x:c r="D388" s="9" t="str">
        <x:v>Magnetic field-control device</x:v>
      </x:c>
      <x:c r="E388" s="9" t="str">
        <x:v>Author-directed concept</x:v>
      </x:c>
      <x:c r="F388" s="9" t="str">
        <x:v>Disrupt a magnetic field; field coupling and targets unresolved.</x:v>
      </x:c>
      <x:c r="G388" s="9" t="str">
        <x:v>Unresolved</x:v>
      </x:c>
      <x:c r="H388" s="9" t="str">
        <x:v>Carriage, mounting or fit unresolved</x:v>
      </x:c>
      <x:c r="I388" s="13"/>
      <x:c r="J388" s="15"/>
      <x:c r="K388" s="9" t="str">
        <x:v>Ancient, reverse-engineered or contemporary origin not yet assigned</x:v>
      </x:c>
      <x:c r="L388" s="9" t="str">
        <x:v>Inputs, process, energy supply and construction unresolved</x:v>
      </x:c>
      <x:c r="M388" s="9" t="str">
        <x:v>Lore/design item family; not implemented</x:v>
      </x:c>
      <x:c r="N388" s="9" t="str">
        <x:v>Field strength, range, coupling, power, targets and operating limits unresolved</x:v>
      </x:c>
      <x:c r="O388" s="17"/>
      <x:c r="P388" s="17"/>
      <x:c r="Q388" s="17"/>
      <x:c r="R388" s="17"/>
      <x:c r="S388" s="17"/>
      <x:c r="T388" s="9" t="str">
        <x:v>Specific effects, stats, rarity, crafting tiers and recipes remain undefined. Disruptor/inhibitor distinction remains open where applicable.</x:v>
      </x:c>
      <x:c r="U388" s="11" t="str">
        <x:v>magnetic disruptor; magnetic interference</x:v>
      </x:c>
      <x:c r="V388" s="9" t="str">
        <x:v>Direct author direction, October 14, 2026; Docs/WORLD_BASIS.md#field-control-and-electrical-protection</x:v>
      </x:c>
      <x:c r="W388" s="4" t="str">
        <x:v>Tool</x:v>
      </x:c>
      <x:c r="X388" s="4" t="str">
        <x:v>Finished item</x:v>
      </x:c>
      <x:c r="Y388" s="4" t="str">
        <x:v>Manufactured / unresolved</x:v>
      </x:c>
      <x:c r="Z388" s="4" t="str">
        <x:v>Magnetic field control</x:v>
      </x:c>
      <x:c r="AA388" s="4" t="str">
        <x:v>Mixed / unresolved</x:v>
      </x:c>
      <x:c r="AB388" s="4" t="str">
        <x:v>Assembly</x:v>
      </x:c>
      <x:c r="AC388" s="4" t="str">
        <x:v>Author direction</x:v>
      </x:c>
      <x:c r="AD388" s="4" t="str">
        <x:f>LOWER(A388&amp;"; "&amp;B388&amp;"; "&amp;C388&amp;"; "&amp;D388&amp;"; "&amp;W388&amp;"; "&amp;X388&amp;"; "&amp;Y388&amp;"; "&amp;Z388&amp;"; "&amp;AA388&amp;"; "&amp;AB388&amp;"; "&amp;AC388&amp;"; "&amp;U388)</x:f>
        <x:v>author.electrical.magnetic_disruptor; magnetic field disruptor; equipment; magnetic field-control device; tool; finished item; manufactured / unresolved; magnetic field control; mixed / unresolved; assembly; author direction; magnetic disruptor; magnetic interference</x:v>
      </x:c>
      <x:c r="AE388" s="4" t="str">
        <x:v>Existence and intended function are author direction; construction and technical origin remain unassigned.</x:v>
      </x:c>
      <x:c r="AF388" s="4" t="str">
        <x:v>Finished item</x:v>
      </x:c>
      <x:c r="AG388" s="4" t="str">
        <x:v>Finished equipment; chosen input material tier remains undefined.</x:v>
      </x:c>
      <x:c r="AH388" s="4" t="str">
        <x:v>Unassigned</x:v>
      </x:c>
    </x:row>
    <x:row r="389" ht="115" customHeight="1">
      <x:c r="A389" s="9" t="str">
        <x:v>author.electrical.magnetic_inhibitor</x:v>
      </x:c>
      <x:c r="B389" s="9" t="str">
        <x:v>Magnetic field inhibitor</x:v>
      </x:c>
      <x:c r="C389" s="9" t="str">
        <x:v>Equipment</x:v>
      </x:c>
      <x:c r="D389" s="9" t="str">
        <x:v>Magnetic field-control device</x:v>
      </x:c>
      <x:c r="E389" s="9" t="str">
        <x:v>Author-directed concept</x:v>
      </x:c>
      <x:c r="F389" s="9" t="str">
        <x:v>Inhibit a magnetic field; distinction from disruption remains a design question.</x:v>
      </x:c>
      <x:c r="G389" s="9" t="str">
        <x:v>Unresolved</x:v>
      </x:c>
      <x:c r="H389" s="9" t="str">
        <x:v>Carriage, mounting or fit unresolved</x:v>
      </x:c>
      <x:c r="I389" s="13"/>
      <x:c r="J389" s="15"/>
      <x:c r="K389" s="9" t="str">
        <x:v>Ancient, reverse-engineered or contemporary origin not yet assigned</x:v>
      </x:c>
      <x:c r="L389" s="9" t="str">
        <x:v>Inputs, process, energy supply and construction unresolved</x:v>
      </x:c>
      <x:c r="M389" s="9" t="str">
        <x:v>Lore/design item family; not implemented</x:v>
      </x:c>
      <x:c r="N389" s="9" t="str">
        <x:v>Field strength, range, coupling, power, targets and operating limits unresolved</x:v>
      </x:c>
      <x:c r="O389" s="17"/>
      <x:c r="P389" s="17"/>
      <x:c r="Q389" s="17"/>
      <x:c r="R389" s="17"/>
      <x:c r="S389" s="17"/>
      <x:c r="T389" s="9" t="str">
        <x:v>Specific effects, stats, rarity, crafting tiers and recipes remain undefined. Disruptor/inhibitor distinction remains open where applicable.</x:v>
      </x:c>
      <x:c r="U389" s="11" t="str">
        <x:v>magnetic inhibitor; magnetic suppression</x:v>
      </x:c>
      <x:c r="V389" s="9" t="str">
        <x:v>Direct author direction, October 14, 2026; Docs/WORLD_BASIS.md#field-control-and-electrical-protection</x:v>
      </x:c>
      <x:c r="W389" s="4" t="str">
        <x:v>Tool</x:v>
      </x:c>
      <x:c r="X389" s="4" t="str">
        <x:v>Finished item</x:v>
      </x:c>
      <x:c r="Y389" s="4" t="str">
        <x:v>Manufactured / unresolved</x:v>
      </x:c>
      <x:c r="Z389" s="4" t="str">
        <x:v>Magnetic field control</x:v>
      </x:c>
      <x:c r="AA389" s="4" t="str">
        <x:v>Mixed / unresolved</x:v>
      </x:c>
      <x:c r="AB389" s="4" t="str">
        <x:v>Assembly</x:v>
      </x:c>
      <x:c r="AC389" s="4" t="str">
        <x:v>Author direction</x:v>
      </x:c>
      <x:c r="AD389" s="4" t="str">
        <x:f>LOWER(A389&amp;"; "&amp;B389&amp;"; "&amp;C389&amp;"; "&amp;D389&amp;"; "&amp;W389&amp;"; "&amp;X389&amp;"; "&amp;Y389&amp;"; "&amp;Z389&amp;"; "&amp;AA389&amp;"; "&amp;AB389&amp;"; "&amp;AC389&amp;"; "&amp;U389)</x:f>
        <x:v>author.electrical.magnetic_inhibitor; magnetic field inhibitor; equipment; magnetic field-control device; tool; finished item; manufactured / unresolved; magnetic field control; mixed / unresolved; assembly; author direction; magnetic inhibitor; magnetic suppression</x:v>
      </x:c>
      <x:c r="AE389" s="4" t="str">
        <x:v>Existence and intended function are author direction; construction and technical origin remain unassigned.</x:v>
      </x:c>
      <x:c r="AF389" s="4" t="str">
        <x:v>Finished item</x:v>
      </x:c>
      <x:c r="AG389" s="4" t="str">
        <x:v>Finished equipment; chosen input material tier remains undefined.</x:v>
      </x:c>
      <x:c r="AH389" s="4" t="str">
        <x:v>Unassigned</x:v>
      </x:c>
    </x:row>
    <x:row r="390" ht="115" customHeight="1">
      <x:c r="A390" s="9" t="str">
        <x:v>author.electrical.magnetic_enhancer</x:v>
      </x:c>
      <x:c r="B390" s="9" t="str">
        <x:v>Magnetic field enhancer</x:v>
      </x:c>
      <x:c r="C390" s="9" t="str">
        <x:v>Equipment</x:v>
      </x:c>
      <x:c r="D390" s="9" t="str">
        <x:v>Magnetic field-control device</x:v>
      </x:c>
      <x:c r="E390" s="9" t="str">
        <x:v>Author-directed concept</x:v>
      </x:c>
      <x:c r="F390" s="9" t="str">
        <x:v>Enhance a magnetic field; source, extent and useful applications unresolved.</x:v>
      </x:c>
      <x:c r="G390" s="9" t="str">
        <x:v>Unresolved</x:v>
      </x:c>
      <x:c r="H390" s="9" t="str">
        <x:v>Carriage, mounting or fit unresolved</x:v>
      </x:c>
      <x:c r="I390" s="13"/>
      <x:c r="J390" s="15"/>
      <x:c r="K390" s="9" t="str">
        <x:v>Ancient, reverse-engineered or contemporary origin not yet assigned</x:v>
      </x:c>
      <x:c r="L390" s="9" t="str">
        <x:v>Inputs, process, energy supply and construction unresolved</x:v>
      </x:c>
      <x:c r="M390" s="9" t="str">
        <x:v>Lore/design item family; not implemented</x:v>
      </x:c>
      <x:c r="N390" s="9" t="str">
        <x:v>Field strength, range, coupling, power, targets and operating limits unresolved</x:v>
      </x:c>
      <x:c r="O390" s="17"/>
      <x:c r="P390" s="17"/>
      <x:c r="Q390" s="17"/>
      <x:c r="R390" s="17"/>
      <x:c r="S390" s="17"/>
      <x:c r="T390" s="9" t="str">
        <x:v>Specific effects, stats, rarity, crafting tiers and recipes remain undefined. Disruptor/inhibitor distinction remains open where applicable.</x:v>
      </x:c>
      <x:c r="U390" s="11" t="str">
        <x:v>magnetic enhancer; field amplification</x:v>
      </x:c>
      <x:c r="V390" s="9" t="str">
        <x:v>Direct author direction, October 14, 2026; Docs/WORLD_BASIS.md#field-control-and-electrical-protection</x:v>
      </x:c>
      <x:c r="W390" s="4" t="str">
        <x:v>Tool</x:v>
      </x:c>
      <x:c r="X390" s="4" t="str">
        <x:v>Finished item</x:v>
      </x:c>
      <x:c r="Y390" s="4" t="str">
        <x:v>Manufactured / unresolved</x:v>
      </x:c>
      <x:c r="Z390" s="4" t="str">
        <x:v>Magnetic field control</x:v>
      </x:c>
      <x:c r="AA390" s="4" t="str">
        <x:v>Mixed / unresolved</x:v>
      </x:c>
      <x:c r="AB390" s="4" t="str">
        <x:v>Assembly</x:v>
      </x:c>
      <x:c r="AC390" s="4" t="str">
        <x:v>Author direction</x:v>
      </x:c>
      <x:c r="AD390" s="4" t="str">
        <x:f>LOWER(A390&amp;"; "&amp;B390&amp;"; "&amp;C390&amp;"; "&amp;D390&amp;"; "&amp;W390&amp;"; "&amp;X390&amp;"; "&amp;Y390&amp;"; "&amp;Z390&amp;"; "&amp;AA390&amp;"; "&amp;AB390&amp;"; "&amp;AC390&amp;"; "&amp;U390)</x:f>
        <x:v>author.electrical.magnetic_enhancer; magnetic field enhancer; equipment; magnetic field-control device; tool; finished item; manufactured / unresolved; magnetic field control; mixed / unresolved; assembly; author direction; magnetic enhancer; field amplification</x:v>
      </x:c>
      <x:c r="AE390" s="4" t="str">
        <x:v>Existence and intended function are author direction; construction and technical origin remain unassigned.</x:v>
      </x:c>
      <x:c r="AF390" s="4" t="str">
        <x:v>Finished item</x:v>
      </x:c>
      <x:c r="AG390" s="4" t="str">
        <x:v>Finished equipment; chosen input material tier remains undefined.</x:v>
      </x:c>
      <x:c r="AH390" s="4" t="str">
        <x:v>Unassigned</x:v>
      </x:c>
    </x:row>
    <x:row r="391" ht="115" customHeight="1">
      <x:c r="A391" s="9" t="str">
        <x:v>author.electrical.static_enhancer</x:v>
      </x:c>
      <x:c r="B391" s="9" t="str">
        <x:v>Static-electricity field enhancer</x:v>
      </x:c>
      <x:c r="C391" s="9" t="str">
        <x:v>Equipment</x:v>
      </x:c>
      <x:c r="D391" s="9" t="str">
        <x:v>Static field-control device</x:v>
      </x:c>
      <x:c r="E391" s="9" t="str">
        <x:v>Author-directed concept</x:v>
      </x:c>
      <x:c r="F391" s="9" t="str">
        <x:v>Enhance a static-electricity field; operating mechanism unresolved.</x:v>
      </x:c>
      <x:c r="G391" s="9" t="str">
        <x:v>Unresolved</x:v>
      </x:c>
      <x:c r="H391" s="9" t="str">
        <x:v>Carriage, mounting or fit unresolved</x:v>
      </x:c>
      <x:c r="I391" s="13"/>
      <x:c r="J391" s="15"/>
      <x:c r="K391" s="9" t="str">
        <x:v>Ancient, reverse-engineered or contemporary origin not yet assigned</x:v>
      </x:c>
      <x:c r="L391" s="9" t="str">
        <x:v>Inputs, process, energy supply and construction unresolved</x:v>
      </x:c>
      <x:c r="M391" s="9" t="str">
        <x:v>Lore/design item family; not implemented</x:v>
      </x:c>
      <x:c r="N391" s="9" t="str">
        <x:v>Field strength, range, coupling, power, targets and operating limits unresolved</x:v>
      </x:c>
      <x:c r="O391" s="17"/>
      <x:c r="P391" s="17"/>
      <x:c r="Q391" s="17"/>
      <x:c r="R391" s="17"/>
      <x:c r="S391" s="17"/>
      <x:c r="T391" s="9" t="str">
        <x:v>Specific effects, stats, rarity, crafting tiers and recipes remain undefined. Disruptor/inhibitor distinction remains open where applicable.</x:v>
      </x:c>
      <x:c r="U391" s="11" t="str">
        <x:v>static field enhancer; electrostatic enhancer</x:v>
      </x:c>
      <x:c r="V391" s="9" t="str">
        <x:v>Direct author direction, October 14, 2026; Docs/WORLD_BASIS.md#field-control-and-electrical-protection</x:v>
      </x:c>
      <x:c r="W391" s="4" t="str">
        <x:v>Tool</x:v>
      </x:c>
      <x:c r="X391" s="4" t="str">
        <x:v>Finished item</x:v>
      </x:c>
      <x:c r="Y391" s="4" t="str">
        <x:v>Manufactured / unresolved</x:v>
      </x:c>
      <x:c r="Z391" s="4" t="str">
        <x:v>Static management</x:v>
      </x:c>
      <x:c r="AA391" s="4" t="str">
        <x:v>Mixed / unresolved</x:v>
      </x:c>
      <x:c r="AB391" s="4" t="str">
        <x:v>Assembly</x:v>
      </x:c>
      <x:c r="AC391" s="4" t="str">
        <x:v>Author direction</x:v>
      </x:c>
      <x:c r="AD391" s="4" t="str">
        <x:f>LOWER(A391&amp;"; "&amp;B391&amp;"; "&amp;C391&amp;"; "&amp;D391&amp;"; "&amp;W391&amp;"; "&amp;X391&amp;"; "&amp;Y391&amp;"; "&amp;Z391&amp;"; "&amp;AA391&amp;"; "&amp;AB391&amp;"; "&amp;AC391&amp;"; "&amp;U391)</x:f>
        <x:v>author.electrical.static_enhancer; static-electricity field enhancer; equipment; static field-control device; tool; finished item; manufactured / unresolved; static management; mixed / unresolved; assembly; author direction; static field enhancer; electrostatic enhancer</x:v>
      </x:c>
      <x:c r="AE391" s="4" t="str">
        <x:v>Existence and intended function are author direction; construction and technical origin remain unassigned.</x:v>
      </x:c>
      <x:c r="AF391" s="4" t="str">
        <x:v>Finished item</x:v>
      </x:c>
      <x:c r="AG391" s="4" t="str">
        <x:v>Finished equipment; chosen input material tier remains undefined.</x:v>
      </x:c>
      <x:c r="AH391" s="4" t="str">
        <x:v>Unassigned</x:v>
      </x:c>
    </x:row>
    <x:row r="392" ht="115" customHeight="1">
      <x:c r="A392" s="9" t="str">
        <x:v>author.electrical.static_disruptor</x:v>
      </x:c>
      <x:c r="B392" s="9" t="str">
        <x:v>Static-electricity field disruptor</x:v>
      </x:c>
      <x:c r="C392" s="9" t="str">
        <x:v>Equipment</x:v>
      </x:c>
      <x:c r="D392" s="9" t="str">
        <x:v>Static field-control device</x:v>
      </x:c>
      <x:c r="E392" s="9" t="str">
        <x:v>Author-directed concept</x:v>
      </x:c>
      <x:c r="F392" s="9" t="str">
        <x:v>Disrupt a static-electricity field; operating mechanism unresolved.</x:v>
      </x:c>
      <x:c r="G392" s="9" t="str">
        <x:v>Unresolved</x:v>
      </x:c>
      <x:c r="H392" s="9" t="str">
        <x:v>Carriage, mounting or fit unresolved</x:v>
      </x:c>
      <x:c r="I392" s="13"/>
      <x:c r="J392" s="15"/>
      <x:c r="K392" s="9" t="str">
        <x:v>Ancient, reverse-engineered or contemporary origin not yet assigned</x:v>
      </x:c>
      <x:c r="L392" s="9" t="str">
        <x:v>Inputs, process, energy supply and construction unresolved</x:v>
      </x:c>
      <x:c r="M392" s="9" t="str">
        <x:v>Lore/design item family; not implemented</x:v>
      </x:c>
      <x:c r="N392" s="9" t="str">
        <x:v>Field strength, range, coupling, power, targets and operating limits unresolved</x:v>
      </x:c>
      <x:c r="O392" s="17"/>
      <x:c r="P392" s="17"/>
      <x:c r="Q392" s="17"/>
      <x:c r="R392" s="17"/>
      <x:c r="S392" s="17"/>
      <x:c r="T392" s="9" t="str">
        <x:v>Specific effects, stats, rarity, crafting tiers and recipes remain undefined. Disruptor/inhibitor distinction remains open where applicable.</x:v>
      </x:c>
      <x:c r="U392" s="11" t="str">
        <x:v>static field disruptor; electrostatic disruption</x:v>
      </x:c>
      <x:c r="V392" s="9" t="str">
        <x:v>Direct author direction, October 14, 2026; Docs/WORLD_BASIS.md#field-control-and-electrical-protection</x:v>
      </x:c>
      <x:c r="W392" s="4" t="str">
        <x:v>Tool</x:v>
      </x:c>
      <x:c r="X392" s="4" t="str">
        <x:v>Finished item</x:v>
      </x:c>
      <x:c r="Y392" s="4" t="str">
        <x:v>Manufactured / unresolved</x:v>
      </x:c>
      <x:c r="Z392" s="4" t="str">
        <x:v>Static management</x:v>
      </x:c>
      <x:c r="AA392" s="4" t="str">
        <x:v>Mixed / unresolved</x:v>
      </x:c>
      <x:c r="AB392" s="4" t="str">
        <x:v>Assembly</x:v>
      </x:c>
      <x:c r="AC392" s="4" t="str">
        <x:v>Author direction</x:v>
      </x:c>
      <x:c r="AD392" s="4" t="str">
        <x:f>LOWER(A392&amp;"; "&amp;B392&amp;"; "&amp;C392&amp;"; "&amp;D392&amp;"; "&amp;W392&amp;"; "&amp;X392&amp;"; "&amp;Y392&amp;"; "&amp;Z392&amp;"; "&amp;AA392&amp;"; "&amp;AB392&amp;"; "&amp;AC392&amp;"; "&amp;U392)</x:f>
        <x:v>author.electrical.static_disruptor; static-electricity field disruptor; equipment; static field-control device; tool; finished item; manufactured / unresolved; static management; mixed / unresolved; assembly; author direction; static field disruptor; electrostatic disruption</x:v>
      </x:c>
      <x:c r="AE392" s="4" t="str">
        <x:v>Existence and intended function are author direction; construction and technical origin remain unassigned.</x:v>
      </x:c>
      <x:c r="AF392" s="4" t="str">
        <x:v>Finished item</x:v>
      </x:c>
      <x:c r="AG392" s="4" t="str">
        <x:v>Finished equipment; chosen input material tier remains undefined.</x:v>
      </x:c>
      <x:c r="AH392" s="4" t="str">
        <x:v>Unassigned</x:v>
      </x:c>
    </x:row>
    <x:row r="393" ht="115" customHeight="1">
      <x:c r="A393" s="9" t="str">
        <x:v>author.electrical.arc_ray_gun</x:v>
      </x:c>
      <x:c r="B393" s="9" t="str">
        <x:v>Arc ray gun</x:v>
      </x:c>
      <x:c r="C393" s="9" t="str">
        <x:v>Weapons</x:v>
      </x:c>
      <x:c r="D393" s="9" t="str">
        <x:v>Electrical-discharge ranged weapon</x:v>
      </x:c>
      <x:c r="E393" s="9" t="str">
        <x:v>Author-directed concept</x:v>
      </x:c>
      <x:c r="F393" s="9" t="str">
        <x:v>Lightning-blaster weapon family, distinct from the laser-blaster family.</x:v>
      </x:c>
      <x:c r="G393" s="9" t="str">
        <x:v>Unresolved</x:v>
      </x:c>
      <x:c r="H393" s="9" t="str">
        <x:v>Carriage, mounting or fit unresolved</x:v>
      </x:c>
      <x:c r="I393" s="13"/>
      <x:c r="J393" s="15"/>
      <x:c r="K393" s="9" t="str">
        <x:v>Ancient, reverse-engineered or contemporary origin not yet assigned</x:v>
      </x:c>
      <x:c r="L393" s="9" t="str">
        <x:v>Inputs, process, energy supply and construction unresolved</x:v>
      </x:c>
      <x:c r="M393" s="9" t="str">
        <x:v>Lore/design item family; not implemented</x:v>
      </x:c>
      <x:c r="N393" s="9" t="str">
        <x:v>Field strength, range, coupling, power, targets and operating limits unresolved</x:v>
      </x:c>
      <x:c r="O393" s="17"/>
      <x:c r="P393" s="17"/>
      <x:c r="Q393" s="17"/>
      <x:c r="R393" s="17"/>
      <x:c r="S393" s="17"/>
      <x:c r="T393" s="9" t="str">
        <x:v>Specific effects, stats, rarity, crafting tiers and recipes remain undefined. Disruptor/inhibitor distinction remains open where applicable.</x:v>
      </x:c>
      <x:c r="U393" s="11" t="str">
        <x:v>lightning blaster; arc gun; arc ray gun; lightning gun</x:v>
      </x:c>
      <x:c r="V393" s="9" t="str">
        <x:v>Direct author direction, October 14, 2026; Docs/WORLD_BASIS.md#field-control-and-electrical-protection</x:v>
      </x:c>
      <x:c r="W393" s="4" t="str">
        <x:v>Weapon</x:v>
      </x:c>
      <x:c r="X393" s="4" t="str">
        <x:v>Finished item</x:v>
      </x:c>
      <x:c r="Y393" s="4" t="str">
        <x:v>Manufactured / unresolved</x:v>
      </x:c>
      <x:c r="Z393" s="4" t="str">
        <x:v>Offensive combat</x:v>
      </x:c>
      <x:c r="AA393" s="4" t="str">
        <x:v>Mixed / unresolved</x:v>
      </x:c>
      <x:c r="AB393" s="4" t="str">
        <x:v>Assembly</x:v>
      </x:c>
      <x:c r="AC393" s="4" t="str">
        <x:v>Author direction</x:v>
      </x:c>
      <x:c r="AD393" s="4" t="str">
        <x:f>LOWER(A393&amp;"; "&amp;B393&amp;"; "&amp;C393&amp;"; "&amp;D393&amp;"; "&amp;W393&amp;"; "&amp;X393&amp;"; "&amp;Y393&amp;"; "&amp;Z393&amp;"; "&amp;AA393&amp;"; "&amp;AB393&amp;"; "&amp;AC393&amp;"; "&amp;U393)</x:f>
        <x:v>author.electrical.arc_ray_gun; arc ray gun; weapons; electrical-discharge ranged weapon; weapon; finished item; manufactured / unresolved; offensive combat; mixed / unresolved; assembly; author direction; lightning blaster; arc gun; arc ray gun; lightning gun</x:v>
      </x:c>
      <x:c r="AE393" s="4" t="str">
        <x:v>Existence and intended function are author direction; construction and technical origin remain unassigned.</x:v>
      </x:c>
      <x:c r="AF393" s="4" t="str">
        <x:v>Finished item</x:v>
      </x:c>
      <x:c r="AG393" s="4" t="str">
        <x:v>Finished equipment; chosen input material tier remains undefined.</x:v>
      </x:c>
      <x:c r="AH393" s="4" t="str">
        <x:v>Unassigned</x:v>
      </x:c>
    </x:row>
    <x:row r="394" ht="115" customHeight="1">
      <x:c r="A394" s="9" t="str">
        <x:v>author.electrical.insulation_stock</x:v>
      </x:c>
      <x:c r="B394" s="9" t="str">
        <x:v>Prepared electrical insulation stock</x:v>
      </x:c>
      <x:c r="C394" s="9" t="str">
        <x:v>Resources</x:v>
      </x:c>
      <x:c r="D394" s="9" t="str">
        <x:v>Electrical insulation material</x:v>
      </x:c>
      <x:c r="E394" s="9" t="str">
        <x:v>Author-directed concept</x:v>
      </x:c>
      <x:c r="F394" s="9" t="str">
        <x:v>Prepared insulating material family for electrical equipment and protective wear; composition unresolved.</x:v>
      </x:c>
      <x:c r="G394" s="9" t="str">
        <x:v>None</x:v>
      </x:c>
      <x:c r="H394" s="9" t="str">
        <x:v>Carriage, mounting or fit unresolved</x:v>
      </x:c>
      <x:c r="I394" s="13"/>
      <x:c r="J394" s="15"/>
      <x:c r="K394" s="9" t="str">
        <x:v>Ancient, reverse-engineered or contemporary origin not yet assigned</x:v>
      </x:c>
      <x:c r="L394" s="9" t="str">
        <x:v>Inputs, process, energy supply and construction unresolved</x:v>
      </x:c>
      <x:c r="M394" s="9" t="str">
        <x:v>Lore/design item family; not implemented</x:v>
      </x:c>
      <x:c r="N394" s="9" t="str">
        <x:v>Composition, preparation and service qualification unresolved; existing ceramic/secretion/grease concepts remain candidate materials.</x:v>
      </x:c>
      <x:c r="O394" s="17"/>
      <x:c r="P394" s="17"/>
      <x:c r="Q394" s="17"/>
      <x:c r="R394" s="17"/>
      <x:c r="S394" s="17"/>
      <x:c r="T394" s="9" t="str">
        <x:v>Specific effects, stats, rarity, crafting tiers and recipes remain undefined. Disruptor/inhibitor distinction remains open where applicable.</x:v>
      </x:c>
      <x:c r="U394" s="11" t="str">
        <x:v>insulating material; insulated material; electrical insulation stock</x:v>
      </x:c>
      <x:c r="V394" s="9" t="str">
        <x:v>Direct author direction, October 14, 2026; Docs/WORLD_BASIS.md#field-control-and-electrical-protection</x:v>
      </x:c>
      <x:c r="W394" s="4" t="str">
        <x:v>Processed material</x:v>
      </x:c>
      <x:c r="X394" s="4" t="str">
        <x:v>Processed intermediate</x:v>
      </x:c>
      <x:c r="Y394" s="4" t="str">
        <x:v>Manufactured / unresolved</x:v>
      </x:c>
      <x:c r="Z394" s="4" t="str">
        <x:v>Electrical insulation</x:v>
      </x:c>
      <x:c r="AA394" s="4" t="str">
        <x:v>Mixed / unresolved</x:v>
      </x:c>
      <x:c r="AB394" s="4" t="str">
        <x:v>Unresolved</x:v>
      </x:c>
      <x:c r="AC394" s="4" t="str">
        <x:v>Author direction</x:v>
      </x:c>
      <x:c r="AD394" s="4" t="str">
        <x:f>LOWER(A394&amp;"; "&amp;B394&amp;"; "&amp;C394&amp;"; "&amp;D394&amp;"; "&amp;W394&amp;"; "&amp;X394&amp;"; "&amp;Y394&amp;"; "&amp;Z394&amp;"; "&amp;AA394&amp;"; "&amp;AB394&amp;"; "&amp;AC394&amp;"; "&amp;U394)</x:f>
        <x:v>author.electrical.insulation_stock; prepared electrical insulation stock; resources; electrical insulation material; processed material; processed intermediate; manufactured / unresolved; electrical insulation; mixed / unresolved; unresolved; author direction; insulating material; insulated material; electrical insulation stock</x:v>
      </x:c>
      <x:c r="AE394" s="4" t="str">
        <x:v>Existence and intended function are author direction; construction and technical origin remain unassigned.</x:v>
      </x:c>
      <x:c r="AF394" s="4" t="str">
        <x:v>Unassigned</x:v>
      </x:c>
      <x:c r="AG394" s="4" t="str">
        <x:v>No chosen refinement route establishes a material tier.</x:v>
      </x:c>
      <x:c r="AH394" s="4" t="str">
        <x:v>Not applicable</x:v>
      </x:c>
    </x:row>
    <x:row r="395" ht="115" customHeight="1">
      <x:c r="A395" s="9" t="str">
        <x:v>author.electrical.insulated_suit</x:v>
      </x:c>
      <x:c r="B395" s="9" t="str">
        <x:v>Electrical insulating suit</x:v>
      </x:c>
      <x:c r="C395" s="9" t="str">
        <x:v>Equipment</x:v>
      </x:c>
      <x:c r="D395" s="9" t="str">
        <x:v>Electrical protective wear</x:v>
      </x:c>
      <x:c r="E395" s="9" t="str">
        <x:v>Author-directed concept</x:v>
      </x:c>
      <x:c r="F395" s="9" t="str">
        <x:v>Protective suit intended for handling high-voltage electricity.</x:v>
      </x:c>
      <x:c r="G395" s="9" t="str">
        <x:v>Body / fit unresolved</x:v>
      </x:c>
      <x:c r="H395" s="9" t="str">
        <x:v>Carriage, mounting or fit unresolved</x:v>
      </x:c>
      <x:c r="I395" s="13"/>
      <x:c r="J395" s="15"/>
      <x:c r="K395" s="9" t="str">
        <x:v>Ancient, reverse-engineered or contemporary origin not yet assigned</x:v>
      </x:c>
      <x:c r="L395" s="9" t="str">
        <x:v>Inputs, process, energy supply and construction unresolved</x:v>
      </x:c>
      <x:c r="M395" s="9" t="str">
        <x:v>Lore/design item family; not implemented</x:v>
      </x:c>
      <x:c r="N395" s="9" t="str">
        <x:v>Electrical service limits, durability, interfaces and construction unresolved; follows the husk/hide/fur and no-cloth material rules.</x:v>
      </x:c>
      <x:c r="O395" s="17"/>
      <x:c r="P395" s="17"/>
      <x:c r="Q395" s="17"/>
      <x:c r="R395" s="17"/>
      <x:c r="S395" s="17"/>
      <x:c r="T395" s="9" t="str">
        <x:v>Specific effects, stats, rarity, crafting tiers and recipes remain undefined. Disruptor/inhibitor distinction remains open where applicable.</x:v>
      </x:c>
      <x:c r="U395" s="11" t="str">
        <x:v>insulated suit; high voltage suit; electrical protective suit</x:v>
      </x:c>
      <x:c r="V395" s="9" t="str">
        <x:v>Direct author direction, October 14, 2026; Docs/WORLD_BASIS.md#field-control-and-electrical-protection</x:v>
      </x:c>
      <x:c r="W395" s="4" t="str">
        <x:v>Wearable</x:v>
      </x:c>
      <x:c r="X395" s="4" t="str">
        <x:v>Finished item</x:v>
      </x:c>
      <x:c r="Y395" s="4" t="str">
        <x:v>Manufactured / unresolved</x:v>
      </x:c>
      <x:c r="Z395" s="4" t="str">
        <x:v>Electrical insulation</x:v>
      </x:c>
      <x:c r="AA395" s="4" t="str">
        <x:v>Mixed / unresolved</x:v>
      </x:c>
      <x:c r="AB395" s="4" t="str">
        <x:v>Garment</x:v>
      </x:c>
      <x:c r="AC395" s="4" t="str">
        <x:v>Author direction</x:v>
      </x:c>
      <x:c r="AD395" s="4" t="str">
        <x:f>LOWER(A395&amp;"; "&amp;B395&amp;"; "&amp;C395&amp;"; "&amp;D395&amp;"; "&amp;W395&amp;"; "&amp;X395&amp;"; "&amp;Y395&amp;"; "&amp;Z395&amp;"; "&amp;AA395&amp;"; "&amp;AB395&amp;"; "&amp;AC395&amp;"; "&amp;U395)</x:f>
        <x:v>author.electrical.insulated_suit; electrical insulating suit; equipment; electrical protective wear; wearable; finished item; manufactured / unresolved; electrical insulation; mixed / unresolved; garment; author direction; insulated suit; high voltage suit; electrical protective suit</x:v>
      </x:c>
      <x:c r="AE395" s="4" t="str">
        <x:v>Existence and intended function are author direction; construction and technical origin remain unassigned.</x:v>
      </x:c>
      <x:c r="AF395" s="4" t="str">
        <x:v>Finished item</x:v>
      </x:c>
      <x:c r="AG395" s="4" t="str">
        <x:v>Finished equipment; chosen input material tier remains undefined.</x:v>
      </x:c>
      <x:c r="AH395" s="4" t="str">
        <x:v>Unassigned</x:v>
      </x:c>
    </x:row>
    <x:row r="396" ht="115" customHeight="1">
      <x:c r="A396" s="9" t="str">
        <x:v>author.electrical.insulated_gloves</x:v>
      </x:c>
      <x:c r="B396" s="9" t="str">
        <x:v>Electrical insulating gloves</x:v>
      </x:c>
      <x:c r="C396" s="9" t="str">
        <x:v>Equipment</x:v>
      </x:c>
      <x:c r="D396" s="9" t="str">
        <x:v>Electrical protective wear</x:v>
      </x:c>
      <x:c r="E396" s="9" t="str">
        <x:v>Author-directed concept</x:v>
      </x:c>
      <x:c r="F396" s="9" t="str">
        <x:v>Protective gloves intended for handling high-voltage electricity.</x:v>
      </x:c>
      <x:c r="G396" s="9" t="str">
        <x:v>Hands / fit unresolved</x:v>
      </x:c>
      <x:c r="H396" s="9" t="str">
        <x:v>Carriage, mounting or fit unresolved</x:v>
      </x:c>
      <x:c r="I396" s="13"/>
      <x:c r="J396" s="15"/>
      <x:c r="K396" s="9" t="str">
        <x:v>Ancient, reverse-engineered or contemporary origin not yet assigned</x:v>
      </x:c>
      <x:c r="L396" s="9" t="str">
        <x:v>Inputs, process, energy supply and construction unresolved</x:v>
      </x:c>
      <x:c r="M396" s="9" t="str">
        <x:v>Lore/design item family; not implemented</x:v>
      </x:c>
      <x:c r="N396" s="9" t="str">
        <x:v>Electrical service limits, durability, interfaces and construction unresolved; follows the husk/hide/fur and no-cloth material rules.</x:v>
      </x:c>
      <x:c r="O396" s="17"/>
      <x:c r="P396" s="17"/>
      <x:c r="Q396" s="17"/>
      <x:c r="R396" s="17"/>
      <x:c r="S396" s="17"/>
      <x:c r="T396" s="9" t="str">
        <x:v>Specific effects, stats, rarity, crafting tiers and recipes remain undefined. Disruptor/inhibitor distinction remains open where applicable.</x:v>
      </x:c>
      <x:c r="U396" s="11" t="str">
        <x:v>insulated gloves; high voltage gloves; electrical work gloves</x:v>
      </x:c>
      <x:c r="V396" s="9" t="str">
        <x:v>Direct author direction, October 14, 2026; Docs/WORLD_BASIS.md#field-control-and-electrical-protection</x:v>
      </x:c>
      <x:c r="W396" s="4" t="str">
        <x:v>Wearable</x:v>
      </x:c>
      <x:c r="X396" s="4" t="str">
        <x:v>Finished item</x:v>
      </x:c>
      <x:c r="Y396" s="4" t="str">
        <x:v>Manufactured / unresolved</x:v>
      </x:c>
      <x:c r="Z396" s="4" t="str">
        <x:v>Electrical insulation</x:v>
      </x:c>
      <x:c r="AA396" s="4" t="str">
        <x:v>Mixed / unresolved</x:v>
      </x:c>
      <x:c r="AB396" s="4" t="str">
        <x:v>Garment</x:v>
      </x:c>
      <x:c r="AC396" s="4" t="str">
        <x:v>Author direction</x:v>
      </x:c>
      <x:c r="AD396" s="4" t="str">
        <x:f>LOWER(A396&amp;"; "&amp;B396&amp;"; "&amp;C396&amp;"; "&amp;D396&amp;"; "&amp;W396&amp;"; "&amp;X396&amp;"; "&amp;Y396&amp;"; "&amp;Z396&amp;"; "&amp;AA396&amp;"; "&amp;AB396&amp;"; "&amp;AC396&amp;"; "&amp;U396)</x:f>
        <x:v>author.electrical.insulated_gloves; electrical insulating gloves; equipment; electrical protective wear; wearable; finished item; manufactured / unresolved; electrical insulation; mixed / unresolved; garment; author direction; insulated gloves; high voltage gloves; electrical work gloves</x:v>
      </x:c>
      <x:c r="AE396" s="4" t="str">
        <x:v>Existence and intended function are author direction; construction and technical origin remain unassigned.</x:v>
      </x:c>
      <x:c r="AF396" s="4" t="str">
        <x:v>Finished item</x:v>
      </x:c>
      <x:c r="AG396" s="4" t="str">
        <x:v>Finished equipment; chosen input material tier remains undefined.</x:v>
      </x:c>
      <x:c r="AH396" s="4" t="str">
        <x:v>Unassigned</x:v>
      </x:c>
    </x:row>
    <x:row r="397" ht="115" customHeight="1">
      <x:c r="A397" s="9" t="str">
        <x:v>author.electrical.insulated_boots</x:v>
      </x:c>
      <x:c r="B397" s="9" t="str">
        <x:v>Electrical insulating boots</x:v>
      </x:c>
      <x:c r="C397" s="9" t="str">
        <x:v>Equipment</x:v>
      </x:c>
      <x:c r="D397" s="9" t="str">
        <x:v>Electrical protective wear</x:v>
      </x:c>
      <x:c r="E397" s="9" t="str">
        <x:v>Author-directed concept</x:v>
      </x:c>
      <x:c r="F397" s="9" t="str">
        <x:v>Protective boots intended for handling high-voltage electricity.</x:v>
      </x:c>
      <x:c r="G397" s="9" t="str">
        <x:v>Feet / fit unresolved</x:v>
      </x:c>
      <x:c r="H397" s="9" t="str">
        <x:v>Carriage, mounting or fit unresolved</x:v>
      </x:c>
      <x:c r="I397" s="13"/>
      <x:c r="J397" s="15"/>
      <x:c r="K397" s="9" t="str">
        <x:v>Ancient, reverse-engineered or contemporary origin not yet assigned</x:v>
      </x:c>
      <x:c r="L397" s="9" t="str">
        <x:v>Inputs, process, energy supply and construction unresolved</x:v>
      </x:c>
      <x:c r="M397" s="9" t="str">
        <x:v>Lore/design item family; not implemented</x:v>
      </x:c>
      <x:c r="N397" s="9" t="str">
        <x:v>Electrical service limits, durability, interfaces and construction unresolved; follows the husk/hide/fur and no-cloth material rules.</x:v>
      </x:c>
      <x:c r="O397" s="17"/>
      <x:c r="P397" s="17"/>
      <x:c r="Q397" s="17"/>
      <x:c r="R397" s="17"/>
      <x:c r="S397" s="17"/>
      <x:c r="T397" s="9" t="str">
        <x:v>Specific effects, stats, rarity, crafting tiers and recipes remain undefined. Disruptor/inhibitor distinction remains open where applicable.</x:v>
      </x:c>
      <x:c r="U397" s="11" t="str">
        <x:v>insulated boots; high voltage boots; electrical work boots</x:v>
      </x:c>
      <x:c r="V397" s="9" t="str">
        <x:v>Direct author direction, October 14, 2026; Docs/WORLD_BASIS.md#field-control-and-electrical-protection</x:v>
      </x:c>
      <x:c r="W397" s="4" t="str">
        <x:v>Wearable</x:v>
      </x:c>
      <x:c r="X397" s="4" t="str">
        <x:v>Finished item</x:v>
      </x:c>
      <x:c r="Y397" s="4" t="str">
        <x:v>Manufactured / unresolved</x:v>
      </x:c>
      <x:c r="Z397" s="4" t="str">
        <x:v>Electrical insulation</x:v>
      </x:c>
      <x:c r="AA397" s="4" t="str">
        <x:v>Mixed / unresolved</x:v>
      </x:c>
      <x:c r="AB397" s="4" t="str">
        <x:v>Garment</x:v>
      </x:c>
      <x:c r="AC397" s="4" t="str">
        <x:v>Author direction</x:v>
      </x:c>
      <x:c r="AD397" s="4" t="str">
        <x:f>LOWER(A397&amp;"; "&amp;B397&amp;"; "&amp;C397&amp;"; "&amp;D397&amp;"; "&amp;W397&amp;"; "&amp;X397&amp;"; "&amp;Y397&amp;"; "&amp;Z397&amp;"; "&amp;AA397&amp;"; "&amp;AB397&amp;"; "&amp;AC397&amp;"; "&amp;U397)</x:f>
        <x:v>author.electrical.insulated_boots; electrical insulating boots; equipment; electrical protective wear; wearable; finished item; manufactured / unresolved; electrical insulation; mixed / unresolved; garment; author direction; insulated boots; high voltage boots; electrical work boots</x:v>
      </x:c>
      <x:c r="AE397" s="4" t="str">
        <x:v>Existence and intended function are author direction; construction and technical origin remain unassigned.</x:v>
      </x:c>
      <x:c r="AF397" s="4" t="str">
        <x:v>Finished item</x:v>
      </x:c>
      <x:c r="AG397" s="4" t="str">
        <x:v>Finished equipment; chosen input material tier remains undefined.</x:v>
      </x:c>
      <x:c r="AH397" s="4" t="str">
        <x:v>Unassigned</x:v>
      </x:c>
    </x:row>
    <x:row r="398" ht="115" customHeight="1">
      <x:c r="A398" s="9" t="str">
        <x:v>author.forging.hammer</x:v>
      </x:c>
      <x:c r="B398" s="9" t="str">
        <x:v>Forging hammer</x:v>
      </x:c>
      <x:c r="C398" s="9" t="str">
        <x:v>Equipment</x:v>
      </x:c>
      <x:c r="D398" s="9" t="str">
        <x:v>Hand forging tool</x:v>
      </x:c>
      <x:c r="E398" s="9" t="str">
        <x:v>Author-directed concept</x:v>
      </x:c>
      <x:c r="F398" s="9" t="str">
        <x:v>Hand hammer for shaping metal during forging.</x:v>
      </x:c>
      <x:c r="G398" s="9" t="str">
        <x:v>None / workshop tool</x:v>
      </x:c>
      <x:c r="H398" s="9" t="str">
        <x:v>Transport, placement and workshop handling unresolved</x:v>
      </x:c>
      <x:c r="I398" s="13"/>
      <x:c r="J398" s="15"/>
      <x:c r="K398" s="9" t="str">
        <x:v>Manufacture or workshop acquisition unresolved</x:v>
      </x:c>
      <x:c r="L398" s="9" t="str">
        <x:v>Tool materials, construction and ingredient tiers unresolved</x:v>
      </x:c>
      <x:c r="M398" s="9" t="str">
        <x:v>Design item concept; not implemented</x:v>
      </x:c>
      <x:c r="N398" s="9" t="str">
        <x:v>Working material, service temperature, wear and suitability remain undefined; no wood handles or cloth accessories assumed.</x:v>
      </x:c>
      <x:c r="O398" s="17"/>
      <x:c r="P398" s="17"/>
      <x:c r="Q398" s="17"/>
      <x:c r="R398" s="17"/>
      <x:c r="S398" s="17"/>
      <x:c r="T398" s="9" t="str">
        <x:v>No stats, recipe, cost, dimensions or station requirement established. Fixed/mobile workshop use remains open.</x:v>
      </x:c>
      <x:c r="U398" s="11" t="str">
        <x:v>smithing hammer; blacksmith hammer; forge hammer</x:v>
      </x:c>
      <x:c r="V398" s="9" t="str">
        <x:v>Direct author direction, October 14, 2026; Docs/WORLD_BASIS.md#forging-and-workshop-tooling</x:v>
      </x:c>
      <x:c r="W398" s="4" t="str">
        <x:v>Tool</x:v>
      </x:c>
      <x:c r="X398" s="4" t="str">
        <x:v>Finished item</x:v>
      </x:c>
      <x:c r="Y398" s="4" t="str">
        <x:v>Manufactured / unresolved</x:v>
      </x:c>
      <x:c r="Z398" s="4" t="str">
        <x:v>Metal forging</x:v>
      </x:c>
      <x:c r="AA398" s="4" t="str">
        <x:v>Mixed / unresolved</x:v>
      </x:c>
      <x:c r="AB398" s="4" t="str">
        <x:v>Assembly</x:v>
      </x:c>
      <x:c r="AC398" s="4" t="str">
        <x:v>Author direction</x:v>
      </x:c>
      <x:c r="AD398" s="4" t="str">
        <x:f>LOWER(A398&amp;"; "&amp;B398&amp;"; "&amp;C398&amp;"; "&amp;D398&amp;"; "&amp;W398&amp;"; "&amp;X398&amp;"; "&amp;Y398&amp;"; "&amp;Z398&amp;"; "&amp;AA398&amp;"; "&amp;AB398&amp;"; "&amp;AC398&amp;"; "&amp;U398)</x:f>
        <x:v>author.forging.hammer; forging hammer; equipment; hand forging tool; tool; finished item; manufactured / unresolved; metal forging; mixed / unresolved; assembly; author direction; smithing hammer; blacksmith hammer; forge hammer</x:v>
      </x:c>
      <x:c r="AE398" s="4" t="str">
        <x:v>Forging hammers and anvils explicitly requested by the author; detailed construction unresolved.</x:v>
      </x:c>
      <x:c r="AF398" s="4" t="str">
        <x:v>Finished item</x:v>
      </x:c>
      <x:c r="AG398" s="4" t="str">
        <x:v>Workshop tool/fixture is an endpoint; crafting input tier is not yet selected.</x:v>
      </x:c>
      <x:c r="AH398" s="4" t="str">
        <x:v>Unassigned</x:v>
      </x:c>
    </x:row>
    <x:row r="399" ht="115" customHeight="1">
      <x:c r="A399" s="9" t="str">
        <x:v>author.forging.anvil</x:v>
      </x:c>
      <x:c r="B399" s="9" t="str">
        <x:v>Anvil</x:v>
      </x:c>
      <x:c r="C399" s="9" t="str">
        <x:v>Equipment</x:v>
      </x:c>
      <x:c r="D399" s="9" t="str">
        <x:v>Workshop forging fixture</x:v>
      </x:c>
      <x:c r="E399" s="9" t="str">
        <x:v>Author-directed concept</x:v>
      </x:c>
      <x:c r="F399" s="9" t="str">
        <x:v>Working support surface for hammer forging.</x:v>
      </x:c>
      <x:c r="G399" s="9" t="str">
        <x:v>None / workshop tool</x:v>
      </x:c>
      <x:c r="H399" s="9" t="str">
        <x:v>Transport, placement and workshop handling unresolved</x:v>
      </x:c>
      <x:c r="I399" s="13"/>
      <x:c r="J399" s="15"/>
      <x:c r="K399" s="9" t="str">
        <x:v>Manufacture or workshop acquisition unresolved</x:v>
      </x:c>
      <x:c r="L399" s="9" t="str">
        <x:v>Tool materials, construction and ingredient tiers unresolved</x:v>
      </x:c>
      <x:c r="M399" s="9" t="str">
        <x:v>Design item concept; not implemented</x:v>
      </x:c>
      <x:c r="N399" s="9" t="str">
        <x:v>Working material, service temperature, wear and suitability remain undefined; no wood handles or cloth accessories assumed.</x:v>
      </x:c>
      <x:c r="O399" s="17"/>
      <x:c r="P399" s="17"/>
      <x:c r="Q399" s="17"/>
      <x:c r="R399" s="17"/>
      <x:c r="S399" s="17"/>
      <x:c r="T399" s="9" t="str">
        <x:v>No stats, recipe, cost, dimensions or station requirement established. Fixed/mobile workshop use remains open.</x:v>
      </x:c>
      <x:c r="U399" s="11" t="str">
        <x:v>smithing anvil; forging anvil</x:v>
      </x:c>
      <x:c r="V399" s="9" t="str">
        <x:v>Direct author direction, October 14, 2026; Docs/WORLD_BASIS.md#forging-and-workshop-tooling</x:v>
      </x:c>
      <x:c r="W399" s="4" t="str">
        <x:v>Tool</x:v>
      </x:c>
      <x:c r="X399" s="4" t="str">
        <x:v>Finished item</x:v>
      </x:c>
      <x:c r="Y399" s="4" t="str">
        <x:v>Manufactured / unresolved</x:v>
      </x:c>
      <x:c r="Z399" s="4" t="str">
        <x:v>Metal forging</x:v>
      </x:c>
      <x:c r="AA399" s="4" t="str">
        <x:v>Mixed / unresolved</x:v>
      </x:c>
      <x:c r="AB399" s="4" t="str">
        <x:v>Assembly</x:v>
      </x:c>
      <x:c r="AC399" s="4" t="str">
        <x:v>Author direction</x:v>
      </x:c>
      <x:c r="AD399" s="4" t="str">
        <x:f>LOWER(A399&amp;"; "&amp;B399&amp;"; "&amp;C399&amp;"; "&amp;D399&amp;"; "&amp;W399&amp;"; "&amp;X399&amp;"; "&amp;Y399&amp;"; "&amp;Z399&amp;"; "&amp;AA399&amp;"; "&amp;AB399&amp;"; "&amp;AC399&amp;"; "&amp;U399)</x:f>
        <x:v>author.forging.anvil; anvil; equipment; workshop forging fixture; tool; finished item; manufactured / unresolved; metal forging; mixed / unresolved; assembly; author direction; smithing anvil; forging anvil</x:v>
      </x:c>
      <x:c r="AE399" s="4" t="str">
        <x:v>Forging hammers and anvils explicitly requested by the author; detailed construction unresolved.</x:v>
      </x:c>
      <x:c r="AF399" s="4" t="str">
        <x:v>Finished item</x:v>
      </x:c>
      <x:c r="AG399" s="4" t="str">
        <x:v>Workshop tool/fixture is an endpoint; crafting input tier is not yet selected.</x:v>
      </x:c>
      <x:c r="AH399" s="4" t="str">
        <x:v>Unassigned</x:v>
      </x:c>
    </x:row>
    <x:row r="400" ht="115" customHeight="1">
      <x:c r="A400" s="9" t="str">
        <x:v>proposal.forging.tongs</x:v>
      </x:c>
      <x:c r="B400" s="9" t="str">
        <x:v>Smithing tongs</x:v>
      </x:c>
      <x:c r="C400" s="9" t="str">
        <x:v>Equipment</x:v>
      </x:c>
      <x:c r="D400" s="9" t="str">
        <x:v>Hot-work holding tool</x:v>
      </x:c>
      <x:c r="E400" s="9" t="str">
        <x:v>New proposal</x:v>
      </x:c>
      <x:c r="F400" s="9" t="str">
        <x:v>Proposed tool for gripping workshop stock during hot metalwork; separate from existing cooking tongs.</x:v>
      </x:c>
      <x:c r="G400" s="9" t="str">
        <x:v>None / workshop tool</x:v>
      </x:c>
      <x:c r="H400" s="9" t="str">
        <x:v>Transport, placement and workshop handling unresolved</x:v>
      </x:c>
      <x:c r="I400" s="13"/>
      <x:c r="J400" s="15"/>
      <x:c r="K400" s="9" t="str">
        <x:v>Manufacture or workshop acquisition unresolved</x:v>
      </x:c>
      <x:c r="L400" s="9" t="str">
        <x:v>Tool materials, construction and ingredient tiers unresolved</x:v>
      </x:c>
      <x:c r="M400" s="9" t="str">
        <x:v>Design item concept; not implemented</x:v>
      </x:c>
      <x:c r="N400" s="9" t="str">
        <x:v>Working material, service temperature, wear and suitability remain undefined; no wood handles or cloth accessories assumed.</x:v>
      </x:c>
      <x:c r="O400" s="17"/>
      <x:c r="P400" s="17"/>
      <x:c r="Q400" s="17"/>
      <x:c r="R400" s="17"/>
      <x:c r="S400" s="17"/>
      <x:c r="T400" s="9" t="str">
        <x:v>No stats, recipe, cost, dimensions or station requirement established. Fixed/mobile workshop use remains open.</x:v>
      </x:c>
      <x:c r="U400" s="11" t="str">
        <x:v>forge tongs; blacksmith tongs; hot-work tongs</x:v>
      </x:c>
      <x:c r="V400" s="9" t="str">
        <x:v>New supporting-tool brainstorming under the author forging-tool direction; Docs/WORLD_BASIS.md#forging-and-workshop-tooling</x:v>
      </x:c>
      <x:c r="W400" s="4" t="str">
        <x:v>Tool</x:v>
      </x:c>
      <x:c r="X400" s="4" t="str">
        <x:v>Finished item</x:v>
      </x:c>
      <x:c r="Y400" s="4" t="str">
        <x:v>Manufactured / unresolved</x:v>
      </x:c>
      <x:c r="Z400" s="4" t="str">
        <x:v>Work holding</x:v>
      </x:c>
      <x:c r="AA400" s="4" t="str">
        <x:v>Mixed / unresolved</x:v>
      </x:c>
      <x:c r="AB400" s="4" t="str">
        <x:v>Assembly</x:v>
      </x:c>
      <x:c r="AC400" s="4" t="str">
        <x:v>Proposal</x:v>
      </x:c>
      <x:c r="AD400" s="4" t="str">
        <x:f>LOWER(A400&amp;"; "&amp;B400&amp;"; "&amp;C400&amp;"; "&amp;D400&amp;"; "&amp;W400&amp;"; "&amp;X400&amp;"; "&amp;Y400&amp;"; "&amp;Z400&amp;"; "&amp;AA400&amp;"; "&amp;AB400&amp;"; "&amp;AC400&amp;"; "&amp;U400)</x:f>
        <x:v>proposal.forging.tongs; smithing tongs; equipment; hot-work holding tool; tool; finished item; manufactured / unresolved; work holding; mixed / unresolved; assembly; proposal; forge tongs; blacksmith tongs; hot-work tongs</x:v>
      </x:c>
      <x:c r="AE400" s="4" t="str">
        <x:v>Supporting smithing tool proposed for review; not separately established game canon.</x:v>
      </x:c>
      <x:c r="AF400" s="4" t="str">
        <x:v>Finished item</x:v>
      </x:c>
      <x:c r="AG400" s="4" t="str">
        <x:v>Workshop tool/fixture is an endpoint; crafting input tier is not yet selected.</x:v>
      </x:c>
      <x:c r="AH400" s="4" t="str">
        <x:v>Unassigned</x:v>
      </x:c>
    </x:row>
    <x:row r="401" ht="115" customHeight="1">
      <x:c r="A401" s="9" t="str">
        <x:v>proposal.forging.sledge</x:v>
      </x:c>
      <x:c r="B401" s="9" t="str">
        <x:v>Forging sledge</x:v>
      </x:c>
      <x:c r="C401" s="9" t="str">
        <x:v>Equipment</x:v>
      </x:c>
      <x:c r="D401" s="9" t="str">
        <x:v>Hand forging tool</x:v>
      </x:c>
      <x:c r="E401" s="9" t="str">
        <x:v>New proposal</x:v>
      </x:c>
      <x:c r="F401" s="9" t="str">
        <x:v>Proposed heavier striking tool for larger stock or assisted hammering.</x:v>
      </x:c>
      <x:c r="G401" s="9" t="str">
        <x:v>None / workshop tool</x:v>
      </x:c>
      <x:c r="H401" s="9" t="str">
        <x:v>Transport, placement and workshop handling unresolved</x:v>
      </x:c>
      <x:c r="I401" s="13"/>
      <x:c r="J401" s="15"/>
      <x:c r="K401" s="9" t="str">
        <x:v>Manufacture or workshop acquisition unresolved</x:v>
      </x:c>
      <x:c r="L401" s="9" t="str">
        <x:v>Tool materials, construction and ingredient tiers unresolved</x:v>
      </x:c>
      <x:c r="M401" s="9" t="str">
        <x:v>Design item concept; not implemented</x:v>
      </x:c>
      <x:c r="N401" s="9" t="str">
        <x:v>Working material, service temperature, wear and suitability remain undefined; no wood handles or cloth accessories assumed.</x:v>
      </x:c>
      <x:c r="O401" s="17"/>
      <x:c r="P401" s="17"/>
      <x:c r="Q401" s="17"/>
      <x:c r="R401" s="17"/>
      <x:c r="S401" s="17"/>
      <x:c r="T401" s="9" t="str">
        <x:v>No stats, recipe, cost, dimensions or station requirement established. Fixed/mobile workshop use remains open.</x:v>
      </x:c>
      <x:c r="U401" s="11" t="str">
        <x:v>sledgehammer; striking hammer; forging sledge</x:v>
      </x:c>
      <x:c r="V401" s="9" t="str">
        <x:v>New supporting-tool brainstorming under the author forging-tool direction; Docs/WORLD_BASIS.md#forging-and-workshop-tooling</x:v>
      </x:c>
      <x:c r="W401" s="4" t="str">
        <x:v>Tool</x:v>
      </x:c>
      <x:c r="X401" s="4" t="str">
        <x:v>Finished item</x:v>
      </x:c>
      <x:c r="Y401" s="4" t="str">
        <x:v>Manufactured / unresolved</x:v>
      </x:c>
      <x:c r="Z401" s="4" t="str">
        <x:v>Metal forging</x:v>
      </x:c>
      <x:c r="AA401" s="4" t="str">
        <x:v>Mixed / unresolved</x:v>
      </x:c>
      <x:c r="AB401" s="4" t="str">
        <x:v>Assembly</x:v>
      </x:c>
      <x:c r="AC401" s="4" t="str">
        <x:v>Proposal</x:v>
      </x:c>
      <x:c r="AD401" s="4" t="str">
        <x:f>LOWER(A401&amp;"; "&amp;B401&amp;"; "&amp;C401&amp;"; "&amp;D401&amp;"; "&amp;W401&amp;"; "&amp;X401&amp;"; "&amp;Y401&amp;"; "&amp;Z401&amp;"; "&amp;AA401&amp;"; "&amp;AB401&amp;"; "&amp;AC401&amp;"; "&amp;U401)</x:f>
        <x:v>proposal.forging.sledge; forging sledge; equipment; hand forging tool; tool; finished item; manufactured / unresolved; metal forging; mixed / unresolved; assembly; proposal; sledgehammer; striking hammer; forging sledge</x:v>
      </x:c>
      <x:c r="AE401" s="4" t="str">
        <x:v>Supporting smithing tool proposed for review; not separately established game canon.</x:v>
      </x:c>
      <x:c r="AF401" s="4" t="str">
        <x:v>Finished item</x:v>
      </x:c>
      <x:c r="AG401" s="4" t="str">
        <x:v>Workshop tool/fixture is an endpoint; crafting input tier is not yet selected.</x:v>
      </x:c>
      <x:c r="AH401" s="4" t="str">
        <x:v>Unassigned</x:v>
      </x:c>
    </x:row>
    <x:row r="402" ht="115" customHeight="1">
      <x:c r="A402" s="9" t="str">
        <x:v>proposal.forging.hot_cut</x:v>
      </x:c>
      <x:c r="B402" s="9" t="str">
        <x:v>Hot-cut chisel</x:v>
      </x:c>
      <x:c r="C402" s="9" t="str">
        <x:v>Equipment</x:v>
      </x:c>
      <x:c r="D402" s="9" t="str">
        <x:v>Metal cutting tool</x:v>
      </x:c>
      <x:c r="E402" s="9" t="str">
        <x:v>New proposal</x:v>
      </x:c>
      <x:c r="F402" s="9" t="str">
        <x:v>Proposed cutting tool for hot metal stock.</x:v>
      </x:c>
      <x:c r="G402" s="9" t="str">
        <x:v>None / workshop tool</x:v>
      </x:c>
      <x:c r="H402" s="9" t="str">
        <x:v>Transport, placement and workshop handling unresolved</x:v>
      </x:c>
      <x:c r="I402" s="13"/>
      <x:c r="J402" s="15"/>
      <x:c r="K402" s="9" t="str">
        <x:v>Manufacture or workshop acquisition unresolved</x:v>
      </x:c>
      <x:c r="L402" s="9" t="str">
        <x:v>Tool materials, construction and ingredient tiers unresolved</x:v>
      </x:c>
      <x:c r="M402" s="9" t="str">
        <x:v>Design item concept; not implemented</x:v>
      </x:c>
      <x:c r="N402" s="9" t="str">
        <x:v>Working material, service temperature, wear and suitability remain undefined; no wood handles or cloth accessories assumed.</x:v>
      </x:c>
      <x:c r="O402" s="17"/>
      <x:c r="P402" s="17"/>
      <x:c r="Q402" s="17"/>
      <x:c r="R402" s="17"/>
      <x:c r="S402" s="17"/>
      <x:c r="T402" s="9" t="str">
        <x:v>No stats, recipe, cost, dimensions or station requirement established. Fixed/mobile workshop use remains open.</x:v>
      </x:c>
      <x:c r="U402" s="11" t="str">
        <x:v>hot chisel; hot cut; forging chisel</x:v>
      </x:c>
      <x:c r="V402" s="9" t="str">
        <x:v>New supporting-tool brainstorming under the author forging-tool direction; Docs/WORLD_BASIS.md#forging-and-workshop-tooling</x:v>
      </x:c>
      <x:c r="W402" s="4" t="str">
        <x:v>Tool</x:v>
      </x:c>
      <x:c r="X402" s="4" t="str">
        <x:v>Finished item</x:v>
      </x:c>
      <x:c r="Y402" s="4" t="str">
        <x:v>Manufactured / unresolved</x:v>
      </x:c>
      <x:c r="Z402" s="4" t="str">
        <x:v>Metal forging</x:v>
      </x:c>
      <x:c r="AA402" s="4" t="str">
        <x:v>Mixed / unresolved</x:v>
      </x:c>
      <x:c r="AB402" s="4" t="str">
        <x:v>Assembly</x:v>
      </x:c>
      <x:c r="AC402" s="4" t="str">
        <x:v>Proposal</x:v>
      </x:c>
      <x:c r="AD402" s="4" t="str">
        <x:f>LOWER(A402&amp;"; "&amp;B402&amp;"; "&amp;C402&amp;"; "&amp;D402&amp;"; "&amp;W402&amp;"; "&amp;X402&amp;"; "&amp;Y402&amp;"; "&amp;Z402&amp;"; "&amp;AA402&amp;"; "&amp;AB402&amp;"; "&amp;AC402&amp;"; "&amp;U402)</x:f>
        <x:v>proposal.forging.hot_cut; hot-cut chisel; equipment; metal cutting tool; tool; finished item; manufactured / unresolved; metal forging; mixed / unresolved; assembly; proposal; hot chisel; hot cut; forging chisel</x:v>
      </x:c>
      <x:c r="AE402" s="4" t="str">
        <x:v>Supporting smithing tool proposed for review; not separately established game canon.</x:v>
      </x:c>
      <x:c r="AF402" s="4" t="str">
        <x:v>Finished item</x:v>
      </x:c>
      <x:c r="AG402" s="4" t="str">
        <x:v>Workshop tool/fixture is an endpoint; crafting input tier is not yet selected.</x:v>
      </x:c>
      <x:c r="AH402" s="4" t="str">
        <x:v>Unassigned</x:v>
      </x:c>
    </x:row>
    <x:row r="403" ht="115" customHeight="1">
      <x:c r="A403" s="9" t="str">
        <x:v>proposal.forging.punch</x:v>
      </x:c>
      <x:c r="B403" s="9" t="str">
        <x:v>Forging punch</x:v>
      </x:c>
      <x:c r="C403" s="9" t="str">
        <x:v>Equipment</x:v>
      </x:c>
      <x:c r="D403" s="9" t="str">
        <x:v>Metal piercing tool</x:v>
      </x:c>
      <x:c r="E403" s="9" t="str">
        <x:v>New proposal</x:v>
      </x:c>
      <x:c r="F403" s="9" t="str">
        <x:v>Proposed piercing tool for holes in workable metal stock.</x:v>
      </x:c>
      <x:c r="G403" s="9" t="str">
        <x:v>None / workshop tool</x:v>
      </x:c>
      <x:c r="H403" s="9" t="str">
        <x:v>Transport, placement and workshop handling unresolved</x:v>
      </x:c>
      <x:c r="I403" s="13"/>
      <x:c r="J403" s="15"/>
      <x:c r="K403" s="9" t="str">
        <x:v>Manufacture or workshop acquisition unresolved</x:v>
      </x:c>
      <x:c r="L403" s="9" t="str">
        <x:v>Tool materials, construction and ingredient tiers unresolved</x:v>
      </x:c>
      <x:c r="M403" s="9" t="str">
        <x:v>Design item concept; not implemented</x:v>
      </x:c>
      <x:c r="N403" s="9" t="str">
        <x:v>Working material, service temperature, wear and suitability remain undefined; no wood handles or cloth accessories assumed.</x:v>
      </x:c>
      <x:c r="O403" s="17"/>
      <x:c r="P403" s="17"/>
      <x:c r="Q403" s="17"/>
      <x:c r="R403" s="17"/>
      <x:c r="S403" s="17"/>
      <x:c r="T403" s="9" t="str">
        <x:v>No stats, recipe, cost, dimensions or station requirement established. Fixed/mobile workshop use remains open.</x:v>
      </x:c>
      <x:c r="U403" s="11" t="str">
        <x:v>smithing punch; hot punch; metal punch</x:v>
      </x:c>
      <x:c r="V403" s="9" t="str">
        <x:v>New supporting-tool brainstorming under the author forging-tool direction; Docs/WORLD_BASIS.md#forging-and-workshop-tooling</x:v>
      </x:c>
      <x:c r="W403" s="4" t="str">
        <x:v>Tool</x:v>
      </x:c>
      <x:c r="X403" s="4" t="str">
        <x:v>Finished item</x:v>
      </x:c>
      <x:c r="Y403" s="4" t="str">
        <x:v>Manufactured / unresolved</x:v>
      </x:c>
      <x:c r="Z403" s="4" t="str">
        <x:v>Metal forging</x:v>
      </x:c>
      <x:c r="AA403" s="4" t="str">
        <x:v>Mixed / unresolved</x:v>
      </x:c>
      <x:c r="AB403" s="4" t="str">
        <x:v>Assembly</x:v>
      </x:c>
      <x:c r="AC403" s="4" t="str">
        <x:v>Proposal</x:v>
      </x:c>
      <x:c r="AD403" s="4" t="str">
        <x:f>LOWER(A403&amp;"; "&amp;B403&amp;"; "&amp;C403&amp;"; "&amp;D403&amp;"; "&amp;W403&amp;"; "&amp;X403&amp;"; "&amp;Y403&amp;"; "&amp;Z403&amp;"; "&amp;AA403&amp;"; "&amp;AB403&amp;"; "&amp;AC403&amp;"; "&amp;U403)</x:f>
        <x:v>proposal.forging.punch; forging punch; equipment; metal piercing tool; tool; finished item; manufactured / unresolved; metal forging; mixed / unresolved; assembly; proposal; smithing punch; hot punch; metal punch</x:v>
      </x:c>
      <x:c r="AE403" s="4" t="str">
        <x:v>Supporting smithing tool proposed for review; not separately established game canon.</x:v>
      </x:c>
      <x:c r="AF403" s="4" t="str">
        <x:v>Finished item</x:v>
      </x:c>
      <x:c r="AG403" s="4" t="str">
        <x:v>Workshop tool/fixture is an endpoint; crafting input tier is not yet selected.</x:v>
      </x:c>
      <x:c r="AH403" s="4" t="str">
        <x:v>Unassigned</x:v>
      </x:c>
    </x:row>
    <x:row r="404" ht="115" customHeight="1">
      <x:c r="A404" s="9" t="str">
        <x:v>proposal.forging.drift</x:v>
      </x:c>
      <x:c r="B404" s="9" t="str">
        <x:v>Forming drift</x:v>
      </x:c>
      <x:c r="C404" s="9" t="str">
        <x:v>Equipment</x:v>
      </x:c>
      <x:c r="D404" s="9" t="str">
        <x:v>Metal shaping tool</x:v>
      </x:c>
      <x:c r="E404" s="9" t="str">
        <x:v>New proposal</x:v>
      </x:c>
      <x:c r="F404" s="9" t="str">
        <x:v>Proposed tool for shaping or sizing a previously opened hole.</x:v>
      </x:c>
      <x:c r="G404" s="9" t="str">
        <x:v>None / workshop tool</x:v>
      </x:c>
      <x:c r="H404" s="9" t="str">
        <x:v>Transport, placement and workshop handling unresolved</x:v>
      </x:c>
      <x:c r="I404" s="13"/>
      <x:c r="J404" s="15"/>
      <x:c r="K404" s="9" t="str">
        <x:v>Manufacture or workshop acquisition unresolved</x:v>
      </x:c>
      <x:c r="L404" s="9" t="str">
        <x:v>Tool materials, construction and ingredient tiers unresolved</x:v>
      </x:c>
      <x:c r="M404" s="9" t="str">
        <x:v>Design item concept; not implemented</x:v>
      </x:c>
      <x:c r="N404" s="9" t="str">
        <x:v>Working material, service temperature, wear and suitability remain undefined; no wood handles or cloth accessories assumed.</x:v>
      </x:c>
      <x:c r="O404" s="17"/>
      <x:c r="P404" s="17"/>
      <x:c r="Q404" s="17"/>
      <x:c r="R404" s="17"/>
      <x:c r="S404" s="17"/>
      <x:c r="T404" s="9" t="str">
        <x:v>No stats, recipe, cost, dimensions or station requirement established. Fixed/mobile workshop use remains open.</x:v>
      </x:c>
      <x:c r="U404" s="11" t="str">
        <x:v>smithing drift; forging drift; hole forming tool</x:v>
      </x:c>
      <x:c r="V404" s="9" t="str">
        <x:v>New supporting-tool brainstorming under the author forging-tool direction; Docs/WORLD_BASIS.md#forging-and-workshop-tooling</x:v>
      </x:c>
      <x:c r="W404" s="4" t="str">
        <x:v>Tool</x:v>
      </x:c>
      <x:c r="X404" s="4" t="str">
        <x:v>Finished item</x:v>
      </x:c>
      <x:c r="Y404" s="4" t="str">
        <x:v>Manufactured / unresolved</x:v>
      </x:c>
      <x:c r="Z404" s="4" t="str">
        <x:v>Metal forging</x:v>
      </x:c>
      <x:c r="AA404" s="4" t="str">
        <x:v>Mixed / unresolved</x:v>
      </x:c>
      <x:c r="AB404" s="4" t="str">
        <x:v>Assembly</x:v>
      </x:c>
      <x:c r="AC404" s="4" t="str">
        <x:v>Proposal</x:v>
      </x:c>
      <x:c r="AD404" s="4" t="str">
        <x:f>LOWER(A404&amp;"; "&amp;B404&amp;"; "&amp;C404&amp;"; "&amp;D404&amp;"; "&amp;W404&amp;"; "&amp;X404&amp;"; "&amp;Y404&amp;"; "&amp;Z404&amp;"; "&amp;AA404&amp;"; "&amp;AB404&amp;"; "&amp;AC404&amp;"; "&amp;U404)</x:f>
        <x:v>proposal.forging.drift; forming drift; equipment; metal shaping tool; tool; finished item; manufactured / unresolved; metal forging; mixed / unresolved; assembly; proposal; smithing drift; forging drift; hole forming tool</x:v>
      </x:c>
      <x:c r="AE404" s="4" t="str">
        <x:v>Supporting smithing tool proposed for review; not separately established game canon.</x:v>
      </x:c>
      <x:c r="AF404" s="4" t="str">
        <x:v>Finished item</x:v>
      </x:c>
      <x:c r="AG404" s="4" t="str">
        <x:v>Workshop tool/fixture is an endpoint; crafting input tier is not yet selected.</x:v>
      </x:c>
      <x:c r="AH404" s="4" t="str">
        <x:v>Unassigned</x:v>
      </x:c>
    </x:row>
    <x:row r="405" ht="115" customHeight="1">
      <x:c r="A405" s="9" t="str">
        <x:v>proposal.forging.swage_block</x:v>
      </x:c>
      <x:c r="B405" s="9" t="str">
        <x:v>Swage block</x:v>
      </x:c>
      <x:c r="C405" s="9" t="str">
        <x:v>Equipment</x:v>
      </x:c>
      <x:c r="D405" s="9" t="str">
        <x:v>Workshop forming fixture</x:v>
      </x:c>
      <x:c r="E405" s="9" t="str">
        <x:v>New proposal</x:v>
      </x:c>
      <x:c r="F405" s="9" t="str">
        <x:v>Proposed shaped support block for working repeated sections or contours.</x:v>
      </x:c>
      <x:c r="G405" s="9" t="str">
        <x:v>None / workshop tool</x:v>
      </x:c>
      <x:c r="H405" s="9" t="str">
        <x:v>Transport, placement and workshop handling unresolved</x:v>
      </x:c>
      <x:c r="I405" s="13"/>
      <x:c r="J405" s="15"/>
      <x:c r="K405" s="9" t="str">
        <x:v>Manufacture or workshop acquisition unresolved</x:v>
      </x:c>
      <x:c r="L405" s="9" t="str">
        <x:v>Tool materials, construction and ingredient tiers unresolved</x:v>
      </x:c>
      <x:c r="M405" s="9" t="str">
        <x:v>Design item concept; not implemented</x:v>
      </x:c>
      <x:c r="N405" s="9" t="str">
        <x:v>Working material, service temperature, wear and suitability remain undefined; no wood handles or cloth accessories assumed.</x:v>
      </x:c>
      <x:c r="O405" s="17"/>
      <x:c r="P405" s="17"/>
      <x:c r="Q405" s="17"/>
      <x:c r="R405" s="17"/>
      <x:c r="S405" s="17"/>
      <x:c r="T405" s="9" t="str">
        <x:v>No stats, recipe, cost, dimensions or station requirement established. Fixed/mobile workshop use remains open.</x:v>
      </x:c>
      <x:c r="U405" s="11" t="str">
        <x:v>forming block; smithing swage; swage block</x:v>
      </x:c>
      <x:c r="V405" s="9" t="str">
        <x:v>New supporting-tool brainstorming under the author forging-tool direction; Docs/WORLD_BASIS.md#forging-and-workshop-tooling</x:v>
      </x:c>
      <x:c r="W405" s="4" t="str">
        <x:v>Tool</x:v>
      </x:c>
      <x:c r="X405" s="4" t="str">
        <x:v>Finished item</x:v>
      </x:c>
      <x:c r="Y405" s="4" t="str">
        <x:v>Manufactured / unresolved</x:v>
      </x:c>
      <x:c r="Z405" s="4" t="str">
        <x:v>Metal forging</x:v>
      </x:c>
      <x:c r="AA405" s="4" t="str">
        <x:v>Mixed / unresolved</x:v>
      </x:c>
      <x:c r="AB405" s="4" t="str">
        <x:v>Assembly</x:v>
      </x:c>
      <x:c r="AC405" s="4" t="str">
        <x:v>Proposal</x:v>
      </x:c>
      <x:c r="AD405" s="4" t="str">
        <x:f>LOWER(A405&amp;"; "&amp;B405&amp;"; "&amp;C405&amp;"; "&amp;D405&amp;"; "&amp;W405&amp;"; "&amp;X405&amp;"; "&amp;Y405&amp;"; "&amp;Z405&amp;"; "&amp;AA405&amp;"; "&amp;AB405&amp;"; "&amp;AC405&amp;"; "&amp;U405)</x:f>
        <x:v>proposal.forging.swage_block; swage block; equipment; workshop forming fixture; tool; finished item; manufactured / unresolved; metal forging; mixed / unresolved; assembly; proposal; forming block; smithing swage; swage block</x:v>
      </x:c>
      <x:c r="AE405" s="4" t="str">
        <x:v>Supporting smithing tool proposed for review; not separately established game canon.</x:v>
      </x:c>
      <x:c r="AF405" s="4" t="str">
        <x:v>Finished item</x:v>
      </x:c>
      <x:c r="AG405" s="4" t="str">
        <x:v>Workshop tool/fixture is an endpoint; crafting input tier is not yet selected.</x:v>
      </x:c>
      <x:c r="AH405" s="4" t="str">
        <x:v>Unassigned</x:v>
      </x:c>
    </x:row>
    <x:row r="406" ht="115" customHeight="1">
      <x:c r="A406" s="9" t="str">
        <x:v>proposal.forging.file</x:v>
      </x:c>
      <x:c r="B406" s="9" t="str">
        <x:v>Metalworking file</x:v>
      </x:c>
      <x:c r="C406" s="9" t="str">
        <x:v>Equipment</x:v>
      </x:c>
      <x:c r="D406" s="9" t="str">
        <x:v>Metal finishing tool</x:v>
      </x:c>
      <x:c r="E406" s="9" t="str">
        <x:v>New proposal</x:v>
      </x:c>
      <x:c r="F406" s="9" t="str">
        <x:v>Proposed hand tool for controlled fitting and surface finishing of metal parts.</x:v>
      </x:c>
      <x:c r="G406" s="9" t="str">
        <x:v>None / workshop tool</x:v>
      </x:c>
      <x:c r="H406" s="9" t="str">
        <x:v>Transport, placement and workshop handling unresolved</x:v>
      </x:c>
      <x:c r="I406" s="13"/>
      <x:c r="J406" s="15"/>
      <x:c r="K406" s="9" t="str">
        <x:v>Manufacture or workshop acquisition unresolved</x:v>
      </x:c>
      <x:c r="L406" s="9" t="str">
        <x:v>Tool materials, construction and ingredient tiers unresolved</x:v>
      </x:c>
      <x:c r="M406" s="9" t="str">
        <x:v>Design item concept; not implemented</x:v>
      </x:c>
      <x:c r="N406" s="9" t="str">
        <x:v>Working material, service temperature, wear and suitability remain undefined; no wood handles or cloth accessories assumed.</x:v>
      </x:c>
      <x:c r="O406" s="17"/>
      <x:c r="P406" s="17"/>
      <x:c r="Q406" s="17"/>
      <x:c r="R406" s="17"/>
      <x:c r="S406" s="17"/>
      <x:c r="T406" s="9" t="str">
        <x:v>No stats, recipe, cost, dimensions or station requirement established. Fixed/mobile workshop use remains open.</x:v>
      </x:c>
      <x:c r="U406" s="11" t="str">
        <x:v>metal file; smithing file; finishing file</x:v>
      </x:c>
      <x:c r="V406" s="9" t="str">
        <x:v>New supporting-tool brainstorming under the author forging-tool direction; Docs/WORLD_BASIS.md#forging-and-workshop-tooling</x:v>
      </x:c>
      <x:c r="W406" s="4" t="str">
        <x:v>Tool</x:v>
      </x:c>
      <x:c r="X406" s="4" t="str">
        <x:v>Finished item</x:v>
      </x:c>
      <x:c r="Y406" s="4" t="str">
        <x:v>Manufactured / unresolved</x:v>
      </x:c>
      <x:c r="Z406" s="4" t="str">
        <x:v>Surface finishing</x:v>
      </x:c>
      <x:c r="AA406" s="4" t="str">
        <x:v>Mixed / unresolved</x:v>
      </x:c>
      <x:c r="AB406" s="4" t="str">
        <x:v>Assembly</x:v>
      </x:c>
      <x:c r="AC406" s="4" t="str">
        <x:v>Proposal</x:v>
      </x:c>
      <x:c r="AD406" s="4" t="str">
        <x:f>LOWER(A406&amp;"; "&amp;B406&amp;"; "&amp;C406&amp;"; "&amp;D406&amp;"; "&amp;W406&amp;"; "&amp;X406&amp;"; "&amp;Y406&amp;"; "&amp;Z406&amp;"; "&amp;AA406&amp;"; "&amp;AB406&amp;"; "&amp;AC406&amp;"; "&amp;U406)</x:f>
        <x:v>proposal.forging.file; metalworking file; equipment; metal finishing tool; tool; finished item; manufactured / unresolved; surface finishing; mixed / unresolved; assembly; proposal; metal file; smithing file; finishing file</x:v>
      </x:c>
      <x:c r="AE406" s="4" t="str">
        <x:v>Supporting smithing tool proposed for review; not separately established game canon.</x:v>
      </x:c>
      <x:c r="AF406" s="4" t="str">
        <x:v>Finished item</x:v>
      </x:c>
      <x:c r="AG406" s="4" t="str">
        <x:v>Workshop tool/fixture is an endpoint; crafting input tier is not yet selected.</x:v>
      </x:c>
      <x:c r="AH406" s="4" t="str">
        <x:v>Unassigned</x:v>
      </x:c>
    </x:row>
    <x:row r="407" ht="115" customHeight="1">
      <x:c r="A407" s="9" t="str">
        <x:v>proposal.forging.hearth</x:v>
      </x:c>
      <x:c r="B407" s="9" t="str">
        <x:v>Forge hearth</x:v>
      </x:c>
      <x:c r="C407" s="9" t="str">
        <x:v>Equipment</x:v>
      </x:c>
      <x:c r="D407" s="9" t="str">
        <x:v>Workshop heating equipment</x:v>
      </x:c>
      <x:c r="E407" s="9" t="str">
        <x:v>New proposal</x:v>
      </x:c>
      <x:c r="F407" s="9" t="str">
        <x:v>Proposed bounded workshop heat source for bringing metal to a workable state.</x:v>
      </x:c>
      <x:c r="G407" s="9" t="str">
        <x:v>None / workshop tool</x:v>
      </x:c>
      <x:c r="H407" s="9" t="str">
        <x:v>Transport, placement and workshop handling unresolved</x:v>
      </x:c>
      <x:c r="I407" s="13"/>
      <x:c r="J407" s="15"/>
      <x:c r="K407" s="9" t="str">
        <x:v>Manufacture or workshop acquisition unresolved</x:v>
      </x:c>
      <x:c r="L407" s="9" t="str">
        <x:v>Tool materials, construction and ingredient tiers unresolved</x:v>
      </x:c>
      <x:c r="M407" s="9" t="str">
        <x:v>Design item concept; not implemented</x:v>
      </x:c>
      <x:c r="N407" s="9" t="str">
        <x:v>Heat source, fuel/energy, atmosphere and draft requirements must follow world fire rules; no ordinary open-air furnace assumed.</x:v>
      </x:c>
      <x:c r="O407" s="17"/>
      <x:c r="P407" s="17"/>
      <x:c r="Q407" s="17"/>
      <x:c r="R407" s="17"/>
      <x:c r="S407" s="17"/>
      <x:c r="T407" s="9" t="str">
        <x:v>No stats, recipe, cost, dimensions or station requirement established. Fixed/mobile workshop use remains open.</x:v>
      </x:c>
      <x:c r="U407" s="11" t="str">
        <x:v>smithing forge; forge hearth; forging furnace</x:v>
      </x:c>
      <x:c r="V407" s="9" t="str">
        <x:v>New supporting-tool brainstorming under the author forging-tool direction; Docs/WORLD_BASIS.md#forging-and-workshop-tooling</x:v>
      </x:c>
      <x:c r="W407" s="4" t="str">
        <x:v>Machine</x:v>
      </x:c>
      <x:c r="X407" s="4" t="str">
        <x:v>Finished item</x:v>
      </x:c>
      <x:c r="Y407" s="4" t="str">
        <x:v>Manufactured / unresolved</x:v>
      </x:c>
      <x:c r="Z407" s="4" t="str">
        <x:v>Metal forging</x:v>
      </x:c>
      <x:c r="AA407" s="4" t="str">
        <x:v>Mixed / unresolved</x:v>
      </x:c>
      <x:c r="AB407" s="4" t="str">
        <x:v>Assembly</x:v>
      </x:c>
      <x:c r="AC407" s="4" t="str">
        <x:v>Proposal</x:v>
      </x:c>
      <x:c r="AD407" s="4" t="str">
        <x:f>LOWER(A407&amp;"; "&amp;B407&amp;"; "&amp;C407&amp;"; "&amp;D407&amp;"; "&amp;W407&amp;"; "&amp;X407&amp;"; "&amp;Y407&amp;"; "&amp;Z407&amp;"; "&amp;AA407&amp;"; "&amp;AB407&amp;"; "&amp;AC407&amp;"; "&amp;U407)</x:f>
        <x:v>proposal.forging.hearth; forge hearth; equipment; workshop heating equipment; machine; finished item; manufactured / unresolved; metal forging; mixed / unresolved; assembly; proposal; smithing forge; forge hearth; forging furnace</x:v>
      </x:c>
      <x:c r="AE407" s="4" t="str">
        <x:v>Supporting smithing tool proposed for review; not separately established game canon.</x:v>
      </x:c>
      <x:c r="AF407" s="4" t="str">
        <x:v>Finished item</x:v>
      </x:c>
      <x:c r="AG407" s="4" t="str">
        <x:v>Workshop tool/fixture is an endpoint; crafting input tier is not yet selected.</x:v>
      </x:c>
      <x:c r="AH407" s="4" t="str">
        <x:v>Unassigned</x:v>
      </x:c>
    </x:row>
    <x:row r="408" ht="115" customHeight="1">
      <x:c r="A408" s="9" t="str">
        <x:v>author.metallurgy.steel_stock</x:v>
      </x:c>
      <x:c r="B408" s="9" t="str">
        <x:v>Steel stock</x:v>
      </x:c>
      <x:c r="C408" s="9" t="str">
        <x:v>Resources</x:v>
      </x:c>
      <x:c r="D408" s="9" t="str">
        <x:v>Steel material</x:v>
      </x:c>
      <x:c r="E408" s="9" t="str">
        <x:v>Author-directed concept</x:v>
      </x:c>
      <x:c r="F408" s="9" t="str">
        <x:v>Manufactured steel stock for later fabrication.</x:v>
      </x:c>
      <x:c r="G408" s="9" t="str">
        <x:v>None</x:v>
      </x:c>
      <x:c r="H408" s="9" t="str">
        <x:v>Workshop or cargo stock; forms unresolved</x:v>
      </x:c>
      <x:c r="I408" s="13"/>
      <x:c r="J408" s="15"/>
      <x:c r="K408" s="9" t="str">
        <x:v>Contemporary steelmaking capability; production and access details unresolved</x:v>
      </x:c>
      <x:c r="L408" s="9" t="str">
        <x:v>Fairly advanced steelmaking is author direction. Specific feedstocks, refining routes, alloying and heat treatment remain open.</x:v>
      </x:c>
      <x:c r="M408" s="9" t="str">
        <x:v>Material family; not implemented</x:v>
      </x:c>
      <x:c r="N408" s="9" t="str">
        <x:v>No particular steel grade, composition, performance, abundance or manufacturing recipe established</x:v>
      </x:c>
      <x:c r="O408" s="17"/>
      <x:c r="P408" s="17"/>
      <x:c r="Q408" s="17"/>
      <x:c r="R408" s="17"/>
      <x:c r="S408" s="17"/>
      <x:c r="T408" s="9" t="str">
        <x:v>Select material grades and production routes before assigning tiers, costs, yield or properties.</x:v>
      </x:c>
      <x:c r="U408" s="11" t="str">
        <x:v>steel; steelmaking; advanced metallurgy; refined steel</x:v>
      </x:c>
      <x:c r="V408" s="9" t="str">
        <x:v>Direct author direction, October 14, 2026; Docs/WORLD_BASIS.md#forging-and-workshop-tooling</x:v>
      </x:c>
      <x:c r="W408" s="4" t="str">
        <x:v>Processed material</x:v>
      </x:c>
      <x:c r="X408" s="4" t="str">
        <x:v>Processed intermediate</x:v>
      </x:c>
      <x:c r="Y408" s="4" t="str">
        <x:v>Manufactured / unresolved</x:v>
      </x:c>
      <x:c r="Z408" s="4" t="str">
        <x:v>Fabrication</x:v>
      </x:c>
      <x:c r="AA408" s="4" t="str">
        <x:v>Metal</x:v>
      </x:c>
      <x:c r="AB408" s="4" t="str">
        <x:v>Unresolved</x:v>
      </x:c>
      <x:c r="AC408" s="4" t="str">
        <x:v>Author direction</x:v>
      </x:c>
      <x:c r="AD408" s="4" t="str">
        <x:f>LOWER(A408&amp;"; "&amp;B408&amp;"; "&amp;C408&amp;"; "&amp;D408&amp;"; "&amp;W408&amp;"; "&amp;X408&amp;"; "&amp;Y408&amp;"; "&amp;Z408&amp;"; "&amp;AA408&amp;"; "&amp;AB408&amp;"; "&amp;AC408&amp;"; "&amp;U408)</x:f>
        <x:v>author.metallurgy.steel_stock; steel stock; resources; steel material; processed material; processed intermediate; manufactured / unresolved; fabrication; metal; unresolved; author direction; steel; steelmaking; advanced metallurgy; refined steel</x:v>
      </x:c>
      <x:c r="AE408" s="4" t="str">
        <x:v>Fairly advanced contemporary steelmaking is established; this does not establish specific modern alloy grades or ancient-material reproduction.</x:v>
      </x:c>
      <x:c r="AF408" s="4" t="str">
        <x:v>Unassigned</x:v>
      </x:c>
      <x:c r="AG408" s="4" t="str">
        <x:v>A chosen production route is required. Advanced processing capability alone does not determine refinement depth.</x:v>
      </x:c>
      <x:c r="AH408" s="4" t="str">
        <x:v>Not applicable</x:v>
      </x:c>
    </x:row>
    <x:row r="409" ht="115" customHeight="1">
      <x:c r="A409" s="9" t="str">
        <x:v>author.city_transport.carriage</x:v>
      </x:c>
      <x:c r="B409" s="9" t="str">
        <x:v>Inner-city carriage</x:v>
      </x:c>
      <x:c r="C409" s="9" t="str">
        <x:v>Equipment</x:v>
      </x:c>
      <x:c r="D409" s="9" t="str">
        <x:v>Inner-city transport machine</x:v>
      </x:c>
      <x:c r="E409" s="9" t="str">
        <x:v>Author-directed concept</x:v>
      </x:c>
      <x:c r="F409" s="9" t="str">
        <x:v>Transport in the inner cities.</x:v>
      </x:c>
      <x:c r="G409" s="9" t="str">
        <x:v>None / vehicle</x:v>
      </x:c>
      <x:c r="H409" s="9" t="str">
        <x:v>Vehicle placement, storage and handling unresolved</x:v>
      </x:c>
      <x:c r="I409" s="13"/>
      <x:c r="J409" s="15"/>
      <x:c r="K409" s="9" t="str">
        <x:v>Inner-city transport; acquisition and ownership unresolved</x:v>
      </x:c>
      <x:c r="L409" s="9" t="str">
        <x:v>Construction, power source, materials and input tiers unresolved</x:v>
      </x:c>
      <x:c r="M409" s="9" t="str">
        <x:v>Lore item family; not implemented</x:v>
      </x:c>
      <x:c r="N409" s="9" t="str">
        <x:v>Most inner-city transport machinery is bipedal. Exact locomotion of this family remains open; wheels, draft animals and combustion engines are not established.</x:v>
      </x:c>
      <x:c r="O409" s="17"/>
      <x:c r="P409" s="17"/>
      <x:c r="Q409" s="17"/>
      <x:c r="R409" s="17"/>
      <x:c r="S409" s="17"/>
      <x:c r="T409" s="9" t="str">
        <x:v>Capacity, operation, ownership, availability outside cities and exact relation of cars/carriages to bipedal designs remain open.</x:v>
      </x:c>
      <x:c r="U409" s="11" t="str">
        <x:v>carriage; urban transport; inner city carriage</x:v>
      </x:c>
      <x:c r="V409" s="9" t="str">
        <x:v>Direct author direction, October 14, 2026; Docs/WORLD_BASIS.md#inner-city-transport</x:v>
      </x:c>
      <x:c r="W409" s="4" t="str">
        <x:v>Machine</x:v>
      </x:c>
      <x:c r="X409" s="4" t="str">
        <x:v>Finished item</x:v>
      </x:c>
      <x:c r="Y409" s="4" t="str">
        <x:v>Manufactured / unresolved</x:v>
      </x:c>
      <x:c r="Z409" s="4" t="str">
        <x:v>Traversal</x:v>
      </x:c>
      <x:c r="AA409" s="4" t="str">
        <x:v>Mixed / unresolved</x:v>
      </x:c>
      <x:c r="AB409" s="4" t="str">
        <x:v>Assembly</x:v>
      </x:c>
      <x:c r="AC409" s="4" t="str">
        <x:v>Author direction</x:v>
      </x:c>
      <x:c r="AD409" s="4" t="str">
        <x:f>LOWER(A409&amp;"; "&amp;B409&amp;"; "&amp;C409&amp;"; "&amp;D409&amp;"; "&amp;W409&amp;"; "&amp;X409&amp;"; "&amp;Y409&amp;"; "&amp;Z409&amp;"; "&amp;AA409&amp;"; "&amp;AB409&amp;"; "&amp;AC409&amp;"; "&amp;U409)</x:f>
        <x:v>author.city_transport.carriage; inner-city carriage; equipment; inner-city transport machine; machine; finished item; manufactured / unresolved; traversal; mixed / unresolved; assembly; author direction; carriage; urban transport; inner city carriage</x:v>
      </x:c>
      <x:c r="AE409" s="4" t="str">
        <x:v>Inner-city carriage/car families and a dominant bipedal machinery context are author direction; their individual construction remains undefined.</x:v>
      </x:c>
      <x:c r="AF409" s="4" t="str">
        <x:v>Finished item</x:v>
      </x:c>
      <x:c r="AG409" s="4" t="str">
        <x:v>Vehicle is a finished machine; no manufacturing chain establishes its material input tier.</x:v>
      </x:c>
      <x:c r="AH409" s="4" t="str">
        <x:v>Unassigned</x:v>
      </x:c>
    </x:row>
    <x:row r="410" ht="115" customHeight="1">
      <x:c r="A410" s="9" t="str">
        <x:v>author.city_transport.car</x:v>
      </x:c>
      <x:c r="B410" s="9" t="str">
        <x:v>Inner-city car</x:v>
      </x:c>
      <x:c r="C410" s="9" t="str">
        <x:v>Equipment</x:v>
      </x:c>
      <x:c r="D410" s="9" t="str">
        <x:v>Inner-city transport machine</x:v>
      </x:c>
      <x:c r="E410" s="9" t="str">
        <x:v>Author-directed concept</x:v>
      </x:c>
      <x:c r="F410" s="9" t="str">
        <x:v>Transport in the inner cities.</x:v>
      </x:c>
      <x:c r="G410" s="9" t="str">
        <x:v>None / vehicle</x:v>
      </x:c>
      <x:c r="H410" s="9" t="str">
        <x:v>Vehicle placement, storage and handling unresolved</x:v>
      </x:c>
      <x:c r="I410" s="13"/>
      <x:c r="J410" s="15"/>
      <x:c r="K410" s="9" t="str">
        <x:v>Inner-city transport; acquisition and ownership unresolved</x:v>
      </x:c>
      <x:c r="L410" s="9" t="str">
        <x:v>Construction, power source, materials and input tiers unresolved</x:v>
      </x:c>
      <x:c r="M410" s="9" t="str">
        <x:v>Lore item family; not implemented</x:v>
      </x:c>
      <x:c r="N410" s="9" t="str">
        <x:v>Most inner-city transport machinery is bipedal. Exact locomotion of this family remains open; wheels, draft animals and combustion engines are not established.</x:v>
      </x:c>
      <x:c r="O410" s="17"/>
      <x:c r="P410" s="17"/>
      <x:c r="Q410" s="17"/>
      <x:c r="R410" s="17"/>
      <x:c r="S410" s="17"/>
      <x:c r="T410" s="9" t="str">
        <x:v>Capacity, operation, ownership, availability outside cities and exact relation of cars/carriages to bipedal designs remain open.</x:v>
      </x:c>
      <x:c r="U410" s="11" t="str">
        <x:v>car; urban transport; inner city car</x:v>
      </x:c>
      <x:c r="V410" s="9" t="str">
        <x:v>Direct author direction, October 14, 2026; Docs/WORLD_BASIS.md#inner-city-transport</x:v>
      </x:c>
      <x:c r="W410" s="4" t="str">
        <x:v>Machine</x:v>
      </x:c>
      <x:c r="X410" s="4" t="str">
        <x:v>Finished item</x:v>
      </x:c>
      <x:c r="Y410" s="4" t="str">
        <x:v>Manufactured / unresolved</x:v>
      </x:c>
      <x:c r="Z410" s="4" t="str">
        <x:v>Traversal</x:v>
      </x:c>
      <x:c r="AA410" s="4" t="str">
        <x:v>Mixed / unresolved</x:v>
      </x:c>
      <x:c r="AB410" s="4" t="str">
        <x:v>Assembly</x:v>
      </x:c>
      <x:c r="AC410" s="4" t="str">
        <x:v>Author direction</x:v>
      </x:c>
      <x:c r="AD410" s="4" t="str">
        <x:f>LOWER(A410&amp;"; "&amp;B410&amp;"; "&amp;C410&amp;"; "&amp;D410&amp;"; "&amp;W410&amp;"; "&amp;X410&amp;"; "&amp;Y410&amp;"; "&amp;Z410&amp;"; "&amp;AA410&amp;"; "&amp;AB410&amp;"; "&amp;AC410&amp;"; "&amp;U410)</x:f>
        <x:v>author.city_transport.car; inner-city car; equipment; inner-city transport machine; machine; finished item; manufactured / unresolved; traversal; mixed / unresolved; assembly; author direction; car; urban transport; inner city car</x:v>
      </x:c>
      <x:c r="AE410" s="4" t="str">
        <x:v>Inner-city carriage/car families and a dominant bipedal machinery context are author direction; their individual construction remains undefined.</x:v>
      </x:c>
      <x:c r="AF410" s="4" t="str">
        <x:v>Finished item</x:v>
      </x:c>
      <x:c r="AG410" s="4" t="str">
        <x:v>Vehicle is a finished machine; no manufacturing chain establishes its material input tier.</x:v>
      </x:c>
      <x:c r="AH410" s="4" t="str">
        <x:v>Unassigned</x:v>
      </x:c>
    </x:row>
    <x:row r="411" ht="115" customHeight="1">
      <x:c r="A411" s="9" t="str">
        <x:v>author.corrosion.advanced_remover</x:v>
      </x:c>
      <x:c r="B411" s="9" t="str">
        <x:v>Advanced rust-removal compound</x:v>
      </x:c>
      <x:c r="C411" s="9" t="str">
        <x:v>Resources</x:v>
      </x:c>
      <x:c r="D411" s="9" t="str">
        <x:v>Metal surface-treatment material</x:v>
      </x:c>
      <x:c r="E411" s="9" t="str">
        <x:v>Author-directed concept</x:v>
      </x:c>
      <x:c r="F411" s="9" t="str">
        <x:v>Advanced de-rusting material intended to remove corrosion products from iron/steel.</x:v>
      </x:c>
      <x:c r="G411" s="9" t="str">
        <x:v>None</x:v>
      </x:c>
      <x:c r="H411" s="9" t="str">
        <x:v>Contained workshop material; physical form and carrier unresolved</x:v>
      </x:c>
      <x:c r="I411" s="13"/>
      <x:c r="J411" s="15"/>
      <x:c r="K411" s="9" t="str">
        <x:v>Workshop manufacture or trade; inputs unresolved</x:v>
      </x:c>
      <x:c r="L411" s="9" t="str">
        <x:v>Mineral/faunal chemistry is a possible game direction, not an accepted formulation. Composition, carrier and material tier remain open.</x:v>
      </x:c>
      <x:c r="M411" s="9" t="str">
        <x:v>Material concept; not implemented</x:v>
      </x:c>
      <x:c r="N411" s="9" t="str">
        <x:v>Removal, conversion and prevention are distinct functions. Substrate compatibility, residues and effects on existing finishes remain undefined.</x:v>
      </x:c>
      <x:c r="O411" s="17"/>
      <x:c r="P411" s="17"/>
      <x:c r="Q411" s="17"/>
      <x:c r="R411" s="17"/>
      <x:c r="S411" s="17"/>
      <x:c r="T411" s="9" t="str">
        <x:v>No exact reagent, free-water bath, plant extract, numeric effect or restoration of lost metal is established.</x:v>
      </x:c>
      <x:c r="U411" s="11" t="str">
        <x:v>derusting; de-rusting; rust remover; oxide removal compound</x:v>
      </x:c>
      <x:c r="V411" s="9" t="str">
        <x:v>Direct author direction, October 14, 2026. Docs/WORLD_BASIS.md#metal-corrosion-and-surface-treatment; real-world function reference only: https://www.canada.ca/en/conservation-institute/services/care-objects/metals/basic-care-iron.html . Reference methods are not game recipes.</x:v>
      </x:c>
      <x:c r="W411" s="4" t="str">
        <x:v>Chemical material</x:v>
      </x:c>
      <x:c r="X411" s="4" t="str">
        <x:v>Processed intermediate</x:v>
      </x:c>
      <x:c r="Y411" s="4" t="str">
        <x:v>Manufactured / unresolved</x:v>
      </x:c>
      <x:c r="Z411" s="4" t="str">
        <x:v>Surface finishing</x:v>
      </x:c>
      <x:c r="AA411" s="4" t="str">
        <x:v>Mixed / unresolved</x:v>
      </x:c>
      <x:c r="AB411" s="4" t="str">
        <x:v>Unresolved</x:v>
      </x:c>
      <x:c r="AC411" s="4" t="str">
        <x:v>Author direction</x:v>
      </x:c>
      <x:c r="AD411" s="4" t="str">
        <x:f>LOWER(A411&amp;"; "&amp;B411&amp;"; "&amp;C411&amp;"; "&amp;D411&amp;"; "&amp;W411&amp;"; "&amp;X411&amp;"; "&amp;Y411&amp;"; "&amp;Z411&amp;"; "&amp;AA411&amp;"; "&amp;AB411&amp;"; "&amp;AC411&amp;"; "&amp;U411)</x:f>
        <x:v>author.corrosion.advanced_remover; advanced rust-removal compound; resources; metal surface-treatment material; chemical material; processed intermediate; manufactured / unresolved; surface finishing; mixed / unresolved; unresolved; author direction; derusting; de-rusting; rust remover; oxide removal compound</x:v>
      </x:c>
      <x:c r="AE411" s="4" t="str">
        <x:v>Advanced de-rusting material family is author direction; formulation and performance are not specified.</x:v>
      </x:c>
      <x:c r="AF411" s="4" t="str">
        <x:v>Unassigned</x:v>
      </x:c>
      <x:c r="AG411" s="4" t="str">
        <x:v>Choose a material production route before assigning a numeric refinement tier.</x:v>
      </x:c>
      <x:c r="AH411" s="4" t="str">
        <x:v>Not applicable</x:v>
      </x:c>
    </x:row>
    <x:row r="412" ht="115" customHeight="1">
      <x:c r="A412" s="9" t="str">
        <x:v>proposal.corrosion.converter</x:v>
      </x:c>
      <x:c r="B412" s="9" t="str">
        <x:v>Rust-conversion treatment</x:v>
      </x:c>
      <x:c r="C412" s="9" t="str">
        <x:v>Resources</x:v>
      </x:c>
      <x:c r="D412" s="9" t="str">
        <x:v>Metal surface-treatment material</x:v>
      </x:c>
      <x:c r="E412" s="9" t="str">
        <x:v>New proposal</x:v>
      </x:c>
      <x:c r="F412" s="9" t="str">
        <x:v>Candidate treatment that changes selected residual rust into an adherent conversion layer rather than removing it.</x:v>
      </x:c>
      <x:c r="G412" s="9" t="str">
        <x:v>None</x:v>
      </x:c>
      <x:c r="H412" s="9" t="str">
        <x:v>Contained workshop material; physical form and carrier unresolved</x:v>
      </x:c>
      <x:c r="I412" s="13"/>
      <x:c r="J412" s="15"/>
      <x:c r="K412" s="9" t="str">
        <x:v>Workshop manufacture or trade; inputs unresolved</x:v>
      </x:c>
      <x:c r="L412" s="9" t="str">
        <x:v>Mineral/faunal chemistry is a possible game direction, not an accepted formulation. Composition, carrier and material tier remain open.</x:v>
      </x:c>
      <x:c r="M412" s="9" t="str">
        <x:v>Material concept; not implemented</x:v>
      </x:c>
      <x:c r="N412" s="9" t="str">
        <x:v>Removal, conversion and prevention are distinct functions. Substrate compatibility, residues and effects on existing finishes remain undefined.</x:v>
      </x:c>
      <x:c r="O412" s="17"/>
      <x:c r="P412" s="17"/>
      <x:c r="Q412" s="17"/>
      <x:c r="R412" s="17"/>
      <x:c r="S412" s="17"/>
      <x:c r="T412" s="9" t="str">
        <x:v>No exact reagent, free-water bath, plant extract, numeric effect or restoration of lost metal is established.</x:v>
      </x:c>
      <x:c r="U412" s="11" t="str">
        <x:v>rust converter; conversion treatment; oxide conversion</x:v>
      </x:c>
      <x:c r="V412" s="9" t="str">
        <x:v>New game proposal. Docs/WORLD_BASIS.md#metal-corrosion-and-surface-treatment; real-world function reference only: https://www.canada.ca/en/conservation-institute/services/conservation-preservation-publications/canadian-conservation-institute-notes/tannic-acid-rusted-iron-artifacts.html . Reference methods are not game recipes.</x:v>
      </x:c>
      <x:c r="W412" s="4" t="str">
        <x:v>Chemical material</x:v>
      </x:c>
      <x:c r="X412" s="4" t="str">
        <x:v>Processed intermediate</x:v>
      </x:c>
      <x:c r="Y412" s="4" t="str">
        <x:v>Manufactured / unresolved</x:v>
      </x:c>
      <x:c r="Z412" s="4" t="str">
        <x:v>Surface finishing</x:v>
      </x:c>
      <x:c r="AA412" s="4" t="str">
        <x:v>Mixed / unresolved</x:v>
      </x:c>
      <x:c r="AB412" s="4" t="str">
        <x:v>Unresolved</x:v>
      </x:c>
      <x:c r="AC412" s="4" t="str">
        <x:v>Proposal</x:v>
      </x:c>
      <x:c r="AD412" s="4" t="str">
        <x:f>LOWER(A412&amp;"; "&amp;B412&amp;"; "&amp;C412&amp;"; "&amp;D412&amp;"; "&amp;W412&amp;"; "&amp;X412&amp;"; "&amp;Y412&amp;"; "&amp;Z412&amp;"; "&amp;AA412&amp;"; "&amp;AB412&amp;"; "&amp;AC412&amp;"; "&amp;U412)</x:f>
        <x:v>proposal.corrosion.converter; rust-conversion treatment; resources; metal surface-treatment material; chemical material; processed intermediate; manufactured / unresolved; surface finishing; mixed / unresolved; unresolved; proposal; rust converter; conversion treatment; oxide conversion</x:v>
      </x:c>
      <x:c r="AE412" s="4" t="str">
        <x:v>Supporting surface-treatment proposal informed by real-world distinctions; not separately accepted game canon.</x:v>
      </x:c>
      <x:c r="AF412" s="4" t="str">
        <x:v>Unassigned</x:v>
      </x:c>
      <x:c r="AG412" s="4" t="str">
        <x:v>Choose a material production route before assigning a numeric refinement tier.</x:v>
      </x:c>
      <x:c r="AH412" s="4" t="str">
        <x:v>Not applicable</x:v>
      </x:c>
    </x:row>
    <x:row r="413" ht="115" customHeight="1">
      <x:c r="A413" s="9" t="str">
        <x:v>proposal.corrosion.inhibitor</x:v>
      </x:c>
      <x:c r="B413" s="9" t="str">
        <x:v>Corrosion-inhibiting finish</x:v>
      </x:c>
      <x:c r="C413" s="9" t="str">
        <x:v>Resources</x:v>
      </x:c>
      <x:c r="D413" s="9" t="str">
        <x:v>Metal surface-treatment material</x:v>
      </x:c>
      <x:c r="E413" s="9" t="str">
        <x:v>New proposal</x:v>
      </x:c>
      <x:c r="F413" s="9" t="str">
        <x:v>Candidate finish intended to slow renewed corrosion after appropriate surface preparation.</x:v>
      </x:c>
      <x:c r="G413" s="9" t="str">
        <x:v>None</x:v>
      </x:c>
      <x:c r="H413" s="9" t="str">
        <x:v>Contained workshop material; physical form and carrier unresolved</x:v>
      </x:c>
      <x:c r="I413" s="13"/>
      <x:c r="J413" s="15"/>
      <x:c r="K413" s="9" t="str">
        <x:v>Workshop manufacture or trade; inputs unresolved</x:v>
      </x:c>
      <x:c r="L413" s="9" t="str">
        <x:v>Mineral/faunal chemistry is a possible game direction, not an accepted formulation. Composition, carrier and material tier remain open.</x:v>
      </x:c>
      <x:c r="M413" s="9" t="str">
        <x:v>Material concept; not implemented</x:v>
      </x:c>
      <x:c r="N413" s="9" t="str">
        <x:v>Removal, conversion and prevention are distinct functions. Substrate compatibility, residues and effects on existing finishes remain undefined.</x:v>
      </x:c>
      <x:c r="O413" s="17"/>
      <x:c r="P413" s="17"/>
      <x:c r="Q413" s="17"/>
      <x:c r="R413" s="17"/>
      <x:c r="S413" s="17"/>
      <x:c r="T413" s="9" t="str">
        <x:v>No exact reagent, free-water bath, plant extract, numeric effect or restoration of lost metal is established.</x:v>
      </x:c>
      <x:c r="U413" s="11" t="str">
        <x:v>rust prevention; corrosion inhibitor; protective finish</x:v>
      </x:c>
      <x:c r="V413" s="9" t="str">
        <x:v>New game proposal. Docs/WORLD_BASIS.md#metal-corrosion-and-surface-treatment; real-world function reference only: https://www.canada.ca/en/conservation-institute/services/care-objects/metals/basic-care-iron.html . Reference methods are not game recipes.</x:v>
      </x:c>
      <x:c r="W413" s="4" t="str">
        <x:v>Chemical material</x:v>
      </x:c>
      <x:c r="X413" s="4" t="str">
        <x:v>Processed intermediate</x:v>
      </x:c>
      <x:c r="Y413" s="4" t="str">
        <x:v>Manufactured / unresolved</x:v>
      </x:c>
      <x:c r="Z413" s="4" t="str">
        <x:v>Surface finishing</x:v>
      </x:c>
      <x:c r="AA413" s="4" t="str">
        <x:v>Mixed / unresolved</x:v>
      </x:c>
      <x:c r="AB413" s="4" t="str">
        <x:v>Unresolved</x:v>
      </x:c>
      <x:c r="AC413" s="4" t="str">
        <x:v>Proposal</x:v>
      </x:c>
      <x:c r="AD413" s="4" t="str">
        <x:f>LOWER(A413&amp;"; "&amp;B413&amp;"; "&amp;C413&amp;"; "&amp;D413&amp;"; "&amp;W413&amp;"; "&amp;X413&amp;"; "&amp;Y413&amp;"; "&amp;Z413&amp;"; "&amp;AA413&amp;"; "&amp;AB413&amp;"; "&amp;AC413&amp;"; "&amp;U413)</x:f>
        <x:v>proposal.corrosion.inhibitor; corrosion-inhibiting finish; resources; metal surface-treatment material; chemical material; processed intermediate; manufactured / unresolved; surface finishing; mixed / unresolved; unresolved; proposal; rust prevention; corrosion inhibitor; protective finish</x:v>
      </x:c>
      <x:c r="AE413" s="4" t="str">
        <x:v>Supporting surface-treatment proposal informed by real-world distinctions; not separately accepted game canon.</x:v>
      </x:c>
      <x:c r="AF413" s="4" t="str">
        <x:v>Unassigned</x:v>
      </x:c>
      <x:c r="AG413" s="4" t="str">
        <x:v>Choose a material production route before assigning a numeric refinement tier.</x:v>
      </x:c>
      <x:c r="AH413" s="4" t="str">
        <x:v>Not applicable</x:v>
      </x:c>
    </x:row>
  </x:sheetData>
  <x:conditionalFormatting sqref="E6:E23">
    <x:cfRule type="containsText" dxfId="0" priority="1" operator="containsText" text="trial"/>
  </x:conditionalFormatting>
  <x:conditionalFormatting sqref="E24:E55">
    <x:cfRule type="containsText" dxfId="1" priority="2" operator="containsText" text="proposal"/>
  </x:conditionalFormatting>
  <x:conditionalFormatting sqref="E56:E74">
    <x:cfRule type="containsText" dxfId="2" priority="3" operator="containsText" text="proposal"/>
  </x:conditionalFormatting>
  <x:conditionalFormatting sqref="E84:E95">
    <x:cfRule type="containsText" dxfId="3" priority="4" operator="containsText" text="proposal"/>
  </x:conditionalFormatting>
  <x:dataValidations count="10">
    <x:dataValidation type="list" sqref="C6:C1005">
      <x:formula1>'Taxonomy'!$B$6:$B$15</x:formula1>
    </x:dataValidation>
    <x:dataValidation type="list" sqref="W6:W1005">
      <x:formula1>'Taxonomy'!$B$16:$B$43</x:formula1>
    </x:dataValidation>
    <x:dataValidation type="list" sqref="X6:X1005">
      <x:formula1>'Taxonomy'!$B$44:$B$53</x:formula1>
    </x:dataValidation>
    <x:dataValidation type="list" sqref="Y6:Y1005">
      <x:formula1>'Taxonomy'!$B$54:$B$63</x:formula1>
    </x:dataValidation>
    <x:dataValidation type="list" sqref="Z6:Z1005">
      <x:formula1>'Taxonomy'!$B$64:$B$142</x:formula1>
    </x:dataValidation>
    <x:dataValidation type="list" sqref="AA6:AA1005">
      <x:formula1>'Taxonomy'!$B$143:$B$177</x:formula1>
    </x:dataValidation>
    <x:dataValidation type="list" sqref="AB6:AB1005">
      <x:formula1>'Taxonomy'!$B$178:$B$197</x:formula1>
    </x:dataValidation>
    <x:dataValidation type="list" sqref="AC6:AC1005">
      <x:formula1>'Taxonomy'!$B$198:$B$202</x:formula1>
    </x:dataValidation>
    <x:dataValidation type="list" sqref="AF6:AF1005">
      <x:formula1>'Taxonomy'!$B$203:$B$209</x:formula1>
    </x:dataValidation>
    <x:dataValidation type="list" sqref="AH6:AH1005">
      <x:formula1>"T0,T1,T2,T3,T4,Unassigned,Not applicable"</x:formula1>
    </x:dataValidation>
  </x:dataValidations>
  <x:pageMargins left="0.7" right="0.7" top="0.75" bottom="0.75" header="0.3" footer="0.3"/>
  <x:tableParts count="1">
    <x:tablePart xmlns:r="http://schemas.openxmlformats.org/officeDocument/2006/relationships" r:id="Rf21d4cf4548c4d62"/>
  </x:tableParts>
</x:worksheet>
</file>

<file path=xl/worksheets/sheet2.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3" hidden="0" customWidth="1"/>
    <x:col min="2" max="2" width="25" hidden="0" customWidth="1"/>
    <x:col min="3" max="3" width="25" hidden="0" customWidth="1"/>
    <x:col min="4" max="4" width="20" hidden="0" customWidth="1"/>
    <x:col min="5" max="5" width="23" hidden="0" customWidth="1"/>
    <x:col min="6" max="6" width="16" hidden="0" customWidth="1"/>
    <x:col min="7" max="7" width="23" hidden="0" customWidth="1"/>
    <x:col min="8" max="8" width="14" hidden="0" customWidth="1"/>
    <x:col min="9" max="9" width="18" hidden="0" customWidth="1"/>
    <x:col min="10" max="10" width="23" hidden="0" customWidth="1"/>
    <x:col min="11" max="11" width="90" hidden="0" customWidth="1"/>
    <x:col min="12" max="12" width="3" hidden="0" customWidth="1"/>
    <x:col min="13" max="13" width="100" hidden="0" customWidth="1"/>
  </x:cols>
  <x:sheetData>
    <x:row r="1">
      <x:c r="A1" s="1"/>
      <x:c r="B1" s="1"/>
      <x:c r="C1" s="1"/>
      <x:c r="D1" s="1"/>
      <x:c r="E1" s="1"/>
      <x:c r="F1" s="1"/>
      <x:c r="G1" s="1"/>
      <x:c r="H1" s="1"/>
      <x:c r="I1" s="1"/>
      <x:c r="J1" s="1"/>
      <x:c r="K1" s="1"/>
      <x:c r="L1" s="1"/>
      <x:c r="M1" s="1"/>
    </x:row>
    <x:row r="2">
      <x:c r="A2" s="2" t="str">
        <x:v>Serialized item definitions</x:v>
      </x:c>
      <x:c r="B2" s="1"/>
      <x:c r="C2" s="1"/>
      <x:c r="D2" s="1"/>
      <x:c r="E2" s="1"/>
      <x:c r="F2" s="1"/>
      <x:c r="G2" s="1"/>
      <x:c r="H2" s="1"/>
      <x:c r="I2" s="1"/>
      <x:c r="J2" s="1"/>
      <x:c r="K2" s="1"/>
      <x:c r="L2" s="1"/>
      <x:c r="M2" s="1"/>
    </x:row>
    <x:row r="3">
      <x:c r="A3" s="1"/>
      <x:c r="B3" s="1"/>
      <x:c r="C3" s="1"/>
      <x:c r="D3" s="1"/>
      <x:c r="E3" s="1"/>
      <x:c r="F3" s="1"/>
      <x:c r="G3" s="1"/>
      <x:c r="H3" s="1"/>
      <x:c r="I3" s="1"/>
      <x:c r="J3" s="1"/>
      <x:c r="K3" s="1"/>
      <x:c r="L3" s="1"/>
      <x:c r="M3" s="1"/>
    </x:row>
    <x:row r="4">
      <x:c r="A4" s="1"/>
      <x:c r="B4" s="1"/>
      <x:c r="C4" s="1"/>
      <x:c r="D4" s="1"/>
      <x:c r="E4" s="1"/>
      <x:c r="F4" s="1"/>
      <x:c r="G4" s="1"/>
      <x:c r="H4" s="1"/>
      <x:c r="I4" s="1"/>
      <x:c r="J4" s="1"/>
      <x:c r="K4" s="1"/>
      <x:c r="L4" s="1"/>
      <x:c r="M4" s="1"/>
    </x:row>
    <x:row r="5" ht="32" customHeight="1">
      <x:c r="A5" s="8" t="str">
        <x:v>Item ID</x:v>
      </x:c>
      <x:c r="B5" s="8" t="str">
        <x:v>Authored name</x:v>
      </x:c>
      <x:c r="C5" s="8" t="str">
        <x:v>Definition scope</x:v>
      </x:c>
      <x:c r="D5" s="8" t="str">
        <x:v>Unity category</x:v>
      </x:c>
      <x:c r="E5" s="8" t="str">
        <x:v>Equipment slot</x:v>
      </x:c>
      <x:c r="F5" s="8" t="str">
        <x:v>Field supply</x:v>
      </x:c>
      <x:c r="G5" s="8" t="str">
        <x:v>Carrier metadata</x:v>
      </x:c>
      <x:c r="H5" s="8" t="str">
        <x:v>Stack limit</x:v>
      </x:c>
      <x:c r="I5" s="8" t="str">
        <x:v>Mass (game units)</x:v>
      </x:c>
      <x:c r="J5" s="8" t="str">
        <x:v>Packing preference</x:v>
      </x:c>
      <x:c r="K5" s="8" t="str">
        <x:v>Authored description</x:v>
      </x:c>
      <x:c r="L5" s="10" t="str"/>
      <x:c r="M5" s="12" t="str">
        <x:v>Source asset</x:v>
      </x:c>
    </x:row>
    <x:row r="6" ht="48" customHeight="1">
      <x:c r="A6" s="9" t="str">
        <x:v>equipment.algae_canister</x:v>
      </x:c>
      <x:c r="B6" s="9" t="str">
        <x:v>Algae canister</x:v>
      </x:c>
      <x:c r="C6" s="9" t="str">
        <x:v>Camp Loop trial</x:v>
      </x:c>
      <x:c r="D6" s="9" t="str">
        <x:v>Equipment</x:v>
      </x:c>
      <x:c r="E6" s="9" t="str">
        <x:v>Algae canister</x:v>
      </x:c>
      <x:c r="F6" s="21" t="b">
        <x:v>0</x:v>
      </x:c>
      <x:c r="G6" s="9" t="str">
        <x:v>Booter only</x:v>
      </x:c>
      <x:c r="H6" s="9" t="n">
        <x:v>1</x:v>
      </x:c>
      <x:c r="I6" s="9" t="n">
        <x:v>0.8</x:v>
      </x:c>
      <x:c r="J6" s="9" t="str">
        <x:v>Quick access</x:v>
      </x:c>
      <x:c r="K6" s="9" t="str">
        <x:v>Attached personal living-algae reserve for Eat, Drink and Treat. Does not restore Reserve.</x:v>
      </x:c>
      <x:c r="L6" s="11"/>
      <x:c r="M6" s="9" t="str">
        <x:v>Assets/_Project/Settings/Items/CampLoopLoadout/AlgaeCanister.asset</x:v>
      </x:c>
    </x:row>
    <x:row r="7" ht="48" customHeight="1">
      <x:c r="A7" s="4" t="str">
        <x:v>equipment.arc_battery_charged</x:v>
      </x:c>
      <x:c r="B7" s="4" t="str">
        <x:v>Charged Arc Battery</x:v>
      </x:c>
      <x:c r="C7" s="4" t="str">
        <x:v>Camp Loop trial</x:v>
      </x:c>
      <x:c r="D7" s="4" t="str">
        <x:v>Supply</x:v>
      </x:c>
      <x:c r="E7" s="4" t="str">
        <x:v>None</x:v>
      </x:c>
      <x:c r="F7" s="20" t="b">
        <x:v>1</x:v>
      </x:c>
      <x:c r="G7" s="4" t="str">
        <x:v>Either carrier</x:v>
      </x:c>
      <x:c r="H7" s="4" t="n">
        <x:v>1</x:v>
      </x:c>
      <x:c r="I7" s="4" t="n">
        <x:v>0.8</x:v>
      </x:c>
      <x:c r="J7" s="4" t="str">
        <x:v>Normal</x:v>
      </x:c>
      <x:c r="K7" s="4" t="str">
        <x:v>Arc Energy held in a refined battery.</x:v>
      </x:c>
      <x:c r="L7" s="11"/>
      <x:c r="M7" s="4" t="str">
        <x:v>Assets/_Project/Settings/Items/CampLoop/ChargedArcBattery.asset</x:v>
      </x:c>
    </x:row>
    <x:row r="8" ht="48" customHeight="1">
      <x:c r="A8" s="9" t="str">
        <x:v>equipment.arc_battery_empty</x:v>
      </x:c>
      <x:c r="B8" s="9" t="str">
        <x:v>Empty Arc Battery</x:v>
      </x:c>
      <x:c r="C8" s="9" t="str">
        <x:v>Camp Loop trial</x:v>
      </x:c>
      <x:c r="D8" s="9" t="str">
        <x:v>Supply</x:v>
      </x:c>
      <x:c r="E8" s="9" t="str">
        <x:v>None</x:v>
      </x:c>
      <x:c r="F8" s="21" t="b">
        <x:v>1</x:v>
      </x:c>
      <x:c r="G8" s="9" t="str">
        <x:v>Either carrier</x:v>
      </x:c>
      <x:c r="H8" s="9" t="n">
        <x:v>1</x:v>
      </x:c>
      <x:c r="I8" s="9" t="n">
        <x:v>0.8</x:v>
      </x:c>
      <x:c r="J8" s="9" t="str">
        <x:v>Normal</x:v>
      </x:c>
      <x:c r="K8" s="9" t="str">
        <x:v>An empty battery ready for the camp dust refinery.</x:v>
      </x:c>
      <x:c r="L8" s="11"/>
      <x:c r="M8" s="9" t="str">
        <x:v>Assets/_Project/Settings/Items/CampLoop/EmptyArcBattery.asset</x:v>
      </x:c>
    </x:row>
    <x:row r="9" ht="48" customHeight="1">
      <x:c r="A9" s="4" t="str">
        <x:v>equipment.cloak</x:v>
      </x:c>
      <x:c r="B9" s="4" t="str">
        <x:v>Cloak</x:v>
      </x:c>
      <x:c r="C9" s="4" t="str">
        <x:v>Camp Loop trial</x:v>
      </x:c>
      <x:c r="D9" s="4" t="str">
        <x:v>Equipment</x:v>
      </x:c>
      <x:c r="E9" s="4" t="str">
        <x:v>Cloak</x:v>
      </x:c>
      <x:c r="F9" s="20" t="b">
        <x:v>0</x:v>
      </x:c>
      <x:c r="G9" s="4" t="str">
        <x:v>Either carrier</x:v>
      </x:c>
      <x:c r="H9" s="4" t="n">
        <x:v>1</x:v>
      </x:c>
      <x:c r="I9" s="4" t="n">
        <x:v>1</x:v>
      </x:c>
      <x:c r="J9" s="4" t="str">
        <x:v>Quick access</x:v>
      </x:c>
      <x:c r="K9" s="4" t="str">
        <x:v>Personal cloak with the existing worn and camp blanket presentation.</x:v>
      </x:c>
      <x:c r="L9" s="11"/>
      <x:c r="M9" s="4" t="str">
        <x:v>Assets/_Project/Settings/Items/CampLoopLoadout/Cloak.asset</x:v>
      </x:c>
    </x:row>
    <x:row r="10" ht="48" customHeight="1">
      <x:c r="A10" s="9" t="str">
        <x:v>equipment.digging_tool</x:v>
      </x:c>
      <x:c r="B10" s="9" t="str">
        <x:v>Digging shovel axe</x:v>
      </x:c>
      <x:c r="C10" s="9" t="str">
        <x:v>Camp Loop trial</x:v>
      </x:c>
      <x:c r="D10" s="9" t="str">
        <x:v>Equipment</x:v>
      </x:c>
      <x:c r="E10" s="9" t="str">
        <x:v>Digging tool</x:v>
      </x:c>
      <x:c r="F10" s="21" t="b">
        <x:v>0</x:v>
      </x:c>
      <x:c r="G10" s="9" t="str">
        <x:v>Either carrier</x:v>
      </x:c>
      <x:c r="H10" s="9" t="n">
        <x:v>1</x:v>
      </x:c>
      <x:c r="I10" s="9" t="n">
        <x:v>1.5</x:v>
      </x:c>
      <x:c r="J10" s="9" t="str">
        <x:v>Quick access</x:v>
      </x:c>
      <x:c r="K10" s="9" t="str">
        <x:v>Starter combined shovel and axe. No new mining prerequisite or combat action is enabled.</x:v>
      </x:c>
      <x:c r="L10" s="11"/>
      <x:c r="M10" s="9" t="str">
        <x:v>Assets/_Project/Settings/Items/CampLoopLoadout/DiggingTool.asset</x:v>
      </x:c>
    </x:row>
    <x:row r="11" ht="48" customHeight="1">
      <x:c r="A11" s="4" t="str">
        <x:v>equipment.grappling_hook</x:v>
      </x:c>
      <x:c r="B11" s="4" t="str">
        <x:v>Grappling hook</x:v>
      </x:c>
      <x:c r="C11" s="4" t="str">
        <x:v>Camp Loop trial</x:v>
      </x:c>
      <x:c r="D11" s="4" t="str">
        <x:v>Equipment</x:v>
      </x:c>
      <x:c r="E11" s="4" t="str">
        <x:v>Grappling hook</x:v>
      </x:c>
      <x:c r="F11" s="20" t="b">
        <x:v>0</x:v>
      </x:c>
      <x:c r="G11" s="4" t="str">
        <x:v>Either carrier</x:v>
      </x:c>
      <x:c r="H11" s="4" t="n">
        <x:v>1</x:v>
      </x:c>
      <x:c r="I11" s="4" t="n">
        <x:v>1</x:v>
      </x:c>
      <x:c r="J11" s="4" t="str">
        <x:v>Quick access</x:v>
      </x:c>
      <x:c r="K11" s="4" t="str">
        <x:v>Terrain navigation equipment. Grapple traversal is not implemented in this inventory slice.</x:v>
      </x:c>
      <x:c r="L11" s="11"/>
      <x:c r="M11" s="4" t="str">
        <x:v>Assets/_Project/Settings/Items/CampLoopLoadout/GrapplingHook.asset</x:v>
      </x:c>
    </x:row>
    <x:row r="12" ht="48" customHeight="1">
      <x:c r="A12" s="9" t="str">
        <x:v>equipment.jacket</x:v>
      </x:c>
      <x:c r="B12" s="9" t="str">
        <x:v>Jacket</x:v>
      </x:c>
      <x:c r="C12" s="9" t="str">
        <x:v>Camp Loop trial</x:v>
      </x:c>
      <x:c r="D12" s="9" t="str">
        <x:v>Equipment</x:v>
      </x:c>
      <x:c r="E12" s="9" t="str">
        <x:v>Jacket</x:v>
      </x:c>
      <x:c r="F12" s="21" t="b">
        <x:v>0</x:v>
      </x:c>
      <x:c r="G12" s="9" t="str">
        <x:v>Either carrier</x:v>
      </x:c>
      <x:c r="H12" s="9" t="n">
        <x:v>1</x:v>
      </x:c>
      <x:c r="I12" s="9" t="n">
        <x:v>1</x:v>
      </x:c>
      <x:c r="J12" s="9" t="str">
        <x:v>Quick access</x:v>
      </x:c>
      <x:c r="K12" s="9" t="str">
        <x:v>Separate jacket equipment. No new protection or durability effect is enabled.</x:v>
      </x:c>
      <x:c r="L12" s="11"/>
      <x:c r="M12" s="9" t="str">
        <x:v>Assets/_Project/Settings/Items/CampLoopLoadout/Jacket.asset</x:v>
      </x:c>
    </x:row>
    <x:row r="13" ht="48" customHeight="1">
      <x:c r="A13" s="4" t="str">
        <x:v>lab.ironstone.aggregate</x:v>
      </x:c>
      <x:c r="B13" s="4" t="str">
        <x:v>Coarse Aggregate</x:v>
      </x:c>
      <x:c r="C13" s="4" t="str">
        <x:v>Camp Loop trial</x:v>
      </x:c>
      <x:c r="D13" s="4" t="str">
        <x:v>Resource</x:v>
      </x:c>
      <x:c r="E13" s="4" t="str">
        <x:v>None</x:v>
      </x:c>
      <x:c r="F13" s="20" t="b">
        <x:v>0</x:v>
      </x:c>
      <x:c r="G13" s="4" t="str">
        <x:v>Legger only</x:v>
      </x:c>
      <x:c r="H13" s="4" t="n">
        <x:v>99</x:v>
      </x:c>
      <x:c r="I13" s="4" t="n">
        <x:v>0.75</x:v>
      </x:c>
      <x:c r="J13" s="4" t="str">
        <x:v>Normal</x:v>
      </x:c>
      <x:c r="K13" s="4" t="str">
        <x:v>Dry Ironstone sorting product. Camp Loop trial material.</x:v>
      </x:c>
      <x:c r="L13" s="11"/>
      <x:c r="M13" s="4" t="str">
        <x:v>Assets/_Project/Settings/Items/CampLoopIronstone/0-CoarseAggregate.asset</x:v>
      </x:c>
    </x:row>
    <x:row r="14" ht="48" customHeight="1">
      <x:c r="A14" s="9" t="str">
        <x:v>lab.ironstone.concentrate</x:v>
      </x:c>
      <x:c r="B14" s="9" t="str">
        <x:v>Iron-rich Concentrate</x:v>
      </x:c>
      <x:c r="C14" s="9" t="str">
        <x:v>Camp Loop trial</x:v>
      </x:c>
      <x:c r="D14" s="9" t="str">
        <x:v>Resource</x:v>
      </x:c>
      <x:c r="E14" s="9" t="str">
        <x:v>None</x:v>
      </x:c>
      <x:c r="F14" s="21" t="b">
        <x:v>0</x:v>
      </x:c>
      <x:c r="G14" s="9" t="str">
        <x:v>Legger only</x:v>
      </x:c>
      <x:c r="H14" s="9" t="n">
        <x:v>99</x:v>
      </x:c>
      <x:c r="I14" s="9" t="n">
        <x:v>2</x:v>
      </x:c>
      <x:c r="J14" s="9" t="str">
        <x:v>Normal</x:v>
      </x:c>
      <x:c r="K14" s="9" t="str">
        <x:v>Dry Ironstone sorting product. Camp Loop trial material.</x:v>
      </x:c>
      <x:c r="L14" s="11"/>
      <x:c r="M14" s="9" t="str">
        <x:v>Assets/_Project/Settings/Items/CampLoopIronstone/1-Iron-richConcentrate.asset</x:v>
      </x:c>
    </x:row>
    <x:row r="15" ht="48" customHeight="1">
      <x:c r="A15" s="4" t="str">
        <x:v>lab.ironstone.mineral_dust</x:v>
      </x:c>
      <x:c r="B15" s="4" t="str">
        <x:v>Mineral Dust</x:v>
      </x:c>
      <x:c r="C15" s="4" t="str">
        <x:v>Camp Loop trial</x:v>
      </x:c>
      <x:c r="D15" s="4" t="str">
        <x:v>Resource</x:v>
      </x:c>
      <x:c r="E15" s="4" t="str">
        <x:v>None</x:v>
      </x:c>
      <x:c r="F15" s="20" t="b">
        <x:v>0</x:v>
      </x:c>
      <x:c r="G15" s="4" t="str">
        <x:v>Legger only</x:v>
      </x:c>
      <x:c r="H15" s="4" t="n">
        <x:v>99</x:v>
      </x:c>
      <x:c r="I15" s="4" t="n">
        <x:v>0.25</x:v>
      </x:c>
      <x:c r="J15" s="4" t="str">
        <x:v>Normal</x:v>
      </x:c>
      <x:c r="K15" s="4" t="str">
        <x:v>Dry Ironstone sorting product. Camp Loop trial material.</x:v>
      </x:c>
      <x:c r="L15" s="11"/>
      <x:c r="M15" s="4" t="str">
        <x:v>Assets/_Project/Settings/Items/CampLoopIronstone/3-MineralDust.asset</x:v>
      </x:c>
    </x:row>
    <x:row r="16" ht="48" customHeight="1">
      <x:c r="A16" s="9" t="str">
        <x:v>lab.ironstone.sand</x:v>
      </x:c>
      <x:c r="B16" s="9" t="str">
        <x:v>Mineral Sand</x:v>
      </x:c>
      <x:c r="C16" s="9" t="str">
        <x:v>Camp Loop trial</x:v>
      </x:c>
      <x:c r="D16" s="9" t="str">
        <x:v>Resource</x:v>
      </x:c>
      <x:c r="E16" s="9" t="str">
        <x:v>None</x:v>
      </x:c>
      <x:c r="F16" s="21" t="b">
        <x:v>0</x:v>
      </x:c>
      <x:c r="G16" s="9" t="str">
        <x:v>Legger only</x:v>
      </x:c>
      <x:c r="H16" s="9" t="n">
        <x:v>99</x:v>
      </x:c>
      <x:c r="I16" s="9" t="n">
        <x:v>1</x:v>
      </x:c>
      <x:c r="J16" s="9" t="str">
        <x:v>Normal</x:v>
      </x:c>
      <x:c r="K16" s="9" t="str">
        <x:v>Dry Ironstone sorting product. Camp Loop trial material.</x:v>
      </x:c>
      <x:c r="L16" s="11"/>
      <x:c r="M16" s="9" t="str">
        <x:v>Assets/_Project/Settings/Items/CampLoopIronstone/2-MineralSand.asset</x:v>
      </x:c>
    </x:row>
    <x:row r="17" ht="48" customHeight="1">
      <x:c r="A17" s="4" t="str">
        <x:v>lab.salvage.drive_assembly</x:v>
      </x:c>
      <x:c r="B17" s="4" t="str">
        <x:v>Drive Assembly</x:v>
      </x:c>
      <x:c r="C17" s="4" t="str">
        <x:v>Camp Loop trial</x:v>
      </x:c>
      <x:c r="D17" s="4" t="str">
        <x:v>Resource</x:v>
      </x:c>
      <x:c r="E17" s="4" t="str">
        <x:v>None</x:v>
      </x:c>
      <x:c r="F17" s="20" t="b">
        <x:v>0</x:v>
      </x:c>
      <x:c r="G17" s="4" t="str">
        <x:v>Legger only</x:v>
      </x:c>
      <x:c r="H17" s="4" t="n">
        <x:v>1</x:v>
      </x:c>
      <x:c r="I17" s="4" t="n">
        <x:v>6</x:v>
      </x:c>
      <x:c r="J17" s="4" t="str">
        <x:v>Normal</x:v>
      </x:c>
      <x:c r="K17" s="4" t="str">
        <x:v>Trial salvage from the dead camp-loop machine.</x:v>
      </x:c>
      <x:c r="L17" s="11"/>
      <x:c r="M17" s="4" t="str">
        <x:v>Assets/_Project/Settings/Studies/CampLoopSalvage/Part2.asset</x:v>
      </x:c>
    </x:row>
    <x:row r="18" ht="48" customHeight="1">
      <x:c r="A18" s="9" t="str">
        <x:v>lab.salvage.metal_plate</x:v>
      </x:c>
      <x:c r="B18" s="9" t="str">
        <x:v>Metal Plate</x:v>
      </x:c>
      <x:c r="C18" s="9" t="str">
        <x:v>Camp Loop trial</x:v>
      </x:c>
      <x:c r="D18" s="9" t="str">
        <x:v>Resource</x:v>
      </x:c>
      <x:c r="E18" s="9" t="str">
        <x:v>None</x:v>
      </x:c>
      <x:c r="F18" s="21" t="b">
        <x:v>0</x:v>
      </x:c>
      <x:c r="G18" s="9" t="str">
        <x:v>Legger only</x:v>
      </x:c>
      <x:c r="H18" s="9" t="n">
        <x:v>20</x:v>
      </x:c>
      <x:c r="I18" s="9" t="n">
        <x:v>2</x:v>
      </x:c>
      <x:c r="J18" s="9" t="str">
        <x:v>Normal</x:v>
      </x:c>
      <x:c r="K18" s="9" t="str">
        <x:v>Trial salvage from the dead camp-loop machine.</x:v>
      </x:c>
      <x:c r="L18" s="11"/>
      <x:c r="M18" s="9" t="str">
        <x:v>Assets/_Project/Settings/Studies/CampLoopSalvage/Part0.asset</x:v>
      </x:c>
    </x:row>
    <x:row r="19" ht="48" customHeight="1">
      <x:c r="A19" s="4" t="str">
        <x:v>lab.salvage.wire_bundle</x:v>
      </x:c>
      <x:c r="B19" s="4" t="str">
        <x:v>Wire Bundle</x:v>
      </x:c>
      <x:c r="C19" s="4" t="str">
        <x:v>Camp Loop trial</x:v>
      </x:c>
      <x:c r="D19" s="4" t="str">
        <x:v>Resource</x:v>
      </x:c>
      <x:c r="E19" s="4" t="str">
        <x:v>None</x:v>
      </x:c>
      <x:c r="F19" s="20" t="b">
        <x:v>0</x:v>
      </x:c>
      <x:c r="G19" s="4" t="str">
        <x:v>Legger only</x:v>
      </x:c>
      <x:c r="H19" s="4" t="n">
        <x:v>10</x:v>
      </x:c>
      <x:c r="I19" s="4" t="n">
        <x:v>0.5</x:v>
      </x:c>
      <x:c r="J19" s="4" t="str">
        <x:v>Normal</x:v>
      </x:c>
      <x:c r="K19" s="4" t="str">
        <x:v>Trial salvage from the dead camp-loop machine.</x:v>
      </x:c>
      <x:c r="L19" s="11"/>
      <x:c r="M19" s="4" t="str">
        <x:v>Assets/_Project/Settings/Studies/CampLoopSalvage/Part1.asset</x:v>
      </x:c>
    </x:row>
    <x:row r="20" ht="48" customHeight="1">
      <x:c r="A20" s="9" t="str">
        <x:v>resource.airborne_dust</x:v>
      </x:c>
      <x:c r="B20" s="9" t="str">
        <x:v>Airborne Dust</x:v>
      </x:c>
      <x:c r="C20" s="9" t="str">
        <x:v>Shared definition</x:v>
      </x:c>
      <x:c r="D20" s="9" t="str">
        <x:v>Resource</x:v>
      </x:c>
      <x:c r="E20" s="9" t="str">
        <x:v>None</x:v>
      </x:c>
      <x:c r="F20" s="21" t="b">
        <x:v>0</x:v>
      </x:c>
      <x:c r="G20" s="9" t="str">
        <x:v>Legger only</x:v>
      </x:c>
      <x:c r="H20" s="9" t="n">
        <x:v>100</x:v>
      </x:c>
      <x:c r="I20" s="9" t="n">
        <x:v>0.05</x:v>
      </x:c>
      <x:c r="J20" s="9" t="str">
        <x:v>Normal</x:v>
      </x:c>
      <x:c r="K20" s="9" t="str">
        <x:v>Fine sand collected from the air by a micro dust harvester.</x:v>
      </x:c>
      <x:c r="L20" s="11"/>
      <x:c r="M20" s="9" t="str">
        <x:v>Assets/_Project/Settings/Items/Item_AirborneDust.asset</x:v>
      </x:c>
    </x:row>
    <x:row r="21" ht="48" customHeight="1">
      <x:c r="A21" s="4" t="str">
        <x:v>resource.ironstone_ore</x:v>
      </x:c>
      <x:c r="B21" s="4" t="str">
        <x:v>Ironstone Ore</x:v>
      </x:c>
      <x:c r="C21" s="4" t="str">
        <x:v>Shared definition</x:v>
      </x:c>
      <x:c r="D21" s="4" t="str">
        <x:v>Resource</x:v>
      </x:c>
      <x:c r="E21" s="4" t="str">
        <x:v>None</x:v>
      </x:c>
      <x:c r="F21" s="20" t="b">
        <x:v>0</x:v>
      </x:c>
      <x:c r="G21" s="4" t="str">
        <x:v>Legger only</x:v>
      </x:c>
      <x:c r="H21" s="4" t="n">
        <x:v>99</x:v>
      </x:c>
      <x:c r="I21" s="4" t="n">
        <x:v>1.25</x:v>
      </x:c>
      <x:c r="J21" s="4" t="str">
        <x:v>Normal</x:v>
      </x:c>
      <x:c r="K21" s="4" t="str">
        <x:v>Dense, rust-veined ore gathered from exposed ironstone deposits.</x:v>
      </x:c>
      <x:c r="L21" s="11"/>
      <x:c r="M21" s="4" t="str">
        <x:v>Assets/_Project/Settings/Items/Item_IronstoneOre.asset</x:v>
      </x:c>
    </x:row>
    <x:row r="22" ht="48" customHeight="1">
      <x:c r="A22" s="9" t="str">
        <x:v>tool.micro_dust_harvester</x:v>
      </x:c>
      <x:c r="B22" s="9" t="str">
        <x:v>Dust canister</x:v>
      </x:c>
      <x:c r="C22" s="9" t="str">
        <x:v>Camp Loop trial</x:v>
      </x:c>
      <x:c r="D22" s="9" t="str">
        <x:v>Equipment</x:v>
      </x:c>
      <x:c r="E22" s="9" t="str">
        <x:v>Dust canister</x:v>
      </x:c>
      <x:c r="F22" s="21" t="b">
        <x:v>0</x:v>
      </x:c>
      <x:c r="G22" s="9" t="str">
        <x:v>Either carrier</x:v>
      </x:c>
      <x:c r="H22" s="9" t="n">
        <x:v>1</x:v>
      </x:c>
      <x:c r="I22" s="9" t="n">
        <x:v>0.8</x:v>
      </x:c>
      <x:c r="J22" s="9" t="str">
        <x:v>Quick access</x:v>
      </x:c>
      <x:c r="K22" s="9" t="str">
        <x:v>Deploy to collect dust. Recovery delivers dust to physically accessible Legger cargo.</x:v>
      </x:c>
      <x:c r="L22" s="11"/>
      <x:c r="M22" s="9" t="str">
        <x:v>Assets/_Project/Settings/Items/CampLoopLoadout/DustCanister.asset</x:v>
      </x:c>
    </x:row>
    <x:row r="23" ht="48" customHeight="1">
      <x:c r="A23" s="4" t="str">
        <x:v>tool.micro_dust_harvester</x:v>
      </x:c>
      <x:c r="B23" s="4" t="str">
        <x:v>Micro Dust Harvester</x:v>
      </x:c>
      <x:c r="C23" s="4" t="str">
        <x:v>Shared definition</x:v>
      </x:c>
      <x:c r="D23" s="4" t="str">
        <x:v>Tool</x:v>
      </x:c>
      <x:c r="E23" s="4" t="str">
        <x:v>None</x:v>
      </x:c>
      <x:c r="F23" s="20" t="b">
        <x:v>0</x:v>
      </x:c>
      <x:c r="G23" s="4" t="str">
        <x:v>Either carrier</x:v>
      </x:c>
      <x:c r="H23" s="4" t="n">
        <x:v>4</x:v>
      </x:c>
      <x:c r="I23" s="4" t="n">
        <x:v>0.8</x:v>
      </x:c>
      <x:c r="J23" s="4" t="str">
        <x:v>Quick access</x:v>
      </x:c>
      <x:c r="K23" s="4" t="str">
        <x:v>A compact electromagnetic canister that draws suspended sand from the air when deployed.</x:v>
      </x:c>
      <x:c r="L23" s="11"/>
      <x:c r="M23" s="4" t="str">
        <x:v>Assets/_Project/Settings/Items/Item_MicroDustHarvester.asset</x:v>
      </x:c>
    </x:row>
    <x:row r="24" ht="48" customHeight="1">
      <x:c r="A24" s="9" t="str">
        <x:v>tool.popup_camp</x:v>
      </x:c>
      <x:c r="B24" s="9" t="str">
        <x:v>Pop-up camp</x:v>
      </x:c>
      <x:c r="C24" s="9" t="str">
        <x:v>Camp Loop trial</x:v>
      </x:c>
      <x:c r="D24" s="9" t="str">
        <x:v>Camp</x:v>
      </x:c>
      <x:c r="E24" s="9" t="str">
        <x:v>None</x:v>
      </x:c>
      <x:c r="F24" s="21" t="b">
        <x:v>1</x:v>
      </x:c>
      <x:c r="G24" s="9" t="str">
        <x:v>Either carrier</x:v>
      </x:c>
      <x:c r="H24" s="9" t="n">
        <x:v>1</x:v>
      </x:c>
      <x:c r="I24" s="9" t="n">
        <x:v>2.5</x:v>
      </x:c>
      <x:c r="J24" s="9" t="str">
        <x:v>Quick access</x:v>
      </x:c>
      <x:c r="K24" s="9" t="str">
        <x:v>Reusable packed camp bundle. Uses one field-supply pocket.</x:v>
      </x:c>
      <x:c r="L24" s="11"/>
      <x:c r="M24" s="9" t="str">
        <x:v>Assets/_Project/Settings/Items/CampLoopLoadout/PopupCamp.asset</x:v>
      </x:c>
    </x:row>
    <x:row r="25" ht="48" customHeight="1">
      <x:c r="A25" s="4" t="str">
        <x:v>tool.popup_camp</x:v>
      </x:c>
      <x:c r="B25" s="4" t="str">
        <x:v>Pop-up camp</x:v>
      </x:c>
      <x:c r="C25" s="4" t="str">
        <x:v>Shared definition</x:v>
      </x:c>
      <x:c r="D25" s="4" t="str">
        <x:v>Camp</x:v>
      </x:c>
      <x:c r="E25" s="4" t="str">
        <x:v>None</x:v>
      </x:c>
      <x:c r="F25" s="20" t="b">
        <x:v>0</x:v>
      </x:c>
      <x:c r="G25" s="4" t="str">
        <x:v>Either carrier</x:v>
      </x:c>
      <x:c r="H25" s="4" t="n">
        <x:v>1</x:v>
      </x:c>
      <x:c r="I25" s="4" t="n">
        <x:v>2.5</x:v>
      </x:c>
      <x:c r="J25" s="4" t="str">
        <x:v>Quick access</x:v>
      </x:c>
      <x:c r="K25" s="4" t="str">
        <x:v>Reusable vertical twilight shade. Deploy locally to rest or sleep.</x:v>
      </x:c>
      <x:c r="L25" s="11"/>
      <x:c r="M25" s="4" t="str">
        <x:v>Assets/_Project/Settings/Items/Item_PopupCamp.asset</x:v>
      </x:c>
    </x:row>
  </x:sheetData>
  <x:pageMargins left="0.7" right="0.7" top="0.75" bottom="0.75" header="0.3" footer="0.3"/>
  <x:tableParts count="1">
    <x:tablePart xmlns:r="http://schemas.openxmlformats.org/officeDocument/2006/relationships" r:id="Re62792b1342a4d63"/>
  </x:tableParts>
</x:worksheet>
</file>

<file path=xl/worksheets/sheet3.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33" hidden="0" customWidth="1"/>
    <x:col min="2" max="2" width="30" hidden="0" customWidth="1"/>
    <x:col min="3" max="3" width="24" hidden="0" customWidth="1"/>
    <x:col min="4" max="4" width="35" hidden="0" customWidth="1"/>
    <x:col min="5" max="5" width="14" hidden="0" customWidth="1"/>
    <x:col min="6" max="6" width="25" hidden="0" customWidth="1"/>
    <x:col min="7" max="7" width="78" hidden="0" customWidth="1"/>
    <x:col min="8" max="8" width="3" hidden="0" customWidth="1"/>
    <x:col min="9" max="9" width="100" hidden="0" customWidth="1"/>
  </x:cols>
  <x:sheetData>
    <x:row r="1">
      <x:c r="A1" s="1"/>
      <x:c r="B1" s="1"/>
      <x:c r="C1" s="1"/>
      <x:c r="D1" s="1"/>
      <x:c r="E1" s="1"/>
      <x:c r="F1" s="1"/>
      <x:c r="G1" s="1"/>
      <x:c r="H1" s="1"/>
      <x:c r="I1" s="1"/>
    </x:row>
    <x:row r="2">
      <x:c r="A2" s="2" t="str">
        <x:v>Crafting and processing relationships</x:v>
      </x:c>
      <x:c r="B2" s="1"/>
      <x:c r="C2" s="1"/>
      <x:c r="D2" s="1"/>
      <x:c r="E2" s="1"/>
      <x:c r="F2" s="1"/>
      <x:c r="G2" s="1"/>
      <x:c r="H2" s="1"/>
      <x:c r="I2" s="1"/>
    </x:row>
    <x:row r="3">
      <x:c r="A3" s="1"/>
      <x:c r="B3" s="1"/>
      <x:c r="C3" s="1"/>
      <x:c r="D3" s="1"/>
      <x:c r="E3" s="1"/>
      <x:c r="F3" s="1"/>
      <x:c r="G3" s="1"/>
      <x:c r="H3" s="1"/>
      <x:c r="I3" s="1"/>
    </x:row>
    <x:row r="4">
      <x:c r="A4" s="1"/>
      <x:c r="B4" s="1"/>
      <x:c r="C4" s="1"/>
      <x:c r="D4" s="1"/>
      <x:c r="E4" s="1"/>
      <x:c r="F4" s="1"/>
      <x:c r="G4" s="1"/>
      <x:c r="H4" s="1"/>
      <x:c r="I4" s="1"/>
    </x:row>
    <x:row r="5" ht="32" customHeight="1">
      <x:c r="A5" s="8" t="str">
        <x:v>Recipe / reference key</x:v>
      </x:c>
      <x:c r="B5" s="8" t="str">
        <x:v>Station</x:v>
      </x:c>
      <x:c r="C5" s="8" t="str">
        <x:v>Direction</x:v>
      </x:c>
      <x:c r="D5" s="8" t="str">
        <x:v>Item ID</x:v>
      </x:c>
      <x:c r="E5" s="8" t="str">
        <x:v>Quantity</x:v>
      </x:c>
      <x:c r="F5" s="8" t="str">
        <x:v>Scope</x:v>
      </x:c>
      <x:c r="G5" s="8" t="str">
        <x:v>Rules</x:v>
      </x:c>
      <x:c r="H5" s="10" t="str"/>
      <x:c r="I5" s="12" t="str">
        <x:v>Source</x:v>
      </x:c>
    </x:row>
    <x:row r="6" ht="48" customHeight="1">
      <x:c r="A6" s="9" t="str">
        <x:v>camp.empty-arc-battery.v1</x:v>
      </x:c>
      <x:c r="B6" s="9" t="str">
        <x:v>Workbench</x:v>
      </x:c>
      <x:c r="C6" s="9" t="str">
        <x:v>Input</x:v>
      </x:c>
      <x:c r="D6" s="9" t="str">
        <x:v>resource.ironstone_ore</x:v>
      </x:c>
      <x:c r="E6" s="9" t="n">
        <x:v>4</x:v>
      </x:c>
      <x:c r="F6" s="9" t="str">
        <x:v>Camp Loop trial</x:v>
      </x:c>
      <x:c r="G6" s="9" t="str">
        <x:v>Authored recipe version 1</x:v>
      </x:c>
      <x:c r="H6" s="11"/>
      <x:c r="I6" s="9" t="str">
        <x:v>Assets/_Project/Settings/Items/CampLoop/EmptyArcBatteryRecipe.asset</x:v>
      </x:c>
    </x:row>
    <x:row r="7" ht="48" customHeight="1">
      <x:c r="A7" s="4" t="str">
        <x:v>camp.empty-arc-battery.v1</x:v>
      </x:c>
      <x:c r="B7" s="4" t="str">
        <x:v>Workbench</x:v>
      </x:c>
      <x:c r="C7" s="4" t="str">
        <x:v>Output</x:v>
      </x:c>
      <x:c r="D7" s="4" t="str">
        <x:v>equipment.arc_battery_empty</x:v>
      </x:c>
      <x:c r="E7" s="4" t="n">
        <x:v>1</x:v>
      </x:c>
      <x:c r="F7" s="4" t="str">
        <x:v>Camp Loop trial</x:v>
      </x:c>
      <x:c r="G7" s="4" t="str">
        <x:v>Output to legal supply pocket</x:v>
      </x:c>
      <x:c r="H7" s="11"/>
      <x:c r="I7" s="4" t="str">
        <x:v>Assets/_Project/Settings/Items/CampLoop/EmptyArcBatteryRecipe.asset</x:v>
      </x:c>
    </x:row>
    <x:row r="8" ht="48" customHeight="1">
      <x:c r="A8" s="9" t="str">
        <x:v>lab.ironstone.dry-sort</x:v>
      </x:c>
      <x:c r="B8" s="9" t="str">
        <x:v>Manual Ironstone sorter</x:v>
      </x:c>
      <x:c r="C8" s="9" t="str">
        <x:v>Input</x:v>
      </x:c>
      <x:c r="D8" s="9" t="str">
        <x:v>resource.ironstone_ore</x:v>
      </x:c>
      <x:c r="E8" s="9" t="n">
        <x:v>4</x:v>
      </x:c>
      <x:c r="F8" s="9" t="str">
        <x:v>Camp Loop trial</x:v>
      </x:c>
      <x:c r="G8" s="9" t="str">
        <x:v>Authored recipe version 1</x:v>
      </x:c>
      <x:c r="H8" s="11"/>
      <x:c r="I8" s="9" t="str">
        <x:v>Assets/_Project/Settings/Items/CampLoopIronstone/DrySortingRecipe.asset</x:v>
      </x:c>
    </x:row>
    <x:row r="9" ht="48" customHeight="1">
      <x:c r="A9" s="4" t="str">
        <x:v>lab.ironstone.dry-sort</x:v>
      </x:c>
      <x:c r="B9" s="4" t="str">
        <x:v>Manual Ironstone sorter</x:v>
      </x:c>
      <x:c r="C9" s="4" t="str">
        <x:v>Output</x:v>
      </x:c>
      <x:c r="D9" s="4" t="str">
        <x:v>lab.ironstone.aggregate</x:v>
      </x:c>
      <x:c r="E9" s="4" t="n">
        <x:v>2</x:v>
      </x:c>
      <x:c r="F9" s="4" t="str">
        <x:v>Camp Loop trial</x:v>
      </x:c>
      <x:c r="G9" s="4" t="str">
        <x:v>Output tray; batch mass conserved</x:v>
      </x:c>
      <x:c r="H9" s="11"/>
      <x:c r="I9" s="4" t="str">
        <x:v>Assets/_Project/Settings/Items/CampLoopIronstone/DrySortingRecipe.asset</x:v>
      </x:c>
    </x:row>
    <x:row r="10" ht="48" customHeight="1">
      <x:c r="A10" s="9" t="str">
        <x:v>lab.ironstone.dry-sort</x:v>
      </x:c>
      <x:c r="B10" s="9" t="str">
        <x:v>Manual Ironstone sorter</x:v>
      </x:c>
      <x:c r="C10" s="9" t="str">
        <x:v>Output</x:v>
      </x:c>
      <x:c r="D10" s="9" t="str">
        <x:v>lab.ironstone.concentrate</x:v>
      </x:c>
      <x:c r="E10" s="9" t="n">
        <x:v>1</x:v>
      </x:c>
      <x:c r="F10" s="9" t="str">
        <x:v>Camp Loop trial</x:v>
      </x:c>
      <x:c r="G10" s="9" t="str">
        <x:v>Output tray; batch mass conserved</x:v>
      </x:c>
      <x:c r="H10" s="11"/>
      <x:c r="I10" s="9" t="str">
        <x:v>Assets/_Project/Settings/Items/CampLoopIronstone/DrySortingRecipe.asset</x:v>
      </x:c>
    </x:row>
    <x:row r="11" ht="48" customHeight="1">
      <x:c r="A11" s="4" t="str">
        <x:v>lab.ironstone.dry-sort</x:v>
      </x:c>
      <x:c r="B11" s="4" t="str">
        <x:v>Manual Ironstone sorter</x:v>
      </x:c>
      <x:c r="C11" s="4" t="str">
        <x:v>Output</x:v>
      </x:c>
      <x:c r="D11" s="4" t="str">
        <x:v>lab.ironstone.sand</x:v>
      </x:c>
      <x:c r="E11" s="4" t="n">
        <x:v>1</x:v>
      </x:c>
      <x:c r="F11" s="4" t="str">
        <x:v>Camp Loop trial</x:v>
      </x:c>
      <x:c r="G11" s="4" t="str">
        <x:v>Output tray; batch mass conserved</x:v>
      </x:c>
      <x:c r="H11" s="11"/>
      <x:c r="I11" s="4" t="str">
        <x:v>Assets/_Project/Settings/Items/CampLoopIronstone/DrySortingRecipe.asset</x:v>
      </x:c>
    </x:row>
    <x:row r="12" ht="48" customHeight="1">
      <x:c r="A12" s="9" t="str">
        <x:v>lab.ironstone.dry-sort</x:v>
      </x:c>
      <x:c r="B12" s="9" t="str">
        <x:v>Manual Ironstone sorter</x:v>
      </x:c>
      <x:c r="C12" s="9" t="str">
        <x:v>Output</x:v>
      </x:c>
      <x:c r="D12" s="9" t="str">
        <x:v>lab.ironstone.mineral_dust</x:v>
      </x:c>
      <x:c r="E12" s="9" t="n">
        <x:v>2</x:v>
      </x:c>
      <x:c r="F12" s="9" t="str">
        <x:v>Camp Loop trial</x:v>
      </x:c>
      <x:c r="G12" s="9" t="str">
        <x:v>Output tray; batch mass conserved</x:v>
      </x:c>
      <x:c r="H12" s="11"/>
      <x:c r="I12" s="9" t="str">
        <x:v>Assets/_Project/Settings/Items/CampLoopIronstone/DrySortingRecipe.asset</x:v>
      </x:c>
    </x:row>
    <x:row r="13" ht="48" customHeight="1">
      <x:c r="A13" s="4" t="str">
        <x:v>reference.refinery-charge</x:v>
      </x:c>
      <x:c r="B13" s="4" t="str">
        <x:v>Dust refinery</x:v>
      </x:c>
      <x:c r="C13" s="4" t="str">
        <x:v>Input</x:v>
      </x:c>
      <x:c r="D13" s="4" t="str">
        <x:v>equipment.arc_battery_empty</x:v>
      </x:c>
      <x:c r="E13" s="4" t="n">
        <x:v>1</x:v>
      </x:c>
      <x:c r="F13" s="4" t="str">
        <x:v>Camp Loop trial</x:v>
      </x:c>
      <x:c r="G13" s="4" t="str">
        <x:v>Workbook reference key; not an authored recipe ID</x:v>
      </x:c>
      <x:c r="H13" s="11"/>
      <x:c r="I13" s="4" t="str">
        <x:v>Docs/Evidence/Gameplay/CampWorkstations20261014/README.md</x:v>
      </x:c>
    </x:row>
    <x:row r="14" ht="48" customHeight="1">
      <x:c r="A14" s="9" t="str">
        <x:v>reference.refinery-charge</x:v>
      </x:c>
      <x:c r="B14" s="9" t="str">
        <x:v>Dust refinery</x:v>
      </x:c>
      <x:c r="C14" s="9" t="str">
        <x:v>Contents consumed</x:v>
      </x:c>
      <x:c r="D14" s="9" t="str">
        <x:v>resource.airborne_dust</x:v>
      </x:c>
      <x:c r="E14" s="9" t="n">
        <x:v>10</x:v>
      </x:c>
      <x:c r="F14" s="9" t="str">
        <x:v>Camp Loop trial</x:v>
      </x:c>
      <x:c r="G14" s="9" t="str">
        <x:v>Dust must be in docked canister; not a loose-stack recipe</x:v>
      </x:c>
      <x:c r="H14" s="11"/>
      <x:c r="I14" s="9" t="str">
        <x:v>Docs/Evidence/Gameplay/CampWorkstations20261014/README.md</x:v>
      </x:c>
    </x:row>
    <x:row r="15" ht="48" customHeight="1">
      <x:c r="A15" s="4" t="str">
        <x:v>reference.refinery-charge</x:v>
      </x:c>
      <x:c r="B15" s="4" t="str">
        <x:v>Dust refinery</x:v>
      </x:c>
      <x:c r="C15" s="4" t="str">
        <x:v>Output</x:v>
      </x:c>
      <x:c r="D15" s="4" t="str">
        <x:v>equipment.arc_battery_charged</x:v>
      </x:c>
      <x:c r="E15" s="4" t="n">
        <x:v>1</x:v>
      </x:c>
      <x:c r="F15" s="4" t="str">
        <x:v>Camp Loop trial</x:v>
      </x:c>
      <x:c r="G15" s="4" t="str">
        <x:v>Canister and leftover contents retained</x:v>
      </x:c>
      <x:c r="H15" s="11"/>
      <x:c r="I15" s="4" t="str">
        <x:v>Docs/Evidence/Gameplay/CampWorkstations20261014/README.md</x:v>
      </x:c>
    </x:row>
  </x:sheetData>
  <x:pageMargins left="0.7" right="0.7" top="0.75" bottom="0.75" header="0.3" footer="0.3"/>
  <x:tableParts count="1">
    <x:tablePart xmlns:r="http://schemas.openxmlformats.org/officeDocument/2006/relationships" r:id="R68a6e497a64842cb"/>
  </x:tableParts>
</x:worksheet>
</file>

<file path=xl/worksheets/sheet4.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30" hidden="0" customWidth="1"/>
    <x:col min="2" max="2" width="30" hidden="0" customWidth="1"/>
    <x:col min="3" max="3" width="70" hidden="0" customWidth="1"/>
    <x:col min="4" max="4" width="85" hidden="0" customWidth="1"/>
    <x:col min="5" max="5" width="24" hidden="0" customWidth="1"/>
  </x:cols>
  <x:sheetData>
    <x:row r="1">
      <x:c r="A1" s="1"/>
      <x:c r="B1" s="1"/>
      <x:c r="C1" s="1"/>
      <x:c r="D1" s="1"/>
    </x:row>
    <x:row r="2">
      <x:c r="A2" s="2" t="str">
        <x:v>Categories and item families</x:v>
      </x:c>
      <x:c r="B2" s="1"/>
      <x:c r="C2" s="1"/>
      <x:c r="D2" s="1"/>
    </x:row>
    <x:row r="3">
      <x:c r="A3" s="1" t="str">
        <x:v>Primary categories partition the catalog. Item families and planning scopes overlap; filter Grouping before adding counts.</x:v>
      </x:c>
      <x:c r="B3" s="1"/>
      <x:c r="C3" s="1"/>
      <x:c r="D3" s="1"/>
    </x:row>
    <x:row r="4">
      <x:c r="A4" s="1"/>
      <x:c r="B4" s="1"/>
      <x:c r="C4" s="1"/>
      <x:c r="D4" s="1"/>
    </x:row>
    <x:row r="5" ht="36" customHeight="1">
      <x:c r="A5" s="58" t="str">
        <x:v>Category</x:v>
      </x:c>
      <x:c r="B5" s="58" t="str">
        <x:v>Current coverage</x:v>
      </x:c>
      <x:c r="C5" s="58" t="str">
        <x:v>Existing basis</x:v>
      </x:c>
      <x:c r="D5" s="58" t="str">
        <x:v>Later brainstorming</x:v>
      </x:c>
      <x:c r="E5" s="60" t="str">
        <x:v>Grouping</x:v>
      </x:c>
    </x:row>
    <x:row r="6" ht="48" customHeight="1">
      <x:c r="A6" s="9" t="str">
        <x:v>Equipment</x:v>
      </x:c>
      <x:c r="B6" s="9" t="n">
        <x:f>COUNTIF(Items!$C$6:$C$1005,A6)</x:f>
        <x:v>91</x:v>
      </x:c>
      <x:c r="C6" s="9" t="str">
        <x:v>Existing gear plus armor, carriers, rare eyewear/headwear and very rare fashion families</x:v>
      </x:c>
      <x:c r="D6" s="9" t="str">
        <x:v>New equipment concepts have no implemented slots, effects or layering rules</x:v>
      </x:c>
      <x:c r="E6" s="4" t="str">
        <x:v>Primary category</x:v>
      </x:c>
    </x:row>
    <x:row r="7" ht="48" customHeight="1">
      <x:c r="A7" s="4" t="str">
        <x:v>Field supplies</x:v>
      </x:c>
      <x:c r="B7" s="4" t="n">
        <x:f>COUNTIF(Items!$C$6:$C$1005,A7)</x:f>
        <x:v>5</x:v>
      </x:c>
      <x:c r="C7" s="4" t="str">
        <x:v>Two battery states, pop-up camp, canister service kit and Legger service fasteners</x:v>
      </x:c>
      <x:c r="D7" s="4" t="str">
        <x:v>Counts follow Category, independent of implementation status.</x:v>
      </x:c>
      <x:c r="E7" s="4" t="str">
        <x:v>Primary category</x:v>
      </x:c>
    </x:row>
    <x:row r="8" ht="48" customHeight="1">
      <x:c r="A8" s="9" t="str">
        <x:v>Resources</x:v>
      </x:c>
      <x:c r="B8" s="9" t="n">
        <x:f>COUNTIF(Items!$C$6:$C$1005,A8)</x:f>
        <x:v>163</x:v>
      </x:c>
      <x:c r="C8" s="9" t="str">
        <x:v>Raw and processed minerals, fauna materials, fuels, gems and industrial chemistry</x:v>
      </x:c>
      <x:c r="D8" s="9" t="str">
        <x:v>Use type/stage/material/use filters to narrow this broad resource category.</x:v>
      </x:c>
      <x:c r="E8" s="4" t="str">
        <x:v>Primary category</x:v>
      </x:c>
    </x:row>
    <x:row r="9" ht="48" customHeight="1">
      <x:c r="A9" s="4" t="str">
        <x:v>Crafting components</x:v>
      </x:c>
      <x:c r="B9" s="4" t="n">
        <x:f>COUNTIF(Items!$C$6:$C$1005,A9)</x:f>
        <x:v>83</x:v>
      </x:c>
      <x:c r="C9" s="4" t="str">
        <x:v>Salvage, prepared materials, vessel parts, wind equipment parts and Legger replacement components</x:v>
      </x:c>
      <x:c r="D9" s="4" t="str">
        <x:v>Use Subtype for a family and Primary use or Item uses for its intended job.</x:v>
      </x:c>
      <x:c r="E9" s="4" t="str">
        <x:v>Primary category</x:v>
      </x:c>
    </x:row>
    <x:row r="10" ht="48" customHeight="1">
      <x:c r="A10" s="9" t="str">
        <x:v>Survival contents</x:v>
      </x:c>
      <x:c r="B10" s="9" t="str">
        <x:v>Baseline reserve remains canister-owned</x:v>
      </x:c>
      <x:c r="C10" s="9" t="str">
        <x:v>Existing attached algae reserve is distinct from newly prepared drink/bar/meal servings</x:v>
      </x:c>
      <x:c r="D10" s="9" t="str">
        <x:v>Processing quantities and consumption transfers must account for source algae and prepared servings once.</x:v>
      </x:c>
      <x:c r="E10" s="4" t="str">
        <x:v>Planning scope</x:v>
      </x:c>
    </x:row>
    <x:row r="11" ht="48" customHeight="1">
      <x:c r="A11" s="4" t="str">
        <x:v>Energy</x:v>
      </x:c>
      <x:c r="B11" s="4" t="str">
        <x:v>Not discrete items</x:v>
      </x:c>
      <x:c r="C11" s="4" t="str">
        <x:v>Arc Energy contained by charged batteries</x:v>
      </x:c>
      <x:c r="D11" s="4" t="str">
        <x:v>No separate energy inventory definition</x:v>
      </x:c>
      <x:c r="E11" s="4" t="str">
        <x:v>Planning scope</x:v>
      </x:c>
    </x:row>
    <x:row r="12" ht="48" customHeight="1">
      <x:c r="A12" s="9" t="str">
        <x:v>Weapons and ammunition</x:v>
      </x:c>
      <x:c r="B12" s="9" t="str">
        <x:v>1 named candidate; design deferred</x:v>
      </x:c>
      <x:c r="C12" s="9" t="str">
        <x:v>Caltrops; four future specialized-purpose weapon lanes</x:v>
      </x:c>
      <x:c r="D12" s="9" t="str">
        <x:v>Offensive weapons, defensive weapons, traps and trip-ups. No ammunition roster defined.</x:v>
      </x:c>
      <x:c r="E12" s="4" t="str">
        <x:v>Planning scope</x:v>
      </x:c>
    </x:row>
    <x:row r="13" ht="48" customHeight="1">
      <x:c r="A13" s="4" t="str">
        <x:v>Workstations and storage</x:v>
      </x:c>
      <x:c r="B13" s="4" t="str">
        <x:v>World objects</x:v>
      </x:c>
      <x:c r="C13" s="4" t="str">
        <x:v>Workbench, dust refinery, Ironstone sorter, camp chest</x:v>
      </x:c>
      <x:c r="D13" s="4" t="str">
        <x:v>Not portable inventory items or recipes for crafting stations</x:v>
      </x:c>
      <x:c r="E13" s="4" t="str">
        <x:v>Planning scope</x:v>
      </x:c>
    </x:row>
    <x:row r="14" ht="48" customHeight="1">
      <x:c r="A14" s="9" t="str">
        <x:v>Companion gear and upgrades</x:v>
      </x:c>
      <x:c r="B14" s="9" t="str">
        <x:f>B36&amp;" concepts; no runtime definitions"</x:f>
        <x:v>60 concepts; no runtime definitions</x:v>
      </x:c>
      <x:c r="C14" s="9" t="str">
        <x:v>See Legger parts and fitments for the six populated proposal families</x:v>
      </x:c>
      <x:c r="D14" s="9" t="str">
        <x:v>The physical companion and its finite cargo rules remain unchanged.</x:v>
      </x:c>
      <x:c r="E14" s="4" t="str">
        <x:v>Planning scope</x:v>
      </x:c>
    </x:row>
    <x:row r="15" ht="48" customHeight="1">
      <x:c r="A15" s="4" t="str">
        <x:v>Trade and quest items</x:v>
      </x:c>
      <x:c r="B15" s="4" t="str">
        <x:v>Currency family registered; quest roster open</x:v>
      </x:c>
      <x:c r="C15" s="4" t="str">
        <x:v>Imperial Commons is registered from source proposal WLD-0032</x:v>
      </x:c>
      <x:c r="D15" s="4" t="str">
        <x:v>Denominations, prices and quest-specific item roster remain unresolved.</x:v>
      </x:c>
      <x:c r="E15" s="4" t="str">
        <x:v>Planning scope</x:v>
      </x:c>
    </x:row>
    <x:row r="16" ht="70" customHeight="1">
      <x:c r="A16" s="41" t="str">
        <x:v>Containers</x:v>
      </x:c>
      <x:c r="B16" s="41" t="n">
        <x:f>COUNTIF(Items!$C$6:$C$1005,A16)</x:f>
        <x:v>20</x:v>
      </x:c>
      <x:c r="C16" s="41" t="str">
        <x:v>Items assigned to the broad Containers category, including tools/closures in the original vessel family</x:v>
      </x:c>
      <x:c r="D16" s="41" t="str">
        <x:v>For all vessels/cases across categories, filter Item type = Container or Carrier. Container concepts retains its original sixteen proposals.</x:v>
      </x:c>
      <x:c r="E16" s="4" t="str">
        <x:v>Primary category</x:v>
      </x:c>
    </x:row>
    <x:row r="17" ht="60" customHeight="1">
      <x:c r="A17" s="4" t="str">
        <x:v>Offensive weapons</x:v>
      </x:c>
      <x:c r="B17" s="4" t="n">
        <x:f>COUNTIF(Items!$Z$6:$Z$1005,"Offensive combat")</x:f>
        <x:v>5</x:v>
      </x:c>
      <x:c r="C17" s="4" t="str">
        <x:v>Ancient laser swords, laser blasters, rockets and rocket launchers; author-directed families</x:v>
      </x:c>
      <x:c r="D17" s="4" t="str">
        <x:v>Specific reproduced variants, combat roles, compatibility and recipes remain open.</x:v>
      </x:c>
      <x:c r="E17" s="4" t="str">
        <x:v>Item family</x:v>
      </x:c>
    </x:row>
    <x:row r="18" ht="60" customHeight="1">
      <x:c r="A18" s="4" t="str">
        <x:v>Defensive weapons</x:v>
      </x:c>
      <x:c r="B18" s="4" t="n">
        <x:f>COUNTIFS(Items!$C$6:$C$1005,"Weapons",Items!$D$6:$D$1005,A18)</x:f>
        <x:v>0</x:v>
      </x:c>
      <x:c r="C18" s="4" t="str">
        <x:v>Reserved category; existing shield concept remains in Equipment</x:v>
      </x:c>
      <x:c r="D18" s="4" t="str">
        <x:v>No duplicate shield item or new defensive weapon added</x:v>
      </x:c>
      <x:c r="E18" s="4" t="str">
        <x:v>Planning scope</x:v>
      </x:c>
    </x:row>
    <x:row r="19" ht="60" customHeight="1">
      <x:c r="A19" s="4" t="str">
        <x:v>Traps</x:v>
      </x:c>
      <x:c r="B19" s="4" t="n">
        <x:f>COUNTIFS(Items!$C$6:$C$1005,"Weapons",Items!$D$6:$D$1005,A19)</x:f>
        <x:v>0</x:v>
      </x:c>
      <x:c r="C19" s="4" t="str">
        <x:v>Reserved category; no named trap added</x:v>
      </x:c>
      <x:c r="D19" s="4" t="str">
        <x:v>Targets, trigger, recovery and mechanics deferred</x:v>
      </x:c>
      <x:c r="E19" s="4" t="str">
        <x:v>Planning scope</x:v>
      </x:c>
    </x:row>
    <x:row r="20" ht="60" customHeight="1">
      <x:c r="A20" s="4" t="str">
        <x:v>Trip-ups</x:v>
      </x:c>
      <x:c r="B20" s="4" t="n">
        <x:f>COUNTIFS(Items!$C$6:$C$1005,"Weapons",Items!$D$6:$D$1005,A20)</x:f>
        <x:v>1</x:v>
      </x:c>
      <x:c r="C20" s="4" t="str">
        <x:v>Caltrops is the first named candidate</x:v>
      </x:c>
      <x:c r="D20" s="4" t="str">
        <x:v>No damage, recipe, deployment or target compatibility established</x:v>
      </x:c>
      <x:c r="E20" s="4" t="str">
        <x:v>Item family</x:v>
      </x:c>
    </x:row>
    <x:row r="21" ht="65" customHeight="1">
      <x:c r="A21" s="4" t="str">
        <x:v>Ancient material feedstocks</x:v>
      </x:c>
      <x:c r="B21" s="4" t="n">
        <x:f>COUNTIFS(Items!$C$6:$C$1005,"Resources",Items!$D$6:$D$1005,"Ancient manufactured material")</x:f>
        <x:v>3</x:v>
      </x:c>
      <x:c r="C21" s="4" t="str">
        <x:v>Carbon composites, nanocarbon materials, plasteels and related futuristic substances</x:v>
      </x:c>
      <x:c r="D21" s="4" t="str">
        <x:v>Extremely rare; source of material does not establish repeatable manufacture</x:v>
      </x:c>
      <x:c r="E21" s="4" t="str">
        <x:v>Item family</x:v>
      </x:c>
    </x:row>
    <x:row r="22" ht="75" customHeight="1">
      <x:c r="A22" s="4" t="str">
        <x:v>Fashion, hats and eyewear</x:v>
      </x:c>
      <x:c r="B22" s="4" t="n">
        <x:f>COUNTIF(Items!$D$6:$D$1005,"Specialist eyewear")+COUNTIF(Items!$D$6:$D$1005,"Eyewear")+COUNTIF(Items!$D$6:$D$1005,"Headwear")+COUNTIF(Items!$D$6:$D$1005,"Fashion garment")</x:f>
        <x:v>6</x:v>
      </x:c>
      <x:c r="C22" s="4" t="str">
        <x:v>Six rare eyewear/headwear and elaborate fashion families</x:v>
      </x:c>
      <x:c r="D22" s="4" t="str">
        <x:v>Elaborate fashion is very rare/expensive; everyday simple wraps and chainmail are a separate baseline.</x:v>
      </x:c>
      <x:c r="E22" s="4" t="str">
        <x:v>Item family</x:v>
      </x:c>
    </x:row>
    <x:row r="23" ht="75" customHeight="1">
      <x:c r="A23" s="4" t="str">
        <x:v>Gemstones</x:v>
      </x:c>
      <x:c r="B23" s="4" t="n">
        <x:f>COUNTIF(Items!$D$6:$D$1005,"Gemstone concept")</x:f>
        <x:v>8</x:v>
      </x:c>
      <x:c r="C23" s="4" t="str">
        <x:v>Eight proposed mineral families: clear/smoky quartz, garnet, spinel, peridot, corundum, tourmaline and zircon</x:v>
      </x:c>
      <x:c r="D23" s="4" t="str">
        <x:v>Existence accepted; species, deposits, grades, cutting, rarity and uses remain proposed.</x:v>
      </x:c>
      <x:c r="E23" s="4" t="str">
        <x:v>Item family</x:v>
      </x:c>
    </x:row>
    <x:row r="24" ht="75" customHeight="1">
      <x:c r="A24" s="4" t="str">
        <x:v>Everyday clothing</x:v>
      </x:c>
      <x:c r="B24" s="4" t="n">
        <x:f>COUNTIF(Items!$D$6:$D$1005,"Everyday clothing")+COUNTIF(Items!$A$6:$A$1005,"proposal.gear.mail_shirt")</x:f>
        <x:v>2</x:v>
      </x:c>
      <x:c r="C24" s="4" t="str">
        <x:v>Simple wraps, metal chainmail and practical metal-based wear with minimal fur</x:v>
      </x:c>
      <x:c r="D24" s="4" t="str">
        <x:v>Chainmail already has an item-family entry; no duplicate mail item or cloth input added.</x:v>
      </x:c>
      <x:c r="E24" s="4" t="str">
        <x:v>Item family</x:v>
      </x:c>
    </x:row>
    <x:row r="25" ht="85" customHeight="1">
      <x:c r="A25" s="4" t="str">
        <x:v>Canister economy</x:v>
      </x:c>
      <x:c r="B25" s="4" t="n">
        <x:f>COUNTIF(Items!$D$6:$D$1005,"Canister economy concept")</x:f>
        <x:v>15</x:v>
      </x:c>
      <x:c r="C25" s="4" t="str">
        <x:v>Bodies, seals, seats, sealant, lines, couplings, mouthpieces, viewing inserts, mounts, harnesses, inspection/service and identity pieces</x:v>
      </x:c>
      <x:c r="D25" s="4" t="str">
        <x:v>15 new proposals from source canister craft/carry/ritual records; no automatic air-reserve or maintenance simulation.</x:v>
      </x:c>
      <x:c r="E25" s="4" t="str">
        <x:v>Item family</x:v>
      </x:c>
    </x:row>
    <x:row r="26" ht="85" customHeight="1">
      <x:c r="A26" s="4" t="str">
        <x:v>Megafauna wing materials</x:v>
      </x:c>
      <x:c r="B26" s="4" t="n">
        <x:f>COUNTIF(Items!$AA$6:$AA$1005,"Wing membrane")+COUNTIF(Items!$AA$6:$AA$1005,"Wing membrane and frame")</x:f>
        <x:v>4</x:v>
      </x:c>
      <x:c r="C26" s="4" t="str">
        <x:v>Inner-wing resource, shade panel, sail panel and handheld wing sail</x:v>
      </x:c>
      <x:c r="D26" s="4" t="str">
        <x:v>Wing material is shared across shading and wind-traversal concepts; preparation may differ.</x:v>
      </x:c>
      <x:c r="E26" s="4" t="str">
        <x:v>Item family</x:v>
      </x:c>
    </x:row>
    <x:row r="27" ht="85" customHeight="1">
      <x:c r="A27" s="4" t="str">
        <x:v>Religious objects</x:v>
      </x:c>
      <x:c r="B27" s="4" t="n">
        <x:f>COUNTIF(Items!$D$6:$D$1005,"Religious")</x:f>
        <x:v>6</x:v>
      </x:c>
      <x:c r="C27" s="4" t="str">
        <x:v>Icons, shrine plaques, altar vials, relic cases, prayer leaves and votive tokens</x:v>
      </x:c>
      <x:c r="D27" s="4" t="str">
        <x:v>All six are game proposals; source faith records are proposal-stage.</x:v>
      </x:c>
      <x:c r="E27" s="4" t="str">
        <x:v>Item family</x:v>
      </x:c>
    </x:row>
    <x:row r="28" ht="85" customHeight="1">
      <x:c r="A28" s="4" t="str">
        <x:v>Political / civic objects</x:v>
      </x:c>
      <x:c r="B28" s="4" t="n">
        <x:f>COUNTIF(Items!$D$6:$D$1005,"Political / civic")</x:f>
        <x:v>6</x:v>
      </x:c>
      <x:c r="C28" s="4" t="str">
        <x:v>Office badges, seal stamps, registers, notices, petitions and service medallions</x:v>
      </x:c>
      <x:c r="D28" s="4" t="str">
        <x:v>Institutions, rights and public roles remain undecided.</x:v>
      </x:c>
      <x:c r="E28" s="4" t="str">
        <x:v>Item family</x:v>
      </x:c>
    </x:row>
    <x:row r="29" ht="85" customHeight="1">
      <x:c r="A29" s="4" t="str">
        <x:v>Ritual objects</x:v>
      </x:c>
      <x:c r="B29" s="4" t="n">
        <x:f>COUNTIF(Items!$D$6:$D$1005,"Ritual")</x:f>
        <x:v>6</x:v>
      </x:c>
      <x:c r="C29" s="4" t="str">
        <x:v>Pilgrimage dies, memorial plates, oath rings, milestone charms, rattles and gift cases</x:v>
      </x:c>
      <x:c r="D29" s="4" t="str">
        <x:v>Objects of ceremony and memory; no automatic supernatural effects.</x:v>
      </x:c>
      <x:c r="E29" s="4" t="str">
        <x:v>Item family</x:v>
      </x:c>
    </x:row>
    <x:row r="30" ht="85" customHeight="1">
      <x:c r="A30" s="4" t="str">
        <x:v>Household starter set</x:v>
      </x:c>
      <x:c r="B30" s="4" t="n">
        <x:f>COUNTIF(Items!$D$6:$D$1005,"Everyday household")</x:f>
        <x:v>6</x:v>
      </x:c>
      <x:c r="C30" s="4" t="str">
        <x:v>Bowls, algae spoons, dust brushes, combs, tally tablets and marking tools</x:v>
      </x:c>
      <x:c r="D30" s="4" t="str">
        <x:v>Original six household proposals. Everyday objects gives the current broad category total, including ceramic tableware.</x:v>
      </x:c>
      <x:c r="E30" s="4" t="str">
        <x:v>Item family</x:v>
      </x:c>
    </x:row>
    <x:row r="31" ht="110" customHeight="1">
      <x:c r="A31" s="4" t="str">
        <x:v>Ceramics</x:v>
      </x:c>
      <x:c r="B31" s="4" t="n">
        <x:f>COUNTIF(Items!$AA$6:$AA$1005,"Ceramic")+COUNTIF(Items!$AA$6:$AA$1005,"Ceramic feed mixture")+COUNTIF(Items!$AA$6:$AA$1005,"Ceramic and metal")</x:f>
        <x:v>38</x:v>
      </x:c>
      <x:c r="C31" s="4" t="str">
        <x:v>Items classified as Ceramic, Ceramic feed mixture or Ceramic and metal</x:v>
      </x:c>
      <x:c r="D31" s="4" t="str">
        <x:v>Includes later cooking parts and Legger/ancient ceramic inserts; mineral feeds with other material labels remain separately classified.</x:v>
      </x:c>
      <x:c r="E31" s="4" t="str">
        <x:v>Item family</x:v>
      </x:c>
    </x:row>
    <x:row r="32" ht="90" customHeight="1">
      <x:c r="A32" s="4" t="str">
        <x:v>Currency</x:v>
      </x:c>
      <x:c r="B32" s="4" t="n">
        <x:f>COUNTIF(Items!$C$6:$C$1005,"Currency")</x:f>
        <x:v>1</x:v>
      </x:c>
      <x:c r="C32" s="4" t="str">
        <x:v>Imperial Commons currency family; aliases Commons and marks</x:v>
      </x:c>
      <x:c r="D32" s="4" t="str">
        <x:v>WLD-0032 draft/proposal names the currency but does not define denominations, physical tokens or exchange ratios.</x:v>
      </x:c>
      <x:c r="E32" s="4" t="str">
        <x:v>Primary category</x:v>
      </x:c>
    </x:row>
    <x:row r="33" ht="110" customHeight="1">
      <x:c r="A33" s="4" t="str">
        <x:v>Special stones, fire and cooking</x:v>
      </x:c>
      <x:c r="B33" s="4" t="n">
        <x:f>COUNTIF(Items!$D$6:$D$1005,"Special stone")+COUNTIF(Items!$D$6:$D$1005,"Ignition tool")+COUNTIF(Items!$D$6:$D$1005,"Fire fuel")+COUNTIF(Items!$D$6:$D$1005,"Cooking vessel")+COUNTIF(Items!$D$6:$D$1005,"Cooking tool")+COUNTIF(Items!$D$6:$D$1005,"Fire management")+COUNTIF(Items!$D$6:$D$1005,"Mineral light")</x:f>
        <x:v>16</x:v>
      </x:c>
      <x:c r="C33" s="4" t="str">
        <x:v>Oxygen-releasing rock, glow stone, flint, ignition, chitin-char, food-heating vessels/tools and managed-fire parts</x:v>
      </x:c>
      <x:c r="D33" s="4" t="str">
        <x:v>Source fire behavior is proposal-stage. Extracted-stone behavior, fuel/air supply, cooking effects and equipment performance unresolved.</x:v>
      </x:c>
      <x:c r="E33" s="4" t="str">
        <x:v>Item family</x:v>
      </x:c>
    </x:row>
    <x:row r="34" ht="105" customHeight="1">
      <x:c r="A34" s="4" t="str">
        <x:v>Faunal lubricants</x:v>
      </x:c>
      <x:c r="B34" s="4" t="n">
        <x:f>COUNTIF(Items!$D$6:$D$1005,"Lubricant intermediate")+COUNTIF(Items!$D$6:$D$1005,"Finished lubricant")</x:f>
        <x:v>8</x:v>
      </x:c>
      <x:c r="C34" s="4" t="str">
        <x:v>Two candidate processing intermediates and six finished oil/grease/film families</x:v>
      </x:c>
      <x:c r="D34" s="4" t="str">
        <x:v>Reuse existing raw joint secretion and graphite flakes. Industrial lubricant is distinct from adhesives, sealant, food and conductive gel.</x:v>
      </x:c>
      <x:c r="E34" s="4" t="str">
        <x:v>Item family</x:v>
      </x:c>
    </x:row>
    <x:row r="35" ht="115" customHeight="1">
      <x:c r="A35" s="4" t="str">
        <x:v>Wind gear and machines</x:v>
      </x:c>
      <x:c r="B35" s="4" t="n">
        <x:f>COUNTIF(Items!$D$6:$D$1005,"Wind machine")+COUNTIF(Items!$D$6:$D$1005,"Wind sail material")+COUNTIF(Items!$D$6:$D$1005,"Wind traversal gear")+COUNTIF(Items!$D$6:$D$1005,"Wind sail component")+COUNTIF(Items!$D$6:$D$1005,"Dirtboard component")+COUNTIF(Items!$D$6:$D$1005,"Wind machine component")</x:f>
        <x:v>10</x:v>
      </x:c>
      <x:c r="C35" s="4" t="str">
        <x:v>Salvaged turbine; wing sail panel; collapsible handheld sail; four-wheel dirtboard; proposed frame, grip, wheels, steering, rotor and generator parts</x:v>
      </x:c>
      <x:c r="D35" s="4" t="str">
        <x:v>Existing delicate inner-wing resource gains sail use. Author-directed equipment is catalog design; assembly, movement and energy conversion remain unimplemented.</x:v>
      </x:c>
      <x:c r="E35" s="4" t="str">
        <x:v>Item family</x:v>
      </x:c>
    </x:row>
    <x:row r="36" ht="115" customHeight="1">
      <x:c r="A36" s="4" t="str">
        <x:v>Legger parts and fitments</x:v>
      </x:c>
      <x:c r="B36" s="4" t="n">
        <x:f>COUNTIF(Items!$D$6:$D$1005,"Legger cargo rigging")+COUNTIF(Items!$D$6:$D$1005,"Legger chassis")+COUNTIF(Items!$D$6:$D$1005,"Legger mechanical parts")+COUNTIF(Items!$D$6:$D$1005,"Legger service parts")+COUNTIF(Items!$D$6:$D$1005,"Legger armor")+COUNTIF(Items!$D$6:$D$1005,"Legger ancient replacement")</x:f>
        <x:v>60</x:v>
      </x:c>
      <x:c r="C36" s="4" t="str">
        <x:v>60 proposals across cargo rigging, chassis, mechanical parts, service equipment, armor and ancient replacements</x:v>
      </x:c>
      <x:c r="D36" s="4" t="str">
        <x:v>Includes 36 additional specific parts. Fit, function, serviceability and protective properties remain proposals.</x:v>
      </x:c>
      <x:c r="E36" s="4" t="str">
        <x:v>Item family</x:v>
      </x:c>
    </x:row>
    <x:row r="37" ht="85" customHeight="1">
      <x:c r="A37" s="4" t="str">
        <x:v>Weapons</x:v>
      </x:c>
      <x:c r="B37" s="4" t="n">
        <x:f>COUNTIF(Items!$C$6:$C$1005,A37)</x:f>
        <x:v>6</x:v>
      </x:c>
      <x:c r="C37" s="4" t="str">
        <x:v>Weapon-category items; caltrops currently supplies this category</x:v>
      </x:c>
      <x:c r="D37" s="4" t="str">
        <x:v>Detailed offensive, defensive, trap and trip-up design remains open.</x:v>
      </x:c>
      <x:c r="E37" s="4" t="str">
        <x:v>Primary category</x:v>
      </x:c>
    </x:row>
    <x:row r="38" ht="85" customHeight="1">
      <x:c r="A38" s="4" t="str">
        <x:v>Cultural objects</x:v>
      </x:c>
      <x:c r="B38" s="4" t="n">
        <x:f>COUNTIF(Items!$C$6:$C$1005,A38)</x:f>
        <x:v>21</x:v>
      </x:c>
      <x:c r="C38" s="4" t="str">
        <x:v>Devotional, civic, ritual and ceramic ceremonial objects</x:v>
      </x:c>
      <x:c r="D38" s="4" t="str">
        <x:v>Use Subtype or Item uses to select a cultural purpose.</x:v>
      </x:c>
      <x:c r="E38" s="4" t="str">
        <x:v>Primary category</x:v>
      </x:c>
    </x:row>
    <x:row r="39" ht="85" customHeight="1">
      <x:c r="A39" s="4" t="str">
        <x:v>Everyday objects</x:v>
      </x:c>
      <x:c r="B39" s="4" t="n">
        <x:f>COUNTIF(Items!$C$6:$C$1005,A39)</x:f>
        <x:v>9</x:v>
      </x:c>
      <x:c r="C39" s="4" t="str">
        <x:v>Household utensils, record tools and ceramic tableware</x:v>
      </x:c>
      <x:c r="D39" s="4" t="str">
        <x:v>Other practical tools may be classified as Equipment; use Item type/Use across categories.</x:v>
      </x:c>
      <x:c r="E39" s="4" t="str">
        <x:v>Primary category</x:v>
      </x:c>
    </x:row>
    <x:row r="40" ht="85" customHeight="1">
      <x:c r="A40" s="4" t="str">
        <x:v>Ancient recovered items</x:v>
      </x:c>
      <x:c r="B40" s="4" t="n">
        <x:f>COUNTIF(Items!$Y$6:$Y$1005,"Ancient technology")</x:f>
        <x:v>17</x:v>
      </x:c>
      <x:c r="C40" s="4" t="str">
        <x:v>Ancient material, replacement-part, weapon and ammunition concepts</x:v>
      </x:c>
      <x:c r="D40" s="4" t="str">
        <x:v>Use Origin family = Ancient technology across the whole master; scarcity does not establish properties.</x:v>
      </x:c>
      <x:c r="E40" s="4" t="str">
        <x:v>Item family</x:v>
      </x:c>
    </x:row>
    <x:row r="41" ht="115" customHeight="1">
      <x:c r="A41" s="4" t="str">
        <x:v>Consumables</x:v>
      </x:c>
      <x:c r="B41" s="4" t="n">
        <x:f>COUNTIF(Items!$C$6:$C$1005,A41)</x:f>
        <x:v>9</x:v>
      </x:c>
      <x:c r="C41" s="4" t="str">
        <x:v>Prepared Phagia drinks, ration/dried bars, meals and fauna-mixed delicacies</x:v>
      </x:c>
      <x:c r="D41" s="4" t="str">
        <x:v>Prepared servings differ from the existing attached baseline algae reserve. Exact consumption effects and serving amounts remain open.</x:v>
      </x:c>
      <x:c r="E41" s="4" t="str">
        <x:v>Primary category</x:v>
      </x:c>
    </x:row>
    <x:row r="42" ht="115" customHeight="1">
      <x:c r="A42" s="4" t="str">
        <x:v>Phagia food and packaging</x:v>
      </x:c>
      <x:c r="B42" s="4" t="n">
        <x:f>COUNTIF(Items!$D$6:$D$1005,"Phagia drink")+COUNTIF(Items!$D$6:$D$1005,"Phagia bar")+COUNTIF(Items!$D$6:$D$1005,"Phagia prepared meal")+COUNTIF(Items!$D$6:$D$1005,"Phagia delicacy")+COUNTIF(Items!$D$6:$D$1005,"Prepared fauna food ingredient")+COUNTIF(Items!$D$6:$D$1005,"Food packaging")</x:f>
        <x:v>14</x:v>
      </x:c>
      <x:c r="C42" s="4" t="str">
        <x:v>Nine prepared consumables, two edible-fauna intermediates and three food-service carriers</x:v>
      </x:c>
      <x:c r="D42" s="4" t="str">
        <x:v>Food/industrial chemistry and payload/container ownership remain distinct.</x:v>
      </x:c>
      <x:c r="E42" s="4" t="str">
        <x:v>Item family</x:v>
      </x:c>
    </x:row>
    <x:row r="43" ht="110" customHeight="1">
      <x:c r="A43" s="4" t="str">
        <x:v>Practical raw feedstocks</x:v>
      </x:c>
      <x:c r="B43" s="4" t="n">
        <x:f>COUNTIF(Items!$D$6:$D$1005,"Stone feedstock")+COUNTIF(Items!$D$6:$D$1005,"Faunal hard-part feedstock")+COUNTIF(Items!$D$6:$D$1005,"Salvaged feedstock")+COUNTIF(Items!$D$6:$D$1005,"Faunal waste feedstock")</x:f>
        <x:v>40</x:v>
      </x:c>
      <x:c r="C43" s="4" t="str">
        <x:v>Ten stone/mineral, eleven fauna hard-part/waste and nineteen industrial-salvage candidates</x:v>
      </x:c>
      <x:c r="D43" s="4" t="str">
        <x:v>Input forms before processing. Reuse existing ores, salts, fibers, raw shell and generic wire bundles.</x:v>
      </x:c>
      <x:c r="E43" s="4" t="str">
        <x:v>Item family</x:v>
      </x:c>
    </x:row>
    <x:row r="44" ht="110" customHeight="1">
      <x:c r="A44" s="3" t="str">
        <x:v>Tier 1 material stock</x:v>
      </x:c>
      <x:c r="B44" s="3" t="n">
        <x:f>COUNTIF(Items!$AF$6:$AF$1005,"T1")</x:f>
        <x:v>41</x:v>
      </x:c>
      <x:c r="C44" s="3" t="str">
        <x:v>First refined material stock across metal, glass/stone, mineral preparation, biological stock, chemical preparation and finish work</x:v>
      </x:c>
      <x:c r="D44" s="3" t="str">
        <x:v>Tier classification includes reused earlier concepts. Existing crafting recipe assets are unchanged.</x:v>
      </x:c>
      <x:c r="E44" s="3" t="str">
        <x:v>Item family</x:v>
      </x:c>
    </x:row>
  </x:sheetData>
  <x:pageMargins left="0.7" right="0.7" top="0.75" bottom="0.75" header="0.3" footer="0.3"/>
  <x:tableParts count="1">
    <x:tablePart xmlns:r="http://schemas.openxmlformats.org/officeDocument/2006/relationships" r:id="R39d1f00280a44b68"/>
  </x:tableParts>
</x:worksheet>
</file>

<file path=xl/worksheets/sheet5.xml><?xml version="1.0" encoding="utf-8"?>
<x:worksheet xmlns:x="http://schemas.openxmlformats.org/spreadsheetml/2006/main">
  <x:sheetPr>
    <x:tabColor rgb="FF9D9588"/>
  </x:sheetPr>
  <x:sheetViews>
    <x:sheetView showGridLines="0" workbookViewId="0">
      <x:pane ySplit="5" topLeftCell="A6" activePane="bottomLeft" state="frozen"/>
    </x:sheetView>
  </x:sheetViews>
  <x:sheetFormatPr defaultRowHeight="15"/>
  <x:cols>
    <x:col min="1" max="1" width="28" hidden="0" customWidth="1"/>
    <x:col min="2" max="2" width="125" hidden="0" customWidth="1"/>
  </x:cols>
  <x:sheetData>
    <x:row r="1">
      <x:c r="A1" s="1"/>
      <x:c r="B1" s="1"/>
    </x:row>
    <x:row r="2">
      <x:c r="A2" s="2" t="str">
        <x:v>Using the item database</x:v>
      </x:c>
      <x:c r="B2" s="1"/>
    </x:row>
    <x:row r="3">
      <x:c r="A3" s="1"/>
      <x:c r="B3" s="1"/>
    </x:row>
    <x:row r="4">
      <x:c r="A4" s="1"/>
      <x:c r="B4" s="1"/>
    </x:row>
    <x:row r="5" ht="32" customHeight="1">
      <x:c r="A5" s="8" t="str">
        <x:v>Topic</x:v>
      </x:c>
      <x:c r="B5" s="8" t="str">
        <x:v>Guidance</x:v>
      </x:c>
    </x:row>
    <x:row r="6" ht="38" customHeight="1">
      <x:c r="A6" s="9" t="str">
        <x:v>Purpose</x:v>
      </x:c>
      <x:c r="B6" s="9" t="str">
        <x:v>Initial item database for the designer and future brainstorming; snapshot October 14, 2026.</x:v>
      </x:c>
    </x:row>
    <x:row r="7" ht="38" customHeight="1">
      <x:c r="A7" s="4" t="str">
        <x:v>Authority</x:v>
      </x:c>
      <x:c r="B7" s="4" t="str">
        <x:v>Design register only. Editing this workbook does not change Unity assets or approve canon.</x:v>
      </x:c>
    </x:row>
    <x:row r="8" ht="38" customHeight="1">
      <x:c r="A8" s="9" t="str">
        <x:v>Items</x:v>
      </x:c>
      <x:c r="B8" s="9" t="str">
        <x:f>COUNTA(Items!$A$6:$A$1005)&amp;" catalog entries: "&amp;COUNTIF(Items!$AC$6:$AC$1005,"Existing definition")&amp;" existing definition IDs and "&amp;(COUNTA(Items!$A$6:$A$1005)-COUNTIF(Items!$AC$6:$AC$1005,"Existing definition"))&amp;" design/source concepts."</x:f>
        <x:v>408 catalog entries: 18 existing definition IDs and 390 design/source concepts.</x:v>
      </x:c>
    </x:row>
    <x:row r="9" ht="38" customHeight="1">
      <x:c r="A9" s="4" t="str">
        <x:v>Variants</x:v>
      </x:c>
      <x:c r="B9" s="4" t="str">
        <x:f>COUNTA(Variants!$A$6:$A$1005)&amp;" serialized definitions retained. Dust canister and pop-up camp each have shared/trial variants."</x:f>
        <x:v>20 serialized definitions retained. Dust canister and pop-up camp each have shared/trial variants.</x:v>
      </x:c>
    </x:row>
    <x:row r="10" ht="38" customHeight="1">
      <x:c r="A10" s="9" t="str">
        <x:v>Chosen values</x:v>
      </x:c>
      <x:c r="B10" s="9" t="str">
        <x:v>Items uses the Camp Loop override where available. Variants retains shared-production values.</x:v>
      </x:c>
    </x:row>
    <x:row r="11" ht="38" customHeight="1">
      <x:c r="A11" s="4" t="str">
        <x:v>Scope</x:v>
      </x:c>
      <x:c r="B11" s="4" t="str">
        <x:v>Shared catalog has four entries. Additional definitions are private Camp Loop trials, not proof of production availability.</x:v>
      </x:c>
    </x:row>
    <x:row r="12" ht="38" customHeight="1">
      <x:c r="A12" s="9" t="str">
        <x:v>Numbers</x:v>
      </x:c>
      <x:c r="B12" s="9" t="str">
        <x:v>Mass is the authored game mass value; no physical unit is asserted. Stack and mass are prototype values, not final balance.</x:v>
      </x:c>
    </x:row>
    <x:row r="13" ht="38" customHeight="1">
      <x:c r="A13" s="4" t="str">
        <x:v>Blank fields</x:v>
      </x:c>
      <x:c r="B13" s="4" t="str">
        <x:v>Blank rarity, trade value, damage, protection and durability mean undecided/not authored, never zero.</x:v>
      </x:c>
    </x:row>
    <x:row r="14" ht="38" customHeight="1">
      <x:c r="A14" s="9" t="str">
        <x:v>Effects</x:v>
      </x:c>
      <x:c r="B14" s="9" t="str">
        <x:v>Ownership/presentation does not establish grapple movement, jacket protection or tool combat.</x:v>
      </x:c>
    </x:row>
    <x:row r="15" ht="38" customHeight="1">
      <x:c r="A15" s="4" t="str">
        <x:v>Dust naming</x:v>
      </x:c>
      <x:c r="B15" s="4" t="str">
        <x:v>Airborne Dust/Arc Dust in the charging loop is distinct from the Mineral Dust sorting product.</x:v>
      </x:c>
    </x:row>
    <x:row r="16" ht="38" customHeight="1">
      <x:c r="A16" s="9" t="str">
        <x:v>Algae</x:v>
      </x:c>
      <x:c r="B16" s="9" t="str">
        <x:v>Algae remains the survival backbone. Some fauna is edible but poorly nutritious; this does not make other fauna/parts edible or establish an alternate hydration supply.</x:v>
      </x:c>
    </x:row>
    <x:row r="17" ht="38" customHeight="1">
      <x:c r="A17" s="4" t="str">
        <x:v>World concepts</x:v>
      </x:c>
      <x:c r="B17" s="4" t="str">
        <x:v>Scrap, iron and biological resources are broad canonical concepts. Specific entries await design.</x:v>
      </x:c>
    </x:row>
    <x:row r="18" ht="38" customHeight="1">
      <x:c r="A18" s="9" t="str">
        <x:v>Storage</x:v>
      </x:c>
      <x:c r="B18" s="9" t="str">
        <x:v>Booter carries equipment/supplies, never resources. Physical cargo/cache access and owner policy still apply.</x:v>
      </x:c>
    </x:row>
    <x:row r="19" ht="38" customHeight="1">
      <x:c r="A19" s="4" t="str">
        <x:v>Recipes</x:v>
      </x:c>
      <x:c r="B19" s="4" t="str">
        <x:v>One row per input/output. Charging is runtime behavior; its reference key is workbook-only. No new recipe is proposed.</x:v>
      </x:c>
    </x:row>
    <x:row r="20" ht="38" customHeight="1">
      <x:c r="A20" s="9" t="str">
        <x:v>Sources</x:v>
      </x:c>
      <x:c r="B20" s="9" t="str">
        <x:v>Repository-relative source paths sit beside input rows after a blank spacer. Variants is the raw definition inventory.</x:v>
      </x:c>
    </x:row>
    <x:row r="21" ht="38" customHeight="1">
      <x:c r="A21" s="4" t="str">
        <x:v>Later ideas</x:v>
      </x:c>
      <x:c r="B21" s="4" t="str">
        <x:v>Add proposed rows with unique proposal.* IDs and scope New proposal. Preserve existing runtime IDs.</x:v>
      </x:c>
    </x:row>
    <x:row r="22" ht="38" customHeight="1">
      <x:c r="A22" s="9" t="str">
        <x:v>Updating</x:v>
      </x:c>
      <x:c r="B22" s="9" t="str">
        <x:v>Edit the workbook as the design register; recheck source assets before claiming an implementation change. No automatic Unity synchronization.</x:v>
      </x:c>
    </x:row>
    <x:row r="23" ht="38" customHeight="1">
      <x:c r="A23" s="4" t="str">
        <x:v>World identity</x:v>
      </x:c>
      <x:c r="B23" s="4" t="str">
        <x:v>Documentation only: no changes to world IDs, fixed resident terrain, generated-object identity or saved deltas.</x:v>
      </x:c>
    </x:row>
    <x:row r="24" ht="38" customHeight="1">
      <x:c r="A24" s="9" t="str">
        <x:v>External lore</x:v>
      </x:c>
      <x:c r="B24" s="9" t="str">
        <x:v>Read-only source access restored October 14: github.com/sleepyseamonster/Arc-Dust, master at f6f98515. No external item roster imported.</x:v>
      </x:c>
    </x:row>
    <x:row r="25" ht="38" customHeight="1">
      <x:c r="A25" s="4" t="str">
        <x:v>Source boundary</x:v>
      </x:c>
      <x:c r="B25" s="4" t="str">
        <x:v>Active Assets/_Project and local game design/canon reviewed. Frozen engine/Unreal/historical Unity catalogs are excluded.</x:v>
      </x:c>
    </x:row>
    <x:row r="26" ht="52" customHeight="1">
      <x:c r="A26" s="3" t="str">
        <x:v>Design scope</x:v>
      </x:c>
      <x:c r="B26" s="3" t="str">
        <x:v>User direction includes carried magnets/grounding gear, hybrid fauna, and requested charcoal, copper, tungsten, magnesium, hematite and sulfur materials. Specific species, geology and processing remain proposals.</x:v>
      </x:c>
    </x:row>
    <x:row r="27" ht="52" customHeight="1">
      <x:c r="A27" s="3" t="str">
        <x:v>Proposal IDs</x:v>
      </x:c>
      <x:c r="B27" s="3" t="str">
        <x:v>proposal.* keys exist only in this workbook. They are not Unity IDs and do not reserve new equipment slots.</x:v>
      </x:c>
    </x:row>
    <x:row r="28" ht="52" customHeight="1">
      <x:c r="A28" s="3" t="str">
        <x:v>Resource chains</x:v>
      </x:c>
      <x:c r="B28" s="3" t="str">
        <x:v>Qualitative relationships only: no quantities, chemistry recipes or balance values are approved.</x:v>
      </x:c>
    </x:row>
    <x:row r="29" ht="52" customHeight="1">
      <x:c r="A29" s="3" t="str">
        <x:v>Fauna ecology</x:v>
      </x:c>
      <x:c r="B29" s="3" t="str">
        <x:v>No plant food chain assumed. Metabolism, primary energy and reproduction need a later ecology decision.</x:v>
      </x:c>
    </x:row>
    <x:row r="30" ht="52" customHeight="1">
      <x:c r="A30" s="3" t="str">
        <x:v>Electrical design</x:v>
      </x:c>
      <x:c r="B30" s="3" t="str">
        <x:v>Static discharge and electrical-storm danger need distinct game rules. Proposed gear does not imply real lightning protection.</x:v>
      </x:c>
    </x:row>
    <x:row r="31" ht="58" customHeight="1">
      <x:c r="A31" s="4" t="str">
        <x:v>Mineral naming</x:v>
      </x:c>
      <x:c r="B31" s="4" t="str">
        <x:v>Copper-rich stone, sorted copper ore and unworked copper are provisional stages. Copper and tungsten were interpreted as separate requested resources.</x:v>
      </x:c>
    </x:row>
    <x:row r="32" ht="58" customHeight="1">
      <x:c r="A32" s="4" t="str">
        <x:v>Raw magnesium</x:v>
      </x:c>
      <x:c r="B32" s="4" t="str">
        <x:v>Magnesium-bearing rock is separate from unworked manufactured magnesium metal; native metal deposits are not assumed.</x:v>
      </x:c>
    </x:row>
    <x:row r="33" ht="58" customHeight="1">
      <x:c r="A33" s="4" t="str">
        <x:v>Charcoal source</x:v>
      </x:c>
      <x:c r="B33" s="4" t="str">
        <x:v>Charcoal is a processed carbon material. Biological offcuts or recovered fuel are options; no wood or living plants added to the world.</x:v>
      </x:c>
    </x:row>
    <x:row r="34" ht="58" customHeight="1">
      <x:c r="A34" s="4" t="str">
        <x:v>Regional evidence</x:v>
      </x:c>
      <x:c r="B34" s="4" t="str">
        <x:v>NPS/USGS URLs support reference geology/history only. Game deposits, locations, yields and uses remain unimplemented; hematite locality was not verified.</x:v>
      </x:c>
    </x:row>
    <x:row r="35" ht="58" customHeight="1">
      <x:c r="A35" s="4" t="str">
        <x:v>Generic iron alias</x:v>
      </x:c>
      <x:c r="B35" s="4" t="str">
        <x:v>Unprocessed iron-rich stones maps to the existing Ironstone Ore candidate. Specific hematite/magnetite distinctions remain open rather than creating another duplicate generic item.</x:v>
      </x:c>
    </x:row>
    <x:row r="36" ht="60" customHeight="1">
      <x:c r="A36" s="4" t="str">
        <x:v>No cloth</x:v>
      </x:c>
      <x:c r="B36" s="4" t="str">
        <x:v>No cloth of any kind. Pressed textile/material processing does not establish cloth items or an easy fabric economy.</x:v>
      </x:c>
    </x:row>
    <x:row r="37" ht="60" customHeight="1">
      <x:c r="A37" s="4" t="str">
        <x:v>Husk fibers and paper</x:v>
      </x:c>
      <x:c r="B37" s="4" t="str">
        <x:v>Shell husks supply abundant chitin/icore fibers. Scraped husk fibers supply the main paper. Textile processing/pressing is very difficult.</x:v>
      </x:c>
    </x:row>
    <x:row r="38" ht="60" customHeight="1">
      <x:c r="A38" s="4" t="str">
        <x:v>Hide and fur yield</x:v>
      </x:c>
      <x:c r="B38" s="4" t="str">
        <x:v>Extremely low usable yield from hide/fur processing. No numeric ratio, easy liner production or finished garment recipe approved.</x:v>
      </x:c>
    </x:row>
    <x:row r="39" ht="60" customHeight="1">
      <x:c r="A39" s="4" t="str">
        <x:v>Icore</x:v>
      </x:c>
      <x:c r="B39" s="4" t="str">
        <x:v>Author spelling preserved exactly. Composition and differences from chitin remain undefined.</x:v>
      </x:c>
    </x:row>
    <x:row r="40" ht="60" customHeight="1">
      <x:c r="A40" s="4" t="str">
        <x:v>Prior garment proposals</x:v>
      </x:c>
      <x:c r="B40" s="4" t="str">
        <x:v>The previous felted underfur liner is now a candidate pressed fur material requiring reassessment. Cloak/shade prototype appearance does not establish cloth composition.</x:v>
      </x:c>
    </x:row>
    <x:row r="41" ht="60" customHeight="1">
      <x:c r="A41" s="4" t="str">
        <x:v>Fauna edibility</x:v>
      </x:c>
      <x:c r="B41" s="4" t="str">
        <x:v>Some fauna can be eaten but is not nutritious. No universal meat resource, edible species list or preparation method is established.</x:v>
      </x:c>
    </x:row>
    <x:row r="42" ht="60" customHeight="1">
      <x:c r="A42" s="4" t="str">
        <x:v>Fauna anatomy</x:v>
      </x:c>
      <x:c r="B42" s="4" t="str">
        <x:v>Most fauna lacks flesh in the traditional sense. Earlier mammalian fat/muscle assumptions await source review.</x:v>
      </x:c>
    </x:row>
    <x:row r="43" ht="60" customHeight="1">
      <x:c r="A43" s="4" t="str">
        <x:v>Chemical materials</x:v>
      </x:c>
      <x:c r="B43" s="4" t="str">
        <x:v>Most internal fauna chemistry is toxic to humans; chemicals and liquids can nevertheless be material resources. Specific properties and processing remain undefined.</x:v>
      </x:c>
    </x:row>
    <x:row r="44" ht="60" customHeight="1">
      <x:c r="A44" s="4" t="str">
        <x:v>Liquid rule clarification</x:v>
      </x:c>
      <x:c r="B44" s="4" t="str">
        <x:v>Extracted faunal liquids can be materials. This supersedes earlier blanket doubts about out-of-body liquids while preserving no natural free water.</x:v>
      </x:c>
    </x:row>
    <x:row r="45" ht="60" customHeight="1">
      <x:c r="A45" s="4" t="str">
        <x:v>Burden Beasts reference</x:v>
      </x:c>
      <x:c r="B45" s="4" t="str">
        <x:v>The author corrected the anatomy reference to Burden Beasts. Authenticated source Git access restored October 14 at f6f98515. Related fauna records are proposals; exact Burden Beasts owning record not identified.</x:v>
      </x:c>
    </x:row>
    <x:row r="46" ht="65" customHeight="1">
      <x:c r="A46" s="4" t="str">
        <x:v>Source reconnection</x:v>
      </x:c>
      <x:c r="B46" s="4" t="str">
        <x:v>Read-only Git access verified to sleepyseamonster/Arc-Dust, master at f6f98515c005dc3c73cccd9cbc031691745740c6. No source content was edited.</x:v>
      </x:c>
    </x:row>
    <x:row r="47" ht="65" customHeight="1">
      <x:c r="A47" s="4" t="str">
        <x:v>Source reconciliation</x:v>
      </x:c>
      <x:c r="B47" s="4" t="str">
        <x:v>Native biology, domestic burden beetle and chitin/Phagia material records are proposals. Their woven textile assumptions conflict with newer game no-cloth direction. No source species or recipes adopted.</x:v>
      </x:c>
    </x:row>
    <x:row r="48" ht="65" customHeight="1">
      <x:c r="A48" s="4" t="str">
        <x:v>Chemical concepts</x:v>
      </x:c>
      <x:c r="B48" s="4" t="str">
        <x:v>Twelve descriptive working labels explore biology, human hazard and possible material use. No new species, chemical identities, numerical effects or recipes are accepted.</x:v>
      </x:c>
    </x:row>
    <x:row r="49" ht="65" customHeight="1">
      <x:c r="A49" s="4" t="str">
        <x:v>Draft versus invention</x:v>
      </x:c>
      <x:c r="B49" s="4" t="str">
        <x:v>Reference column identifies source-draft biology and processing seeds. The Source relationship column states which abilities or uses were invented for this brainstorm.</x:v>
      </x:c>
    </x:row>
    <x:row r="50" ht="65" customHeight="1">
      <x:c r="A50" s="4" t="str">
        <x:v>Useful does not mean edible</x:v>
      </x:c>
      <x:c r="B50" s="4" t="str">
        <x:v>Toxicity, nutrition and industrial usefulness remain separate. No candidate replaces algae or becomes a drink/medicine by default.</x:v>
      </x:c>
    </x:row>
    <x:row r="51" ht="65" customHeight="1">
      <x:c r="A51" s="4" t="str">
        <x:v>Scarce workshop skill</x:v>
      </x:c>
      <x:c r="B51" s="4" t="str">
        <x:v>Husk-fiber processing remains very difficult and hide/fur output extremely low. Enzyme/binder concepts do not create cloth or bypass processing costs.</x:v>
      </x:c>
    </x:row>
    <x:row r="52" ht="65" customHeight="1">
      <x:c r="A52" s="4" t="str">
        <x:v>Contained chemicals</x:v>
      </x:c>
      <x:c r="B52" s="4" t="str">
        <x:v>Liquid candidates require deliberate containment. Native liquid landscapes, real synthesis procedures and harvesting/weapon delivery rules are not introduced.</x:v>
      </x:c>
    </x:row>
    <x:row r="53" ht="70" customHeight="1">
      <x:c r="A53" s="4" t="str">
        <x:v>Container ownership</x:v>
      </x:c>
      <x:c r="B53" s="4" t="str">
        <x:v>Proposed filled vessel = one container instance with one contained payload. Transfer preserves vessel identity, content identity/quantity and ownership; no duplicate empty/full item stacks.</x:v>
      </x:c>
    </x:row>
    <x:row r="54" ht="70" customHeight="1">
      <x:c r="A54" s="4" t="str">
        <x:v>Cargo and packaging</x:v>
      </x:c>
      <x:c r="B54" s="4" t="str">
        <x:v>Gathered ichor and raw chemicals remain Legger/local resources. Boxes, cases and nested vessels grant no extra inventory capacity. All material and contents mass must be counted.</x:v>
      </x:c>
    </x:row>
    <x:row r="55" ht="70" customHeight="1">
      <x:c r="A55" s="4" t="str">
        <x:v>Capacity and compatibility</x:v>
      </x:c>
      <x:c r="B55" s="4" t="str">
        <x:v>Sizes are qualitative. Capacity, seal, liner and material compatibility are undecided per vessel/content pair. Glass is not assumed universally acid-proof or electrically insulating.</x:v>
      </x:c>
    </x:row>
    <x:row r="56" ht="70" customHeight="1">
      <x:c r="A56" s="4" t="str">
        <x:v>No cloth packing</x:v>
      </x:c>
      <x:c r="B56" s="4" t="str">
        <x:v>No cork, wood crates or cloth padding assumed. Proposed outer protection uses shell cages, metal partitions and shaped mineral supports.</x:v>
      </x:c>
    </x:row>
    <x:row r="57" ht="70" customHeight="1">
      <x:c r="A57" s="4" t="str">
        <x:v>Workshop and reuse</x:v>
      </x:c>
      <x:c r="B57" s="4" t="str">
        <x:v>Glassworks is a stationary craft/trade source proposal, not an inventory item or Legger platform. Returning empty vessels and workshop reconditioning could form a useful loop; methods/costs remain open.</x:v>
      </x:c>
    </x:row>
    <x:row r="58" ht="70" customHeight="1">
      <x:c r="A58" s="4" t="str">
        <x:v>Container costs</x:v>
      </x:c>
      <x:c r="B58" s="4" t="str">
        <x:v>No random breakage, leakage penalties, item durability chores or mandatory nested packing are introduced. Protective forms describe design options, not implemented mechanics.</x:v>
      </x:c>
    </x:row>
    <x:row r="59" ht="70" customHeight="1">
      <x:c r="A59" s="4" t="str">
        <x:v>World and save boundary</x:v>
      </x:c>
      <x:c r="B59" s="4" t="str">
        <x:v>Documentation only. No terrain, spawn, streaming or persistence changes. Future container ownership needs stable instances and versioned payloads; prototype canister code does not implement these new vessels.</x:v>
      </x:c>
    </x:row>
    <x:row r="60" ht="70" customHeight="1">
      <x:c r="A60" s="4" t="str">
        <x:v>Armor families</x:v>
      </x:c>
      <x:c r="B60" s="4" t="str">
        <x:v>User direction: chainmail shirts, crude-to-elaborate metal armor, chest armor, helmets, leg armor, boots, gloves, backpacks, specialized plates and shields.</x:v>
      </x:c>
    </x:row>
    <x:row r="61" ht="70" customHeight="1">
      <x:c r="A61" s="4" t="str">
        <x:v>Construction variants</x:v>
      </x:c>
      <x:c r="B61" s="4" t="str">
        <x:v>Crude, serviceable and elaborate are descriptive design bands, not rarity or numerical power tiers. Fit, articulation, replaceability and craft detail can differ.</x:v>
      </x:c>
    </x:row>
    <x:row r="62" ht="70" customHeight="1">
      <x:c r="A62" s="4" t="str">
        <x:v>Loadout extension</x:v>
      </x:c>
      <x:c r="B62" s="4" t="str">
        <x:v>The six current trial slots remain dust/algae canister, grapple, digging tool, cloak and jacket. New worn regions, layering and held-shield ownership need their own approved implementation.</x:v>
      </x:c>
    </x:row>
    <x:row r="63" ht="70" customHeight="1">
      <x:c r="A63" s="4" t="str">
        <x:v>Armor materials</x:v>
      </x:c>
      <x:c r="B63" s="4" t="str">
        <x:v>No cloth, cork, plant fiber, common leather or rubber assumed. Scarce hide/fur and difficult pressed husk materials remain possible only under established processing constraints.</x:v>
      </x:c>
    </x:row>
    <x:row r="64" ht="70" customHeight="1">
      <x:c r="A64" s="4" t="str">
        <x:v>Backpack policy</x:v>
      </x:c>
      <x:c r="B64" s="4" t="str">
        <x:v>A backpack concept does not permit Booter to carry raw resources. Supply capacity, spare equipment, harness, cloak/canister clearance and ground-kit placement remain unresolved.</x:v>
      </x:c>
    </x:row>
    <x:row r="65" ht="70" customHeight="1">
      <x:c r="A65" s="4" t="str">
        <x:v>Assembly ownership</x:v>
      </x:c>
      <x:c r="B65" s="4" t="str">
        <x:v>The assembled armor entry is a grouping candidate until set-versus-piece ownership is designed. Do not duplicate plates between a set, a module and separately equipped pieces.</x:v>
      </x:c>
    </x:row>
    <x:row r="66" ht="70" customHeight="1">
      <x:c r="A66" s="4" t="str">
        <x:v>Armor effects</x:v>
      </x:c>
      <x:c r="B66" s="4" t="str">
        <x:v>Damage mitigation, mass, durability, movement, electrical behavior, chemical protection and trade values are undecided. Visual metal or elaborate craft alone grants no implemented effect.</x:v>
      </x:c>
    </x:row>
    <x:row r="67" ht="70" customHeight="1">
      <x:c r="A67" s="4" t="str">
        <x:v>Specialized weapon direction</x:v>
      </x:c>
      <x:c r="B67" s="4" t="str">
        <x:v>Reserve offensive weapons, defensive weapons, traps and trip-ups. Caltrops is the first named candidate. Detailed weapon brainstorming is deferred at the author's request.</x:v>
      </x:c>
    </x:row>
    <x:row r="68" ht="70" customHeight="1">
      <x:c r="A68" s="4" t="str">
        <x:v>Weapon taxonomy</x:v>
      </x:c>
      <x:c r="B68" s="4" t="str">
        <x:v>Weapon lanes describe intended purpose, not new equipment slots or combat systems. Caltrops is provisionally under Trip-ups; future overlap with traps can be settled later. Existing shield equipment is not duplicated.</x:v>
      </x:c>
    </x:row>
    <x:row r="69" ht="65" customHeight="1">
      <x:c r="A69" s="4" t="str">
        <x:v>Ancient materials</x:v>
      </x:c>
      <x:c r="B69" s="4" t="str">
        <x:v>Extremely rare manufactured materials analogous to carbon-fiber composites, nanocarbons, plasteels and similar futuristic substances. Three named family entries; other futuristic types remain undefined.</x:v>
      </x:c>
    </x:row>
    <x:row r="70" ht="65" customHeight="1">
      <x:c r="A70" s="4" t="str">
        <x:v>Scarcity and manufacture</x:v>
      </x:c>
      <x:c r="B70" s="4" t="str">
        <x:v>Rarity is explicit author direction. No drop rate, quantity, price or ordinary production recipe is assigned. Recovery does not grant manufacturing capability.</x:v>
      </x:c>
    </x:row>
    <x:row r="71" ht="65" customHeight="1">
      <x:c r="A71" s="4" t="str">
        <x:v>Material distinctions</x:v>
      </x:c>
      <x:c r="B71" s="4" t="str">
        <x:v>Ordinary graphite/charcoal does not become ancient nanocarbon through an assumed recipe. Plasteel is not an ordinary raw metal. Advanced fibers do not establish a cloth exception.</x:v>
      </x:c>
    </x:row>
    <x:row r="72" ht="70" customHeight="1">
      <x:c r="A72" s="4" t="str">
        <x:v>Clothing without cloth</x:v>
      </x:c>
      <x:c r="B72" s="4" t="str">
        <x:v>Clothing can be made from husk fibers, animal fur, hides and related processed materials. No-cloth does not mean no clothing.</x:v>
      </x:c>
    </x:row>
    <x:row r="73" ht="70" customHeight="1">
      <x:c r="A73" s="4" t="str">
        <x:v>Fashion scarcity</x:v>
      </x:c>
      <x:c r="B73" s="4" t="str">
        <x:v>Elaborate fashion clothing is very rare and expensive because production consumes very large quantities of material/time. Ordinary simple wraps and metal-based wear with minimal fur are the everyday baseline.</x:v>
      </x:c>
    </x:row>
    <x:row r="74" ht="70" customHeight="1">
      <x:c r="A74" s="4" t="str">
        <x:v>Eyewear and hats</x:v>
      </x:c>
      <x:c r="B74" s="4" t="str">
        <x:v>Specialized spectacles, eyeglasses and hats are rare. Exact optical purposes, lens/frame materials, forms, fit and effects remain unresolved.</x:v>
      </x:c>
    </x:row>
    <x:row r="75" ht="70" customHeight="1">
      <x:c r="A75" s="4" t="str">
        <x:v>Fashion input economy</x:v>
      </x:c>
      <x:c r="B75" s="4" t="str">
        <x:v>All inputs used in this expensive fashion economy have high sale-value intent. Seven directly relevant fiber/fur/hide material entries carry that note; membership for other inputs awaits recipes.</x:v>
      </x:c>
    </x:row>
    <x:row r="76" ht="70" customHeight="1">
      <x:c r="A76" s="4" t="str">
        <x:v>Abundance and value</x:v>
      </x:c>
      <x:c r="B76" s="4" t="str">
        <x:v>Abundant raw husk fiber is compatible with costly fashion production: total input demand, processing loss and skilled labor are separate design factors. Numerical ratios/prices remain open.</x:v>
      </x:c>
    </x:row>
    <x:row r="77" ht="70" customHeight="1">
      <x:c r="A77" s="4" t="str">
        <x:v>Utility versus fashion</x:v>
      </x:c>
      <x:c r="B77" s="4" t="str">
        <x:v>Existing starter cloak/jacket, functional armor and containers are not automatically reclassified as luxury fashion. Fashion variants can be defined later.</x:v>
      </x:c>
    </x:row>
    <x:row r="78" ht="70" customHeight="1">
      <x:c r="A78" s="4" t="str">
        <x:v>Gemstone authority</x:v>
      </x:c>
      <x:c r="B78" s="4" t="str">
        <x:v>Gemstones exist. Specific real-mineral candidates, palettes and uses are new game proposals, not accepted lore species or verified Death Valley deposits.</x:v>
      </x:c>
    </x:row>
    <x:row r="79" ht="70" customHeight="1">
      <x:c r="A79" s="4" t="str">
        <x:v>Gem quality and work</x:v>
      </x:c>
      <x:c r="B79" s="4" t="str">
        <x:v>Proposed value factors: size, clarity, color, inclusions, cutting/polishing skill and setting work. Raw mineral abundance and a fine specimen's value need not be identical.</x:v>
      </x:c>
    </x:row>
    <x:row r="80" ht="70" customHeight="1">
      <x:c r="A80" s="4" t="str">
        <x:v>Rough and finished state</x:v>
      </x:c>
      <x:c r="B80" s="4" t="str">
        <x:v>Rough, cut and set forms need a later ownership/craft design. Current entries are families, not duplicate rewards for each processing stage; no gem-cutting recipe or yield implemented.</x:v>
      </x:c>
    </x:row>
    <x:row r="81" ht="70" customHeight="1">
      <x:c r="A81" s="4" t="str">
        <x:v>Fashion use</x:v>
      </x:c>
      <x:c r="B81" s="4" t="str">
        <x:v>Ornaments, clasps and inlays are potential uses. Fashion-qualified inputs follow the high-value economy direction, while exact stone grades, prices and demand remain open.</x:v>
      </x:c>
    </x:row>
    <x:row r="82" ht="70" customHeight="1">
      <x:c r="A82" s="4" t="str">
        <x:v>Ancient deposits</x:v>
      </x:c>
      <x:c r="B82" s="4" t="str">
        <x:v>Game deposits could be exposed ancient mineral-bearing strata. These concepts add no present-day water cycle, plant gem source, terrain generation or special elemental powers.</x:v>
      </x:c>
    </x:row>
    <x:row r="83" ht="70" customHeight="1">
      <x:c r="A83" s="4" t="str">
        <x:v>Everyday clothing baseline</x:v>
      </x:c>
      <x:c r="B83" s="4" t="str">
        <x:v>Ordinary clothing includes simple wraps, metal chainmail and practical metal-based wear with minimal fur. No ordinary-wear price/rarity numbers or cloth supply are introduced.</x:v>
      </x:c>
    </x:row>
    <x:row r="84" ht="70" customHeight="1">
      <x:c r="A84" s="4" t="str">
        <x:v>Fashion distinction</x:v>
      </x:c>
      <x:c r="B84" s="4" t="str">
        <x:v>Elaborate husk-fiber/fur/hide garments retain very rare, expensive fashion status. The same material family can support sparse ordinary use and high-input luxury workmanship.</x:v>
      </x:c>
    </x:row>
    <x:row r="85" ht="70" customHeight="1">
      <x:c r="A85" s="4" t="str">
        <x:v>No duplicate chainmail</x:v>
      </x:c>
      <x:c r="B85" s="4" t="str">
        <x:v>The existing chainmail-shirt family now records everyday use; only simple wraps adds a master entry. Equipment patterns, fit, protection and runtime slots remain unimplemented.</x:v>
      </x:c>
    </x:row>
    <x:row r="86" ht="75" customHeight="1">
      <x:c r="A86" s="4" t="str">
        <x:v>Wing sun shades</x:v>
      </x:c>
      <x:c r="B86" s="4" t="str">
        <x:v>Author direction: delicate insectoid megafauna inner wings are resources for vertical sun shades. The prepared panel is a proposed intermediate; existing popup camp owns the shade item concept.</x:v>
      </x:c>
    </x:row>
    <x:row r="87" ht="75" customHeight="1">
      <x:c r="A87" s="4" t="str">
        <x:v>Cheap shells</x:v>
      </x:c>
      <x:c r="B87" s="4" t="str">
        <x:v>Ordinary raw shells are cheap bulk material. Processing, selected fiber quality and skilled precision work can still produce valuable outputs. Raw-shell price and fashion-fiber value are separate.</x:v>
      </x:c>
    </x:row>
    <x:row r="88" ht="75" customHeight="1">
      <x:c r="A88" s="4" t="str">
        <x:v>Canister source status</x:v>
      </x:c>
      <x:c r="B88" s="4" t="str">
        <x:v>Read WLD-0037/0038/0039/0044 and WLD-0016 at source revision f6f98515. These are proposals, including Phagia/air-reserve systems and seal materials; no automatic game adoption.</x:v>
      </x:c>
    </x:row>
    <x:row r="89" ht="75" customHeight="1">
      <x:c r="A89" s="4" t="str">
        <x:v>Seal distinctions</x:v>
      </x:c>
      <x:c r="B89" s="4" t="str">
        <x:v>Seal rings, hard seats, closure collars, sealant and protective endcaps have different roles. Existing compression seal collar is reused conceptually; it is not duplicated as a new item.</x:v>
      </x:c>
    </x:row>
    <x:row r="90" ht="75" customHeight="1">
      <x:c r="A90" s="4" t="str">
        <x:v>Scarcity and service</x:v>
      </x:c>
      <x:c r="B90" s="4" t="str">
        <x:v>Ancient synthetics remain extremely rare. Routine canister seals do not automatically require ancient material. No maintenance frequency, random failure, lifespan, pressure mechanic or recipe approved.</x:v>
      </x:c>
    </x:row>
    <x:row r="91" ht="75" customHeight="1">
      <x:c r="A91" s="4" t="str">
        <x:v>Body and payload ownership</x:v>
      </x:c>
      <x:c r="B91" s="4" t="str">
        <x:v>Personal survival canister, dust device and toxic-material vessel are distinct roles. Parts do not create extra liquid reserves, shared storage or duplicate owned canisters. All trial systems remain unchanged.</x:v>
      </x:c>
    </x:row>
    <x:row r="92" ht="80" customHeight="1">
      <x:c r="A92" s="4" t="str">
        <x:v>Cultural objects</x:v>
      </x:c>
      <x:c r="B92" s="4" t="str">
        <x:v>Religious, political/civic and ritual objects are working game proposals inspired by source drafts WLD-0018, WLD-0036 and WLD-0042. Named faith and institutional details are not silently adopted as game canon.</x:v>
      </x:c>
    </x:row>
    <x:row r="93" ht="80" customHeight="1">
      <x:c r="A93" s="4" t="str">
        <x:v>Ordinary and ceremonial grades</x:v>
      </x:c>
      <x:c r="B93" s="4" t="str">
        <x:v>Simple shell and stamped-metal forms may serve everyday use. Fine engraving, clear glass, selected inlay and processed husk paper create potential prestige craft variants; no rarity or value numbers assigned.</x:v>
      </x:c>
    </x:row>
    <x:row r="94" ht="80" customHeight="1">
      <x:c r="A94" s="4" t="str">
        <x:v>Symbol and function</x:v>
      </x:c>
      <x:c r="B94" s="4" t="str">
        <x:v>Blessings, relic claims, oath tokens and authority badges do not automatically grant buffs, proof of authenticity or access. Document seal stamps are distinct from liquid-container sealing parts.</x:v>
      </x:c>
    </x:row>
    <x:row r="95" ht="80" customHeight="1">
      <x:c r="A95" s="4" t="str">
        <x:v>Household materials</x:v>
      </x:c>
      <x:c r="B95" s="4" t="str">
        <x:v>No ordinary cloth, timber, plant paper, free water or automatic food-safe shell is introduced. Household shell needs suitable preparation; paper uses difficult husk-fiber processing.</x:v>
      </x:c>
    </x:row>
    <x:row r="96" ht="80" customHeight="1">
      <x:c r="A96" s="4" t="str">
        <x:v>Item-family reuse</x:v>
      </x:c>
      <x:c r="B96" s="4" t="str">
        <x:v>Altar vessels and ceremonial gift cases build on existing container families. A blessing or pilgrimage mark is a potential provenance/variant of a canister rather than an extra survival canister or new mechanical reserve.</x:v>
      </x:c>
    </x:row>
    <x:row r="97" ht="85" customHeight="1">
      <x:c r="A97" s="4" t="str">
        <x:v>Filtering the master</x:v>
      </x:c>
      <x:c r="B97" s="4" t="str">
        <x:v>ItemsTable is the master filterable table. Category and Subtype retain broad and family labels. W:AC separates type, stage, origin, primary use, material, form and status. U stores additional search aliases; AD combines current master labels and aliases automatically. Freeze panes retain IDs/names while scrolling.</x:v>
      </x:c>
    </x:row>
    <x:row r="98" ht="85" customHeight="1">
      <x:c r="A98" s="4" t="str">
        <x:v>Filtering multiple uses</x:v>
      </x:c>
      <x:c r="B98" s="4" t="str">
        <x:v>Item uses has one row per item-use relationship. Filter Use for exact purposes across Primary and Secondary rows. Name and Category link by stable Item ID; Primary use links from Items. Secondary uses are maintained here only. These relationships describe catalog intent.</x:v>
      </x:c>
    </x:row>
    <x:row r="99" ht="85" customHeight="1">
      <x:c r="A99" s="4" t="str">
        <x:v>Search and aliases</x:v>
      </x:c>
      <x:c r="B99" s="4" t="str">
        <x:v>Use Excel Find or Text Filters &gt; Contains on Search terms (AD). AD is calculated from ID, name, category, subtype, classifications and aliases in U. Edit U for extra synonyms; do not overwrite AD formulas. Item uses is authoritative for exact primary/secondary purpose filtering. Update any copied secondary-use keyword in U if that relationship changes.</x:v>
      </x:c>
    </x:row>
    <x:row r="100" ht="85" customHeight="1">
      <x:c r="A100" s="4" t="str">
        <x:v>Vocabulary ownership</x:v>
      </x:c>
      <x:c r="B100" s="4" t="str">
        <x:v>Taxonomy owns allowed classification values and definitions. Dropdowns cover current rows plus space through row 1005. Extend validation sources when adding vocabulary. Use Unresolved rather than guessing. Retain blank rarity, prices and stats when undecided.</x:v>
      </x:c>
    </x:row>
    <x:row r="101" ht="85" customHeight="1">
      <x:c r="A101" s="4" t="str">
        <x:v>Adding a new item</x:v>
      </x:c>
      <x:c r="B101" s="4" t="str">
        <x:v>Add one row inside ItemsTable with a unique Item ID. Fill category/subtype, source/status, W:AC and optional search aliases U; copy the AD search formula. Add exactly one Primary relationship in Item uses plus any Secondary rows, copying linked formulas. Extend validation sources and bounded references beyond row 1005 when needed. Current dropdown item-ID source ends at row 413. Complete AF:AH when assigning a material/endpoint route.</x:v>
      </x:c>
    </x:row>
    <x:row r="102" ht="85" customHeight="1">
      <x:c r="A102" s="4" t="str">
        <x:v>Classification meaning</x:v>
      </x:c>
      <x:c r="B102" s="4" t="str">
        <x:v>Type describes the object; Category is the broad group; Subtype retains detailed earlier labels. Stage/origin describe current state/provenance, not a promised recipe. Alternative material labels are candidates. Withheld assumption flags unverified fat-like tissue and its dependent wax concept.</x:v>
      </x:c>
    </x:row>
    <x:row r="103" ht="85" customHeight="1">
      <x:c r="A103" s="4" t="str">
        <x:v>Suggested filters</x:v>
      </x:c>
      <x:c r="B103" s="4" t="str">
        <x:v>Sealing materials/parts: Item uses &gt; Use = Sealing. Textile inputs: Item uses &gt; Use = Textile processing. Religious objects: Items &gt; Subtype = Religious. Unsettled chemistry: Item type = Chemical material and Physical form = Unresolved. Existing definitions: Design status = Existing definition; consult Supported behavior for actual capability.</x:v>
      </x:c>
    </x:row>
    <x:row r="104" ht="85" customHeight="1">
      <x:c r="A104" s="4" t="str">
        <x:v>Sorting and upkeep</x:v>
      </x:c>
      <x:c r="B104" s="4" t="str">
        <x:v>Sort whole native tables with header arrows so IDs, sources and notes move together. Item uses resolves links by ID after master sorting. Do not sort an isolated column. Classification does not change serialized variants, recipes, carrier policy or Unity gameplay.</x:v>
      </x:c>
    </x:row>
    <x:row r="105" ht="85" customHeight="1">
      <x:c r="A105" s="4" t="str">
        <x:v>Ceramic family</x:v>
      </x:c>
      <x:c r="B105" s="4" t="str">
        <x:v>Author requests many ceramics and ceramic items. Specific feeds, forms, parts, vessels, tools and cultural pieces are new proposals. Reuse existing claystone, alumina, borate, insulating ceramic blanks and glazed reagent-jar entries rather than duplicating them.</x:v>
      </x:c>
    </x:row>
    <x:row r="106" ht="85" customHeight="1">
      <x:c r="A106" s="4" t="str">
        <x:v>Ceramic grades</x:v>
      </x:c>
      <x:c r="B106" s="4" t="str">
        <x:v>Ordinary tableware, specialist chemical-service ware, thermal parts, electrical parts and armor candidates have distinct service requirements. The Ceramic material label does not grant universal insulation, heat resistance, food safety, liquid tightness or protection.</x:v>
      </x:c>
    </x:row>
    <x:row r="107" ht="85" customHeight="1">
      <x:c r="A107" s="4" t="str">
        <x:v>Ceramic processing</x:v>
      </x:c>
      <x:c r="B107" s="4" t="str">
        <x:v>No free-water pottery/slip/glaze recipe is assumed. Feed selection, forming, binder, finishing and firing remain design work. Chemical compatibility and residue checks remain relevant. Crushed ceramic feed is a proposed recycling product, not a universal salvage yield.</x:v>
      </x:c>
    </x:row>
    <x:row r="108" ht="85" customHeight="1">
      <x:c r="A108" s="4" t="str">
        <x:v>Ceramic filters</x:v>
      </x:c>
      <x:c r="B108" s="4" t="str">
        <x:v>Filter Material family for Ceramic, Ceramic feed mixture or Ceramic and metal; Origin family distinguishes extremely rare ancient ceramic candidates. Mineral ceramic feeds may use Mineral. Subtype narrows service families; Item uses finds exact purposes across materials.</x:v>
      </x:c>
    </x:row>
    <x:row r="109" ht="90" customHeight="1">
      <x:c r="A109" s="4" t="str">
        <x:v>Currency source</x:v>
      </x:c>
      <x:c r="B109" s="4" t="str">
        <x:v>WLD-0032 Currency in Arc &amp; Dust, draft/proposal at verified master revision f6f98515c005dc3c73cccd9cbc031691745740c6, names Imperial Commons, everyday Commons and commercial shorthand marks. These are one currency, not three denominations.</x:v>
      </x:c>
    </x:row>
    <x:row r="110" ht="90" customHeight="1">
      <x:c r="A110" s="4" t="str">
        <x:v>Denominations unresolved</x:v>
      </x:c>
      <x:c r="B110" s="4" t="str">
        <x:v>The inspected currency record and economy index do not specify denominations, face values, exchange ratios, token materials or whether the currency is coins, notes or account balances. One currency-family placeholder is registered. Do not derive copper/silver/gold tiers, assign a one-Common coin or populate trade prices without a source or author decision.</x:v>
      </x:c>
    </x:row>
    <x:row r="111" ht="90" customHeight="1">
      <x:c r="A111" s="4" t="str">
        <x:v>Source economy boundary</x:v>
      </x:c>
      <x:c r="B111" s="4" t="str">
        <x:v>The source discusses above-baseline craft, expertise and prestige purchases, non-commodity backing, and survival outside monetary exchange. These remain source proposals; the currency entry does not change the game survival economy, wallet, loot or inventory behavior.</x:v>
      </x:c>
    </x:row>
    <x:row r="112" ht="105" customHeight="1">
      <x:c r="A112" s="4" t="str">
        <x:v>Fire source</x:v>
      </x:c>
      <x:c r="B112" s="4" t="str">
        <x:v>WLD-0083 Atmosphere of the Broken World, draft/proposal at revision f6f98515, describes weaker, slower, dimmer/smokier and more easily extinguished ordinary fires in oxygen-poor air. Cooking and sustained industrial heat need deliberate engineering. https://github.com/sleepyseamonster/Arc-Dust/blob/f6f98515c005dc3c73cccd9cbc031691745740c6/02-Arc-Dust-Worldbuilding/world/geography/atmosphere.md</x:v>
      </x:c>
    </x:row>
    <x:row r="113" ht="105" customHeight="1">
      <x:c r="A113" s="4" t="str">
        <x:v>Fire varies by place</x:v>
      </x:c>
      <x:c r="B113" s="4" t="str">
        <x:v>Source geology describes greater oxygen output deeper in canyons, low oxygen at the open surface, and hydrogen concentration toward upper zones. The record proposes stronger ignition behavior in hydrogen-rich areas. This is source world design, not a quantitative combustion model.</x:v>
      </x:c>
    </x:row>
    <x:row r="114" ht="105" customHeight="1">
      <x:c r="A114" s="4" t="str">
        <x:v>Enclosed fire</x:v>
      </x:c>
      <x:c r="B114" s="4" t="str">
        <x:v>The source describes oxygen consumption and dangerous gas accumulation in enclosed spaces. No firebox, wind screen, ordinary canister or oxygen stone automatically makes an enclosed camp safe. Source flame-test folklore is not adopted as a reliable detector or implemented action.</x:v>
      </x:c>
    </x:row>
    <x:row r="115" ht="105" customHeight="1">
      <x:c r="A115" s="4" t="str">
        <x:v>Oxygen stone boundary</x:v>
      </x:c>
      <x:c r="B115" s="4" t="str">
        <x:v>Author confirms oxygen-releasing stone families. Source geology relies on sustained geothermal heat/pressure and recharge within formations. Output of detached pieces, activation, rate, depletion, recharge, storage and portable usefulness remain undecided.</x:v>
      </x:c>
    </x:row>
    <x:row r="116" ht="105" customHeight="1">
      <x:c r="A116" s="4" t="str">
        <x:v>Glow and flint</x:v>
      </x:c>
      <x:c r="B116" s="4" t="str">
        <x:v>Glowing stone and flint are author-directed resources. No named glow-stone owning record was located in the inspected material/atmosphere neighborhood. Light need not imply flame or heat; charging and lifetime TBD. Flint has candidate sparking/tool uses but no guaranteed ignition.</x:v>
      </x:c>
    </x:row>
    <x:row r="117" ht="105" customHeight="1">
      <x:c r="A117" s="4" t="str">
        <x:v>Cooking and survival</x:v>
      </x:c>
      <x:c r="B117" s="4" t="str">
        <x:v>Heating food is a use category, not automatic nutrition improvement or detoxification. Some fauna remains poor food and much internal chemistry is toxic. Reuse eating bowls for serving; cooking pots/pans are heat-service concepts. Recipes and food effects remain open.</x:v>
      </x:c>
    </x:row>
    <x:row r="118" ht="105" customHeight="1">
      <x:c r="A118" s="4" t="str">
        <x:v>Fuel and furnace distinction</x:v>
      </x:c>
      <x:c r="B118" s="4" t="str">
        <x:v>Chitin source WLD-0063 describes chitin-char, a plant-free carbonized material. Reconcile with generic Charcoal before runtime implementation. Source furnace craft uses specific fuels, draft and furnace designs; no ordinary campfire grants metallurgy capability. https://github.com/sleepyseamonster/Arc-Dust/blob/f6f98515c005dc3c73cccd9cbc031691745740c6/02-Arc-Dust-Worldbuilding/world/materials/chitin.md</x:v>
      </x:c>
    </x:row>
    <x:row r="119" ht="105" customHeight="1">
      <x:c r="A119" s="4" t="str">
        <x:v>Source water-vapor conflict</x:v>
      </x:c>
      <x:c r="B119" s="4" t="str">
        <x:v>WLD-0083 proposes trace humidity from hydrogen combustion, alongside other source food/water language. The game no-free-water rule remains controlling. No collectable water, condensation recipe or water supply is added by this task.</x:v>
      </x:c>
    </x:row>
    <x:row r="120" ht="105" customHeight="1">
      <x:c r="A120" s="4" t="str">
        <x:v>Lubricant starting material</x:v>
      </x:c>
      <x:c r="B120" s="4" t="str">
        <x:v>Reuse existing Joint-lubricating secretion. Source chemical-processing record proposes a scarce metabolic oil fraction used in industrial machinery. Neither establishes that most fauna contains conventional fat, or reinstates withheld fat/wax concepts. https://github.com/sleepyseamonster/Arc-Dust/blob/f6f98515c005dc3c73cccd9cbc031691745740c6/02-Arc-Dust-Worldbuilding/world/materials/chemical-processing-agents.md</x:v>
      </x:c>
    </x:row>
    <x:row r="121" ht="105" customHeight="1">
      <x:c r="A121" s="4" t="str">
        <x:v>Proposed harvest and separation</x:v>
      </x:c>
      <x:c r="B121" s="4" t="str">
        <x:v>Collect species/organ-specific fluids into separately marked compatible vessels. Proposed workshop sorting removes grit and hard-clotting fractions, then selects candidate slippery liquid. Vessel/strainer/settling methods, recovery losses and chemistry must be designed; no water wash or guaranteed purification.</x:v>
      </x:c>
    </x:row>
    <x:row r="122" ht="105" customHeight="1">
      <x:c r="A122" s="4" t="str">
        <x:v>Proposed stabilization</x:v>
      </x:c>
      <x:c r="B122" s="4" t="str">
        <x:v>Selected fractions would need preparation that limits unwanted hard-setting, corrosion, biological change and separation during storage. These are research requirements, not properties already solved by heating. No open-fire boiling, recipe temperatures, doses or proven detoxification are assigned.</x:v>
      </x:c>
    </x:row>
    <x:row r="123" ht="105" customHeight="1">
      <x:c r="A123" s="4" t="str">
        <x:v>Oil, grease and film</x:v>
      </x:c>
      <x:c r="B123" s="4" t="str">
        <x:v>Keep selected liquid for fine oil; investigate a compatible non-curing thickener for grease; investigate a less persistent exposed film for dusty slides. Do not assume shell-binding glue makes grease: adhesion, curing and lubricity are different requirements.</x:v>
      </x:c>
    </x:row>
    <x:row r="124" ht="105" customHeight="1">
      <x:c r="A124" s="4" t="str">
        <x:v>Specialist formulations</x:v>
      </x:c>
      <x:c r="B124" s="4" t="str">
        <x:v>Use-specific candidates: slow-joint grease, dust-shedding film, seal conditioner, graphite carrier grease, insulating grease and fine mechanism oil. Existing conductive gel remains a separate electrical material. One formulation cannot be assumed to serve all seals, temperatures, mechanisms and electrical roles.</x:v>
      </x:c>
    </x:row>
    <x:row r="125" ht="105" customHeight="1">
      <x:c r="A125" s="4" t="str">
        <x:v>Lubricant compatibility and economy</x:v>
      </x:c>
      <x:c r="B125" s="4" t="str">
        <x:v>Candidate batch checks: grit, separation, hard-setting, flow/retention, wear, corrosion and compatibility with the intended seal/part. Exact tests and grades TBD. Consistent specialist batches could be valuable even when raw fluid is cheap; no price or maintenance timer set.</x:v>
      </x:c>
    </x:row>
    <x:row r="126" ht="105" customHeight="1">
      <x:c r="A126" s="4" t="str">
        <x:v>Lubricant handling and residue</x:v>
      </x:c>
      <x:c r="B126" s="4" t="str">
        <x:v>Use existing marked bottles/jars and fitted transfer tools. Segregate chemical-processing and food-service vessels. Filter cake, clot residue and rejected fractions are waste streams requiring design, not automatic valuable new items. Lubricants remain potentially toxic and unsuitable as food.</x:v>
      </x:c>
    </x:row>
    <x:row r="127" ht="105" customHeight="1">
      <x:c r="A127" s="4" t="str">
        <x:v>Wing-sail direction</x:v>
      </x:c>
      <x:c r="B127" s="4" t="str">
        <x:v>Author directs sails made from delicate insectoid wings. Reuse existing raw inner-wing item. Prepared sail panel and prepared shade panel distinguish service requirements; shared preparation versus separate products remains open. Metal/salvaged supporting frames avoid assuming ordinary cloth.</x:v>
      </x:c>
    </x:row>
    <x:row r="128" ht="105" customHeight="1">
      <x:c r="A128" s="4" t="str">
        <x:v>Booter wind traversal</x:v>
      </x:c>
      <x:c r="B128" s="4" t="str">
        <x:v>Author directs a collapsible handheld sail and four-wheel all-terrain dirtboard for Booter to sail across large flat areas. The sail is one item with carried/deployed configurations; board and sail have separate ownership. Buddha in the spoken brief is interpreted as Booter.</x:v>
      </x:c>
    </x:row>
    <x:row r="129" ht="105" customHeight="1">
      <x:c r="A129" s="4" t="str">
        <x:v>Traversal design questions</x:v>
      </x:c>
      <x:c r="B129" s="4" t="str">
        <x:v>Wind direction/strength, sail handling, steering, braking, traction, wheel material, slopes, rough-terrain limits, deployment, hand occupancy, storage, damage and cargo load remain design work. No speed, bindings, brake hardware, equipment slot or runtime vehicle controller is approved by this catalog update.</x:v>
      </x:c>
    </x:row>
    <x:row r="130" ht="105" customHeight="1">
      <x:c r="A130" s="4" t="str">
        <x:v>Wind power and salvage</x:v>
      </x:c>
      <x:c r="B130" s="4" t="str">
        <x:v>Author directs turbines made from fallen/salvaged parts. Rotor design, installation and useful output remain open. Optional generator is a proposed component; wind need not produce Arc Energy or charge existing batteries. Existing drive salvage may support later craft design.</x:v>
      </x:c>
    </x:row>
    <x:row r="131" ht="105" customHeight="1">
      <x:c r="A131" s="4" t="str">
        <x:v>World and partnership scope</x:v>
      </x:c>
      <x:c r="B131" s="4" t="str">
        <x:v>Catalog/document work only; no generated placement, world identity, unload/reload, persistence or terrain change occurs. Future placed machines and deployable gear will need stable ownership and saved state on the fixed, always-loaded terrain. Booter board travel does not change the Legger into a vehicle or give it remote cargo access.</x:v>
      </x:c>
    </x:row>
    <x:row r="132" ht="105" customHeight="1">
      <x:c r="A132" s="4" t="str">
        <x:v>Legger concept families</x:v>
      </x:c>
      <x:c r="B132" s="4" t="str">
        <x:v>24 proposals: cargo slings/cradles/anchors/balance linkage; iron ribs/braces/covers/mount rails; bushings/bearings/foot plates/actuator links; dust shrouds/lubricant cups/seal cartridges/service fasteners; shell/iron/articulated/ceramic guards; rare ancient members, panels and bearing modules.</x:v>
      </x:c>
    </x:row>
    <x:row r="133" ht="105" customHeight="1">
      <x:c r="A133" s="4" t="str">
        <x:v>Legger proposal status</x:v>
      </x:c>
      <x:c r="B133" s="4" t="str">
        <x:v>The author explicitly brainstorms. Specific part list, anatomy, interfaces, geometry, attributes, recipes, quantities, maintenance and installed slots are not accepted runtime designs. Consult the actual Legger model and architecture before implementing fitted replacements.</x:v>
      </x:c>
    </x:row>
    <x:row r="134" ht="105" customHeight="1">
      <x:c r="A134" s="4" t="str">
        <x:v>Iron versus ancient</x:v>
      </x:c>
      <x:c r="B134" s="4" t="str">
        <x:v>Iron repairs could be locally serviceable; ancient plasteel/nanocarbon and other recovered high-tech parts remain extremely rare. Weight, fit, availability, repairability and performance are open tradeoffs rather than a guaranteed upgrade ladder. Ancient salvage does not grant manufacturing capability.</x:v>
      </x:c>
    </x:row>
    <x:row r="135" ht="105" customHeight="1">
      <x:c r="A135" s="4" t="str">
        <x:v>Ballistic armor concept</x:v>
      </x:c>
      <x:c r="B135" s="4" t="str">
        <x:v>Nanotube/plasteel ballistic-repelling or deflecting armor is a working goal. Specific mechanism, layering, projectile interaction and protection remain undefined. Do not infer force fields, invulnerability, a percent deflection chance or that every ancient panel has the same property.</x:v>
      </x:c>
    </x:row>
    <x:row r="136" ht="105" customHeight="1">
      <x:c r="A136" s="4" t="str">
        <x:v>Fit and reuse</x:v>
      </x:c>
      <x:c r="B136" s="4" t="str">
        <x:v>Use existing raw metal, shell, ceramic and lubricant families. Host-specific finished parts differ from raw stock. Components inside an assembled Legger, spare cargo parts and removed salvage must not be counted as duplicate owned items. Filter Subtype for Legger branches or Search terms for Legger/Leger.</x:v>
      </x:c>
    </x:row>
    <x:row r="137" ht="105" customHeight="1">
      <x:c r="A137" s="4" t="str">
        <x:v>Legger world scope</x:v>
      </x:c>
      <x:c r="B137" s="4" t="str">
        <x:v>Catalog work changes no world identity, chunk/terrain loading, persistent state, carrier limit or companion movement. Future installed parts need stable physical ownership, replacement/save behavior and compatibility. The Legger remains the same finite mobile carrier with local access.</x:v>
      </x:c>
    </x:row>
    <x:row r="138" ht="105" customHeight="1">
      <x:c r="A138" s="4" t="str">
        <x:v>Expanded cargo rigging</x:v>
      </x:c>
      <x:c r="B138" s="4" t="str">
        <x:v>Side pannier frames, sample-vial racks, removable ore bins, long-load clamps, release latches and a proposed dirtboard bracket add cargo-shape-specific ideas. Containers, stored gear and their contents retain separate ownership and finite physical limits.</x:v>
      </x:c>
    </x:row>
    <x:row r="139" ht="105" customHeight="1">
      <x:c r="A139" s="4" t="str">
        <x:v>Expanded chassis and movement</x:v>
      </x:c>
      <x:c r="B139" s="4" t="str">
        <x:v>Chassis hinge plates, access hatches, fracture patches, sacrificial mounts, reinforcement rings and shim sets address fitting and repair. Joint pins, thrust washers, gear clusters, linkage ends, tensioners and grit scrapers are host-specific mechanical proposals; inspect actual Legger anatomy before implementation.</x:v>
      </x:c>
    </x:row>
    <x:row r="140" ht="105" customHeight="1">
      <x:c r="A140" s="4" t="str">
        <x:v>Expanded service equipment</x:v>
      </x:c>
      <x:c r="B140" s="4" t="str">
        <x:v>Grease applicator, service-port adapter, cleaning pick, matched bearing-removal tool, alignment gauge and fitted spares case extend the lubricant/repair craft chain. These are tools and containers, distinct from installed service parts or magically complete repair kits.</x:v>
      </x:c>
    </x:row>
    <x:row r="141" ht="105" customHeight="1">
      <x:c r="A141" s="4" t="str">
        <x:v>Expanded armor</x:v>
      </x:c>
      <x:c r="B141" s="4" t="str">
        <x:v>Edge guards, instrument cages, seam strips, sacrificial caps, pressed-husk fragment liners and guard hinges address coverage and access. Specific wear, fragment retention and impact performance remain unverified; rare processed fiber inputs remain difficult to produce.</x:v>
      </x:c>
    </x:row>
    <x:row r="142" ht="105" customHeight="1">
      <x:c r="A142" s="4" t="str">
        <x:v>Expanded ancient replacements</x:v>
      </x:c>
      <x:c r="B142" s="4" t="str">
        <x:v>Plasteel collars, nanocarbon tension members, unknown friction inserts, precision ceramic races, impact-lattice backing and module-specific adapters remain extremely rare recovered candidates. No universal interface, active muscle, self-repair or guaranteed ballistic effect is implied.</x:v>
      </x:c>
    </x:row>
    <x:row r="143" ht="105" customHeight="1">
      <x:c r="A143" s="4" t="str">
        <x:v>Filter the expanded Legger set</x:v>
      </x:c>
      <x:c r="B143" s="4" t="str">
        <x:v>60 Legger concepts now share six exact Subtype values: Legger cargo rigging, Legger chassis, Legger mechanical parts, Legger service parts, Legger armor and Legger ancient replacement. Use Item type to separate tools, containers, carriers, installed components and armor, and Item uses for repair, inspection, lubrication, mounting and protection.</x:v>
      </x:c>
    </x:row>
    <x:row r="144" ht="90" customHeight="1">
      <x:c r="A144" s="4" t="str">
        <x:v>Main categories and families</x:v>
      </x:c>
      <x:c r="B144" s="4" t="str">
        <x:v>Categories &gt; Grouping = Primary category gives ten mutually exclusive groups covering every master entry once. Item family and Planning scope rows may overlap; their counts must not be added to primary category totals.</x:v>
      </x:c>
    </x:row>
    <x:row r="145" ht="90" customHeight="1">
      <x:c r="A145" s="4" t="str">
        <x:v>Details versus master</x:v>
      </x:c>
      <x:c r="B145" s="4" t="str">
        <x:v>Items owns item identities, broad classification, current description and status. Specialist detail sheets preserve their original bounded concept sets rather than repeating every new master entry. Use stable Item ID to connect them. Variants and Recipes describe authored implementation data.</x:v>
      </x:c>
    </x:row>
    <x:row r="146" ht="90" customHeight="1">
      <x:c r="A146" s="4" t="str">
        <x:v>Unknowns remain explicit</x:v>
      </x:c>
      <x:c r="B146" s="4" t="str">
        <x:v>Unresolved classifications are intentional design gaps. Blank mass, price, protection, damage and durability are unspecified values, not zero or missing classification. Withheld fat/wax assumptions and source-proposal currency remain distinct from author direction and existing definitions.</x:v>
      </x:c>
    </x:row>
    <x:row r="147" ht="90" customHeight="1">
      <x:c r="A147" s="4" t="str">
        <x:v>Adding use relationships</x:v>
      </x:c>
      <x:c r="B147" s="4" t="str">
        <x:v>One Primary relationship per item must link back to its master Primary use. Each additional purpose gets one Secondary row; avoid duplicate Item ID + Use pairs. Names/categories are linked by ID. Use native header filters and whole-table sorts to keep rows and source context together.</x:v>
      </x:c>
    </x:row>
    <x:row r="148" ht="105" customHeight="1">
      <x:c r="A148" s="4" t="str">
        <x:v>Processed Phagia direction</x:v>
      </x:c>
      <x:c r="B148" s="4" t="str">
        <x:v>Author confirms that eating/drinking Phagia can be processed into higher-performing consumables, including drinkable portions, algae bars, dried bars and prepared meals. Phagia follows the lore spelling; phagea/algae aliases support search. Intended performance is qualitative, with no assigned nutrition, hydration, healing or stamina numbers.</x:v>
      </x:c>
    </x:row>
    <x:row r="149" ht="105" customHeight="1">
      <x:c r="A149" s="4" t="str">
        <x:v>Delicacy direction</x:v>
      </x:c>
      <x:c r="B149" s="4" t="str">
        <x:v>Selected edible fauna resources may combine with Phagia to make high-quality delicacies. Fauna remains generally poor nutrition; the algae retains its nutritional foundation. Specific flakes, paste and composed dishes are proposals, not a conventional meat or fat supply.</x:v>
      </x:c>
    </x:row>
    <x:row r="150" ht="105" customHeight="1">
      <x:c r="A150" s="4" t="str">
        <x:v>Food qualification</x:v>
      </x:c>
      <x:c r="B150" s="4" t="str">
        <x:v>Only selected species-specific edible fractions are food candidates. Lubricants, venom, etchants, binders and general ichor are not meal ingredients by default. Heating, drying or refining does not automatically establish edibility or remove toxicity.</x:v>
      </x:c>
    </x:row>
    <x:row r="151" ht="105" customHeight="1">
      <x:c r="A151" s="4" t="str">
        <x:v>Food and vessel ownership</x:v>
      </x:c>
      <x:c r="B151" s="4" t="str">
        <x:v>Prepared servings are new food products rather than a duplicate baseline algae stack. A reusable flask/case/meal carrier and its food payload are separate conceptual records. Future recipes must account for algae inputs, prepared portions, containers and reuse without duplicating material.</x:v>
      </x:c>
    </x:row>
    <x:row r="152" ht="105" customHeight="1">
      <x:c r="A152" s="4" t="str">
        <x:v>Preparation and preservation</x:v>
      </x:c>
      <x:c r="B152" s="4" t="str">
        <x:v>Pressing, drying, concentrating, cooking and portioning are candidate processing lanes; no temperatures, ratios, yields, expiry timers or preservation guarantees are approved. Source live-culture/respiratory properties are not automatically retained by prepared meals. Cooking follows the setting fire/air rules; no natural-water or cloth recipe assumed.</x:v>
      </x:c>
    </x:row>
    <x:row r="153" ht="105" customHeight="1">
      <x:c r="A153" s="4" t="str">
        <x:v>Food filters</x:v>
      </x:c>
      <x:c r="B153" s="4" t="str">
        <x:v>Category = Consumables selects ready food/drink portions. Item type distinguishes Food consumable, Drink consumable, Food material and packaging carriers. Subtype separates Phagia drink/bar/prepared meal/delicacy, prepared edible-fauna ingredients and food packaging. Item uses adds Nutrition, Hydration and Food preparation relationships.</x:v>
      </x:c>
    </x:row>
    <x:row r="154" ht="105" customHeight="1">
      <x:c r="A154" s="4" t="str">
        <x:v>Concrete raw-material proposals</x:v>
      </x:c>
      <x:c r="B154" s="4" t="str">
        <x:v>Forty recognizable input forms extend stone, fauna hard parts and industrial salvage. Proposed basalt/slate/pumice/feldspar do not assert accepted deposits. Species-specific spines, claws, brood casings, antenna sheaths and wing ribs remain anatomy proposals.</x:v>
      </x:c>
    </x:row>
    <x:row r="155" ht="105" customHeight="1">
      <x:c r="A155" s="4" t="str">
        <x:v>Raw versus processed salvage</x:v>
      </x:c>
      <x:c r="B155" s="4" t="str">
        <x:v>Unsorted ceramic shards precede crushed grog; broken glass precedes qualified remelt feed. Cable, mesh and spring strips are recovered material inputs. Clinker and spent refractory require identification. Raw form does not guarantee reuse or retained performance.</x:v>
      </x:c>
    </x:row>
    <x:row r="156" ht="105" customHeight="1">
      <x:c r="A156" s="4" t="str">
        <x:v>Raw-material reuse and filters</x:v>
      </x:c>
      <x:c r="B156" s="4" t="str">
        <x:v>Existing iron-rich stone, copper ore, sulfur, graphite, salts, claystone, husk fibers, shell and wire bundle stay their original records. Filter Processing stage = Raw or Recovered material, then Origin family and Material family. Candidate downstream uses are catalog intentions, not new recipes.</x:v>
      </x:c>
    </x:row>
    <x:row r="157" ht="115" customHeight="1">
      <x:c r="A157" s="4" t="str">
        <x:v>Crafting tier framework</x:v>
      </x:c>
      <x:c r="B157" s="4" t="str">
        <x:v>Author defines T0 raw materials; T1 first crafted/refined material; T2 uses T1 material; T3 uses T2; T4 uses T3. A finished product can use raw or lower-tier materials and stop there. This is a design framework, not a forced four-stage upgrade ladder.</x:v>
      </x:c>
    </x:row>
    <x:row r="158" ht="115" customHeight="1">
      <x:c r="A158" s="4" t="str">
        <x:v>Tier versus rarity and quality</x:v>
      </x:c>
      <x:c r="B158" s="4" t="str">
        <x:v>A T1 material may be rare, costly or difficult to make. Tier follows a chosen material transformation graph, not price, cultural prestige, equipment size, number of hand operations, purity by itself or ancient origin. Ancient salvage remains Unassigned rather than automatically T4.</x:v>
      </x:c>
    </x:row>
    <x:row r="159" ht="115" customHeight="1">
      <x:c r="A159" s="4" t="str">
        <x:v>Tier fields</x:v>
      </x:c>
      <x:c r="B159" s="4" t="str">
        <x:v>AF Material tier covers material stocks/parts when a route is selected; AG explains the assignment; AH records a finished-item input tier when known. Finished item is not a numeric material tier. Unassigned entries await a graph and are not missing classification. Existing tier assignments beyond raw feed are proposals.</x:v>
      </x:c>
    </x:row>
    <x:row r="160" ht="115" customHeight="1">
      <x:c r="A160" s="4" t="str">
        <x:v>Recipe scope and tier gates</x:v>
      </x:c>
      <x:c r="B160" s="4" t="str">
        <x:v>Material routes is a partial proposal graph with candidate ingredient edges and linked tier/name fields. It has no quantities, complete recipes or runtime authority. Every listed material edge advances exactly one tier. Integrated work operations may include selection, heating and cooling without each becoming a separate material node.</x:v>
      </x:c>
    </x:row>
    <x:row r="161" ht="115" customHeight="1">
      <x:c r="A161" s="4" t="str">
        <x:v>Prerequisites and mixed inputs</x:v>
      </x:c>
      <x:c r="B161" s="4" t="str">
        <x:v>Tools, heat/fuel energy and facilities are process prerequisites rather than another material tier. Consumed material additives still count as ingredients. A T1 material route needs T0 material inputs; if a T1 purified feed or binder is required, the output moves to T2. Candidate input lists are incomplete until recipes are designed.</x:v>
      </x:c>
    </x:row>
    <x:row r="162" ht="115" customHeight="1">
      <x:c r="A162" s="4" t="str">
        <x:v>T0 input interpretation</x:v>
      </x:c>
      <x:c r="B162" s="4" t="str">
        <x:v>Raw means the entry feed for this game craft graph, including qualified scrap or unworked manufactured metal; it does not mean geologically native pure metal. Gem entries are provisionally read as raw feed, with their cut state still unresolved. Gathered dried membrane has a provisional raw-feed reading. Withheld fat/wax assumptions remain unassigned.</x:v>
      </x:c>
    </x:row>
    <x:row r="163" ht="115" customHeight="1">
      <x:c r="A163" s="4" t="str">
        <x:v>Finished products can stop early</x:v>
      </x:c>
      <x:c r="B163" s="4" t="str">
        <x:v>Examples to explore: selected raw spine to a simple piercing tool; T1 shell sheet to a fastener or cover; T2 paper to a prayer leaf; T2 laminate to fitted armor. Additional T3/T4 engineering is reserved for branches that need it. These examples are design directions, not newly implemented recipes. Empty Arc Battery retains its existing T0 Ironstone trial input.</x:v>
      </x:c>
    </x:row>
    <x:row r="164" ht="115" customHeight="1">
      <x:c r="A164" s="4" t="str">
        <x:v>Higher material directions</x:v>
      </x:c>
      <x:c r="B164" s="4" t="str">
        <x:v>Possible later work: T1 shell lamina plus T1 compatible adhesive to T2 laminate; T2 laminate to T3 bonded reinforcement; T3 reinforcement to T4 purpose-built multi-layer material. Or T1 glass blank to T2 selected viewing stock, then specialist T3/T4 optical assemblies if genuinely needed. No ancient nanocarbon manufacture is inferred.</x:v>
      </x:c>
    </x:row>
    <x:row r="165" ht="115" customHeight="1">
      <x:c r="A165" s="4" t="str">
        <x:v>Regional evidence boundary</x:v>
      </x:c>
      <x:c r="B165" s="4" t="str">
        <x:v>Regional demand separates source-supported context from new fashion/trade affinities. The inspected peoples/material/economy records are draft/proposal. Iron Mystics and Resonance Callers have sourced sovereign distinctions; other peoples are not automatically nations. A gemstone-focused nation remains an unassigned idea.</x:v>
      </x:c>
    </x:row>
    <x:row r="166" ht="115" customHeight="1">
      <x:c r="A166" s="4" t="str">
        <x:v>Fashion and source conflicts</x:v>
      </x:c>
      <x:c r="B166" s="4" t="str">
        <x:v>Source frontier style is practical/repaired/adapted and can become fashionable in cities. Inner-Empire craft/provenance and canister display support premium-finish proposals. No ordinary cloth or Phagia woven-fiber supply is imported; game clothing remains difficult husk/fur/hide material and simple metal-based wear.</x:v>
      </x:c>
    </x:row>
    <x:row r="167" ht="115" customHeight="1">
      <x:c r="A167" s="4" t="str">
        <x:v>Regional preference is not currency</x:v>
      </x:c>
      <x:c r="B167" s="4" t="str">
        <x:v>No demand numbers, price premiums, exclusive ethnic material ownership, compulsory costumes or currency denominations are assigned. Regional tastes and source provenance remain distinct from material tier and from the unresolved Commons denomination scheme.</x:v>
      </x:c>
    </x:row>
    <x:row r="168">
      <x:c r="A168" s="4" t="str">
        <x:v>Machine-derived communications</x:v>
      </x:c>
      <x:c r="B168" s="4" t="str">
        <x:v>Author direction: crude two-way radios have been reverse engineered from machine technology. They are finished equipment, not a newly assigned material tier. Power, transmission range, construction, rarity, channels and signal behavior remain undefined. No ingredient recipe or runtime radio system is established.</x:v>
      </x:c>
    </x:row>
    <x:row r="169" ht="115" customHeight="1">
      <x:c r="A169" s="4" t="str">
        <x:v>Ancient weapons / reverse engineering</x:v>
      </x:c>
      <x:c r="B169" s="4" t="str">
        <x:v>Author direction: laser swords, laser blasters, rockets and rocket launchers are ancient machine technology. Some technology has been reverse engineered into a crude Iron Age amalgamation of robotics, rocket science and advanced engineering. Specific reproduced weapon families, mechanisms, supplies, compatibility, rarity, recipes and stats remain open. Ancient origin is not automatically T4; the exact ancient materials used are undefined.</x:v>
      </x:c>
    </x:row>
    <x:row r="170" ht="115" customHeight="1">
      <x:c r="A170" s="4" t="str">
        <x:v>Field-control equipment and arc weapons</x:v>
      </x:c>
      <x:c r="B170" s="4" t="str">
        <x:v>Author direction: magnetic disruptors, inhibitors and enhancers; static-electricity field enhancers and disruptors; arc ray guns / lightning blasters. Magnetic and static control are distinct families. Inhibitor/disruptor differences remain open. Arc guns are separate from laser blasters. No origin, range, field strength, energy supply, immunity, machine-disabling effect or power-amplifying relation to living peoples is established.</x:v>
      </x:c>
    </x:row>
    <x:row r="171" ht="115" customHeight="1">
      <x:c r="A171" s="4" t="str">
        <x:v>Electrical insulating material and wear</x:v>
      </x:c>
      <x:c r="B171" s="4" t="str">
        <x:v>Author direction: insulating materials and suits, gloves and boots for handling high-voltage electricity. Prepared insulation stock is a composition-open material family. Existing insulating ceramic blanks, secretion, beads/spacers/feedthroughs and grease remain specific proposals, not newly accepted formulations. Garments follow no-cloth material rules. Grounding gear is a separate family; manufacturing tiers, electrical service limits and compatibility remain undefined.</x:v>
      </x:c>
    </x:row>
    <x:row r="172" ht="115" customHeight="1">
      <x:c r="A172" s="4" t="str">
        <x:v>Forging and workshop tools</x:v>
      </x:c>
      <x:c r="B172" s="4" t="str">
        <x:v>Author direction: forging tools, including hammers and anvils. Supporting proposals: smithing tongs, forging sledge, hot-cut chisel, forging punch, forming drift, swage block, metalworking file and forge hearth. Existing ceramic crucible/kiln lining and cooking tongs are retained; smithing tongs are a distinct service proposal. Toolmaking tiers, handles, heat supply, workholding geometry and workshop placement remain open. No ordinary combustion or free-water quenching is implied; the Legger is not a crafting platform.</x:v>
      </x:c>
    </x:row>
    <x:row r="173" ht="115" customHeight="1">
      <x:c r="A173" s="4" t="str">
        <x:v>Steelmaking capability</x:v>
      </x:c>
      <x:c r="B173" s="4" t="str">
        <x:v>Author direction: contemporary steelmaking is fairly advanced. Steel stock is a recognized manufactured material family. The Iron Age framing does not limit all metalworking to crude iron. Specific steel grades, compositions, production access, heat treatment, properties and recipes remain open. No numeric crafting tier follows merely from advanced engineering, and no ancient composite reproduction is inferred.</x:v>
      </x:c>
    </x:row>
    <x:row r="174" ht="115" customHeight="1">
      <x:c r="A174" s="4" t="str">
        <x:v>Inner-city transport</x:v>
      </x:c>
      <x:c r="B174" s="4" t="str">
        <x:v>Author direction: the inner cities have carriages and cars, and most of this transport machinery is bipedal. Carriage and car are two item families in that context, not proof of wheels, draft animals or combustion engines. Their exact relation to bipedal designs, power supplies, capacity, ownership and manufacturing remain open. No separate generic bipedal-vehicle entry is added that would duplicate these families. This does not redefine the Legger or establish player-driveable vehicles.</x:v>
      </x:c>
    </x:row>
    <x:row r="175" ht="115" customHeight="1">
      <x:c r="A175" s="4" t="str">
        <x:v>De-rusting material families</x:v>
      </x:c>
      <x:c r="B175" s="4" t="str">
        <x:v>Author direction: advanced de-rusting materials exist. Added rust-removal compound; rust-conversion treatment and corrosion-inhibiting finish are supporting proposals. Existing graded abrasive grit remains the mechanical-cleaning candidate rather than a duplicate item. Composition, carrier, compatibility, inputs, material tiers and performance remain open. Mineral/faunal inputs are possible directions only.</x:v>
      </x:c>
    </x:row>
    <x:row r="176" ht="115" customHeight="1">
      <x:c r="A176" s="4" t="str">
        <x:v>Corrosion reference versus setting</x:v>
      </x:c>
      <x:c r="B176" s="4" t="str">
        <x:v>Real-world reference: rust is iron/steel corrosion involving oxygen and moisture; oxidation is a broader chemical concept. Removal cleans away corrosion products; conversion changes residual products into another layer; protection slows further corrosion. These functions are not interchangeable and do not replace metal already lost. The game has no free environmental water: actual corrosion conditions, biological/industrial exposure and any inherited old damage remain design questions. No ordinary humidity, water baths, plant reagents or Earth treatment recipes are imported. Sources appear beside the relevant material entries.</x:v>
      </x:c>
    </x:row>
  </x:sheetData>
  <x:pageMargins left="0.7" right="0.7" top="0.75" bottom="0.75" header="0.3" footer="0.3"/>
  <x:tableParts count="1">
    <x:tablePart xmlns:r="http://schemas.openxmlformats.org/officeDocument/2006/relationships" r:id="R7260d1841a014ff3"/>
  </x:tableParts>
</x:worksheet>
</file>

<file path=xl/worksheets/sheet6.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6" hidden="0" customWidth="1"/>
    <x:col min="2" max="2" width="38" hidden="0" customWidth="1"/>
    <x:col min="3" max="3" width="52" hidden="0" customWidth="1"/>
    <x:col min="4" max="4" width="52" hidden="0" customWidth="1"/>
    <x:col min="5" max="5" width="40" hidden="0" customWidth="1"/>
    <x:col min="6" max="6" width="70" hidden="0" customWidth="1"/>
    <x:col min="7" max="7" width="20" hidden="0" customWidth="1"/>
    <x:col min="8" max="8" width="65" hidden="0" customWidth="1"/>
  </x:cols>
  <x:sheetData>
    <x:row r="1">
      <x:c r="A1" s="1"/>
      <x:c r="B1" s="1"/>
      <x:c r="C1" s="1"/>
      <x:c r="D1" s="1"/>
      <x:c r="E1" s="1"/>
      <x:c r="F1" s="1"/>
      <x:c r="G1" s="1"/>
      <x:c r="H1" s="1"/>
    </x:row>
    <x:row r="2">
      <x:c r="A2" s="2" t="str">
        <x:v>Proposed resource processing chains</x:v>
      </x:c>
      <x:c r="B2" s="1"/>
      <x:c r="C2" s="1"/>
      <x:c r="D2" s="1"/>
      <x:c r="E2" s="1"/>
      <x:c r="F2" s="1"/>
      <x:c r="G2" s="1"/>
      <x:c r="H2" s="1"/>
    </x:row>
    <x:row r="3">
      <x:c r="A3" s="1"/>
      <x:c r="B3" s="1"/>
      <x:c r="C3" s="1"/>
      <x:c r="D3" s="1"/>
      <x:c r="E3" s="1"/>
      <x:c r="F3" s="1"/>
      <x:c r="G3" s="1"/>
      <x:c r="H3" s="1"/>
    </x:row>
    <x:row r="4">
      <x:c r="A4" s="1"/>
      <x:c r="B4" s="1"/>
      <x:c r="C4" s="1"/>
      <x:c r="D4" s="1"/>
      <x:c r="E4" s="1"/>
      <x:c r="F4" s="1"/>
      <x:c r="G4" s="1"/>
      <x:c r="H4" s="1"/>
    </x:row>
    <x:row r="5" ht="35" customHeight="1">
      <x:c r="A5" s="25" t="str">
        <x:v>Input concept ID</x:v>
      </x:c>
      <x:c r="B5" s="25" t="str">
        <x:v>Output concept ID</x:v>
      </x:c>
      <x:c r="C5" s="25" t="str">
        <x:v>Processing concept</x:v>
      </x:c>
      <x:c r="D5" s="25" t="str">
        <x:v>Potential use</x:v>
      </x:c>
      <x:c r="E5" s="25" t="str">
        <x:v>Work location</x:v>
      </x:c>
      <x:c r="F5" s="25" t="str">
        <x:v>Open constraint</x:v>
      </x:c>
      <x:c r="G5" s="25" t="str">
        <x:v>Status</x:v>
      </x:c>
      <x:c r="H5" s="25" t="str">
        <x:v>Basis</x:v>
      </x:c>
    </x:row>
    <x:row r="6" ht="85" customHeight="1">
      <x:c r="A6" s="4" t="str">
        <x:v>proposal.natural.magnetite</x:v>
      </x:c>
      <x:c r="B6" s="4" t="str">
        <x:v>proposal.natural.iron_feed</x:v>
      </x:c>
      <x:c r="C6" s="4" t="str">
        <x:v>Dry crush and magnetic separation</x:v>
      </x:c>
      <x:c r="D6" s="4" t="str">
        <x:v>Intermediate feed for an eventual furnace</x:v>
      </x:c>
      <x:c r="E6" s="4" t="str">
        <x:v>Stationary camp/settlement processing proposed</x:v>
      </x:c>
      <x:c r="F6" s="4" t="str">
        <x:v>Distinct proposal from existing Iron-rich Concentrate; decide whether to merge them.</x:v>
      </x:c>
      <x:c r="G6" s="4" t="str">
        <x:v>New proposal</x:v>
      </x:c>
      <x:c r="H6" s="4" t="str">
        <x:v>User design direction, October 14, 2026; local brainstorming. New proposal unless explicitly marked User direction.</x:v>
      </x:c>
    </x:row>
    <x:row r="7" ht="85" customHeight="1">
      <x:c r="A7" s="4" t="str">
        <x:v>proposal.natural.iron_feed</x:v>
      </x:c>
      <x:c r="B7" s="4" t="str">
        <x:v>proposal.natural.iron_stock</x:v>
      </x:c>
      <x:c r="C7" s="4" t="str">
        <x:v>Smelt, forge and finish at a stationary facility</x:v>
      </x:c>
      <x:c r="D7" s="4" t="str">
        <x:v>Repair stock, fasteners and structural tool parts</x:v>
      </x:c>
      <x:c r="E7" s="4" t="str">
        <x:v>Stationary camp/settlement processing proposed</x:v>
      </x:c>
      <x:c r="F7" s="4" t="str">
        <x:v>Fuel, furnace, alloy and process choices unresolved; no Legger crafting platform.</x:v>
      </x:c>
      <x:c r="G7" s="4" t="str">
        <x:v>New proposal</x:v>
      </x:c>
      <x:c r="H7" s="4" t="str">
        <x:v>User design direction, October 14, 2026; local brainstorming. New proposal unless explicitly marked User direction.</x:v>
      </x:c>
    </x:row>
    <x:row r="8" ht="85" customHeight="1">
      <x:c r="A8" s="4" t="str">
        <x:v>proposal.natural.silica</x:v>
      </x:c>
      <x:c r="B8" s="4" t="str">
        <x:v>proposal.natural.abrasive</x:v>
      </x:c>
      <x:c r="C8" s="4" t="str">
        <x:v>Dry sieve and grade</x:v>
      </x:c>
      <x:c r="D8" s="4" t="str">
        <x:v>Tool sharpening and surface preparation</x:v>
      </x:c>
      <x:c r="E8" s="4" t="str">
        <x:v>Stationary camp/settlement processing proposed</x:v>
      </x:c>
      <x:c r="F8" s="4" t="str">
        <x:v>Could reuse existing Mineral Sand instead; resolve before implementation.</x:v>
      </x:c>
      <x:c r="G8" s="4" t="str">
        <x:v>New proposal</x:v>
      </x:c>
      <x:c r="H8" s="4" t="str">
        <x:v>User design direction, October 14, 2026; local brainstorming. New proposal unless explicitly marked User direction.</x:v>
      </x:c>
    </x:row>
    <x:row r="9" ht="85" customHeight="1">
      <x:c r="A9" s="4" t="str">
        <x:v>proposal.natural.alumina</x:v>
      </x:c>
      <x:c r="B9" s="4" t="str">
        <x:v>proposal.natural.ceramic</x:v>
      </x:c>
      <x:c r="C9" s="4" t="str">
        <x:v>Dry feed preparation, forming and firing</x:v>
      </x:c>
      <x:c r="D9" s="4" t="str">
        <x:v>Grounding-kit spacers and heat-resistant fixtures</x:v>
      </x:c>
      <x:c r="E9" s="4" t="str">
        <x:v>Stationary camp/settlement processing proposed</x:v>
      </x:c>
      <x:c r="F9" s="4" t="str">
        <x:v>Claystone may be a co-input; forming binder/energy not settled.</x:v>
      </x:c>
      <x:c r="G9" s="4" t="str">
        <x:v>New proposal</x:v>
      </x:c>
      <x:c r="H9" s="4" t="str">
        <x:v>User design direction, October 14, 2026; local brainstorming. New proposal unless explicitly marked User direction.</x:v>
      </x:c>
    </x:row>
    <x:row r="10" ht="85" customHeight="1">
      <x:c r="A10" s="4" t="str">
        <x:v>proposal.natural.carbonate</x:v>
      </x:c>
      <x:c r="B10" s="4" t="str">
        <x:v>proposal.natural.lime</x:v>
      </x:c>
      <x:c r="C10" s="4" t="str">
        <x:v>Heat mineral feed; retain dry product</x:v>
      </x:c>
      <x:c r="D10" s="4" t="str">
        <x:v>Dry composite repair and construction</x:v>
      </x:c>
      <x:c r="E10" s="4" t="str">
        <x:v>Stationary camp/settlement processing proposed</x:v>
      </x:c>
      <x:c r="F10" s="4" t="str">
        <x:v>No conventional water-based cement recipe assumed.</x:v>
      </x:c>
      <x:c r="G10" s="4" t="str">
        <x:v>New proposal</x:v>
      </x:c>
      <x:c r="H10" s="4" t="str">
        <x:v>User design direction, October 14, 2026; local brainstorming. New proposal unless explicitly marked User direction.</x:v>
      </x:c>
    </x:row>
    <x:row r="11" ht="85" customHeight="1">
      <x:c r="A11" s="4" t="str">
        <x:v>proposal.natural.graphite</x:v>
      </x:c>
      <x:c r="B11" s="4" t="str">
        <x:v>proposal.natural.carbon</x:v>
      </x:c>
      <x:c r="C11" s="4" t="str">
        <x:v>Crush and dry grade</x:v>
      </x:c>
      <x:c r="D11" s="4" t="str">
        <x:v>Dry lubricant; conductive composite ingredient</x:v>
      </x:c>
      <x:c r="E11" s="4" t="str">
        <x:v>Stationary camp/settlement processing proposed</x:v>
      </x:c>
      <x:c r="F11" s="4" t="str">
        <x:v>Not a power source; graphite behavior and recipe details remain provisional.</x:v>
      </x:c>
      <x:c r="G11" s="4" t="str">
        <x:v>New proposal</x:v>
      </x:c>
      <x:c r="H11" s="4" t="str">
        <x:v>User design direction, October 14, 2026; local brainstorming. New proposal unless explicitly marked User direction.</x:v>
      </x:c>
    </x:row>
    <x:row r="12" ht="85" customHeight="1">
      <x:c r="A12" s="4" t="str">
        <x:v>proposal.bio.shell</x:v>
      </x:c>
      <x:c r="B12" s="4" t="str">
        <x:v>proposal.bio.laminate</x:v>
      </x:c>
      <x:c r="C12" s="4" t="str">
        <x:v>Trim, layer and bind dry plates</x:v>
      </x:c>
      <x:c r="D12" s="4" t="str">
        <x:v>Light armor panels and impact guards</x:v>
      </x:c>
      <x:c r="E12" s="4" t="str">
        <x:v>Stationary preservation/workbench proposed</x:v>
      </x:c>
      <x:c r="F12" s="4" t="str">
        <x:v>This dry-product route has no approved yield/recipe. Faunal liquids are separately valid material candidates.</x:v>
      </x:c>
      <x:c r="G12" s="4" t="str">
        <x:v>New proposal</x:v>
      </x:c>
      <x:c r="H12" s="4" t="str">
        <x:v>User design direction, October 14, 2026; local brainstorming. New proposal unless explicitly marked User direction.</x:v>
      </x:c>
    </x:row>
    <x:row r="13" ht="85" customHeight="1">
      <x:c r="A13" s="4" t="str">
        <x:v>proposal.bio.tendon</x:v>
      </x:c>
      <x:c r="B13" s="4" t="str">
        <x:v>proposal.bio.cord</x:v>
      </x:c>
      <x:c r="C13" s="4" t="str">
        <x:v>Dry, split, twist and bind</x:v>
      </x:c>
      <x:c r="D13" s="4" t="str">
        <x:v>Tool lashings and field repairs</x:v>
      </x:c>
      <x:c r="E13" s="4" t="str">
        <x:v>Stationary preservation/workbench proposed</x:v>
      </x:c>
      <x:c r="F13" s="4" t="str">
        <x:v>This dry-product route has no approved yield/recipe. Faunal liquids are separately valid material candidates.</x:v>
      </x:c>
      <x:c r="G13" s="4" t="str">
        <x:v>New proposal</x:v>
      </x:c>
      <x:c r="H13" s="4" t="str">
        <x:v>User design direction, October 14, 2026; local brainstorming. New proposal unless explicitly marked User direction.</x:v>
      </x:c>
    </x:row>
    <x:row r="14" ht="85" customHeight="1">
      <x:c r="A14" s="4" t="str">
        <x:v>proposal.bio.bristles</x:v>
      </x:c>
      <x:c r="B14" s="4" t="str">
        <x:v>proposal.bio.brush</x:v>
      </x:c>
      <x:c r="C14" s="4" t="str">
        <x:v>Sort fibers and bind into a backing</x:v>
      </x:c>
      <x:c r="D14" s="4" t="str">
        <x:v>Dust exclusion at joints and equipment closures</x:v>
      </x:c>
      <x:c r="E14" s="4" t="str">
        <x:v>Stationary preservation/workbench proposed</x:v>
      </x:c>
      <x:c r="F14" s="4" t="str">
        <x:v>This dry-product route has no approved yield/recipe. Faunal liquids are separately valid material candidates.</x:v>
      </x:c>
      <x:c r="G14" s="4" t="str">
        <x:v>New proposal</x:v>
      </x:c>
      <x:c r="H14" s="4" t="str">
        <x:v>User design direction, October 14, 2026; local brainstorming. New proposal unless explicitly marked User direction.</x:v>
      </x:c>
    </x:row>
    <x:row r="15" ht="85" customHeight="1">
      <x:c r="A15" s="4" t="str">
        <x:v>proposal.bio.underfur</x:v>
      </x:c>
      <x:c r="B15" s="4" t="str">
        <x:v>proposal.bio.liner</x:v>
      </x:c>
      <x:c r="C15" s="4" t="str">
        <x:v>Process fur into a candidate pressed material</x:v>
      </x:c>
      <x:c r="D15" s="4" t="str">
        <x:v>Scarce usable material; garment application undecided</x:v>
      </x:c>
      <x:c r="E15" s="4" t="str">
        <x:v>Specialist stationary processing proposed</x:v>
      </x:c>
      <x:c r="F15" s="4" t="str">
        <x:v>Extremely low usable yield; no cloth; previous routine liner/felting assumption superseded</x:v>
      </x:c>
      <x:c r="G15" s="4" t="str">
        <x:v>User constraint; product form proposed</x:v>
      </x:c>
      <x:c r="H15" s="4" t="str">
        <x:v>Docs/WORLD_BASIS.md#material-culture; author direction October 14, 2026. Process details and specific product forms remain unimplemented.</x:v>
      </x:c>
    </x:row>
    <x:row r="16" ht="85" customHeight="1">
      <x:c r="A16" s="4" t="str">
        <x:v>proposal.bio.jaw</x:v>
      </x:c>
      <x:c r="B16" s="4" t="str">
        <x:v>proposal.bio.insert</x:v>
      </x:c>
      <x:c r="C16" s="4" t="str">
        <x:v>Cut and grind dense tissue</x:v>
      </x:c>
      <x:c r="D16" s="4" t="str">
        <x:v>Replaceable excavation-tool wear part</x:v>
      </x:c>
      <x:c r="E16" s="4" t="str">
        <x:v>Stationary preservation/workbench proposed</x:v>
      </x:c>
      <x:c r="F16" s="4" t="str">
        <x:v>This dry-product route has no approved yield/recipe. Faunal liquids are separately valid material candidates.</x:v>
      </x:c>
      <x:c r="G16" s="4" t="str">
        <x:v>New proposal</x:v>
      </x:c>
      <x:c r="H16" s="4" t="str">
        <x:v>User design direction, October 14, 2026; local brainstorming. New proposal unless explicitly marked User direction.</x:v>
      </x:c>
    </x:row>
    <x:row r="17" ht="85" customHeight="1">
      <x:c r="A17" s="4" t="str">
        <x:v>proposal.bio.membrane</x:v>
      </x:c>
      <x:c r="B17" s="4" t="str">
        <x:v>proposal.bio.seal</x:v>
      </x:c>
      <x:c r="C17" s="4" t="str">
        <x:v>Dry preserve, cut and laminate</x:v>
      </x:c>
      <x:c r="D17" s="4" t="str">
        <x:v>Flexible equipment repairs</x:v>
      </x:c>
      <x:c r="E17" s="4" t="str">
        <x:v>Stationary preservation/workbench proposed</x:v>
      </x:c>
      <x:c r="F17" s="4" t="str">
        <x:v>This dry-product route has no approved yield/recipe. Faunal liquids are separately valid material candidates.</x:v>
      </x:c>
      <x:c r="G17" s="4" t="str">
        <x:v>New proposal</x:v>
      </x:c>
      <x:c r="H17" s="4" t="str">
        <x:v>User design direction, October 14, 2026; local brainstorming. New proposal unless explicitly marked User direction.</x:v>
      </x:c>
    </x:row>
    <x:row r="18" ht="85" customHeight="1">
      <x:c r="A18" s="4" t="str">
        <x:v>proposal.bio.fat</x:v>
      </x:c>
      <x:c r="B18" s="4" t="str">
        <x:v>proposal.bio.wax</x:v>
      </x:c>
      <x:c r="C18" s="4" t="str">
        <x:v>Unverified conversion; await actual anatomy</x:v>
      </x:c>
      <x:c r="D18" s="4" t="str">
        <x:v>Conditional solid product only</x:v>
      </x:c>
      <x:c r="E18" s="4" t="str">
        <x:v>Processing undefined</x:v>
      </x:c>
      <x:c r="F18" s="4" t="str">
        <x:v>Conventional fat precursor not established; Burden Beasts source must be reviewed</x:v>
      </x:c>
      <x:c r="G18" s="4" t="str">
        <x:v>Needs lore anatomy review</x:v>
      </x:c>
      <x:c r="H18" s="4" t="str">
        <x:v>Docs/WORLD_BASIS.md#faunal-biology-and-material-use; direct author direction October 14, 2026. Related source anatomy proposals now accessible at f6f98515; this item awaits reconciliation; identities and processing remain undefined.</x:v>
      </x:c>
    </x:row>
    <x:row r="19" ht="85" customHeight="1">
      <x:c r="A19" s="4" t="str">
        <x:v>proposal.bio.organ</x:v>
      </x:c>
      <x:c r="B19" s="4" t="str">
        <x:v>proposal.bio.electrode</x:v>
      </x:c>
      <x:c r="C19" s="4" t="str">
        <x:v>Dry preserve and stabilize structure</x:v>
      </x:c>
      <x:c r="D19" s="4" t="str">
        <x:v>Possible charged-battery component research</x:v>
      </x:c>
      <x:c r="E19" s="4" t="str">
        <x:v>Stationary preservation/workbench proposed</x:v>
      </x:c>
      <x:c r="F19" s="4" t="str">
        <x:v>This dry-product route has no approved yield/recipe. Faunal liquids are separately valid material candidates.</x:v>
      </x:c>
      <x:c r="G19" s="4" t="str">
        <x:v>New proposal</x:v>
      </x:c>
      <x:c r="H19" s="4" t="str">
        <x:v>User design direction, October 14, 2026; local brainstorming. New proposal unless explicitly marked User direction.</x:v>
      </x:c>
    </x:row>
    <x:row r="20" ht="85" customHeight="1">
      <x:c r="A20" s="4" t="str">
        <x:v>proposal.natural.mica</x:v>
      </x:c>
      <x:c r="B20" s="4" t="str">
        <x:v>proposal.gear.grounding_kit</x:v>
      </x:c>
      <x:c r="C20" s="4" t="str">
        <x:v>Trim insulating separator</x:v>
      </x:c>
      <x:c r="D20" s="4" t="str">
        <x:v>Separates selected contact surfaces; not the discharge path</x:v>
      </x:c>
      <x:c r="E20" s="4" t="str">
        <x:v>Field fitting proposed</x:v>
      </x:c>
      <x:c r="F20" s="4" t="str">
        <x:v>Kit also needs an authored conductive path and game-valid ground contact</x:v>
      </x:c>
      <x:c r="G20" s="4" t="str">
        <x:v>New proposal</x:v>
      </x:c>
      <x:c r="H20" s="4" t="str">
        <x:v>User design direction, October 14, 2026; local brainstorming. New proposal unless explicitly marked User direction.</x:v>
      </x:c>
    </x:row>
    <x:row r="21" ht="85" customHeight="1">
      <x:c r="A21" s="4" t="str">
        <x:v>proposal.natural.carbon</x:v>
      </x:c>
      <x:c r="B21" s="4" t="str">
        <x:v>proposal.gear.grounding_kit</x:v>
      </x:c>
      <x:c r="C21" s="4" t="str">
        <x:v>Potential conductive composite ingredient</x:v>
      </x:c>
      <x:c r="D21" s="4" t="str">
        <x:v>Charge-control kit component research</x:v>
      </x:c>
      <x:c r="E21" s="4" t="str">
        <x:v>Workbench proposed</x:v>
      </x:c>
      <x:c r="F21" s="4" t="str">
        <x:v>Does not establish a complete working kit or physical safety claim</x:v>
      </x:c>
      <x:c r="G21" s="4" t="str">
        <x:v>New proposal</x:v>
      </x:c>
      <x:c r="H21" s="4" t="str">
        <x:v>User design direction, October 14, 2026; local brainstorming. New proposal unless explicitly marked User direction.</x:v>
      </x:c>
    </x:row>
    <x:row r="22" ht="85" customHeight="1">
      <x:c r="A22" s="4" t="str">
        <x:v>proposal.natural.copper_stone</x:v>
      </x:c>
      <x:c r="B22" s="4" t="str">
        <x:v>proposal.natural.copper_ore</x:v>
      </x:c>
      <x:c r="C22" s="4" t="str">
        <x:v>Dry sort / concentrate; method to design</x:v>
      </x:c>
      <x:c r="D22" s="4" t="str">
        <x:v>Higher-grade copper feed</x:v>
      </x:c>
      <x:c r="E22" s="4" t="str">
        <x:v>Stationary processing proposed</x:v>
      </x:c>
      <x:c r="F22" s="4" t="str">
        <x:v>Optional extra stage; merge these entries if sorting is busywork</x:v>
      </x:c>
      <x:c r="G22" s="4" t="str">
        <x:v>New proposal</x:v>
      </x:c>
      <x:c r="H22" s="4" t="str">
        <x:v>https://www.nps.gov/deva/learn/nature/mining-in-death-valley.htm</x:v>
      </x:c>
    </x:row>
    <x:row r="23" ht="85" customHeight="1">
      <x:c r="A23" s="4" t="str">
        <x:v>proposal.natural.copper_ore</x:v>
      </x:c>
      <x:c r="B23" s="4" t="str">
        <x:v>proposal.natural.raw_copper</x:v>
      </x:c>
      <x:c r="C23" s="4" t="str">
        <x:v>Refine; process and energy unresolved</x:v>
      </x:c>
      <x:c r="D23" s="4" t="str">
        <x:v>Unworked copper for manufacturing</x:v>
      </x:c>
      <x:c r="E23" s="4" t="str">
        <x:v>Stationary specialist facility proposed</x:v>
      </x:c>
      <x:c r="F23" s="4" t="str">
        <x:v>No direct conversion rate or field-smelting recipe approved</x:v>
      </x:c>
      <x:c r="G23" s="4" t="str">
        <x:v>New proposal</x:v>
      </x:c>
      <x:c r="H23" s="4" t="str">
        <x:v>https://www.nps.gov/deva/learn/nature/mining-in-death-valley.htm</x:v>
      </x:c>
    </x:row>
    <x:row r="24" ht="85" customHeight="1">
      <x:c r="A24" s="4" t="str">
        <x:v>proposal.natural.magnesium_rock</x:v>
      </x:c>
      <x:c r="B24" s="4" t="str">
        <x:v>proposal.natural.raw_magnesium</x:v>
      </x:c>
      <x:c r="C24" s="4" t="str">
        <x:v>Specialist extraction; method unresolved</x:v>
      </x:c>
      <x:c r="D24" s="4" t="str">
        <x:v>Unworked metal for alloy research</x:v>
      </x:c>
      <x:c r="E24" s="4" t="str">
        <x:v>Settlement-scale facility or salvage proposed</x:v>
      </x:c>
      <x:c r="F24" s="4" t="str">
        <x:v>Mineral occurrence does not establish native magnesium metal</x:v>
      </x:c>
      <x:c r="G24" s="4" t="str">
        <x:v>New proposal</x:v>
      </x:c>
      <x:c r="H24" s="4" t="str">
        <x:v>https://pubs.usgs.gov/publication/70018701</x:v>
      </x:c>
    </x:row>
    <x:row r="25" ht="85" customHeight="1">
      <x:c r="A25" s="4" t="str">
        <x:v>proposal.natural.hematite</x:v>
      </x:c>
      <x:c r="B25" s="4" t="str">
        <x:v>proposal.natural.iron_feed</x:v>
      </x:c>
      <x:c r="C25" s="4" t="str">
        <x:v>Sort and prepare iron-bearing feed</x:v>
      </x:c>
      <x:c r="D25" s="4" t="str">
        <x:v>Common iron-refining intermediate candidate</x:v>
      </x:c>
      <x:c r="E25" s="4" t="str">
        <x:v>Stationary processing proposed</x:v>
      </x:c>
      <x:c r="F25" s="4" t="str">
        <x:v>Hematite game entry user-requested; local occurrence not verified here</x:v>
      </x:c>
      <x:c r="G25" s="4" t="str">
        <x:v>New proposal</x:v>
      </x:c>
      <x:c r="H25" s="4" t="str">
        <x:v>User direction, October 14, 2026</x:v>
      </x:c>
    </x:row>
    <x:row r="26" ht="85" customHeight="1">
      <x:c r="A26" s="4" t="str">
        <x:v>proposal.bio.tendon</x:v>
      </x:c>
      <x:c r="B26" s="4" t="str">
        <x:v>proposal.natural.charcoal</x:v>
      </x:c>
      <x:c r="C26" s="4" t="str">
        <x:v>Possible carbonization of dried biological offcuts</x:v>
      </x:c>
      <x:c r="D26" s="4" t="str">
        <x:v>Fuel from non-wood biological material</x:v>
      </x:c>
      <x:c r="E26" s="4" t="str">
        <x:v>Stationary retort proposed</x:v>
      </x:c>
      <x:c r="F26" s="4" t="str">
        <x:v>Illustrative pathway only; consumes valuable biomass; source/yield and ecology unapproved</x:v>
      </x:c>
      <x:c r="G26" s="4" t="str">
        <x:v>New proposal</x:v>
      </x:c>
      <x:c r="H26" s="4" t="str">
        <x:v>https://www.nps.gov/deva/learn/historyculture/charcoalkilns.htm; game feedstock is a new proposal</x:v>
      </x:c>
    </x:row>
    <x:row r="27" ht="85" customHeight="1">
      <x:c r="A27" s="4" t="str">
        <x:v>proposal.natural.raw_copper</x:v>
      </x:c>
      <x:c r="B27" s="4" t="str">
        <x:v>proposal.gear.grounding_kit</x:v>
      </x:c>
      <x:c r="C27" s="4" t="str">
        <x:v>Manufacture conductive parts; kit design unresolved</x:v>
      </x:c>
      <x:c r="D27" s="4" t="str">
        <x:v>Charge-management gear</x:v>
      </x:c>
      <x:c r="E27" s="4" t="str">
        <x:v>Workbench proposed</x:v>
      </x:c>
      <x:c r="F27" s="4" t="str">
        <x:v>Material link only; not a complete electrical design</x:v>
      </x:c>
      <x:c r="G27" s="4" t="str">
        <x:v>New proposal</x:v>
      </x:c>
      <x:c r="H27" s="4" t="str">
        <x:v>User direction; proposed crafting relationship</x:v>
      </x:c>
    </x:row>
    <x:row r="28" ht="90" customHeight="1">
      <x:c r="A28" s="4" t="str">
        <x:v>proposal.bio.shell</x:v>
      </x:c>
      <x:c r="B28" s="4" t="str">
        <x:v>proposal.bio.chitin_fibers</x:v>
      </x:c>
      <x:c r="C28" s="4" t="str">
        <x:v>Scrape fibers from shell husks</x:v>
      </x:c>
      <x:c r="D28" s="4" t="str">
        <x:v>Abundant raw chitin fiber feed</x:v>
      </x:c>
      <x:c r="E28" s="4" t="str">
        <x:v>Work location not yet defined</x:v>
      </x:c>
      <x:c r="F28" s="4" t="str">
        <x:v>Scraping rate, tools and actual collectible yield unapproved</x:v>
      </x:c>
      <x:c r="G28" s="4" t="str">
        <x:v>User direction; not implemented</x:v>
      </x:c>
      <x:c r="H28" s="4" t="str">
        <x:v>Docs/WORLD_BASIS.md#material-culture; author direction October 14, 2026. Process details and specific product forms remain unimplemented.</x:v>
      </x:c>
    </x:row>
    <x:row r="29" ht="90" customHeight="1">
      <x:c r="A29" s="4" t="str">
        <x:v>proposal.bio.shell</x:v>
      </x:c>
      <x:c r="B29" s="4" t="str">
        <x:v>proposal.bio.icore_fibers</x:v>
      </x:c>
      <x:c r="C29" s="4" t="str">
        <x:v>Scrape fibers from shell husks</x:v>
      </x:c>
      <x:c r="D29" s="4" t="str">
        <x:v>Abundant raw icore fiber feed</x:v>
      </x:c>
      <x:c r="E29" s="4" t="str">
        <x:v>Work location not yet defined</x:v>
      </x:c>
      <x:c r="F29" s="4" t="str">
        <x:v>Icore composition undefined; no invented special properties</x:v>
      </x:c>
      <x:c r="G29" s="4" t="str">
        <x:v>User direction; not implemented</x:v>
      </x:c>
      <x:c r="H29" s="4" t="str">
        <x:v>Docs/WORLD_BASIS.md#material-culture; author direction October 14, 2026. Process details and specific product forms remain unimplemented.</x:v>
      </x:c>
    </x:row>
    <x:row r="30" ht="90" customHeight="1">
      <x:c r="A30" s="4" t="str">
        <x:v>proposal.bio.chitin_fibers</x:v>
      </x:c>
      <x:c r="B30" s="4" t="str">
        <x:v>proposal.bio.husk_paper</x:v>
      </x:c>
      <x:c r="C30" s="4" t="str">
        <x:v>Process scraped husk fibers into paper</x:v>
      </x:c>
      <x:c r="D30" s="4" t="str">
        <x:v>Main paper material</x:v>
      </x:c>
      <x:c r="E30" s="4" t="str">
        <x:v>Paper-processing station not yet defined</x:v>
      </x:c>
      <x:c r="F30" s="4" t="str">
        <x:v>No numeric yield, paper recipe or processing difficulty approved</x:v>
      </x:c>
      <x:c r="G30" s="4" t="str">
        <x:v>User direction; not implemented</x:v>
      </x:c>
      <x:c r="H30" s="4" t="str">
        <x:v>Docs/WORLD_BASIS.md#material-culture; author direction October 14, 2026. Process details and specific product forms remain unimplemented.</x:v>
      </x:c>
    </x:row>
    <x:row r="31" ht="90" customHeight="1">
      <x:c r="A31" s="4" t="str">
        <x:v>proposal.bio.icore_fibers</x:v>
      </x:c>
      <x:c r="B31" s="4" t="str">
        <x:v>proposal.bio.husk_paper</x:v>
      </x:c>
      <x:c r="C31" s="4" t="str">
        <x:v>Use scraped husk fibers for paper</x:v>
      </x:c>
      <x:c r="D31" s="4" t="str">
        <x:v>Main paper material</x:v>
      </x:c>
      <x:c r="E31" s="4" t="str">
        <x:v>Paper-processing station not yet defined</x:v>
      </x:c>
      <x:c r="F31" s="4" t="str">
        <x:v>Two fiber inputs shown as alternatives/options; mixing requirement not settled</x:v>
      </x:c>
      <x:c r="G31" s="4" t="str">
        <x:v>User direction; not implemented</x:v>
      </x:c>
      <x:c r="H31" s="4" t="str">
        <x:v>Docs/WORLD_BASIS.md#material-culture; author direction October 14, 2026. Process details and specific product forms remain unimplemented.</x:v>
      </x:c>
    </x:row>
    <x:row r="32" ht="90" customHeight="1">
      <x:c r="A32" s="4" t="str">
        <x:v>proposal.bio.chitin_fibers</x:v>
      </x:c>
      <x:c r="B32" s="4" t="str">
        <x:v>proposal.bio.pressed_husk</x:v>
      </x:c>
      <x:c r="C32" s="4" t="str">
        <x:v>Difficult processing and pressing</x:v>
      </x:c>
      <x:c r="D32" s="4" t="str">
        <x:v>Pressed textile material</x:v>
      </x:c>
      <x:c r="E32" s="4" t="str">
        <x:v>Specialist processing proposed</x:v>
      </x:c>
      <x:c r="F32" s="4" t="str">
        <x:v>Very difficult; no cloth; exact recipe and product properties unresolved</x:v>
      </x:c>
      <x:c r="G32" s="4" t="str">
        <x:v>User direction; not implemented</x:v>
      </x:c>
      <x:c r="H32" s="4" t="str">
        <x:v>Docs/WORLD_BASIS.md#material-culture; author direction October 14, 2026. Process details and specific product forms remain unimplemented.</x:v>
      </x:c>
    </x:row>
    <x:row r="33" ht="90" customHeight="1">
      <x:c r="A33" s="4" t="str">
        <x:v>proposal.bio.icore_fibers</x:v>
      </x:c>
      <x:c r="B33" s="4" t="str">
        <x:v>proposal.bio.pressed_husk</x:v>
      </x:c>
      <x:c r="C33" s="4" t="str">
        <x:v>Difficult processing and pressing</x:v>
      </x:c>
      <x:c r="D33" s="4" t="str">
        <x:v>Pressed textile material</x:v>
      </x:c>
      <x:c r="E33" s="4" t="str">
        <x:v>Specialist processing proposed</x:v>
      </x:c>
      <x:c r="F33" s="4" t="str">
        <x:v>Fiber combination unresolved; this is not a two-input recipe specification</x:v>
      </x:c>
      <x:c r="G33" s="4" t="str">
        <x:v>User direction; not implemented</x:v>
      </x:c>
      <x:c r="H33" s="4" t="str">
        <x:v>Docs/WORLD_BASIS.md#material-culture; author direction October 14, 2026. Process details and specific product forms remain unimplemented.</x:v>
      </x:c>
    </x:row>
    <x:row r="34" ht="90" customHeight="1">
      <x:c r="A34" s="4" t="str">
        <x:v>proposal.bio.hide</x:v>
      </x:c>
      <x:c r="B34" s="4" t="str">
        <x:v>proposal.bio.hide_material</x:v>
      </x:c>
      <x:c r="C34" s="4" t="str">
        <x:v>Process hide into usable material</x:v>
      </x:c>
      <x:c r="D34" s="4" t="str">
        <x:v>Scarce material output</x:v>
      </x:c>
      <x:c r="E34" s="4" t="str">
        <x:v>Specialist processing proposed</x:v>
      </x:c>
      <x:c r="F34" s="4" t="str">
        <x:v>Extremely low yield; no cloth; no numeric ratio specified</x:v>
      </x:c>
      <x:c r="G34" s="4" t="str">
        <x:v>User direction; not implemented</x:v>
      </x:c>
      <x:c r="H34" s="4" t="str">
        <x:v>Docs/WORLD_BASIS.md#material-culture; author direction October 14, 2026. Process details and specific product forms remain unimplemented.</x:v>
      </x:c>
    </x:row>
  </x:sheetData>
  <x:pageMargins left="0.7" right="0.7" top="0.75" bottom="0.75" header="0.3" footer="0.3"/>
  <x:tableParts count="1">
    <x:tablePart xmlns:r="http://schemas.openxmlformats.org/officeDocument/2006/relationships" r:id="Rc92edb4750e84d7b"/>
  </x:tableParts>
</x:worksheet>
</file>

<file path=xl/worksheets/sheet7.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0" hidden="0" customWidth="1"/>
    <x:col min="2" max="2" width="29" hidden="0" customWidth="1"/>
    <x:col min="3" max="3" width="62" hidden="0" customWidth="1"/>
    <x:col min="4" max="4" width="58" hidden="0" customWidth="1"/>
    <x:col min="5" max="5" width="58" hidden="0" customWidth="1"/>
    <x:col min="6" max="6" width="70" hidden="0" customWidth="1"/>
    <x:col min="7" max="7" width="62" hidden="0" customWidth="1"/>
    <x:col min="8" max="8" width="72" hidden="0" customWidth="1"/>
    <x:col min="9" max="9" width="22" hidden="0" customWidth="1"/>
  </x:cols>
  <x:sheetData>
    <x:row r="1">
      <x:c r="A1" s="1"/>
      <x:c r="B1" s="1"/>
      <x:c r="C1" s="1"/>
      <x:c r="D1" s="1"/>
      <x:c r="E1" s="1"/>
      <x:c r="F1" s="1"/>
      <x:c r="G1" s="1"/>
      <x:c r="H1" s="1"/>
      <x:c r="I1" s="1"/>
    </x:row>
    <x:row r="2">
      <x:c r="A2" s="2" t="str">
        <x:v>Megafauna concepts and material sources</x:v>
      </x:c>
      <x:c r="B2" s="1"/>
      <x:c r="C2" s="1"/>
      <x:c r="D2" s="1"/>
      <x:c r="E2" s="1"/>
      <x:c r="F2" s="1"/>
      <x:c r="G2" s="1"/>
      <x:c r="H2" s="1"/>
      <x:c r="I2" s="1"/>
    </x:row>
    <x:row r="3">
      <x:c r="A3" s="1"/>
      <x:c r="B3" s="1"/>
      <x:c r="C3" s="1"/>
      <x:c r="D3" s="1"/>
      <x:c r="E3" s="1"/>
      <x:c r="F3" s="1"/>
      <x:c r="G3" s="1"/>
      <x:c r="H3" s="1"/>
      <x:c r="I3" s="1"/>
    </x:row>
    <x:row r="4">
      <x:c r="A4" s="1"/>
      <x:c r="B4" s="1"/>
      <x:c r="C4" s="1"/>
      <x:c r="D4" s="1"/>
      <x:c r="E4" s="1"/>
      <x:c r="F4" s="1"/>
      <x:c r="G4" s="1"/>
      <x:c r="H4" s="1"/>
      <x:c r="I4" s="1"/>
    </x:row>
    <x:row r="5" ht="35" customHeight="1">
      <x:c r="A5" s="25" t="str">
        <x:v>Concept ID</x:v>
      </x:c>
      <x:c r="B5" s="25" t="str">
        <x:v>Working description</x:v>
      </x:c>
      <x:c r="C5" s="25" t="str">
        <x:v>Hybrid anatomy</x:v>
      </x:c>
      <x:c r="D5" s="25" t="str">
        <x:v>Ecological role</x:v>
      </x:c>
      <x:c r="E5" s="25" t="str">
        <x:v>Expedition decision</x:v>
      </x:c>
      <x:c r="F5" s="25" t="str">
        <x:v>Resource concept IDs</x:v>
      </x:c>
      <x:c r="G5" s="25" t="str">
        <x:v>Collection alternative</x:v>
      </x:c>
      <x:c r="H5" s="25" t="str">
        <x:v>Open design issue</x:v>
      </x:c>
      <x:c r="I5" s="25" t="str">
        <x:v>Status</x:v>
      </x:c>
    </x:row>
    <x:row r="6" ht="115" customHeight="1">
      <x:c r="A6" s="4" t="str">
        <x:v>fauna.plate_grazer</x:v>
      </x:c>
      <x:c r="B6" s="4" t="str">
        <x:v>Plate-backed grazer</x:v>
      </x:c>
      <x:c r="C6" s="4" t="str">
        <x:v>Broad low body; overlapping crustacean plates, six load-bearing legs, furred joint recesses</x:v>
      </x:c>
      <x:c r="D6" s="4" t="str">
        <x:v>Slow herd browser of proposed dry microbial/mineral crusts</x:v>
      </x:c>
      <x:c r="E6" s="4" t="str">
        <x:v>Quiet feedstock supply via abandoned molts; hunt only when worthwhile</x:v>
      </x:c>
      <x:c r="F6" s="4" t="str">
        <x:v>proposal.bio.shell; proposal.bio.underfur; proposal.bio.tendon; proposal.bio.chitin_fibers; proposal.bio.icore_fibers</x:v>
      </x:c>
      <x:c r="G6" s="4" t="str">
        <x:v>Molts and bedding can supply modest materials without a kill</x:v>
      </x:c>
      <x:c r="H6" s="4" t="str">
        <x:v>Primary productivity and crust biology unresolved; no plant grazing; fiber supply follows husk rule, but species-specific yields remain unapproved; fur conversion has extremely low usable yield; no cloth; Burden Beasts anatomy unreviewed; no species-specific edibility or chemistry assigned</x:v>
      </x:c>
      <x:c r="I6" s="4" t="str">
        <x:v>New proposal</x:v>
      </x:c>
    </x:row>
    <x:row r="7" ht="115" customHeight="1">
      <x:c r="A7" s="4" t="str">
        <x:v>fauna.burrower</x:v>
      </x:c>
      <x:c r="B7" s="4" t="str">
        <x:v>Canyon burrower</x:v>
      </x:c>
      <x:c r="C7" s="4" t="str">
        <x:v>Wedge-shaped armored head, mole-like digging posture, shovel forelimbs, mandibular cutters</x:v>
      </x:c>
      <x:c r="D7" s="4" t="str">
        <x:v>Excavates old scree fans; diet and nutrient sources unresolved</x:v>
      </x:c>
      <x:c r="E7" s="4" t="str">
        <x:v>Excavation competes with access to mineral seams</x:v>
      </x:c>
      <x:c r="F7" s="4" t="str">
        <x:v>proposal.bio.jaw; proposal.bio.bristles; proposal.bio.membrane</x:v>
      </x:c>
      <x:c r="G7" s="4" t="str">
        <x:v>Old bristle-lined burrows provide low-yield scavenging opportunities</x:v>
      </x:c>
      <x:c r="H7" s="4" t="str">
        <x:v>Burrows and collapse rules must respect fixed terrain; no terrain system authorized; Burden Beasts anatomy unreviewed; no species-specific edibility or chemistry assigned</x:v>
      </x:c>
      <x:c r="I7" s="4" t="str">
        <x:v>New proposal</x:v>
      </x:c>
    </x:row>
    <x:row r="8" ht="115" customHeight="1">
      <x:c r="A8" s="4" t="str">
        <x:v>fauna.storm_migrant</x:v>
      </x:c>
      <x:c r="B8" s="4" t="str">
        <x:v>Storm-following giant</x:v>
      </x:c>
      <x:c r="C8" s="4" t="str">
        <x:v>Tall segmented body, shell ridges, furred underside, many broad feet</x:v>
      </x:c>
      <x:c r="D8" s="4" t="str">
        <x:v>Fictional charge-sensitive migration near storms; diet unresolved</x:v>
      </x:c>
      <x:c r="E8" s="4" t="str">
        <x:v>Storm timing creates a dangerous optional expedition target</x:v>
      </x:c>
      <x:c r="F8" s="4" t="str">
        <x:v>proposal.bio.organ; proposal.bio.shell; proposal.bio.tendon; proposal.bio.chitin_fibers; proposal.bio.icore_fibers</x:v>
      </x:c>
      <x:c r="G8" s="4" t="str">
        <x:v>Abandoned molts available after migrations; rare tissue requires a carcass</x:v>
      </x:c>
      <x:c r="H8" s="4" t="str">
        <x:v>Charge sensing/storage biology and electrical behavior are speculative; fiber supply follows husk rule, but species-specific yields remain unapproved; Burden Beasts anatomy unreviewed; no species-specific edibility or chemistry assigned</x:v>
      </x:c>
      <x:c r="I8" s="4" t="str">
        <x:v>New proposal</x:v>
      </x:c>
    </x:row>
    <x:row r="9" ht="115" customHeight="1">
      <x:c r="A9" s="4" t="str">
        <x:v>fauna.carrion_crusher</x:v>
      </x:c>
      <x:c r="B9" s="4" t="str">
        <x:v>Carrion crusher</x:v>
      </x:c>
      <x:c r="C9" s="4" t="str">
        <x:v>Heavy crab-like claws, mandibular mouth and a bulky trunk; internal structure unverified</x:v>
      </x:c>
      <x:c r="D9" s="4" t="str">
        <x:v>Scavenges large carcasses; competes with Booter for remains</x:v>
      </x:c>
      <x:c r="E9" s="4" t="str">
        <x:v>Carcass harvesting attracts competition and encourages selective removal</x:v>
      </x:c>
      <x:c r="F9" s="4" t="str">
        <x:v>proposal.bio.jaw; proposal.bio.shell; proposal.bio.chitin_fibers; proposal.bio.icore_fibers</x:v>
      </x:c>
      <x:c r="G9" s="4" t="str">
        <x:v>Track feeding sites for discarded dry fragments</x:v>
      </x:c>
      <x:c r="H9" s="4" t="str">
        <x:v>Population depends on a viable food web; no established species or combat kit; fiber supply follows husk rule, but species-specific yields remain unapproved; Burden Beasts anatomy unreviewed; no species-specific edibility or chemistry assigned</x:v>
      </x:c>
      <x:c r="I9" s="4" t="str">
        <x:v>New proposal</x:v>
      </x:c>
    </x:row>
    <x:row r="10" ht="115" customHeight="1">
      <x:c r="A10" s="4" t="str">
        <x:v>fauna.shelf_climber</x:v>
      </x:c>
      <x:c r="B10" s="4" t="str">
        <x:v>Shelf-climbing browser</x:v>
      </x:c>
      <x:c r="C10" s="4" t="str">
        <x:v>Compact furred torso, hooked insectoid feet, flexible shell bands and springing limbs</x:v>
      </x:c>
      <x:c r="D10" s="4" t="str">
        <x:v>Uses narrow canyon ledges; diet unresolved</x:v>
      </x:c>
      <x:c r="E10" s="4" t="str">
        <x:v>Source of flexible materials where bulk hauling is awkward</x:v>
      </x:c>
      <x:c r="F10" s="4" t="str">
        <x:v>proposal.bio.membrane; proposal.bio.underfur; proposal.bio.tendon</x:v>
      </x:c>
      <x:c r="G10" s="4" t="str">
        <x:v>Shed fur and abandoned rests provide a low-impact collection option</x:v>
      </x:c>
      <x:c r="H10" s="4" t="str">
        <x:v>Movement, size, ecology and hunt behavior need design; fur conversion has extremely low usable yield; no cloth; Burden Beasts anatomy unreviewed; no species-specific edibility or chemistry assigned</x:v>
      </x:c>
      <x:c r="I10" s="4" t="str">
        <x:v>New proposal</x:v>
      </x:c>
    </x:row>
  </x:sheetData>
  <x:pageMargins left="0.7" right="0.7" top="0.75" bottom="0.75" header="0.3" footer="0.3"/>
  <x:tableParts count="1">
    <x:tablePart xmlns:r="http://schemas.openxmlformats.org/officeDocument/2006/relationships" r:id="R2c48e2085eb04a29"/>
  </x:tableParts>
</x:worksheet>
</file>

<file path=xl/worksheets/sheet8.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8" hidden="0" customWidth="1"/>
    <x:col min="2" max="2" width="30" hidden="0" customWidth="1"/>
    <x:col min="3" max="3" width="55" hidden="0" customWidth="1"/>
    <x:col min="4" max="4" width="46" hidden="0" customWidth="1"/>
    <x:col min="5" max="5" width="55" hidden="0" customWidth="1"/>
    <x:col min="6" max="6" width="62" hidden="0" customWidth="1"/>
    <x:col min="7" max="7" width="72" hidden="0" customWidth="1"/>
    <x:col min="8" max="8" width="110" hidden="0" customWidth="1"/>
  </x:cols>
  <x:sheetData>
    <x:row r="1">
      <x:c r="A1" s="1"/>
      <x:c r="B1" s="1"/>
      <x:c r="C1" s="1"/>
      <x:c r="D1" s="1"/>
      <x:c r="E1" s="1"/>
      <x:c r="F1" s="1"/>
      <x:c r="G1" s="1"/>
      <x:c r="H1" s="1"/>
    </x:row>
    <x:row r="2">
      <x:c r="A2" s="2" t="str">
        <x:v>Faunal chemicals and toxins</x:v>
      </x:c>
      <x:c r="B2" s="1"/>
      <x:c r="C2" s="1"/>
      <x:c r="D2" s="1"/>
      <x:c r="E2" s="1"/>
      <x:c r="F2" s="1"/>
      <x:c r="G2" s="1"/>
      <x:c r="H2" s="1"/>
    </x:row>
    <x:row r="3">
      <x:c r="A3" s="1" t="str">
        <x:v>New game proposals. Descriptive labels; no accepted chemical identities, species assignments, recipes or numeric effects.</x:v>
      </x:c>
      <x:c r="B3" s="1"/>
      <x:c r="C3" s="1"/>
      <x:c r="D3" s="1"/>
      <x:c r="E3" s="1"/>
      <x:c r="F3" s="1"/>
      <x:c r="G3" s="1"/>
      <x:c r="H3" s="1"/>
    </x:row>
    <x:row r="4">
      <x:c r="A4" s="1"/>
      <x:c r="B4" s="1"/>
      <x:c r="C4" s="1"/>
      <x:c r="D4" s="1"/>
      <x:c r="E4" s="1"/>
      <x:c r="F4" s="1"/>
      <x:c r="G4" s="1"/>
      <x:c r="H4" s="1"/>
    </x:row>
    <x:row r="5" ht="35" customHeight="1">
      <x:c r="A5" s="35" t="str">
        <x:v>Concept ID</x:v>
      </x:c>
      <x:c r="B5" s="35" t="str">
        <x:v>Working label</x:v>
      </x:c>
      <x:c r="C5" s="35" t="str">
        <x:v>Biological source / role</x:v>
      </x:c>
      <x:c r="D5" s="35" t="str">
        <x:v>Human hazard</x:v>
      </x:c>
      <x:c r="E5" s="35" t="str">
        <x:v>Potential material use</x:v>
      </x:c>
      <x:c r="F5" s="35" t="str">
        <x:v>Design constraint</x:v>
      </x:c>
      <x:c r="G5" s="35" t="str">
        <x:v>Source relationship</x:v>
      </x:c>
      <x:c r="H5" s="35" t="str">
        <x:v>Reference</x:v>
      </x:c>
    </x:row>
    <x:row r="6" ht="75" customHeight="1">
      <x:c r="A6" s="4" t="str">
        <x:v>proposal.chemical.digestive_etchant</x:v>
      </x:c>
      <x:c r="B6" s="4" t="str">
        <x:v>Digestive etchant</x:v>
      </x:c>
      <x:c r="C6" s="4" t="str">
        <x:v>Contained digestive liquor in geological feeders; exposes useful mineral compounds</x:v>
      </x:c>
      <x:c r="D6" s="4" t="str">
        <x:v>Corrosive tissue injury; inedible</x:v>
      </x:c>
      <x:c r="E6" s="4" t="str">
        <x:v>Mineral separation and metal surface preparation</x:v>
      </x:c>
      <x:c r="F6" s="4" t="str">
        <x:v>Could damage containers and useful shell; reusable containment and selectivity need design</x:v>
      </x:c>
      <x:c r="G6" s="4" t="str">
        <x:v>Source draft describes digestive acids/catalysts; this harvestable agent and uses are new proposals</x:v>
      </x:c>
      <x:c r="H6" s="4" t="str">
        <x:v>https://github.com/sleepyseamonster/Arc-Dust/blob/f6f98515c005dc3c73cccd9cbc031691745740c6/02-Arc-Dust-Worldbuilding/world/native-fauna-biology.md; https://github.com/sleepyseamonster/Arc-Dust/blob/f6f98515c005dc3c73cccd9cbc031691745740c6/02-Arc-Dust-Worldbuilding/world/materials/chemical-processing-agents.md</x:v>
      </x:c>
    </x:row>
    <x:row r="7" ht="75" customHeight="1">
      <x:c r="A7" s="4" t="str">
        <x:v>proposal.chemical.husk_enzyme</x:v>
      </x:c>
      <x:c r="B7" s="4" t="str">
        <x:v>Husk-separation enzyme</x:v>
      </x:c>
      <x:c r="C7" s="4" t="str">
        <x:v>Proposed catalytic fraction associated with shell renewal or digestion</x:v>
      </x:c>
      <x:c r="D7" s="4" t="str">
        <x:v>Biologically active irritant; effects species-dependent</x:v>
      </x:c>
      <x:c r="E7" s="4" t="str">
        <x:v>Help release chitin/icore fibers for paper and difficult pressed materials</x:v>
      </x:c>
      <x:c r="F7" s="4" t="str">
        <x:v>Slow specialist processing still required; must not turn abundant husks into easy cloth</x:v>
      </x:c>
      <x:c r="G7" s="4" t="str">
        <x:v>Source draft includes industrial enzymes, but fauna origin and this fiber application are new proposals</x:v>
      </x:c>
      <x:c r="H7" s="4" t="str">
        <x:v>https://github.com/sleepyseamonster/Arc-Dust/blob/f6f98515c005dc3c73cccd9cbc031691745740c6/02-Arc-Dust-Worldbuilding/world/materials/chemical-processing-agents.md</x:v>
      </x:c>
    </x:row>
    <x:row r="8" ht="75" customHeight="1">
      <x:c r="A8" s="4" t="str">
        <x:v>proposal.chemical.shell_binder</x:v>
      </x:c>
      <x:c r="B8" s="4" t="str">
        <x:v>Shell-binding secretion</x:v>
      </x:c>
      <x:c r="C8" s="4" t="str">
        <x:v>Proposed armor-building secretion that binds deposited minerals</x:v>
      </x:c>
      <x:c r="D8" s="4" t="str">
        <x:v>Adheres to exposed surfaces; contaminated residue may be toxic</x:v>
      </x:c>
      <x:c r="E8" s="4" t="str">
        <x:v>Bind mineral aggregate, shell laminates and pressed fiber materials</x:v>
      </x:c>
      <x:c r="F8" s="4" t="str">
        <x:v>Durable bonding is a proposal; curing conditions and unwanted adhesion remain unresolved</x:v>
      </x:c>
      <x:c r="G8" s="4" t="str">
        <x:v>Armor-building organs and chitin-derived binders are source-draft seeds; secretion/product is new</x:v>
      </x:c>
      <x:c r="H8" s="4" t="str">
        <x:v>https://github.com/sleepyseamonster/Arc-Dust/blob/f6f98515c005dc3c73cccd9cbc031691745740c6/02-Arc-Dust-Worldbuilding/world/native-fauna-biology.md; https://github.com/sleepyseamonster/Arc-Dust/blob/f6f98515c005dc3c73cccd9cbc031691745740c6/02-Arc-Dust-Worldbuilding/world/materials/chemical-processing-agents.md</x:v>
      </x:c>
    </x:row>
    <x:row r="9" ht="75" customHeight="1">
      <x:c r="A9" s="4" t="str">
        <x:v>proposal.chemical.clotting_compound</x:v>
      </x:c>
      <x:c r="B9" s="4" t="str">
        <x:v>Mineral clotting compound</x:v>
      </x:c>
      <x:c r="C9" s="4" t="str">
        <x:v>Ichor wound response; suspended minerals harden into a protective clot</x:v>
      </x:c>
      <x:c r="D9" s="4" t="str">
        <x:v>Not human-compatible medicine; contact/ingestion toxicity unresolved</x:v>
      </x:c>
      <x:c r="E9" s="4" t="str">
        <x:v>Quick hard-setting equipment patches and temporary container seals</x:v>
      </x:c>
      <x:c r="F9" s="4" t="str">
        <x:v>Brittleness and shelf stability can distinguish it from a permanent binder</x:v>
      </x:c>
      <x:c r="G9" s="4" t="str">
        <x:v>Source draft describes mineral-hardened clots; repair-material use is new</x:v>
      </x:c>
      <x:c r="H9" s="4" t="str">
        <x:v>https://github.com/sleepyseamonster/Arc-Dust/blob/f6f98515c005dc3c73cccd9cbc031691745740c6/02-Arc-Dust-Worldbuilding/world/native-fauna-biology.md</x:v>
      </x:c>
    </x:row>
    <x:row r="10" ht="75" customHeight="1">
      <x:c r="A10" s="4" t="str">
        <x:v>proposal.chemical.mineral_ichor</x:v>
      </x:c>
      <x:c r="B10" s="4" t="str">
        <x:v>Mineral-rich ichor</x:v>
      </x:c>
      <x:c r="C10" s="4" t="str">
        <x:v>Circulatory fluid carrying minerals, energy compounds and metabolic wastes</x:v>
      </x:c>
      <x:c r="D10" s="4" t="str">
        <x:v>Species-dependent toxicity and mineral contamination; not drinkable by default</x:v>
      </x:c>
      <x:c r="E10" s="4" t="str">
        <x:v>Potential feed for pigments, recovered mineral fractions and binder research</x:v>
      </x:c>
      <x:c r="F10" s="4" t="str">
        <x:v>Mixed contents vary by diet; do not assume a universal reagent or battery electrolyte</x:v>
      </x:c>
      <x:c r="G10" s="4" t="str">
        <x:v>Ichor contents are source-draft biology; separated material uses are new proposals</x:v>
      </x:c>
      <x:c r="H10" s="4" t="str">
        <x:v>https://github.com/sleepyseamonster/Arc-Dust/blob/f6f98515c005dc3c73cccd9cbc031691745740c6/02-Arc-Dust-Worldbuilding/world/native-fauna-biology.md</x:v>
      </x:c>
    </x:row>
    <x:row r="11" ht="75" customHeight="1">
      <x:c r="A11" s="4" t="str">
        <x:v>proposal.chemical.joint_lubricant</x:v>
      </x:c>
      <x:c r="B11" s="4" t="str">
        <x:v>Joint-lubricating secretion</x:v>
      </x:c>
      <x:c r="C11" s="4" t="str">
        <x:v>Proposed secretion that protects sliding plate/joint surfaces</x:v>
      </x:c>
      <x:c r="D11" s="4" t="str">
        <x:v>Toxic if ingested; skin compatibility unapproved</x:v>
      </x:c>
      <x:c r="E11" s="4" t="str">
        <x:v>Dust-resistant equipment lubrication and flexible-seal conditioning</x:v>
      </x:c>
      <x:c r="F11" s="4" t="str">
        <x:v>Dust capture versus useful lubrication needs design; does not restore conventional fat anatomy</x:v>
      </x:c>
      <x:c r="G11" s="4" t="str">
        <x:v>New proposed secretion; source processing draft discusses biological oils without validating this anatomy</x:v>
      </x:c>
      <x:c r="H11" s="4" t="str">
        <x:v>https://github.com/sleepyseamonster/Arc-Dust/blob/f6f98515c005dc3c73cccd9cbc031691745740c6/02-Arc-Dust-Worldbuilding/world/materials/chemical-processing-agents.md</x:v>
      </x:c>
    </x:row>
    <x:row r="12" ht="75" customHeight="1">
      <x:c r="A12" s="4" t="str">
        <x:v>proposal.chemical.insulating_secretion</x:v>
      </x:c>
      <x:c r="B12" s="4" t="str">
        <x:v>Insulating secretion</x:v>
      </x:c>
      <x:c r="C12" s="4" t="str">
        <x:v>Proposed barrier layer that helps fauna manage electrical exposure</x:v>
      </x:c>
      <x:c r="D12" s="4" t="str">
        <x:v>Irritating/toxic residue; no human-contact assumption</x:v>
      </x:c>
      <x:c r="E12" s="4" t="str">
        <x:v>Candidate electrical separators and equipment coating</x:v>
      </x:c>
      <x:c r="F12" s="4" t="str">
        <x:v>Electrical behavior and wear are unproven; never blanket lightning immunity</x:v>
      </x:c>
      <x:c r="G12" s="4" t="str">
        <x:v>Source draft includes insulation/charge shedding; this material capability is a new proposal</x:v>
      </x:c>
      <x:c r="H12" s="4" t="str">
        <x:v>https://github.com/sleepyseamonster/Arc-Dust/blob/f6f98515c005dc3c73cccd9cbc031691745740c6/02-Arc-Dust-Worldbuilding/world/native-fauna-biology.md</x:v>
      </x:c>
    </x:row>
    <x:row r="13" ht="75" customHeight="1">
      <x:c r="A13" s="4" t="str">
        <x:v>proposal.chemical.conductive_gel</x:v>
      </x:c>
      <x:c r="B13" s="4" t="str">
        <x:v>Charge-conducting gel</x:v>
      </x:c>
      <x:c r="C13" s="4" t="str">
        <x:v>Proposed contained medium supporting electroactive tissue</x:v>
      </x:c>
      <x:c r="D13" s="4" t="str">
        <x:v>Contact could create an unwanted charge path; chemically toxic</x:v>
      </x:c>
      <x:c r="E13" s="4" t="str">
        <x:v>Candidate contained equipment contacts and sensing components</x:v>
      </x:c>
      <x:c r="F13" s="4" t="str">
        <x:v>Can worsen charge exposure; no direct body application or power generation assumed</x:v>
      </x:c>
      <x:c r="G13" s="4" t="str">
        <x:v>Source draft has electroactive fibers and conductive tissue; gel and applications are new proposals</x:v>
      </x:c>
      <x:c r="H13" s="4" t="str">
        <x:v>https://github.com/sleepyseamonster/Arc-Dust/blob/f6f98515c005dc3c73cccd9cbc031691745740c6/02-Arc-Dust-Worldbuilding/world/native-fauna-biology.md</x:v>
      </x:c>
    </x:row>
    <x:row r="14" ht="75" customHeight="1">
      <x:c r="A14" s="4" t="str">
        <x:v>proposal.chemical.molt_release</x:v>
      </x:c>
      <x:c r="B14" s="4" t="str">
        <x:v>Molt-release compound</x:v>
      </x:c>
      <x:c r="C14" s="4" t="str">
        <x:v>Proposed agent that separates old outer husk layers during renewal</x:v>
      </x:c>
      <x:c r="D14" s="4" t="str">
        <x:v>Tissue/surface damage on contact; species-dependent</x:v>
      </x:c>
      <x:c r="E14" s="4" t="str">
        <x:v>Controlled plate-layer release and husk surface preparation</x:v>
      </x:c>
      <x:c r="F14" s="4" t="str">
        <x:v>May spoil recovered fibers or structural plate; usefulness must differ from enzyme fraction</x:v>
      </x:c>
      <x:c r="G14" s="4" t="str">
        <x:v>New biological/material proposal; no specific molt chemistry established</x:v>
      </x:c>
      <x:c r="H14" s="4" t="str">
        <x:v>https://github.com/sleepyseamonster/Arc-Dust/blob/f6f98515c005dc3c73cccd9cbc031691745740c6/02-Arc-Dust-Worldbuilding/world/native-fauna-biology.md</x:v>
      </x:c>
    </x:row>
    <x:row r="15" ht="75" customHeight="1">
      <x:c r="A15" s="4" t="str">
        <x:v>proposal.chemical.defensive_irritant</x:v>
      </x:c>
      <x:c r="B15" s="4" t="str">
        <x:v>Defensive irritant secretion</x:v>
      </x:c>
      <x:c r="C15" s="4" t="str">
        <x:v>Proposed deterrent gland output in defensive species</x:v>
      </x:c>
      <x:c r="D15" s="4" t="str">
        <x:v>Painful surface irritation and temporary sensory disruption</x:v>
      </x:c>
      <x:c r="E15" s="4" t="str">
        <x:v>Candidate exclusion coatings around equipment or stored materials</x:v>
      </x:c>
      <x:c r="F15" s="4" t="str">
        <x:v>Repellent target response is unproven; deliberate containment only, no ambient liquid pools</x:v>
      </x:c>
      <x:c r="G15" s="4" t="str">
        <x:v>New toxin and application proposal; not assigned to any existing species</x:v>
      </x:c>
      <x:c r="H15" s="4" t="str">
        <x:v>https://github.com/sleepyseamonster/Arc-Dust/blob/f6f98515c005dc3c73cccd9cbc031691745740c6/02-Arc-Dust-Worldbuilding/world/native-fauna-biology.md</x:v>
      </x:c>
    </x:row>
    <x:row r="16" ht="75" customHeight="1">
      <x:c r="A16" s="4" t="str">
        <x:v>proposal.chemical.disabling_venom</x:v>
      </x:c>
      <x:c r="B16" s="4" t="str">
        <x:v>Disabling venom fraction</x:v>
      </x:c>
      <x:c r="C16" s="4" t="str">
        <x:v>Proposed specialized predator secretion for subduing native prey</x:v>
      </x:c>
      <x:c r="D16" s="4" t="str">
        <x:v>Neurological disruption; human severity undefined</x:v>
      </x:c>
      <x:c r="E16" s="4" t="str">
        <x:v>Candidate specialist trade/sample material for later design</x:v>
      </x:c>
      <x:c r="F16" s="4" t="str">
        <x:v>No human/animal potency equivalence, cure, delivery method or combat system established</x:v>
      </x:c>
      <x:c r="G16" s="4" t="str">
        <x:v>New proposal; source predation does not establish a specific venom</x:v>
      </x:c>
      <x:c r="H16" s="4" t="str">
        <x:v>https://github.com/sleepyseamonster/Arc-Dust/blob/f6f98515c005dc3c73cccd9cbc031691745740c6/02-Arc-Dust-Worldbuilding/world/native-fauna-biology.md</x:v>
      </x:c>
    </x:row>
    <x:row r="17" ht="75" customHeight="1">
      <x:c r="A17" s="4" t="str">
        <x:v>proposal.chemical.scent_marker</x:v>
      </x:c>
      <x:c r="B17" s="4" t="str">
        <x:v>Chemical scent marker</x:v>
      </x:c>
      <x:c r="C17" s="4" t="str">
        <x:v>Proposed territorial or social signal secretion</x:v>
      </x:c>
      <x:c r="D17" s="4" t="str">
        <x:v>Irritant or toxic to humans despite its signaling role</x:v>
      </x:c>
      <x:c r="E17" s="4" t="str">
        <x:v>Possible lure, trail concealment or animal-avoidance research</x:v>
      </x:c>
      <x:c r="F17" s="4" t="str">
        <x:v>Species-specific response; a signal may attract unwanted animals rather than repel them</x:v>
      </x:c>
      <x:c r="G17" s="4" t="str">
        <x:v>New proposal; no accepted behavioral response or universal bait chemistry</x:v>
      </x:c>
      <x:c r="H17" s="4" t="str">
        <x:v>https://github.com/sleepyseamonster/Arc-Dust/blob/f6f98515c005dc3c73cccd9cbc031691745740c6/02-Arc-Dust-Worldbuilding/world/native-fauna-biology.md</x:v>
      </x:c>
    </x:row>
  </x:sheetData>
  <x:pageMargins left="0.7" right="0.7" top="0.75" bottom="0.75" header="0.3" footer="0.3"/>
  <x:tableParts count="1">
    <x:tablePart xmlns:r="http://schemas.openxmlformats.org/officeDocument/2006/relationships" r:id="R5bbceaede02545f9"/>
  </x:tableParts>
</x:worksheet>
</file>

<file path=xl/worksheets/sheet9.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8" hidden="0" customWidth="1"/>
    <x:col min="2" max="2" width="29" hidden="0" customWidth="1"/>
    <x:col min="3" max="3" width="30" hidden="0" customWidth="1"/>
    <x:col min="4" max="4" width="50" hidden="0" customWidth="1"/>
    <x:col min="5" max="5" width="55" hidden="0" customWidth="1"/>
    <x:col min="6" max="6" width="24" hidden="0" customWidth="1"/>
    <x:col min="7" max="7" width="50" hidden="0" customWidth="1"/>
    <x:col min="8" max="8" width="50" hidden="0" customWidth="1"/>
    <x:col min="9" max="9" width="70" hidden="0" customWidth="1"/>
    <x:col min="10" max="10" width="78" hidden="0" customWidth="1"/>
    <x:col min="11" max="11" width="110" hidden="0" customWidth="1"/>
  </x:cols>
  <x:sheetData>
    <x:row r="1">
      <x:c r="A1" s="1"/>
      <x:c r="B1" s="1"/>
      <x:c r="C1" s="1"/>
      <x:c r="D1" s="1"/>
      <x:c r="E1" s="1"/>
      <x:c r="F1" s="1"/>
      <x:c r="G1" s="1"/>
      <x:c r="H1" s="1"/>
      <x:c r="I1" s="1"/>
      <x:c r="J1" s="1"/>
      <x:c r="K1" s="1"/>
    </x:row>
    <x:row r="2">
      <x:c r="A2" s="2" t="str">
        <x:v>Liquid vessels, protective carriers and glasswork</x:v>
      </x:c>
      <x:c r="B2" s="1"/>
      <x:c r="C2" s="1"/>
      <x:c r="D2" s="1"/>
      <x:c r="E2" s="1"/>
      <x:c r="F2" s="1"/>
      <x:c r="G2" s="1"/>
      <x:c r="H2" s="1"/>
      <x:c r="I2" s="1"/>
      <x:c r="J2" s="1"/>
      <x:c r="K2" s="1"/>
    </x:row>
    <x:row r="3">
      <x:c r="A3" s="1" t="str">
        <x:v>All new proposals. Sizes are qualitative; filled resource vessels use finite Legger/local storage.</x:v>
      </x:c>
      <x:c r="B3" s="1"/>
      <x:c r="C3" s="1"/>
      <x:c r="D3" s="1"/>
      <x:c r="E3" s="1"/>
      <x:c r="F3" s="1"/>
      <x:c r="G3" s="1"/>
      <x:c r="H3" s="1"/>
      <x:c r="I3" s="1"/>
      <x:c r="J3" s="1"/>
      <x:c r="K3" s="1"/>
    </x:row>
    <x:row r="4">
      <x:c r="A4" s="1"/>
      <x:c r="B4" s="1"/>
      <x:c r="C4" s="1"/>
      <x:c r="D4" s="1"/>
      <x:c r="E4" s="1"/>
      <x:c r="F4" s="1"/>
      <x:c r="G4" s="1"/>
      <x:c r="H4" s="1"/>
      <x:c r="I4" s="1"/>
      <x:c r="J4" s="1"/>
      <x:c r="K4" s="1"/>
    </x:row>
    <x:row r="5" ht="35" customHeight="1">
      <x:c r="A5" s="40" t="str">
        <x:v>Concept ID</x:v>
      </x:c>
      <x:c r="B5" s="40" t="str">
        <x:v>Working label</x:v>
      </x:c>
      <x:c r="C5" s="40" t="str">
        <x:v>Form</x:v>
      </x:c>
      <x:c r="D5" s="40" t="str">
        <x:v>Proposed materials</x:v>
      </x:c>
      <x:c r="E5" s="40" t="str">
        <x:v>Purpose</x:v>
      </x:c>
      <x:c r="F5" s="40" t="str">
        <x:v>Qualitative size</x:v>
      </x:c>
      <x:c r="G5" s="40" t="str">
        <x:v>Closure concept</x:v>
      </x:c>
      <x:c r="H5" s="40" t="str">
        <x:v>Contents / contact</x:v>
      </x:c>
      <x:c r="I5" s="40" t="str">
        <x:v>Design constraint</x:v>
      </x:c>
      <x:c r="J5" s="40" t="str">
        <x:v>Source relationship</x:v>
      </x:c>
      <x:c r="K5" s="40" t="str">
        <x:v>References</x:v>
      </x:c>
    </x:row>
    <x:row r="6" ht="90" customHeight="1">
      <x:c r="A6" s="4" t="str">
        <x:v>proposal.container.sample_vial</x:v>
      </x:c>
      <x:c r="B6" s="4" t="str">
        <x:v>Clear sample vial</x:v>
      </x:c>
      <x:c r="C6" s="4" t="str">
        <x:v>Primary vessel</x:v>
      </x:c>
      <x:c r="D6" s="4" t="str">
        <x:v>Scarce clear glass</x:v>
      </x:c>
      <x:c r="E6" s="4" t="str">
        <x:v>Inspect a small ichor or chemical sample without opening it</x:v>
      </x:c>
      <x:c r="F6" s="4" t="str">
        <x:v>Small sample</x:v>
      </x:c>
      <x:c r="G6" s="4" t="str">
        <x:v>Matched stopper with retained cover proposed</x:v>
      </x:c>
      <x:c r="H6" s="4" t="str">
        <x:v>Species-tagged ichor; compatible chemical samples</x:v>
      </x:c>
      <x:c r="I6" s="4" t="str">
        <x:v>Clear glass cost; liquid compatibility and fill limit unapproved</x:v>
      </x:c>
      <x:c r="J6" s="4" t="str">
        <x:v>Glass draft supports costly transparent material; this vessel is a new proposal</x:v>
      </x:c>
      <x:c r="K6" s="4" t="str">
        <x:v>https://github.com/sleepyseamonster/Arc-Dust/blob/f6f98515c005dc3c73cccd9cbc031691745740c6/02-Arc-Dust-Worldbuilding/world/materials/glass.md; https://github.com/sleepyseamonster/Arc-Dust/blob/f6f98515c005dc3c73cccd9cbc031691745740c6/02-Arc-Dust-Worldbuilding/world/materials/chitin.md</x:v>
      </x:c>
    </x:row>
    <x:row r="7" ht="90" customHeight="1">
      <x:c r="A7" s="4" t="str">
        <x:v>proposal.container.reagent_bottle</x:v>
      </x:c>
      <x:c r="B7" s="4" t="str">
        <x:v>Opaque reagent bottle</x:v>
      </x:c>
      <x:c r="C7" s="4" t="str">
        <x:v>Primary vessel</x:v>
      </x:c>
      <x:c r="D7" s="4" t="str">
        <x:v>Opaque mineral glass; shell/metal cap</x:v>
      </x:c>
      <x:c r="E7" s="4" t="str">
        <x:v>Everyday transport of one known material</x:v>
      </x:c>
      <x:c r="F7" s="4" t="str">
        <x:v>Hand-sized</x:v>
      </x:c>
      <x:c r="G7" s="4" t="str">
        <x:v>Compression cap and compatible seat proposed</x:v>
      </x:c>
      <x:c r="H7" s="4" t="str">
        <x:v>One identified ichor or reagent batch</x:v>
      </x:c>
      <x:c r="I7" s="4" t="str">
        <x:v>Cannot inspect contents through the wall; external identity label matters</x:v>
      </x:c>
      <x:c r="J7" s="4" t="str">
        <x:v>Standard opaque glass vessels have a source-draft basis; exact item new</x:v>
      </x:c>
      <x:c r="K7" s="4" t="str">
        <x:v>https://github.com/sleepyseamonster/Arc-Dust/blob/f6f98515c005dc3c73cccd9cbc031691745740c6/02-Arc-Dust-Worldbuilding/world/materials/glass.md; https://github.com/sleepyseamonster/Arc-Dust/blob/f6f98515c005dc3c73cccd9cbc031691745740c6/02-Arc-Dust-Worldbuilding/world/materials/chitin.md</x:v>
      </x:c>
    </x:row>
    <x:row r="8" ht="90" customHeight="1">
      <x:c r="A8" s="4" t="str">
        <x:v>proposal.container.wide_jar</x:v>
      </x:c>
      <x:c r="B8" s="4" t="str">
        <x:v>Wide-mouth sample jar</x:v>
      </x:c>
      <x:c r="C8" s="4" t="str">
        <x:v>Primary vessel</x:v>
      </x:c>
      <x:c r="D8" s="4" t="str">
        <x:v>Glass body; rigid broad lid</x:v>
      </x:c>
      <x:c r="E8" s="4" t="str">
        <x:v>Carry thick gels, clot samples and mineral-rich slurry</x:v>
      </x:c>
      <x:c r="F8" s="4" t="str">
        <x:v>Small to medium</x:v>
      </x:c>
      <x:c r="G8" s="4" t="str">
        <x:v>Broad fitted lid with compatible sealing seat</x:v>
      </x:c>
      <x:c r="H8" s="4" t="str">
        <x:v>Viscous material or solid/liquid sample</x:v>
      </x:c>
      <x:c r="I8" s="4" t="str">
        <x:v>Wide opening aids access but makes transfers less controlled; no scoop rules set</x:v>
      </x:c>
      <x:c r="J8" s="4" t="str">
        <x:v>Glass vessel basis; wide-mouth item and uses proposed</x:v>
      </x:c>
      <x:c r="K8" s="4" t="str">
        <x:v>https://github.com/sleepyseamonster/Arc-Dust/blob/f6f98515c005dc3c73cccd9cbc031691745740c6/02-Arc-Dust-Worldbuilding/world/materials/glass.md; https://github.com/sleepyseamonster/Arc-Dust/blob/f6f98515c005dc3c73cccd9cbc031691745740c6/02-Arc-Dust-Worldbuilding/world/materials/chitin.md</x:v>
      </x:c>
    </x:row>
    <x:row r="9" ht="90" customHeight="1">
      <x:c r="A9" s="4" t="str">
        <x:v>proposal.container.ampoule</x:v>
      </x:c>
      <x:c r="B9" s="4" t="str">
        <x:v>Sealed sample ampoule</x:v>
      </x:c>
      <x:c r="C9" s="4" t="str">
        <x:v>Primary vessel</x:v>
      </x:c>
      <x:c r="D9" s="4" t="str">
        <x:v>Sealed clear glass</x:v>
      </x:c>
      <x:c r="E9" s="4" t="str">
        <x:v>Preserve an isolated small specimen for later analysis or trade</x:v>
      </x:c>
      <x:c r="F9" s="4" t="str">
        <x:v>Very small</x:v>
      </x:c>
      <x:c r="G9" s="4" t="str">
        <x:v>Factory/workshop sealed</x:v>
      </x:c>
      <x:c r="H9" s="4" t="str">
        <x:v>One specimen; chemistry compatibility unresolved</x:v>
      </x:c>
      <x:c r="I9" s="4" t="str">
        <x:v>Opening and reuse undecided; no mandatory single-use depletion rule approved</x:v>
      </x:c>
      <x:c r="J9" s="4" t="str">
        <x:v>New sealed-glass form inspired by source glasswork</x:v>
      </x:c>
      <x:c r="K9" s="4" t="str">
        <x:v>https://github.com/sleepyseamonster/Arc-Dust/blob/f6f98515c005dc3c73cccd9cbc031691745740c6/02-Arc-Dust-Worldbuilding/world/materials/glass.md; https://github.com/sleepyseamonster/Arc-Dust/blob/f6f98515c005dc3c73cccd9cbc031691745740c6/02-Arc-Dust-Worldbuilding/world/materials/chitin.md</x:v>
      </x:c>
    </x:row>
    <x:row r="10" ht="90" customHeight="1">
      <x:c r="A10" s="4" t="str">
        <x:v>proposal.container.marked_flask</x:v>
      </x:c>
      <x:c r="B10" s="4" t="str">
        <x:v>Marked glass flask</x:v>
      </x:c>
      <x:c r="C10" s="4" t="str">
        <x:v>Primary vessel</x:v>
      </x:c>
      <x:c r="D10" s="4" t="str">
        <x:v>Clear glass with etched marks</x:v>
      </x:c>
      <x:c r="E10" s="4" t="str">
        <x:v>Read fill and compare a specimen before transfer</x:v>
      </x:c>
      <x:c r="F10" s="4" t="str">
        <x:v>Small sample / workshop</x:v>
      </x:c>
      <x:c r="G10" s="4" t="str">
        <x:v>Matched stopper proposed</x:v>
      </x:c>
      <x:c r="H10" s="4" t="str">
        <x:v>Compatible samples and liquids</x:v>
      </x:c>
      <x:c r="I10" s="4" t="str">
        <x:v>Marks do not establish numeric volume, chemistry analysis or automatic quality grading</x:v>
      </x:c>
      <x:c r="J10" s="4" t="str">
        <x:v>New measuring/inspection use; no authored volume system</x:v>
      </x:c>
      <x:c r="K10" s="4" t="str">
        <x:v>https://github.com/sleepyseamonster/Arc-Dust/blob/f6f98515c005dc3c73cccd9cbc031691745740c6/02-Arc-Dust-Worldbuilding/world/materials/glass.md; https://github.com/sleepyseamonster/Arc-Dust/blob/f6f98515c005dc3c73cccd9cbc031691745740c6/02-Arc-Dust-Worldbuilding/world/materials/chitin.md</x:v>
      </x:c>
    </x:row>
    <x:row r="11" ht="90" customHeight="1">
      <x:c r="A11" s="4" t="str">
        <x:v>proposal.container.shell_cage</x:v>
      </x:c>
      <x:c r="B11" s="4" t="str">
        <x:v>Shell-caged glass flask</x:v>
      </x:c>
      <x:c r="C11" s="4" t="str">
        <x:v>Protected vessel assembly</x:v>
      </x:c>
      <x:c r="D11" s="4" t="str">
        <x:v>Glass inner vessel; slotted shell outer cage</x:v>
      </x:c>
      <x:c r="E11" s="4" t="str">
        <x:v>Protect a carried specimen while keeping a viewing opening</x:v>
      </x:c>
      <x:c r="F11" s="4" t="str">
        <x:v>Medium</x:v>
      </x:c>
      <x:c r="G11" s="4" t="str">
        <x:v>Retained cap and inspectable seat proposed</x:v>
      </x:c>
      <x:c r="H11" s="4" t="str">
        <x:v>One compatible liquid payload</x:v>
      </x:c>
      <x:c r="I11" s="4" t="str">
        <x:v>One assembled container, not two copies of storage; protection behavior undecided</x:v>
      </x:c>
      <x:c r="J11" s="4" t="str">
        <x:v>Chitin plate/curved vessel and glass drafts inspire assembly; item new</x:v>
      </x:c>
      <x:c r="K11" s="4" t="str">
        <x:v>https://github.com/sleepyseamonster/Arc-Dust/blob/f6f98515c005dc3c73cccd9cbc031691745740c6/02-Arc-Dust-Worldbuilding/world/materials/glass.md; https://github.com/sleepyseamonster/Arc-Dust/blob/f6f98515c005dc3c73cccd9cbc031691745740c6/02-Arc-Dust-Worldbuilding/world/materials/chitin.md</x:v>
      </x:c>
    </x:row>
    <x:row r="12" ht="90" customHeight="1">
      <x:c r="A12" s="4" t="str">
        <x:v>proposal.container.lined_canister</x:v>
      </x:c>
      <x:c r="B12" s="4" t="str">
        <x:v>Glass-lined haul canister</x:v>
      </x:c>
      <x:c r="C12" s="4" t="str">
        <x:v>Protected vessel assembly</x:v>
      </x:c>
      <x:c r="D12" s="4" t="str">
        <x:v>Metal/shell outer body; replaceable glass liner</x:v>
      </x:c>
      <x:c r="E12" s="4" t="str">
        <x:v>Transport larger quantities to a processing workshop</x:v>
      </x:c>
      <x:c r="F12" s="4" t="str">
        <x:v>Medium haul</x:v>
      </x:c>
      <x:c r="G12" s="4" t="str">
        <x:v>Compression lid with replaceable compatible seat</x:v>
      </x:c>
      <x:c r="H12" s="4" t="str">
        <x:v>One identified raw ichor or chemical batch</x:v>
      </x:c>
      <x:c r="I12" s="4" t="str">
        <x:v>Liner, seal and contents must all be compatible; filled payload belongs in resource cargo</x:v>
      </x:c>
      <x:c r="J12" s="4" t="str">
        <x:v>Glass draft includes internal canister linings; haul role and item new</x:v>
      </x:c>
      <x:c r="K12" s="4" t="str">
        <x:v>https://github.com/sleepyseamonster/Arc-Dust/blob/f6f98515c005dc3c73cccd9cbc031691745740c6/02-Arc-Dust-Worldbuilding/world/materials/glass.md; https://github.com/sleepyseamonster/Arc-Dust/blob/f6f98515c005dc3c73cccd9cbc031691745740c6/02-Arc-Dust-Worldbuilding/world/materials/chitin.md</x:v>
      </x:c>
    </x:row>
    <x:row r="13" ht="90" customHeight="1">
      <x:c r="A13" s="4" t="str">
        <x:v>proposal.container.ceramic_jar</x:v>
      </x:c>
      <x:c r="B13" s="4" t="str">
        <x:v>Glazed ceramic reagent jar</x:v>
      </x:c>
      <x:c r="C13" s="4" t="str">
        <x:v>Primary vessel</x:v>
      </x:c>
      <x:c r="D13" s="4" t="str">
        <x:v>Fired ceramic; proposed glaze; rigid lid</x:v>
      </x:c>
      <x:c r="E13" s="4" t="str">
        <x:v>Alternative storage for selected processing compounds</x:v>
      </x:c>
      <x:c r="F13" s="4" t="str">
        <x:v>Medium</x:v>
      </x:c>
      <x:c r="G13" s="4" t="str">
        <x:v>Fitted rigid lid and compatible seal</x:v>
      </x:c>
      <x:c r="H13" s="4" t="str">
        <x:v>Only compounds qualified for that jar</x:v>
      </x:c>
      <x:c r="I13" s="4" t="str">
        <x:v>Opaque; heavier/bulkier tradeoff proposed; glaze is not universally chemical-resistant</x:v>
      </x:c>
      <x:c r="J13" s="4" t="str">
        <x:v>New ceramic vessel proposal; not a validated recipe/material capability</x:v>
      </x:c>
      <x:c r="K13" s="4" t="str">
        <x:v>https://github.com/sleepyseamonster/Arc-Dust/blob/f6f98515c005dc3c73cccd9cbc031691745740c6/02-Arc-Dust-Worldbuilding/world/materials/glass.md; https://github.com/sleepyseamonster/Arc-Dust/blob/f6f98515c005dc3c73cccd9cbc031691745740c6/02-Arc-Dust-Worldbuilding/world/materials/chitin.md</x:v>
      </x:c>
    </x:row>
    <x:row r="14" ht="90" customHeight="1">
      <x:c r="A14" s="4" t="str">
        <x:v>proposal.container.bulk_ichor</x:v>
      </x:c>
      <x:c r="B14" s="4" t="str">
        <x:v>Bulk ichor vessel</x:v>
      </x:c>
      <x:c r="C14" s="4" t="str">
        <x:v>Primary vessel</x:v>
      </x:c>
      <x:c r="D14" s="4" t="str">
        <x:v>Reinforced outer body; qualified inner lining TBD</x:v>
      </x:c>
      <x:c r="E14" s="4" t="str">
        <x:v>Make a large harvest an expedition haul decision</x:v>
      </x:c>
      <x:c r="F14" s="4" t="str">
        <x:v>Bulk cargo</x:v>
      </x:c>
      <x:c r="G14" s="4" t="str">
        <x:v>Service lid and separate transfer fitting proposed</x:v>
      </x:c>
      <x:c r="H14" s="4" t="str">
        <x:v>One species/batch of gathered ichor</x:v>
      </x:c>
      <x:c r="I14" s="4" t="str">
        <x:v>Finite Legger cargo and contents mass; no backpack resource exception or free capacity</x:v>
      </x:c>
      <x:c r="J14" s="4" t="str">
        <x:v>New bulk vessel proposal; no liter capacity, hose or extraction mechanic approved</x:v>
      </x:c>
      <x:c r="K14" s="4" t="str">
        <x:v>https://github.com/sleepyseamonster/Arc-Dust/blob/f6f98515c005dc3c73cccd9cbc031691745740c6/02-Arc-Dust-Worldbuilding/world/materials/glass.md; https://github.com/sleepyseamonster/Arc-Dust/blob/f6f98515c005dc3c73cccd9cbc031691745740c6/02-Arc-Dust-Worldbuilding/world/materials/chitin.md</x:v>
      </x:c>
    </x:row>
    <x:row r="15" ht="90" customHeight="1">
      <x:c r="A15" s="4" t="str">
        <x:v>proposal.container.vial_case</x:v>
      </x:c>
      <x:c r="B15" s="4" t="str">
        <x:v>Divided vial case</x:v>
      </x:c>
      <x:c r="C15" s="4" t="str">
        <x:v>Protective carrier</x:v>
      </x:c>
      <x:c r="D15" s="4" t="str">
        <x:v>Shell/metal case; shaped mineral seats</x:v>
      </x:c>
      <x:c r="E15" s="4" t="str">
        <x:v>Keep separately sealed specimens organized and supported</x:v>
      </x:c>
      <x:c r="F15" s="4" t="str">
        <x:v>Several small vessels</x:v>
      </x:c>
      <x:c r="G15" s="4" t="str">
        <x:v>Rigid latched case; each vial has its own seal</x:v>
      </x:c>
      <x:c r="H15" s="4" t="str">
        <x:v>Sealed vials only; no direct liquid payload</x:v>
      </x:c>
      <x:c r="I15" s="4" t="str">
        <x:v>Does not create extra inventory capacity; inserts use no assumed wood, cork or cloth</x:v>
      </x:c>
      <x:c r="J15" s="4" t="str">
        <x:v>New case proposal; materials chosen under current no-cloth game rule</x:v>
      </x:c>
      <x:c r="K15" s="4" t="str">
        <x:v>https://github.com/sleepyseamonster/Arc-Dust/blob/f6f98515c005dc3c73cccd9cbc031691745740c6/02-Arc-Dust-Worldbuilding/world/materials/glass.md; https://github.com/sleepyseamonster/Arc-Dust/blob/f6f98515c005dc3c73cccd9cbc031691745740c6/02-Arc-Dust-Worldbuilding/world/materials/chitin.md</x:v>
      </x:c>
    </x:row>
    <x:row r="16" ht="90" customHeight="1">
      <x:c r="A16" s="4" t="str">
        <x:v>proposal.container.sealed_box</x:v>
      </x:c>
      <x:c r="B16" s="4" t="str">
        <x:v>Sealed cargo box</x:v>
      </x:c>
      <x:c r="C16" s="4" t="str">
        <x:v>Protective carrier</x:v>
      </x:c>
      <x:c r="D16" s="4" t="str">
        <x:v>Shell panels or metal; rigid dividers</x:v>
      </x:c>
      <x:c r="E16" s="4" t="str">
        <x:v>Carry containers and dry sample packets together</x:v>
      </x:c>
      <x:c r="F16" s="4" t="str">
        <x:v>Cargo package</x:v>
      </x:c>
      <x:c r="G16" s="4" t="str">
        <x:v>Latched lid with dust-excluding seat proposed</x:v>
      </x:c>
      <x:c r="H16" s="4" t="str">
        <x:v>Separately sealed contents</x:v>
      </x:c>
      <x:c r="I16" s="4" t="str">
        <x:v>Outer dust seal is not liquid or vapor certification; all nested contents still count</x:v>
      </x:c>
      <x:c r="J16" s="4" t="str">
        <x:v>New protective box proposal; not automatic liquid containment</x:v>
      </x:c>
      <x:c r="K16" s="4" t="str">
        <x:v>https://github.com/sleepyseamonster/Arc-Dust/blob/f6f98515c005dc3c73cccd9cbc031691745740c6/02-Arc-Dust-Worldbuilding/world/materials/glass.md; https://github.com/sleepyseamonster/Arc-Dust/blob/f6f98515c005dc3c73cccd9cbc031691745740c6/02-Arc-Dust-Worldbuilding/world/materials/chitin.md</x:v>
      </x:c>
    </x:row>
    <x:row r="17" ht="90" customHeight="1">
      <x:c r="A17" s="4" t="str">
        <x:v>proposal.container.field_chest</x:v>
      </x:c>
      <x:c r="B17" s="4" t="str">
        <x:v>Locking field chest</x:v>
      </x:c>
      <x:c r="C17" s="4" t="str">
        <x:v>Storage object candidate</x:v>
      </x:c>
      <x:c r="D17" s="4" t="str">
        <x:v>Metal/shell chest; rigid compartment tray</x:v>
      </x:c>
      <x:c r="E17" s="4" t="str">
        <x:v>Secure expedition samples at a physical camp/worksite</x:v>
      </x:c>
      <x:c r="F17" s="4" t="str">
        <x:v>Local storage</x:v>
      </x:c>
      <x:c r="G17" s="4" t="str">
        <x:v>Mechanical lock and rigid lid proposed</x:v>
      </x:c>
      <x:c r="H17" s="4" t="str">
        <x:v>Sealed vessels and dry material</x:v>
      </x:c>
      <x:c r="I17" s="4" t="str">
        <x:v>Physical local owner; no global stockpile. Portable versus fixed identity undecided</x:v>
      </x:c>
      <x:c r="J17" s="4" t="str">
        <x:v>New storage-object candidate; not another implemented camp chest</x:v>
      </x:c>
      <x:c r="K17" s="4" t="str">
        <x:v>https://github.com/sleepyseamonster/Arc-Dust/blob/f6f98515c005dc3c73cccd9cbc031691745740c6/02-Arc-Dust-Worldbuilding/world/materials/glass.md; https://github.com/sleepyseamonster/Arc-Dust/blob/f6f98515c005dc3c73cccd9cbc031691745740c6/02-Arc-Dust-Worldbuilding/world/materials/chitin.md</x:v>
      </x:c>
    </x:row>
    <x:row r="18" ht="90" customHeight="1">
      <x:c r="A18" s="4" t="str">
        <x:v>proposal.container.funnel</x:v>
      </x:c>
      <x:c r="B18" s="4" t="str">
        <x:v>Glass transfer funnel</x:v>
      </x:c>
      <x:c r="C18" s="4" t="str">
        <x:v>Transfer glassware</x:v>
      </x:c>
      <x:c r="D18" s="4" t="str">
        <x:v>Glass bowl and stem</x:v>
      </x:c>
      <x:c r="E18" s="4" t="str">
        <x:v>Assist transfers into a compatible narrow-neck vessel</x:v>
      </x:c>
      <x:c r="F18" s="4" t="str">
        <x:v>Tool-sized</x:v>
      </x:c>
      <x:c r="G18" s="4" t="str">
        <x:v>No closure; never a storage vessel</x:v>
      </x:c>
      <x:c r="H18" s="4" t="str">
        <x:v>Temporary transfer contact only</x:v>
      </x:c>
      <x:c r="I18" s="4" t="str">
        <x:v>Residue/cross-contamination and workshop reconditioning unresolved; no ambient fluid pooling</x:v>
      </x:c>
      <x:c r="J18" s="4" t="str">
        <x:v>New glassworking tool proposal</x:v>
      </x:c>
      <x:c r="K18" s="4" t="str">
        <x:v>https://github.com/sleepyseamonster/Arc-Dust/blob/f6f98515c005dc3c73cccd9cbc031691745740c6/02-Arc-Dust-Worldbuilding/world/materials/glass.md; https://github.com/sleepyseamonster/Arc-Dust/blob/f6f98515c005dc3c73cccd9cbc031691745740c6/02-Arc-Dust-Worldbuilding/world/materials/chitin.md</x:v>
      </x:c>
    </x:row>
    <x:row r="19" ht="90" customHeight="1">
      <x:c r="A19" s="4" t="str">
        <x:v>proposal.container.draw_tube</x:v>
      </x:c>
      <x:c r="B19" s="4" t="str">
        <x:v>Glass draw tube</x:v>
      </x:c>
      <x:c r="C19" s="4" t="str">
        <x:v>Transfer glassware</x:v>
      </x:c>
      <x:c r="D19" s="4" t="str">
        <x:v>Glass tube; proposed mechanical fitting</x:v>
      </x:c>
      <x:c r="E19" s="4" t="str">
        <x:v>Move a small sample through an inspectable transfer path</x:v>
      </x:c>
      <x:c r="F19" s="4" t="str">
        <x:v>Tool-sized</x:v>
      </x:c>
      <x:c r="G19" s="4" t="str">
        <x:v>Closed mechanical interface to design</x:v>
      </x:c>
      <x:c r="H19" s="4" t="str">
        <x:v>Compatible small specimen transfer</x:v>
      </x:c>
      <x:c r="I19" s="4" t="str">
        <x:v>No mouth operation or real extraction procedure; gameplay tool and fittings unapproved</x:v>
      </x:c>
      <x:c r="J19" s="4" t="str">
        <x:v>New mechanical sample-transfer tool proposal</x:v>
      </x:c>
      <x:c r="K19" s="4" t="str">
        <x:v>https://github.com/sleepyseamonster/Arc-Dust/blob/f6f98515c005dc3c73cccd9cbc031691745740c6/02-Arc-Dust-Worldbuilding/world/materials/glass.md; https://github.com/sleepyseamonster/Arc-Dust/blob/f6f98515c005dc3c73cccd9cbc031691745740c6/02-Arc-Dust-Worldbuilding/world/materials/chitin.md</x:v>
      </x:c>
    </x:row>
    <x:row r="20" ht="90" customHeight="1">
      <x:c r="A20" s="4" t="str">
        <x:v>proposal.container.glass_stopper</x:v>
      </x:c>
      <x:c r="B20" s="4" t="str">
        <x:v>Matched glass stopper</x:v>
      </x:c>
      <x:c r="C20" s="4" t="str">
        <x:v>Closure component</x:v>
      </x:c>
      <x:c r="D20" s="4" t="str">
        <x:v>Ground glass seat; retaining clip optional</x:v>
      </x:c>
      <x:c r="E20" s="4" t="str">
        <x:v>Close its matching vessel without cork or cloth</x:v>
      </x:c>
      <x:c r="F20" s="4" t="str">
        <x:v>Part-sized</x:v>
      </x:c>
      <x:c r="G20" s="4" t="str">
        <x:v>Matched seat</x:v>
      </x:c>
      <x:c r="H20" s="4" t="str">
        <x:v>Vessel closure, not an independent payload</x:v>
      </x:c>
      <x:c r="I20" s="4" t="str">
        <x:v>Fit and material compatibility matter; no universal stopper or separate durability chore assumed</x:v>
      </x:c>
      <x:c r="J20" s="4" t="str">
        <x:v>New glass closure component proposal</x:v>
      </x:c>
      <x:c r="K20" s="4" t="str">
        <x:v>https://github.com/sleepyseamonster/Arc-Dust/blob/f6f98515c005dc3c73cccd9cbc031691745740c6/02-Arc-Dust-Worldbuilding/world/materials/glass.md; https://github.com/sleepyseamonster/Arc-Dust/blob/f6f98515c005dc3c73cccd9cbc031691745740c6/02-Arc-Dust-Worldbuilding/world/materials/chitin.md</x:v>
      </x:c>
    </x:row>
    <x:row r="21" ht="90" customHeight="1">
      <x:c r="A21" s="4" t="str">
        <x:v>proposal.container.seal_collar</x:v>
      </x:c>
      <x:c r="B21" s="4" t="str">
        <x:v>Compression seal collar</x:v>
      </x:c>
      <x:c r="C21" s="4" t="str">
        <x:v>Closure component</x:v>
      </x:c>
      <x:c r="D21" s="4" t="str">
        <x:v>Metal/shell collar; compatible mineral/biological seal insert TBD</x:v>
      </x:c>
      <x:c r="E21" s="4" t="str">
        <x:v>Retain and compress a vessel lid/seat</x:v>
      </x:c>
      <x:c r="F21" s="4" t="str">
        <x:v>Part-sized</x:v>
      </x:c>
      <x:c r="G21" s="4" t="str">
        <x:v>Mechanical collar</x:v>
      </x:c>
      <x:c r="H21" s="4" t="str">
        <x:v>Vessel closure, not a liquid container</x:v>
      </x:c>
      <x:c r="I21" s="4" t="str">
        <x:v>Biological membrane is not automatically compatible; no fat/oil/gasket recipe accepted</x:v>
      </x:c>
      <x:c r="J21" s="4" t="str">
        <x:v>New closure assembly proposal; exact seal material unresolved</x:v>
      </x:c>
      <x:c r="K21" s="4" t="str">
        <x:v>https://github.com/sleepyseamonster/Arc-Dust/blob/f6f98515c005dc3c73cccd9cbc031691745740c6/02-Arc-Dust-Worldbuilding/world/materials/glass.md; https://github.com/sleepyseamonster/Arc-Dust/blob/f6f98515c005dc3c73cccd9cbc031691745740c6/02-Arc-Dust-Worldbuilding/world/materials/chitin.md</x:v>
      </x:c>
    </x:row>
  </x:sheetData>
  <x:pageMargins left="0.7" right="0.7" top="0.75" bottom="0.75" header="0.3" footer="0.3"/>
  <x:tableParts count="1">
    <x:tablePart xmlns:r="http://schemas.openxmlformats.org/officeDocument/2006/relationships" r:id="R1dbadab4876c4be6"/>
  </x:tableParts>
</x:worksheet>
</file>

<file path=xl/worksheets/sheet10.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4" hidden="0" customWidth="1"/>
    <x:col min="2" max="2" width="28" hidden="0" customWidth="1"/>
    <x:col min="3" max="3" width="28" hidden="0" customWidth="1"/>
    <x:col min="4" max="4" width="52" hidden="0" customWidth="1"/>
    <x:col min="5" max="5" width="52" hidden="0" customWidth="1"/>
    <x:col min="6" max="6" width="58" hidden="0" customWidth="1"/>
    <x:col min="7" max="7" width="62" hidden="0" customWidth="1"/>
    <x:col min="8" max="8" width="52" hidden="0" customWidth="1"/>
    <x:col min="9" max="9" width="78" hidden="0" customWidth="1"/>
    <x:col min="10" max="10" width="110" hidden="0" customWidth="1"/>
  </x:cols>
  <x:sheetData>
    <x:row r="1">
      <x:c r="A1" s="1"/>
      <x:c r="B1" s="1"/>
      <x:c r="C1" s="1"/>
      <x:c r="D1" s="1"/>
      <x:c r="E1" s="1"/>
      <x:c r="F1" s="1"/>
      <x:c r="G1" s="1"/>
      <x:c r="H1" s="1"/>
      <x:c r="I1" s="1"/>
      <x:c r="J1" s="1"/>
    </x:row>
    <x:row r="2">
      <x:c r="A2" s="2" t="str">
        <x:v>Armor, shields and backpacks</x:v>
      </x:c>
      <x:c r="B2" s="1"/>
      <x:c r="C2" s="1"/>
      <x:c r="D2" s="1"/>
      <x:c r="E2" s="1"/>
      <x:c r="F2" s="1"/>
      <x:c r="G2" s="1"/>
      <x:c r="H2" s="1"/>
      <x:c r="I2" s="1"/>
      <x:c r="J2" s="1"/>
    </x:row>
    <x:row r="3">
      <x:c r="A3" s="1" t="str">
        <x:v>Requested families. Construction bands are proposals; slots, layering, capacity and effects remain undecided.</x:v>
      </x:c>
      <x:c r="B3" s="1"/>
      <x:c r="C3" s="1"/>
      <x:c r="D3" s="1"/>
      <x:c r="E3" s="1"/>
      <x:c r="F3" s="1"/>
      <x:c r="G3" s="1"/>
      <x:c r="H3" s="1"/>
      <x:c r="I3" s="1"/>
      <x:c r="J3" s="1"/>
    </x:row>
    <x:row r="4">
      <x:c r="A4" s="1"/>
      <x:c r="B4" s="1"/>
      <x:c r="C4" s="1"/>
      <x:c r="D4" s="1"/>
      <x:c r="E4" s="1"/>
      <x:c r="F4" s="1"/>
      <x:c r="G4" s="1"/>
      <x:c r="H4" s="1"/>
      <x:c r="I4" s="1"/>
      <x:c r="J4" s="1"/>
    </x:row>
    <x:row r="5" ht="36" customHeight="1">
      <x:c r="A5" s="45" t="str">
        <x:v>Concept ID</x:v>
      </x:c>
      <x:c r="B5" s="45" t="str">
        <x:v>Item family</x:v>
      </x:c>
      <x:c r="C5" s="45" t="str">
        <x:v>Region / form</x:v>
      </x:c>
      <x:c r="D5" s="45" t="str">
        <x:v>Crude concept</x:v>
      </x:c>
      <x:c r="E5" s="45" t="str">
        <x:v>Serviceable concept</x:v>
      </x:c>
      <x:c r="F5" s="45" t="str">
        <x:v>Elaborate concept</x:v>
      </x:c>
      <x:c r="G5" s="45" t="str">
        <x:v>Material candidates</x:v>
      </x:c>
      <x:c r="H5" s="45" t="str">
        <x:v>Design purpose</x:v>
      </x:c>
      <x:c r="I5" s="45" t="str">
        <x:v>Open compatibility / ownership</x:v>
      </x:c>
      <x:c r="J5" s="45" t="str">
        <x:v>Status / basis</x:v>
      </x:c>
    </x:row>
    <x:row r="6" ht="100" customHeight="1">
      <x:c r="A6" s="4" t="str">
        <x:v>proposal.gear.mail_shirt</x:v>
      </x:c>
      <x:c r="B6" s="4" t="str">
        <x:v>Chainmail shirt</x:v>
      </x:c>
      <x:c r="C6" s="4" t="str">
        <x:v>Torso layer</x:v>
      </x:c>
      <x:c r="D6" s="4" t="str">
        <x:v>Patched ring sections with conspicuous repairs</x:v>
      </x:c>
      <x:c r="E6" s="4" t="str">
        <x:v>Consistent linked rings and repairable closures</x:v>
      </x:c>
      <x:c r="F6" s="4" t="str">
        <x:v>Closely fitted ringwork, shaped sleeves and deliberate detailing</x:v>
      </x:c>
      <x:c r="G6" s="4" t="str">
        <x:v>Metal rings; attachment/underlayer material undecided</x:v>
      </x:c>
      <x:c r="H6" s="4" t="str">
        <x:v>Everyday metal clothing; protective mechanics TBD</x:v>
      </x:c>
      <x:c r="I6" s="4" t="str">
        <x:v>Layering, weight, noise and underlayer requirements need design; no cloth assumed</x:v>
      </x:c>
      <x:c r="J6" s="4" t="str">
        <x:v>Direct author clarification, October 14, 2026; Docs/WORLD_BASIS.md#material-culture. Ordinary wear: simple wraps, metal chainmail and practical metal-based pieces with minimal fur. Elaborate fashion remains rare/expensive; no cloth.</x:v>
      </x:c>
    </x:row>
    <x:row r="7" ht="100" customHeight="1">
      <x:c r="A7" s="4" t="str">
        <x:v>proposal.gear.metal_armor_set</x:v>
      </x:c>
      <x:c r="B7" s="4" t="str">
        <x:v>Assembled metal armor</x:v>
      </x:c>
      <x:c r="C7" s="4" t="str">
        <x:v>Whole-body assembly candidate</x:v>
      </x:c>
      <x:c r="D7" s="4" t="str">
        <x:v>Mixed scavenged plates on a simple carrier</x:v>
      </x:c>
      <x:c r="E7" s="4" t="str">
        <x:v>Coordinated torso and limb pieces</x:v>
      </x:c>
      <x:c r="F7" s="4" t="str">
        <x:v>Fitted articulated ensemble with matched joints</x:v>
      </x:c>
      <x:c r="G7" s="4" t="str">
        <x:v>Metal plates; hinges/rivets; backing and connectors undecided</x:v>
      </x:c>
      <x:c r="H7" s="4" t="str">
        <x:v>A coordinated armor family from crude to elaborate</x:v>
      </x:c>
      <x:c r="I7" s="4" t="str">
        <x:v>Set versus independently owned pieces unresolved; do not count the same plates as both set and components</x:v>
      </x:c>
      <x:c r="J7"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8" ht="100" customHeight="1">
      <x:c r="A8" s="4" t="str">
        <x:v>proposal.gear.chest_armor</x:v>
      </x:c>
      <x:c r="B8" s="4" t="str">
        <x:v>Chest armor</x:v>
      </x:c>
      <x:c r="C8" s="4" t="str">
        <x:v>Torso plate</x:v>
      </x:c>
      <x:c r="D8" s="4" t="str">
        <x:v>Single repaired plate and simple retaining hardware</x:v>
      </x:c>
      <x:c r="E8" s="4" t="str">
        <x:v>Shaped front/back panels with accessible closures</x:v>
      </x:c>
      <x:c r="F8" s="4" t="str">
        <x:v>Fitted articulated chest assembly with replaceable panels</x:v>
      </x:c>
      <x:c r="G8" s="4" t="str">
        <x:v>Worked metal; optional shell/mineral-backed design</x:v>
      </x:c>
      <x:c r="H8" s="4" t="str">
        <x:v>Torso protection candidate</x:v>
      </x:c>
      <x:c r="I8" s="4" t="str">
        <x:v>Relationship to chainmail, jacket, cloak and canisters unresolved; no automatic Jacket-slot compatibility</x:v>
      </x:c>
      <x:c r="J8"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9" ht="100" customHeight="1">
      <x:c r="A9" s="4" t="str">
        <x:v>proposal.gear.helmet</x:v>
      </x:c>
      <x:c r="B9" s="4" t="str">
        <x:v>Helmet</x:v>
      </x:c>
      <x:c r="C9" s="4" t="str">
        <x:v>Head</x:v>
      </x:c>
      <x:c r="D9" s="4" t="str">
        <x:v>Simple open bowl or salvaged cap</x:v>
      </x:c>
      <x:c r="E9" s="4" t="str">
        <x:v>Fitted shell with cheek/neck coverage options</x:v>
      </x:c>
      <x:c r="F9" s="4" t="str">
        <x:v>Articulated protective helmet with carefully framed sightlines</x:v>
      </x:c>
      <x:c r="G9" s="4" t="str">
        <x:v>Metal; optional shell panels; liner material undecided</x:v>
      </x:c>
      <x:c r="H9" s="4" t="str">
        <x:v>Head protection with readable sight/hearing tradeoffs</x:v>
      </x:c>
      <x:c r="I9" s="4" t="str">
        <x:v>Visibility, hearing, breathing and worn canister interaction need design; no sealed respiratory protection implied</x:v>
      </x:c>
      <x:c r="J9"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0" ht="100" customHeight="1">
      <x:c r="A10" s="4" t="str">
        <x:v>proposal.gear.leg_armor</x:v>
      </x:c>
      <x:c r="B10" s="4" t="str">
        <x:v>Leg armor</x:v>
      </x:c>
      <x:c r="C10" s="4" t="str">
        <x:v>Lower limbs</x:v>
      </x:c>
      <x:c r="D10" s="4" t="str">
        <x:v>Separate shin plates and exposed joints</x:v>
      </x:c>
      <x:c r="E10" s="4" t="str">
        <x:v>Matched shin/knee protection</x:v>
      </x:c>
      <x:c r="F10" s="4" t="str">
        <x:v>Articulated thigh/knee/shin assembly</x:v>
      </x:c>
      <x:c r="G10" s="4" t="str">
        <x:v>Metal plate segments; mechanical/flexible joints TBD</x:v>
      </x:c>
      <x:c r="H10" s="4" t="str">
        <x:v>Lower-limb protection candidate</x:v>
      </x:c>
      <x:c r="I10" s="4" t="str">
        <x:v>Crouch, climb, gait and boots must remain compatible; no movement penalties fixed</x:v>
      </x:c>
      <x:c r="J10"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1" ht="100" customHeight="1">
      <x:c r="A11" s="4" t="str">
        <x:v>proposal.gear.boots</x:v>
      </x:c>
      <x:c r="B11" s="4" t="str">
        <x:v>Boots</x:v>
      </x:c>
      <x:c r="C11" s="4" t="str">
        <x:v>Feet</x:v>
      </x:c>
      <x:c r="D11" s="4" t="str">
        <x:v>Rigid foot shell with basic closure and replaceable sole pieces</x:v>
      </x:c>
      <x:c r="E11" s="4" t="str">
        <x:v>Fitted boot with articulated ankle and serviceable tread</x:v>
      </x:c>
      <x:c r="F11" s="4" t="str">
        <x:v>Carefully fitted armored boot with replaceable contact surfaces</x:v>
      </x:c>
      <x:c r="G11" s="4" t="str">
        <x:v>Metal/shell structure; sole and flexible insert materials TBD</x:v>
      </x:c>
      <x:c r="H11" s="4" t="str">
        <x:v>Footwear for traversal and exposure</x:v>
      </x:c>
      <x:c r="I11" s="4" t="str">
        <x:v>Grip, sound, grounding and insulation are separate proposals; no leather, rubber or cloth assumed</x:v>
      </x:c>
      <x:c r="J11"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2" ht="100" customHeight="1">
      <x:c r="A12" s="4" t="str">
        <x:v>proposal.gear.gloves</x:v>
      </x:c>
      <x:c r="B12" s="4" t="str">
        <x:v>Gloves</x:v>
      </x:c>
      <x:c r="C12" s="4" t="str">
        <x:v>Hands</x:v>
      </x:c>
      <x:c r="D12" s="4" t="str">
        <x:v>Palm/knuckle guards on a sparse carrier</x:v>
      </x:c>
      <x:c r="E12" s="4" t="str">
        <x:v>Fitted hand protection with usable finger movement</x:v>
      </x:c>
      <x:c r="F12" s="4" t="str">
        <x:v>Articulated plated glove with replaceable fingertips</x:v>
      </x:c>
      <x:c r="G12" s="4" t="str">
        <x:v>Metal/shell guards; flexible insert material TBD</x:v>
      </x:c>
      <x:c r="H12" s="4" t="str">
        <x:v>Hand protection while handling tools and gear</x:v>
      </x:c>
      <x:c r="I12" s="4" t="str">
        <x:v>Dexterity, grip and chemical/electrical compatibility need design; no universal protective effect</x:v>
      </x:c>
      <x:c r="J12"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3" ht="100" customHeight="1">
      <x:c r="A13" s="4" t="str">
        <x:v>proposal.gear.backpack</x:v>
      </x:c>
      <x:c r="B13" s="4" t="str">
        <x:v>Backpack</x:v>
      </x:c>
      <x:c r="C13" s="4" t="str">
        <x:v>Back-mounted carrier</x:v>
      </x:c>
      <x:c r="D13" s="4" t="str">
        <x:v>Rigid back basket or simple carrying frame</x:v>
      </x:c>
      <x:c r="E13" s="4" t="str">
        <x:v>Compartmented shell/metal case on a fitted frame</x:v>
      </x:c>
      <x:c r="F13" s="4" t="str">
        <x:v>Tailored frame with modular tool mounts and access panels</x:v>
      </x:c>
      <x:c r="G13" s="4" t="str">
        <x:v>Shell panels, metal frame, hinges; harness material unresolved</x:v>
      </x:c>
      <x:c r="H13" s="4" t="str">
        <x:v>Booter-carried supplies/tool carrier candidate</x:v>
      </x:c>
      <x:c r="I13" s="4" t="str">
        <x:v>No raw-resource carrying exception. Capacity, equipment spares, cloak clearance and mounts remain open</x:v>
      </x:c>
      <x:c r="J13"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4" ht="100" customHeight="1">
      <x:c r="A14" s="4" t="str">
        <x:v>proposal.gear.special_plates</x:v>
      </x:c>
      <x:c r="B14" s="4" t="str">
        <x:v>Specialized armor plates</x:v>
      </x:c>
      <x:c r="C14" s="4" t="str">
        <x:v>Modular protection</x:v>
      </x:c>
      <x:c r="D14" s="4" t="str">
        <x:v>Replaceable abrasion plate or bolted reinforcement</x:v>
      </x:c>
      <x:c r="E14" s="4" t="str">
        <x:v>Purpose-shaped joint cover or impact-spreading module</x:v>
      </x:c>
      <x:c r="F14" s="4" t="str">
        <x:v>Integrated interchangeable plate system for specific tasks</x:v>
      </x:c>
      <x:c r="G14" s="4" t="str">
        <x:v>Metal, shell and optional mineral/ceramic layers; recipes TBD</x:v>
      </x:c>
      <x:c r="H14" s="4" t="str">
        <x:v>Purpose-specific protection modules</x:v>
      </x:c>
      <x:c r="I14" s="4" t="str">
        <x:v>Candidate functions: impact distribution, abrasion protection, joint coverage and electrical separation; all effects unapproved</x:v>
      </x:c>
      <x:c r="J14"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5" ht="100" customHeight="1">
      <x:c r="A15" s="4" t="str">
        <x:v>proposal.gear.shield</x:v>
      </x:c>
      <x:c r="B15" s="4" t="str">
        <x:v>Shield</x:v>
      </x:c>
      <x:c r="C15" s="4" t="str">
        <x:v>Held / mounted defensive gear</x:v>
      </x:c>
      <x:c r="D15" s="4" t="str">
        <x:v>Cut salvaged plate with a rigid grip</x:v>
      </x:c>
      <x:c r="E15" s="4" t="str">
        <x:v>Shaped shield with reinforced edge and repairable face</x:v>
      </x:c>
      <x:c r="F15" s="4" t="str">
        <x:v>Fitted layered shield with deliberate sightline and handling geometry</x:v>
      </x:c>
      <x:c r="G15" s="4" t="str">
        <x:v>Metal and/or shell panels; grip and rim materials TBD</x:v>
      </x:c>
      <x:c r="H15" s="4" t="str">
        <x:v>Directional protection candidate</x:v>
      </x:c>
      <x:c r="I15" s="4" t="str">
        <x:v>Hand ownership, tool use, carrying posture and Legger cargo storage need design; no blocking mechanics implemented</x:v>
      </x:c>
      <x:c r="J15"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6" ht="100" customHeight="1">
      <x:c r="A16" s="4" t="str">
        <x:v>proposal.fashion.special_spectacles</x:v>
      </x:c>
      <x:c r="B16" s="4" t="str">
        <x:v>Specialized spectacles</x:v>
      </x:c>
      <x:c r="C16" s="4" t="str">
        <x:v>Specialist eyewear</x:v>
      </x:c>
      <x:c r="D16" s="4" t="str">
        <x:v>Simple form remains rare; construction TBD</x:v>
      </x:c>
      <x:c r="E16" s="4" t="str">
        <x:v>Workmanship and fit TBD</x:v>
      </x:c>
      <x:c r="F16" s="4" t="str">
        <x:v>Fine finish and specialist details TBD</x:v>
      </x:c>
      <x:c r="G16" s="4" t="str">
        <x:v>Lens and frame materials/requirements TBD</x:v>
      </x:c>
      <x:c r="H16" s="4" t="str">
        <x:v>Rare specialized eyewear; precise purpose and optical effect to define.</x:v>
      </x:c>
      <x:c r="I16" s="4" t="str">
        <x:v>Specific purpose, lens manufacture, face fit and equipment compatibility remain open</x:v>
      </x:c>
      <x:c r="J16"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7" ht="100" customHeight="1">
      <x:c r="A17" s="4" t="str">
        <x:v>proposal.fashion.eyeglasses</x:v>
      </x:c>
      <x:c r="B17" s="4" t="str">
        <x:v>Eyeglasses</x:v>
      </x:c>
      <x:c r="C17" s="4" t="str">
        <x:v>Eyewear</x:v>
      </x:c>
      <x:c r="D17" s="4" t="str">
        <x:v>Simple form remains rare; construction TBD</x:v>
      </x:c>
      <x:c r="E17" s="4" t="str">
        <x:v>Workmanship and fit TBD</x:v>
      </x:c>
      <x:c r="F17" s="4" t="str">
        <x:v>Fine finish and specialist details TBD</x:v>
      </x:c>
      <x:c r="G17" s="4" t="str">
        <x:v>Lens and frame materials/requirements TBD</x:v>
      </x:c>
      <x:c r="H17" s="4" t="str">
        <x:v>Rare eyeglasses; lens function, frame and fitting need design.</x:v>
      </x:c>
      <x:c r="I17" s="4" t="str">
        <x:v>Distinction from specialized spectacles and actual vision effects remain open</x:v>
      </x:c>
      <x:c r="J17"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8" ht="100" customHeight="1">
      <x:c r="A18" s="4" t="str">
        <x:v>proposal.fashion.hat</x:v>
      </x:c>
      <x:c r="B18" s="4" t="str">
        <x:v>Hat</x:v>
      </x:c>
      <x:c r="C18" s="4" t="str">
        <x:v>Headwear</x:v>
      </x:c>
      <x:c r="D18" s="4" t="str">
        <x:v>Simple form remains rare; construction TBD</x:v>
      </x:c>
      <x:c r="E18" s="4" t="str">
        <x:v>Workmanship and fit TBD</x:v>
      </x:c>
      <x:c r="F18" s="4" t="str">
        <x:v>Fine finish and specialist details TBD</x:v>
      </x:c>
      <x:c r="G18" s="4" t="str">
        <x:v>Husk-fiber/fur/hide options proposed; exact construction TBD</x:v>
      </x:c>
      <x:c r="H18" s="4" t="str">
        <x:v>Rare headwear; fashion variants belong to the very rare expensive fashion economy.</x:v>
      </x:c>
      <x:c r="I18" s="4" t="str">
        <x:v>Hat versus helmet, cloak clearance, shade and decorative function unresolved</x:v>
      </x:c>
      <x:c r="J18"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9" ht="100" customHeight="1">
      <x:c r="A19" s="4" t="str">
        <x:v>proposal.fashion.husk_garment</x:v>
      </x:c>
      <x:c r="B19" s="4" t="str">
        <x:v>Elaborate husk-fiber wear</x:v>
      </x:c>
      <x:c r="C19" s="4" t="str">
        <x:v>Fashion garment</x:v>
      </x:c>
      <x:c r="D19" s="4" t="str">
        <x:v>Simpler finish within the rare fashion family</x:v>
      </x:c>
      <x:c r="E19" s="4" t="str">
        <x:v>Workmanship and fit TBD</x:v>
      </x:c>
      <x:c r="F19" s="4" t="str">
        <x:v>Fine finish and specialist details TBD</x:v>
      </x:c>
      <x:c r="G19" s="4" t="str">
        <x:v>Husk-fiber material; no cloth</x:v>
      </x:c>
      <x:c r="H19" s="4" t="str">
        <x:v>Very rare elaborate fashion; everyday simple wraps/metal wear separate</x:v>
      </x:c>
      <x:c r="I19" s="4" t="str">
        <x:v>Large material/time demand; no universal scarcity for ordinary wear</x:v>
      </x:c>
      <x:c r="J19" s="4" t="str">
        <x:v>Direct author clarification, October 14, 2026; Docs/WORLD_BASIS.md#material-culture. Ordinary wear: simple wraps, metal chainmail and practical metal-based pieces with minimal fur. Elaborate fashion remains rare/expensive; no cloth.</x:v>
      </x:c>
    </x:row>
    <x:row r="20" ht="100" customHeight="1">
      <x:c r="A20" s="4" t="str">
        <x:v>proposal.fashion.fur_garment</x:v>
      </x:c>
      <x:c r="B20" s="4" t="str">
        <x:v>Elaborate fur wear</x:v>
      </x:c>
      <x:c r="C20" s="4" t="str">
        <x:v>Fashion garment</x:v>
      </x:c>
      <x:c r="D20" s="4" t="str">
        <x:v>Simpler finish within the rare fashion family</x:v>
      </x:c>
      <x:c r="E20" s="4" t="str">
        <x:v>Workmanship and fit TBD</x:v>
      </x:c>
      <x:c r="F20" s="4" t="str">
        <x:v>Fine finish and specialist details TBD</x:v>
      </x:c>
      <x:c r="G20" s="4" t="str">
        <x:v>Animal fur; supporting material TBD; no cloth</x:v>
      </x:c>
      <x:c r="H20" s="4" t="str">
        <x:v>Very rare elaborate fashion; everyday simple wraps/metal wear separate</x:v>
      </x:c>
      <x:c r="I20" s="4" t="str">
        <x:v>Large material/time demand; no universal scarcity for ordinary wear</x:v>
      </x:c>
      <x:c r="J20" s="4" t="str">
        <x:v>Direct author clarification, October 14, 2026; Docs/WORLD_BASIS.md#material-culture. Ordinary wear: simple wraps, metal chainmail and practical metal-based pieces with minimal fur. Elaborate fashion remains rare/expensive; no cloth.</x:v>
      </x:c>
    </x:row>
    <x:row r="21" ht="100" customHeight="1">
      <x:c r="A21" s="4" t="str">
        <x:v>proposal.fashion.hide_garment</x:v>
      </x:c>
      <x:c r="B21" s="4" t="str">
        <x:v>Elaborate hide wear</x:v>
      </x:c>
      <x:c r="C21" s="4" t="str">
        <x:v>Fashion garment</x:v>
      </x:c>
      <x:c r="D21" s="4" t="str">
        <x:v>Simpler finish within the rare fashion family</x:v>
      </x:c>
      <x:c r="E21" s="4" t="str">
        <x:v>Workmanship and fit TBD</x:v>
      </x:c>
      <x:c r="F21" s="4" t="str">
        <x:v>Fine finish and specialist details TBD</x:v>
      </x:c>
      <x:c r="G21" s="4" t="str">
        <x:v>Processed hide; supporting material TBD; no cloth</x:v>
      </x:c>
      <x:c r="H21" s="4" t="str">
        <x:v>Very rare elaborate fashion; everyday simple wraps/metal wear separate</x:v>
      </x:c>
      <x:c r="I21" s="4" t="str">
        <x:v>Large material/time demand; no universal scarcity for ordinary wear</x:v>
      </x:c>
      <x:c r="J21" s="4" t="str">
        <x:v>Direct author clarification, October 14, 2026; Docs/WORLD_BASIS.md#material-culture. Ordinary wear: simple wraps, metal chainmail and practical metal-based pieces with minimal fur. Elaborate fashion remains rare/expensive; no cloth.</x:v>
      </x:c>
    </x:row>
    <x:row r="22" ht="100" customHeight="1">
      <x:c r="A22" s="4" t="str">
        <x:v>proposal.gear.simple_wraps</x:v>
      </x:c>
      <x:c r="B22" s="4" t="str">
        <x:v>Simple everyday wraps</x:v>
      </x:c>
      <x:c r="C22" s="4" t="str">
        <x:v>Everyday clothing</x:v>
      </x:c>
      <x:c r="D22" s="4" t="str">
        <x:v>Simple wrap; pattern TBD</x:v>
      </x:c>
      <x:c r="E22" s="4" t="str">
        <x:v>Fastening and fit TBD</x:v>
      </x:c>
      <x:c r="F22" s="4" t="str">
        <x:v>Elaborate fashion variant would be separate</x:v>
      </x:c>
      <x:c r="G22" s="4" t="str">
        <x:v>No cloth; exact wrap construction and minimal-fur/metal combination TBD</x:v>
      </x:c>
      <x:c r="H22" s="4" t="str">
        <x:v>Everyday clothing baseline</x:v>
      </x:c>
      <x:c r="I22" s="4" t="str">
        <x:v>Coverage, layering and attachment remain open</x:v>
      </x:c>
      <x:c r="J22" s="4" t="str">
        <x:v>Direct author clarification, October 14, 2026; Docs/WORLD_BASIS.md#material-culture. Ordinary wear: simple wraps, metal chainmail and practical metal-based pieces with minimal fur. Elaborate fashion remains rare/expensive; no cloth.</x:v>
      </x:c>
    </x:row>
  </x:sheetData>
  <x:pageMargins left="0.7" right="0.7" top="0.75" bottom="0.75" header="0.3" footer="0.3"/>
  <x:tableParts count="1">
    <x:tablePart xmlns:r="http://schemas.openxmlformats.org/officeDocument/2006/relationships" r:id="R7ecf6aa5008f4214"/>
  </x:tableParts>
</x:worksheet>
</file>

<file path=xl/worksheets/sheet11.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5" hidden="0" customWidth="1"/>
    <x:col min="2" max="2" width="32" hidden="0" customWidth="1"/>
    <x:col min="3" max="3" width="24" hidden="0" customWidth="1"/>
    <x:col min="4" max="4" width="55" hidden="0" customWidth="1"/>
    <x:col min="5" max="5" width="65" hidden="0" customWidth="1"/>
    <x:col min="6" max="6" width="62" hidden="0" customWidth="1"/>
    <x:col min="7" max="7" width="82" hidden="0" customWidth="1"/>
    <x:col min="8" max="8" width="115" hidden="0" customWidth="1"/>
  </x:cols>
  <x:sheetData>
    <x:row r="1">
      <x:c r="A1" s="1"/>
      <x:c r="B1" s="1"/>
      <x:c r="C1" s="1"/>
      <x:c r="D1" s="1"/>
      <x:c r="E1" s="1"/>
      <x:c r="F1" s="1"/>
      <x:c r="G1" s="1"/>
      <x:c r="H1" s="1"/>
    </x:row>
    <x:row r="2">
      <x:c r="A2" s="2" t="str">
        <x:v>Canister parts, service and craft</x:v>
      </x:c>
      <x:c r="B2" s="1"/>
      <x:c r="C2" s="1"/>
      <x:c r="D2" s="1"/>
      <x:c r="E2" s="1"/>
      <x:c r="F2" s="1"/>
      <x:c r="G2" s="1"/>
      <x:c r="H2" s="1"/>
    </x:row>
    <x:row r="3">
      <x:c r="A3" s="1" t="str">
        <x:v>New item proposals from source drafts. Existing algae/dust canisters and gameplay remain unchanged.</x:v>
      </x:c>
      <x:c r="B3" s="1"/>
      <x:c r="C3" s="1"/>
      <x:c r="D3" s="1"/>
      <x:c r="E3" s="1"/>
      <x:c r="F3" s="1"/>
      <x:c r="G3" s="1"/>
      <x:c r="H3" s="1"/>
    </x:row>
    <x:row r="4">
      <x:c r="A4" s="1"/>
      <x:c r="B4" s="1"/>
      <x:c r="C4" s="1"/>
      <x:c r="D4" s="1"/>
      <x:c r="E4" s="1"/>
      <x:c r="F4" s="1"/>
      <x:c r="G4" s="1"/>
      <x:c r="H4" s="1"/>
    </x:row>
    <x:row r="5" ht="36" customHeight="1">
      <x:c r="A5" s="51" t="str">
        <x:v>Concept ID</x:v>
      </x:c>
      <x:c r="B5" s="51" t="str">
        <x:v>Part / item</x:v>
      </x:c>
      <x:c r="C5" s="51" t="str">
        <x:v>Category</x:v>
      </x:c>
      <x:c r="D5" s="51" t="str">
        <x:v>Proposed role</x:v>
      </x:c>
      <x:c r="E5" s="51" t="str">
        <x:v>Source relationship</x:v>
      </x:c>
      <x:c r="F5" s="51" t="str">
        <x:v>Material candidates</x:v>
      </x:c>
      <x:c r="G5" s="51" t="str">
        <x:v>Compatibility / boundary</x:v>
      </x:c>
      <x:c r="H5" s="51" t="str">
        <x:v>Source proposal</x:v>
      </x:c>
    </x:row>
    <x:row r="6" ht="95" customHeight="1">
      <x:c r="A6" s="4" t="str">
        <x:v>proposal.canister.body_blank</x:v>
      </x:c>
      <x:c r="B6" s="4" t="str">
        <x:v>Canister body blank</x:v>
      </x:c>
      <x:c r="C6" s="4" t="str">
        <x:v>Crafting components</x:v>
      </x:c>
      <x:c r="D6" s="4" t="str">
        <x:v>Unfinished body for specialist assembly</x:v>
      </x:c>
      <x:c r="E6" s="4" t="str">
        <x:v>Source explicitly distinguishes body fabrication</x:v>
      </x:c>
      <x:c r="F6" s="4" t="str">
        <x:v>Worked metal/alloy choice TBD; shell outer casing possible</x:v>
      </x:c>
      <x:c r="G6" s="4" t="str">
        <x:v>Personal life-support canister and raw-chemical vessel are distinct service roles</x:v>
      </x:c>
      <x:c r="H6" s="4" t="str">
        <x:v>https://github.com/sleepyseamonster/Arc-Dust/blob/f6f98515c005dc3c73cccd9cbc031691745740c6/02-Arc-Dust-Worldbuilding/world/economy/canister/caster-craft.md</x:v>
      </x:c>
    </x:row>
    <x:row r="7" ht="95" customHeight="1">
      <x:c r="A7" s="4" t="str">
        <x:v>proposal.canister.seal_ring</x:v>
      </x:c>
      <x:c r="B7" s="4" t="str">
        <x:v>Replacement seal ring</x:v>
      </x:c>
      <x:c r="C7" s="4" t="str">
        <x:v>Crafting components</x:v>
      </x:c>
      <x:c r="D7" s="4" t="str">
        <x:v>Replaceable fitted sealing part</x:v>
      </x:c>
      <x:c r="E7" s="4" t="str">
        <x:v>Source explicitly describes replaceable seal systems</x:v>
      </x:c>
      <x:c r="F7" s="4" t="str">
        <x:v>Biological/mineral elastic material candidate; formulation TBD</x:v>
      </x:c>
      <x:c r="G7" s="4" t="str">
        <x:v>Seal diameter, compound and service must match; ancient synthetic input not universally required</x:v>
      </x:c>
      <x:c r="H7" s="4" t="str">
        <x:v>https://github.com/sleepyseamonster/Arc-Dust/blob/f6f98515c005dc3c73cccd9cbc031691745740c6/02-Arc-Dust-Worldbuilding/world/economy/canister/caster-craft.md</x:v>
      </x:c>
    </x:row>
    <x:row r="8" ht="95" customHeight="1">
      <x:c r="A8" s="4" t="str">
        <x:v>proposal.canister.seal_seat</x:v>
      </x:c>
      <x:c r="B8" s="4" t="str">
        <x:v>Fitted seal seat</x:v>
      </x:c>
      <x:c r="C8" s="4" t="str">
        <x:v>Crafting components</x:v>
      </x:c>
      <x:c r="D8" s="4" t="str">
        <x:v>Precision contact surface supporting a seal</x:v>
      </x:c>
      <x:c r="E8" s="4" t="str">
        <x:v>New explicit part derived from source seal-system precision</x:v>
      </x:c>
      <x:c r="F8" s="4" t="str">
        <x:v>Worked metal or compatible hard insert TBD</x:v>
      </x:c>
      <x:c r="G8" s="4" t="str">
        <x:v>A seat supports the seal; not a duplicate compression collar or replacement ring</x:v>
      </x:c>
      <x:c r="H8" s="4" t="str">
        <x:v>https://github.com/sleepyseamonster/Arc-Dust/blob/f6f98515c005dc3c73cccd9cbc031691745740c6/02-Arc-Dust-Worldbuilding/world/economy/canister/caster-craft.md</x:v>
      </x:c>
    </x:row>
    <x:row r="9" ht="95" customHeight="1">
      <x:c r="A9" s="4" t="str">
        <x:v>proposal.canister.sealant</x:v>
      </x:c>
      <x:c r="B9" s="4" t="str">
        <x:v>Canister joint sealant</x:v>
      </x:c>
      <x:c r="C9" s="4" t="str">
        <x:v>Crafting components</x:v>
      </x:c>
      <x:c r="D9" s="4" t="str">
        <x:v>Prepared compound for compatible joints</x:v>
      </x:c>
      <x:c r="E9" s="4" t="str">
        <x:v>Author requests sealant; source describes biological seal compounds</x:v>
      </x:c>
      <x:c r="F9" s="4" t="str">
        <x:v>Compatible biological/mineral binder formulation TBD</x:v>
      </x:c>
      <x:c r="G9" s="4" t="str">
        <x:v>Not interchangeable with glue, toxic shell binder or a failed pressure seal; exact applications unresolved</x:v>
      </x:c>
      <x:c r="H9" s="4" t="str">
        <x:v>https://github.com/sleepyseamonster/Arc-Dust/blob/f6f98515c005dc3c73cccd9cbc031691745740c6/02-Arc-Dust-Worldbuilding/world/economy/canister/caster-craft.md</x:v>
      </x:c>
    </x:row>
    <x:row r="10" ht="95" customHeight="1">
      <x:c r="A10" s="4" t="str">
        <x:v>proposal.canister.feed_line</x:v>
      </x:c>
      <x:c r="B10" s="4" t="str">
        <x:v>Feed-line section</x:v>
      </x:c>
      <x:c r="C10" s="4" t="str">
        <x:v>Crafting components</x:v>
      </x:c>
      <x:c r="D10" s="4" t="str">
        <x:v>Replacement contained conduit for a personal canister</x:v>
      </x:c>
      <x:c r="E10" s="4" t="str">
        <x:v>Source explicitly describes feed-line routing and material quality</x:v>
      </x:c>
      <x:c r="F10" s="4" t="str">
        <x:v>Flexible biological/mineral component or recovered part TBD</x:v>
      </x:c>
      <x:c r="G10" s="4" t="str">
        <x:v>No ordinary rubber/cloth or new respiratory system assumed; service and purity matter</x:v>
      </x:c>
      <x:c r="H10" s="4" t="str">
        <x:v>https://github.com/sleepyseamonster/Arc-Dust/blob/f6f98515c005dc3c73cccd9cbc031691745740c6/02-Arc-Dust-Worldbuilding/world/economy/canister/carry-styles.md</x:v>
      </x:c>
    </x:row>
    <x:row r="11" ht="95" customHeight="1">
      <x:c r="A11" s="4" t="str">
        <x:v>proposal.canister.coupling</x:v>
      </x:c>
      <x:c r="B11" s="4" t="str">
        <x:v>Feed-line coupling</x:v>
      </x:c>
      <x:c r="C11" s="4" t="str">
        <x:v>Crafting components</x:v>
      </x:c>
      <x:c r="D11" s="4" t="str">
        <x:v>Connect a line to a matching canister/interface</x:v>
      </x:c>
      <x:c r="E11" s="4" t="str">
        <x:v>New explicit fitting from source connection systems</x:v>
      </x:c>
      <x:c r="F11" s="4" t="str">
        <x:v>Machined metal with qualified sealing insert TBD</x:v>
      </x:c>
      <x:c r="G11" s="4" t="str">
        <x:v>Match intended service; not a generic connector for every toxic liquid</x:v>
      </x:c>
      <x:c r="H11" s="4" t="str">
        <x:v>https://github.com/sleepyseamonster/Arc-Dust/blob/f6f98515c005dc3c73cccd9cbc031691745740c6/02-Arc-Dust-Worldbuilding/world/economy/canister/carry-styles.md</x:v>
      </x:c>
    </x:row>
    <x:row r="12" ht="95" customHeight="1">
      <x:c r="A12" s="4" t="str">
        <x:v>proposal.canister.mouthpiece</x:v>
      </x:c>
      <x:c r="B12" s="4" t="str">
        <x:v>Canister mouthpiece interface</x:v>
      </x:c>
      <x:c r="C12" s="4" t="str">
        <x:v>Crafting components</x:v>
      </x:c>
      <x:c r="D12" s="4" t="str">
        <x:v>Personal delivery interface candidate</x:v>
      </x:c>
      <x:c r="E12" s="4" t="str">
        <x:v>Source describes mouthpiece/collar interfaces</x:v>
      </x:c>
      <x:c r="F12" s="4" t="str">
        <x:v>Qualified body-contact material TBD</x:v>
      </x:c>
      <x:c r="G12" s="4" t="str">
        <x:v>Game algae-use and breathing systems are unchanged; anatomy and hygiene design needed</x:v>
      </x:c>
      <x:c r="H12" s="4" t="str">
        <x:v>https://github.com/sleepyseamonster/Arc-Dust/blob/f6f98515c005dc3c73cccd9cbc031691745740c6/02-Arc-Dust-Worldbuilding/world/economy/canister/carry-styles.md</x:v>
      </x:c>
    </x:row>
    <x:row r="13" ht="95" customHeight="1">
      <x:c r="A13" s="4" t="str">
        <x:v>proposal.canister.window</x:v>
      </x:c>
      <x:c r="B13" s="4" t="str">
        <x:v>Canister viewing-port insert</x:v>
      </x:c>
      <x:c r="C13" s="4" t="str">
        <x:v>Crafting components</x:v>
      </x:c>
      <x:c r="D13" s="4" t="str">
        <x:v>Inspect a compatible interior without opening it</x:v>
      </x:c>
      <x:c r="E13" s="4" t="str">
        <x:v>Glass source and canister craft describe viewing ports</x:v>
      </x:c>
      <x:c r="F13" s="4" t="str">
        <x:v>Clear glass and fitted retaining seat</x:v>
      </x:c>
      <x:c r="G13" s="4" t="str">
        <x:v>Clear glass craft cost; no automatic fill sensor, pressure certification or new HUD</x:v>
      </x:c>
      <x:c r="H13" s="4" t="str">
        <x:v>https://github.com/sleepyseamonster/Arc-Dust/blob/f6f98515c005dc3c73cccd9cbc031691745740c6/02-Arc-Dust-Worldbuilding/world/materials/glass.md</x:v>
      </x:c>
    </x:row>
    <x:row r="14" ht="95" customHeight="1">
      <x:c r="A14" s="4" t="str">
        <x:v>proposal.canister.mount</x:v>
      </x:c>
      <x:c r="B14" s="4" t="str">
        <x:v>Canister mounting bracket</x:v>
      </x:c>
      <x:c r="C14" s="4" t="str">
        <x:v>Crafting components</x:v>
      </x:c>
      <x:c r="D14" s="4" t="str">
        <x:v>Attach one canister to a fitted carrier</x:v>
      </x:c>
      <x:c r="E14" s="4" t="str">
        <x:v>Source explicitly separates fitments from body/seal</x:v>
      </x:c>
      <x:c r="F14" s="4" t="str">
        <x:v>Metal bracket and retainers</x:v>
      </x:c>
      <x:c r="G14" s="4" t="str">
        <x:v>Coexist with armor, cloak, backpack, magnets and grounding equipment; no new slot authority</x:v>
      </x:c>
      <x:c r="H14" s="4" t="str">
        <x:v>https://github.com/sleepyseamonster/Arc-Dust/blob/f6f98515c005dc3c73cccd9cbc031691745740c6/02-Arc-Dust-Worldbuilding/world/economy/canister/caster-craft.md</x:v>
      </x:c>
    </x:row>
    <x:row r="15" ht="95" customHeight="1">
      <x:c r="A15" s="4" t="str">
        <x:v>proposal.canister.harness</x:v>
      </x:c>
      <x:c r="B15" s="4" t="str">
        <x:v>Fitted canister harness</x:v>
      </x:c>
      <x:c r="C15" s="4" t="str">
        <x:v>Equipment</x:v>
      </x:c>
      <x:c r="D15" s="4" t="str">
        <x:v>Wear a canister in a selected carry arrangement</x:v>
      </x:c>
      <x:c r="E15" s="4" t="str">
        <x:v>Source chest/hip/back/cross-body carry styles</x:v>
      </x:c>
      <x:c r="F15" s="4" t="str">
        <x:v>Metal/shell carrier; minimal-fur contact material or difficult husk material proposed</x:v>
      </x:c>
      <x:c r="G15" s="4" t="str">
        <x:v>Exact harness material and capacities unresolved; no cloth straps or changed trial equipment slots</x:v>
      </x:c>
      <x:c r="H15" s="4" t="str">
        <x:v>https://github.com/sleepyseamonster/Arc-Dust/blob/f6f98515c005dc3c73cccd9cbc031691745740c6/02-Arc-Dust-Worldbuilding/world/economy/canister/carry-styles.md</x:v>
      </x:c>
    </x:row>
    <x:row r="16" ht="95" customHeight="1">
      <x:c r="A16" s="4" t="str">
        <x:v>proposal.canister.inspection_gauge</x:v>
      </x:c>
      <x:c r="B16" s="4" t="str">
        <x:v>Seal inspection gauge</x:v>
      </x:c>
      <x:c r="C16" s="4" t="str">
        <x:v>Equipment</x:v>
      </x:c>
      <x:c r="D16" s="4" t="str">
        <x:v>Specialist workshop inspection aid</x:v>
      </x:c>
      <x:c r="E16" s="4" t="str">
        <x:v>New tool idea inspired by source seal checks/testing</x:v>
      </x:c>
      <x:c r="F16" s="4" t="str">
        <x:v>Precision metal/glass tool candidate</x:v>
      </x:c>
      <x:c r="G16" s="4" t="str">
        <x:v>No numerical pressure behavior or mandatory recurring inspection chore introduced</x:v>
      </x:c>
      <x:c r="H16" s="4" t="str">
        <x:v>https://github.com/sleepyseamonster/Arc-Dust/blob/f6f98515c005dc3c73cccd9cbc031691745740c6/02-Arc-Dust-Worldbuilding/world/economy/canister/daily-ritual.md</x:v>
      </x:c>
    </x:row>
    <x:row r="17" ht="95" customHeight="1">
      <x:c r="A17" s="4" t="str">
        <x:v>proposal.canister.service_kit</x:v>
      </x:c>
      <x:c r="B17" s="4" t="str">
        <x:v>Canister service kit</x:v>
      </x:c>
      <x:c r="C17" s="4" t="str">
        <x:v>Field supplies</x:v>
      </x:c>
      <x:c r="D17" s="4" t="str">
        <x:v>Carry a selected set of compatible spare seals/fittings</x:v>
      </x:c>
      <x:c r="E17" s="4" t="str">
        <x:v>Source caravan carry includes repair kits/spare seals</x:v>
      </x:c>
      <x:c r="F17" s="4" t="str">
        <x:v>Existing candidate parts in a fitted case</x:v>
      </x:c>
      <x:c r="G17" s="4" t="str">
        <x:v>Bundle contents count once and occupy finite capacity; recipe/quantity and repair action unapproved</x:v>
      </x:c>
      <x:c r="H17" s="4" t="str">
        <x:v>https://github.com/sleepyseamonster/Arc-Dust/blob/f6f98515c005dc3c73cccd9cbc031691745740c6/02-Arc-Dust-Worldbuilding/world/economy/canister/carry-styles.md</x:v>
      </x:c>
    </x:row>
    <x:row r="18" ht="95" customHeight="1">
      <x:c r="A18" s="4" t="str">
        <x:v>proposal.canister.maker_plate</x:v>
      </x:c>
      <x:c r="B18" s="4" t="str">
        <x:v>Canister maker plate</x:v>
      </x:c>
      <x:c r="C18" s="4" t="str">
        <x:v>Crafting components</x:v>
      </x:c>
      <x:c r="D18" s="4" t="str">
        <x:v>Visible craft provenance or personal decoration</x:v>
      </x:c>
      <x:c r="E18" s="4" t="str">
        <x:v>Source guild marks and maker reputation</x:v>
      </x:c>
      <x:c r="F18" s="4" t="str">
        <x:v>Engraved metal; exact format TBD</x:v>
      </x:c>
      <x:c r="G18" s="4" t="str">
        <x:v>Not functional seal quality, an achievement award or a verified authenticity system by itself</x:v>
      </x:c>
      <x:c r="H18" s="4" t="str">
        <x:v>https://github.com/sleepyseamonster/Arc-Dust/blob/f6f98515c005dc3c73cccd9cbc031691745740c6/02-Arc-Dust-Worldbuilding/world/economy/canister-identity.md</x:v>
      </x:c>
    </x:row>
    <x:row r="19" ht="95" customHeight="1">
      <x:c r="A19" s="4" t="str">
        <x:v>proposal.canister.trim</x:v>
      </x:c>
      <x:c r="B19" s="4" t="str">
        <x:v>Decorative canister panel</x:v>
      </x:c>
      <x:c r="C19" s="4" t="str">
        <x:v>Crafting components</x:v>
      </x:c>
      <x:c r="D19" s="4" t="str">
        <x:v>Nonstructural custom finish candidate</x:v>
      </x:c>
      <x:c r="E19" s="4" t="str">
        <x:v>Source engravings, surface work and identity</x:v>
      </x:c>
      <x:c r="F19" s="4" t="str">
        <x:v>Worked metal/shell; fashion-grade inlay optional</x:v>
      </x:c>
      <x:c r="G19" s="4" t="str">
        <x:v>Decoration remains separate from seal/body functionality; material requirements and price TBD</x:v>
      </x:c>
      <x:c r="H19" s="4" t="str">
        <x:v>https://github.com/sleepyseamonster/Arc-Dust/blob/f6f98515c005dc3c73cccd9cbc031691745740c6/02-Arc-Dust-Worldbuilding/world/economy/canister-identity.md</x:v>
      </x:c>
    </x:row>
    <x:row r="20" ht="95" customHeight="1">
      <x:c r="A20" s="4" t="str">
        <x:v>proposal.canister.endcap</x:v>
      </x:c>
      <x:c r="B20" s="4" t="str">
        <x:v>Canister protective endcap</x:v>
      </x:c>
      <x:c r="C20" s="4" t="str">
        <x:v>Crafting components</x:v>
      </x:c>
      <x:c r="D20" s="4" t="str">
        <x:v>Outer impact/dust guard candidate</x:v>
      </x:c>
      <x:c r="E20" s="4" t="str">
        <x:v>New part inspired by source protective deep-operation casing</x:v>
      </x:c>
      <x:c r="F20" s="4" t="str">
        <x:v>Cheap shell outer guard or metal form proposed</x:v>
      </x:c>
      <x:c r="G20" s="4" t="str">
        <x:v>Protective casing is not a pressure seal; no damage/breakage simulation approved</x:v>
      </x:c>
      <x:c r="H20" s="4" t="str">
        <x:v>https://github.com/sleepyseamonster/Arc-Dust/blob/f6f98515c005dc3c73cccd9cbc031691745740c6/02-Arc-Dust-Worldbuilding/world/economy/canister/carry-styles.md</x:v>
      </x:c>
    </x:row>
  </x:sheetData>
  <x:pageMargins left="0.7" right="0.7" top="0.75" bottom="0.75" header="0.3" footer="0.3"/>
  <x:tableParts count="1">
    <x:tablePart xmlns:r="http://schemas.openxmlformats.org/officeDocument/2006/relationships" r:id="R257e207aaee5463d"/>
  </x:tableParts>
</x:worksheet>
</file>

<file path=xl/worksheets/sheet12.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25" hidden="0" customWidth="1"/>
    <x:col min="2" max="2" width="31" hidden="0" customWidth="1"/>
    <x:col min="3" max="3" width="100" hidden="0" customWidth="1"/>
  </x:cols>
  <x:sheetData>
    <x:row r="2">
      <x:c r="A2" s="2" t="str">
        <x:v>Classification vocabulary</x:v>
      </x:c>
    </x:row>
    <x:row r="3">
      <x:c r="A3" t="str">
        <x:v>Controlled values for Items and Item uses. Add vocabulary here before assigning it.</x:v>
      </x:c>
    </x:row>
    <x:row r="5" ht="32" customHeight="1">
      <x:c r="A5" s="56" t="str">
        <x:v>Field</x:v>
      </x:c>
      <x:c r="B5" s="56" t="str">
        <x:v>Allowed value</x:v>
      </x:c>
      <x:c r="C5" s="56" t="str">
        <x:v>Definition / rule</x:v>
      </x:c>
    </x:row>
    <x:row r="6" ht="45" customHeight="1">
      <x:c r="A6" s="4" t="str">
        <x:v>Category</x:v>
      </x:c>
      <x:c r="B6" s="4" t="str">
        <x:v>Consumables</x:v>
      </x:c>
      <x:c r="C6" s="4" t="str">
        <x:v>Broad existing inventory/design grouping. One per master item.</x:v>
      </x:c>
    </x:row>
    <x:row r="7" ht="45" customHeight="1">
      <x:c r="A7" s="4" t="str">
        <x:v>Category</x:v>
      </x:c>
      <x:c r="B7" s="4" t="str">
        <x:v>Containers</x:v>
      </x:c>
      <x:c r="C7" s="4" t="str">
        <x:v>Broad existing inventory/design grouping. One per master item.</x:v>
      </x:c>
    </x:row>
    <x:row r="8" ht="45" customHeight="1">
      <x:c r="A8" s="4" t="str">
        <x:v>Category</x:v>
      </x:c>
      <x:c r="B8" s="4" t="str">
        <x:v>Crafting components</x:v>
      </x:c>
      <x:c r="C8" s="4" t="str">
        <x:v>Broad existing inventory/design grouping. One per master item.</x:v>
      </x:c>
    </x:row>
    <x:row r="9" ht="45" customHeight="1">
      <x:c r="A9" s="4" t="str">
        <x:v>Category</x:v>
      </x:c>
      <x:c r="B9" s="4" t="str">
        <x:v>Cultural objects</x:v>
      </x:c>
      <x:c r="C9" s="4" t="str">
        <x:v>Broad existing inventory/design grouping. One per master item.</x:v>
      </x:c>
    </x:row>
    <x:row r="10" ht="45" customHeight="1">
      <x:c r="A10" s="4" t="str">
        <x:v>Category</x:v>
      </x:c>
      <x:c r="B10" s="4" t="str">
        <x:v>Currency</x:v>
      </x:c>
      <x:c r="C10" s="4" t="str">
        <x:v>Broad existing inventory/design grouping. One per master item.</x:v>
      </x:c>
    </x:row>
    <x:row r="11" ht="45" customHeight="1">
      <x:c r="A11" s="4" t="str">
        <x:v>Category</x:v>
      </x:c>
      <x:c r="B11" s="4" t="str">
        <x:v>Equipment</x:v>
      </x:c>
      <x:c r="C11" s="4" t="str">
        <x:v>Broad existing inventory/design grouping. One per master item.</x:v>
      </x:c>
    </x:row>
    <x:row r="12" ht="45" customHeight="1">
      <x:c r="A12" s="4" t="str">
        <x:v>Category</x:v>
      </x:c>
      <x:c r="B12" s="4" t="str">
        <x:v>Everyday objects</x:v>
      </x:c>
      <x:c r="C12" s="4" t="str">
        <x:v>Broad existing inventory/design grouping. One per master item.</x:v>
      </x:c>
    </x:row>
    <x:row r="13" ht="45" customHeight="1">
      <x:c r="A13" s="4" t="str">
        <x:v>Category</x:v>
      </x:c>
      <x:c r="B13" s="4" t="str">
        <x:v>Field supplies</x:v>
      </x:c>
      <x:c r="C13" s="4" t="str">
        <x:v>Broad existing inventory/design grouping. One per master item.</x:v>
      </x:c>
    </x:row>
    <x:row r="14" ht="45" customHeight="1">
      <x:c r="A14" s="4" t="str">
        <x:v>Category</x:v>
      </x:c>
      <x:c r="B14" s="4" t="str">
        <x:v>Resources</x:v>
      </x:c>
      <x:c r="C14" s="4" t="str">
        <x:v>Broad existing inventory/design grouping. One per master item.</x:v>
      </x:c>
    </x:row>
    <x:row r="15" ht="45" customHeight="1">
      <x:c r="A15" s="4" t="str">
        <x:v>Category</x:v>
      </x:c>
      <x:c r="B15" s="4" t="str">
        <x:v>Weapons</x:v>
      </x:c>
      <x:c r="C15" s="4" t="str">
        <x:v>Broad existing inventory/design grouping. One per master item.</x:v>
      </x:c>
    </x:row>
    <x:row r="16" ht="45" customHeight="1">
      <x:c r="A16" s="4" t="str">
        <x:v>Item type</x:v>
      </x:c>
      <x:c r="B16" s="4" t="str">
        <x:v>Ammunition</x:v>
      </x:c>
      <x:c r="C16" s="4" t="str">
        <x:v>What the object is, independent of material, culture and use.</x:v>
      </x:c>
    </x:row>
    <x:row r="17" ht="45" customHeight="1">
      <x:c r="A17" s="4" t="str">
        <x:v>Item type</x:v>
      </x:c>
      <x:c r="B17" s="4" t="str">
        <x:v>Armor</x:v>
      </x:c>
      <x:c r="C17" s="4" t="str">
        <x:v>What the object is, independent of material, culture and use.</x:v>
      </x:c>
    </x:row>
    <x:row r="18" ht="45" customHeight="1">
      <x:c r="A18" s="4" t="str">
        <x:v>Item type</x:v>
      </x:c>
      <x:c r="B18" s="4" t="str">
        <x:v>Carrier</x:v>
      </x:c>
      <x:c r="C18" s="4" t="str">
        <x:v>What the object is, independent of material, culture and use.</x:v>
      </x:c>
    </x:row>
    <x:row r="19" ht="45" customHeight="1">
      <x:c r="A19" s="4" t="str">
        <x:v>Item type</x:v>
      </x:c>
      <x:c r="B19" s="4" t="str">
        <x:v>Chemical material</x:v>
      </x:c>
      <x:c r="C19" s="4" t="str">
        <x:v>What the object is, independent of material, culture and use.</x:v>
      </x:c>
    </x:row>
    <x:row r="20" ht="45" customHeight="1">
      <x:c r="A20" s="4" t="str">
        <x:v>Item type</x:v>
      </x:c>
      <x:c r="B20" s="4" t="str">
        <x:v>Container</x:v>
      </x:c>
      <x:c r="C20" s="4" t="str">
        <x:v>What the object is, independent of material, culture and use.</x:v>
      </x:c>
    </x:row>
    <x:row r="21" ht="45" customHeight="1">
      <x:c r="A21" s="4" t="str">
        <x:v>Item type</x:v>
      </x:c>
      <x:c r="B21" s="4" t="str">
        <x:v>Container part</x:v>
      </x:c>
      <x:c r="C21" s="4" t="str">
        <x:v>What the object is, independent of material, culture and use.</x:v>
      </x:c>
    </x:row>
    <x:row r="22" ht="45" customHeight="1">
      <x:c r="A22" s="4" t="str">
        <x:v>Item type</x:v>
      </x:c>
      <x:c r="B22" s="4" t="str">
        <x:v>Crafting component</x:v>
      </x:c>
      <x:c r="C22" s="4" t="str">
        <x:v>What the object is, independent of material, culture and use.</x:v>
      </x:c>
    </x:row>
    <x:row r="23" ht="45" customHeight="1">
      <x:c r="A23" s="4" t="str">
        <x:v>Item type</x:v>
      </x:c>
      <x:c r="B23" s="4" t="str">
        <x:v>Cultural object</x:v>
      </x:c>
      <x:c r="C23" s="4" t="str">
        <x:v>What the object is, independent of material, culture and use.</x:v>
      </x:c>
    </x:row>
    <x:row r="24" ht="45" customHeight="1">
      <x:c r="A24" s="4" t="str">
        <x:v>Item type</x:v>
      </x:c>
      <x:c r="B24" s="4" t="str">
        <x:v>Currency</x:v>
      </x:c>
      <x:c r="C24" s="4" t="str">
        <x:v>What the object is, independent of material, culture and use.</x:v>
      </x:c>
    </x:row>
    <x:row r="25" ht="45" customHeight="1">
      <x:c r="A25" s="4" t="str">
        <x:v>Item type</x:v>
      </x:c>
      <x:c r="B25" s="4" t="str">
        <x:v>Document</x:v>
      </x:c>
      <x:c r="C25" s="4" t="str">
        <x:v>What the object is, independent of material, culture and use.</x:v>
      </x:c>
    </x:row>
    <x:row r="26" ht="45" customHeight="1">
      <x:c r="A26" s="4" t="str">
        <x:v>Item type</x:v>
      </x:c>
      <x:c r="B26" s="4" t="str">
        <x:v>Drink consumable</x:v>
      </x:c>
      <x:c r="C26" s="4" t="str">
        <x:v>What the object is, independent of material, culture and use.</x:v>
      </x:c>
    </x:row>
    <x:row r="27" ht="45" customHeight="1">
      <x:c r="A27" s="4" t="str">
        <x:v>Item type</x:v>
      </x:c>
      <x:c r="B27" s="4" t="str">
        <x:v>Energy storage</x:v>
      </x:c>
      <x:c r="C27" s="4" t="str">
        <x:v>What the object is, independent of material, culture and use.</x:v>
      </x:c>
    </x:row>
    <x:row r="28" ht="45" customHeight="1">
      <x:c r="A28" s="4" t="str">
        <x:v>Item type</x:v>
      </x:c>
      <x:c r="B28" s="4" t="str">
        <x:v>Food consumable</x:v>
      </x:c>
      <x:c r="C28" s="4" t="str">
        <x:v>What the object is, independent of material, culture and use.</x:v>
      </x:c>
    </x:row>
    <x:row r="29" ht="45" customHeight="1">
      <x:c r="A29" s="4" t="str">
        <x:v>Item type</x:v>
      </x:c>
      <x:c r="B29" s="4" t="str">
        <x:v>Food material</x:v>
      </x:c>
      <x:c r="C29" s="4" t="str">
        <x:v>What the object is, independent of material, culture and use.</x:v>
      </x:c>
    </x:row>
    <x:row r="30" ht="45" customHeight="1">
      <x:c r="A30" s="4" t="str">
        <x:v>Item type</x:v>
      </x:c>
      <x:c r="B30" s="4" t="str">
        <x:v>Gem material</x:v>
      </x:c>
      <x:c r="C30" s="4" t="str">
        <x:v>What the object is, independent of material, culture and use.</x:v>
      </x:c>
    </x:row>
    <x:row r="31" ht="45" customHeight="1">
      <x:c r="A31" s="4" t="str">
        <x:v>Item type</x:v>
      </x:c>
      <x:c r="B31" s="4" t="str">
        <x:v>Household utensil</x:v>
      </x:c>
      <x:c r="C31" s="4" t="str">
        <x:v>What the object is, independent of material, culture and use.</x:v>
      </x:c>
    </x:row>
    <x:row r="32" ht="45" customHeight="1">
      <x:c r="A32" s="4" t="str">
        <x:v>Item type</x:v>
      </x:c>
      <x:c r="B32" s="4" t="str">
        <x:v>Machine</x:v>
      </x:c>
      <x:c r="C32" s="4" t="str">
        <x:v>What the object is, independent of material, culture and use.</x:v>
      </x:c>
    </x:row>
    <x:row r="33" ht="45" customHeight="1">
      <x:c r="A33" s="4" t="str">
        <x:v>Item type</x:v>
      </x:c>
      <x:c r="B33" s="4" t="str">
        <x:v>Musical instrument</x:v>
      </x:c>
      <x:c r="C33" s="4" t="str">
        <x:v>What the object is, independent of material, culture and use.</x:v>
      </x:c>
    </x:row>
    <x:row r="34" ht="45" customHeight="1">
      <x:c r="A34" s="4" t="str">
        <x:v>Item type</x:v>
      </x:c>
      <x:c r="B34" s="4" t="str">
        <x:v>Processed material</x:v>
      </x:c>
      <x:c r="C34" s="4" t="str">
        <x:v>What the object is, independent of material, culture and use.</x:v>
      </x:c>
    </x:row>
    <x:row r="35" ht="45" customHeight="1">
      <x:c r="A35" s="4" t="str">
        <x:v>Item type</x:v>
      </x:c>
      <x:c r="B35" s="4" t="str">
        <x:v>Raw material</x:v>
      </x:c>
      <x:c r="C35" s="4" t="str">
        <x:v>What the object is, independent of material, culture and use.</x:v>
      </x:c>
    </x:row>
    <x:row r="36" ht="45" customHeight="1">
      <x:c r="A36" s="4" t="str">
        <x:v>Item type</x:v>
      </x:c>
      <x:c r="B36" s="4" t="str">
        <x:v>Service kit</x:v>
      </x:c>
      <x:c r="C36" s="4" t="str">
        <x:v>What the object is, independent of material, culture and use.</x:v>
      </x:c>
    </x:row>
    <x:row r="37" ht="45" customHeight="1">
      <x:c r="A37" s="4" t="str">
        <x:v>Item type</x:v>
      </x:c>
      <x:c r="B37" s="4" t="str">
        <x:v>Shelter kit</x:v>
      </x:c>
      <x:c r="C37" s="4" t="str">
        <x:v>What the object is, independent of material, culture and use.</x:v>
      </x:c>
    </x:row>
    <x:row r="38" ht="45" customHeight="1">
      <x:c r="A38" s="4" t="str">
        <x:v>Item type</x:v>
      </x:c>
      <x:c r="B38" s="4" t="str">
        <x:v>Shield</x:v>
      </x:c>
      <x:c r="C38" s="4" t="str">
        <x:v>What the object is, independent of material, culture and use.</x:v>
      </x:c>
    </x:row>
    <x:row r="39" ht="45" customHeight="1">
      <x:c r="A39" s="4" t="str">
        <x:v>Item type</x:v>
      </x:c>
      <x:c r="B39" s="4" t="str">
        <x:v>Tool</x:v>
      </x:c>
      <x:c r="C39" s="4" t="str">
        <x:v>What the object is, independent of material, culture and use.</x:v>
      </x:c>
    </x:row>
    <x:row r="40" ht="45" customHeight="1">
      <x:c r="A40" s="4" t="str">
        <x:v>Item type</x:v>
      </x:c>
      <x:c r="B40" s="4" t="str">
        <x:v>Traversal device</x:v>
      </x:c>
      <x:c r="C40" s="4" t="str">
        <x:v>What the object is, independent of material, culture and use.</x:v>
      </x:c>
    </x:row>
    <x:row r="41" ht="45" customHeight="1">
      <x:c r="A41" s="4" t="str">
        <x:v>Item type</x:v>
      </x:c>
      <x:c r="B41" s="4" t="str">
        <x:v>Trip hazard</x:v>
      </x:c>
      <x:c r="C41" s="4" t="str">
        <x:v>What the object is, independent of material, culture and use.</x:v>
      </x:c>
    </x:row>
    <x:row r="42" ht="45" customHeight="1">
      <x:c r="A42" s="4" t="str">
        <x:v>Item type</x:v>
      </x:c>
      <x:c r="B42" s="4" t="str">
        <x:v>Weapon</x:v>
      </x:c>
      <x:c r="C42" s="4" t="str">
        <x:v>What the object is, independent of material, culture and use.</x:v>
      </x:c>
    </x:row>
    <x:row r="43" ht="45" customHeight="1">
      <x:c r="A43" s="4" t="str">
        <x:v>Item type</x:v>
      </x:c>
      <x:c r="B43" s="4" t="str">
        <x:v>Wearable</x:v>
      </x:c>
      <x:c r="C43" s="4" t="str">
        <x:v>What the object is, independent of material, culture and use.</x:v>
      </x:c>
    </x:row>
    <x:row r="44" ht="45" customHeight="1">
      <x:c r="A44" s="4" t="str">
        <x:v>Processing stage</x:v>
      </x:c>
      <x:c r="B44" s="4" t="str">
        <x:v>Ancient manufactured</x:v>
      </x:c>
      <x:c r="C44" s="4" t="str">
        <x:v>State of the listed item, not its next recipe. Stage unresolved means raw-versus-processed is undecided.</x:v>
      </x:c>
    </x:row>
    <x:row r="45" ht="45" customHeight="1">
      <x:c r="A45" s="4" t="str">
        <x:v>Processing stage</x:v>
      </x:c>
      <x:c r="B45" s="4" t="str">
        <x:v>Extracted material</x:v>
      </x:c>
      <x:c r="C45" s="4" t="str">
        <x:v>State of the listed item, not its next recipe. Stage unresolved means raw-versus-processed is undecided.</x:v>
      </x:c>
    </x:row>
    <x:row r="46" ht="45" customHeight="1">
      <x:c r="A46" s="4" t="str">
        <x:v>Processing stage</x:v>
      </x:c>
      <x:c r="B46" s="4" t="str">
        <x:v>Finished item</x:v>
      </x:c>
      <x:c r="C46" s="4" t="str">
        <x:v>State of the listed item, not its next recipe. Stage unresolved means raw-versus-processed is undecided.</x:v>
      </x:c>
    </x:row>
    <x:row r="47" ht="45" customHeight="1">
      <x:c r="A47" s="4" t="str">
        <x:v>Processing stage</x:v>
      </x:c>
      <x:c r="B47" s="4" t="str">
        <x:v>Processed intermediate</x:v>
      </x:c>
      <x:c r="C47" s="4" t="str">
        <x:v>State of the listed item, not its next recipe. Stage unresolved means raw-versus-processed is undecided.</x:v>
      </x:c>
    </x:row>
    <x:row r="48" ht="45" customHeight="1">
      <x:c r="A48" s="4" t="str">
        <x:v>Processing stage</x:v>
      </x:c>
      <x:c r="B48" s="4" t="str">
        <x:v>Raw</x:v>
      </x:c>
      <x:c r="C48" s="4" t="str">
        <x:v>State of the listed item, not its next recipe. Stage unresolved means raw-versus-processed is undecided.</x:v>
      </x:c>
    </x:row>
    <x:row r="49" ht="45" customHeight="1">
      <x:c r="A49" s="4" t="str">
        <x:v>Processing stage</x:v>
      </x:c>
      <x:c r="B49" s="4" t="str">
        <x:v>Recovered material</x:v>
      </x:c>
      <x:c r="C49" s="4" t="str">
        <x:v>State of the listed item, not its next recipe. Stage unresolved means raw-versus-processed is undecided.</x:v>
      </x:c>
    </x:row>
    <x:row r="50" ht="45" customHeight="1">
      <x:c r="A50" s="4" t="str">
        <x:v>Processing stage</x:v>
      </x:c>
      <x:c r="B50" s="4" t="str">
        <x:v>Recovered part</x:v>
      </x:c>
      <x:c r="C50" s="4" t="str">
        <x:v>State of the listed item, not its next recipe. Stage unresolved means raw-versus-processed is undecided.</x:v>
      </x:c>
    </x:row>
    <x:row r="51" ht="45" customHeight="1">
      <x:c r="A51" s="4" t="str">
        <x:v>Processing stage</x:v>
      </x:c>
      <x:c r="B51" s="4" t="str">
        <x:v>Unfired intermediate</x:v>
      </x:c>
      <x:c r="C51" s="4" t="str">
        <x:v>State of the listed item, not its next recipe. Stage unresolved means raw-versus-processed is undecided.</x:v>
      </x:c>
    </x:row>
    <x:row r="52" ht="45" customHeight="1">
      <x:c r="A52" s="4" t="str">
        <x:v>Processing stage</x:v>
      </x:c>
      <x:c r="B52" s="4" t="str">
        <x:v>Unresolved</x:v>
      </x:c>
      <x:c r="C52" s="4" t="str">
        <x:v>State of the listed item, not its next recipe. Stage unresolved means raw-versus-processed is undecided.</x:v>
      </x:c>
    </x:row>
    <x:row r="53" ht="45" customHeight="1">
      <x:c r="A53" s="4" t="str">
        <x:v>Processing stage</x:v>
      </x:c>
      <x:c r="B53" s="4" t="str">
        <x:v>Unworked metal</x:v>
      </x:c>
      <x:c r="C53" s="4" t="str">
        <x:v>State of the listed item, not its next recipe. Stage unresolved means raw-versus-processed is undecided.</x:v>
      </x:c>
    </x:row>
    <x:row r="54" ht="45" customHeight="1">
      <x:c r="A54" s="4" t="str">
        <x:v>Origin family</x:v>
      </x:c>
      <x:c r="B54" s="4" t="str">
        <x:v>Ancient technology</x:v>
      </x:c>
      <x:c r="C54" s="4" t="str">
        <x:v>Broad provenance. Manufactured / unresolved does not identify raw ingredients.</x:v>
      </x:c>
    </x:row>
    <x:row r="55" ht="45" customHeight="1">
      <x:c r="A55" s="4" t="str">
        <x:v>Origin family</x:v>
      </x:c>
      <x:c r="B55" s="4" t="str">
        <x:v>Atmospheric</x:v>
      </x:c>
      <x:c r="C55" s="4" t="str">
        <x:v>Broad provenance. Manufactured / unresolved does not identify raw ingredients.</x:v>
      </x:c>
    </x:row>
    <x:row r="56" ht="45" customHeight="1">
      <x:c r="A56" s="4" t="str">
        <x:v>Origin family</x:v>
      </x:c>
      <x:c r="B56" s="4" t="str">
        <x:v>Biological mixture</x:v>
      </x:c>
      <x:c r="C56" s="4" t="str">
        <x:v>Broad provenance. Manufactured / unresolved does not identify raw ingredients.</x:v>
      </x:c>
    </x:row>
    <x:row r="57" ht="45" customHeight="1">
      <x:c r="A57" s="4" t="str">
        <x:v>Origin family</x:v>
      </x:c>
      <x:c r="B57" s="4" t="str">
        <x:v>Fauna</x:v>
      </x:c>
      <x:c r="C57" s="4" t="str">
        <x:v>Broad provenance. Manufactured / unresolved does not identify raw ingredients.</x:v>
      </x:c>
    </x:row>
    <x:row r="58" ht="45" customHeight="1">
      <x:c r="A58" s="4" t="str">
        <x:v>Origin family</x:v>
      </x:c>
      <x:c r="B58" s="4" t="str">
        <x:v>Geological</x:v>
      </x:c>
      <x:c r="C58" s="4" t="str">
        <x:v>Broad provenance. Manufactured / unresolved does not identify raw ingredients.</x:v>
      </x:c>
    </x:row>
    <x:row r="59" ht="45" customHeight="1">
      <x:c r="A59" s="4" t="str">
        <x:v>Origin family</x:v>
      </x:c>
      <x:c r="B59" s="4" t="str">
        <x:v>Industrial salvage</x:v>
      </x:c>
      <x:c r="C59" s="4" t="str">
        <x:v>Broad provenance. Manufactured / unresolved does not identify raw ingredients.</x:v>
      </x:c>
    </x:row>
    <x:row r="60" ht="45" customHeight="1">
      <x:c r="A60" s="4" t="str">
        <x:v>Origin family</x:v>
      </x:c>
      <x:c r="B60" s="4" t="str">
        <x:v>Living culture</x:v>
      </x:c>
      <x:c r="C60" s="4" t="str">
        <x:v>Broad provenance. Manufactured / unresolved does not identify raw ingredients.</x:v>
      </x:c>
    </x:row>
    <x:row r="61" ht="45" customHeight="1">
      <x:c r="A61" s="4" t="str">
        <x:v>Origin family</x:v>
      </x:c>
      <x:c r="B61" s="4" t="str">
        <x:v>Manufactured / unresolved</x:v>
      </x:c>
      <x:c r="C61" s="4" t="str">
        <x:v>Broad provenance. Manufactured / unresolved does not identify raw ingredients.</x:v>
      </x:c>
    </x:row>
    <x:row r="62" ht="45" customHeight="1">
      <x:c r="A62" s="4" t="str">
        <x:v>Origin family</x:v>
      </x:c>
      <x:c r="B62" s="4" t="str">
        <x:v>Recovered machinery</x:v>
      </x:c>
      <x:c r="C62" s="4" t="str">
        <x:v>Broad provenance. Manufactured / unresolved does not identify raw ingredients.</x:v>
      </x:c>
    </x:row>
    <x:row r="63" ht="45" customHeight="1">
      <x:c r="A63" s="4" t="str">
        <x:v>Origin family</x:v>
      </x:c>
      <x:c r="B63" s="4" t="str">
        <x:v>Unresolved</x:v>
      </x:c>
      <x:c r="C63" s="4" t="str">
        <x:v>Broad provenance. Manufactured / unresolved does not identify raw ingredients.</x:v>
      </x:c>
    </x:row>
    <x:row r="64" ht="45" customHeight="1">
      <x:c r="A64" s="4" t="str">
        <x:v>Primary use</x:v>
      </x:c>
      <x:c r="B64" s="4" t="str">
        <x:v>Area denial</x:v>
      </x:c>
      <x:c r="C64" s="4" t="str">
        <x:v>Main catalog purpose. Item uses lists additional purposes as separate filterable rows.</x:v>
      </x:c>
    </x:row>
    <x:row r="65" ht="45" customHeight="1">
      <x:c r="A65" s="4" t="str">
        <x:v>Primary use</x:v>
      </x:c>
      <x:c r="B65" s="4" t="str">
        <x:v>Atmospheric support</x:v>
      </x:c>
      <x:c r="C65" s="4" t="str">
        <x:v>Main catalog purpose. Item uses lists additional purposes as separate filterable rows.</x:v>
      </x:c>
    </x:row>
    <x:row r="66" ht="45" customHeight="1">
      <x:c r="A66" s="4" t="str">
        <x:v>Primary use</x:v>
      </x:c>
      <x:c r="B66" s="4" t="str">
        <x:v>Binding and construction</x:v>
      </x:c>
      <x:c r="C66" s="4" t="str">
        <x:v>Main catalog purpose. Item uses lists additional purposes as separate filterable rows.</x:v>
      </x:c>
    </x:row>
    <x:row r="67" ht="45" customHeight="1">
      <x:c r="A67" s="4" t="str">
        <x:v>Primary use</x:v>
      </x:c>
      <x:c r="B67" s="4" t="str">
        <x:v>Camp rest</x:v>
      </x:c>
      <x:c r="C67" s="4" t="str">
        <x:v>Main catalog purpose. Item uses lists additional purposes as separate filterable rows.</x:v>
      </x:c>
    </x:row>
    <x:row r="68" ht="45" customHeight="1">
      <x:c r="A68" s="4" t="str">
        <x:v>Primary use</x:v>
      </x:c>
      <x:c r="B68" s="4" t="str">
        <x:v>Cargo organization</x:v>
      </x:c>
      <x:c r="C68" s="4" t="str">
        <x:v>Main catalog purpose. Item uses lists additional purposes as separate filterable rows.</x:v>
      </x:c>
    </x:row>
    <x:row r="69" ht="45" customHeight="1">
      <x:c r="A69" s="4" t="str">
        <x:v>Primary use</x:v>
      </x:c>
      <x:c r="B69" s="4" t="str">
        <x:v>Ceremony</x:v>
      </x:c>
      <x:c r="C69" s="4" t="str">
        <x:v>Main catalog purpose. Item uses lists additional purposes as separate filterable rows.</x:v>
      </x:c>
    </x:row>
    <x:row r="70" ht="45" customHeight="1">
      <x:c r="A70" s="4" t="str">
        <x:v>Primary use</x:v>
      </x:c>
      <x:c r="B70" s="4" t="str">
        <x:v>Chemical processing</x:v>
      </x:c>
      <x:c r="C70" s="4" t="str">
        <x:v>Main catalog purpose. Item uses lists additional purposes as separate filterable rows.</x:v>
      </x:c>
    </x:row>
    <x:row r="71" ht="45" customHeight="1">
      <x:c r="A71" s="4" t="str">
        <x:v>Primary use</x:v>
      </x:c>
      <x:c r="B71" s="4" t="str">
        <x:v>Civic identification</x:v>
      </x:c>
      <x:c r="C71" s="4" t="str">
        <x:v>Main catalog purpose. Item uses lists additional purposes as separate filterable rows.</x:v>
      </x:c>
    </x:row>
    <x:row r="72" ht="45" customHeight="1">
      <x:c r="A72" s="4" t="str">
        <x:v>Primary use</x:v>
      </x:c>
      <x:c r="B72" s="4" t="str">
        <x:v>Civic recognition</x:v>
      </x:c>
      <x:c r="C72" s="4" t="str">
        <x:v>Main catalog purpose. Item uses lists additional purposes as separate filterable rows.</x:v>
      </x:c>
    </x:row>
    <x:row r="73" ht="45" customHeight="1">
      <x:c r="A73" s="4" t="str">
        <x:v>Primary use</x:v>
      </x:c>
      <x:c r="B73" s="4" t="str">
        <x:v>Cleaning</x:v>
      </x:c>
      <x:c r="C73" s="4" t="str">
        <x:v>Main catalog purpose. Item uses lists additional purposes as separate filterable rows.</x:v>
      </x:c>
    </x:row>
    <x:row r="74" ht="45" customHeight="1">
      <x:c r="A74" s="4" t="str">
        <x:v>Primary use</x:v>
      </x:c>
      <x:c r="B74" s="4" t="str">
        <x:v>Clothing</x:v>
      </x:c>
      <x:c r="C74" s="4" t="str">
        <x:v>Main catalog purpose. Item uses lists additional purposes as separate filterable rows.</x:v>
      </x:c>
    </x:row>
    <x:row r="75" ht="45" customHeight="1">
      <x:c r="A75" s="4" t="str">
        <x:v>Primary use</x:v>
      </x:c>
      <x:c r="B75" s="4" t="str">
        <x:v>Clothing fabrication</x:v>
      </x:c>
      <x:c r="C75" s="4" t="str">
        <x:v>Main catalog purpose. Item uses lists additional purposes as separate filterable rows.</x:v>
      </x:c>
    </x:row>
    <x:row r="76" ht="45" customHeight="1">
      <x:c r="A76" s="4" t="str">
        <x:v>Primary use</x:v>
      </x:c>
      <x:c r="B76" s="4" t="str">
        <x:v>Cooking</x:v>
      </x:c>
      <x:c r="C76" s="4" t="str">
        <x:v>Main catalog purpose. Item uses lists additional purposes as separate filterable rows.</x:v>
      </x:c>
    </x:row>
    <x:row r="77" ht="45" customHeight="1">
      <x:c r="A77" s="4" t="str">
        <x:v>Primary use</x:v>
      </x:c>
      <x:c r="B77" s="4" t="str">
        <x:v>Culture support</x:v>
      </x:c>
      <x:c r="C77" s="4" t="str">
        <x:v>Main catalog purpose. Item uses lists additional purposes as separate filterable rows.</x:v>
      </x:c>
    </x:row>
    <x:row r="78" ht="45" customHeight="1">
      <x:c r="A78" s="4" t="str">
        <x:v>Primary use</x:v>
      </x:c>
      <x:c r="B78" s="4" t="str">
        <x:v>Decoration</x:v>
      </x:c>
      <x:c r="C78" s="4" t="str">
        <x:v>Main catalog purpose. Item uses lists additional purposes as separate filterable rows.</x:v>
      </x:c>
    </x:row>
    <x:row r="79" ht="45" customHeight="1">
      <x:c r="A79" s="4" t="str">
        <x:v>Primary use</x:v>
      </x:c>
      <x:c r="B79" s="4" t="str">
        <x:v>Devotion</x:v>
      </x:c>
      <x:c r="C79" s="4" t="str">
        <x:v>Main catalog purpose. Item uses lists additional purposes as separate filterable rows.</x:v>
      </x:c>
    </x:row>
    <x:row r="80" ht="45" customHeight="1">
      <x:c r="A80" s="4" t="str">
        <x:v>Primary use</x:v>
      </x:c>
      <x:c r="B80" s="4" t="str">
        <x:v>Dust exclusion</x:v>
      </x:c>
      <x:c r="C80" s="4" t="str">
        <x:v>Main catalog purpose. Item uses lists additional purposes as separate filterable rows.</x:v>
      </x:c>
    </x:row>
    <x:row r="81" ht="45" customHeight="1">
      <x:c r="A81" s="4" t="str">
        <x:v>Primary use</x:v>
      </x:c>
      <x:c r="B81" s="4" t="str">
        <x:v>Electrical conduction</x:v>
      </x:c>
      <x:c r="C81" s="4" t="str">
        <x:v>Main catalog purpose. Item uses lists additional purposes as separate filterable rows.</x:v>
      </x:c>
    </x:row>
    <x:row r="82" ht="45" customHeight="1">
      <x:c r="A82" s="4" t="str">
        <x:v>Primary use</x:v>
      </x:c>
      <x:c r="B82" s="4" t="str">
        <x:v>Electrical insulation</x:v>
      </x:c>
      <x:c r="C82" s="4" t="str">
        <x:v>Main catalog purpose. Item uses lists additional purposes as separate filterable rows.</x:v>
      </x:c>
    </x:row>
    <x:row r="83" ht="45" customHeight="1">
      <x:c r="A83" s="4" t="str">
        <x:v>Primary use</x:v>
      </x:c>
      <x:c r="B83" s="4" t="str">
        <x:v>Electrical work</x:v>
      </x:c>
      <x:c r="C83" s="4" t="str">
        <x:v>Main catalog purpose. Item uses lists additional purposes as separate filterable rows.</x:v>
      </x:c>
    </x:row>
    <x:row r="84" ht="45" customHeight="1">
      <x:c r="A84" s="4" t="str">
        <x:v>Primary use</x:v>
      </x:c>
      <x:c r="B84" s="4" t="str">
        <x:v>Energy processing</x:v>
      </x:c>
      <x:c r="C84" s="4" t="str">
        <x:v>Main catalog purpose. Item uses lists additional purposes as separate filterable rows.</x:v>
      </x:c>
    </x:row>
    <x:row r="85" ht="45" customHeight="1">
      <x:c r="A85" s="4" t="str">
        <x:v>Primary use</x:v>
      </x:c>
      <x:c r="B85" s="4" t="str">
        <x:v>Energy storage</x:v>
      </x:c>
      <x:c r="C85" s="4" t="str">
        <x:v>Main catalog purpose. Item uses lists additional purposes as separate filterable rows.</x:v>
      </x:c>
    </x:row>
    <x:row r="86" ht="45" customHeight="1">
      <x:c r="A86" s="4" t="str">
        <x:v>Primary use</x:v>
      </x:c>
      <x:c r="B86" s="4" t="str">
        <x:v>Equipment fabrication</x:v>
      </x:c>
      <x:c r="C86" s="4" t="str">
        <x:v>Main catalog purpose. Item uses lists additional purposes as separate filterable rows.</x:v>
      </x:c>
    </x:row>
    <x:row r="87" ht="45" customHeight="1">
      <x:c r="A87" s="4" t="str">
        <x:v>Primary use</x:v>
      </x:c>
      <x:c r="B87" s="4" t="str">
        <x:v>Equipment mounting</x:v>
      </x:c>
      <x:c r="C87" s="4" t="str">
        <x:v>Main catalog purpose. Item uses lists additional purposes as separate filterable rows.</x:v>
      </x:c>
    </x:row>
    <x:row r="88" ht="45" customHeight="1">
      <x:c r="A88" s="4" t="str">
        <x:v>Primary use</x:v>
      </x:c>
      <x:c r="B88" s="4" t="str">
        <x:v>Equipment repair</x:v>
      </x:c>
      <x:c r="C88" s="4" t="str">
        <x:v>Main catalog purpose. Item uses lists additional purposes as separate filterable rows.</x:v>
      </x:c>
    </x:row>
    <x:row r="89" ht="45" customHeight="1">
      <x:c r="A89" s="4" t="str">
        <x:v>Primary use</x:v>
      </x:c>
      <x:c r="B89" s="4" t="str">
        <x:v>Excavation</x:v>
      </x:c>
      <x:c r="C89" s="4" t="str">
        <x:v>Main catalog purpose. Item uses lists additional purposes as separate filterable rows.</x:v>
      </x:c>
    </x:row>
    <x:row r="90" ht="45" customHeight="1">
      <x:c r="A90" s="4" t="str">
        <x:v>Primary use</x:v>
      </x:c>
      <x:c r="B90" s="4" t="str">
        <x:v>Fabrication</x:v>
      </x:c>
      <x:c r="C90" s="4" t="str">
        <x:v>Main catalog purpose. Item uses lists additional purposes as separate filterable rows.</x:v>
      </x:c>
    </x:row>
    <x:row r="91" ht="45" customHeight="1">
      <x:c r="A91" s="4" t="str">
        <x:v>Primary use</x:v>
      </x:c>
      <x:c r="B91" s="4" t="str">
        <x:v>Fashion</x:v>
      </x:c>
      <x:c r="C91" s="4" t="str">
        <x:v>Main catalog purpose. Item uses lists additional purposes as separate filterable rows.</x:v>
      </x:c>
    </x:row>
    <x:row r="92" ht="45" customHeight="1">
      <x:c r="A92" s="4" t="str">
        <x:v>Primary use</x:v>
      </x:c>
      <x:c r="B92" s="4" t="str">
        <x:v>Fauna interaction</x:v>
      </x:c>
      <x:c r="C92" s="4" t="str">
        <x:v>Main catalog purpose. Item uses lists additional purposes as separate filterable rows.</x:v>
      </x:c>
    </x:row>
    <x:row r="93" ht="45" customHeight="1">
      <x:c r="A93" s="4" t="str">
        <x:v>Primary use</x:v>
      </x:c>
      <x:c r="B93" s="4" t="str">
        <x:v>Fiber processing</x:v>
      </x:c>
      <x:c r="C93" s="4" t="str">
        <x:v>Main catalog purpose. Item uses lists additional purposes as separate filterable rows.</x:v>
      </x:c>
    </x:row>
    <x:row r="94" ht="45" customHeight="1">
      <x:c r="A94" s="4" t="str">
        <x:v>Primary use</x:v>
      </x:c>
      <x:c r="B94" s="4" t="str">
        <x:v>Fire management</x:v>
      </x:c>
      <x:c r="C94" s="4" t="str">
        <x:v>Main catalog purpose. Item uses lists additional purposes as separate filterable rows.</x:v>
      </x:c>
    </x:row>
    <x:row r="95" ht="45" customHeight="1">
      <x:c r="A95" s="4" t="str">
        <x:v>Primary use</x:v>
      </x:c>
      <x:c r="B95" s="4" t="str">
        <x:v>Food preparation</x:v>
      </x:c>
      <x:c r="C95" s="4" t="str">
        <x:v>Main catalog purpose. Item uses lists additional purposes as separate filterable rows.</x:v>
      </x:c>
    </x:row>
    <x:row r="96" ht="45" customHeight="1">
      <x:c r="A96" s="4" t="str">
        <x:v>Primary use</x:v>
      </x:c>
      <x:c r="B96" s="4" t="str">
        <x:v>Food service</x:v>
      </x:c>
      <x:c r="C96" s="4" t="str">
        <x:v>Main catalog purpose. Item uses lists additional purposes as separate filterable rows.</x:v>
      </x:c>
    </x:row>
    <x:row r="97" ht="45" customHeight="1">
      <x:c r="A97" s="4" t="str">
        <x:v>Primary use</x:v>
      </x:c>
      <x:c r="B97" s="4" t="str">
        <x:v>Fuel</x:v>
      </x:c>
      <x:c r="C97" s="4" t="str">
        <x:v>Main catalog purpose. Item uses lists additional purposes as separate filterable rows.</x:v>
      </x:c>
    </x:row>
    <x:row r="98" ht="45" customHeight="1">
      <x:c r="A98" s="4" t="str">
        <x:v>Primary use</x:v>
      </x:c>
      <x:c r="B98" s="4" t="str">
        <x:v>Glass and ceramics</x:v>
      </x:c>
      <x:c r="C98" s="4" t="str">
        <x:v>Main catalog purpose. Item uses lists additional purposes as separate filterable rows.</x:v>
      </x:c>
    </x:row>
    <x:row r="99" ht="45" customHeight="1">
      <x:c r="A99" s="4" t="str">
        <x:v>Primary use</x:v>
      </x:c>
      <x:c r="B99" s="4" t="str">
        <x:v>Grooming</x:v>
      </x:c>
      <x:c r="C99" s="4" t="str">
        <x:v>Main catalog purpose. Item uses lists additional purposes as separate filterable rows.</x:v>
      </x:c>
    </x:row>
    <x:row r="100" ht="45" customHeight="1">
      <x:c r="A100" s="4" t="str">
        <x:v>Primary use</x:v>
      </x:c>
      <x:c r="B100" s="4" t="str">
        <x:v>Hydration</x:v>
      </x:c>
      <x:c r="C100" s="4" t="str">
        <x:v>Main catalog purpose. Item uses lists additional purposes as separate filterable rows.</x:v>
      </x:c>
    </x:row>
    <x:row r="101" ht="45" customHeight="1">
      <x:c r="A101" s="4" t="str">
        <x:v>Primary use</x:v>
      </x:c>
      <x:c r="B101" s="4" t="str">
        <x:v>Ignition</x:v>
      </x:c>
      <x:c r="C101" s="4" t="str">
        <x:v>Main catalog purpose. Item uses lists additional purposes as separate filterable rows.</x:v>
      </x:c>
    </x:row>
    <x:row r="102" ht="45" customHeight="1">
      <x:c r="A102" s="4" t="str">
        <x:v>Primary use</x:v>
      </x:c>
      <x:c r="B102" s="4" t="str">
        <x:v>Illumination</x:v>
      </x:c>
      <x:c r="C102" s="4" t="str">
        <x:v>Main catalog purpose. Item uses lists additional purposes as separate filterable rows.</x:v>
      </x:c>
    </x:row>
    <x:row r="103" ht="45" customHeight="1">
      <x:c r="A103" s="4" t="str">
        <x:v>Primary use</x:v>
      </x:c>
      <x:c r="B103" s="4" t="str">
        <x:v>Injury treatment</x:v>
      </x:c>
      <x:c r="C103" s="4" t="str">
        <x:v>Main catalog purpose. Item uses lists additional purposes as separate filterable rows.</x:v>
      </x:c>
    </x:row>
    <x:row r="104" ht="45" customHeight="1">
      <x:c r="A104" s="4" t="str">
        <x:v>Primary use</x:v>
      </x:c>
      <x:c r="B104" s="4" t="str">
        <x:v>Inspection</x:v>
      </x:c>
      <x:c r="C104" s="4" t="str">
        <x:v>Main catalog purpose. Item uses lists additional purposes as separate filterable rows.</x:v>
      </x:c>
    </x:row>
    <x:row r="105" ht="45" customHeight="1">
      <x:c r="A105" s="4" t="str">
        <x:v>Primary use</x:v>
      </x:c>
      <x:c r="B105" s="4" t="str">
        <x:v>Keepsake storage</x:v>
      </x:c>
      <x:c r="C105" s="4" t="str">
        <x:v>Main catalog purpose. Item uses lists additional purposes as separate filterable rows.</x:v>
      </x:c>
    </x:row>
    <x:row r="106" ht="45" customHeight="1">
      <x:c r="A106" s="4" t="str">
        <x:v>Primary use</x:v>
      </x:c>
      <x:c r="B106" s="4" t="str">
        <x:v>Liquid and bulk containment</x:v>
      </x:c>
      <x:c r="C106" s="4" t="str">
        <x:v>Main catalog purpose. Item uses lists additional purposes as separate filterable rows.</x:v>
      </x:c>
    </x:row>
    <x:row r="107" ht="45" customHeight="1">
      <x:c r="A107" s="4" t="str">
        <x:v>Primary use</x:v>
      </x:c>
      <x:c r="B107" s="4" t="str">
        <x:v>Lubrication</x:v>
      </x:c>
      <x:c r="C107" s="4" t="str">
        <x:v>Main catalog purpose. Item uses lists additional purposes as separate filterable rows.</x:v>
      </x:c>
    </x:row>
    <x:row r="108" ht="45" customHeight="1">
      <x:c r="A108" s="4" t="str">
        <x:v>Primary use</x:v>
      </x:c>
      <x:c r="B108" s="4" t="str">
        <x:v>Machinery drive</x:v>
      </x:c>
      <x:c r="C108" s="4" t="str">
        <x:v>Main catalog purpose. Item uses lists additional purposes as separate filterable rows.</x:v>
      </x:c>
    </x:row>
    <x:row r="109" ht="45" customHeight="1">
      <x:c r="A109" s="4" t="str">
        <x:v>Primary use</x:v>
      </x:c>
      <x:c r="B109" s="4" t="str">
        <x:v>Machinery repair</x:v>
      </x:c>
      <x:c r="C109" s="4" t="str">
        <x:v>Main catalog purpose. Item uses lists additional purposes as separate filterable rows.</x:v>
      </x:c>
    </x:row>
    <x:row r="110" ht="45" customHeight="1">
      <x:c r="A110" s="4" t="str">
        <x:v>Primary use</x:v>
      </x:c>
      <x:c r="B110" s="4" t="str">
        <x:v>Magnetic field control</x:v>
      </x:c>
      <x:c r="C110" s="4" t="str">
        <x:v>Main catalog purpose. Item uses lists additional purposes as separate filterable rows.</x:v>
      </x:c>
    </x:row>
    <x:row r="111" ht="45" customHeight="1">
      <x:c r="A111" s="4" t="str">
        <x:v>Primary use</x:v>
      </x:c>
      <x:c r="B111" s="4" t="str">
        <x:v>Magnetic tools</x:v>
      </x:c>
      <x:c r="C111" s="4" t="str">
        <x:v>Main catalog purpose. Item uses lists additional purposes as separate filterable rows.</x:v>
      </x:c>
    </x:row>
    <x:row r="112" ht="45" customHeight="1">
      <x:c r="A112" s="4" t="str">
        <x:v>Primary use</x:v>
      </x:c>
      <x:c r="B112" s="4" t="str">
        <x:v>Material exclusion</x:v>
      </x:c>
      <x:c r="C112" s="4" t="str">
        <x:v>Main catalog purpose. Item uses lists additional purposes as separate filterable rows.</x:v>
      </x:c>
    </x:row>
    <x:row r="113" ht="45" customHeight="1">
      <x:c r="A113" s="4" t="str">
        <x:v>Primary use</x:v>
      </x:c>
      <x:c r="B113" s="4" t="str">
        <x:v>Material transfer</x:v>
      </x:c>
      <x:c r="C113" s="4" t="str">
        <x:v>Main catalog purpose. Item uses lists additional purposes as separate filterable rows.</x:v>
      </x:c>
    </x:row>
    <x:row r="114" ht="45" customHeight="1">
      <x:c r="A114" s="4" t="str">
        <x:v>Primary use</x:v>
      </x:c>
      <x:c r="B114" s="4" t="str">
        <x:v>Metal forging</x:v>
      </x:c>
      <x:c r="C114" s="4" t="str">
        <x:v>Main catalog purpose. Item uses lists additional purposes as separate filterable rows.</x:v>
      </x:c>
    </x:row>
    <x:row r="115" ht="45" customHeight="1">
      <x:c r="A115" s="4" t="str">
        <x:v>Primary use</x:v>
      </x:c>
      <x:c r="B115" s="4" t="str">
        <x:v>Metal refining</x:v>
      </x:c>
      <x:c r="C115" s="4" t="str">
        <x:v>Main catalog purpose. Item uses lists additional purposes as separate filterable rows.</x:v>
      </x:c>
    </x:row>
    <x:row r="116" ht="45" customHeight="1">
      <x:c r="A116" s="4" t="str">
        <x:v>Primary use</x:v>
      </x:c>
      <x:c r="B116" s="4" t="str">
        <x:v>Music</x:v>
      </x:c>
      <x:c r="C116" s="4" t="str">
        <x:v>Main catalog purpose. Item uses lists additional purposes as separate filterable rows.</x:v>
      </x:c>
    </x:row>
    <x:row r="117" ht="45" customHeight="1">
      <x:c r="A117" s="4" t="str">
        <x:v>Primary use</x:v>
      </x:c>
      <x:c r="B117" s="4" t="str">
        <x:v>Nutrition</x:v>
      </x:c>
      <x:c r="C117" s="4" t="str">
        <x:v>Main catalog purpose. Item uses lists additional purposes as separate filterable rows.</x:v>
      </x:c>
    </x:row>
    <x:row r="118" ht="45" customHeight="1">
      <x:c r="A118" s="4" t="str">
        <x:v>Primary use</x:v>
      </x:c>
      <x:c r="B118" s="4" t="str">
        <x:v>Offensive combat</x:v>
      </x:c>
      <x:c r="C118" s="4" t="str">
        <x:v>Main catalog purpose. Item uses lists additional purposes as separate filterable rows.</x:v>
      </x:c>
    </x:row>
    <x:row r="119" ht="45" customHeight="1">
      <x:c r="A119" s="4" t="str">
        <x:v>Primary use</x:v>
      </x:c>
      <x:c r="B119" s="4" t="str">
        <x:v>Paper making</x:v>
      </x:c>
      <x:c r="C119" s="4" t="str">
        <x:v>Main catalog purpose. Item uses lists additional purposes as separate filterable rows.</x:v>
      </x:c>
    </x:row>
    <x:row r="120" ht="45" customHeight="1">
      <x:c r="A120" s="4" t="str">
        <x:v>Primary use</x:v>
      </x:c>
      <x:c r="B120" s="4" t="str">
        <x:v>Protection</x:v>
      </x:c>
      <x:c r="C120" s="4" t="str">
        <x:v>Main catalog purpose. Item uses lists additional purposes as separate filterable rows.</x:v>
      </x:c>
    </x:row>
    <x:row r="121" ht="45" customHeight="1">
      <x:c r="A121" s="4" t="str">
        <x:v>Primary use</x:v>
      </x:c>
      <x:c r="B121" s="4" t="str">
        <x:v>Protective fabrication</x:v>
      </x:c>
      <x:c r="C121" s="4" t="str">
        <x:v>Main catalog purpose. Item uses lists additional purposes as separate filterable rows.</x:v>
      </x:c>
    </x:row>
    <x:row r="122" ht="45" customHeight="1">
      <x:c r="A122" s="4" t="str">
        <x:v>Primary use</x:v>
      </x:c>
      <x:c r="B122" s="4" t="str">
        <x:v>Provenance</x:v>
      </x:c>
      <x:c r="C122" s="4" t="str">
        <x:v>Main catalog purpose. Item uses lists additional purposes as separate filterable rows.</x:v>
      </x:c>
    </x:row>
    <x:row r="123" ht="45" customHeight="1">
      <x:c r="A123" s="4" t="str">
        <x:v>Primary use</x:v>
      </x:c>
      <x:c r="B123" s="4" t="str">
        <x:v>Public communication</x:v>
      </x:c>
      <x:c r="C123" s="4" t="str">
        <x:v>Main catalog purpose. Item uses lists additional purposes as separate filterable rows.</x:v>
      </x:c>
    </x:row>
    <x:row r="124" ht="45" customHeight="1">
      <x:c r="A124" s="4" t="str">
        <x:v>Primary use</x:v>
      </x:c>
      <x:c r="B124" s="4" t="str">
        <x:v>Radio communication</x:v>
      </x:c>
      <x:c r="C124" s="4" t="str">
        <x:v>Main catalog purpose. Item uses lists additional purposes as separate filterable rows.</x:v>
      </x:c>
    </x:row>
    <x:row r="125" ht="45" customHeight="1">
      <x:c r="A125" s="4" t="str">
        <x:v>Primary use</x:v>
      </x:c>
      <x:c r="B125" s="4" t="str">
        <x:v>Remembrance</x:v>
      </x:c>
      <x:c r="C125" s="4" t="str">
        <x:v>Main catalog purpose. Item uses lists additional purposes as separate filterable rows.</x:v>
      </x:c>
    </x:row>
    <x:row r="126" ht="45" customHeight="1">
      <x:c r="A126" s="4" t="str">
        <x:v>Primary use</x:v>
      </x:c>
      <x:c r="B126" s="4" t="str">
        <x:v>Resource collection</x:v>
      </x:c>
      <x:c r="C126" s="4" t="str">
        <x:v>Main catalog purpose. Item uses lists additional purposes as separate filterable rows.</x:v>
      </x:c>
    </x:row>
    <x:row r="127" ht="45" customHeight="1">
      <x:c r="A127" s="4" t="str">
        <x:v>Primary use</x:v>
      </x:c>
      <x:c r="B127" s="4" t="str">
        <x:v>Sealing</x:v>
      </x:c>
      <x:c r="C127" s="4" t="str">
        <x:v>Main catalog purpose. Item uses lists additional purposes as separate filterable rows.</x:v>
      </x:c>
    </x:row>
    <x:row r="128" ht="45" customHeight="1">
      <x:c r="A128" s="4" t="str">
        <x:v>Primary use</x:v>
      </x:c>
      <x:c r="B128" s="4" t="str">
        <x:v>Specialist samples</x:v>
      </x:c>
      <x:c r="C128" s="4" t="str">
        <x:v>Main catalog purpose. Item uses lists additional purposes as separate filterable rows.</x:v>
      </x:c>
    </x:row>
    <x:row r="129" ht="45" customHeight="1">
      <x:c r="A129" s="4" t="str">
        <x:v>Primary use</x:v>
      </x:c>
      <x:c r="B129" s="4" t="str">
        <x:v>Static management</x:v>
      </x:c>
      <x:c r="C129" s="4" t="str">
        <x:v>Main catalog purpose. Item uses lists additional purposes as separate filterable rows.</x:v>
      </x:c>
    </x:row>
    <x:row r="130" ht="45" customHeight="1">
      <x:c r="A130" s="4" t="str">
        <x:v>Primary use</x:v>
      </x:c>
      <x:c r="B130" s="4" t="str">
        <x:v>Sun shading</x:v>
      </x:c>
      <x:c r="C130" s="4" t="str">
        <x:v>Main catalog purpose. Item uses lists additional purposes as separate filterable rows.</x:v>
      </x:c>
    </x:row>
    <x:row r="131" ht="45" customHeight="1">
      <x:c r="A131" s="4" t="str">
        <x:v>Primary use</x:v>
      </x:c>
      <x:c r="B131" s="4" t="str">
        <x:v>Surface finishing</x:v>
      </x:c>
      <x:c r="C131" s="4" t="str">
        <x:v>Main catalog purpose. Item uses lists additional purposes as separate filterable rows.</x:v>
      </x:c>
    </x:row>
    <x:row r="132" ht="45" customHeight="1">
      <x:c r="A132" s="4" t="str">
        <x:v>Primary use</x:v>
      </x:c>
      <x:c r="B132" s="4" t="str">
        <x:v>Survival provision</x:v>
      </x:c>
      <x:c r="C132" s="4" t="str">
        <x:v>Main catalog purpose. Item uses lists additional purposes as separate filterable rows.</x:v>
      </x:c>
    </x:row>
    <x:row r="133" ht="45" customHeight="1">
      <x:c r="A133" s="4" t="str">
        <x:v>Primary use</x:v>
      </x:c>
      <x:c r="B133" s="4" t="str">
        <x:v>Textile processing</x:v>
      </x:c>
      <x:c r="C133" s="4" t="str">
        <x:v>Main catalog purpose. Item uses lists additional purposes as separate filterable rows.</x:v>
      </x:c>
    </x:row>
    <x:row r="134" ht="45" customHeight="1">
      <x:c r="A134" s="4" t="str">
        <x:v>Primary use</x:v>
      </x:c>
      <x:c r="B134" s="4" t="str">
        <x:v>Tool fabrication</x:v>
      </x:c>
      <x:c r="C134" s="4" t="str">
        <x:v>Main catalog purpose. Item uses lists additional purposes as separate filterable rows.</x:v>
      </x:c>
    </x:row>
    <x:row r="135" ht="45" customHeight="1">
      <x:c r="A135" s="4" t="str">
        <x:v>Primary use</x:v>
      </x:c>
      <x:c r="B135" s="4" t="str">
        <x:v>Trade</x:v>
      </x:c>
      <x:c r="C135" s="4" t="str">
        <x:v>Main catalog purpose. Item uses lists additional purposes as separate filterable rows.</x:v>
      </x:c>
    </x:row>
    <x:row r="136" ht="45" customHeight="1">
      <x:c r="A136" s="4" t="str">
        <x:v>Primary use</x:v>
      </x:c>
      <x:c r="B136" s="4" t="str">
        <x:v>Traversal</x:v>
      </x:c>
      <x:c r="C136" s="4" t="str">
        <x:v>Main catalog purpose. Item uses lists additional purposes as separate filterable rows.</x:v>
      </x:c>
    </x:row>
    <x:row r="137" ht="45" customHeight="1">
      <x:c r="A137" s="4" t="str">
        <x:v>Primary use</x:v>
      </x:c>
      <x:c r="B137" s="4" t="str">
        <x:v>Use unresolved</x:v>
      </x:c>
      <x:c r="C137" s="4" t="str">
        <x:v>Main catalog purpose. Item uses lists additional purposes as separate filterable rows.</x:v>
      </x:c>
    </x:row>
    <x:row r="138" ht="45" customHeight="1">
      <x:c r="A138" s="4" t="str">
        <x:v>Primary use</x:v>
      </x:c>
      <x:c r="B138" s="4" t="str">
        <x:v>Vision</x:v>
      </x:c>
      <x:c r="C138" s="4" t="str">
        <x:v>Main catalog purpose. Item uses lists additional purposes as separate filterable rows.</x:v>
      </x:c>
    </x:row>
    <x:row r="139" ht="45" customHeight="1">
      <x:c r="A139" s="4" t="str">
        <x:v>Primary use</x:v>
      </x:c>
      <x:c r="B139" s="4" t="str">
        <x:v>Wind power</x:v>
      </x:c>
      <x:c r="C139" s="4" t="str">
        <x:v>Main catalog purpose. Item uses lists additional purposes as separate filterable rows.</x:v>
      </x:c>
    </x:row>
    <x:row r="140" ht="45" customHeight="1">
      <x:c r="A140" s="4" t="str">
        <x:v>Primary use</x:v>
      </x:c>
      <x:c r="B140" s="4" t="str">
        <x:v>Wind propulsion</x:v>
      </x:c>
      <x:c r="C140" s="4" t="str">
        <x:v>Main catalog purpose. Item uses lists additional purposes as separate filterable rows.</x:v>
      </x:c>
    </x:row>
    <x:row r="141" ht="45" customHeight="1">
      <x:c r="A141" s="4" t="str">
        <x:v>Primary use</x:v>
      </x:c>
      <x:c r="B141" s="4" t="str">
        <x:v>Work holding</x:v>
      </x:c>
      <x:c r="C141" s="4" t="str">
        <x:v>Main catalog purpose. Item uses lists additional purposes as separate filterable rows.</x:v>
      </x:c>
    </x:row>
    <x:row r="142" ht="45" customHeight="1">
      <x:c r="A142" s="4" t="str">
        <x:v>Primary use</x:v>
      </x:c>
      <x:c r="B142" s="4" t="str">
        <x:v>Writing and records</x:v>
      </x:c>
      <x:c r="C142" s="4" t="str">
        <x:v>Main catalog purpose. Item uses lists additional purposes as separate filterable rows.</x:v>
      </x:c>
    </x:row>
    <x:row r="143" ht="45" customHeight="1">
      <x:c r="A143" s="4" t="str">
        <x:v>Material family</x:v>
      </x:c>
      <x:c r="B143" s="4" t="str">
        <x:v>Ancient composite</x:v>
      </x:c>
      <x:c r="C143" s="4" t="str">
        <x:v>Broad descriptive candidate. Mixed, alternative and unresolved values preserve uncertainty.</x:v>
      </x:c>
    </x:row>
    <x:row r="144" ht="45" customHeight="1">
      <x:c r="A144" s="4" t="str">
        <x:v>Material family</x:v>
      </x:c>
      <x:c r="B144" s="4" t="str">
        <x:v>Biological and mineral mixture</x:v>
      </x:c>
      <x:c r="C144" s="4" t="str">
        <x:v>Broad descriptive candidate. Mixed, alternative and unresolved values preserve uncertainty.</x:v>
      </x:c>
    </x:row>
    <x:row r="145" ht="45" customHeight="1">
      <x:c r="A145" s="4" t="str">
        <x:v>Material family</x:v>
      </x:c>
      <x:c r="B145" s="4" t="str">
        <x:v>Biological chemical</x:v>
      </x:c>
      <x:c r="C145" s="4" t="str">
        <x:v>Broad descriptive candidate. Mixed, alternative and unresolved values preserve uncertainty.</x:v>
      </x:c>
    </x:row>
    <x:row r="146" ht="45" customHeight="1">
      <x:c r="A146" s="4" t="str">
        <x:v>Material family</x:v>
      </x:c>
      <x:c r="B146" s="4" t="str">
        <x:v>Carbonaceous material</x:v>
      </x:c>
      <x:c r="C146" s="4" t="str">
        <x:v>Broad descriptive candidate. Mixed, alternative and unresolved values preserve uncertainty.</x:v>
      </x:c>
    </x:row>
    <x:row r="147" ht="45" customHeight="1">
      <x:c r="A147" s="4" t="str">
        <x:v>Material family</x:v>
      </x:c>
      <x:c r="B147" s="4" t="str">
        <x:v>Ceramic</x:v>
      </x:c>
      <x:c r="C147" s="4" t="str">
        <x:v>Broad descriptive candidate. Mixed, alternative and unresolved values preserve uncertainty.</x:v>
      </x:c>
    </x:row>
    <x:row r="148" ht="45" customHeight="1">
      <x:c r="A148" s="4" t="str">
        <x:v>Material family</x:v>
      </x:c>
      <x:c r="B148" s="4" t="str">
        <x:v>Ceramic and metal</x:v>
      </x:c>
      <x:c r="C148" s="4" t="str">
        <x:v>Broad descriptive candidate. Mixed, alternative and unresolved values preserve uncertainty.</x:v>
      </x:c>
    </x:row>
    <x:row r="149" ht="45" customHeight="1">
      <x:c r="A149" s="4" t="str">
        <x:v>Material family</x:v>
      </x:c>
      <x:c r="B149" s="4" t="str">
        <x:v>Ceramic feed mixture</x:v>
      </x:c>
      <x:c r="C149" s="4" t="str">
        <x:v>Broad descriptive candidate. Mixed, alternative and unresolved values preserve uncertainty.</x:v>
      </x:c>
    </x:row>
    <x:row r="150" ht="45" customHeight="1">
      <x:c r="A150" s="4" t="str">
        <x:v>Material family</x:v>
      </x:c>
      <x:c r="B150" s="4" t="str">
        <x:v>Faunal fiber</x:v>
      </x:c>
      <x:c r="C150" s="4" t="str">
        <x:v>Broad descriptive candidate. Mixed, alternative and unresolved values preserve uncertainty.</x:v>
      </x:c>
    </x:row>
    <x:row r="151" ht="45" customHeight="1">
      <x:c r="A151" s="4" t="str">
        <x:v>Material family</x:v>
      </x:c>
      <x:c r="B151" s="4" t="str">
        <x:v>Faunal fiber and shell</x:v>
      </x:c>
      <x:c r="C151" s="4" t="str">
        <x:v>Broad descriptive candidate. Mixed, alternative and unresolved values preserve uncertainty.</x:v>
      </x:c>
    </x:row>
    <x:row r="152" ht="45" customHeight="1">
      <x:c r="A152" s="4" t="str">
        <x:v>Material family</x:v>
      </x:c>
      <x:c r="B152" s="4" t="str">
        <x:v>Faunal hard tissue</x:v>
      </x:c>
      <x:c r="C152" s="4" t="str">
        <x:v>Broad descriptive candidate. Mixed, alternative and unresolved values preserve uncertainty.</x:v>
      </x:c>
    </x:row>
    <x:row r="153" ht="45" customHeight="1">
      <x:c r="A153" s="4" t="str">
        <x:v>Material family</x:v>
      </x:c>
      <x:c r="B153" s="4" t="str">
        <x:v>Faunal membrane</x:v>
      </x:c>
      <x:c r="C153" s="4" t="str">
        <x:v>Broad descriptive candidate. Mixed, alternative and unresolved values preserve uncertainty.</x:v>
      </x:c>
    </x:row>
    <x:row r="154" ht="45" customHeight="1">
      <x:c r="A154" s="4" t="str">
        <x:v>Material family</x:v>
      </x:c>
      <x:c r="B154" s="4" t="str">
        <x:v>Faunal tissue</x:v>
      </x:c>
      <x:c r="C154" s="4" t="str">
        <x:v>Broad descriptive candidate. Mixed, alternative and unresolved values preserve uncertainty.</x:v>
      </x:c>
    </x:row>
    <x:row r="155" ht="45" customHeight="1">
      <x:c r="A155" s="4" t="str">
        <x:v>Material family</x:v>
      </x:c>
      <x:c r="B155" s="4" t="str">
        <x:v>Fur</x:v>
      </x:c>
      <x:c r="C155" s="4" t="str">
        <x:v>Broad descriptive candidate. Mixed, alternative and unresolved values preserve uncertainty.</x:v>
      </x:c>
    </x:row>
    <x:row r="156" ht="45" customHeight="1">
      <x:c r="A156" s="4" t="str">
        <x:v>Material family</x:v>
      </x:c>
      <x:c r="B156" s="4" t="str">
        <x:v>Gemstone</x:v>
      </x:c>
      <x:c r="C156" s="4" t="str">
        <x:v>Broad descriptive candidate. Mixed, alternative and unresolved values preserve uncertainty.</x:v>
      </x:c>
    </x:row>
    <x:row r="157" ht="45" customHeight="1">
      <x:c r="A157" s="4" t="str">
        <x:v>Material family</x:v>
      </x:c>
      <x:c r="B157" s="4" t="str">
        <x:v>Glass</x:v>
      </x:c>
      <x:c r="C157" s="4" t="str">
        <x:v>Broad descriptive candidate. Mixed, alternative and unresolved values preserve uncertainty.</x:v>
      </x:c>
    </x:row>
    <x:row r="158" ht="45" customHeight="1">
      <x:c r="A158" s="4" t="str">
        <x:v>Material family</x:v>
      </x:c>
      <x:c r="B158" s="4" t="str">
        <x:v>Glass and metal</x:v>
      </x:c>
      <x:c r="C158" s="4" t="str">
        <x:v>Broad descriptive candidate. Mixed, alternative and unresolved values preserve uncertainty.</x:v>
      </x:c>
    </x:row>
    <x:row r="159" ht="45" customHeight="1">
      <x:c r="A159" s="4" t="str">
        <x:v>Material family</x:v>
      </x:c>
      <x:c r="B159" s="4" t="str">
        <x:v>Glass and shell</x:v>
      </x:c>
      <x:c r="C159" s="4" t="str">
        <x:v>Broad descriptive candidate. Mixed, alternative and unresolved values preserve uncertainty.</x:v>
      </x:c>
    </x:row>
    <x:row r="160" ht="45" customHeight="1">
      <x:c r="A160" s="4" t="str">
        <x:v>Material family</x:v>
      </x:c>
      <x:c r="B160" s="4" t="str">
        <x:v>Glass or ceramic</x:v>
      </x:c>
      <x:c r="C160" s="4" t="str">
        <x:v>Broad descriptive candidate. Mixed, alternative and unresolved values preserve uncertainty.</x:v>
      </x:c>
    </x:row>
    <x:row r="161" ht="45" customHeight="1">
      <x:c r="A161" s="4" t="str">
        <x:v>Material family</x:v>
      </x:c>
      <x:c r="B161" s="4" t="str">
        <x:v>Glass with unresolved casing</x:v>
      </x:c>
      <x:c r="C161" s="4" t="str">
        <x:v>Broad descriptive candidate. Mixed, alternative and unresolved values preserve uncertainty.</x:v>
      </x:c>
    </x:row>
    <x:row r="162" ht="45" customHeight="1">
      <x:c r="A162" s="4" t="str">
        <x:v>Material family</x:v>
      </x:c>
      <x:c r="B162" s="4" t="str">
        <x:v>Hide</x:v>
      </x:c>
      <x:c r="C162" s="4" t="str">
        <x:v>Broad descriptive candidate. Mixed, alternative and unresolved values preserve uncertainty.</x:v>
      </x:c>
    </x:row>
    <x:row r="163" ht="45" customHeight="1">
      <x:c r="A163" s="4" t="str">
        <x:v>Material family</x:v>
      </x:c>
      <x:c r="B163" s="4" t="str">
        <x:v>Husk fiber</x:v>
      </x:c>
      <x:c r="C163" s="4" t="str">
        <x:v>Broad descriptive candidate. Mixed, alternative and unresolved values preserve uncertainty.</x:v>
      </x:c>
    </x:row>
    <x:row r="164" ht="45" customHeight="1">
      <x:c r="A164" s="4" t="str">
        <x:v>Material family</x:v>
      </x:c>
      <x:c r="B164" s="4" t="str">
        <x:v>Husk fiber and shell</x:v>
      </x:c>
      <x:c r="C164" s="4" t="str">
        <x:v>Broad descriptive candidate. Mixed, alternative and unresolved values preserve uncertainty.</x:v>
      </x:c>
    </x:row>
    <x:row r="165" ht="45" customHeight="1">
      <x:c r="A165" s="4" t="str">
        <x:v>Material family</x:v>
      </x:c>
      <x:c r="B165" s="4" t="str">
        <x:v>Metal</x:v>
      </x:c>
      <x:c r="C165" s="4" t="str">
        <x:v>Broad descriptive candidate. Mixed, alternative and unresolved values preserve uncertainty.</x:v>
      </x:c>
    </x:row>
    <x:row r="166" ht="45" customHeight="1">
      <x:c r="A166" s="4" t="str">
        <x:v>Material family</x:v>
      </x:c>
      <x:c r="B166" s="4" t="str">
        <x:v>Metal and shell</x:v>
      </x:c>
      <x:c r="C166" s="4" t="str">
        <x:v>Broad descriptive candidate. Mixed, alternative and unresolved values preserve uncertainty.</x:v>
      </x:c>
    </x:row>
    <x:row r="167" ht="45" customHeight="1">
      <x:c r="A167" s="4" t="str">
        <x:v>Material family</x:v>
      </x:c>
      <x:c r="B167" s="4" t="str">
        <x:v>Metal or shell</x:v>
      </x:c>
      <x:c r="C167" s="4" t="str">
        <x:v>Broad descriptive candidate. Mixed, alternative and unresolved values preserve uncertainty.</x:v>
      </x:c>
    </x:row>
    <x:row r="168" ht="45" customHeight="1">
      <x:c r="A168" s="4" t="str">
        <x:v>Material family</x:v>
      </x:c>
      <x:c r="B168" s="4" t="str">
        <x:v>Mineral</x:v>
      </x:c>
      <x:c r="C168" s="4" t="str">
        <x:v>Broad descriptive candidate. Mixed, alternative and unresolved values preserve uncertainty.</x:v>
      </x:c>
    </x:row>
    <x:row r="169" ht="45" customHeight="1">
      <x:c r="A169" s="4" t="str">
        <x:v>Material family</x:v>
      </x:c>
      <x:c r="B169" s="4" t="str">
        <x:v>Mineral or shell</x:v>
      </x:c>
      <x:c r="C169" s="4" t="str">
        <x:v>Broad descriptive candidate. Mixed, alternative and unresolved values preserve uncertainty.</x:v>
      </x:c>
    </x:row>
    <x:row r="170" ht="45" customHeight="1">
      <x:c r="A170" s="4" t="str">
        <x:v>Material family</x:v>
      </x:c>
      <x:c r="B170" s="4" t="str">
        <x:v>Mixed / unresolved</x:v>
      </x:c>
      <x:c r="C170" s="4" t="str">
        <x:v>Broad descriptive candidate. Mixed, alternative and unresolved values preserve uncertainty.</x:v>
      </x:c>
    </x:row>
    <x:row r="171" ht="45" customHeight="1">
      <x:c r="A171" s="4" t="str">
        <x:v>Material family</x:v>
      </x:c>
      <x:c r="B171" s="4" t="str">
        <x:v>Phagia and edible fauna</x:v>
      </x:c>
      <x:c r="C171" s="4" t="str">
        <x:v>Broad descriptive candidate. Mixed, alternative and unresolved values preserve uncertainty.</x:v>
      </x:c>
    </x:row>
    <x:row r="172" ht="45" customHeight="1">
      <x:c r="A172" s="4" t="str">
        <x:v>Material family</x:v>
      </x:c>
      <x:c r="B172" s="4" t="str">
        <x:v>Phagia preparation</x:v>
      </x:c>
      <x:c r="C172" s="4" t="str">
        <x:v>Broad descriptive candidate. Mixed, alternative and unresolved values preserve uncertainty.</x:v>
      </x:c>
    </x:row>
    <x:row r="173" ht="45" customHeight="1">
      <x:c r="A173" s="4" t="str">
        <x:v>Material family</x:v>
      </x:c>
      <x:c r="B173" s="4" t="str">
        <x:v>Shell / chitin</x:v>
      </x:c>
      <x:c r="C173" s="4" t="str">
        <x:v>Broad descriptive candidate. Mixed, alternative and unresolved values preserve uncertainty.</x:v>
      </x:c>
    </x:row>
    <x:row r="174" ht="45" customHeight="1">
      <x:c r="A174" s="4" t="str">
        <x:v>Material family</x:v>
      </x:c>
      <x:c r="B174" s="4" t="str">
        <x:v>Shell and mineral</x:v>
      </x:c>
      <x:c r="C174" s="4" t="str">
        <x:v>Broad descriptive candidate. Mixed, alternative and unresolved values preserve uncertainty.</x:v>
      </x:c>
    </x:row>
    <x:row r="175" ht="45" customHeight="1">
      <x:c r="A175" s="4" t="str">
        <x:v>Material family</x:v>
      </x:c>
      <x:c r="B175" s="4" t="str">
        <x:v>Unresolved</x:v>
      </x:c>
      <x:c r="C175" s="4" t="str">
        <x:v>Broad descriptive candidate. Mixed, alternative and unresolved values preserve uncertainty.</x:v>
      </x:c>
    </x:row>
    <x:row r="176" ht="45" customHeight="1">
      <x:c r="A176" s="4" t="str">
        <x:v>Material family</x:v>
      </x:c>
      <x:c r="B176" s="4" t="str">
        <x:v>Wing membrane</x:v>
      </x:c>
      <x:c r="C176" s="4" t="str">
        <x:v>Broad descriptive candidate. Mixed, alternative and unresolved values preserve uncertainty.</x:v>
      </x:c>
    </x:row>
    <x:row r="177" ht="45" customHeight="1">
      <x:c r="A177" s="4" t="str">
        <x:v>Material family</x:v>
      </x:c>
      <x:c r="B177" s="4" t="str">
        <x:v>Wing membrane and frame</x:v>
      </x:c>
      <x:c r="C177" s="4" t="str">
        <x:v>Broad descriptive candidate. Mixed, alternative and unresolved values preserve uncertainty.</x:v>
      </x:c>
    </x:row>
    <x:row r="178" ht="45" customHeight="1">
      <x:c r="A178" s="4" t="str">
        <x:v>Physical form</x:v>
      </x:c>
      <x:c r="B178" s="4" t="str">
        <x:v>Assembly</x:v>
      </x:c>
      <x:c r="C178" s="4" t="str">
        <x:v>Catalog shape/state only; Unresolved avoids inventing a physical or chemical property.</x:v>
      </x:c>
    </x:row>
    <x:row r="179" ht="45" customHeight="1">
      <x:c r="A179" s="4" t="str">
        <x:v>Physical form</x:v>
      </x:c>
      <x:c r="B179" s="4" t="str">
        <x:v>Bundle</x:v>
      </x:c>
      <x:c r="C179" s="4" t="str">
        <x:v>Catalog shape/state only; Unresolved avoids inventing a physical or chemical property.</x:v>
      </x:c>
    </x:row>
    <x:row r="180" ht="45" customHeight="1">
      <x:c r="A180" s="4" t="str">
        <x:v>Physical form</x:v>
      </x:c>
      <x:c r="B180" s="4" t="str">
        <x:v>Cord</x:v>
      </x:c>
      <x:c r="C180" s="4" t="str">
        <x:v>Catalog shape/state only; Unresolved avoids inventing a physical or chemical property.</x:v>
      </x:c>
    </x:row>
    <x:row r="181" ht="45" customHeight="1">
      <x:c r="A181" s="4" t="str">
        <x:v>Physical form</x:v>
      </x:c>
      <x:c r="B181" s="4" t="str">
        <x:v>Fiber</x:v>
      </x:c>
      <x:c r="C181" s="4" t="str">
        <x:v>Catalog shape/state only; Unresolved avoids inventing a physical or chemical property.</x:v>
      </x:c>
    </x:row>
    <x:row r="182" ht="45" customHeight="1">
      <x:c r="A182" s="4" t="str">
        <x:v>Physical form</x:v>
      </x:c>
      <x:c r="B182" s="4" t="str">
        <x:v>Folio</x:v>
      </x:c>
      <x:c r="C182" s="4" t="str">
        <x:v>Catalog shape/state only; Unresolved avoids inventing a physical or chemical property.</x:v>
      </x:c>
    </x:row>
    <x:row r="183" ht="45" customHeight="1">
      <x:c r="A183" s="4" t="str">
        <x:v>Physical form</x:v>
      </x:c>
      <x:c r="B183" s="4" t="str">
        <x:v>Garment</x:v>
      </x:c>
      <x:c r="C183" s="4" t="str">
        <x:v>Catalog shape/state only; Unresolved avoids inventing a physical or chemical property.</x:v>
      </x:c>
    </x:row>
    <x:row r="184" ht="45" customHeight="1">
      <x:c r="A184" s="4" t="str">
        <x:v>Physical form</x:v>
      </x:c>
      <x:c r="B184" s="4" t="str">
        <x:v>Gel</x:v>
      </x:c>
      <x:c r="C184" s="4" t="str">
        <x:v>Catalog shape/state only; Unresolved avoids inventing a physical or chemical property.</x:v>
      </x:c>
    </x:row>
    <x:row r="185" ht="45" customHeight="1">
      <x:c r="A185" s="4" t="str">
        <x:v>Physical form</x:v>
      </x:c>
      <x:c r="B185" s="4" t="str">
        <x:v>Liquid</x:v>
      </x:c>
      <x:c r="C185" s="4" t="str">
        <x:v>Catalog shape/state only; Unresolved avoids inventing a physical or chemical property.</x:v>
      </x:c>
    </x:row>
    <x:row r="186" ht="45" customHeight="1">
      <x:c r="A186" s="4" t="str">
        <x:v>Physical form</x:v>
      </x:c>
      <x:c r="B186" s="4" t="str">
        <x:v>Membrane</x:v>
      </x:c>
      <x:c r="C186" s="4" t="str">
        <x:v>Catalog shape/state only; Unresolved avoids inventing a physical or chemical property.</x:v>
      </x:c>
    </x:row>
    <x:row r="187" ht="45" customHeight="1">
      <x:c r="A187" s="4" t="str">
        <x:v>Physical form</x:v>
      </x:c>
      <x:c r="B187" s="4" t="str">
        <x:v>Panel</x:v>
      </x:c>
      <x:c r="C187" s="4" t="str">
        <x:v>Catalog shape/state only; Unresolved avoids inventing a physical or chemical property.</x:v>
      </x:c>
    </x:row>
    <x:row r="188" ht="45" customHeight="1">
      <x:c r="A188" s="4" t="str">
        <x:v>Physical form</x:v>
      </x:c>
      <x:c r="B188" s="4" t="str">
        <x:v>Particles</x:v>
      </x:c>
      <x:c r="C188" s="4" t="str">
        <x:v>Catalog shape/state only; Unresolved avoids inventing a physical or chemical property.</x:v>
      </x:c>
    </x:row>
    <x:row r="189" ht="45" customHeight="1">
      <x:c r="A189" s="4" t="str">
        <x:v>Physical form</x:v>
      </x:c>
      <x:c r="B189" s="4" t="str">
        <x:v>Paste</x:v>
      </x:c>
      <x:c r="C189" s="4" t="str">
        <x:v>Catalog shape/state only; Unresolved avoids inventing a physical or chemical property.</x:v>
      </x:c>
    </x:row>
    <x:row r="190" ht="45" customHeight="1">
      <x:c r="A190" s="4" t="str">
        <x:v>Physical form</x:v>
      </x:c>
      <x:c r="B190" s="4" t="str">
        <x:v>Patch</x:v>
      </x:c>
      <x:c r="C190" s="4" t="str">
        <x:v>Catalog shape/state only; Unresolved avoids inventing a physical or chemical property.</x:v>
      </x:c>
    </x:row>
    <x:row r="191" ht="45" customHeight="1">
      <x:c r="A191" s="4" t="str">
        <x:v>Physical form</x:v>
      </x:c>
      <x:c r="B191" s="4" t="str">
        <x:v>Rock</x:v>
      </x:c>
      <x:c r="C191" s="4" t="str">
        <x:v>Catalog shape/state only; Unresolved avoids inventing a physical or chemical property.</x:v>
      </x:c>
    </x:row>
    <x:row r="192" ht="45" customHeight="1">
      <x:c r="A192" s="4" t="str">
        <x:v>Physical form</x:v>
      </x:c>
      <x:c r="B192" s="4" t="str">
        <x:v>Sheet</x:v>
      </x:c>
      <x:c r="C192" s="4" t="str">
        <x:v>Catalog shape/state only; Unresolved avoids inventing a physical or chemical property.</x:v>
      </x:c>
    </x:row>
    <x:row r="193" ht="45" customHeight="1">
      <x:c r="A193" s="4" t="str">
        <x:v>Physical form</x:v>
      </x:c>
      <x:c r="B193" s="4" t="str">
        <x:v>Shell plate</x:v>
      </x:c>
      <x:c r="C193" s="4" t="str">
        <x:v>Catalog shape/state only; Unresolved avoids inventing a physical or chemical property.</x:v>
      </x:c>
    </x:row>
    <x:row r="194" ht="45" customHeight="1">
      <x:c r="A194" s="4" t="str">
        <x:v>Physical form</x:v>
      </x:c>
      <x:c r="B194" s="4" t="str">
        <x:v>Solid part</x:v>
      </x:c>
      <x:c r="C194" s="4" t="str">
        <x:v>Catalog shape/state only; Unresolved avoids inventing a physical or chemical property.</x:v>
      </x:c>
    </x:row>
    <x:row r="195" ht="45" customHeight="1">
      <x:c r="A195" s="4" t="str">
        <x:v>Physical form</x:v>
      </x:c>
      <x:c r="B195" s="4" t="str">
        <x:v>Solid piece</x:v>
      </x:c>
      <x:c r="C195" s="4" t="str">
        <x:v>Catalog shape/state only; Unresolved avoids inventing a physical or chemical property.</x:v>
      </x:c>
    </x:row>
    <x:row r="196" ht="45" customHeight="1">
      <x:c r="A196" s="4" t="str">
        <x:v>Physical form</x:v>
      </x:c>
      <x:c r="B196" s="4" t="str">
        <x:v>Strip</x:v>
      </x:c>
      <x:c r="C196" s="4" t="str">
        <x:v>Catalog shape/state only; Unresolved avoids inventing a physical or chemical property.</x:v>
      </x:c>
    </x:row>
    <x:row r="197" ht="45" customHeight="1">
      <x:c r="A197" s="4" t="str">
        <x:v>Physical form</x:v>
      </x:c>
      <x:c r="B197" s="4" t="str">
        <x:v>Unresolved</x:v>
      </x:c>
      <x:c r="C197" s="4" t="str">
        <x:v>Catalog shape/state only; Unresolved avoids inventing a physical or chemical property.</x:v>
      </x:c>
    </x:row>
    <x:row r="198" ht="45" customHeight="1">
      <x:c r="A198" s="4" t="str">
        <x:v>Design status</x:v>
      </x:c>
      <x:c r="B198" s="4" t="str">
        <x:v>Author direction</x:v>
      </x:c>
      <x:c r="C198" s="4" t="str">
        <x:v>Existing definition means serialized data, not proof all intended uses work. Author direction, Proposal and Withheld assumption remain distinct.</x:v>
      </x:c>
    </x:row>
    <x:row r="199" ht="45" customHeight="1">
      <x:c r="A199" s="4" t="str">
        <x:v>Design status</x:v>
      </x:c>
      <x:c r="B199" s="4" t="str">
        <x:v>Existing definition</x:v>
      </x:c>
      <x:c r="C199" s="4" t="str">
        <x:v>Existing definition means serialized data, not proof all intended uses work. Author direction, Proposal and Withheld assumption remain distinct.</x:v>
      </x:c>
    </x:row>
    <x:row r="200" ht="45" customHeight="1">
      <x:c r="A200" s="4" t="str">
        <x:v>Design status</x:v>
      </x:c>
      <x:c r="B200" s="4" t="str">
        <x:v>Proposal</x:v>
      </x:c>
      <x:c r="C200" s="4" t="str">
        <x:v>Existing definition means serialized data, not proof all intended uses work. Author direction, Proposal and Withheld assumption remain distinct.</x:v>
      </x:c>
    </x:row>
    <x:row r="201" ht="45" customHeight="1">
      <x:c r="A201" s="4" t="str">
        <x:v>Design status</x:v>
      </x:c>
      <x:c r="B201" s="4" t="str">
        <x:v>Source proposal</x:v>
      </x:c>
      <x:c r="C201" s="4" t="str">
        <x:v>Existing definition means serialized data, not proof all intended uses work. Author direction, Proposal and Withheld assumption remain distinct.</x:v>
      </x:c>
    </x:row>
    <x:row r="202" ht="45" customHeight="1">
      <x:c r="A202" s="4" t="str">
        <x:v>Design status</x:v>
      </x:c>
      <x:c r="B202" s="4" t="str">
        <x:v>Withheld assumption</x:v>
      </x:c>
      <x:c r="C202" s="4" t="str">
        <x:v>Existing definition means serialized data, not proof all intended uses work. Author direction, Proposal and Withheld assumption remain distinct.</x:v>
      </x:c>
    </x:row>
    <x:row r="203" ht="45" customHeight="1">
      <x:c r="A203" s="4" t="str">
        <x:v>Material tier</x:v>
      </x:c>
      <x:c r="B203" s="4" t="str">
        <x:v>Finished item</x:v>
      </x:c>
      <x:c r="C203" s="4" t="str">
        <x:v>T0 raw entry feed; T1 first transformed stock; T2/T3/T4 successive chosen material refinements. Finished item is an endpoint, not a compulsory tier. Unassigned preserves unknown routes/ancient provenance. Tier is independent of rarity and craft quality.</x:v>
      </x:c>
    </x:row>
    <x:row r="204">
      <x:c r="A204" s="4" t="str">
        <x:v>Material tier</x:v>
      </x:c>
      <x:c r="B204" s="4" t="str">
        <x:v>T0</x:v>
      </x:c>
      <x:c r="C204" s="4" t="str">
        <x:v>T0 raw entry feed; T1 first transformed stock; T2/T3/T4 successive chosen material refinements. Finished item is an endpoint, not a compulsory tier. Unassigned preserves unknown routes/ancient provenance. Tier is independent of rarity and craft quality.</x:v>
      </x:c>
    </x:row>
    <x:row r="205">
      <x:c r="A205" s="4" t="str">
        <x:v>Material tier</x:v>
      </x:c>
      <x:c r="B205" s="4" t="str">
        <x:v>T1</x:v>
      </x:c>
      <x:c r="C205" s="4" t="str">
        <x:v>T0 raw entry feed; T1 first transformed stock; T2/T3/T4 successive chosen material refinements. Finished item is an endpoint, not a compulsory tier. Unassigned preserves unknown routes/ancient provenance. Tier is independent of rarity and craft quality.</x:v>
      </x:c>
    </x:row>
    <x:row r="206">
      <x:c r="A206" s="4" t="str">
        <x:v>Material tier</x:v>
      </x:c>
      <x:c r="B206" s="4" t="str">
        <x:v>T2</x:v>
      </x:c>
      <x:c r="C206" s="4" t="str">
        <x:v>T0 raw entry feed; T1 first transformed stock; T2/T3/T4 successive chosen material refinements. Finished item is an endpoint, not a compulsory tier. Unassigned preserves unknown routes/ancient provenance. Tier is independent of rarity and craft quality.</x:v>
      </x:c>
    </x:row>
    <x:row r="207">
      <x:c r="A207" s="4" t="str">
        <x:v>Material tier</x:v>
      </x:c>
      <x:c r="B207" s="4" t="str">
        <x:v>T3</x:v>
      </x:c>
      <x:c r="C207" s="4" t="str">
        <x:v>T0 raw entry feed; T1 first transformed stock; T2/T3/T4 successive chosen material refinements. Finished item is an endpoint, not a compulsory tier. Unassigned preserves unknown routes/ancient provenance. Tier is independent of rarity and craft quality.</x:v>
      </x:c>
    </x:row>
    <x:row r="208">
      <x:c r="A208" s="4" t="str">
        <x:v>Material tier</x:v>
      </x:c>
      <x:c r="B208" s="4" t="str">
        <x:v>T4</x:v>
      </x:c>
      <x:c r="C208" s="4" t="str">
        <x:v>T0 raw entry feed; T1 first transformed stock; T2/T3/T4 successive chosen material refinements. Finished item is an endpoint, not a compulsory tier. Unassigned preserves unknown routes/ancient provenance. Tier is independent of rarity and craft quality.</x:v>
      </x:c>
    </x:row>
    <x:row r="209">
      <x:c r="A209" s="4" t="str">
        <x:v>Material tier</x:v>
      </x:c>
      <x:c r="B209" s="4" t="str">
        <x:v>Unassigned</x:v>
      </x:c>
      <x:c r="C209" s="4" t="str">
        <x:v>T0 raw entry feed; T1 first transformed stock; T2/T3/T4 successive chosen material refinements. Finished item is an endpoint, not a compulsory tier. Unassigned preserves unknown routes/ancient provenance. Tier is independent of rarity and craft quality.</x:v>
      </x:c>
    </x:row>
  </x:sheetData>
  <x:pageMargins left="0.7" right="0.7" top="0.75" bottom="0.75" header="0.3" footer="0.3"/>
  <x:tableParts count="1">
    <x:tablePart xmlns:r="http://schemas.openxmlformats.org/officeDocument/2006/relationships" r:id="R736da4d4f5c84215"/>
  </x:tableParts>
</x:worksheet>
</file>

<file path=xl/worksheets/sheet13.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5" hidden="0" customWidth="1"/>
    <x:col min="2" max="2" width="30" hidden="0" customWidth="1"/>
    <x:col min="3" max="3" width="25" hidden="0" customWidth="1"/>
    <x:col min="4" max="4" width="15" hidden="0" customWidth="1"/>
    <x:col min="5" max="5" width="31" hidden="0" customWidth="1"/>
    <x:col min="6" max="6" width="65" hidden="0" customWidth="1"/>
  </x:cols>
  <x:sheetData>
    <x:row r="2">
      <x:c r="A2" s="2" t="str">
        <x:v>Find items by use</x:v>
      </x:c>
    </x:row>
    <x:row r="3">
      <x:c r="A3" t="str">
        <x:v>One item-use relationship per row. Filter Use across primary and secondary purposes. Linked labels follow master IDs.</x:v>
      </x:c>
    </x:row>
    <x:row r="5" ht="32" customHeight="1">
      <x:c r="A5" s="53" t="str">
        <x:v>Item ID</x:v>
      </x:c>
      <x:c r="B5" s="53" t="str">
        <x:v>Item name</x:v>
      </x:c>
      <x:c r="C5" s="53" t="str">
        <x:v>Category</x:v>
      </x:c>
      <x:c r="D5" s="53" t="str">
        <x:v>Use role</x:v>
      </x:c>
      <x:c r="E5" s="53" t="str">
        <x:v>Use</x:v>
      </x:c>
      <x:c r="F5" s="53" t="str">
        <x:v>Basis</x:v>
      </x:c>
    </x:row>
    <x:row r="6" ht="45" customHeight="1">
      <x:c r="A6" s="4" t="str">
        <x:v>lab.salvage.drive_assembly</x:v>
      </x:c>
      <x:c r="B6" s="4" t="str">
        <x:f>IFERROR(INDEX(Items!$B$6:$B$1005,MATCH(A6,Items!$A$6:$A$1005,0)),"MISSING ITEM ID")</x:f>
        <x:v>Drive Assembly</x:v>
      </x:c>
      <x:c r="C6" s="4" t="str">
        <x:f>IFERROR(INDEX(Items!$C$6:$C$1005,MATCH(A6,Items!$A$6:$A$1005,0)),"MISSING ITEM ID")</x:f>
        <x:v>Crafting components</x:v>
      </x:c>
      <x:c r="D6" s="4" t="str">
        <x:v>Primary</x:v>
      </x:c>
      <x:c r="E6" s="4" t="str">
        <x:f>IFERROR(INDEX(Items!$Z$6:$Z$1005,MATCH(A6,Items!$A$6:$A$1005,0)),"MISSING ITEM ID")</x:f>
        <x:v>Machinery repair</x:v>
      </x:c>
      <x:c r="F6" s="4" t="str">
        <x:v>Current item description. Catalog intent, not implemented actions.</x:v>
      </x:c>
    </x:row>
    <x:row r="7" ht="45" customHeight="1">
      <x:c r="A7" s="4" t="str">
        <x:v>lab.salvage.metal_plate</x:v>
      </x:c>
      <x:c r="B7" s="4" t="str">
        <x:f>IFERROR(INDEX(Items!$B$6:$B$1005,MATCH(A7,Items!$A$6:$A$1005,0)),"MISSING ITEM ID")</x:f>
        <x:v>Metal Plate</x:v>
      </x:c>
      <x:c r="C7" s="4" t="str">
        <x:f>IFERROR(INDEX(Items!$C$6:$C$1005,MATCH(A7,Items!$A$6:$A$1005,0)),"MISSING ITEM ID")</x:f>
        <x:v>Crafting components</x:v>
      </x:c>
      <x:c r="D7" s="4" t="str">
        <x:v>Primary</x:v>
      </x:c>
      <x:c r="E7" s="4" t="str">
        <x:f>IFERROR(INDEX(Items!$Z$6:$Z$1005,MATCH(A7,Items!$A$6:$A$1005,0)),"MISSING ITEM ID")</x:f>
        <x:v>Fabrication</x:v>
      </x:c>
      <x:c r="F7" s="4" t="str">
        <x:v>Current item description. Catalog intent, not implemented actions.</x:v>
      </x:c>
    </x:row>
    <x:row r="8" ht="45" customHeight="1">
      <x:c r="A8" s="4" t="str">
        <x:v>lab.salvage.wire_bundle</x:v>
      </x:c>
      <x:c r="B8" s="4" t="str">
        <x:f>IFERROR(INDEX(Items!$B$6:$B$1005,MATCH(A8,Items!$A$6:$A$1005,0)),"MISSING ITEM ID")</x:f>
        <x:v>Wire Bundle</x:v>
      </x:c>
      <x:c r="C8" s="4" t="str">
        <x:f>IFERROR(INDEX(Items!$C$6:$C$1005,MATCH(A8,Items!$A$6:$A$1005,0)),"MISSING ITEM ID")</x:f>
        <x:v>Crafting components</x:v>
      </x:c>
      <x:c r="D8" s="4" t="str">
        <x:v>Primary</x:v>
      </x:c>
      <x:c r="E8" s="4" t="str">
        <x:f>IFERROR(INDEX(Items!$Z$6:$Z$1005,MATCH(A8,Items!$A$6:$A$1005,0)),"MISSING ITEM ID")</x:f>
        <x:v>Electrical work</x:v>
      </x:c>
      <x:c r="F8" s="4" t="str">
        <x:v>Current item description. Catalog intent, not implemented actions.</x:v>
      </x:c>
    </x:row>
    <x:row r="9" ht="45" customHeight="1">
      <x:c r="A9" s="4" t="str">
        <x:v>equipment.algae_canister</x:v>
      </x:c>
      <x:c r="B9" s="4" t="str">
        <x:f>IFERROR(INDEX(Items!$B$6:$B$1005,MATCH(A9,Items!$A$6:$A$1005,0)),"MISSING ITEM ID")</x:f>
        <x:v>Algae canister</x:v>
      </x:c>
      <x:c r="C9" s="4" t="str">
        <x:f>IFERROR(INDEX(Items!$C$6:$C$1005,MATCH(A9,Items!$A$6:$A$1005,0)),"MISSING ITEM ID")</x:f>
        <x:v>Equipment</x:v>
      </x:c>
      <x:c r="D9" s="4" t="str">
        <x:v>Primary</x:v>
      </x:c>
      <x:c r="E9" s="4" t="str">
        <x:f>IFERROR(INDEX(Items!$Z$6:$Z$1005,MATCH(A9,Items!$A$6:$A$1005,0)),"MISSING ITEM ID")</x:f>
        <x:v>Survival provision</x:v>
      </x:c>
      <x:c r="F9" s="4" t="str">
        <x:v>Current item description. Catalog intent, not implemented actions.</x:v>
      </x:c>
    </x:row>
    <x:row r="10" ht="45" customHeight="1">
      <x:c r="A10" s="4" t="str">
        <x:v>equipment.algae_canister</x:v>
      </x:c>
      <x:c r="B10" s="4" t="str">
        <x:f>IFERROR(INDEX(Items!$B$6:$B$1005,MATCH(A10,Items!$A$6:$A$1005,0)),"MISSING ITEM ID")</x:f>
        <x:v>Algae canister</x:v>
      </x:c>
      <x:c r="C10" s="4" t="str">
        <x:f>IFERROR(INDEX(Items!$C$6:$C$1005,MATCH(A10,Items!$A$6:$A$1005,0)),"MISSING ITEM ID")</x:f>
        <x:v>Equipment</x:v>
      </x:c>
      <x:c r="D10" s="4" t="str">
        <x:v>Secondary</x:v>
      </x:c>
      <x:c r="E10" s="4" t="str">
        <x:v>Injury treatment</x:v>
      </x:c>
      <x:c r="F10" s="4" t="str">
        <x:v>Current item description. Catalog intent, not implemented actions.</x:v>
      </x:c>
    </x:row>
    <x:row r="11" ht="45" customHeight="1">
      <x:c r="A11" s="4" t="str">
        <x:v>equipment.cloak</x:v>
      </x:c>
      <x:c r="B11" s="4" t="str">
        <x:f>IFERROR(INDEX(Items!$B$6:$B$1005,MATCH(A11,Items!$A$6:$A$1005,0)),"MISSING ITEM ID")</x:f>
        <x:v>Cloak</x:v>
      </x:c>
      <x:c r="C11" s="4" t="str">
        <x:f>IFERROR(INDEX(Items!$C$6:$C$1005,MATCH(A11,Items!$A$6:$A$1005,0)),"MISSING ITEM ID")</x:f>
        <x:v>Equipment</x:v>
      </x:c>
      <x:c r="D11" s="4" t="str">
        <x:v>Primary</x:v>
      </x:c>
      <x:c r="E11" s="4" t="str">
        <x:f>IFERROR(INDEX(Items!$Z$6:$Z$1005,MATCH(A11,Items!$A$6:$A$1005,0)),"MISSING ITEM ID")</x:f>
        <x:v>Clothing</x:v>
      </x:c>
      <x:c r="F11" s="4" t="str">
        <x:v>Current item description. Catalog intent, not implemented actions.</x:v>
      </x:c>
    </x:row>
    <x:row r="12" ht="45" customHeight="1">
      <x:c r="A12" s="4" t="str">
        <x:v>equipment.cloak</x:v>
      </x:c>
      <x:c r="B12" s="4" t="str">
        <x:f>IFERROR(INDEX(Items!$B$6:$B$1005,MATCH(A12,Items!$A$6:$A$1005,0)),"MISSING ITEM ID")</x:f>
        <x:v>Cloak</x:v>
      </x:c>
      <x:c r="C12" s="4" t="str">
        <x:f>IFERROR(INDEX(Items!$C$6:$C$1005,MATCH(A12,Items!$A$6:$A$1005,0)),"MISSING ITEM ID")</x:f>
        <x:v>Equipment</x:v>
      </x:c>
      <x:c r="D12" s="4" t="str">
        <x:v>Secondary</x:v>
      </x:c>
      <x:c r="E12" s="4" t="str">
        <x:v>Camp rest</x:v>
      </x:c>
      <x:c r="F12" s="4" t="str">
        <x:v>Current item description. Catalog intent, not implemented actions.</x:v>
      </x:c>
    </x:row>
    <x:row r="13" ht="45" customHeight="1">
      <x:c r="A13" s="4" t="str">
        <x:v>equipment.digging_tool</x:v>
      </x:c>
      <x:c r="B13" s="4" t="str">
        <x:f>IFERROR(INDEX(Items!$B$6:$B$1005,MATCH(A13,Items!$A$6:$A$1005,0)),"MISSING ITEM ID")</x:f>
        <x:v>Digging shovel axe</x:v>
      </x:c>
      <x:c r="C13" s="4" t="str">
        <x:f>IFERROR(INDEX(Items!$C$6:$C$1005,MATCH(A13,Items!$A$6:$A$1005,0)),"MISSING ITEM ID")</x:f>
        <x:v>Equipment</x:v>
      </x:c>
      <x:c r="D13" s="4" t="str">
        <x:v>Primary</x:v>
      </x:c>
      <x:c r="E13" s="4" t="str">
        <x:f>IFERROR(INDEX(Items!$Z$6:$Z$1005,MATCH(A13,Items!$A$6:$A$1005,0)),"MISSING ITEM ID")</x:f>
        <x:v>Excavation</x:v>
      </x:c>
      <x:c r="F13" s="4" t="str">
        <x:v>Current item description. Catalog intent, not implemented actions.</x:v>
      </x:c>
    </x:row>
    <x:row r="14" ht="45" customHeight="1">
      <x:c r="A14" s="4" t="str">
        <x:v>tool.micro_dust_harvester</x:v>
      </x:c>
      <x:c r="B14" s="4" t="str">
        <x:f>IFERROR(INDEX(Items!$B$6:$B$1005,MATCH(A14,Items!$A$6:$A$1005,0)),"MISSING ITEM ID")</x:f>
        <x:v>Dust canister</x:v>
      </x:c>
      <x:c r="C14" s="4" t="str">
        <x:f>IFERROR(INDEX(Items!$C$6:$C$1005,MATCH(A14,Items!$A$6:$A$1005,0)),"MISSING ITEM ID")</x:f>
        <x:v>Equipment</x:v>
      </x:c>
      <x:c r="D14" s="4" t="str">
        <x:v>Primary</x:v>
      </x:c>
      <x:c r="E14" s="4" t="str">
        <x:f>IFERROR(INDEX(Items!$Z$6:$Z$1005,MATCH(A14,Items!$A$6:$A$1005,0)),"MISSING ITEM ID")</x:f>
        <x:v>Resource collection</x:v>
      </x:c>
      <x:c r="F14" s="4" t="str">
        <x:v>Current item description. Catalog intent, not implemented actions.</x:v>
      </x:c>
    </x:row>
    <x:row r="15" ht="45" customHeight="1">
      <x:c r="A15" s="4" t="str">
        <x:v>equipment.grappling_hook</x:v>
      </x:c>
      <x:c r="B15" s="4" t="str">
        <x:f>IFERROR(INDEX(Items!$B$6:$B$1005,MATCH(A15,Items!$A$6:$A$1005,0)),"MISSING ITEM ID")</x:f>
        <x:v>Grappling hook</x:v>
      </x:c>
      <x:c r="C15" s="4" t="str">
        <x:f>IFERROR(INDEX(Items!$C$6:$C$1005,MATCH(A15,Items!$A$6:$A$1005,0)),"MISSING ITEM ID")</x:f>
        <x:v>Equipment</x:v>
      </x:c>
      <x:c r="D15" s="4" t="str">
        <x:v>Primary</x:v>
      </x:c>
      <x:c r="E15" s="4" t="str">
        <x:f>IFERROR(INDEX(Items!$Z$6:$Z$1005,MATCH(A15,Items!$A$6:$A$1005,0)),"MISSING ITEM ID")</x:f>
        <x:v>Traversal</x:v>
      </x:c>
      <x:c r="F15" s="4" t="str">
        <x:v>Current item description. Catalog intent, not implemented actions.</x:v>
      </x:c>
    </x:row>
    <x:row r="16" ht="45" customHeight="1">
      <x:c r="A16" s="4" t="str">
        <x:v>equipment.jacket</x:v>
      </x:c>
      <x:c r="B16" s="4" t="str">
        <x:f>IFERROR(INDEX(Items!$B$6:$B$1005,MATCH(A16,Items!$A$6:$A$1005,0)),"MISSING ITEM ID")</x:f>
        <x:v>Jacket</x:v>
      </x:c>
      <x:c r="C16" s="4" t="str">
        <x:f>IFERROR(INDEX(Items!$C$6:$C$1005,MATCH(A16,Items!$A$6:$A$1005,0)),"MISSING ITEM ID")</x:f>
        <x:v>Equipment</x:v>
      </x:c>
      <x:c r="D16" s="4" t="str">
        <x:v>Primary</x:v>
      </x:c>
      <x:c r="E16" s="4" t="str">
        <x:f>IFERROR(INDEX(Items!$Z$6:$Z$1005,MATCH(A16,Items!$A$6:$A$1005,0)),"MISSING ITEM ID")</x:f>
        <x:v>Clothing</x:v>
      </x:c>
      <x:c r="F16" s="4" t="str">
        <x:v>Current item description. Catalog intent, not implemented actions.</x:v>
      </x:c>
    </x:row>
    <x:row r="17" ht="45" customHeight="1">
      <x:c r="A17" s="4" t="str">
        <x:v>equipment.arc_battery_charged</x:v>
      </x:c>
      <x:c r="B17" s="4" t="str">
        <x:f>IFERROR(INDEX(Items!$B$6:$B$1005,MATCH(A17,Items!$A$6:$A$1005,0)),"MISSING ITEM ID")</x:f>
        <x:v>Charged Arc Battery</x:v>
      </x:c>
      <x:c r="C17" s="4" t="str">
        <x:f>IFERROR(INDEX(Items!$C$6:$C$1005,MATCH(A17,Items!$A$6:$A$1005,0)),"MISSING ITEM ID")</x:f>
        <x:v>Field supplies</x:v>
      </x:c>
      <x:c r="D17" s="4" t="str">
        <x:v>Primary</x:v>
      </x:c>
      <x:c r="E17" s="4" t="str">
        <x:f>IFERROR(INDEX(Items!$Z$6:$Z$1005,MATCH(A17,Items!$A$6:$A$1005,0)),"MISSING ITEM ID")</x:f>
        <x:v>Energy storage</x:v>
      </x:c>
      <x:c r="F17" s="4" t="str">
        <x:v>Current item description. Catalog intent, not implemented actions.</x:v>
      </x:c>
    </x:row>
    <x:row r="18" ht="45" customHeight="1">
      <x:c r="A18" s="4" t="str">
        <x:v>equipment.arc_battery_empty</x:v>
      </x:c>
      <x:c r="B18" s="4" t="str">
        <x:f>IFERROR(INDEX(Items!$B$6:$B$1005,MATCH(A18,Items!$A$6:$A$1005,0)),"MISSING ITEM ID")</x:f>
        <x:v>Empty Arc Battery</x:v>
      </x:c>
      <x:c r="C18" s="4" t="str">
        <x:f>IFERROR(INDEX(Items!$C$6:$C$1005,MATCH(A18,Items!$A$6:$A$1005,0)),"MISSING ITEM ID")</x:f>
        <x:v>Field supplies</x:v>
      </x:c>
      <x:c r="D18" s="4" t="str">
        <x:v>Primary</x:v>
      </x:c>
      <x:c r="E18" s="4" t="str">
        <x:f>IFERROR(INDEX(Items!$Z$6:$Z$1005,MATCH(A18,Items!$A$6:$A$1005,0)),"MISSING ITEM ID")</x:f>
        <x:v>Energy storage</x:v>
      </x:c>
      <x:c r="F18" s="4" t="str">
        <x:v>Current item description. Catalog intent, not implemented actions.</x:v>
      </x:c>
    </x:row>
    <x:row r="19" ht="45" customHeight="1">
      <x:c r="A19" s="4" t="str">
        <x:v>equipment.arc_battery_empty</x:v>
      </x:c>
      <x:c r="B19" s="4" t="str">
        <x:f>IFERROR(INDEX(Items!$B$6:$B$1005,MATCH(A19,Items!$A$6:$A$1005,0)),"MISSING ITEM ID")</x:f>
        <x:v>Empty Arc Battery</x:v>
      </x:c>
      <x:c r="C19" s="4" t="str">
        <x:f>IFERROR(INDEX(Items!$C$6:$C$1005,MATCH(A19,Items!$A$6:$A$1005,0)),"MISSING ITEM ID")</x:f>
        <x:v>Field supplies</x:v>
      </x:c>
      <x:c r="D19" s="4" t="str">
        <x:v>Secondary</x:v>
      </x:c>
      <x:c r="E19" s="4" t="str">
        <x:v>Energy processing</x:v>
      </x:c>
      <x:c r="F19" s="4" t="str">
        <x:v>Current item description. Catalog intent, not implemented actions.</x:v>
      </x:c>
    </x:row>
    <x:row r="20" ht="45" customHeight="1">
      <x:c r="A20" s="4" t="str">
        <x:v>tool.popup_camp</x:v>
      </x:c>
      <x:c r="B20" s="4" t="str">
        <x:f>IFERROR(INDEX(Items!$B$6:$B$1005,MATCH(A20,Items!$A$6:$A$1005,0)),"MISSING ITEM ID")</x:f>
        <x:v>Pop-up camp</x:v>
      </x:c>
      <x:c r="C20" s="4" t="str">
        <x:f>IFERROR(INDEX(Items!$C$6:$C$1005,MATCH(A20,Items!$A$6:$A$1005,0)),"MISSING ITEM ID")</x:f>
        <x:v>Field supplies</x:v>
      </x:c>
      <x:c r="D20" s="4" t="str">
        <x:v>Primary</x:v>
      </x:c>
      <x:c r="E20" s="4" t="str">
        <x:f>IFERROR(INDEX(Items!$Z$6:$Z$1005,MATCH(A20,Items!$A$6:$A$1005,0)),"MISSING ITEM ID")</x:f>
        <x:v>Camp rest</x:v>
      </x:c>
      <x:c r="F20" s="4" t="str">
        <x:v>Current item description. Catalog intent, not implemented actions.</x:v>
      </x:c>
    </x:row>
    <x:row r="21" ht="45" customHeight="1">
      <x:c r="A21" s="4" t="str">
        <x:v>tool.popup_camp</x:v>
      </x:c>
      <x:c r="B21" s="4" t="str">
        <x:f>IFERROR(INDEX(Items!$B$6:$B$1005,MATCH(A21,Items!$A$6:$A$1005,0)),"MISSING ITEM ID")</x:f>
        <x:v>Pop-up camp</x:v>
      </x:c>
      <x:c r="C21" s="4" t="str">
        <x:f>IFERROR(INDEX(Items!$C$6:$C$1005,MATCH(A21,Items!$A$6:$A$1005,0)),"MISSING ITEM ID")</x:f>
        <x:v>Field supplies</x:v>
      </x:c>
      <x:c r="D21" s="4" t="str">
        <x:v>Secondary</x:v>
      </x:c>
      <x:c r="E21" s="4" t="str">
        <x:v>Sun shading</x:v>
      </x:c>
      <x:c r="F21" s="4" t="str">
        <x:v>Current item description. Catalog intent, not implemented actions.</x:v>
      </x:c>
    </x:row>
    <x:row r="22" ht="45" customHeight="1">
      <x:c r="A22" s="4" t="str">
        <x:v>resource.airborne_dust</x:v>
      </x:c>
      <x:c r="B22" s="4" t="str">
        <x:f>IFERROR(INDEX(Items!$B$6:$B$1005,MATCH(A22,Items!$A$6:$A$1005,0)),"MISSING ITEM ID")</x:f>
        <x:v>Airborne Dust</x:v>
      </x:c>
      <x:c r="C22" s="4" t="str">
        <x:f>IFERROR(INDEX(Items!$C$6:$C$1005,MATCH(A22,Items!$A$6:$A$1005,0)),"MISSING ITEM ID")</x:f>
        <x:v>Resources</x:v>
      </x:c>
      <x:c r="D22" s="4" t="str">
        <x:v>Primary</x:v>
      </x:c>
      <x:c r="E22" s="4" t="str">
        <x:f>IFERROR(INDEX(Items!$Z$6:$Z$1005,MATCH(A22,Items!$A$6:$A$1005,0)),"MISSING ITEM ID")</x:f>
        <x:v>Energy processing</x:v>
      </x:c>
      <x:c r="F22" s="4" t="str">
        <x:v>Current item description. Catalog intent, not implemented actions.</x:v>
      </x:c>
    </x:row>
    <x:row r="23" ht="45" customHeight="1">
      <x:c r="A23" s="4" t="str">
        <x:v>lab.ironstone.aggregate</x:v>
      </x:c>
      <x:c r="B23" s="4" t="str">
        <x:f>IFERROR(INDEX(Items!$B$6:$B$1005,MATCH(A23,Items!$A$6:$A$1005,0)),"MISSING ITEM ID")</x:f>
        <x:v>Coarse Aggregate</x:v>
      </x:c>
      <x:c r="C23" s="4" t="str">
        <x:f>IFERROR(INDEX(Items!$C$6:$C$1005,MATCH(A23,Items!$A$6:$A$1005,0)),"MISSING ITEM ID")</x:f>
        <x:v>Resources</x:v>
      </x:c>
      <x:c r="D23" s="4" t="str">
        <x:v>Primary</x:v>
      </x:c>
      <x:c r="E23" s="4" t="str">
        <x:f>IFERROR(INDEX(Items!$Z$6:$Z$1005,MATCH(A23,Items!$A$6:$A$1005,0)),"MISSING ITEM ID")</x:f>
        <x:v>Use unresolved</x:v>
      </x:c>
      <x:c r="F23" s="4" t="str">
        <x:v>Current item description. Catalog intent, not implemented actions.</x:v>
      </x:c>
    </x:row>
    <x:row r="24" ht="45" customHeight="1">
      <x:c r="A24" s="4" t="str">
        <x:v>lab.ironstone.concentrate</x:v>
      </x:c>
      <x:c r="B24" s="4" t="str">
        <x:f>IFERROR(INDEX(Items!$B$6:$B$1005,MATCH(A24,Items!$A$6:$A$1005,0)),"MISSING ITEM ID")</x:f>
        <x:v>Iron-rich Concentrate</x:v>
      </x:c>
      <x:c r="C24" s="4" t="str">
        <x:f>IFERROR(INDEX(Items!$C$6:$C$1005,MATCH(A24,Items!$A$6:$A$1005,0)),"MISSING ITEM ID")</x:f>
        <x:v>Resources</x:v>
      </x:c>
      <x:c r="D24" s="4" t="str">
        <x:v>Primary</x:v>
      </x:c>
      <x:c r="E24" s="4" t="str">
        <x:f>IFERROR(INDEX(Items!$Z$6:$Z$1005,MATCH(A24,Items!$A$6:$A$1005,0)),"MISSING ITEM ID")</x:f>
        <x:v>Metal refining</x:v>
      </x:c>
      <x:c r="F24" s="4" t="str">
        <x:v>Current item description. Catalog intent, not implemented actions.</x:v>
      </x:c>
    </x:row>
    <x:row r="25" ht="45" customHeight="1">
      <x:c r="A25" s="4" t="str">
        <x:v>resource.ironstone_ore</x:v>
      </x:c>
      <x:c r="B25" s="4" t="str">
        <x:f>IFERROR(INDEX(Items!$B$6:$B$1005,MATCH(A25,Items!$A$6:$A$1005,0)),"MISSING ITEM ID")</x:f>
        <x:v>Ironstone Ore</x:v>
      </x:c>
      <x:c r="C25" s="4" t="str">
        <x:f>IFERROR(INDEX(Items!$C$6:$C$1005,MATCH(A25,Items!$A$6:$A$1005,0)),"MISSING ITEM ID")</x:f>
        <x:v>Resources</x:v>
      </x:c>
      <x:c r="D25" s="4" t="str">
        <x:v>Primary</x:v>
      </x:c>
      <x:c r="E25" s="4" t="str">
        <x:f>IFERROR(INDEX(Items!$Z$6:$Z$1005,MATCH(A25,Items!$A$6:$A$1005,0)),"MISSING ITEM ID")</x:f>
        <x:v>Metal refining</x:v>
      </x:c>
      <x:c r="F25" s="4" t="str">
        <x:v>Current item description. Catalog intent, not implemented actions.</x:v>
      </x:c>
    </x:row>
    <x:row r="26" ht="45" customHeight="1">
      <x:c r="A26" s="4" t="str">
        <x:v>resource.ironstone_ore</x:v>
      </x:c>
      <x:c r="B26" s="4" t="str">
        <x:f>IFERROR(INDEX(Items!$B$6:$B$1005,MATCH(A26,Items!$A$6:$A$1005,0)),"MISSING ITEM ID")</x:f>
        <x:v>Ironstone Ore</x:v>
      </x:c>
      <x:c r="C26" s="4" t="str">
        <x:f>IFERROR(INDEX(Items!$C$6:$C$1005,MATCH(A26,Items!$A$6:$A$1005,0)),"MISSING ITEM ID")</x:f>
        <x:v>Resources</x:v>
      </x:c>
      <x:c r="D26" s="4" t="str">
        <x:v>Secondary</x:v>
      </x:c>
      <x:c r="E26" s="4" t="str">
        <x:v>Fabrication</x:v>
      </x:c>
      <x:c r="F26" s="4" t="str">
        <x:v>Current item description. Catalog intent, not implemented actions.</x:v>
      </x:c>
    </x:row>
    <x:row r="27" ht="45" customHeight="1">
      <x:c r="A27" s="4" t="str">
        <x:v>lab.ironstone.mineral_dust</x:v>
      </x:c>
      <x:c r="B27" s="4" t="str">
        <x:f>IFERROR(INDEX(Items!$B$6:$B$1005,MATCH(A27,Items!$A$6:$A$1005,0)),"MISSING ITEM ID")</x:f>
        <x:v>Mineral Dust</x:v>
      </x:c>
      <x:c r="C27" s="4" t="str">
        <x:f>IFERROR(INDEX(Items!$C$6:$C$1005,MATCH(A27,Items!$A$6:$A$1005,0)),"MISSING ITEM ID")</x:f>
        <x:v>Resources</x:v>
      </x:c>
      <x:c r="D27" s="4" t="str">
        <x:v>Primary</x:v>
      </x:c>
      <x:c r="E27" s="4" t="str">
        <x:f>IFERROR(INDEX(Items!$Z$6:$Z$1005,MATCH(A27,Items!$A$6:$A$1005,0)),"MISSING ITEM ID")</x:f>
        <x:v>Use unresolved</x:v>
      </x:c>
      <x:c r="F27" s="4" t="str">
        <x:v>Current item description. Catalog intent, not implemented actions.</x:v>
      </x:c>
    </x:row>
    <x:row r="28" ht="45" customHeight="1">
      <x:c r="A28" s="4" t="str">
        <x:v>lab.ironstone.sand</x:v>
      </x:c>
      <x:c r="B28" s="4" t="str">
        <x:f>IFERROR(INDEX(Items!$B$6:$B$1005,MATCH(A28,Items!$A$6:$A$1005,0)),"MISSING ITEM ID")</x:f>
        <x:v>Mineral Sand</x:v>
      </x:c>
      <x:c r="C28" s="4" t="str">
        <x:f>IFERROR(INDEX(Items!$C$6:$C$1005,MATCH(A28,Items!$A$6:$A$1005,0)),"MISSING ITEM ID")</x:f>
        <x:v>Resources</x:v>
      </x:c>
      <x:c r="D28" s="4" t="str">
        <x:v>Primary</x:v>
      </x:c>
      <x:c r="E28" s="4" t="str">
        <x:f>IFERROR(INDEX(Items!$Z$6:$Z$1005,MATCH(A28,Items!$A$6:$A$1005,0)),"MISSING ITEM ID")</x:f>
        <x:v>Use unresolved</x:v>
      </x:c>
      <x:c r="F28" s="4" t="str">
        <x:v>Current item description. Catalog intent, not implemented actions.</x:v>
      </x:c>
    </x:row>
    <x:row r="29" ht="45" customHeight="1">
      <x:c r="A29" s="4" t="str">
        <x:v>proposal.gear.magnets</x:v>
      </x:c>
      <x:c r="B29" s="4" t="str">
        <x:f>IFERROR(INDEX(Items!$B$6:$B$1005,MATCH(A29,Items!$A$6:$A$1005,0)),"MISSING ITEM ID")</x:f>
        <x:v>Field magnets</x:v>
      </x:c>
      <x:c r="C29" s="4" t="str">
        <x:f>IFERROR(INDEX(Items!$C$6:$C$1005,MATCH(A29,Items!$A$6:$A$1005,0)),"MISSING ITEM ID")</x:f>
        <x:v>Equipment</x:v>
      </x:c>
      <x:c r="D29" s="4" t="str">
        <x:v>Primary</x:v>
      </x:c>
      <x:c r="E29" s="4" t="str">
        <x:f>IFERROR(INDEX(Items!$Z$6:$Z$1005,MATCH(A29,Items!$A$6:$A$1005,0)),"MISSING ITEM ID")</x:f>
        <x:v>Resource collection</x:v>
      </x:c>
      <x:c r="F29" s="4" t="str">
        <x:v>Current item description. Catalog intent, not implemented actions.</x:v>
      </x:c>
    </x:row>
    <x:row r="30" ht="45" customHeight="1">
      <x:c r="A30" s="4" t="str">
        <x:v>proposal.gear.magnets</x:v>
      </x:c>
      <x:c r="B30" s="4" t="str">
        <x:f>IFERROR(INDEX(Items!$B$6:$B$1005,MATCH(A30,Items!$A$6:$A$1005,0)),"MISSING ITEM ID")</x:f>
        <x:v>Field magnets</x:v>
      </x:c>
      <x:c r="C30" s="4" t="str">
        <x:f>IFERROR(INDEX(Items!$C$6:$C$1005,MATCH(A30,Items!$A$6:$A$1005,0)),"MISSING ITEM ID")</x:f>
        <x:v>Equipment</x:v>
      </x:c>
      <x:c r="D30" s="4" t="str">
        <x:v>Secondary</x:v>
      </x:c>
      <x:c r="E30" s="4" t="str">
        <x:v>Work holding</x:v>
      </x:c>
      <x:c r="F30" s="4" t="str">
        <x:v>Current item description. Catalog intent, not implemented actions.</x:v>
      </x:c>
    </x:row>
    <x:row r="31" ht="45" customHeight="1">
      <x:c r="A31" s="4" t="str">
        <x:v>proposal.gear.grounding_kit</x:v>
      </x:c>
      <x:c r="B31" s="4" t="str">
        <x:f>IFERROR(INDEX(Items!$B$6:$B$1005,MATCH(A31,Items!$A$6:$A$1005,0)),"MISSING ITEM ID")</x:f>
        <x:v>Static grounding kit</x:v>
      </x:c>
      <x:c r="C31" s="4" t="str">
        <x:f>IFERROR(INDEX(Items!$C$6:$C$1005,MATCH(A31,Items!$A$6:$A$1005,0)),"MISSING ITEM ID")</x:f>
        <x:v>Equipment</x:v>
      </x:c>
      <x:c r="D31" s="4" t="str">
        <x:v>Primary</x:v>
      </x:c>
      <x:c r="E31" s="4" t="str">
        <x:f>IFERROR(INDEX(Items!$Z$6:$Z$1005,MATCH(A31,Items!$A$6:$A$1005,0)),"MISSING ITEM ID")</x:f>
        <x:v>Static management</x:v>
      </x:c>
      <x:c r="F31" s="4" t="str">
        <x:v>Current item description. Catalog intent, not implemented actions.</x:v>
      </x:c>
    </x:row>
    <x:row r="32" ht="45" customHeight="1">
      <x:c r="A32" s="4" t="str">
        <x:v>proposal.natural.magnetite</x:v>
      </x:c>
      <x:c r="B32" s="4" t="str">
        <x:f>IFERROR(INDEX(Items!$B$6:$B$1005,MATCH(A32,Items!$A$6:$A$1005,0)),"MISSING ITEM ID")</x:f>
        <x:v>Magnetite-rich stone</x:v>
      </x:c>
      <x:c r="C32" s="4" t="str">
        <x:f>IFERROR(INDEX(Items!$C$6:$C$1005,MATCH(A32,Items!$A$6:$A$1005,0)),"MISSING ITEM ID")</x:f>
        <x:v>Resources</x:v>
      </x:c>
      <x:c r="D32" s="4" t="str">
        <x:v>Primary</x:v>
      </x:c>
      <x:c r="E32" s="4" t="str">
        <x:f>IFERROR(INDEX(Items!$Z$6:$Z$1005,MATCH(A32,Items!$A$6:$A$1005,0)),"MISSING ITEM ID")</x:f>
        <x:v>Metal refining</x:v>
      </x:c>
      <x:c r="F32" s="4" t="str">
        <x:v>Current item description. Catalog intent, not implemented actions.</x:v>
      </x:c>
    </x:row>
    <x:row r="33" ht="45" customHeight="1">
      <x:c r="A33" s="4" t="str">
        <x:v>proposal.natural.magnetite</x:v>
      </x:c>
      <x:c r="B33" s="4" t="str">
        <x:f>IFERROR(INDEX(Items!$B$6:$B$1005,MATCH(A33,Items!$A$6:$A$1005,0)),"MISSING ITEM ID")</x:f>
        <x:v>Magnetite-rich stone</x:v>
      </x:c>
      <x:c r="C33" s="4" t="str">
        <x:f>IFERROR(INDEX(Items!$C$6:$C$1005,MATCH(A33,Items!$A$6:$A$1005,0)),"MISSING ITEM ID")</x:f>
        <x:v>Resources</x:v>
      </x:c>
      <x:c r="D33" s="4" t="str">
        <x:v>Secondary</x:v>
      </x:c>
      <x:c r="E33" s="4" t="str">
        <x:v>Magnetic tools</x:v>
      </x:c>
      <x:c r="F33" s="4" t="str">
        <x:v>Current item description. Catalog intent, not implemented actions.</x:v>
      </x:c>
    </x:row>
    <x:row r="34" ht="45" customHeight="1">
      <x:c r="A34" s="4" t="str">
        <x:v>proposal.natural.silica</x:v>
      </x:c>
      <x:c r="B34" s="4" t="str">
        <x:f>IFERROR(INDEX(Items!$B$6:$B$1005,MATCH(A34,Items!$A$6:$A$1005,0)),"MISSING ITEM ID")</x:f>
        <x:v>Silica-rich grit</x:v>
      </x:c>
      <x:c r="C34" s="4" t="str">
        <x:f>IFERROR(INDEX(Items!$C$6:$C$1005,MATCH(A34,Items!$A$6:$A$1005,0)),"MISSING ITEM ID")</x:f>
        <x:v>Resources</x:v>
      </x:c>
      <x:c r="D34" s="4" t="str">
        <x:v>Primary</x:v>
      </x:c>
      <x:c r="E34" s="4" t="str">
        <x:f>IFERROR(INDEX(Items!$Z$6:$Z$1005,MATCH(A34,Items!$A$6:$A$1005,0)),"MISSING ITEM ID")</x:f>
        <x:v>Surface finishing</x:v>
      </x:c>
      <x:c r="F34" s="4" t="str">
        <x:v>Current item description. Catalog intent, not implemented actions.</x:v>
      </x:c>
    </x:row>
    <x:row r="35" ht="45" customHeight="1">
      <x:c r="A35" s="4" t="str">
        <x:v>proposal.natural.silica</x:v>
      </x:c>
      <x:c r="B35" s="4" t="str">
        <x:f>IFERROR(INDEX(Items!$B$6:$B$1005,MATCH(A35,Items!$A$6:$A$1005,0)),"MISSING ITEM ID")</x:f>
        <x:v>Silica-rich grit</x:v>
      </x:c>
      <x:c r="C35" s="4" t="str">
        <x:f>IFERROR(INDEX(Items!$C$6:$C$1005,MATCH(A35,Items!$A$6:$A$1005,0)),"MISSING ITEM ID")</x:f>
        <x:v>Resources</x:v>
      </x:c>
      <x:c r="D35" s="4" t="str">
        <x:v>Secondary</x:v>
      </x:c>
      <x:c r="E35" s="4" t="str">
        <x:v>Glass and ceramics</x:v>
      </x:c>
      <x:c r="F35" s="4" t="str">
        <x:v>Current item description. Catalog intent, not implemented actions.</x:v>
      </x:c>
    </x:row>
    <x:row r="36" ht="45" customHeight="1">
      <x:c r="A36" s="4" t="str">
        <x:v>proposal.natural.alumina</x:v>
      </x:c>
      <x:c r="B36" s="4" t="str">
        <x:f>IFERROR(INDEX(Items!$B$6:$B$1005,MATCH(A36,Items!$A$6:$A$1005,0)),"MISSING ITEM ID")</x:f>
        <x:v>Alumina-rich rock</x:v>
      </x:c>
      <x:c r="C36" s="4" t="str">
        <x:f>IFERROR(INDEX(Items!$C$6:$C$1005,MATCH(A36,Items!$A$6:$A$1005,0)),"MISSING ITEM ID")</x:f>
        <x:v>Resources</x:v>
      </x:c>
      <x:c r="D36" s="4" t="str">
        <x:v>Primary</x:v>
      </x:c>
      <x:c r="E36" s="4" t="str">
        <x:f>IFERROR(INDEX(Items!$Z$6:$Z$1005,MATCH(A36,Items!$A$6:$A$1005,0)),"MISSING ITEM ID")</x:f>
        <x:v>Glass and ceramics</x:v>
      </x:c>
      <x:c r="F36" s="4" t="str">
        <x:v>Current item description. Catalog intent, not implemented actions.</x:v>
      </x:c>
    </x:row>
    <x:row r="37" ht="45" customHeight="1">
      <x:c r="A37" s="4" t="str">
        <x:v>proposal.natural.alumina</x:v>
      </x:c>
      <x:c r="B37" s="4" t="str">
        <x:f>IFERROR(INDEX(Items!$B$6:$B$1005,MATCH(A37,Items!$A$6:$A$1005,0)),"MISSING ITEM ID")</x:f>
        <x:v>Alumina-rich rock</x:v>
      </x:c>
      <x:c r="C37" s="4" t="str">
        <x:f>IFERROR(INDEX(Items!$C$6:$C$1005,MATCH(A37,Items!$A$6:$A$1005,0)),"MISSING ITEM ID")</x:f>
        <x:v>Resources</x:v>
      </x:c>
      <x:c r="D37" s="4" t="str">
        <x:v>Secondary</x:v>
      </x:c>
      <x:c r="E37" s="4" t="str">
        <x:v>Electrical insulation</x:v>
      </x:c>
      <x:c r="F37" s="4" t="str">
        <x:v>Current item description. Catalog intent, not implemented actions.</x:v>
      </x:c>
    </x:row>
    <x:row r="38" ht="45" customHeight="1">
      <x:c r="A38" s="4" t="str">
        <x:v>proposal.natural.claystone</x:v>
      </x:c>
      <x:c r="B38" s="4" t="str">
        <x:f>IFERROR(INDEX(Items!$B$6:$B$1005,MATCH(A38,Items!$A$6:$A$1005,0)),"MISSING ITEM ID")</x:f>
        <x:v>Claystone</x:v>
      </x:c>
      <x:c r="C38" s="4" t="str">
        <x:f>IFERROR(INDEX(Items!$C$6:$C$1005,MATCH(A38,Items!$A$6:$A$1005,0)),"MISSING ITEM ID")</x:f>
        <x:v>Resources</x:v>
      </x:c>
      <x:c r="D38" s="4" t="str">
        <x:v>Primary</x:v>
      </x:c>
      <x:c r="E38" s="4" t="str">
        <x:f>IFERROR(INDEX(Items!$Z$6:$Z$1005,MATCH(A38,Items!$A$6:$A$1005,0)),"MISSING ITEM ID")</x:f>
        <x:v>Glass and ceramics</x:v>
      </x:c>
      <x:c r="F38" s="4" t="str">
        <x:v>Current item description. Catalog intent, not implemented actions.</x:v>
      </x:c>
    </x:row>
    <x:row r="39" ht="45" customHeight="1">
      <x:c r="A39" s="4" t="str">
        <x:v>proposal.natural.carbonate</x:v>
      </x:c>
      <x:c r="B39" s="4" t="str">
        <x:f>IFERROR(INDEX(Items!$B$6:$B$1005,MATCH(A39,Items!$A$6:$A$1005,0)),"MISSING ITEM ID")</x:f>
        <x:v>Carbonate stone</x:v>
      </x:c>
      <x:c r="C39" s="4" t="str">
        <x:f>IFERROR(INDEX(Items!$C$6:$C$1005,MATCH(A39,Items!$A$6:$A$1005,0)),"MISSING ITEM ID")</x:f>
        <x:v>Resources</x:v>
      </x:c>
      <x:c r="D39" s="4" t="str">
        <x:v>Primary</x:v>
      </x:c>
      <x:c r="E39" s="4" t="str">
        <x:f>IFERROR(INDEX(Items!$Z$6:$Z$1005,MATCH(A39,Items!$A$6:$A$1005,0)),"MISSING ITEM ID")</x:f>
        <x:v>Binding and construction</x:v>
      </x:c>
      <x:c r="F39" s="4" t="str">
        <x:v>Current item description. Catalog intent, not implemented actions.</x:v>
      </x:c>
    </x:row>
    <x:row r="40" ht="45" customHeight="1">
      <x:c r="A40" s="4" t="str">
        <x:v>proposal.natural.salts</x:v>
      </x:c>
      <x:c r="B40" s="4" t="str">
        <x:f>IFERROR(INDEX(Items!$B$6:$B$1005,MATCH(A40,Items!$A$6:$A$1005,0)),"MISSING ITEM ID")</x:f>
        <x:v>Dry mineral salts</x:v>
      </x:c>
      <x:c r="C40" s="4" t="str">
        <x:f>IFERROR(INDEX(Items!$C$6:$C$1005,MATCH(A40,Items!$A$6:$A$1005,0)),"MISSING ITEM ID")</x:f>
        <x:v>Resources</x:v>
      </x:c>
      <x:c r="D40" s="4" t="str">
        <x:v>Primary</x:v>
      </x:c>
      <x:c r="E40" s="4" t="str">
        <x:f>IFERROR(INDEX(Items!$Z$6:$Z$1005,MATCH(A40,Items!$A$6:$A$1005,0)),"MISSING ITEM ID")</x:f>
        <x:v>Culture support</x:v>
      </x:c>
      <x:c r="F40" s="4" t="str">
        <x:v>Current item description. Catalog intent, not implemented actions.</x:v>
      </x:c>
    </x:row>
    <x:row r="41" ht="45" customHeight="1">
      <x:c r="A41" s="4" t="str">
        <x:v>proposal.natural.graphite</x:v>
      </x:c>
      <x:c r="B41" s="4" t="str">
        <x:f>IFERROR(INDEX(Items!$B$6:$B$1005,MATCH(A41,Items!$A$6:$A$1005,0)),"MISSING ITEM ID")</x:f>
        <x:v>Graphite-bearing stone</x:v>
      </x:c>
      <x:c r="C41" s="4" t="str">
        <x:f>IFERROR(INDEX(Items!$C$6:$C$1005,MATCH(A41,Items!$A$6:$A$1005,0)),"MISSING ITEM ID")</x:f>
        <x:v>Resources</x:v>
      </x:c>
      <x:c r="D41" s="4" t="str">
        <x:v>Primary</x:v>
      </x:c>
      <x:c r="E41" s="4" t="str">
        <x:f>IFERROR(INDEX(Items!$Z$6:$Z$1005,MATCH(A41,Items!$A$6:$A$1005,0)),"MISSING ITEM ID")</x:f>
        <x:v>Lubrication</x:v>
      </x:c>
      <x:c r="F41" s="4" t="str">
        <x:v>Current item description. Catalog intent, not implemented actions.</x:v>
      </x:c>
    </x:row>
    <x:row r="42" ht="45" customHeight="1">
      <x:c r="A42" s="4" t="str">
        <x:v>proposal.natural.graphite</x:v>
      </x:c>
      <x:c r="B42" s="4" t="str">
        <x:f>IFERROR(INDEX(Items!$B$6:$B$1005,MATCH(A42,Items!$A$6:$A$1005,0)),"MISSING ITEM ID")</x:f>
        <x:v>Graphite-bearing stone</x:v>
      </x:c>
      <x:c r="C42" s="4" t="str">
        <x:f>IFERROR(INDEX(Items!$C$6:$C$1005,MATCH(A42,Items!$A$6:$A$1005,0)),"MISSING ITEM ID")</x:f>
        <x:v>Resources</x:v>
      </x:c>
      <x:c r="D42" s="4" t="str">
        <x:v>Secondary</x:v>
      </x:c>
      <x:c r="E42" s="4" t="str">
        <x:v>Electrical conduction</x:v>
      </x:c>
      <x:c r="F42" s="4" t="str">
        <x:v>Current item description. Catalog intent, not implemented actions.</x:v>
      </x:c>
    </x:row>
    <x:row r="43" ht="45" customHeight="1">
      <x:c r="A43" s="4" t="str">
        <x:v>proposal.natural.mica</x:v>
      </x:c>
      <x:c r="B43" s="4" t="str">
        <x:f>IFERROR(INDEX(Items!$B$6:$B$1005,MATCH(A43,Items!$A$6:$A$1005,0)),"MISSING ITEM ID")</x:f>
        <x:v>Mica sheets</x:v>
      </x:c>
      <x:c r="C43" s="4" t="str">
        <x:f>IFERROR(INDEX(Items!$C$6:$C$1005,MATCH(A43,Items!$A$6:$A$1005,0)),"MISSING ITEM ID")</x:f>
        <x:v>Resources</x:v>
      </x:c>
      <x:c r="D43" s="4" t="str">
        <x:v>Primary</x:v>
      </x:c>
      <x:c r="E43" s="4" t="str">
        <x:f>IFERROR(INDEX(Items!$Z$6:$Z$1005,MATCH(A43,Items!$A$6:$A$1005,0)),"MISSING ITEM ID")</x:f>
        <x:v>Electrical insulation</x:v>
      </x:c>
      <x:c r="F43" s="4" t="str">
        <x:v>Current item description. Catalog intent, not implemented actions.</x:v>
      </x:c>
    </x:row>
    <x:row r="44" ht="45" customHeight="1">
      <x:c r="A44" s="4" t="str">
        <x:v>proposal.natural.mica</x:v>
      </x:c>
      <x:c r="B44" s="4" t="str">
        <x:f>IFERROR(INDEX(Items!$B$6:$B$1005,MATCH(A44,Items!$A$6:$A$1005,0)),"MISSING ITEM ID")</x:f>
        <x:v>Mica sheets</x:v>
      </x:c>
      <x:c r="C44" s="4" t="str">
        <x:f>IFERROR(INDEX(Items!$C$6:$C$1005,MATCH(A44,Items!$A$6:$A$1005,0)),"MISSING ITEM ID")</x:f>
        <x:v>Resources</x:v>
      </x:c>
      <x:c r="D44" s="4" t="str">
        <x:v>Secondary</x:v>
      </x:c>
      <x:c r="E44" s="4" t="str">
        <x:v>Protective fabrication</x:v>
      </x:c>
      <x:c r="F44" s="4" t="str">
        <x:v>Current item description. Catalog intent, not implemented actions.</x:v>
      </x:c>
    </x:row>
    <x:row r="45" ht="45" customHeight="1">
      <x:c r="A45" s="4" t="str">
        <x:v>proposal.natural.iron_feed</x:v>
      </x:c>
      <x:c r="B45" s="4" t="str">
        <x:f>IFERROR(INDEX(Items!$B$6:$B$1005,MATCH(A45,Items!$A$6:$A$1005,0)),"MISSING ITEM ID")</x:f>
        <x:v>Iron-rich mineral feed</x:v>
      </x:c>
      <x:c r="C45" s="4" t="str">
        <x:f>IFERROR(INDEX(Items!$C$6:$C$1005,MATCH(A45,Items!$A$6:$A$1005,0)),"MISSING ITEM ID")</x:f>
        <x:v>Resources</x:v>
      </x:c>
      <x:c r="D45" s="4" t="str">
        <x:v>Primary</x:v>
      </x:c>
      <x:c r="E45" s="4" t="str">
        <x:f>IFERROR(INDEX(Items!$Z$6:$Z$1005,MATCH(A45,Items!$A$6:$A$1005,0)),"MISSING ITEM ID")</x:f>
        <x:v>Metal refining</x:v>
      </x:c>
      <x:c r="F45" s="4" t="str">
        <x:v>Current item description. Catalog intent, not implemented actions.</x:v>
      </x:c>
    </x:row>
    <x:row r="46" ht="45" customHeight="1">
      <x:c r="A46" s="4" t="str">
        <x:v>proposal.natural.iron_stock</x:v>
      </x:c>
      <x:c r="B46" s="4" t="str">
        <x:f>IFERROR(INDEX(Items!$B$6:$B$1005,MATCH(A46,Items!$A$6:$A$1005,0)),"MISSING ITEM ID")</x:f>
        <x:v>Worked iron stock</x:v>
      </x:c>
      <x:c r="C46" s="4" t="str">
        <x:f>IFERROR(INDEX(Items!$C$6:$C$1005,MATCH(A46,Items!$A$6:$A$1005,0)),"MISSING ITEM ID")</x:f>
        <x:v>Resources</x:v>
      </x:c>
      <x:c r="D46" s="4" t="str">
        <x:v>Primary</x:v>
      </x:c>
      <x:c r="E46" s="4" t="str">
        <x:f>IFERROR(INDEX(Items!$Z$6:$Z$1005,MATCH(A46,Items!$A$6:$A$1005,0)),"MISSING ITEM ID")</x:f>
        <x:v>Fabrication</x:v>
      </x:c>
      <x:c r="F46" s="4" t="str">
        <x:v>Current item description. Catalog intent, not implemented actions.</x:v>
      </x:c>
    </x:row>
    <x:row r="47" ht="45" customHeight="1">
      <x:c r="A47" s="4" t="str">
        <x:v>proposal.natural.iron_stock</x:v>
      </x:c>
      <x:c r="B47" s="4" t="str">
        <x:f>IFERROR(INDEX(Items!$B$6:$B$1005,MATCH(A47,Items!$A$6:$A$1005,0)),"MISSING ITEM ID")</x:f>
        <x:v>Worked iron stock</x:v>
      </x:c>
      <x:c r="C47" s="4" t="str">
        <x:f>IFERROR(INDEX(Items!$C$6:$C$1005,MATCH(A47,Items!$A$6:$A$1005,0)),"MISSING ITEM ID")</x:f>
        <x:v>Resources</x:v>
      </x:c>
      <x:c r="D47" s="4" t="str">
        <x:v>Secondary</x:v>
      </x:c>
      <x:c r="E47" s="4" t="str">
        <x:v>Equipment repair</x:v>
      </x:c>
      <x:c r="F47" s="4" t="str">
        <x:v>Current item description. Catalog intent, not implemented actions.</x:v>
      </x:c>
    </x:row>
    <x:row r="48" ht="45" customHeight="1">
      <x:c r="A48" s="4" t="str">
        <x:v>proposal.natural.abrasive</x:v>
      </x:c>
      <x:c r="B48" s="4" t="str">
        <x:f>IFERROR(INDEX(Items!$B$6:$B$1005,MATCH(A48,Items!$A$6:$A$1005,0)),"MISSING ITEM ID")</x:f>
        <x:v>Graded abrasive grit</x:v>
      </x:c>
      <x:c r="C48" s="4" t="str">
        <x:f>IFERROR(INDEX(Items!$C$6:$C$1005,MATCH(A48,Items!$A$6:$A$1005,0)),"MISSING ITEM ID")</x:f>
        <x:v>Resources</x:v>
      </x:c>
      <x:c r="D48" s="4" t="str">
        <x:v>Primary</x:v>
      </x:c>
      <x:c r="E48" s="4" t="str">
        <x:f>IFERROR(INDEX(Items!$Z$6:$Z$1005,MATCH(A48,Items!$A$6:$A$1005,0)),"MISSING ITEM ID")</x:f>
        <x:v>Surface finishing</x:v>
      </x:c>
      <x:c r="F48" s="4" t="str">
        <x:v>Current item description. Catalog intent, not implemented actions.</x:v>
      </x:c>
    </x:row>
    <x:row r="49" ht="45" customHeight="1">
      <x:c r="A49" s="4" t="str">
        <x:v>proposal.natural.ceramic</x:v>
      </x:c>
      <x:c r="B49" s="4" t="str">
        <x:f>IFERROR(INDEX(Items!$B$6:$B$1005,MATCH(A49,Items!$A$6:$A$1005,0)),"MISSING ITEM ID")</x:f>
        <x:v>Insulating ceramic blanks</x:v>
      </x:c>
      <x:c r="C49" s="4" t="str">
        <x:f>IFERROR(INDEX(Items!$C$6:$C$1005,MATCH(A49,Items!$A$6:$A$1005,0)),"MISSING ITEM ID")</x:f>
        <x:v>Resources</x:v>
      </x:c>
      <x:c r="D49" s="4" t="str">
        <x:v>Primary</x:v>
      </x:c>
      <x:c r="E49" s="4" t="str">
        <x:f>IFERROR(INDEX(Items!$Z$6:$Z$1005,MATCH(A49,Items!$A$6:$A$1005,0)),"MISSING ITEM ID")</x:f>
        <x:v>Electrical insulation</x:v>
      </x:c>
      <x:c r="F49" s="4" t="str">
        <x:v>Current item description. Catalog intent, not implemented actions.</x:v>
      </x:c>
    </x:row>
    <x:row r="50" ht="45" customHeight="1">
      <x:c r="A50" s="4" t="str">
        <x:v>proposal.natural.ceramic</x:v>
      </x:c>
      <x:c r="B50" s="4" t="str">
        <x:f>IFERROR(INDEX(Items!$B$6:$B$1005,MATCH(A50,Items!$A$6:$A$1005,0)),"MISSING ITEM ID")</x:f>
        <x:v>Insulating ceramic blanks</x:v>
      </x:c>
      <x:c r="C50" s="4" t="str">
        <x:f>IFERROR(INDEX(Items!$C$6:$C$1005,MATCH(A50,Items!$A$6:$A$1005,0)),"MISSING ITEM ID")</x:f>
        <x:v>Resources</x:v>
      </x:c>
      <x:c r="D50" s="4" t="str">
        <x:v>Secondary</x:v>
      </x:c>
      <x:c r="E50" s="4" t="str">
        <x:v>Protective fabrication</x:v>
      </x:c>
      <x:c r="F50" s="4" t="str">
        <x:v>Current item description. Catalog intent, not implemented actions.</x:v>
      </x:c>
    </x:row>
    <x:row r="51" ht="45" customHeight="1">
      <x:c r="A51" s="4" t="str">
        <x:v>proposal.natural.lime</x:v>
      </x:c>
      <x:c r="B51" s="4" t="str">
        <x:f>IFERROR(INDEX(Items!$B$6:$B$1005,MATCH(A51,Items!$A$6:$A$1005,0)),"MISSING ITEM ID")</x:f>
        <x:v>Calcined mineral binder</x:v>
      </x:c>
      <x:c r="C51" s="4" t="str">
        <x:f>IFERROR(INDEX(Items!$C$6:$C$1005,MATCH(A51,Items!$A$6:$A$1005,0)),"MISSING ITEM ID")</x:f>
        <x:v>Resources</x:v>
      </x:c>
      <x:c r="D51" s="4" t="str">
        <x:v>Primary</x:v>
      </x:c>
      <x:c r="E51" s="4" t="str">
        <x:f>IFERROR(INDEX(Items!$Z$6:$Z$1005,MATCH(A51,Items!$A$6:$A$1005,0)),"MISSING ITEM ID")</x:f>
        <x:v>Binding and construction</x:v>
      </x:c>
      <x:c r="F51" s="4" t="str">
        <x:v>Current item description. Catalog intent, not implemented actions.</x:v>
      </x:c>
    </x:row>
    <x:row r="52" ht="45" customHeight="1">
      <x:c r="A52" s="4" t="str">
        <x:v>proposal.natural.carbon</x:v>
      </x:c>
      <x:c r="B52" s="4" t="str">
        <x:f>IFERROR(INDEX(Items!$B$6:$B$1005,MATCH(A52,Items!$A$6:$A$1005,0)),"MISSING ITEM ID")</x:f>
        <x:v>Graded graphite flakes</x:v>
      </x:c>
      <x:c r="C52" s="4" t="str">
        <x:f>IFERROR(INDEX(Items!$C$6:$C$1005,MATCH(A52,Items!$A$6:$A$1005,0)),"MISSING ITEM ID")</x:f>
        <x:v>Resources</x:v>
      </x:c>
      <x:c r="D52" s="4" t="str">
        <x:v>Primary</x:v>
      </x:c>
      <x:c r="E52" s="4" t="str">
        <x:f>IFERROR(INDEX(Items!$Z$6:$Z$1005,MATCH(A52,Items!$A$6:$A$1005,0)),"MISSING ITEM ID")</x:f>
        <x:v>Lubrication</x:v>
      </x:c>
      <x:c r="F52" s="4" t="str">
        <x:v>Current item description. Catalog intent, not implemented actions.</x:v>
      </x:c>
    </x:row>
    <x:row r="53" ht="45" customHeight="1">
      <x:c r="A53" s="4" t="str">
        <x:v>proposal.natural.carbon</x:v>
      </x:c>
      <x:c r="B53" s="4" t="str">
        <x:f>IFERROR(INDEX(Items!$B$6:$B$1005,MATCH(A53,Items!$A$6:$A$1005,0)),"MISSING ITEM ID")</x:f>
        <x:v>Graded graphite flakes</x:v>
      </x:c>
      <x:c r="C53" s="4" t="str">
        <x:f>IFERROR(INDEX(Items!$C$6:$C$1005,MATCH(A53,Items!$A$6:$A$1005,0)),"MISSING ITEM ID")</x:f>
        <x:v>Resources</x:v>
      </x:c>
      <x:c r="D53" s="4" t="str">
        <x:v>Secondary</x:v>
      </x:c>
      <x:c r="E53" s="4" t="str">
        <x:v>Electrical conduction</x:v>
      </x:c>
      <x:c r="F53" s="4" t="str">
        <x:v>Current item description. Catalog intent, not implemented actions.</x:v>
      </x:c>
    </x:row>
    <x:row r="54" ht="45" customHeight="1">
      <x:c r="A54" s="4" t="str">
        <x:v>proposal.bio.shell</x:v>
      </x:c>
      <x:c r="B54" s="4" t="str">
        <x:f>IFERROR(INDEX(Items!$B$6:$B$1005,MATCH(A54,Items!$A$6:$A$1005,0)),"MISSING ITEM ID")</x:f>
        <x:v>Shell husks / shed plates</x:v>
      </x:c>
      <x:c r="C54" s="4" t="str">
        <x:f>IFERROR(INDEX(Items!$C$6:$C$1005,MATCH(A54,Items!$A$6:$A$1005,0)),"MISSING ITEM ID")</x:f>
        <x:v>Resources</x:v>
      </x:c>
      <x:c r="D54" s="4" t="str">
        <x:v>Primary</x:v>
      </x:c>
      <x:c r="E54" s="4" t="str">
        <x:f>IFERROR(INDEX(Items!$Z$6:$Z$1005,MATCH(A54,Items!$A$6:$A$1005,0)),"MISSING ITEM ID")</x:f>
        <x:v>Fabrication</x:v>
      </x:c>
      <x:c r="F54" s="4" t="str">
        <x:v>Current item description. Catalog intent, not implemented actions.</x:v>
      </x:c>
    </x:row>
    <x:row r="55" ht="45" customHeight="1">
      <x:c r="A55" s="4" t="str">
        <x:v>proposal.bio.shell</x:v>
      </x:c>
      <x:c r="B55" s="4" t="str">
        <x:f>IFERROR(INDEX(Items!$B$6:$B$1005,MATCH(A55,Items!$A$6:$A$1005,0)),"MISSING ITEM ID")</x:f>
        <x:v>Shell husks / shed plates</x:v>
      </x:c>
      <x:c r="C55" s="4" t="str">
        <x:f>IFERROR(INDEX(Items!$C$6:$C$1005,MATCH(A55,Items!$A$6:$A$1005,0)),"MISSING ITEM ID")</x:f>
        <x:v>Resources</x:v>
      </x:c>
      <x:c r="D55" s="4" t="str">
        <x:v>Secondary</x:v>
      </x:c>
      <x:c r="E55" s="4" t="str">
        <x:v>Fiber processing</x:v>
      </x:c>
      <x:c r="F55" s="4" t="str">
        <x:v>Current item description. Catalog intent, not implemented actions.</x:v>
      </x:c>
    </x:row>
    <x:row r="56" ht="45" customHeight="1">
      <x:c r="A56" s="4" t="str">
        <x:v>proposal.bio.tendon</x:v>
      </x:c>
      <x:c r="B56" s="4" t="str">
        <x:f>IFERROR(INDEX(Items!$B$6:$B$1005,MATCH(A56,Items!$A$6:$A$1005,0)),"MISSING ITEM ID")</x:f>
        <x:v>Dried tendon bundles</x:v>
      </x:c>
      <x:c r="C56" s="4" t="str">
        <x:f>IFERROR(INDEX(Items!$C$6:$C$1005,MATCH(A56,Items!$A$6:$A$1005,0)),"MISSING ITEM ID")</x:f>
        <x:v>Resources</x:v>
      </x:c>
      <x:c r="D56" s="4" t="str">
        <x:v>Primary</x:v>
      </x:c>
      <x:c r="E56" s="4" t="str">
        <x:f>IFERROR(INDEX(Items!$Z$6:$Z$1005,MATCH(A56,Items!$A$6:$A$1005,0)),"MISSING ITEM ID")</x:f>
        <x:v>Binding and construction</x:v>
      </x:c>
      <x:c r="F56" s="4" t="str">
        <x:v>Current item description. Catalog intent, not implemented actions.</x:v>
      </x:c>
    </x:row>
    <x:row r="57" ht="45" customHeight="1">
      <x:c r="A57" s="4" t="str">
        <x:v>proposal.bio.bristles</x:v>
      </x:c>
      <x:c r="B57" s="4" t="str">
        <x:f>IFERROR(INDEX(Items!$B$6:$B$1005,MATCH(A57,Items!$A$6:$A$1005,0)),"MISSING ITEM ID")</x:f>
        <x:v>Coarse sensory bristles</x:v>
      </x:c>
      <x:c r="C57" s="4" t="str">
        <x:f>IFERROR(INDEX(Items!$C$6:$C$1005,MATCH(A57,Items!$A$6:$A$1005,0)),"MISSING ITEM ID")</x:f>
        <x:v>Resources</x:v>
      </x:c>
      <x:c r="D57" s="4" t="str">
        <x:v>Primary</x:v>
      </x:c>
      <x:c r="E57" s="4" t="str">
        <x:f>IFERROR(INDEX(Items!$Z$6:$Z$1005,MATCH(A57,Items!$A$6:$A$1005,0)),"MISSING ITEM ID")</x:f>
        <x:v>Dust exclusion</x:v>
      </x:c>
      <x:c r="F57" s="4" t="str">
        <x:v>Current item description. Catalog intent, not implemented actions.</x:v>
      </x:c>
    </x:row>
    <x:row r="58" ht="45" customHeight="1">
      <x:c r="A58" s="4" t="str">
        <x:v>proposal.bio.underfur</x:v>
      </x:c>
      <x:c r="B58" s="4" t="str">
        <x:f>IFERROR(INDEX(Items!$B$6:$B$1005,MATCH(A58,Items!$A$6:$A$1005,0)),"MISSING ITEM ID")</x:f>
        <x:v>Shed underfur</x:v>
      </x:c>
      <x:c r="C58" s="4" t="str">
        <x:f>IFERROR(INDEX(Items!$C$6:$C$1005,MATCH(A58,Items!$A$6:$A$1005,0)),"MISSING ITEM ID")</x:f>
        <x:v>Resources</x:v>
      </x:c>
      <x:c r="D58" s="4" t="str">
        <x:v>Primary</x:v>
      </x:c>
      <x:c r="E58" s="4" t="str">
        <x:f>IFERROR(INDEX(Items!$Z$6:$Z$1005,MATCH(A58,Items!$A$6:$A$1005,0)),"MISSING ITEM ID")</x:f>
        <x:v>Textile processing</x:v>
      </x:c>
      <x:c r="F58" s="4" t="str">
        <x:v>Current item description. Catalog intent, not implemented actions.</x:v>
      </x:c>
    </x:row>
    <x:row r="59" ht="45" customHeight="1">
      <x:c r="A59" s="4" t="str">
        <x:v>proposal.bio.jaw</x:v>
      </x:c>
      <x:c r="B59" s="4" t="str">
        <x:f>IFERROR(INDEX(Items!$B$6:$B$1005,MATCH(A59,Items!$A$6:$A$1005,0)),"MISSING ITEM ID")</x:f>
        <x:v>Dense jaw plates</x:v>
      </x:c>
      <x:c r="C59" s="4" t="str">
        <x:f>IFERROR(INDEX(Items!$C$6:$C$1005,MATCH(A59,Items!$A$6:$A$1005,0)),"MISSING ITEM ID")</x:f>
        <x:v>Resources</x:v>
      </x:c>
      <x:c r="D59" s="4" t="str">
        <x:v>Primary</x:v>
      </x:c>
      <x:c r="E59" s="4" t="str">
        <x:f>IFERROR(INDEX(Items!$Z$6:$Z$1005,MATCH(A59,Items!$A$6:$A$1005,0)),"MISSING ITEM ID")</x:f>
        <x:v>Tool fabrication</x:v>
      </x:c>
      <x:c r="F59" s="4" t="str">
        <x:v>Current item description. Catalog intent, not implemented actions.</x:v>
      </x:c>
    </x:row>
    <x:row r="60" ht="45" customHeight="1">
      <x:c r="A60" s="4" t="str">
        <x:v>proposal.bio.membrane</x:v>
      </x:c>
      <x:c r="B60" s="4" t="str">
        <x:f>IFERROR(INDEX(Items!$B$6:$B$1005,MATCH(A60,Items!$A$6:$A$1005,0)),"MISSING ITEM ID")</x:f>
        <x:v>Dried joint membrane</x:v>
      </x:c>
      <x:c r="C60" s="4" t="str">
        <x:f>IFERROR(INDEX(Items!$C$6:$C$1005,MATCH(A60,Items!$A$6:$A$1005,0)),"MISSING ITEM ID")</x:f>
        <x:v>Resources</x:v>
      </x:c>
      <x:c r="D60" s="4" t="str">
        <x:v>Primary</x:v>
      </x:c>
      <x:c r="E60" s="4" t="str">
        <x:f>IFERROR(INDEX(Items!$Z$6:$Z$1005,MATCH(A60,Items!$A$6:$A$1005,0)),"MISSING ITEM ID")</x:f>
        <x:v>Sealing</x:v>
      </x:c>
      <x:c r="F60" s="4" t="str">
        <x:v>Current item description. Catalog intent, not implemented actions.</x:v>
      </x:c>
    </x:row>
    <x:row r="61" ht="45" customHeight="1">
      <x:c r="A61" s="4" t="str">
        <x:v>proposal.bio.membrane</x:v>
      </x:c>
      <x:c r="B61" s="4" t="str">
        <x:f>IFERROR(INDEX(Items!$B$6:$B$1005,MATCH(A61,Items!$A$6:$A$1005,0)),"MISSING ITEM ID")</x:f>
        <x:v>Dried joint membrane</x:v>
      </x:c>
      <x:c r="C61" s="4" t="str">
        <x:f>IFERROR(INDEX(Items!$C$6:$C$1005,MATCH(A61,Items!$A$6:$A$1005,0)),"MISSING ITEM ID")</x:f>
        <x:v>Resources</x:v>
      </x:c>
      <x:c r="D61" s="4" t="str">
        <x:v>Secondary</x:v>
      </x:c>
      <x:c r="E61" s="4" t="str">
        <x:v>Equipment repair</x:v>
      </x:c>
      <x:c r="F61" s="4" t="str">
        <x:v>Current item description. Catalog intent, not implemented actions.</x:v>
      </x:c>
    </x:row>
    <x:row r="62" ht="45" customHeight="1">
      <x:c r="A62" s="4" t="str">
        <x:v>proposal.bio.fat</x:v>
      </x:c>
      <x:c r="B62" s="4" t="str">
        <x:f>IFERROR(INDEX(Items!$B$6:$B$1005,MATCH(A62,Items!$A$6:$A$1005,0)),"MISSING ITEM ID")</x:f>
        <x:v>Unverified fat-like tissue concept</x:v>
      </x:c>
      <x:c r="C62" s="4" t="str">
        <x:f>IFERROR(INDEX(Items!$C$6:$C$1005,MATCH(A62,Items!$A$6:$A$1005,0)),"MISSING ITEM ID")</x:f>
        <x:v>Resources</x:v>
      </x:c>
      <x:c r="D62" s="4" t="str">
        <x:v>Primary</x:v>
      </x:c>
      <x:c r="E62" s="4" t="str">
        <x:f>IFERROR(INDEX(Items!$Z$6:$Z$1005,MATCH(A62,Items!$A$6:$A$1005,0)),"MISSING ITEM ID")</x:f>
        <x:v>Use unresolved</x:v>
      </x:c>
      <x:c r="F62" s="4" t="str">
        <x:v>Current item description. Catalog intent, not implemented actions.</x:v>
      </x:c>
    </x:row>
    <x:row r="63" ht="45" customHeight="1">
      <x:c r="A63" s="4" t="str">
        <x:v>proposal.bio.organ</x:v>
      </x:c>
      <x:c r="B63" s="4" t="str">
        <x:f>IFERROR(INDEX(Items!$B$6:$B$1005,MATCH(A63,Items!$A$6:$A$1005,0)),"MISSING ITEM ID")</x:f>
        <x:v>Charge-organ tissue</x:v>
      </x:c>
      <x:c r="C63" s="4" t="str">
        <x:f>IFERROR(INDEX(Items!$C$6:$C$1005,MATCH(A63,Items!$A$6:$A$1005,0)),"MISSING ITEM ID")</x:f>
        <x:v>Resources</x:v>
      </x:c>
      <x:c r="D63" s="4" t="str">
        <x:v>Primary</x:v>
      </x:c>
      <x:c r="E63" s="4" t="str">
        <x:f>IFERROR(INDEX(Items!$Z$6:$Z$1005,MATCH(A63,Items!$A$6:$A$1005,0)),"MISSING ITEM ID")</x:f>
        <x:v>Electrical work</x:v>
      </x:c>
      <x:c r="F63" s="4" t="str">
        <x:v>Current item description. Catalog intent, not implemented actions.</x:v>
      </x:c>
    </x:row>
    <x:row r="64" ht="45" customHeight="1">
      <x:c r="A64" s="4" t="str">
        <x:v>proposal.bio.laminate</x:v>
      </x:c>
      <x:c r="B64" s="4" t="str">
        <x:f>IFERROR(INDEX(Items!$B$6:$B$1005,MATCH(A64,Items!$A$6:$A$1005,0)),"MISSING ITEM ID")</x:f>
        <x:v>Shell laminate</x:v>
      </x:c>
      <x:c r="C64" s="4" t="str">
        <x:f>IFERROR(INDEX(Items!$C$6:$C$1005,MATCH(A64,Items!$A$6:$A$1005,0)),"MISSING ITEM ID")</x:f>
        <x:v>Crafting components</x:v>
      </x:c>
      <x:c r="D64" s="4" t="str">
        <x:v>Primary</x:v>
      </x:c>
      <x:c r="E64" s="4" t="str">
        <x:f>IFERROR(INDEX(Items!$Z$6:$Z$1005,MATCH(A64,Items!$A$6:$A$1005,0)),"MISSING ITEM ID")</x:f>
        <x:v>Protective fabrication</x:v>
      </x:c>
      <x:c r="F64" s="4" t="str">
        <x:v>Current item description. Catalog intent, not implemented actions.</x:v>
      </x:c>
    </x:row>
    <x:row r="65" ht="45" customHeight="1">
      <x:c r="A65" s="4" t="str">
        <x:v>proposal.bio.cord</x:v>
      </x:c>
      <x:c r="B65" s="4" t="str">
        <x:f>IFERROR(INDEX(Items!$B$6:$B$1005,MATCH(A65,Items!$A$6:$A$1005,0)),"MISSING ITEM ID")</x:f>
        <x:v>Tendon cord</x:v>
      </x:c>
      <x:c r="C65" s="4" t="str">
        <x:f>IFERROR(INDEX(Items!$C$6:$C$1005,MATCH(A65,Items!$A$6:$A$1005,0)),"MISSING ITEM ID")</x:f>
        <x:v>Crafting components</x:v>
      </x:c>
      <x:c r="D65" s="4" t="str">
        <x:v>Primary</x:v>
      </x:c>
      <x:c r="E65" s="4" t="str">
        <x:f>IFERROR(INDEX(Items!$Z$6:$Z$1005,MATCH(A65,Items!$A$6:$A$1005,0)),"MISSING ITEM ID")</x:f>
        <x:v>Binding and construction</x:v>
      </x:c>
      <x:c r="F65" s="4" t="str">
        <x:v>Current item description. Catalog intent, not implemented actions.</x:v>
      </x:c>
    </x:row>
    <x:row r="66" ht="45" customHeight="1">
      <x:c r="A66" s="4" t="str">
        <x:v>proposal.bio.cord</x:v>
      </x:c>
      <x:c r="B66" s="4" t="str">
        <x:f>IFERROR(INDEX(Items!$B$6:$B$1005,MATCH(A66,Items!$A$6:$A$1005,0)),"MISSING ITEM ID")</x:f>
        <x:v>Tendon cord</x:v>
      </x:c>
      <x:c r="C66" s="4" t="str">
        <x:f>IFERROR(INDEX(Items!$C$6:$C$1005,MATCH(A66,Items!$A$6:$A$1005,0)),"MISSING ITEM ID")</x:f>
        <x:v>Crafting components</x:v>
      </x:c>
      <x:c r="D66" s="4" t="str">
        <x:v>Secondary</x:v>
      </x:c>
      <x:c r="E66" s="4" t="str">
        <x:v>Equipment repair</x:v>
      </x:c>
      <x:c r="F66" s="4" t="str">
        <x:v>Current item description. Catalog intent, not implemented actions.</x:v>
      </x:c>
    </x:row>
    <x:row r="67" ht="45" customHeight="1">
      <x:c r="A67" s="4" t="str">
        <x:v>proposal.bio.brush</x:v>
      </x:c>
      <x:c r="B67" s="4" t="str">
        <x:f>IFERROR(INDEX(Items!$B$6:$B$1005,MATCH(A67,Items!$A$6:$A$1005,0)),"MISSING ITEM ID")</x:f>
        <x:v>Bristle brush strips</x:v>
      </x:c>
      <x:c r="C67" s="4" t="str">
        <x:f>IFERROR(INDEX(Items!$C$6:$C$1005,MATCH(A67,Items!$A$6:$A$1005,0)),"MISSING ITEM ID")</x:f>
        <x:v>Crafting components</x:v>
      </x:c>
      <x:c r="D67" s="4" t="str">
        <x:v>Primary</x:v>
      </x:c>
      <x:c r="E67" s="4" t="str">
        <x:f>IFERROR(INDEX(Items!$Z$6:$Z$1005,MATCH(A67,Items!$A$6:$A$1005,0)),"MISSING ITEM ID")</x:f>
        <x:v>Dust exclusion</x:v>
      </x:c>
      <x:c r="F67" s="4" t="str">
        <x:v>Current item description. Catalog intent, not implemented actions.</x:v>
      </x:c>
    </x:row>
    <x:row r="68" ht="45" customHeight="1">
      <x:c r="A68" s="4" t="str">
        <x:v>proposal.bio.liner</x:v>
      </x:c>
      <x:c r="B68" s="4" t="str">
        <x:f>IFERROR(INDEX(Items!$B$6:$B$1005,MATCH(A68,Items!$A$6:$A$1005,0)),"MISSING ITEM ID")</x:f>
        <x:v>Pressed fur-fiber material</x:v>
      </x:c>
      <x:c r="C68" s="4" t="str">
        <x:f>IFERROR(INDEX(Items!$C$6:$C$1005,MATCH(A68,Items!$A$6:$A$1005,0)),"MISSING ITEM ID")</x:f>
        <x:v>Crafting components</x:v>
      </x:c>
      <x:c r="D68" s="4" t="str">
        <x:v>Primary</x:v>
      </x:c>
      <x:c r="E68" s="4" t="str">
        <x:f>IFERROR(INDEX(Items!$Z$6:$Z$1005,MATCH(A68,Items!$A$6:$A$1005,0)),"MISSING ITEM ID")</x:f>
        <x:v>Textile processing</x:v>
      </x:c>
      <x:c r="F68" s="4" t="str">
        <x:v>Current item description. Catalog intent, not implemented actions.</x:v>
      </x:c>
    </x:row>
    <x:row r="69" ht="45" customHeight="1">
      <x:c r="A69" s="4" t="str">
        <x:v>proposal.bio.insert</x:v>
      </x:c>
      <x:c r="B69" s="4" t="str">
        <x:f>IFERROR(INDEX(Items!$B$6:$B$1005,MATCH(A69,Items!$A$6:$A$1005,0)),"MISSING ITEM ID")</x:f>
        <x:v>Jaw cutting insert</x:v>
      </x:c>
      <x:c r="C69" s="4" t="str">
        <x:f>IFERROR(INDEX(Items!$C$6:$C$1005,MATCH(A69,Items!$A$6:$A$1005,0)),"MISSING ITEM ID")</x:f>
        <x:v>Crafting components</x:v>
      </x:c>
      <x:c r="D69" s="4" t="str">
        <x:v>Primary</x:v>
      </x:c>
      <x:c r="E69" s="4" t="str">
        <x:f>IFERROR(INDEX(Items!$Z$6:$Z$1005,MATCH(A69,Items!$A$6:$A$1005,0)),"MISSING ITEM ID")</x:f>
        <x:v>Tool fabrication</x:v>
      </x:c>
      <x:c r="F69" s="4" t="str">
        <x:v>Current item description. Catalog intent, not implemented actions.</x:v>
      </x:c>
    </x:row>
    <x:row r="70" ht="45" customHeight="1">
      <x:c r="A70" s="4" t="str">
        <x:v>proposal.bio.seal</x:v>
      </x:c>
      <x:c r="B70" s="4" t="str">
        <x:f>IFERROR(INDEX(Items!$B$6:$B$1005,MATCH(A70,Items!$A$6:$A$1005,0)),"MISSING ITEM ID")</x:f>
        <x:v>Membrane seal patches</x:v>
      </x:c>
      <x:c r="C70" s="4" t="str">
        <x:f>IFERROR(INDEX(Items!$C$6:$C$1005,MATCH(A70,Items!$A$6:$A$1005,0)),"MISSING ITEM ID")</x:f>
        <x:v>Crafting components</x:v>
      </x:c>
      <x:c r="D70" s="4" t="str">
        <x:v>Primary</x:v>
      </x:c>
      <x:c r="E70" s="4" t="str">
        <x:f>IFERROR(INDEX(Items!$Z$6:$Z$1005,MATCH(A70,Items!$A$6:$A$1005,0)),"MISSING ITEM ID")</x:f>
        <x:v>Sealing</x:v>
      </x:c>
      <x:c r="F70" s="4" t="str">
        <x:v>Current item description. Catalog intent, not implemented actions.</x:v>
      </x:c>
    </x:row>
    <x:row r="71" ht="45" customHeight="1">
      <x:c r="A71" s="4" t="str">
        <x:v>proposal.bio.seal</x:v>
      </x:c>
      <x:c r="B71" s="4" t="str">
        <x:f>IFERROR(INDEX(Items!$B$6:$B$1005,MATCH(A71,Items!$A$6:$A$1005,0)),"MISSING ITEM ID")</x:f>
        <x:v>Membrane seal patches</x:v>
      </x:c>
      <x:c r="C71" s="4" t="str">
        <x:f>IFERROR(INDEX(Items!$C$6:$C$1005,MATCH(A71,Items!$A$6:$A$1005,0)),"MISSING ITEM ID")</x:f>
        <x:v>Crafting components</x:v>
      </x:c>
      <x:c r="D71" s="4" t="str">
        <x:v>Secondary</x:v>
      </x:c>
      <x:c r="E71" s="4" t="str">
        <x:v>Equipment repair</x:v>
      </x:c>
      <x:c r="F71" s="4" t="str">
        <x:v>Current item description. Catalog intent, not implemented actions.</x:v>
      </x:c>
    </x:row>
    <x:row r="72" ht="45" customHeight="1">
      <x:c r="A72" s="4" t="str">
        <x:v>proposal.bio.wax</x:v>
      </x:c>
      <x:c r="B72" s="4" t="str">
        <x:f>IFERROR(INDEX(Items!$B$6:$B$1005,MATCH(A72,Items!$A$6:$A$1005,0)),"MISSING ITEM ID")</x:f>
        <x:v>Solid biological wax</x:v>
      </x:c>
      <x:c r="C72" s="4" t="str">
        <x:f>IFERROR(INDEX(Items!$C$6:$C$1005,MATCH(A72,Items!$A$6:$A$1005,0)),"MISSING ITEM ID")</x:f>
        <x:v>Crafting components</x:v>
      </x:c>
      <x:c r="D72" s="4" t="str">
        <x:v>Primary</x:v>
      </x:c>
      <x:c r="E72" s="4" t="str">
        <x:f>IFERROR(INDEX(Items!$Z$6:$Z$1005,MATCH(A72,Items!$A$6:$A$1005,0)),"MISSING ITEM ID")</x:f>
        <x:v>Use unresolved</x:v>
      </x:c>
      <x:c r="F72" s="4" t="str">
        <x:v>Current item description. Catalog intent, not implemented actions.</x:v>
      </x:c>
    </x:row>
    <x:row r="73" ht="45" customHeight="1">
      <x:c r="A73" s="4" t="str">
        <x:v>proposal.bio.electrode</x:v>
      </x:c>
      <x:c r="B73" s="4" t="str">
        <x:f>IFERROR(INDEX(Items!$B$6:$B$1005,MATCH(A73,Items!$A$6:$A$1005,0)),"MISSING ITEM ID")</x:f>
        <x:v>Dry organ electrode scaffold</x:v>
      </x:c>
      <x:c r="C73" s="4" t="str">
        <x:f>IFERROR(INDEX(Items!$C$6:$C$1005,MATCH(A73,Items!$A$6:$A$1005,0)),"MISSING ITEM ID")</x:f>
        <x:v>Crafting components</x:v>
      </x:c>
      <x:c r="D73" s="4" t="str">
        <x:v>Primary</x:v>
      </x:c>
      <x:c r="E73" s="4" t="str">
        <x:f>IFERROR(INDEX(Items!$Z$6:$Z$1005,MATCH(A73,Items!$A$6:$A$1005,0)),"MISSING ITEM ID")</x:f>
        <x:v>Electrical work</x:v>
      </x:c>
      <x:c r="F73" s="4" t="str">
        <x:v>Current item description. Catalog intent, not implemented actions.</x:v>
      </x:c>
    </x:row>
    <x:row r="74" ht="45" customHeight="1">
      <x:c r="A74" s="4" t="str">
        <x:v>proposal.natural.charcoal</x:v>
      </x:c>
      <x:c r="B74" s="4" t="str">
        <x:f>IFERROR(INDEX(Items!$B$6:$B$1005,MATCH(A74,Items!$A$6:$A$1005,0)),"MISSING ITEM ID")</x:f>
        <x:v>Charcoal</x:v>
      </x:c>
      <x:c r="C74" s="4" t="str">
        <x:f>IFERROR(INDEX(Items!$C$6:$C$1005,MATCH(A74,Items!$A$6:$A$1005,0)),"MISSING ITEM ID")</x:f>
        <x:v>Resources</x:v>
      </x:c>
      <x:c r="D74" s="4" t="str">
        <x:v>Primary</x:v>
      </x:c>
      <x:c r="E74" s="4" t="str">
        <x:f>IFERROR(INDEX(Items!$Z$6:$Z$1005,MATCH(A74,Items!$A$6:$A$1005,0)),"MISSING ITEM ID")</x:f>
        <x:v>Fuel</x:v>
      </x:c>
      <x:c r="F74" s="4" t="str">
        <x:v>Current item description. Catalog intent, not implemented actions.</x:v>
      </x:c>
    </x:row>
    <x:row r="75" ht="45" customHeight="1">
      <x:c r="A75" s="4" t="str">
        <x:v>proposal.natural.charcoal</x:v>
      </x:c>
      <x:c r="B75" s="4" t="str">
        <x:f>IFERROR(INDEX(Items!$B$6:$B$1005,MATCH(A75,Items!$A$6:$A$1005,0)),"MISSING ITEM ID")</x:f>
        <x:v>Charcoal</x:v>
      </x:c>
      <x:c r="C75" s="4" t="str">
        <x:f>IFERROR(INDEX(Items!$C$6:$C$1005,MATCH(A75,Items!$A$6:$A$1005,0)),"MISSING ITEM ID")</x:f>
        <x:v>Resources</x:v>
      </x:c>
      <x:c r="D75" s="4" t="str">
        <x:v>Secondary</x:v>
      </x:c>
      <x:c r="E75" s="4" t="str">
        <x:v>Metal refining</x:v>
      </x:c>
      <x:c r="F75" s="4" t="str">
        <x:v>Current item description. Catalog intent, not implemented actions.</x:v>
      </x:c>
    </x:row>
    <x:row r="76" ht="45" customHeight="1">
      <x:c r="A76" s="4" t="str">
        <x:v>proposal.natural.copper_stone</x:v>
      </x:c>
      <x:c r="B76" s="4" t="str">
        <x:f>IFERROR(INDEX(Items!$B$6:$B$1005,MATCH(A76,Items!$A$6:$A$1005,0)),"MISSING ITEM ID")</x:f>
        <x:v>Unprocessed copper-rich stone</x:v>
      </x:c>
      <x:c r="C76" s="4" t="str">
        <x:f>IFERROR(INDEX(Items!$C$6:$C$1005,MATCH(A76,Items!$A$6:$A$1005,0)),"MISSING ITEM ID")</x:f>
        <x:v>Resources</x:v>
      </x:c>
      <x:c r="D76" s="4" t="str">
        <x:v>Primary</x:v>
      </x:c>
      <x:c r="E76" s="4" t="str">
        <x:f>IFERROR(INDEX(Items!$Z$6:$Z$1005,MATCH(A76,Items!$A$6:$A$1005,0)),"MISSING ITEM ID")</x:f>
        <x:v>Metal refining</x:v>
      </x:c>
      <x:c r="F76" s="4" t="str">
        <x:v>Current item description. Catalog intent, not implemented actions.</x:v>
      </x:c>
    </x:row>
    <x:row r="77" ht="45" customHeight="1">
      <x:c r="A77" s="4" t="str">
        <x:v>proposal.natural.copper_ore</x:v>
      </x:c>
      <x:c r="B77" s="4" t="str">
        <x:f>IFERROR(INDEX(Items!$B$6:$B$1005,MATCH(A77,Items!$A$6:$A$1005,0)),"MISSING ITEM ID")</x:f>
        <x:v>Copper ore</x:v>
      </x:c>
      <x:c r="C77" s="4" t="str">
        <x:f>IFERROR(INDEX(Items!$C$6:$C$1005,MATCH(A77,Items!$A$6:$A$1005,0)),"MISSING ITEM ID")</x:f>
        <x:v>Resources</x:v>
      </x:c>
      <x:c r="D77" s="4" t="str">
        <x:v>Primary</x:v>
      </x:c>
      <x:c r="E77" s="4" t="str">
        <x:f>IFERROR(INDEX(Items!$Z$6:$Z$1005,MATCH(A77,Items!$A$6:$A$1005,0)),"MISSING ITEM ID")</x:f>
        <x:v>Metal refining</x:v>
      </x:c>
      <x:c r="F77" s="4" t="str">
        <x:v>Current item description. Catalog intent, not implemented actions.</x:v>
      </x:c>
    </x:row>
    <x:row r="78" ht="45" customHeight="1">
      <x:c r="A78" s="4" t="str">
        <x:v>proposal.natural.raw_copper</x:v>
      </x:c>
      <x:c r="B78" s="4" t="str">
        <x:f>IFERROR(INDEX(Items!$B$6:$B$1005,MATCH(A78,Items!$A$6:$A$1005,0)),"MISSING ITEM ID")</x:f>
        <x:v>Raw copper lump</x:v>
      </x:c>
      <x:c r="C78" s="4" t="str">
        <x:f>IFERROR(INDEX(Items!$C$6:$C$1005,MATCH(A78,Items!$A$6:$A$1005,0)),"MISSING ITEM ID")</x:f>
        <x:v>Resources</x:v>
      </x:c>
      <x:c r="D78" s="4" t="str">
        <x:v>Primary</x:v>
      </x:c>
      <x:c r="E78" s="4" t="str">
        <x:f>IFERROR(INDEX(Items!$Z$6:$Z$1005,MATCH(A78,Items!$A$6:$A$1005,0)),"MISSING ITEM ID")</x:f>
        <x:v>Electrical conduction</x:v>
      </x:c>
      <x:c r="F78" s="4" t="str">
        <x:v>Current item description. Catalog intent, not implemented actions.</x:v>
      </x:c>
    </x:row>
    <x:row r="79" ht="45" customHeight="1">
      <x:c r="A79" s="4" t="str">
        <x:v>proposal.natural.raw_copper</x:v>
      </x:c>
      <x:c r="B79" s="4" t="str">
        <x:f>IFERROR(INDEX(Items!$B$6:$B$1005,MATCH(A79,Items!$A$6:$A$1005,0)),"MISSING ITEM ID")</x:f>
        <x:v>Raw copper lump</x:v>
      </x:c>
      <x:c r="C79" s="4" t="str">
        <x:f>IFERROR(INDEX(Items!$C$6:$C$1005,MATCH(A79,Items!$A$6:$A$1005,0)),"MISSING ITEM ID")</x:f>
        <x:v>Resources</x:v>
      </x:c>
      <x:c r="D79" s="4" t="str">
        <x:v>Secondary</x:v>
      </x:c>
      <x:c r="E79" s="4" t="str">
        <x:v>Fabrication</x:v>
      </x:c>
      <x:c r="F79" s="4" t="str">
        <x:v>Current item description. Catalog intent, not implemented actions.</x:v>
      </x:c>
    </x:row>
    <x:row r="80" ht="45" customHeight="1">
      <x:c r="A80" s="4" t="str">
        <x:v>proposal.natural.tungsten_ore</x:v>
      </x:c>
      <x:c r="B80" s="4" t="str">
        <x:f>IFERROR(INDEX(Items!$B$6:$B$1005,MATCH(A80,Items!$A$6:$A$1005,0)),"MISSING ITEM ID")</x:f>
        <x:v>Tungsten-bearing ore</x:v>
      </x:c>
      <x:c r="C80" s="4" t="str">
        <x:f>IFERROR(INDEX(Items!$C$6:$C$1005,MATCH(A80,Items!$A$6:$A$1005,0)),"MISSING ITEM ID")</x:f>
        <x:v>Resources</x:v>
      </x:c>
      <x:c r="D80" s="4" t="str">
        <x:v>Primary</x:v>
      </x:c>
      <x:c r="E80" s="4" t="str">
        <x:f>IFERROR(INDEX(Items!$Z$6:$Z$1005,MATCH(A80,Items!$A$6:$A$1005,0)),"MISSING ITEM ID")</x:f>
        <x:v>Metal refining</x:v>
      </x:c>
      <x:c r="F80" s="4" t="str">
        <x:v>Current item description. Catalog intent, not implemented actions.</x:v>
      </x:c>
    </x:row>
    <x:row r="81" ht="45" customHeight="1">
      <x:c r="A81" s="4" t="str">
        <x:v>proposal.natural.tungsten_ore</x:v>
      </x:c>
      <x:c r="B81" s="4" t="str">
        <x:f>IFERROR(INDEX(Items!$B$6:$B$1005,MATCH(A81,Items!$A$6:$A$1005,0)),"MISSING ITEM ID")</x:f>
        <x:v>Tungsten-bearing ore</x:v>
      </x:c>
      <x:c r="C81" s="4" t="str">
        <x:f>IFERROR(INDEX(Items!$C$6:$C$1005,MATCH(A81,Items!$A$6:$A$1005,0)),"MISSING ITEM ID")</x:f>
        <x:v>Resources</x:v>
      </x:c>
      <x:c r="D81" s="4" t="str">
        <x:v>Secondary</x:v>
      </x:c>
      <x:c r="E81" s="4" t="str">
        <x:v>Tool fabrication</x:v>
      </x:c>
      <x:c r="F81" s="4" t="str">
        <x:v>Current item description. Catalog intent, not implemented actions.</x:v>
      </x:c>
    </x:row>
    <x:row r="82" ht="45" customHeight="1">
      <x:c r="A82" s="4" t="str">
        <x:v>proposal.natural.magnesium_rock</x:v>
      </x:c>
      <x:c r="B82" s="4" t="str">
        <x:f>IFERROR(INDEX(Items!$B$6:$B$1005,MATCH(A82,Items!$A$6:$A$1005,0)),"MISSING ITEM ID")</x:f>
        <x:v>Magnesium-bearing rock</x:v>
      </x:c>
      <x:c r="C82" s="4" t="str">
        <x:f>IFERROR(INDEX(Items!$C$6:$C$1005,MATCH(A82,Items!$A$6:$A$1005,0)),"MISSING ITEM ID")</x:f>
        <x:v>Resources</x:v>
      </x:c>
      <x:c r="D82" s="4" t="str">
        <x:v>Primary</x:v>
      </x:c>
      <x:c r="E82" s="4" t="str">
        <x:f>IFERROR(INDEX(Items!$Z$6:$Z$1005,MATCH(A82,Items!$A$6:$A$1005,0)),"MISSING ITEM ID")</x:f>
        <x:v>Metal refining</x:v>
      </x:c>
      <x:c r="F82" s="4" t="str">
        <x:v>Current item description. Catalog intent, not implemented actions.</x:v>
      </x:c>
    </x:row>
    <x:row r="83" ht="45" customHeight="1">
      <x:c r="A83" s="4" t="str">
        <x:v>proposal.natural.raw_magnesium</x:v>
      </x:c>
      <x:c r="B83" s="4" t="str">
        <x:f>IFERROR(INDEX(Items!$B$6:$B$1005,MATCH(A83,Items!$A$6:$A$1005,0)),"MISSING ITEM ID")</x:f>
        <x:v>Raw magnesium metal</x:v>
      </x:c>
      <x:c r="C83" s="4" t="str">
        <x:f>IFERROR(INDEX(Items!$C$6:$C$1005,MATCH(A83,Items!$A$6:$A$1005,0)),"MISSING ITEM ID")</x:f>
        <x:v>Resources</x:v>
      </x:c>
      <x:c r="D83" s="4" t="str">
        <x:v>Primary</x:v>
      </x:c>
      <x:c r="E83" s="4" t="str">
        <x:f>IFERROR(INDEX(Items!$Z$6:$Z$1005,MATCH(A83,Items!$A$6:$A$1005,0)),"MISSING ITEM ID")</x:f>
        <x:v>Fabrication</x:v>
      </x:c>
      <x:c r="F83" s="4" t="str">
        <x:v>Current item description. Catalog intent, not implemented actions.</x:v>
      </x:c>
    </x:row>
    <x:row r="84" ht="45" customHeight="1">
      <x:c r="A84" s="4" t="str">
        <x:v>proposal.natural.hematite</x:v>
      </x:c>
      <x:c r="B84" s="4" t="str">
        <x:f>IFERROR(INDEX(Items!$B$6:$B$1005,MATCH(A84,Items!$A$6:$A$1005,0)),"MISSING ITEM ID")</x:f>
        <x:v>Raw hematite</x:v>
      </x:c>
      <x:c r="C84" s="4" t="str">
        <x:f>IFERROR(INDEX(Items!$C$6:$C$1005,MATCH(A84,Items!$A$6:$A$1005,0)),"MISSING ITEM ID")</x:f>
        <x:v>Resources</x:v>
      </x:c>
      <x:c r="D84" s="4" t="str">
        <x:v>Primary</x:v>
      </x:c>
      <x:c r="E84" s="4" t="str">
        <x:f>IFERROR(INDEX(Items!$Z$6:$Z$1005,MATCH(A84,Items!$A$6:$A$1005,0)),"MISSING ITEM ID")</x:f>
        <x:v>Metal refining</x:v>
      </x:c>
      <x:c r="F84" s="4" t="str">
        <x:v>Current item description. Catalog intent, not implemented actions.</x:v>
      </x:c>
    </x:row>
    <x:row r="85" ht="45" customHeight="1">
      <x:c r="A85" s="4" t="str">
        <x:v>proposal.natural.sulfur</x:v>
      </x:c>
      <x:c r="B85" s="4" t="str">
        <x:f>IFERROR(INDEX(Items!$B$6:$B$1005,MATCH(A85,Items!$A$6:$A$1005,0)),"MISSING ITEM ID")</x:f>
        <x:v>Raw sulfur</x:v>
      </x:c>
      <x:c r="C85" s="4" t="str">
        <x:f>IFERROR(INDEX(Items!$C$6:$C$1005,MATCH(A85,Items!$A$6:$A$1005,0)),"MISSING ITEM ID")</x:f>
        <x:v>Resources</x:v>
      </x:c>
      <x:c r="D85" s="4" t="str">
        <x:v>Primary</x:v>
      </x:c>
      <x:c r="E85" s="4" t="str">
        <x:f>IFERROR(INDEX(Items!$Z$6:$Z$1005,MATCH(A85,Items!$A$6:$A$1005,0)),"MISSING ITEM ID")</x:f>
        <x:v>Chemical processing</x:v>
      </x:c>
      <x:c r="F85" s="4" t="str">
        <x:v>Current item description. Catalog intent, not implemented actions.</x:v>
      </x:c>
    </x:row>
    <x:row r="86" ht="45" customHeight="1">
      <x:c r="A86" s="4" t="str">
        <x:v>proposal.natural.borate</x:v>
      </x:c>
      <x:c r="B86" s="4" t="str">
        <x:f>IFERROR(INDEX(Items!$B$6:$B$1005,MATCH(A86,Items!$A$6:$A$1005,0)),"MISSING ITEM ID")</x:f>
        <x:v>Raw borate minerals</x:v>
      </x:c>
      <x:c r="C86" s="4" t="str">
        <x:f>IFERROR(INDEX(Items!$C$6:$C$1005,MATCH(A86,Items!$A$6:$A$1005,0)),"MISSING ITEM ID")</x:f>
        <x:v>Resources</x:v>
      </x:c>
      <x:c r="D86" s="4" t="str">
        <x:v>Primary</x:v>
      </x:c>
      <x:c r="E86" s="4" t="str">
        <x:f>IFERROR(INDEX(Items!$Z$6:$Z$1005,MATCH(A86,Items!$A$6:$A$1005,0)),"MISSING ITEM ID")</x:f>
        <x:v>Glass and ceramics</x:v>
      </x:c>
      <x:c r="F86" s="4" t="str">
        <x:v>Current item description. Catalog intent, not implemented actions.</x:v>
      </x:c>
    </x:row>
    <x:row r="87" ht="45" customHeight="1">
      <x:c r="A87" s="4" t="str">
        <x:v>proposal.natural.gypsum</x:v>
      </x:c>
      <x:c r="B87" s="4" t="str">
        <x:f>IFERROR(INDEX(Items!$B$6:$B$1005,MATCH(A87,Items!$A$6:$A$1005,0)),"MISSING ITEM ID")</x:f>
        <x:v>Raw gypsum</x:v>
      </x:c>
      <x:c r="C87" s="4" t="str">
        <x:f>IFERROR(INDEX(Items!$C$6:$C$1005,MATCH(A87,Items!$A$6:$A$1005,0)),"MISSING ITEM ID")</x:f>
        <x:v>Resources</x:v>
      </x:c>
      <x:c r="D87" s="4" t="str">
        <x:v>Primary</x:v>
      </x:c>
      <x:c r="E87" s="4" t="str">
        <x:f>IFERROR(INDEX(Items!$Z$6:$Z$1005,MATCH(A87,Items!$A$6:$A$1005,0)),"MISSING ITEM ID")</x:f>
        <x:v>Glass and ceramics</x:v>
      </x:c>
      <x:c r="F87" s="4" t="str">
        <x:v>Current item description. Catalog intent, not implemented actions.</x:v>
      </x:c>
    </x:row>
    <x:row r="88" ht="45" customHeight="1">
      <x:c r="A88" s="4" t="str">
        <x:v>proposal.natural.talc</x:v>
      </x:c>
      <x:c r="B88" s="4" t="str">
        <x:f>IFERROR(INDEX(Items!$B$6:$B$1005,MATCH(A88,Items!$A$6:$A$1005,0)),"MISSING ITEM ID")</x:f>
        <x:v>Raw talc</x:v>
      </x:c>
      <x:c r="C88" s="4" t="str">
        <x:f>IFERROR(INDEX(Items!$C$6:$C$1005,MATCH(A88,Items!$A$6:$A$1005,0)),"MISSING ITEM ID")</x:f>
        <x:v>Resources</x:v>
      </x:c>
      <x:c r="D88" s="4" t="str">
        <x:v>Primary</x:v>
      </x:c>
      <x:c r="E88" s="4" t="str">
        <x:f>IFERROR(INDEX(Items!$Z$6:$Z$1005,MATCH(A88,Items!$A$6:$A$1005,0)),"MISSING ITEM ID")</x:f>
        <x:v>Glass and ceramics</x:v>
      </x:c>
      <x:c r="F88" s="4" t="str">
        <x:v>Current item description. Catalog intent, not implemented actions.</x:v>
      </x:c>
    </x:row>
    <x:row r="89" ht="45" customHeight="1">
      <x:c r="A89" s="4" t="str">
        <x:v>proposal.natural.talc</x:v>
      </x:c>
      <x:c r="B89" s="4" t="str">
        <x:f>IFERROR(INDEX(Items!$B$6:$B$1005,MATCH(A89,Items!$A$6:$A$1005,0)),"MISSING ITEM ID")</x:f>
        <x:v>Raw talc</x:v>
      </x:c>
      <x:c r="C89" s="4" t="str">
        <x:f>IFERROR(INDEX(Items!$C$6:$C$1005,MATCH(A89,Items!$A$6:$A$1005,0)),"MISSING ITEM ID")</x:f>
        <x:v>Resources</x:v>
      </x:c>
      <x:c r="D89" s="4" t="str">
        <x:v>Secondary</x:v>
      </x:c>
      <x:c r="E89" s="4" t="str">
        <x:v>Surface finishing</x:v>
      </x:c>
      <x:c r="F89" s="4" t="str">
        <x:v>Current item description. Catalog intent, not implemented actions.</x:v>
      </x:c>
    </x:row>
    <x:row r="90" ht="45" customHeight="1">
      <x:c r="A90" s="4" t="str">
        <x:v>proposal.natural.manganese_ore</x:v>
      </x:c>
      <x:c r="B90" s="4" t="str">
        <x:f>IFERROR(INDEX(Items!$B$6:$B$1005,MATCH(A90,Items!$A$6:$A$1005,0)),"MISSING ITEM ID")</x:f>
        <x:v>Manganese-bearing ore</x:v>
      </x:c>
      <x:c r="C90" s="4" t="str">
        <x:f>IFERROR(INDEX(Items!$C$6:$C$1005,MATCH(A90,Items!$A$6:$A$1005,0)),"MISSING ITEM ID")</x:f>
        <x:v>Resources</x:v>
      </x:c>
      <x:c r="D90" s="4" t="str">
        <x:v>Primary</x:v>
      </x:c>
      <x:c r="E90" s="4" t="str">
        <x:f>IFERROR(INDEX(Items!$Z$6:$Z$1005,MATCH(A90,Items!$A$6:$A$1005,0)),"MISSING ITEM ID")</x:f>
        <x:v>Metal refining</x:v>
      </x:c>
      <x:c r="F90" s="4" t="str">
        <x:v>Current item description. Catalog intent, not implemented actions.</x:v>
      </x:c>
    </x:row>
    <x:row r="91" ht="45" customHeight="1">
      <x:c r="A91" s="4" t="str">
        <x:v>proposal.natural.manganese_ore</x:v>
      </x:c>
      <x:c r="B91" s="4" t="str">
        <x:f>IFERROR(INDEX(Items!$B$6:$B$1005,MATCH(A91,Items!$A$6:$A$1005,0)),"MISSING ITEM ID")</x:f>
        <x:v>Manganese-bearing ore</x:v>
      </x:c>
      <x:c r="C91" s="4" t="str">
        <x:f>IFERROR(INDEX(Items!$C$6:$C$1005,MATCH(A91,Items!$A$6:$A$1005,0)),"MISSING ITEM ID")</x:f>
        <x:v>Resources</x:v>
      </x:c>
      <x:c r="D91" s="4" t="str">
        <x:v>Secondary</x:v>
      </x:c>
      <x:c r="E91" s="4" t="str">
        <x:v>Decoration</x:v>
      </x:c>
      <x:c r="F91" s="4" t="str">
        <x:v>Current item description. Catalog intent, not implemented actions.</x:v>
      </x:c>
    </x:row>
    <x:row r="92" ht="45" customHeight="1">
      <x:c r="A92" s="4" t="str">
        <x:v>proposal.natural.lead_ore</x:v>
      </x:c>
      <x:c r="B92" s="4" t="str">
        <x:f>IFERROR(INDEX(Items!$B$6:$B$1005,MATCH(A92,Items!$A$6:$A$1005,0)),"MISSING ITEM ID")</x:f>
        <x:v>Lead-bearing ore</x:v>
      </x:c>
      <x:c r="C92" s="4" t="str">
        <x:f>IFERROR(INDEX(Items!$C$6:$C$1005,MATCH(A92,Items!$A$6:$A$1005,0)),"MISSING ITEM ID")</x:f>
        <x:v>Resources</x:v>
      </x:c>
      <x:c r="D92" s="4" t="str">
        <x:v>Primary</x:v>
      </x:c>
      <x:c r="E92" s="4" t="str">
        <x:f>IFERROR(INDEX(Items!$Z$6:$Z$1005,MATCH(A92,Items!$A$6:$A$1005,0)),"MISSING ITEM ID")</x:f>
        <x:v>Metal refining</x:v>
      </x:c>
      <x:c r="F92" s="4" t="str">
        <x:v>Current item description. Catalog intent, not implemented actions.</x:v>
      </x:c>
    </x:row>
    <x:row r="93" ht="45" customHeight="1">
      <x:c r="A93" s="4" t="str">
        <x:v>proposal.natural.zinc_ore</x:v>
      </x:c>
      <x:c r="B93" s="4" t="str">
        <x:f>IFERROR(INDEX(Items!$B$6:$B$1005,MATCH(A93,Items!$A$6:$A$1005,0)),"MISSING ITEM ID")</x:f>
        <x:v>Zinc-bearing ore</x:v>
      </x:c>
      <x:c r="C93" s="4" t="str">
        <x:f>IFERROR(INDEX(Items!$C$6:$C$1005,MATCH(A93,Items!$A$6:$A$1005,0)),"MISSING ITEM ID")</x:f>
        <x:v>Resources</x:v>
      </x:c>
      <x:c r="D93" s="4" t="str">
        <x:v>Primary</x:v>
      </x:c>
      <x:c r="E93" s="4" t="str">
        <x:f>IFERROR(INDEX(Items!$Z$6:$Z$1005,MATCH(A93,Items!$A$6:$A$1005,0)),"MISSING ITEM ID")</x:f>
        <x:v>Metal refining</x:v>
      </x:c>
      <x:c r="F93" s="4" t="str">
        <x:v>Current item description. Catalog intent, not implemented actions.</x:v>
      </x:c>
    </x:row>
    <x:row r="94" ht="45" customHeight="1">
      <x:c r="A94" s="4" t="str">
        <x:v>proposal.natural.silver_ore</x:v>
      </x:c>
      <x:c r="B94" s="4" t="str">
        <x:f>IFERROR(INDEX(Items!$B$6:$B$1005,MATCH(A94,Items!$A$6:$A$1005,0)),"MISSING ITEM ID")</x:f>
        <x:v>Silver-bearing ore</x:v>
      </x:c>
      <x:c r="C94" s="4" t="str">
        <x:f>IFERROR(INDEX(Items!$C$6:$C$1005,MATCH(A94,Items!$A$6:$A$1005,0)),"MISSING ITEM ID")</x:f>
        <x:v>Resources</x:v>
      </x:c>
      <x:c r="D94" s="4" t="str">
        <x:v>Primary</x:v>
      </x:c>
      <x:c r="E94" s="4" t="str">
        <x:f>IFERROR(INDEX(Items!$Z$6:$Z$1005,MATCH(A94,Items!$A$6:$A$1005,0)),"MISSING ITEM ID")</x:f>
        <x:v>Metal refining</x:v>
      </x:c>
      <x:c r="F94" s="4" t="str">
        <x:v>Current item description. Catalog intent, not implemented actions.</x:v>
      </x:c>
    </x:row>
    <x:row r="95" ht="45" customHeight="1">
      <x:c r="A95" s="4" t="str">
        <x:v>proposal.natural.silver_ore</x:v>
      </x:c>
      <x:c r="B95" s="4" t="str">
        <x:f>IFERROR(INDEX(Items!$B$6:$B$1005,MATCH(A95,Items!$A$6:$A$1005,0)),"MISSING ITEM ID")</x:f>
        <x:v>Silver-bearing ore</x:v>
      </x:c>
      <x:c r="C95" s="4" t="str">
        <x:f>IFERROR(INDEX(Items!$C$6:$C$1005,MATCH(A95,Items!$A$6:$A$1005,0)),"MISSING ITEM ID")</x:f>
        <x:v>Resources</x:v>
      </x:c>
      <x:c r="D95" s="4" t="str">
        <x:v>Secondary</x:v>
      </x:c>
      <x:c r="E95" s="4" t="str">
        <x:v>Electrical conduction</x:v>
      </x:c>
      <x:c r="F95" s="4" t="str">
        <x:v>Current item description. Catalog intent, not implemented actions.</x:v>
      </x:c>
    </x:row>
    <x:row r="96" ht="45" customHeight="1">
      <x:c r="A96" s="4" t="str">
        <x:v>proposal.natural.gold_rock</x:v>
      </x:c>
      <x:c r="B96" s="4" t="str">
        <x:f>IFERROR(INDEX(Items!$B$6:$B$1005,MATCH(A96,Items!$A$6:$A$1005,0)),"MISSING ITEM ID")</x:f>
        <x:v>Gold-bearing rock</x:v>
      </x:c>
      <x:c r="C96" s="4" t="str">
        <x:f>IFERROR(INDEX(Items!$C$6:$C$1005,MATCH(A96,Items!$A$6:$A$1005,0)),"MISSING ITEM ID")</x:f>
        <x:v>Resources</x:v>
      </x:c>
      <x:c r="D96" s="4" t="str">
        <x:v>Primary</x:v>
      </x:c>
      <x:c r="E96" s="4" t="str">
        <x:f>IFERROR(INDEX(Items!$Z$6:$Z$1005,MATCH(A96,Items!$A$6:$A$1005,0)),"MISSING ITEM ID")</x:f>
        <x:v>Metal refining</x:v>
      </x:c>
      <x:c r="F96" s="4" t="str">
        <x:v>Current item description. Catalog intent, not implemented actions.</x:v>
      </x:c>
    </x:row>
    <x:row r="97" ht="45" customHeight="1">
      <x:c r="A97" s="4" t="str">
        <x:v>proposal.natural.gold_rock</x:v>
      </x:c>
      <x:c r="B97" s="4" t="str">
        <x:f>IFERROR(INDEX(Items!$B$6:$B$1005,MATCH(A97,Items!$A$6:$A$1005,0)),"MISSING ITEM ID")</x:f>
        <x:v>Gold-bearing rock</x:v>
      </x:c>
      <x:c r="C97" s="4" t="str">
        <x:f>IFERROR(INDEX(Items!$C$6:$C$1005,MATCH(A97,Items!$A$6:$A$1005,0)),"MISSING ITEM ID")</x:f>
        <x:v>Resources</x:v>
      </x:c>
      <x:c r="D97" s="4" t="str">
        <x:v>Secondary</x:v>
      </x:c>
      <x:c r="E97" s="4" t="str">
        <x:v>Decoration</x:v>
      </x:c>
      <x:c r="F97" s="4" t="str">
        <x:v>Current item description. Catalog intent, not implemented actions.</x:v>
      </x:c>
    </x:row>
    <x:row r="98" ht="45" customHeight="1">
      <x:c r="A98" s="4" t="str">
        <x:v>proposal.natural.fluorite</x:v>
      </x:c>
      <x:c r="B98" s="4" t="str">
        <x:f>IFERROR(INDEX(Items!$B$6:$B$1005,MATCH(A98,Items!$A$6:$A$1005,0)),"MISSING ITEM ID")</x:f>
        <x:v>Raw fluorite</x:v>
      </x:c>
      <x:c r="C98" s="4" t="str">
        <x:f>IFERROR(INDEX(Items!$C$6:$C$1005,MATCH(A98,Items!$A$6:$A$1005,0)),"MISSING ITEM ID")</x:f>
        <x:v>Resources</x:v>
      </x:c>
      <x:c r="D98" s="4" t="str">
        <x:v>Primary</x:v>
      </x:c>
      <x:c r="E98" s="4" t="str">
        <x:f>IFERROR(INDEX(Items!$Z$6:$Z$1005,MATCH(A98,Items!$A$6:$A$1005,0)),"MISSING ITEM ID")</x:f>
        <x:v>Glass and ceramics</x:v>
      </x:c>
      <x:c r="F98" s="4" t="str">
        <x:v>Current item description. Catalog intent, not implemented actions.</x:v>
      </x:c>
    </x:row>
    <x:row r="99" ht="45" customHeight="1">
      <x:c r="A99" s="4" t="str">
        <x:v>proposal.natural.fluorite</x:v>
      </x:c>
      <x:c r="B99" s="4" t="str">
        <x:f>IFERROR(INDEX(Items!$B$6:$B$1005,MATCH(A99,Items!$A$6:$A$1005,0)),"MISSING ITEM ID")</x:f>
        <x:v>Raw fluorite</x:v>
      </x:c>
      <x:c r="C99" s="4" t="str">
        <x:f>IFERROR(INDEX(Items!$C$6:$C$1005,MATCH(A99,Items!$A$6:$A$1005,0)),"MISSING ITEM ID")</x:f>
        <x:v>Resources</x:v>
      </x:c>
      <x:c r="D99" s="4" t="str">
        <x:v>Secondary</x:v>
      </x:c>
      <x:c r="E99" s="4" t="str">
        <x:v>Metal refining</x:v>
      </x:c>
      <x:c r="F99" s="4" t="str">
        <x:v>Current item description. Catalog intent, not implemented actions.</x:v>
      </x:c>
    </x:row>
    <x:row r="100" ht="45" customHeight="1">
      <x:c r="A100" s="4" t="str">
        <x:v>proposal.natural.antimony_ore</x:v>
      </x:c>
      <x:c r="B100" s="4" t="str">
        <x:f>IFERROR(INDEX(Items!$B$6:$B$1005,MATCH(A100,Items!$A$6:$A$1005,0)),"MISSING ITEM ID")</x:f>
        <x:v>Antimony-bearing ore</x:v>
      </x:c>
      <x:c r="C100" s="4" t="str">
        <x:f>IFERROR(INDEX(Items!$C$6:$C$1005,MATCH(A100,Items!$A$6:$A$1005,0)),"MISSING ITEM ID")</x:f>
        <x:v>Resources</x:v>
      </x:c>
      <x:c r="D100" s="4" t="str">
        <x:v>Primary</x:v>
      </x:c>
      <x:c r="E100" s="4" t="str">
        <x:f>IFERROR(INDEX(Items!$Z$6:$Z$1005,MATCH(A100,Items!$A$6:$A$1005,0)),"MISSING ITEM ID")</x:f>
        <x:v>Metal refining</x:v>
      </x:c>
      <x:c r="F100" s="4" t="str">
        <x:v>Current item description. Catalog intent, not implemented actions.</x:v>
      </x:c>
    </x:row>
    <x:row r="101" ht="45" customHeight="1">
      <x:c r="A101" s="4" t="str">
        <x:v>proposal.bio.chitin_fibers</x:v>
      </x:c>
      <x:c r="B101" s="4" t="str">
        <x:f>IFERROR(INDEX(Items!$B$6:$B$1005,MATCH(A101,Items!$A$6:$A$1005,0)),"MISSING ITEM ID")</x:f>
        <x:v>Scraped chitin fibers</x:v>
      </x:c>
      <x:c r="C101" s="4" t="str">
        <x:f>IFERROR(INDEX(Items!$C$6:$C$1005,MATCH(A101,Items!$A$6:$A$1005,0)),"MISSING ITEM ID")</x:f>
        <x:v>Resources</x:v>
      </x:c>
      <x:c r="D101" s="4" t="str">
        <x:v>Primary</x:v>
      </x:c>
      <x:c r="E101" s="4" t="str">
        <x:f>IFERROR(INDEX(Items!$Z$6:$Z$1005,MATCH(A101,Items!$A$6:$A$1005,0)),"MISSING ITEM ID")</x:f>
        <x:v>Paper making</x:v>
      </x:c>
      <x:c r="F101" s="4" t="str">
        <x:v>Current item description. Catalog intent, not implemented actions.</x:v>
      </x:c>
    </x:row>
    <x:row r="102" ht="45" customHeight="1">
      <x:c r="A102" s="4" t="str">
        <x:v>proposal.bio.chitin_fibers</x:v>
      </x:c>
      <x:c r="B102" s="4" t="str">
        <x:f>IFERROR(INDEX(Items!$B$6:$B$1005,MATCH(A102,Items!$A$6:$A$1005,0)),"MISSING ITEM ID")</x:f>
        <x:v>Scraped chitin fibers</x:v>
      </x:c>
      <x:c r="C102" s="4" t="str">
        <x:f>IFERROR(INDEX(Items!$C$6:$C$1005,MATCH(A102,Items!$A$6:$A$1005,0)),"MISSING ITEM ID")</x:f>
        <x:v>Resources</x:v>
      </x:c>
      <x:c r="D102" s="4" t="str">
        <x:v>Secondary</x:v>
      </x:c>
      <x:c r="E102" s="4" t="str">
        <x:v>Textile processing</x:v>
      </x:c>
      <x:c r="F102" s="4" t="str">
        <x:v>Current item description. Catalog intent, not implemented actions.</x:v>
      </x:c>
    </x:row>
    <x:row r="103" ht="45" customHeight="1">
      <x:c r="A103" s="4" t="str">
        <x:v>proposal.bio.icore_fibers</x:v>
      </x:c>
      <x:c r="B103" s="4" t="str">
        <x:f>IFERROR(INDEX(Items!$B$6:$B$1005,MATCH(A103,Items!$A$6:$A$1005,0)),"MISSING ITEM ID")</x:f>
        <x:v>Scraped icore fibers</x:v>
      </x:c>
      <x:c r="C103" s="4" t="str">
        <x:f>IFERROR(INDEX(Items!$C$6:$C$1005,MATCH(A103,Items!$A$6:$A$1005,0)),"MISSING ITEM ID")</x:f>
        <x:v>Resources</x:v>
      </x:c>
      <x:c r="D103" s="4" t="str">
        <x:v>Primary</x:v>
      </x:c>
      <x:c r="E103" s="4" t="str">
        <x:f>IFERROR(INDEX(Items!$Z$6:$Z$1005,MATCH(A103,Items!$A$6:$A$1005,0)),"MISSING ITEM ID")</x:f>
        <x:v>Paper making</x:v>
      </x:c>
      <x:c r="F103" s="4" t="str">
        <x:v>Current item description. Catalog intent, not implemented actions.</x:v>
      </x:c>
    </x:row>
    <x:row r="104" ht="45" customHeight="1">
      <x:c r="A104" s="4" t="str">
        <x:v>proposal.bio.icore_fibers</x:v>
      </x:c>
      <x:c r="B104" s="4" t="str">
        <x:f>IFERROR(INDEX(Items!$B$6:$B$1005,MATCH(A104,Items!$A$6:$A$1005,0)),"MISSING ITEM ID")</x:f>
        <x:v>Scraped icore fibers</x:v>
      </x:c>
      <x:c r="C104" s="4" t="str">
        <x:f>IFERROR(INDEX(Items!$C$6:$C$1005,MATCH(A104,Items!$A$6:$A$1005,0)),"MISSING ITEM ID")</x:f>
        <x:v>Resources</x:v>
      </x:c>
      <x:c r="D104" s="4" t="str">
        <x:v>Secondary</x:v>
      </x:c>
      <x:c r="E104" s="4" t="str">
        <x:v>Textile processing</x:v>
      </x:c>
      <x:c r="F104" s="4" t="str">
        <x:v>Current item description. Catalog intent, not implemented actions.</x:v>
      </x:c>
    </x:row>
    <x:row r="105" ht="45" customHeight="1">
      <x:c r="A105" s="4" t="str">
        <x:v>proposal.bio.husk_paper</x:v>
      </x:c>
      <x:c r="B105" s="4" t="str">
        <x:f>IFERROR(INDEX(Items!$B$6:$B$1005,MATCH(A105,Items!$A$6:$A$1005,0)),"MISSING ITEM ID")</x:f>
        <x:v>Husk-fiber paper</x:v>
      </x:c>
      <x:c r="C105" s="4" t="str">
        <x:f>IFERROR(INDEX(Items!$C$6:$C$1005,MATCH(A105,Items!$A$6:$A$1005,0)),"MISSING ITEM ID")</x:f>
        <x:v>Crafting components</x:v>
      </x:c>
      <x:c r="D105" s="4" t="str">
        <x:v>Primary</x:v>
      </x:c>
      <x:c r="E105" s="4" t="str">
        <x:f>IFERROR(INDEX(Items!$Z$6:$Z$1005,MATCH(A105,Items!$A$6:$A$1005,0)),"MISSING ITEM ID")</x:f>
        <x:v>Writing and records</x:v>
      </x:c>
      <x:c r="F105" s="4" t="str">
        <x:v>Current item description. Catalog intent, not implemented actions.</x:v>
      </x:c>
    </x:row>
    <x:row r="106" ht="45" customHeight="1">
      <x:c r="A106" s="4" t="str">
        <x:v>proposal.bio.pressed_husk</x:v>
      </x:c>
      <x:c r="B106" s="4" t="str">
        <x:f>IFERROR(INDEX(Items!$B$6:$B$1005,MATCH(A106,Items!$A$6:$A$1005,0)),"MISSING ITEM ID")</x:f>
        <x:v>Pressed husk-fiber textile material</x:v>
      </x:c>
      <x:c r="C106" s="4" t="str">
        <x:f>IFERROR(INDEX(Items!$C$6:$C$1005,MATCH(A106,Items!$A$6:$A$1005,0)),"MISSING ITEM ID")</x:f>
        <x:v>Crafting components</x:v>
      </x:c>
      <x:c r="D106" s="4" t="str">
        <x:v>Primary</x:v>
      </x:c>
      <x:c r="E106" s="4" t="str">
        <x:f>IFERROR(INDEX(Items!$Z$6:$Z$1005,MATCH(A106,Items!$A$6:$A$1005,0)),"MISSING ITEM ID")</x:f>
        <x:v>Clothing fabrication</x:v>
      </x:c>
      <x:c r="F106" s="4" t="str">
        <x:v>Current item description. Catalog intent, not implemented actions.</x:v>
      </x:c>
    </x:row>
    <x:row r="107" ht="45" customHeight="1">
      <x:c r="A107" s="4" t="str">
        <x:v>proposal.bio.hide</x:v>
      </x:c>
      <x:c r="B107" s="4" t="str">
        <x:f>IFERROR(INDEX(Items!$B$6:$B$1005,MATCH(A107,Items!$A$6:$A$1005,0)),"MISSING ITEM ID")</x:f>
        <x:v>Raw hide</x:v>
      </x:c>
      <x:c r="C107" s="4" t="str">
        <x:f>IFERROR(INDEX(Items!$C$6:$C$1005,MATCH(A107,Items!$A$6:$A$1005,0)),"MISSING ITEM ID")</x:f>
        <x:v>Resources</x:v>
      </x:c>
      <x:c r="D107" s="4" t="str">
        <x:v>Primary</x:v>
      </x:c>
      <x:c r="E107" s="4" t="str">
        <x:f>IFERROR(INDEX(Items!$Z$6:$Z$1005,MATCH(A107,Items!$A$6:$A$1005,0)),"MISSING ITEM ID")</x:f>
        <x:v>Textile processing</x:v>
      </x:c>
      <x:c r="F107" s="4" t="str">
        <x:v>Current item description. Catalog intent, not implemented actions.</x:v>
      </x:c>
    </x:row>
    <x:row r="108" ht="45" customHeight="1">
      <x:c r="A108" s="4" t="str">
        <x:v>proposal.bio.hide_material</x:v>
      </x:c>
      <x:c r="B108" s="4" t="str">
        <x:f>IFERROR(INDEX(Items!$B$6:$B$1005,MATCH(A108,Items!$A$6:$A$1005,0)),"MISSING ITEM ID")</x:f>
        <x:v>Processed hide material</x:v>
      </x:c>
      <x:c r="C108" s="4" t="str">
        <x:f>IFERROR(INDEX(Items!$C$6:$C$1005,MATCH(A108,Items!$A$6:$A$1005,0)),"MISSING ITEM ID")</x:f>
        <x:v>Crafting components</x:v>
      </x:c>
      <x:c r="D108" s="4" t="str">
        <x:v>Primary</x:v>
      </x:c>
      <x:c r="E108" s="4" t="str">
        <x:f>IFERROR(INDEX(Items!$Z$6:$Z$1005,MATCH(A108,Items!$A$6:$A$1005,0)),"MISSING ITEM ID")</x:f>
        <x:v>Clothing fabrication</x:v>
      </x:c>
      <x:c r="F108" s="4" t="str">
        <x:v>Current item description. Catalog intent, not implemented actions.</x:v>
      </x:c>
    </x:row>
    <x:row r="109" ht="45" customHeight="1">
      <x:c r="A109" s="4" t="str">
        <x:v>proposal.bio.edible_fraction</x:v>
      </x:c>
      <x:c r="B109" s="4" t="str">
        <x:f>IFERROR(INDEX(Items!$B$6:$B$1005,MATCH(A109,Items!$A$6:$A$1005,0)),"MISSING ITEM ID")</x:f>
        <x:v>Edible fauna fraction (species TBD)</x:v>
      </x:c>
      <x:c r="C109" s="4" t="str">
        <x:f>IFERROR(INDEX(Items!$C$6:$C$1005,MATCH(A109,Items!$A$6:$A$1005,0)),"MISSING ITEM ID")</x:f>
        <x:v>Resources</x:v>
      </x:c>
      <x:c r="D109" s="4" t="str">
        <x:v>Primary</x:v>
      </x:c>
      <x:c r="E109" s="4" t="str">
        <x:f>IFERROR(INDEX(Items!$Z$6:$Z$1005,MATCH(A109,Items!$A$6:$A$1005,0)),"MISSING ITEM ID")</x:f>
        <x:v>Nutrition</x:v>
      </x:c>
      <x:c r="F109" s="4" t="str">
        <x:v>Current item description. Catalog intent, not implemented actions.</x:v>
      </x:c>
    </x:row>
    <x:row r="110" ht="45" customHeight="1">
      <x:c r="A110" s="4" t="str">
        <x:v>proposal.bio.chemical_material</x:v>
      </x:c>
      <x:c r="B110" s="4" t="str">
        <x:f>IFERROR(INDEX(Items!$B$6:$B$1005,MATCH(A110,Items!$A$6:$A$1005,0)),"MISSING ITEM ID")</x:f>
        <x:v>Faunal chemical material (unspecified)</x:v>
      </x:c>
      <x:c r="C110" s="4" t="str">
        <x:f>IFERROR(INDEX(Items!$C$6:$C$1005,MATCH(A110,Items!$A$6:$A$1005,0)),"MISSING ITEM ID")</x:f>
        <x:v>Resources</x:v>
      </x:c>
      <x:c r="D110" s="4" t="str">
        <x:v>Primary</x:v>
      </x:c>
      <x:c r="E110" s="4" t="str">
        <x:f>IFERROR(INDEX(Items!$Z$6:$Z$1005,MATCH(A110,Items!$A$6:$A$1005,0)),"MISSING ITEM ID")</x:f>
        <x:v>Chemical processing</x:v>
      </x:c>
      <x:c r="F110" s="4" t="str">
        <x:v>Current item description. Catalog intent, not implemented actions.</x:v>
      </x:c>
    </x:row>
    <x:row r="111" ht="45" customHeight="1">
      <x:c r="A111" s="4" t="str">
        <x:v>proposal.bio.liquid_material</x:v>
      </x:c>
      <x:c r="B111" s="4" t="str">
        <x:f>IFERROR(INDEX(Items!$B$6:$B$1005,MATCH(A111,Items!$A$6:$A$1005,0)),"MISSING ITEM ID")</x:f>
        <x:v>Faunal liquid material (unspecified)</x:v>
      </x:c>
      <x:c r="C111" s="4" t="str">
        <x:f>IFERROR(INDEX(Items!$C$6:$C$1005,MATCH(A111,Items!$A$6:$A$1005,0)),"MISSING ITEM ID")</x:f>
        <x:v>Resources</x:v>
      </x:c>
      <x:c r="D111" s="4" t="str">
        <x:v>Primary</x:v>
      </x:c>
      <x:c r="E111" s="4" t="str">
        <x:f>IFERROR(INDEX(Items!$Z$6:$Z$1005,MATCH(A111,Items!$A$6:$A$1005,0)),"MISSING ITEM ID")</x:f>
        <x:v>Chemical processing</x:v>
      </x:c>
      <x:c r="F111" s="4" t="str">
        <x:v>Current item description. Catalog intent, not implemented actions.</x:v>
      </x:c>
    </x:row>
    <x:row r="112" ht="45" customHeight="1">
      <x:c r="A112" s="4" t="str">
        <x:v>proposal.chemical.digestive_etchant</x:v>
      </x:c>
      <x:c r="B112" s="4" t="str">
        <x:f>IFERROR(INDEX(Items!$B$6:$B$1005,MATCH(A112,Items!$A$6:$A$1005,0)),"MISSING ITEM ID")</x:f>
        <x:v>Digestive etchant</x:v>
      </x:c>
      <x:c r="C112" s="4" t="str">
        <x:f>IFERROR(INDEX(Items!$C$6:$C$1005,MATCH(A112,Items!$A$6:$A$1005,0)),"MISSING ITEM ID")</x:f>
        <x:v>Resources</x:v>
      </x:c>
      <x:c r="D112" s="4" t="str">
        <x:v>Primary</x:v>
      </x:c>
      <x:c r="E112" s="4" t="str">
        <x:f>IFERROR(INDEX(Items!$Z$6:$Z$1005,MATCH(A112,Items!$A$6:$A$1005,0)),"MISSING ITEM ID")</x:f>
        <x:v>Chemical processing</x:v>
      </x:c>
      <x:c r="F112" s="4" t="str">
        <x:v>Current item description. Catalog intent, not implemented actions.</x:v>
      </x:c>
    </x:row>
    <x:row r="113" ht="45" customHeight="1">
      <x:c r="A113" s="4" t="str">
        <x:v>proposal.chemical.digestive_etchant</x:v>
      </x:c>
      <x:c r="B113" s="4" t="str">
        <x:f>IFERROR(INDEX(Items!$B$6:$B$1005,MATCH(A113,Items!$A$6:$A$1005,0)),"MISSING ITEM ID")</x:f>
        <x:v>Digestive etchant</x:v>
      </x:c>
      <x:c r="C113" s="4" t="str">
        <x:f>IFERROR(INDEX(Items!$C$6:$C$1005,MATCH(A113,Items!$A$6:$A$1005,0)),"MISSING ITEM ID")</x:f>
        <x:v>Resources</x:v>
      </x:c>
      <x:c r="D113" s="4" t="str">
        <x:v>Secondary</x:v>
      </x:c>
      <x:c r="E113" s="4" t="str">
        <x:v>Surface finishing</x:v>
      </x:c>
      <x:c r="F113" s="4" t="str">
        <x:v>Current item description. Catalog intent, not implemented actions.</x:v>
      </x:c>
    </x:row>
    <x:row r="114" ht="45" customHeight="1">
      <x:c r="A114" s="4" t="str">
        <x:v>proposal.chemical.husk_enzyme</x:v>
      </x:c>
      <x:c r="B114" s="4" t="str">
        <x:f>IFERROR(INDEX(Items!$B$6:$B$1005,MATCH(A114,Items!$A$6:$A$1005,0)),"MISSING ITEM ID")</x:f>
        <x:v>Husk-separation enzyme</x:v>
      </x:c>
      <x:c r="C114" s="4" t="str">
        <x:f>IFERROR(INDEX(Items!$C$6:$C$1005,MATCH(A114,Items!$A$6:$A$1005,0)),"MISSING ITEM ID")</x:f>
        <x:v>Resources</x:v>
      </x:c>
      <x:c r="D114" s="4" t="str">
        <x:v>Primary</x:v>
      </x:c>
      <x:c r="E114" s="4" t="str">
        <x:f>IFERROR(INDEX(Items!$Z$6:$Z$1005,MATCH(A114,Items!$A$6:$A$1005,0)),"MISSING ITEM ID")</x:f>
        <x:v>Fiber processing</x:v>
      </x:c>
      <x:c r="F114" s="4" t="str">
        <x:v>Current item description. Catalog intent, not implemented actions.</x:v>
      </x:c>
    </x:row>
    <x:row r="115" ht="45" customHeight="1">
      <x:c r="A115" s="4" t="str">
        <x:v>proposal.chemical.husk_enzyme</x:v>
      </x:c>
      <x:c r="B115" s="4" t="str">
        <x:f>IFERROR(INDEX(Items!$B$6:$B$1005,MATCH(A115,Items!$A$6:$A$1005,0)),"MISSING ITEM ID")</x:f>
        <x:v>Husk-separation enzyme</x:v>
      </x:c>
      <x:c r="C115" s="4" t="str">
        <x:f>IFERROR(INDEX(Items!$C$6:$C$1005,MATCH(A115,Items!$A$6:$A$1005,0)),"MISSING ITEM ID")</x:f>
        <x:v>Resources</x:v>
      </x:c>
      <x:c r="D115" s="4" t="str">
        <x:v>Secondary</x:v>
      </x:c>
      <x:c r="E115" s="4" t="str">
        <x:v>Paper making</x:v>
      </x:c>
      <x:c r="F115" s="4" t="str">
        <x:v>Current item description. Catalog intent, not implemented actions.</x:v>
      </x:c>
    </x:row>
    <x:row r="116" ht="45" customHeight="1">
      <x:c r="A116" s="4" t="str">
        <x:v>proposal.chemical.husk_enzyme</x:v>
      </x:c>
      <x:c r="B116" s="4" t="str">
        <x:f>IFERROR(INDEX(Items!$B$6:$B$1005,MATCH(A116,Items!$A$6:$A$1005,0)),"MISSING ITEM ID")</x:f>
        <x:v>Husk-separation enzyme</x:v>
      </x:c>
      <x:c r="C116" s="4" t="str">
        <x:f>IFERROR(INDEX(Items!$C$6:$C$1005,MATCH(A116,Items!$A$6:$A$1005,0)),"MISSING ITEM ID")</x:f>
        <x:v>Resources</x:v>
      </x:c>
      <x:c r="D116" s="4" t="str">
        <x:v>Secondary</x:v>
      </x:c>
      <x:c r="E116" s="4" t="str">
        <x:v>Textile processing</x:v>
      </x:c>
      <x:c r="F116" s="4" t="str">
        <x:v>Current item description. Catalog intent, not implemented actions.</x:v>
      </x:c>
    </x:row>
    <x:row r="117" ht="45" customHeight="1">
      <x:c r="A117" s="4" t="str">
        <x:v>proposal.chemical.shell_binder</x:v>
      </x:c>
      <x:c r="B117" s="4" t="str">
        <x:f>IFERROR(INDEX(Items!$B$6:$B$1005,MATCH(A117,Items!$A$6:$A$1005,0)),"MISSING ITEM ID")</x:f>
        <x:v>Shell-binding secretion</x:v>
      </x:c>
      <x:c r="C117" s="4" t="str">
        <x:f>IFERROR(INDEX(Items!$C$6:$C$1005,MATCH(A117,Items!$A$6:$A$1005,0)),"MISSING ITEM ID")</x:f>
        <x:v>Resources</x:v>
      </x:c>
      <x:c r="D117" s="4" t="str">
        <x:v>Primary</x:v>
      </x:c>
      <x:c r="E117" s="4" t="str">
        <x:f>IFERROR(INDEX(Items!$Z$6:$Z$1005,MATCH(A117,Items!$A$6:$A$1005,0)),"MISSING ITEM ID")</x:f>
        <x:v>Binding and construction</x:v>
      </x:c>
      <x:c r="F117" s="4" t="str">
        <x:v>Current item description. Catalog intent, not implemented actions.</x:v>
      </x:c>
    </x:row>
    <x:row r="118" ht="45" customHeight="1">
      <x:c r="A118" s="4" t="str">
        <x:v>proposal.chemical.shell_binder</x:v>
      </x:c>
      <x:c r="B118" s="4" t="str">
        <x:f>IFERROR(INDEX(Items!$B$6:$B$1005,MATCH(A118,Items!$A$6:$A$1005,0)),"MISSING ITEM ID")</x:f>
        <x:v>Shell-binding secretion</x:v>
      </x:c>
      <x:c r="C118" s="4" t="str">
        <x:f>IFERROR(INDEX(Items!$C$6:$C$1005,MATCH(A118,Items!$A$6:$A$1005,0)),"MISSING ITEM ID")</x:f>
        <x:v>Resources</x:v>
      </x:c>
      <x:c r="D118" s="4" t="str">
        <x:v>Secondary</x:v>
      </x:c>
      <x:c r="E118" s="4" t="str">
        <x:v>Protective fabrication</x:v>
      </x:c>
      <x:c r="F118" s="4" t="str">
        <x:v>Current item description. Catalog intent, not implemented actions.</x:v>
      </x:c>
    </x:row>
    <x:row r="119" ht="45" customHeight="1">
      <x:c r="A119" s="4" t="str">
        <x:v>proposal.chemical.shell_binder</x:v>
      </x:c>
      <x:c r="B119" s="4" t="str">
        <x:f>IFERROR(INDEX(Items!$B$6:$B$1005,MATCH(A119,Items!$A$6:$A$1005,0)),"MISSING ITEM ID")</x:f>
        <x:v>Shell-binding secretion</x:v>
      </x:c>
      <x:c r="C119" s="4" t="str">
        <x:f>IFERROR(INDEX(Items!$C$6:$C$1005,MATCH(A119,Items!$A$6:$A$1005,0)),"MISSING ITEM ID")</x:f>
        <x:v>Resources</x:v>
      </x:c>
      <x:c r="D119" s="4" t="str">
        <x:v>Secondary</x:v>
      </x:c>
      <x:c r="E119" s="4" t="str">
        <x:v>Textile processing</x:v>
      </x:c>
      <x:c r="F119" s="4" t="str">
        <x:v>Current item description. Catalog intent, not implemented actions.</x:v>
      </x:c>
    </x:row>
    <x:row r="120" ht="45" customHeight="1">
      <x:c r="A120" s="4" t="str">
        <x:v>proposal.chemical.clotting_compound</x:v>
      </x:c>
      <x:c r="B120" s="4" t="str">
        <x:f>IFERROR(INDEX(Items!$B$6:$B$1005,MATCH(A120,Items!$A$6:$A$1005,0)),"MISSING ITEM ID")</x:f>
        <x:v>Mineral clotting compound</x:v>
      </x:c>
      <x:c r="C120" s="4" t="str">
        <x:f>IFERROR(INDEX(Items!$C$6:$C$1005,MATCH(A120,Items!$A$6:$A$1005,0)),"MISSING ITEM ID")</x:f>
        <x:v>Resources</x:v>
      </x:c>
      <x:c r="D120" s="4" t="str">
        <x:v>Primary</x:v>
      </x:c>
      <x:c r="E120" s="4" t="str">
        <x:f>IFERROR(INDEX(Items!$Z$6:$Z$1005,MATCH(A120,Items!$A$6:$A$1005,0)),"MISSING ITEM ID")</x:f>
        <x:v>Equipment repair</x:v>
      </x:c>
      <x:c r="F120" s="4" t="str">
        <x:v>Current item description. Catalog intent, not implemented actions.</x:v>
      </x:c>
    </x:row>
    <x:row r="121" ht="45" customHeight="1">
      <x:c r="A121" s="4" t="str">
        <x:v>proposal.chemical.clotting_compound</x:v>
      </x:c>
      <x:c r="B121" s="4" t="str">
        <x:f>IFERROR(INDEX(Items!$B$6:$B$1005,MATCH(A121,Items!$A$6:$A$1005,0)),"MISSING ITEM ID")</x:f>
        <x:v>Mineral clotting compound</x:v>
      </x:c>
      <x:c r="C121" s="4" t="str">
        <x:f>IFERROR(INDEX(Items!$C$6:$C$1005,MATCH(A121,Items!$A$6:$A$1005,0)),"MISSING ITEM ID")</x:f>
        <x:v>Resources</x:v>
      </x:c>
      <x:c r="D121" s="4" t="str">
        <x:v>Secondary</x:v>
      </x:c>
      <x:c r="E121" s="4" t="str">
        <x:v>Sealing</x:v>
      </x:c>
      <x:c r="F121" s="4" t="str">
        <x:v>Current item description. Catalog intent, not implemented actions.</x:v>
      </x:c>
    </x:row>
    <x:row r="122" ht="45" customHeight="1">
      <x:c r="A122" s="4" t="str">
        <x:v>proposal.chemical.mineral_ichor</x:v>
      </x:c>
      <x:c r="B122" s="4" t="str">
        <x:f>IFERROR(INDEX(Items!$B$6:$B$1005,MATCH(A122,Items!$A$6:$A$1005,0)),"MISSING ITEM ID")</x:f>
        <x:v>Mineral-rich ichor</x:v>
      </x:c>
      <x:c r="C122" s="4" t="str">
        <x:f>IFERROR(INDEX(Items!$C$6:$C$1005,MATCH(A122,Items!$A$6:$A$1005,0)),"MISSING ITEM ID")</x:f>
        <x:v>Resources</x:v>
      </x:c>
      <x:c r="D122" s="4" t="str">
        <x:v>Primary</x:v>
      </x:c>
      <x:c r="E122" s="4" t="str">
        <x:f>IFERROR(INDEX(Items!$Z$6:$Z$1005,MATCH(A122,Items!$A$6:$A$1005,0)),"MISSING ITEM ID")</x:f>
        <x:v>Chemical processing</x:v>
      </x:c>
      <x:c r="F122" s="4" t="str">
        <x:v>Current item description. Catalog intent, not implemented actions.</x:v>
      </x:c>
    </x:row>
    <x:row r="123" ht="45" customHeight="1">
      <x:c r="A123" s="4" t="str">
        <x:v>proposal.chemical.mineral_ichor</x:v>
      </x:c>
      <x:c r="B123" s="4" t="str">
        <x:f>IFERROR(INDEX(Items!$B$6:$B$1005,MATCH(A123,Items!$A$6:$A$1005,0)),"MISSING ITEM ID")</x:f>
        <x:v>Mineral-rich ichor</x:v>
      </x:c>
      <x:c r="C123" s="4" t="str">
        <x:f>IFERROR(INDEX(Items!$C$6:$C$1005,MATCH(A123,Items!$A$6:$A$1005,0)),"MISSING ITEM ID")</x:f>
        <x:v>Resources</x:v>
      </x:c>
      <x:c r="D123" s="4" t="str">
        <x:v>Secondary</x:v>
      </x:c>
      <x:c r="E123" s="4" t="str">
        <x:v>Decoration</x:v>
      </x:c>
      <x:c r="F123" s="4" t="str">
        <x:v>Current item description. Catalog intent, not implemented actions.</x:v>
      </x:c>
    </x:row>
    <x:row r="124" ht="45" customHeight="1">
      <x:c r="A124" s="4" t="str">
        <x:v>proposal.chemical.joint_lubricant</x:v>
      </x:c>
      <x:c r="B124" s="4" t="str">
        <x:f>IFERROR(INDEX(Items!$B$6:$B$1005,MATCH(A124,Items!$A$6:$A$1005,0)),"MISSING ITEM ID")</x:f>
        <x:v>Joint-lubricating secretion</x:v>
      </x:c>
      <x:c r="C124" s="4" t="str">
        <x:f>IFERROR(INDEX(Items!$C$6:$C$1005,MATCH(A124,Items!$A$6:$A$1005,0)),"MISSING ITEM ID")</x:f>
        <x:v>Resources</x:v>
      </x:c>
      <x:c r="D124" s="4" t="str">
        <x:v>Primary</x:v>
      </x:c>
      <x:c r="E124" s="4" t="str">
        <x:f>IFERROR(INDEX(Items!$Z$6:$Z$1005,MATCH(A124,Items!$A$6:$A$1005,0)),"MISSING ITEM ID")</x:f>
        <x:v>Lubrication</x:v>
      </x:c>
      <x:c r="F124" s="4" t="str">
        <x:v>Current item description. Catalog intent, not implemented actions.</x:v>
      </x:c>
    </x:row>
    <x:row r="125" ht="45" customHeight="1">
      <x:c r="A125" s="4" t="str">
        <x:v>proposal.chemical.joint_lubricant</x:v>
      </x:c>
      <x:c r="B125" s="4" t="str">
        <x:f>IFERROR(INDEX(Items!$B$6:$B$1005,MATCH(A125,Items!$A$6:$A$1005,0)),"MISSING ITEM ID")</x:f>
        <x:v>Joint-lubricating secretion</x:v>
      </x:c>
      <x:c r="C125" s="4" t="str">
        <x:f>IFERROR(INDEX(Items!$C$6:$C$1005,MATCH(A125,Items!$A$6:$A$1005,0)),"MISSING ITEM ID")</x:f>
        <x:v>Resources</x:v>
      </x:c>
      <x:c r="D125" s="4" t="str">
        <x:v>Secondary</x:v>
      </x:c>
      <x:c r="E125" s="4" t="str">
        <x:v>Sealing</x:v>
      </x:c>
      <x:c r="F125" s="4" t="str">
        <x:v>Current item description. Catalog intent, not implemented actions.</x:v>
      </x:c>
    </x:row>
    <x:row r="126" ht="45" customHeight="1">
      <x:c r="A126" s="4" t="str">
        <x:v>proposal.chemical.insulating_secretion</x:v>
      </x:c>
      <x:c r="B126" s="4" t="str">
        <x:f>IFERROR(INDEX(Items!$B$6:$B$1005,MATCH(A126,Items!$A$6:$A$1005,0)),"MISSING ITEM ID")</x:f>
        <x:v>Insulating secretion</x:v>
      </x:c>
      <x:c r="C126" s="4" t="str">
        <x:f>IFERROR(INDEX(Items!$C$6:$C$1005,MATCH(A126,Items!$A$6:$A$1005,0)),"MISSING ITEM ID")</x:f>
        <x:v>Resources</x:v>
      </x:c>
      <x:c r="D126" s="4" t="str">
        <x:v>Primary</x:v>
      </x:c>
      <x:c r="E126" s="4" t="str">
        <x:f>IFERROR(INDEX(Items!$Z$6:$Z$1005,MATCH(A126,Items!$A$6:$A$1005,0)),"MISSING ITEM ID")</x:f>
        <x:v>Electrical insulation</x:v>
      </x:c>
      <x:c r="F126" s="4" t="str">
        <x:v>Current item description. Catalog intent, not implemented actions.</x:v>
      </x:c>
    </x:row>
    <x:row r="127" ht="45" customHeight="1">
      <x:c r="A127" s="4" t="str">
        <x:v>proposal.chemical.conductive_gel</x:v>
      </x:c>
      <x:c r="B127" s="4" t="str">
        <x:f>IFERROR(INDEX(Items!$B$6:$B$1005,MATCH(A127,Items!$A$6:$A$1005,0)),"MISSING ITEM ID")</x:f>
        <x:v>Charge-conducting gel</x:v>
      </x:c>
      <x:c r="C127" s="4" t="str">
        <x:f>IFERROR(INDEX(Items!$C$6:$C$1005,MATCH(A127,Items!$A$6:$A$1005,0)),"MISSING ITEM ID")</x:f>
        <x:v>Resources</x:v>
      </x:c>
      <x:c r="D127" s="4" t="str">
        <x:v>Primary</x:v>
      </x:c>
      <x:c r="E127" s="4" t="str">
        <x:f>IFERROR(INDEX(Items!$Z$6:$Z$1005,MATCH(A127,Items!$A$6:$A$1005,0)),"MISSING ITEM ID")</x:f>
        <x:v>Electrical conduction</x:v>
      </x:c>
      <x:c r="F127" s="4" t="str">
        <x:v>Current item description. Catalog intent, not implemented actions.</x:v>
      </x:c>
    </x:row>
    <x:row r="128" ht="45" customHeight="1">
      <x:c r="A128" s="4" t="str">
        <x:v>proposal.chemical.molt_release</x:v>
      </x:c>
      <x:c r="B128" s="4" t="str">
        <x:f>IFERROR(INDEX(Items!$B$6:$B$1005,MATCH(A128,Items!$A$6:$A$1005,0)),"MISSING ITEM ID")</x:f>
        <x:v>Molt-release compound</x:v>
      </x:c>
      <x:c r="C128" s="4" t="str">
        <x:f>IFERROR(INDEX(Items!$C$6:$C$1005,MATCH(A128,Items!$A$6:$A$1005,0)),"MISSING ITEM ID")</x:f>
        <x:v>Resources</x:v>
      </x:c>
      <x:c r="D128" s="4" t="str">
        <x:v>Primary</x:v>
      </x:c>
      <x:c r="E128" s="4" t="str">
        <x:f>IFERROR(INDEX(Items!$Z$6:$Z$1005,MATCH(A128,Items!$A$6:$A$1005,0)),"MISSING ITEM ID")</x:f>
        <x:v>Surface finishing</x:v>
      </x:c>
      <x:c r="F128" s="4" t="str">
        <x:v>Current item description. Catalog intent, not implemented actions.</x:v>
      </x:c>
    </x:row>
    <x:row r="129" ht="45" customHeight="1">
      <x:c r="A129" s="4" t="str">
        <x:v>proposal.chemical.molt_release</x:v>
      </x:c>
      <x:c r="B129" s="4" t="str">
        <x:f>IFERROR(INDEX(Items!$B$6:$B$1005,MATCH(A129,Items!$A$6:$A$1005,0)),"MISSING ITEM ID")</x:f>
        <x:v>Molt-release compound</x:v>
      </x:c>
      <x:c r="C129" s="4" t="str">
        <x:f>IFERROR(INDEX(Items!$C$6:$C$1005,MATCH(A129,Items!$A$6:$A$1005,0)),"MISSING ITEM ID")</x:f>
        <x:v>Resources</x:v>
      </x:c>
      <x:c r="D129" s="4" t="str">
        <x:v>Secondary</x:v>
      </x:c>
      <x:c r="E129" s="4" t="str">
        <x:v>Fiber processing</x:v>
      </x:c>
      <x:c r="F129" s="4" t="str">
        <x:v>Current item description. Catalog intent, not implemented actions.</x:v>
      </x:c>
    </x:row>
    <x:row r="130" ht="45" customHeight="1">
      <x:c r="A130" s="4" t="str">
        <x:v>proposal.chemical.defensive_irritant</x:v>
      </x:c>
      <x:c r="B130" s="4" t="str">
        <x:f>IFERROR(INDEX(Items!$B$6:$B$1005,MATCH(A130,Items!$A$6:$A$1005,0)),"MISSING ITEM ID")</x:f>
        <x:v>Defensive irritant secretion</x:v>
      </x:c>
      <x:c r="C130" s="4" t="str">
        <x:f>IFERROR(INDEX(Items!$C$6:$C$1005,MATCH(A130,Items!$A$6:$A$1005,0)),"MISSING ITEM ID")</x:f>
        <x:v>Resources</x:v>
      </x:c>
      <x:c r="D130" s="4" t="str">
        <x:v>Primary</x:v>
      </x:c>
      <x:c r="E130" s="4" t="str">
        <x:f>IFERROR(INDEX(Items!$Z$6:$Z$1005,MATCH(A130,Items!$A$6:$A$1005,0)),"MISSING ITEM ID")</x:f>
        <x:v>Material exclusion</x:v>
      </x:c>
      <x:c r="F130" s="4" t="str">
        <x:v>Current item description. Catalog intent, not implemented actions.</x:v>
      </x:c>
    </x:row>
    <x:row r="131" ht="45" customHeight="1">
      <x:c r="A131" s="4" t="str">
        <x:v>proposal.chemical.disabling_venom</x:v>
      </x:c>
      <x:c r="B131" s="4" t="str">
        <x:f>IFERROR(INDEX(Items!$B$6:$B$1005,MATCH(A131,Items!$A$6:$A$1005,0)),"MISSING ITEM ID")</x:f>
        <x:v>Disabling venom fraction</x:v>
      </x:c>
      <x:c r="C131" s="4" t="str">
        <x:f>IFERROR(INDEX(Items!$C$6:$C$1005,MATCH(A131,Items!$A$6:$A$1005,0)),"MISSING ITEM ID")</x:f>
        <x:v>Resources</x:v>
      </x:c>
      <x:c r="D131" s="4" t="str">
        <x:v>Primary</x:v>
      </x:c>
      <x:c r="E131" s="4" t="str">
        <x:f>IFERROR(INDEX(Items!$Z$6:$Z$1005,MATCH(A131,Items!$A$6:$A$1005,0)),"MISSING ITEM ID")</x:f>
        <x:v>Specialist samples</x:v>
      </x:c>
      <x:c r="F131" s="4" t="str">
        <x:v>Current item description. Catalog intent, not implemented actions.</x:v>
      </x:c>
    </x:row>
    <x:row r="132" ht="45" customHeight="1">
      <x:c r="A132" s="4" t="str">
        <x:v>proposal.chemical.scent_marker</x:v>
      </x:c>
      <x:c r="B132" s="4" t="str">
        <x:f>IFERROR(INDEX(Items!$B$6:$B$1005,MATCH(A132,Items!$A$6:$A$1005,0)),"MISSING ITEM ID")</x:f>
        <x:v>Chemical scent marker</x:v>
      </x:c>
      <x:c r="C132" s="4" t="str">
        <x:f>IFERROR(INDEX(Items!$C$6:$C$1005,MATCH(A132,Items!$A$6:$A$1005,0)),"MISSING ITEM ID")</x:f>
        <x:v>Resources</x:v>
      </x:c>
      <x:c r="D132" s="4" t="str">
        <x:v>Primary</x:v>
      </x:c>
      <x:c r="E132" s="4" t="str">
        <x:f>IFERROR(INDEX(Items!$Z$6:$Z$1005,MATCH(A132,Items!$A$6:$A$1005,0)),"MISSING ITEM ID")</x:f>
        <x:v>Fauna interaction</x:v>
      </x:c>
      <x:c r="F132" s="4" t="str">
        <x:v>Current item description. Catalog intent, not implemented actions.</x:v>
      </x:c>
    </x:row>
    <x:row r="133" ht="45" customHeight="1">
      <x:c r="A133" s="4" t="str">
        <x:v>proposal.container.sample_vial</x:v>
      </x:c>
      <x:c r="B133" s="4" t="str">
        <x:f>IFERROR(INDEX(Items!$B$6:$B$1005,MATCH(A133,Items!$A$6:$A$1005,0)),"MISSING ITEM ID")</x:f>
        <x:v>Clear sample vial</x:v>
      </x:c>
      <x:c r="C133" s="4" t="str">
        <x:f>IFERROR(INDEX(Items!$C$6:$C$1005,MATCH(A133,Items!$A$6:$A$1005,0)),"MISSING ITEM ID")</x:f>
        <x:v>Containers</x:v>
      </x:c>
      <x:c r="D133" s="4" t="str">
        <x:v>Primary</x:v>
      </x:c>
      <x:c r="E133" s="4" t="str">
        <x:f>IFERROR(INDEX(Items!$Z$6:$Z$1005,MATCH(A133,Items!$A$6:$A$1005,0)),"MISSING ITEM ID")</x:f>
        <x:v>Liquid and bulk containment</x:v>
      </x:c>
      <x:c r="F133" s="4" t="str">
        <x:v>Current item description. Catalog intent, not implemented actions.</x:v>
      </x:c>
    </x:row>
    <x:row r="134" ht="45" customHeight="1">
      <x:c r="A134" s="4" t="str">
        <x:v>proposal.container.sample_vial</x:v>
      </x:c>
      <x:c r="B134" s="4" t="str">
        <x:f>IFERROR(INDEX(Items!$B$6:$B$1005,MATCH(A134,Items!$A$6:$A$1005,0)),"MISSING ITEM ID")</x:f>
        <x:v>Clear sample vial</x:v>
      </x:c>
      <x:c r="C134" s="4" t="str">
        <x:f>IFERROR(INDEX(Items!$C$6:$C$1005,MATCH(A134,Items!$A$6:$A$1005,0)),"MISSING ITEM ID")</x:f>
        <x:v>Containers</x:v>
      </x:c>
      <x:c r="D134" s="4" t="str">
        <x:v>Secondary</x:v>
      </x:c>
      <x:c r="E134" s="4" t="str">
        <x:v>Inspection</x:v>
      </x:c>
      <x:c r="F134" s="4" t="str">
        <x:v>Current item description. Catalog intent, not implemented actions.</x:v>
      </x:c>
    </x:row>
    <x:row r="135" ht="45" customHeight="1">
      <x:c r="A135" s="4" t="str">
        <x:v>proposal.container.reagent_bottle</x:v>
      </x:c>
      <x:c r="B135" s="4" t="str">
        <x:f>IFERROR(INDEX(Items!$B$6:$B$1005,MATCH(A135,Items!$A$6:$A$1005,0)),"MISSING ITEM ID")</x:f>
        <x:v>Opaque reagent bottle</x:v>
      </x:c>
      <x:c r="C135" s="4" t="str">
        <x:f>IFERROR(INDEX(Items!$C$6:$C$1005,MATCH(A135,Items!$A$6:$A$1005,0)),"MISSING ITEM ID")</x:f>
        <x:v>Containers</x:v>
      </x:c>
      <x:c r="D135" s="4" t="str">
        <x:v>Primary</x:v>
      </x:c>
      <x:c r="E135" s="4" t="str">
        <x:f>IFERROR(INDEX(Items!$Z$6:$Z$1005,MATCH(A135,Items!$A$6:$A$1005,0)),"MISSING ITEM ID")</x:f>
        <x:v>Liquid and bulk containment</x:v>
      </x:c>
      <x:c r="F135" s="4" t="str">
        <x:v>Current item description. Catalog intent, not implemented actions.</x:v>
      </x:c>
    </x:row>
    <x:row r="136" ht="45" customHeight="1">
      <x:c r="A136" s="4" t="str">
        <x:v>proposal.container.wide_jar</x:v>
      </x:c>
      <x:c r="B136" s="4" t="str">
        <x:f>IFERROR(INDEX(Items!$B$6:$B$1005,MATCH(A136,Items!$A$6:$A$1005,0)),"MISSING ITEM ID")</x:f>
        <x:v>Wide-mouth sample jar</x:v>
      </x:c>
      <x:c r="C136" s="4" t="str">
        <x:f>IFERROR(INDEX(Items!$C$6:$C$1005,MATCH(A136,Items!$A$6:$A$1005,0)),"MISSING ITEM ID")</x:f>
        <x:v>Containers</x:v>
      </x:c>
      <x:c r="D136" s="4" t="str">
        <x:v>Primary</x:v>
      </x:c>
      <x:c r="E136" s="4" t="str">
        <x:f>IFERROR(INDEX(Items!$Z$6:$Z$1005,MATCH(A136,Items!$A$6:$A$1005,0)),"MISSING ITEM ID")</x:f>
        <x:v>Liquid and bulk containment</x:v>
      </x:c>
      <x:c r="F136" s="4" t="str">
        <x:v>Current item description. Catalog intent, not implemented actions.</x:v>
      </x:c>
    </x:row>
    <x:row r="137" ht="45" customHeight="1">
      <x:c r="A137" s="4" t="str">
        <x:v>proposal.container.ampoule</x:v>
      </x:c>
      <x:c r="B137" s="4" t="str">
        <x:f>IFERROR(INDEX(Items!$B$6:$B$1005,MATCH(A137,Items!$A$6:$A$1005,0)),"MISSING ITEM ID")</x:f>
        <x:v>Sealed sample ampoule</x:v>
      </x:c>
      <x:c r="C137" s="4" t="str">
        <x:f>IFERROR(INDEX(Items!$C$6:$C$1005,MATCH(A137,Items!$A$6:$A$1005,0)),"MISSING ITEM ID")</x:f>
        <x:v>Containers</x:v>
      </x:c>
      <x:c r="D137" s="4" t="str">
        <x:v>Primary</x:v>
      </x:c>
      <x:c r="E137" s="4" t="str">
        <x:f>IFERROR(INDEX(Items!$Z$6:$Z$1005,MATCH(A137,Items!$A$6:$A$1005,0)),"MISSING ITEM ID")</x:f>
        <x:v>Liquid and bulk containment</x:v>
      </x:c>
      <x:c r="F137" s="4" t="str">
        <x:v>Current item description. Catalog intent, not implemented actions.</x:v>
      </x:c>
    </x:row>
    <x:row r="138" ht="45" customHeight="1">
      <x:c r="A138" s="4" t="str">
        <x:v>proposal.container.marked_flask</x:v>
      </x:c>
      <x:c r="B138" s="4" t="str">
        <x:f>IFERROR(INDEX(Items!$B$6:$B$1005,MATCH(A138,Items!$A$6:$A$1005,0)),"MISSING ITEM ID")</x:f>
        <x:v>Marked glass flask</x:v>
      </x:c>
      <x:c r="C138" s="4" t="str">
        <x:f>IFERROR(INDEX(Items!$C$6:$C$1005,MATCH(A138,Items!$A$6:$A$1005,0)),"MISSING ITEM ID")</x:f>
        <x:v>Containers</x:v>
      </x:c>
      <x:c r="D138" s="4" t="str">
        <x:v>Primary</x:v>
      </x:c>
      <x:c r="E138" s="4" t="str">
        <x:f>IFERROR(INDEX(Items!$Z$6:$Z$1005,MATCH(A138,Items!$A$6:$A$1005,0)),"MISSING ITEM ID")</x:f>
        <x:v>Liquid and bulk containment</x:v>
      </x:c>
      <x:c r="F138" s="4" t="str">
        <x:v>Current item description. Catalog intent, not implemented actions.</x:v>
      </x:c>
    </x:row>
    <x:row r="139" ht="45" customHeight="1">
      <x:c r="A139" s="4" t="str">
        <x:v>proposal.container.marked_flask</x:v>
      </x:c>
      <x:c r="B139" s="4" t="str">
        <x:f>IFERROR(INDEX(Items!$B$6:$B$1005,MATCH(A139,Items!$A$6:$A$1005,0)),"MISSING ITEM ID")</x:f>
        <x:v>Marked glass flask</x:v>
      </x:c>
      <x:c r="C139" s="4" t="str">
        <x:f>IFERROR(INDEX(Items!$C$6:$C$1005,MATCH(A139,Items!$A$6:$A$1005,0)),"MISSING ITEM ID")</x:f>
        <x:v>Containers</x:v>
      </x:c>
      <x:c r="D139" s="4" t="str">
        <x:v>Secondary</x:v>
      </x:c>
      <x:c r="E139" s="4" t="str">
        <x:v>Inspection</x:v>
      </x:c>
      <x:c r="F139" s="4" t="str">
        <x:v>Current item description. Catalog intent, not implemented actions.</x:v>
      </x:c>
    </x:row>
    <x:row r="140" ht="45" customHeight="1">
      <x:c r="A140" s="4" t="str">
        <x:v>proposal.container.shell_cage</x:v>
      </x:c>
      <x:c r="B140" s="4" t="str">
        <x:f>IFERROR(INDEX(Items!$B$6:$B$1005,MATCH(A140,Items!$A$6:$A$1005,0)),"MISSING ITEM ID")</x:f>
        <x:v>Shell-caged glass flask</x:v>
      </x:c>
      <x:c r="C140" s="4" t="str">
        <x:f>IFERROR(INDEX(Items!$C$6:$C$1005,MATCH(A140,Items!$A$6:$A$1005,0)),"MISSING ITEM ID")</x:f>
        <x:v>Containers</x:v>
      </x:c>
      <x:c r="D140" s="4" t="str">
        <x:v>Primary</x:v>
      </x:c>
      <x:c r="E140" s="4" t="str">
        <x:f>IFERROR(INDEX(Items!$Z$6:$Z$1005,MATCH(A140,Items!$A$6:$A$1005,0)),"MISSING ITEM ID")</x:f>
        <x:v>Liquid and bulk containment</x:v>
      </x:c>
      <x:c r="F140" s="4" t="str">
        <x:v>Current item description. Catalog intent, not implemented actions.</x:v>
      </x:c>
    </x:row>
    <x:row r="141" ht="45" customHeight="1">
      <x:c r="A141" s="4" t="str">
        <x:v>proposal.container.lined_canister</x:v>
      </x:c>
      <x:c r="B141" s="4" t="str">
        <x:f>IFERROR(INDEX(Items!$B$6:$B$1005,MATCH(A141,Items!$A$6:$A$1005,0)),"MISSING ITEM ID")</x:f>
        <x:v>Glass-lined haul canister</x:v>
      </x:c>
      <x:c r="C141" s="4" t="str">
        <x:f>IFERROR(INDEX(Items!$C$6:$C$1005,MATCH(A141,Items!$A$6:$A$1005,0)),"MISSING ITEM ID")</x:f>
        <x:v>Containers</x:v>
      </x:c>
      <x:c r="D141" s="4" t="str">
        <x:v>Primary</x:v>
      </x:c>
      <x:c r="E141" s="4" t="str">
        <x:f>IFERROR(INDEX(Items!$Z$6:$Z$1005,MATCH(A141,Items!$A$6:$A$1005,0)),"MISSING ITEM ID")</x:f>
        <x:v>Liquid and bulk containment</x:v>
      </x:c>
      <x:c r="F141" s="4" t="str">
        <x:v>Current item description. Catalog intent, not implemented actions.</x:v>
      </x:c>
    </x:row>
    <x:row r="142" ht="45" customHeight="1">
      <x:c r="A142" s="4" t="str">
        <x:v>proposal.container.ceramic_jar</x:v>
      </x:c>
      <x:c r="B142" s="4" t="str">
        <x:f>IFERROR(INDEX(Items!$B$6:$B$1005,MATCH(A142,Items!$A$6:$A$1005,0)),"MISSING ITEM ID")</x:f>
        <x:v>Glazed ceramic reagent jar</x:v>
      </x:c>
      <x:c r="C142" s="4" t="str">
        <x:f>IFERROR(INDEX(Items!$C$6:$C$1005,MATCH(A142,Items!$A$6:$A$1005,0)),"MISSING ITEM ID")</x:f>
        <x:v>Containers</x:v>
      </x:c>
      <x:c r="D142" s="4" t="str">
        <x:v>Primary</x:v>
      </x:c>
      <x:c r="E142" s="4" t="str">
        <x:f>IFERROR(INDEX(Items!$Z$6:$Z$1005,MATCH(A142,Items!$A$6:$A$1005,0)),"MISSING ITEM ID")</x:f>
        <x:v>Liquid and bulk containment</x:v>
      </x:c>
      <x:c r="F142" s="4" t="str">
        <x:v>Current item description. Catalog intent, not implemented actions.</x:v>
      </x:c>
    </x:row>
    <x:row r="143" ht="45" customHeight="1">
      <x:c r="A143" s="4" t="str">
        <x:v>proposal.container.bulk_ichor</x:v>
      </x:c>
      <x:c r="B143" s="4" t="str">
        <x:f>IFERROR(INDEX(Items!$B$6:$B$1005,MATCH(A143,Items!$A$6:$A$1005,0)),"MISSING ITEM ID")</x:f>
        <x:v>Bulk ichor vessel</x:v>
      </x:c>
      <x:c r="C143" s="4" t="str">
        <x:f>IFERROR(INDEX(Items!$C$6:$C$1005,MATCH(A143,Items!$A$6:$A$1005,0)),"MISSING ITEM ID")</x:f>
        <x:v>Containers</x:v>
      </x:c>
      <x:c r="D143" s="4" t="str">
        <x:v>Primary</x:v>
      </x:c>
      <x:c r="E143" s="4" t="str">
        <x:f>IFERROR(INDEX(Items!$Z$6:$Z$1005,MATCH(A143,Items!$A$6:$A$1005,0)),"MISSING ITEM ID")</x:f>
        <x:v>Liquid and bulk containment</x:v>
      </x:c>
      <x:c r="F143" s="4" t="str">
        <x:v>Current item description. Catalog intent, not implemented actions.</x:v>
      </x:c>
    </x:row>
    <x:row r="144" ht="45" customHeight="1">
      <x:c r="A144" s="4" t="str">
        <x:v>proposal.container.vial_case</x:v>
      </x:c>
      <x:c r="B144" s="4" t="str">
        <x:f>IFERROR(INDEX(Items!$B$6:$B$1005,MATCH(A144,Items!$A$6:$A$1005,0)),"MISSING ITEM ID")</x:f>
        <x:v>Divided vial case</x:v>
      </x:c>
      <x:c r="C144" s="4" t="str">
        <x:f>IFERROR(INDEX(Items!$C$6:$C$1005,MATCH(A144,Items!$A$6:$A$1005,0)),"MISSING ITEM ID")</x:f>
        <x:v>Containers</x:v>
      </x:c>
      <x:c r="D144" s="4" t="str">
        <x:v>Primary</x:v>
      </x:c>
      <x:c r="E144" s="4" t="str">
        <x:f>IFERROR(INDEX(Items!$Z$6:$Z$1005,MATCH(A144,Items!$A$6:$A$1005,0)),"MISSING ITEM ID")</x:f>
        <x:v>Cargo organization</x:v>
      </x:c>
      <x:c r="F144" s="4" t="str">
        <x:v>Current item description. Catalog intent, not implemented actions.</x:v>
      </x:c>
    </x:row>
    <x:row r="145" ht="45" customHeight="1">
      <x:c r="A145" s="4" t="str">
        <x:v>proposal.container.sealed_box</x:v>
      </x:c>
      <x:c r="B145" s="4" t="str">
        <x:f>IFERROR(INDEX(Items!$B$6:$B$1005,MATCH(A145,Items!$A$6:$A$1005,0)),"MISSING ITEM ID")</x:f>
        <x:v>Sealed cargo box</x:v>
      </x:c>
      <x:c r="C145" s="4" t="str">
        <x:f>IFERROR(INDEX(Items!$C$6:$C$1005,MATCH(A145,Items!$A$6:$A$1005,0)),"MISSING ITEM ID")</x:f>
        <x:v>Containers</x:v>
      </x:c>
      <x:c r="D145" s="4" t="str">
        <x:v>Primary</x:v>
      </x:c>
      <x:c r="E145" s="4" t="str">
        <x:f>IFERROR(INDEX(Items!$Z$6:$Z$1005,MATCH(A145,Items!$A$6:$A$1005,0)),"MISSING ITEM ID")</x:f>
        <x:v>Cargo organization</x:v>
      </x:c>
      <x:c r="F145" s="4" t="str">
        <x:v>Current item description. Catalog intent, not implemented actions.</x:v>
      </x:c>
    </x:row>
    <x:row r="146" ht="45" customHeight="1">
      <x:c r="A146" s="4" t="str">
        <x:v>proposal.container.field_chest</x:v>
      </x:c>
      <x:c r="B146" s="4" t="str">
        <x:f>IFERROR(INDEX(Items!$B$6:$B$1005,MATCH(A146,Items!$A$6:$A$1005,0)),"MISSING ITEM ID")</x:f>
        <x:v>Locking field chest</x:v>
      </x:c>
      <x:c r="C146" s="4" t="str">
        <x:f>IFERROR(INDEX(Items!$C$6:$C$1005,MATCH(A146,Items!$A$6:$A$1005,0)),"MISSING ITEM ID")</x:f>
        <x:v>Containers</x:v>
      </x:c>
      <x:c r="D146" s="4" t="str">
        <x:v>Primary</x:v>
      </x:c>
      <x:c r="E146" s="4" t="str">
        <x:f>IFERROR(INDEX(Items!$Z$6:$Z$1005,MATCH(A146,Items!$A$6:$A$1005,0)),"MISSING ITEM ID")</x:f>
        <x:v>Cargo organization</x:v>
      </x:c>
      <x:c r="F146" s="4" t="str">
        <x:v>Current item description. Catalog intent, not implemented actions.</x:v>
      </x:c>
    </x:row>
    <x:row r="147" ht="45" customHeight="1">
      <x:c r="A147" s="4" t="str">
        <x:v>proposal.container.funnel</x:v>
      </x:c>
      <x:c r="B147" s="4" t="str">
        <x:f>IFERROR(INDEX(Items!$B$6:$B$1005,MATCH(A147,Items!$A$6:$A$1005,0)),"MISSING ITEM ID")</x:f>
        <x:v>Glass transfer funnel</x:v>
      </x:c>
      <x:c r="C147" s="4" t="str">
        <x:f>IFERROR(INDEX(Items!$C$6:$C$1005,MATCH(A147,Items!$A$6:$A$1005,0)),"MISSING ITEM ID")</x:f>
        <x:v>Containers</x:v>
      </x:c>
      <x:c r="D147" s="4" t="str">
        <x:v>Primary</x:v>
      </x:c>
      <x:c r="E147" s="4" t="str">
        <x:f>IFERROR(INDEX(Items!$Z$6:$Z$1005,MATCH(A147,Items!$A$6:$A$1005,0)),"MISSING ITEM ID")</x:f>
        <x:v>Material transfer</x:v>
      </x:c>
      <x:c r="F147" s="4" t="str">
        <x:v>Current item description. Catalog intent, not implemented actions.</x:v>
      </x:c>
    </x:row>
    <x:row r="148" ht="45" customHeight="1">
      <x:c r="A148" s="4" t="str">
        <x:v>proposal.container.draw_tube</x:v>
      </x:c>
      <x:c r="B148" s="4" t="str">
        <x:f>IFERROR(INDEX(Items!$B$6:$B$1005,MATCH(A148,Items!$A$6:$A$1005,0)),"MISSING ITEM ID")</x:f>
        <x:v>Glass draw tube</x:v>
      </x:c>
      <x:c r="C148" s="4" t="str">
        <x:f>IFERROR(INDEX(Items!$C$6:$C$1005,MATCH(A148,Items!$A$6:$A$1005,0)),"MISSING ITEM ID")</x:f>
        <x:v>Containers</x:v>
      </x:c>
      <x:c r="D148" s="4" t="str">
        <x:v>Primary</x:v>
      </x:c>
      <x:c r="E148" s="4" t="str">
        <x:f>IFERROR(INDEX(Items!$Z$6:$Z$1005,MATCH(A148,Items!$A$6:$A$1005,0)),"MISSING ITEM ID")</x:f>
        <x:v>Material transfer</x:v>
      </x:c>
      <x:c r="F148" s="4" t="str">
        <x:v>Current item description. Catalog intent, not implemented actions.</x:v>
      </x:c>
    </x:row>
    <x:row r="149" ht="45" customHeight="1">
      <x:c r="A149" s="4" t="str">
        <x:v>proposal.container.glass_stopper</x:v>
      </x:c>
      <x:c r="B149" s="4" t="str">
        <x:f>IFERROR(INDEX(Items!$B$6:$B$1005,MATCH(A149,Items!$A$6:$A$1005,0)),"MISSING ITEM ID")</x:f>
        <x:v>Matched glass stopper</x:v>
      </x:c>
      <x:c r="C149" s="4" t="str">
        <x:f>IFERROR(INDEX(Items!$C$6:$C$1005,MATCH(A149,Items!$A$6:$A$1005,0)),"MISSING ITEM ID")</x:f>
        <x:v>Containers</x:v>
      </x:c>
      <x:c r="D149" s="4" t="str">
        <x:v>Primary</x:v>
      </x:c>
      <x:c r="E149" s="4" t="str">
        <x:f>IFERROR(INDEX(Items!$Z$6:$Z$1005,MATCH(A149,Items!$A$6:$A$1005,0)),"MISSING ITEM ID")</x:f>
        <x:v>Sealing</x:v>
      </x:c>
      <x:c r="F149" s="4" t="str">
        <x:v>Current item description. Catalog intent, not implemented actions.</x:v>
      </x:c>
    </x:row>
    <x:row r="150" ht="45" customHeight="1">
      <x:c r="A150" s="4" t="str">
        <x:v>proposal.container.seal_collar</x:v>
      </x:c>
      <x:c r="B150" s="4" t="str">
        <x:f>IFERROR(INDEX(Items!$B$6:$B$1005,MATCH(A150,Items!$A$6:$A$1005,0)),"MISSING ITEM ID")</x:f>
        <x:v>Compression seal collar</x:v>
      </x:c>
      <x:c r="C150" s="4" t="str">
        <x:f>IFERROR(INDEX(Items!$C$6:$C$1005,MATCH(A150,Items!$A$6:$A$1005,0)),"MISSING ITEM ID")</x:f>
        <x:v>Containers</x:v>
      </x:c>
      <x:c r="D150" s="4" t="str">
        <x:v>Primary</x:v>
      </x:c>
      <x:c r="E150" s="4" t="str">
        <x:f>IFERROR(INDEX(Items!$Z$6:$Z$1005,MATCH(A150,Items!$A$6:$A$1005,0)),"MISSING ITEM ID")</x:f>
        <x:v>Sealing</x:v>
      </x:c>
      <x:c r="F150" s="4" t="str">
        <x:v>Current item description. Catalog intent, not implemented actions.</x:v>
      </x:c>
    </x:row>
    <x:row r="151" ht="45" customHeight="1">
      <x:c r="A151" s="4" t="str">
        <x:v>proposal.gear.mail_shirt</x:v>
      </x:c>
      <x:c r="B151" s="4" t="str">
        <x:f>IFERROR(INDEX(Items!$B$6:$B$1005,MATCH(A151,Items!$A$6:$A$1005,0)),"MISSING ITEM ID")</x:f>
        <x:v>Chainmail shirt</x:v>
      </x:c>
      <x:c r="C151" s="4" t="str">
        <x:f>IFERROR(INDEX(Items!$C$6:$C$1005,MATCH(A151,Items!$A$6:$A$1005,0)),"MISSING ITEM ID")</x:f>
        <x:v>Equipment</x:v>
      </x:c>
      <x:c r="D151" s="4" t="str">
        <x:v>Primary</x:v>
      </x:c>
      <x:c r="E151" s="4" t="str">
        <x:f>IFERROR(INDEX(Items!$Z$6:$Z$1005,MATCH(A151,Items!$A$6:$A$1005,0)),"MISSING ITEM ID")</x:f>
        <x:v>Clothing</x:v>
      </x:c>
      <x:c r="F151" s="4" t="str">
        <x:v>Current item description. Catalog intent, not implemented actions.</x:v>
      </x:c>
    </x:row>
    <x:row r="152" ht="45" customHeight="1">
      <x:c r="A152" s="4" t="str">
        <x:v>proposal.gear.mail_shirt</x:v>
      </x:c>
      <x:c r="B152" s="4" t="str">
        <x:f>IFERROR(INDEX(Items!$B$6:$B$1005,MATCH(A152,Items!$A$6:$A$1005,0)),"MISSING ITEM ID")</x:f>
        <x:v>Chainmail shirt</x:v>
      </x:c>
      <x:c r="C152" s="4" t="str">
        <x:f>IFERROR(INDEX(Items!$C$6:$C$1005,MATCH(A152,Items!$A$6:$A$1005,0)),"MISSING ITEM ID")</x:f>
        <x:v>Equipment</x:v>
      </x:c>
      <x:c r="D152" s="4" t="str">
        <x:v>Secondary</x:v>
      </x:c>
      <x:c r="E152" s="4" t="str">
        <x:v>Protection</x:v>
      </x:c>
      <x:c r="F152" s="4" t="str">
        <x:v>Current item description. Catalog intent, not implemented actions.</x:v>
      </x:c>
    </x:row>
    <x:row r="153" ht="45" customHeight="1">
      <x:c r="A153" s="4" t="str">
        <x:v>proposal.gear.metal_armor_set</x:v>
      </x:c>
      <x:c r="B153" s="4" t="str">
        <x:f>IFERROR(INDEX(Items!$B$6:$B$1005,MATCH(A153,Items!$A$6:$A$1005,0)),"MISSING ITEM ID")</x:f>
        <x:v>Assembled metal armor</x:v>
      </x:c>
      <x:c r="C153" s="4" t="str">
        <x:f>IFERROR(INDEX(Items!$C$6:$C$1005,MATCH(A153,Items!$A$6:$A$1005,0)),"MISSING ITEM ID")</x:f>
        <x:v>Equipment</x:v>
      </x:c>
      <x:c r="D153" s="4" t="str">
        <x:v>Primary</x:v>
      </x:c>
      <x:c r="E153" s="4" t="str">
        <x:f>IFERROR(INDEX(Items!$Z$6:$Z$1005,MATCH(A153,Items!$A$6:$A$1005,0)),"MISSING ITEM ID")</x:f>
        <x:v>Protection</x:v>
      </x:c>
      <x:c r="F153" s="4" t="str">
        <x:v>Current item description. Catalog intent, not implemented actions.</x:v>
      </x:c>
    </x:row>
    <x:row r="154" ht="45" customHeight="1">
      <x:c r="A154" s="4" t="str">
        <x:v>proposal.gear.chest_armor</x:v>
      </x:c>
      <x:c r="B154" s="4" t="str">
        <x:f>IFERROR(INDEX(Items!$B$6:$B$1005,MATCH(A154,Items!$A$6:$A$1005,0)),"MISSING ITEM ID")</x:f>
        <x:v>Chest armor</x:v>
      </x:c>
      <x:c r="C154" s="4" t="str">
        <x:f>IFERROR(INDEX(Items!$C$6:$C$1005,MATCH(A154,Items!$A$6:$A$1005,0)),"MISSING ITEM ID")</x:f>
        <x:v>Equipment</x:v>
      </x:c>
      <x:c r="D154" s="4" t="str">
        <x:v>Primary</x:v>
      </x:c>
      <x:c r="E154" s="4" t="str">
        <x:f>IFERROR(INDEX(Items!$Z$6:$Z$1005,MATCH(A154,Items!$A$6:$A$1005,0)),"MISSING ITEM ID")</x:f>
        <x:v>Protection</x:v>
      </x:c>
      <x:c r="F154" s="4" t="str">
        <x:v>Current item description. Catalog intent, not implemented actions.</x:v>
      </x:c>
    </x:row>
    <x:row r="155" ht="45" customHeight="1">
      <x:c r="A155" s="4" t="str">
        <x:v>proposal.gear.helmet</x:v>
      </x:c>
      <x:c r="B155" s="4" t="str">
        <x:f>IFERROR(INDEX(Items!$B$6:$B$1005,MATCH(A155,Items!$A$6:$A$1005,0)),"MISSING ITEM ID")</x:f>
        <x:v>Helmet</x:v>
      </x:c>
      <x:c r="C155" s="4" t="str">
        <x:f>IFERROR(INDEX(Items!$C$6:$C$1005,MATCH(A155,Items!$A$6:$A$1005,0)),"MISSING ITEM ID")</x:f>
        <x:v>Equipment</x:v>
      </x:c>
      <x:c r="D155" s="4" t="str">
        <x:v>Primary</x:v>
      </x:c>
      <x:c r="E155" s="4" t="str">
        <x:f>IFERROR(INDEX(Items!$Z$6:$Z$1005,MATCH(A155,Items!$A$6:$A$1005,0)),"MISSING ITEM ID")</x:f>
        <x:v>Protection</x:v>
      </x:c>
      <x:c r="F155" s="4" t="str">
        <x:v>Current item description. Catalog intent, not implemented actions.</x:v>
      </x:c>
    </x:row>
    <x:row r="156" ht="45" customHeight="1">
      <x:c r="A156" s="4" t="str">
        <x:v>proposal.gear.leg_armor</x:v>
      </x:c>
      <x:c r="B156" s="4" t="str">
        <x:f>IFERROR(INDEX(Items!$B$6:$B$1005,MATCH(A156,Items!$A$6:$A$1005,0)),"MISSING ITEM ID")</x:f>
        <x:v>Leg armor</x:v>
      </x:c>
      <x:c r="C156" s="4" t="str">
        <x:f>IFERROR(INDEX(Items!$C$6:$C$1005,MATCH(A156,Items!$A$6:$A$1005,0)),"MISSING ITEM ID")</x:f>
        <x:v>Equipment</x:v>
      </x:c>
      <x:c r="D156" s="4" t="str">
        <x:v>Primary</x:v>
      </x:c>
      <x:c r="E156" s="4" t="str">
        <x:f>IFERROR(INDEX(Items!$Z$6:$Z$1005,MATCH(A156,Items!$A$6:$A$1005,0)),"MISSING ITEM ID")</x:f>
        <x:v>Protection</x:v>
      </x:c>
      <x:c r="F156" s="4" t="str">
        <x:v>Current item description. Catalog intent, not implemented actions.</x:v>
      </x:c>
    </x:row>
    <x:row r="157" ht="45" customHeight="1">
      <x:c r="A157" s="4" t="str">
        <x:v>proposal.gear.boots</x:v>
      </x:c>
      <x:c r="B157" s="4" t="str">
        <x:f>IFERROR(INDEX(Items!$B$6:$B$1005,MATCH(A157,Items!$A$6:$A$1005,0)),"MISSING ITEM ID")</x:f>
        <x:v>Boots</x:v>
      </x:c>
      <x:c r="C157" s="4" t="str">
        <x:f>IFERROR(INDEX(Items!$C$6:$C$1005,MATCH(A157,Items!$A$6:$A$1005,0)),"MISSING ITEM ID")</x:f>
        <x:v>Equipment</x:v>
      </x:c>
      <x:c r="D157" s="4" t="str">
        <x:v>Primary</x:v>
      </x:c>
      <x:c r="E157" s="4" t="str">
        <x:f>IFERROR(INDEX(Items!$Z$6:$Z$1005,MATCH(A157,Items!$A$6:$A$1005,0)),"MISSING ITEM ID")</x:f>
        <x:v>Protection</x:v>
      </x:c>
      <x:c r="F157" s="4" t="str">
        <x:v>Current item description. Catalog intent, not implemented actions.</x:v>
      </x:c>
    </x:row>
    <x:row r="158" ht="45" customHeight="1">
      <x:c r="A158" s="4" t="str">
        <x:v>proposal.gear.boots</x:v>
      </x:c>
      <x:c r="B158" s="4" t="str">
        <x:f>IFERROR(INDEX(Items!$B$6:$B$1005,MATCH(A158,Items!$A$6:$A$1005,0)),"MISSING ITEM ID")</x:f>
        <x:v>Boots</x:v>
      </x:c>
      <x:c r="C158" s="4" t="str">
        <x:f>IFERROR(INDEX(Items!$C$6:$C$1005,MATCH(A158,Items!$A$6:$A$1005,0)),"MISSING ITEM ID")</x:f>
        <x:v>Equipment</x:v>
      </x:c>
      <x:c r="D158" s="4" t="str">
        <x:v>Secondary</x:v>
      </x:c>
      <x:c r="E158" s="4" t="str">
        <x:v>Traversal</x:v>
      </x:c>
      <x:c r="F158" s="4" t="str">
        <x:v>Current item description. Catalog intent, not implemented actions.</x:v>
      </x:c>
    </x:row>
    <x:row r="159" ht="45" customHeight="1">
      <x:c r="A159" s="4" t="str">
        <x:v>proposal.gear.gloves</x:v>
      </x:c>
      <x:c r="B159" s="4" t="str">
        <x:f>IFERROR(INDEX(Items!$B$6:$B$1005,MATCH(A159,Items!$A$6:$A$1005,0)),"MISSING ITEM ID")</x:f>
        <x:v>Gloves</x:v>
      </x:c>
      <x:c r="C159" s="4" t="str">
        <x:f>IFERROR(INDEX(Items!$C$6:$C$1005,MATCH(A159,Items!$A$6:$A$1005,0)),"MISSING ITEM ID")</x:f>
        <x:v>Equipment</x:v>
      </x:c>
      <x:c r="D159" s="4" t="str">
        <x:v>Primary</x:v>
      </x:c>
      <x:c r="E159" s="4" t="str">
        <x:f>IFERROR(INDEX(Items!$Z$6:$Z$1005,MATCH(A159,Items!$A$6:$A$1005,0)),"MISSING ITEM ID")</x:f>
        <x:v>Protection</x:v>
      </x:c>
      <x:c r="F159" s="4" t="str">
        <x:v>Current item description. Catalog intent, not implemented actions.</x:v>
      </x:c>
    </x:row>
    <x:row r="160" ht="45" customHeight="1">
      <x:c r="A160" s="4" t="str">
        <x:v>proposal.gear.backpack</x:v>
      </x:c>
      <x:c r="B160" s="4" t="str">
        <x:f>IFERROR(INDEX(Items!$B$6:$B$1005,MATCH(A160,Items!$A$6:$A$1005,0)),"MISSING ITEM ID")</x:f>
        <x:v>Backpack</x:v>
      </x:c>
      <x:c r="C160" s="4" t="str">
        <x:f>IFERROR(INDEX(Items!$C$6:$C$1005,MATCH(A160,Items!$A$6:$A$1005,0)),"MISSING ITEM ID")</x:f>
        <x:v>Equipment</x:v>
      </x:c>
      <x:c r="D160" s="4" t="str">
        <x:v>Primary</x:v>
      </x:c>
      <x:c r="E160" s="4" t="str">
        <x:f>IFERROR(INDEX(Items!$Z$6:$Z$1005,MATCH(A160,Items!$A$6:$A$1005,0)),"MISSING ITEM ID")</x:f>
        <x:v>Cargo organization</x:v>
      </x:c>
      <x:c r="F160" s="4" t="str">
        <x:v>Current item description. Catalog intent, not implemented actions.</x:v>
      </x:c>
    </x:row>
    <x:row r="161" ht="45" customHeight="1">
      <x:c r="A161" s="4" t="str">
        <x:v>proposal.gear.special_plates</x:v>
      </x:c>
      <x:c r="B161" s="4" t="str">
        <x:f>IFERROR(INDEX(Items!$B$6:$B$1005,MATCH(A161,Items!$A$6:$A$1005,0)),"MISSING ITEM ID")</x:f>
        <x:v>Specialized armor plates</x:v>
      </x:c>
      <x:c r="C161" s="4" t="str">
        <x:f>IFERROR(INDEX(Items!$C$6:$C$1005,MATCH(A161,Items!$A$6:$A$1005,0)),"MISSING ITEM ID")</x:f>
        <x:v>Equipment</x:v>
      </x:c>
      <x:c r="D161" s="4" t="str">
        <x:v>Primary</x:v>
      </x:c>
      <x:c r="E161" s="4" t="str">
        <x:f>IFERROR(INDEX(Items!$Z$6:$Z$1005,MATCH(A161,Items!$A$6:$A$1005,0)),"MISSING ITEM ID")</x:f>
        <x:v>Protection</x:v>
      </x:c>
      <x:c r="F161" s="4" t="str">
        <x:v>Current item description. Catalog intent, not implemented actions.</x:v>
      </x:c>
    </x:row>
    <x:row r="162" ht="45" customHeight="1">
      <x:c r="A162" s="4" t="str">
        <x:v>proposal.gear.shield</x:v>
      </x:c>
      <x:c r="B162" s="4" t="str">
        <x:f>IFERROR(INDEX(Items!$B$6:$B$1005,MATCH(A162,Items!$A$6:$A$1005,0)),"MISSING ITEM ID")</x:f>
        <x:v>Shield</x:v>
      </x:c>
      <x:c r="C162" s="4" t="str">
        <x:f>IFERROR(INDEX(Items!$C$6:$C$1005,MATCH(A162,Items!$A$6:$A$1005,0)),"MISSING ITEM ID")</x:f>
        <x:v>Equipment</x:v>
      </x:c>
      <x:c r="D162" s="4" t="str">
        <x:v>Primary</x:v>
      </x:c>
      <x:c r="E162" s="4" t="str">
        <x:f>IFERROR(INDEX(Items!$Z$6:$Z$1005,MATCH(A162,Items!$A$6:$A$1005,0)),"MISSING ITEM ID")</x:f>
        <x:v>Protection</x:v>
      </x:c>
      <x:c r="F162" s="4" t="str">
        <x:v>Current item description. Catalog intent, not implemented actions.</x:v>
      </x:c>
    </x:row>
    <x:row r="163" ht="45" customHeight="1">
      <x:c r="A163" s="4" t="str">
        <x:v>proposal.weapon.caltrops</x:v>
      </x:c>
      <x:c r="B163" s="4" t="str">
        <x:f>IFERROR(INDEX(Items!$B$6:$B$1005,MATCH(A163,Items!$A$6:$A$1005,0)),"MISSING ITEM ID")</x:f>
        <x:v>Caltrops</x:v>
      </x:c>
      <x:c r="C163" s="4" t="str">
        <x:f>IFERROR(INDEX(Items!$C$6:$C$1005,MATCH(A163,Items!$A$6:$A$1005,0)),"MISSING ITEM ID")</x:f>
        <x:v>Weapons</x:v>
      </x:c>
      <x:c r="D163" s="4" t="str">
        <x:v>Primary</x:v>
      </x:c>
      <x:c r="E163" s="4" t="str">
        <x:f>IFERROR(INDEX(Items!$Z$6:$Z$1005,MATCH(A163,Items!$A$6:$A$1005,0)),"MISSING ITEM ID")</x:f>
        <x:v>Area denial</x:v>
      </x:c>
      <x:c r="F163" s="4" t="str">
        <x:v>Current item description. Catalog intent, not implemented actions.</x:v>
      </x:c>
    </x:row>
    <x:row r="164" ht="45" customHeight="1">
      <x:c r="A164" s="4" t="str">
        <x:v>proposal.ancient.carbon_composite</x:v>
      </x:c>
      <x:c r="B164" s="4" t="str">
        <x:f>IFERROR(INDEX(Items!$B$6:$B$1005,MATCH(A164,Items!$A$6:$A$1005,0)),"MISSING ITEM ID")</x:f>
        <x:v>Ancient carbon composite</x:v>
      </x:c>
      <x:c r="C164" s="4" t="str">
        <x:f>IFERROR(INDEX(Items!$C$6:$C$1005,MATCH(A164,Items!$A$6:$A$1005,0)),"MISSING ITEM ID")</x:f>
        <x:v>Resources</x:v>
      </x:c>
      <x:c r="D164" s="4" t="str">
        <x:v>Primary</x:v>
      </x:c>
      <x:c r="E164" s="4" t="str">
        <x:f>IFERROR(INDEX(Items!$Z$6:$Z$1005,MATCH(A164,Items!$A$6:$A$1005,0)),"MISSING ITEM ID")</x:f>
        <x:v>Use unresolved</x:v>
      </x:c>
      <x:c r="F164" s="4" t="str">
        <x:v>Current item description. Catalog intent, not implemented actions.</x:v>
      </x:c>
    </x:row>
    <x:row r="165" ht="45" customHeight="1">
      <x:c r="A165" s="4" t="str">
        <x:v>proposal.ancient.nanocarbon</x:v>
      </x:c>
      <x:c r="B165" s="4" t="str">
        <x:f>IFERROR(INDEX(Items!$B$6:$B$1005,MATCH(A165,Items!$A$6:$A$1005,0)),"MISSING ITEM ID")</x:f>
        <x:v>Ancient nanocarbon material</x:v>
      </x:c>
      <x:c r="C165" s="4" t="str">
        <x:f>IFERROR(INDEX(Items!$C$6:$C$1005,MATCH(A165,Items!$A$6:$A$1005,0)),"MISSING ITEM ID")</x:f>
        <x:v>Resources</x:v>
      </x:c>
      <x:c r="D165" s="4" t="str">
        <x:v>Primary</x:v>
      </x:c>
      <x:c r="E165" s="4" t="str">
        <x:f>IFERROR(INDEX(Items!$Z$6:$Z$1005,MATCH(A165,Items!$A$6:$A$1005,0)),"MISSING ITEM ID")</x:f>
        <x:v>Use unresolved</x:v>
      </x:c>
      <x:c r="F165" s="4" t="str">
        <x:v>Current item description. Catalog intent, not implemented actions.</x:v>
      </x:c>
    </x:row>
    <x:row r="166" ht="45" customHeight="1">
      <x:c r="A166" s="4" t="str">
        <x:v>proposal.ancient.plasteel</x:v>
      </x:c>
      <x:c r="B166" s="4" t="str">
        <x:f>IFERROR(INDEX(Items!$B$6:$B$1005,MATCH(A166,Items!$A$6:$A$1005,0)),"MISSING ITEM ID")</x:f>
        <x:v>Ancient plasteel material</x:v>
      </x:c>
      <x:c r="C166" s="4" t="str">
        <x:f>IFERROR(INDEX(Items!$C$6:$C$1005,MATCH(A166,Items!$A$6:$A$1005,0)),"MISSING ITEM ID")</x:f>
        <x:v>Resources</x:v>
      </x:c>
      <x:c r="D166" s="4" t="str">
        <x:v>Primary</x:v>
      </x:c>
      <x:c r="E166" s="4" t="str">
        <x:f>IFERROR(INDEX(Items!$Z$6:$Z$1005,MATCH(A166,Items!$A$6:$A$1005,0)),"MISSING ITEM ID")</x:f>
        <x:v>Use unresolved</x:v>
      </x:c>
      <x:c r="F166" s="4" t="str">
        <x:v>Current item description. Catalog intent, not implemented actions.</x:v>
      </x:c>
    </x:row>
    <x:row r="167" ht="45" customHeight="1">
      <x:c r="A167" s="4" t="str">
        <x:v>proposal.fashion.special_spectacles</x:v>
      </x:c>
      <x:c r="B167" s="4" t="str">
        <x:f>IFERROR(INDEX(Items!$B$6:$B$1005,MATCH(A167,Items!$A$6:$A$1005,0)),"MISSING ITEM ID")</x:f>
        <x:v>Specialized spectacles</x:v>
      </x:c>
      <x:c r="C167" s="4" t="str">
        <x:f>IFERROR(INDEX(Items!$C$6:$C$1005,MATCH(A167,Items!$A$6:$A$1005,0)),"MISSING ITEM ID")</x:f>
        <x:v>Equipment</x:v>
      </x:c>
      <x:c r="D167" s="4" t="str">
        <x:v>Primary</x:v>
      </x:c>
      <x:c r="E167" s="4" t="str">
        <x:f>IFERROR(INDEX(Items!$Z$6:$Z$1005,MATCH(A167,Items!$A$6:$A$1005,0)),"MISSING ITEM ID")</x:f>
        <x:v>Vision</x:v>
      </x:c>
      <x:c r="F167" s="4" t="str">
        <x:v>Current item description. Catalog intent, not implemented actions.</x:v>
      </x:c>
    </x:row>
    <x:row r="168" ht="45" customHeight="1">
      <x:c r="A168" s="4" t="str">
        <x:v>proposal.fashion.eyeglasses</x:v>
      </x:c>
      <x:c r="B168" s="4" t="str">
        <x:f>IFERROR(INDEX(Items!$B$6:$B$1005,MATCH(A168,Items!$A$6:$A$1005,0)),"MISSING ITEM ID")</x:f>
        <x:v>Eyeglasses</x:v>
      </x:c>
      <x:c r="C168" s="4" t="str">
        <x:f>IFERROR(INDEX(Items!$C$6:$C$1005,MATCH(A168,Items!$A$6:$A$1005,0)),"MISSING ITEM ID")</x:f>
        <x:v>Equipment</x:v>
      </x:c>
      <x:c r="D168" s="4" t="str">
        <x:v>Primary</x:v>
      </x:c>
      <x:c r="E168" s="4" t="str">
        <x:f>IFERROR(INDEX(Items!$Z$6:$Z$1005,MATCH(A168,Items!$A$6:$A$1005,0)),"MISSING ITEM ID")</x:f>
        <x:v>Vision</x:v>
      </x:c>
      <x:c r="F168" s="4" t="str">
        <x:v>Current item description. Catalog intent, not implemented actions.</x:v>
      </x:c>
    </x:row>
    <x:row r="169" ht="45" customHeight="1">
      <x:c r="A169" s="4" t="str">
        <x:v>proposal.fashion.hat</x:v>
      </x:c>
      <x:c r="B169" s="4" t="str">
        <x:f>IFERROR(INDEX(Items!$B$6:$B$1005,MATCH(A169,Items!$A$6:$A$1005,0)),"MISSING ITEM ID")</x:f>
        <x:v>Hat</x:v>
      </x:c>
      <x:c r="C169" s="4" t="str">
        <x:f>IFERROR(INDEX(Items!$C$6:$C$1005,MATCH(A169,Items!$A$6:$A$1005,0)),"MISSING ITEM ID")</x:f>
        <x:v>Equipment</x:v>
      </x:c>
      <x:c r="D169" s="4" t="str">
        <x:v>Primary</x:v>
      </x:c>
      <x:c r="E169" s="4" t="str">
        <x:f>IFERROR(INDEX(Items!$Z$6:$Z$1005,MATCH(A169,Items!$A$6:$A$1005,0)),"MISSING ITEM ID")</x:f>
        <x:v>Clothing</x:v>
      </x:c>
      <x:c r="F169" s="4" t="str">
        <x:v>Current item description. Catalog intent, not implemented actions.</x:v>
      </x:c>
    </x:row>
    <x:row r="170" ht="45" customHeight="1">
      <x:c r="A170" s="4" t="str">
        <x:v>proposal.fashion.hat</x:v>
      </x:c>
      <x:c r="B170" s="4" t="str">
        <x:f>IFERROR(INDEX(Items!$B$6:$B$1005,MATCH(A170,Items!$A$6:$A$1005,0)),"MISSING ITEM ID")</x:f>
        <x:v>Hat</x:v>
      </x:c>
      <x:c r="C170" s="4" t="str">
        <x:f>IFERROR(INDEX(Items!$C$6:$C$1005,MATCH(A170,Items!$A$6:$A$1005,0)),"MISSING ITEM ID")</x:f>
        <x:v>Equipment</x:v>
      </x:c>
      <x:c r="D170" s="4" t="str">
        <x:v>Secondary</x:v>
      </x:c>
      <x:c r="E170" s="4" t="str">
        <x:v>Fashion</x:v>
      </x:c>
      <x:c r="F170" s="4" t="str">
        <x:v>Current item description. Catalog intent, not implemented actions.</x:v>
      </x:c>
    </x:row>
    <x:row r="171" ht="45" customHeight="1">
      <x:c r="A171" s="4" t="str">
        <x:v>proposal.fashion.husk_garment</x:v>
      </x:c>
      <x:c r="B171" s="4" t="str">
        <x:f>IFERROR(INDEX(Items!$B$6:$B$1005,MATCH(A171,Items!$A$6:$A$1005,0)),"MISSING ITEM ID")</x:f>
        <x:v>Elaborate husk-fiber wear</x:v>
      </x:c>
      <x:c r="C171" s="4" t="str">
        <x:f>IFERROR(INDEX(Items!$C$6:$C$1005,MATCH(A171,Items!$A$6:$A$1005,0)),"MISSING ITEM ID")</x:f>
        <x:v>Equipment</x:v>
      </x:c>
      <x:c r="D171" s="4" t="str">
        <x:v>Primary</x:v>
      </x:c>
      <x:c r="E171" s="4" t="str">
        <x:f>IFERROR(INDEX(Items!$Z$6:$Z$1005,MATCH(A171,Items!$A$6:$A$1005,0)),"MISSING ITEM ID")</x:f>
        <x:v>Fashion</x:v>
      </x:c>
      <x:c r="F171" s="4" t="str">
        <x:v>Current item description. Catalog intent, not implemented actions.</x:v>
      </x:c>
    </x:row>
    <x:row r="172" ht="45" customHeight="1">
      <x:c r="A172" s="4" t="str">
        <x:v>proposal.fashion.fur_garment</x:v>
      </x:c>
      <x:c r="B172" s="4" t="str">
        <x:f>IFERROR(INDEX(Items!$B$6:$B$1005,MATCH(A172,Items!$A$6:$A$1005,0)),"MISSING ITEM ID")</x:f>
        <x:v>Elaborate fur wear</x:v>
      </x:c>
      <x:c r="C172" s="4" t="str">
        <x:f>IFERROR(INDEX(Items!$C$6:$C$1005,MATCH(A172,Items!$A$6:$A$1005,0)),"MISSING ITEM ID")</x:f>
        <x:v>Equipment</x:v>
      </x:c>
      <x:c r="D172" s="4" t="str">
        <x:v>Primary</x:v>
      </x:c>
      <x:c r="E172" s="4" t="str">
        <x:f>IFERROR(INDEX(Items!$Z$6:$Z$1005,MATCH(A172,Items!$A$6:$A$1005,0)),"MISSING ITEM ID")</x:f>
        <x:v>Fashion</x:v>
      </x:c>
      <x:c r="F172" s="4" t="str">
        <x:v>Current item description. Catalog intent, not implemented actions.</x:v>
      </x:c>
    </x:row>
    <x:row r="173" ht="45" customHeight="1">
      <x:c r="A173" s="4" t="str">
        <x:v>proposal.fashion.hide_garment</x:v>
      </x:c>
      <x:c r="B173" s="4" t="str">
        <x:f>IFERROR(INDEX(Items!$B$6:$B$1005,MATCH(A173,Items!$A$6:$A$1005,0)),"MISSING ITEM ID")</x:f>
        <x:v>Elaborate hide wear</x:v>
      </x:c>
      <x:c r="C173" s="4" t="str">
        <x:f>IFERROR(INDEX(Items!$C$6:$C$1005,MATCH(A173,Items!$A$6:$A$1005,0)),"MISSING ITEM ID")</x:f>
        <x:v>Equipment</x:v>
      </x:c>
      <x:c r="D173" s="4" t="str">
        <x:v>Primary</x:v>
      </x:c>
      <x:c r="E173" s="4" t="str">
        <x:f>IFERROR(INDEX(Items!$Z$6:$Z$1005,MATCH(A173,Items!$A$6:$A$1005,0)),"MISSING ITEM ID")</x:f>
        <x:v>Fashion</x:v>
      </x:c>
      <x:c r="F173" s="4" t="str">
        <x:v>Current item description. Catalog intent, not implemented actions.</x:v>
      </x:c>
    </x:row>
    <x:row r="174" ht="45" customHeight="1">
      <x:c r="A174" s="4" t="str">
        <x:v>proposal.gem.clear_quartz</x:v>
      </x:c>
      <x:c r="B174" s="4" t="str">
        <x:f>IFERROR(INDEX(Items!$B$6:$B$1005,MATCH(A174,Items!$A$6:$A$1005,0)),"MISSING ITEM ID")</x:f>
        <x:v>Clear quartz</x:v>
      </x:c>
      <x:c r="C174" s="4" t="str">
        <x:f>IFERROR(INDEX(Items!$C$6:$C$1005,MATCH(A174,Items!$A$6:$A$1005,0)),"MISSING ITEM ID")</x:f>
        <x:v>Resources</x:v>
      </x:c>
      <x:c r="D174" s="4" t="str">
        <x:v>Primary</x:v>
      </x:c>
      <x:c r="E174" s="4" t="str">
        <x:f>IFERROR(INDEX(Items!$Z$6:$Z$1005,MATCH(A174,Items!$A$6:$A$1005,0)),"MISSING ITEM ID")</x:f>
        <x:v>Decoration</x:v>
      </x:c>
      <x:c r="F174" s="4" t="str">
        <x:v>Current item description. Catalog intent, not implemented actions.</x:v>
      </x:c>
    </x:row>
    <x:row r="175" ht="45" customHeight="1">
      <x:c r="A175" s="4" t="str">
        <x:v>proposal.gem.smoky_quartz</x:v>
      </x:c>
      <x:c r="B175" s="4" t="str">
        <x:f>IFERROR(INDEX(Items!$B$6:$B$1005,MATCH(A175,Items!$A$6:$A$1005,0)),"MISSING ITEM ID")</x:f>
        <x:v>Smoky quartz</x:v>
      </x:c>
      <x:c r="C175" s="4" t="str">
        <x:f>IFERROR(INDEX(Items!$C$6:$C$1005,MATCH(A175,Items!$A$6:$A$1005,0)),"MISSING ITEM ID")</x:f>
        <x:v>Resources</x:v>
      </x:c>
      <x:c r="D175" s="4" t="str">
        <x:v>Primary</x:v>
      </x:c>
      <x:c r="E175" s="4" t="str">
        <x:f>IFERROR(INDEX(Items!$Z$6:$Z$1005,MATCH(A175,Items!$A$6:$A$1005,0)),"MISSING ITEM ID")</x:f>
        <x:v>Decoration</x:v>
      </x:c>
      <x:c r="F175" s="4" t="str">
        <x:v>Current item description. Catalog intent, not implemented actions.</x:v>
      </x:c>
    </x:row>
    <x:row r="176" ht="45" customHeight="1">
      <x:c r="A176" s="4" t="str">
        <x:v>proposal.gem.garnet</x:v>
      </x:c>
      <x:c r="B176" s="4" t="str">
        <x:f>IFERROR(INDEX(Items!$B$6:$B$1005,MATCH(A176,Items!$A$6:$A$1005,0)),"MISSING ITEM ID")</x:f>
        <x:v>Garnet</x:v>
      </x:c>
      <x:c r="C176" s="4" t="str">
        <x:f>IFERROR(INDEX(Items!$C$6:$C$1005,MATCH(A176,Items!$A$6:$A$1005,0)),"MISSING ITEM ID")</x:f>
        <x:v>Resources</x:v>
      </x:c>
      <x:c r="D176" s="4" t="str">
        <x:v>Primary</x:v>
      </x:c>
      <x:c r="E176" s="4" t="str">
        <x:f>IFERROR(INDEX(Items!$Z$6:$Z$1005,MATCH(A176,Items!$A$6:$A$1005,0)),"MISSING ITEM ID")</x:f>
        <x:v>Decoration</x:v>
      </x:c>
      <x:c r="F176" s="4" t="str">
        <x:v>Current item description. Catalog intent, not implemented actions.</x:v>
      </x:c>
    </x:row>
    <x:row r="177" ht="45" customHeight="1">
      <x:c r="A177" s="4" t="str">
        <x:v>proposal.gem.spinel</x:v>
      </x:c>
      <x:c r="B177" s="4" t="str">
        <x:f>IFERROR(INDEX(Items!$B$6:$B$1005,MATCH(A177,Items!$A$6:$A$1005,0)),"MISSING ITEM ID")</x:f>
        <x:v>Spinel</x:v>
      </x:c>
      <x:c r="C177" s="4" t="str">
        <x:f>IFERROR(INDEX(Items!$C$6:$C$1005,MATCH(A177,Items!$A$6:$A$1005,0)),"MISSING ITEM ID")</x:f>
        <x:v>Resources</x:v>
      </x:c>
      <x:c r="D177" s="4" t="str">
        <x:v>Primary</x:v>
      </x:c>
      <x:c r="E177" s="4" t="str">
        <x:f>IFERROR(INDEX(Items!$Z$6:$Z$1005,MATCH(A177,Items!$A$6:$A$1005,0)),"MISSING ITEM ID")</x:f>
        <x:v>Decoration</x:v>
      </x:c>
      <x:c r="F177" s="4" t="str">
        <x:v>Current item description. Catalog intent, not implemented actions.</x:v>
      </x:c>
    </x:row>
    <x:row r="178" ht="45" customHeight="1">
      <x:c r="A178" s="4" t="str">
        <x:v>proposal.gem.peridot</x:v>
      </x:c>
      <x:c r="B178" s="4" t="str">
        <x:f>IFERROR(INDEX(Items!$B$6:$B$1005,MATCH(A178,Items!$A$6:$A$1005,0)),"MISSING ITEM ID")</x:f>
        <x:v>Peridot</x:v>
      </x:c>
      <x:c r="C178" s="4" t="str">
        <x:f>IFERROR(INDEX(Items!$C$6:$C$1005,MATCH(A178,Items!$A$6:$A$1005,0)),"MISSING ITEM ID")</x:f>
        <x:v>Resources</x:v>
      </x:c>
      <x:c r="D178" s="4" t="str">
        <x:v>Primary</x:v>
      </x:c>
      <x:c r="E178" s="4" t="str">
        <x:f>IFERROR(INDEX(Items!$Z$6:$Z$1005,MATCH(A178,Items!$A$6:$A$1005,0)),"MISSING ITEM ID")</x:f>
        <x:v>Decoration</x:v>
      </x:c>
      <x:c r="F178" s="4" t="str">
        <x:v>Current item description. Catalog intent, not implemented actions.</x:v>
      </x:c>
    </x:row>
    <x:row r="179" ht="45" customHeight="1">
      <x:c r="A179" s="4" t="str">
        <x:v>proposal.gem.corundum</x:v>
      </x:c>
      <x:c r="B179" s="4" t="str">
        <x:f>IFERROR(INDEX(Items!$B$6:$B$1005,MATCH(A179,Items!$A$6:$A$1005,0)),"MISSING ITEM ID")</x:f>
        <x:v>Ruby / sapphire corundum</x:v>
      </x:c>
      <x:c r="C179" s="4" t="str">
        <x:f>IFERROR(INDEX(Items!$C$6:$C$1005,MATCH(A179,Items!$A$6:$A$1005,0)),"MISSING ITEM ID")</x:f>
        <x:v>Resources</x:v>
      </x:c>
      <x:c r="D179" s="4" t="str">
        <x:v>Primary</x:v>
      </x:c>
      <x:c r="E179" s="4" t="str">
        <x:f>IFERROR(INDEX(Items!$Z$6:$Z$1005,MATCH(A179,Items!$A$6:$A$1005,0)),"MISSING ITEM ID")</x:f>
        <x:v>Decoration</x:v>
      </x:c>
      <x:c r="F179" s="4" t="str">
        <x:v>Current item description. Catalog intent, not implemented actions.</x:v>
      </x:c>
    </x:row>
    <x:row r="180" ht="45" customHeight="1">
      <x:c r="A180" s="4" t="str">
        <x:v>proposal.gem.tourmaline</x:v>
      </x:c>
      <x:c r="B180" s="4" t="str">
        <x:f>IFERROR(INDEX(Items!$B$6:$B$1005,MATCH(A180,Items!$A$6:$A$1005,0)),"MISSING ITEM ID")</x:f>
        <x:v>Tourmaline</x:v>
      </x:c>
      <x:c r="C180" s="4" t="str">
        <x:f>IFERROR(INDEX(Items!$C$6:$C$1005,MATCH(A180,Items!$A$6:$A$1005,0)),"MISSING ITEM ID")</x:f>
        <x:v>Resources</x:v>
      </x:c>
      <x:c r="D180" s="4" t="str">
        <x:v>Primary</x:v>
      </x:c>
      <x:c r="E180" s="4" t="str">
        <x:f>IFERROR(INDEX(Items!$Z$6:$Z$1005,MATCH(A180,Items!$A$6:$A$1005,0)),"MISSING ITEM ID")</x:f>
        <x:v>Decoration</x:v>
      </x:c>
      <x:c r="F180" s="4" t="str">
        <x:v>Current item description. Catalog intent, not implemented actions.</x:v>
      </x:c>
    </x:row>
    <x:row r="181" ht="45" customHeight="1">
      <x:c r="A181" s="4" t="str">
        <x:v>proposal.gem.zircon</x:v>
      </x:c>
      <x:c r="B181" s="4" t="str">
        <x:f>IFERROR(INDEX(Items!$B$6:$B$1005,MATCH(A181,Items!$A$6:$A$1005,0)),"MISSING ITEM ID")</x:f>
        <x:v>Zircon</x:v>
      </x:c>
      <x:c r="C181" s="4" t="str">
        <x:f>IFERROR(INDEX(Items!$C$6:$C$1005,MATCH(A181,Items!$A$6:$A$1005,0)),"MISSING ITEM ID")</x:f>
        <x:v>Resources</x:v>
      </x:c>
      <x:c r="D181" s="4" t="str">
        <x:v>Primary</x:v>
      </x:c>
      <x:c r="E181" s="4" t="str">
        <x:f>IFERROR(INDEX(Items!$Z$6:$Z$1005,MATCH(A181,Items!$A$6:$A$1005,0)),"MISSING ITEM ID")</x:f>
        <x:v>Decoration</x:v>
      </x:c>
      <x:c r="F181" s="4" t="str">
        <x:v>Current item description. Catalog intent, not implemented actions.</x:v>
      </x:c>
    </x:row>
    <x:row r="182" ht="45" customHeight="1">
      <x:c r="A182" s="4" t="str">
        <x:v>proposal.gear.simple_wraps</x:v>
      </x:c>
      <x:c r="B182" s="4" t="str">
        <x:f>IFERROR(INDEX(Items!$B$6:$B$1005,MATCH(A182,Items!$A$6:$A$1005,0)),"MISSING ITEM ID")</x:f>
        <x:v>Simple everyday wraps</x:v>
      </x:c>
      <x:c r="C182" s="4" t="str">
        <x:f>IFERROR(INDEX(Items!$C$6:$C$1005,MATCH(A182,Items!$A$6:$A$1005,0)),"MISSING ITEM ID")</x:f>
        <x:v>Equipment</x:v>
      </x:c>
      <x:c r="D182" s="4" t="str">
        <x:v>Primary</x:v>
      </x:c>
      <x:c r="E182" s="4" t="str">
        <x:f>IFERROR(INDEX(Items!$Z$6:$Z$1005,MATCH(A182,Items!$A$6:$A$1005,0)),"MISSING ITEM ID")</x:f>
        <x:v>Clothing</x:v>
      </x:c>
      <x:c r="F182" s="4" t="str">
        <x:v>Current item description. Catalog intent, not implemented actions.</x:v>
      </x:c>
    </x:row>
    <x:row r="183" ht="45" customHeight="1">
      <x:c r="A183" s="4" t="str">
        <x:v>proposal.bio.inner_wing</x:v>
      </x:c>
      <x:c r="B183" s="4" t="str">
        <x:f>IFERROR(INDEX(Items!$B$6:$B$1005,MATCH(A183,Items!$A$6:$A$1005,0)),"MISSING ITEM ID")</x:f>
        <x:v>Delicate inner wing</x:v>
      </x:c>
      <x:c r="C183" s="4" t="str">
        <x:f>IFERROR(INDEX(Items!$C$6:$C$1005,MATCH(A183,Items!$A$6:$A$1005,0)),"MISSING ITEM ID")</x:f>
        <x:v>Resources</x:v>
      </x:c>
      <x:c r="D183" s="4" t="str">
        <x:v>Primary</x:v>
      </x:c>
      <x:c r="E183" s="4" t="str">
        <x:f>IFERROR(INDEX(Items!$Z$6:$Z$1005,MATCH(A183,Items!$A$6:$A$1005,0)),"MISSING ITEM ID")</x:f>
        <x:v>Sun shading</x:v>
      </x:c>
      <x:c r="F183" s="4" t="str">
        <x:v>Current item description. Catalog intent, not implemented actions.</x:v>
      </x:c>
    </x:row>
    <x:row r="184" ht="45" customHeight="1">
      <x:c r="A184" s="4" t="str">
        <x:v>proposal.bio.wing_panel</x:v>
      </x:c>
      <x:c r="B184" s="4" t="str">
        <x:f>IFERROR(INDEX(Items!$B$6:$B$1005,MATCH(A184,Items!$A$6:$A$1005,0)),"MISSING ITEM ID")</x:f>
        <x:v>Prepared wing shade panel</x:v>
      </x:c>
      <x:c r="C184" s="4" t="str">
        <x:f>IFERROR(INDEX(Items!$C$6:$C$1005,MATCH(A184,Items!$A$6:$A$1005,0)),"MISSING ITEM ID")</x:f>
        <x:v>Crafting components</x:v>
      </x:c>
      <x:c r="D184" s="4" t="str">
        <x:v>Primary</x:v>
      </x:c>
      <x:c r="E184" s="4" t="str">
        <x:f>IFERROR(INDEX(Items!$Z$6:$Z$1005,MATCH(A184,Items!$A$6:$A$1005,0)),"MISSING ITEM ID")</x:f>
        <x:v>Sun shading</x:v>
      </x:c>
      <x:c r="F184" s="4" t="str">
        <x:v>Current item description. Catalog intent, not implemented actions.</x:v>
      </x:c>
    </x:row>
    <x:row r="185" ht="45" customHeight="1">
      <x:c r="A185" s="4" t="str">
        <x:v>proposal.canister.body_blank</x:v>
      </x:c>
      <x:c r="B185" s="4" t="str">
        <x:f>IFERROR(INDEX(Items!$B$6:$B$1005,MATCH(A185,Items!$A$6:$A$1005,0)),"MISSING ITEM ID")</x:f>
        <x:v>Canister body blank</x:v>
      </x:c>
      <x:c r="C185" s="4" t="str">
        <x:f>IFERROR(INDEX(Items!$C$6:$C$1005,MATCH(A185,Items!$A$6:$A$1005,0)),"MISSING ITEM ID")</x:f>
        <x:v>Crafting components</x:v>
      </x:c>
      <x:c r="D185" s="4" t="str">
        <x:v>Primary</x:v>
      </x:c>
      <x:c r="E185" s="4" t="str">
        <x:f>IFERROR(INDEX(Items!$Z$6:$Z$1005,MATCH(A185,Items!$A$6:$A$1005,0)),"MISSING ITEM ID")</x:f>
        <x:v>Liquid and bulk containment</x:v>
      </x:c>
      <x:c r="F185" s="4" t="str">
        <x:v>Current item description. Catalog intent, not implemented actions.</x:v>
      </x:c>
    </x:row>
    <x:row r="186" ht="45" customHeight="1">
      <x:c r="A186" s="4" t="str">
        <x:v>proposal.canister.seal_ring</x:v>
      </x:c>
      <x:c r="B186" s="4" t="str">
        <x:f>IFERROR(INDEX(Items!$B$6:$B$1005,MATCH(A186,Items!$A$6:$A$1005,0)),"MISSING ITEM ID")</x:f>
        <x:v>Replacement seal ring</x:v>
      </x:c>
      <x:c r="C186" s="4" t="str">
        <x:f>IFERROR(INDEX(Items!$C$6:$C$1005,MATCH(A186,Items!$A$6:$A$1005,0)),"MISSING ITEM ID")</x:f>
        <x:v>Crafting components</x:v>
      </x:c>
      <x:c r="D186" s="4" t="str">
        <x:v>Primary</x:v>
      </x:c>
      <x:c r="E186" s="4" t="str">
        <x:f>IFERROR(INDEX(Items!$Z$6:$Z$1005,MATCH(A186,Items!$A$6:$A$1005,0)),"MISSING ITEM ID")</x:f>
        <x:v>Sealing</x:v>
      </x:c>
      <x:c r="F186" s="4" t="str">
        <x:v>Current item description. Catalog intent, not implemented actions.</x:v>
      </x:c>
    </x:row>
    <x:row r="187" ht="45" customHeight="1">
      <x:c r="A187" s="4" t="str">
        <x:v>proposal.canister.seal_seat</x:v>
      </x:c>
      <x:c r="B187" s="4" t="str">
        <x:f>IFERROR(INDEX(Items!$B$6:$B$1005,MATCH(A187,Items!$A$6:$A$1005,0)),"MISSING ITEM ID")</x:f>
        <x:v>Fitted seal seat</x:v>
      </x:c>
      <x:c r="C187" s="4" t="str">
        <x:f>IFERROR(INDEX(Items!$C$6:$C$1005,MATCH(A187,Items!$A$6:$A$1005,0)),"MISSING ITEM ID")</x:f>
        <x:v>Crafting components</x:v>
      </x:c>
      <x:c r="D187" s="4" t="str">
        <x:v>Primary</x:v>
      </x:c>
      <x:c r="E187" s="4" t="str">
        <x:f>IFERROR(INDEX(Items!$Z$6:$Z$1005,MATCH(A187,Items!$A$6:$A$1005,0)),"MISSING ITEM ID")</x:f>
        <x:v>Sealing</x:v>
      </x:c>
      <x:c r="F187" s="4" t="str">
        <x:v>Current item description. Catalog intent, not implemented actions.</x:v>
      </x:c>
    </x:row>
    <x:row r="188" ht="45" customHeight="1">
      <x:c r="A188" s="4" t="str">
        <x:v>proposal.canister.sealant</x:v>
      </x:c>
      <x:c r="B188" s="4" t="str">
        <x:f>IFERROR(INDEX(Items!$B$6:$B$1005,MATCH(A188,Items!$A$6:$A$1005,0)),"MISSING ITEM ID")</x:f>
        <x:v>Canister joint sealant</x:v>
      </x:c>
      <x:c r="C188" s="4" t="str">
        <x:f>IFERROR(INDEX(Items!$C$6:$C$1005,MATCH(A188,Items!$A$6:$A$1005,0)),"MISSING ITEM ID")</x:f>
        <x:v>Crafting components</x:v>
      </x:c>
      <x:c r="D188" s="4" t="str">
        <x:v>Primary</x:v>
      </x:c>
      <x:c r="E188" s="4" t="str">
        <x:f>IFERROR(INDEX(Items!$Z$6:$Z$1005,MATCH(A188,Items!$A$6:$A$1005,0)),"MISSING ITEM ID")</x:f>
        <x:v>Sealing</x:v>
      </x:c>
      <x:c r="F188" s="4" t="str">
        <x:v>Current item description. Catalog intent, not implemented actions.</x:v>
      </x:c>
    </x:row>
    <x:row r="189" ht="45" customHeight="1">
      <x:c r="A189" s="4" t="str">
        <x:v>proposal.canister.feed_line</x:v>
      </x:c>
      <x:c r="B189" s="4" t="str">
        <x:f>IFERROR(INDEX(Items!$B$6:$B$1005,MATCH(A189,Items!$A$6:$A$1005,0)),"MISSING ITEM ID")</x:f>
        <x:v>Feed-line section</x:v>
      </x:c>
      <x:c r="C189" s="4" t="str">
        <x:f>IFERROR(INDEX(Items!$C$6:$C$1005,MATCH(A189,Items!$A$6:$A$1005,0)),"MISSING ITEM ID")</x:f>
        <x:v>Crafting components</x:v>
      </x:c>
      <x:c r="D189" s="4" t="str">
        <x:v>Primary</x:v>
      </x:c>
      <x:c r="E189" s="4" t="str">
        <x:f>IFERROR(INDEX(Items!$Z$6:$Z$1005,MATCH(A189,Items!$A$6:$A$1005,0)),"MISSING ITEM ID")</x:f>
        <x:v>Material transfer</x:v>
      </x:c>
      <x:c r="F189" s="4" t="str">
        <x:v>Current item description. Catalog intent, not implemented actions.</x:v>
      </x:c>
    </x:row>
    <x:row r="190" ht="45" customHeight="1">
      <x:c r="A190" s="4" t="str">
        <x:v>proposal.canister.coupling</x:v>
      </x:c>
      <x:c r="B190" s="4" t="str">
        <x:f>IFERROR(INDEX(Items!$B$6:$B$1005,MATCH(A190,Items!$A$6:$A$1005,0)),"MISSING ITEM ID")</x:f>
        <x:v>Feed-line coupling</x:v>
      </x:c>
      <x:c r="C190" s="4" t="str">
        <x:f>IFERROR(INDEX(Items!$C$6:$C$1005,MATCH(A190,Items!$A$6:$A$1005,0)),"MISSING ITEM ID")</x:f>
        <x:v>Crafting components</x:v>
      </x:c>
      <x:c r="D190" s="4" t="str">
        <x:v>Primary</x:v>
      </x:c>
      <x:c r="E190" s="4" t="str">
        <x:f>IFERROR(INDEX(Items!$Z$6:$Z$1005,MATCH(A190,Items!$A$6:$A$1005,0)),"MISSING ITEM ID")</x:f>
        <x:v>Material transfer</x:v>
      </x:c>
      <x:c r="F190" s="4" t="str">
        <x:v>Current item description. Catalog intent, not implemented actions.</x:v>
      </x:c>
    </x:row>
    <x:row r="191" ht="45" customHeight="1">
      <x:c r="A191" s="4" t="str">
        <x:v>proposal.canister.coupling</x:v>
      </x:c>
      <x:c r="B191" s="4" t="str">
        <x:f>IFERROR(INDEX(Items!$B$6:$B$1005,MATCH(A191,Items!$A$6:$A$1005,0)),"MISSING ITEM ID")</x:f>
        <x:v>Feed-line coupling</x:v>
      </x:c>
      <x:c r="C191" s="4" t="str">
        <x:f>IFERROR(INDEX(Items!$C$6:$C$1005,MATCH(A191,Items!$A$6:$A$1005,0)),"MISSING ITEM ID")</x:f>
        <x:v>Crafting components</x:v>
      </x:c>
      <x:c r="D191" s="4" t="str">
        <x:v>Secondary</x:v>
      </x:c>
      <x:c r="E191" s="4" t="str">
        <x:v>Sealing</x:v>
      </x:c>
      <x:c r="F191" s="4" t="str">
        <x:v>Current item description. Catalog intent, not implemented actions.</x:v>
      </x:c>
    </x:row>
    <x:row r="192" ht="45" customHeight="1">
      <x:c r="A192" s="4" t="str">
        <x:v>proposal.canister.mouthpiece</x:v>
      </x:c>
      <x:c r="B192" s="4" t="str">
        <x:f>IFERROR(INDEX(Items!$B$6:$B$1005,MATCH(A192,Items!$A$6:$A$1005,0)),"MISSING ITEM ID")</x:f>
        <x:v>Canister mouthpiece interface</x:v>
      </x:c>
      <x:c r="C192" s="4" t="str">
        <x:f>IFERROR(INDEX(Items!$C$6:$C$1005,MATCH(A192,Items!$A$6:$A$1005,0)),"MISSING ITEM ID")</x:f>
        <x:v>Crafting components</x:v>
      </x:c>
      <x:c r="D192" s="4" t="str">
        <x:v>Primary</x:v>
      </x:c>
      <x:c r="E192" s="4" t="str">
        <x:f>IFERROR(INDEX(Items!$Z$6:$Z$1005,MATCH(A192,Items!$A$6:$A$1005,0)),"MISSING ITEM ID")</x:f>
        <x:v>Survival provision</x:v>
      </x:c>
      <x:c r="F192" s="4" t="str">
        <x:v>Current item description. Catalog intent, not implemented actions.</x:v>
      </x:c>
    </x:row>
    <x:row r="193" ht="45" customHeight="1">
      <x:c r="A193" s="4" t="str">
        <x:v>proposal.canister.window</x:v>
      </x:c>
      <x:c r="B193" s="4" t="str">
        <x:f>IFERROR(INDEX(Items!$B$6:$B$1005,MATCH(A193,Items!$A$6:$A$1005,0)),"MISSING ITEM ID")</x:f>
        <x:v>Canister viewing-port insert</x:v>
      </x:c>
      <x:c r="C193" s="4" t="str">
        <x:f>IFERROR(INDEX(Items!$C$6:$C$1005,MATCH(A193,Items!$A$6:$A$1005,0)),"MISSING ITEM ID")</x:f>
        <x:v>Crafting components</x:v>
      </x:c>
      <x:c r="D193" s="4" t="str">
        <x:v>Primary</x:v>
      </x:c>
      <x:c r="E193" s="4" t="str">
        <x:f>IFERROR(INDEX(Items!$Z$6:$Z$1005,MATCH(A193,Items!$A$6:$A$1005,0)),"MISSING ITEM ID")</x:f>
        <x:v>Inspection</x:v>
      </x:c>
      <x:c r="F193" s="4" t="str">
        <x:v>Current item description. Catalog intent, not implemented actions.</x:v>
      </x:c>
    </x:row>
    <x:row r="194" ht="45" customHeight="1">
      <x:c r="A194" s="4" t="str">
        <x:v>proposal.canister.mount</x:v>
      </x:c>
      <x:c r="B194" s="4" t="str">
        <x:f>IFERROR(INDEX(Items!$B$6:$B$1005,MATCH(A194,Items!$A$6:$A$1005,0)),"MISSING ITEM ID")</x:f>
        <x:v>Canister mounting bracket</x:v>
      </x:c>
      <x:c r="C194" s="4" t="str">
        <x:f>IFERROR(INDEX(Items!$C$6:$C$1005,MATCH(A194,Items!$A$6:$A$1005,0)),"MISSING ITEM ID")</x:f>
        <x:v>Crafting components</x:v>
      </x:c>
      <x:c r="D194" s="4" t="str">
        <x:v>Primary</x:v>
      </x:c>
      <x:c r="E194" s="4" t="str">
        <x:f>IFERROR(INDEX(Items!$Z$6:$Z$1005,MATCH(A194,Items!$A$6:$A$1005,0)),"MISSING ITEM ID")</x:f>
        <x:v>Equipment mounting</x:v>
      </x:c>
      <x:c r="F194" s="4" t="str">
        <x:v>Current item description. Catalog intent, not implemented actions.</x:v>
      </x:c>
    </x:row>
    <x:row r="195" ht="45" customHeight="1">
      <x:c r="A195" s="4" t="str">
        <x:v>proposal.canister.harness</x:v>
      </x:c>
      <x:c r="B195" s="4" t="str">
        <x:f>IFERROR(INDEX(Items!$B$6:$B$1005,MATCH(A195,Items!$A$6:$A$1005,0)),"MISSING ITEM ID")</x:f>
        <x:v>Fitted canister harness</x:v>
      </x:c>
      <x:c r="C195" s="4" t="str">
        <x:f>IFERROR(INDEX(Items!$C$6:$C$1005,MATCH(A195,Items!$A$6:$A$1005,0)),"MISSING ITEM ID")</x:f>
        <x:v>Equipment</x:v>
      </x:c>
      <x:c r="D195" s="4" t="str">
        <x:v>Primary</x:v>
      </x:c>
      <x:c r="E195" s="4" t="str">
        <x:f>IFERROR(INDEX(Items!$Z$6:$Z$1005,MATCH(A195,Items!$A$6:$A$1005,0)),"MISSING ITEM ID")</x:f>
        <x:v>Equipment mounting</x:v>
      </x:c>
      <x:c r="F195" s="4" t="str">
        <x:v>Current item description. Catalog intent, not implemented actions.</x:v>
      </x:c>
    </x:row>
    <x:row r="196" ht="45" customHeight="1">
      <x:c r="A196" s="4" t="str">
        <x:v>proposal.canister.inspection_gauge</x:v>
      </x:c>
      <x:c r="B196" s="4" t="str">
        <x:f>IFERROR(INDEX(Items!$B$6:$B$1005,MATCH(A196,Items!$A$6:$A$1005,0)),"MISSING ITEM ID")</x:f>
        <x:v>Seal inspection gauge</x:v>
      </x:c>
      <x:c r="C196" s="4" t="str">
        <x:f>IFERROR(INDEX(Items!$C$6:$C$1005,MATCH(A196,Items!$A$6:$A$1005,0)),"MISSING ITEM ID")</x:f>
        <x:v>Equipment</x:v>
      </x:c>
      <x:c r="D196" s="4" t="str">
        <x:v>Primary</x:v>
      </x:c>
      <x:c r="E196" s="4" t="str">
        <x:f>IFERROR(INDEX(Items!$Z$6:$Z$1005,MATCH(A196,Items!$A$6:$A$1005,0)),"MISSING ITEM ID")</x:f>
        <x:v>Inspection</x:v>
      </x:c>
      <x:c r="F196" s="4" t="str">
        <x:v>Current item description. Catalog intent, not implemented actions.</x:v>
      </x:c>
    </x:row>
    <x:row r="197" ht="45" customHeight="1">
      <x:c r="A197" s="4" t="str">
        <x:v>proposal.canister.service_kit</x:v>
      </x:c>
      <x:c r="B197" s="4" t="str">
        <x:f>IFERROR(INDEX(Items!$B$6:$B$1005,MATCH(A197,Items!$A$6:$A$1005,0)),"MISSING ITEM ID")</x:f>
        <x:v>Canister service kit</x:v>
      </x:c>
      <x:c r="C197" s="4" t="str">
        <x:f>IFERROR(INDEX(Items!$C$6:$C$1005,MATCH(A197,Items!$A$6:$A$1005,0)),"MISSING ITEM ID")</x:f>
        <x:v>Field supplies</x:v>
      </x:c>
      <x:c r="D197" s="4" t="str">
        <x:v>Primary</x:v>
      </x:c>
      <x:c r="E197" s="4" t="str">
        <x:f>IFERROR(INDEX(Items!$Z$6:$Z$1005,MATCH(A197,Items!$A$6:$A$1005,0)),"MISSING ITEM ID")</x:f>
        <x:v>Equipment repair</x:v>
      </x:c>
      <x:c r="F197" s="4" t="str">
        <x:v>Current item description. Catalog intent, not implemented actions.</x:v>
      </x:c>
    </x:row>
    <x:row r="198" ht="45" customHeight="1">
      <x:c r="A198" s="4" t="str">
        <x:v>proposal.canister.service_kit</x:v>
      </x:c>
      <x:c r="B198" s="4" t="str">
        <x:f>IFERROR(INDEX(Items!$B$6:$B$1005,MATCH(A198,Items!$A$6:$A$1005,0)),"MISSING ITEM ID")</x:f>
        <x:v>Canister service kit</x:v>
      </x:c>
      <x:c r="C198" s="4" t="str">
        <x:f>IFERROR(INDEX(Items!$C$6:$C$1005,MATCH(A198,Items!$A$6:$A$1005,0)),"MISSING ITEM ID")</x:f>
        <x:v>Field supplies</x:v>
      </x:c>
      <x:c r="D198" s="4" t="str">
        <x:v>Secondary</x:v>
      </x:c>
      <x:c r="E198" s="4" t="str">
        <x:v>Sealing</x:v>
      </x:c>
      <x:c r="F198" s="4" t="str">
        <x:v>Current item description. Catalog intent, not implemented actions.</x:v>
      </x:c>
    </x:row>
    <x:row r="199" ht="45" customHeight="1">
      <x:c r="A199" s="4" t="str">
        <x:v>proposal.canister.maker_plate</x:v>
      </x:c>
      <x:c r="B199" s="4" t="str">
        <x:f>IFERROR(INDEX(Items!$B$6:$B$1005,MATCH(A199,Items!$A$6:$A$1005,0)),"MISSING ITEM ID")</x:f>
        <x:v>Canister maker plate</x:v>
      </x:c>
      <x:c r="C199" s="4" t="str">
        <x:f>IFERROR(INDEX(Items!$C$6:$C$1005,MATCH(A199,Items!$A$6:$A$1005,0)),"MISSING ITEM ID")</x:f>
        <x:v>Crafting components</x:v>
      </x:c>
      <x:c r="D199" s="4" t="str">
        <x:v>Primary</x:v>
      </x:c>
      <x:c r="E199" s="4" t="str">
        <x:f>IFERROR(INDEX(Items!$Z$6:$Z$1005,MATCH(A199,Items!$A$6:$A$1005,0)),"MISSING ITEM ID")</x:f>
        <x:v>Provenance</x:v>
      </x:c>
      <x:c r="F199" s="4" t="str">
        <x:v>Current item description. Catalog intent, not implemented actions.</x:v>
      </x:c>
    </x:row>
    <x:row r="200" ht="45" customHeight="1">
      <x:c r="A200" s="4" t="str">
        <x:v>proposal.canister.maker_plate</x:v>
      </x:c>
      <x:c r="B200" s="4" t="str">
        <x:f>IFERROR(INDEX(Items!$B$6:$B$1005,MATCH(A200,Items!$A$6:$A$1005,0)),"MISSING ITEM ID")</x:f>
        <x:v>Canister maker plate</x:v>
      </x:c>
      <x:c r="C200" s="4" t="str">
        <x:f>IFERROR(INDEX(Items!$C$6:$C$1005,MATCH(A200,Items!$A$6:$A$1005,0)),"MISSING ITEM ID")</x:f>
        <x:v>Crafting components</x:v>
      </x:c>
      <x:c r="D200" s="4" t="str">
        <x:v>Secondary</x:v>
      </x:c>
      <x:c r="E200" s="4" t="str">
        <x:v>Decoration</x:v>
      </x:c>
      <x:c r="F200" s="4" t="str">
        <x:v>Current item description. Catalog intent, not implemented actions.</x:v>
      </x:c>
    </x:row>
    <x:row r="201" ht="45" customHeight="1">
      <x:c r="A201" s="4" t="str">
        <x:v>proposal.canister.trim</x:v>
      </x:c>
      <x:c r="B201" s="4" t="str">
        <x:f>IFERROR(INDEX(Items!$B$6:$B$1005,MATCH(A201,Items!$A$6:$A$1005,0)),"MISSING ITEM ID")</x:f>
        <x:v>Decorative canister panel</x:v>
      </x:c>
      <x:c r="C201" s="4" t="str">
        <x:f>IFERROR(INDEX(Items!$C$6:$C$1005,MATCH(A201,Items!$A$6:$A$1005,0)),"MISSING ITEM ID")</x:f>
        <x:v>Crafting components</x:v>
      </x:c>
      <x:c r="D201" s="4" t="str">
        <x:v>Primary</x:v>
      </x:c>
      <x:c r="E201" s="4" t="str">
        <x:f>IFERROR(INDEX(Items!$Z$6:$Z$1005,MATCH(A201,Items!$A$6:$A$1005,0)),"MISSING ITEM ID")</x:f>
        <x:v>Decoration</x:v>
      </x:c>
      <x:c r="F201" s="4" t="str">
        <x:v>Current item description. Catalog intent, not implemented actions.</x:v>
      </x:c>
    </x:row>
    <x:row r="202" ht="45" customHeight="1">
      <x:c r="A202" s="4" t="str">
        <x:v>proposal.canister.endcap</x:v>
      </x:c>
      <x:c r="B202" s="4" t="str">
        <x:f>IFERROR(INDEX(Items!$B$6:$B$1005,MATCH(A202,Items!$A$6:$A$1005,0)),"MISSING ITEM ID")</x:f>
        <x:v>Canister protective endcap</x:v>
      </x:c>
      <x:c r="C202" s="4" t="str">
        <x:f>IFERROR(INDEX(Items!$C$6:$C$1005,MATCH(A202,Items!$A$6:$A$1005,0)),"MISSING ITEM ID")</x:f>
        <x:v>Crafting components</x:v>
      </x:c>
      <x:c r="D202" s="4" t="str">
        <x:v>Primary</x:v>
      </x:c>
      <x:c r="E202" s="4" t="str">
        <x:f>IFERROR(INDEX(Items!$Z$6:$Z$1005,MATCH(A202,Items!$A$6:$A$1005,0)),"MISSING ITEM ID")</x:f>
        <x:v>Protection</x:v>
      </x:c>
      <x:c r="F202" s="4" t="str">
        <x:v>Current item description. Catalog intent, not implemented actions.</x:v>
      </x:c>
    </x:row>
    <x:row r="203" ht="45" customHeight="1">
      <x:c r="A203" s="4" t="str">
        <x:v>proposal.canister.endcap</x:v>
      </x:c>
      <x:c r="B203" s="4" t="str">
        <x:f>IFERROR(INDEX(Items!$B$6:$B$1005,MATCH(A203,Items!$A$6:$A$1005,0)),"MISSING ITEM ID")</x:f>
        <x:v>Canister protective endcap</x:v>
      </x:c>
      <x:c r="C203" s="4" t="str">
        <x:f>IFERROR(INDEX(Items!$C$6:$C$1005,MATCH(A203,Items!$A$6:$A$1005,0)),"MISSING ITEM ID")</x:f>
        <x:v>Crafting components</x:v>
      </x:c>
      <x:c r="D203" s="4" t="str">
        <x:v>Secondary</x:v>
      </x:c>
      <x:c r="E203" s="4" t="str">
        <x:v>Dust exclusion</x:v>
      </x:c>
      <x:c r="F203" s="4" t="str">
        <x:v>Current item description. Catalog intent, not implemented actions.</x:v>
      </x:c>
    </x:row>
    <x:row r="204" ht="45" customHeight="1">
      <x:c r="A204" s="4" t="str">
        <x:v>proposal.culture.icon</x:v>
      </x:c>
      <x:c r="B204" s="4" t="str">
        <x:f>IFERROR(INDEX(Items!$B$6:$B$1005,MATCH(A204,Items!$A$6:$A$1005,0)),"MISSING ITEM ID")</x:f>
        <x:v>Preserver icon token</x:v>
      </x:c>
      <x:c r="C204" s="4" t="str">
        <x:f>IFERROR(INDEX(Items!$C$6:$C$1005,MATCH(A204,Items!$A$6:$A$1005,0)),"MISSING ITEM ID")</x:f>
        <x:v>Cultural objects</x:v>
      </x:c>
      <x:c r="D204" s="4" t="str">
        <x:v>Primary</x:v>
      </x:c>
      <x:c r="E204" s="4" t="str">
        <x:f>IFERROR(INDEX(Items!$Z$6:$Z$1005,MATCH(A204,Items!$A$6:$A$1005,0)),"MISSING ITEM ID")</x:f>
        <x:v>Devotion</x:v>
      </x:c>
      <x:c r="F204" s="4" t="str">
        <x:v>Current item description. Catalog intent, not implemented actions.</x:v>
      </x:c>
    </x:row>
    <x:row r="205" ht="45" customHeight="1">
      <x:c r="A205" s="4" t="str">
        <x:v>proposal.culture.shrine</x:v>
      </x:c>
      <x:c r="B205" s="4" t="str">
        <x:f>IFERROR(INDEX(Items!$B$6:$B$1005,MATCH(A205,Items!$A$6:$A$1005,0)),"MISSING ITEM ID")</x:f>
        <x:v>Household shrine plaque</x:v>
      </x:c>
      <x:c r="C205" s="4" t="str">
        <x:f>IFERROR(INDEX(Items!$C$6:$C$1005,MATCH(A205,Items!$A$6:$A$1005,0)),"MISSING ITEM ID")</x:f>
        <x:v>Cultural objects</x:v>
      </x:c>
      <x:c r="D205" s="4" t="str">
        <x:v>Primary</x:v>
      </x:c>
      <x:c r="E205" s="4" t="str">
        <x:f>IFERROR(INDEX(Items!$Z$6:$Z$1005,MATCH(A205,Items!$A$6:$A$1005,0)),"MISSING ITEM ID")</x:f>
        <x:v>Devotion</x:v>
      </x:c>
      <x:c r="F205" s="4" t="str">
        <x:v>Current item description. Catalog intent, not implemented actions.</x:v>
      </x:c>
    </x:row>
    <x:row r="206" ht="45" customHeight="1">
      <x:c r="A206" s="4" t="str">
        <x:v>proposal.culture.altar_vial</x:v>
      </x:c>
      <x:c r="B206" s="4" t="str">
        <x:f>IFERROR(INDEX(Items!$B$6:$B$1005,MATCH(A206,Items!$A$6:$A$1005,0)),"MISSING ITEM ID")</x:f>
        <x:v>Altar display vial</x:v>
      </x:c>
      <x:c r="C206" s="4" t="str">
        <x:f>IFERROR(INDEX(Items!$C$6:$C$1005,MATCH(A206,Items!$A$6:$A$1005,0)),"MISSING ITEM ID")</x:f>
        <x:v>Cultural objects</x:v>
      </x:c>
      <x:c r="D206" s="4" t="str">
        <x:v>Primary</x:v>
      </x:c>
      <x:c r="E206" s="4" t="str">
        <x:f>IFERROR(INDEX(Items!$Z$6:$Z$1005,MATCH(A206,Items!$A$6:$A$1005,0)),"MISSING ITEM ID")</x:f>
        <x:v>Ceremony</x:v>
      </x:c>
      <x:c r="F206" s="4" t="str">
        <x:v>Current item description. Catalog intent, not implemented actions.</x:v>
      </x:c>
    </x:row>
    <x:row r="207" ht="45" customHeight="1">
      <x:c r="A207" s="4" t="str">
        <x:v>proposal.culture.altar_vial</x:v>
      </x:c>
      <x:c r="B207" s="4" t="str">
        <x:f>IFERROR(INDEX(Items!$B$6:$B$1005,MATCH(A207,Items!$A$6:$A$1005,0)),"MISSING ITEM ID")</x:f>
        <x:v>Altar display vial</x:v>
      </x:c>
      <x:c r="C207" s="4" t="str">
        <x:f>IFERROR(INDEX(Items!$C$6:$C$1005,MATCH(A207,Items!$A$6:$A$1005,0)),"MISSING ITEM ID")</x:f>
        <x:v>Cultural objects</x:v>
      </x:c>
      <x:c r="D207" s="4" t="str">
        <x:v>Secondary</x:v>
      </x:c>
      <x:c r="E207" s="4" t="str">
        <x:v>Liquid and bulk containment</x:v>
      </x:c>
      <x:c r="F207" s="4" t="str">
        <x:v>Current item description. Catalog intent, not implemented actions.</x:v>
      </x:c>
    </x:row>
    <x:row r="208" ht="45" customHeight="1">
      <x:c r="A208" s="4" t="str">
        <x:v>proposal.culture.reliquary</x:v>
      </x:c>
      <x:c r="B208" s="4" t="str">
        <x:f>IFERROR(INDEX(Items!$B$6:$B$1005,MATCH(A208,Items!$A$6:$A$1005,0)),"MISSING ITEM ID")</x:f>
        <x:v>Relic case</x:v>
      </x:c>
      <x:c r="C208" s="4" t="str">
        <x:f>IFERROR(INDEX(Items!$C$6:$C$1005,MATCH(A208,Items!$A$6:$A$1005,0)),"MISSING ITEM ID")</x:f>
        <x:v>Cultural objects</x:v>
      </x:c>
      <x:c r="D208" s="4" t="str">
        <x:v>Primary</x:v>
      </x:c>
      <x:c r="E208" s="4" t="str">
        <x:f>IFERROR(INDEX(Items!$Z$6:$Z$1005,MATCH(A208,Items!$A$6:$A$1005,0)),"MISSING ITEM ID")</x:f>
        <x:v>Devotion</x:v>
      </x:c>
      <x:c r="F208" s="4" t="str">
        <x:v>Current item description. Catalog intent, not implemented actions.</x:v>
      </x:c>
    </x:row>
    <x:row r="209" ht="45" customHeight="1">
      <x:c r="A209" s="4" t="str">
        <x:v>proposal.culture.reliquary</x:v>
      </x:c>
      <x:c r="B209" s="4" t="str">
        <x:f>IFERROR(INDEX(Items!$B$6:$B$1005,MATCH(A209,Items!$A$6:$A$1005,0)),"MISSING ITEM ID")</x:f>
        <x:v>Relic case</x:v>
      </x:c>
      <x:c r="C209" s="4" t="str">
        <x:f>IFERROR(INDEX(Items!$C$6:$C$1005,MATCH(A209,Items!$A$6:$A$1005,0)),"MISSING ITEM ID")</x:f>
        <x:v>Cultural objects</x:v>
      </x:c>
      <x:c r="D209" s="4" t="str">
        <x:v>Secondary</x:v>
      </x:c>
      <x:c r="E209" s="4" t="str">
        <x:v>Keepsake storage</x:v>
      </x:c>
      <x:c r="F209" s="4" t="str">
        <x:v>Current item description. Catalog intent, not implemented actions.</x:v>
      </x:c>
    </x:row>
    <x:row r="210" ht="45" customHeight="1">
      <x:c r="A210" s="4" t="str">
        <x:v>proposal.culture.prayer_leaf</x:v>
      </x:c>
      <x:c r="B210" s="4" t="str">
        <x:f>IFERROR(INDEX(Items!$B$6:$B$1005,MATCH(A210,Items!$A$6:$A$1005,0)),"MISSING ITEM ID")</x:f>
        <x:v>Husk-paper prayer leaf</x:v>
      </x:c>
      <x:c r="C210" s="4" t="str">
        <x:f>IFERROR(INDEX(Items!$C$6:$C$1005,MATCH(A210,Items!$A$6:$A$1005,0)),"MISSING ITEM ID")</x:f>
        <x:v>Cultural objects</x:v>
      </x:c>
      <x:c r="D210" s="4" t="str">
        <x:v>Primary</x:v>
      </x:c>
      <x:c r="E210" s="4" t="str">
        <x:f>IFERROR(INDEX(Items!$Z$6:$Z$1005,MATCH(A210,Items!$A$6:$A$1005,0)),"MISSING ITEM ID")</x:f>
        <x:v>Devotion</x:v>
      </x:c>
      <x:c r="F210" s="4" t="str">
        <x:v>Current item description. Catalog intent, not implemented actions.</x:v>
      </x:c>
    </x:row>
    <x:row r="211" ht="45" customHeight="1">
      <x:c r="A211" s="4" t="str">
        <x:v>proposal.culture.prayer_leaf</x:v>
      </x:c>
      <x:c r="B211" s="4" t="str">
        <x:f>IFERROR(INDEX(Items!$B$6:$B$1005,MATCH(A211,Items!$A$6:$A$1005,0)),"MISSING ITEM ID")</x:f>
        <x:v>Husk-paper prayer leaf</x:v>
      </x:c>
      <x:c r="C211" s="4" t="str">
        <x:f>IFERROR(INDEX(Items!$C$6:$C$1005,MATCH(A211,Items!$A$6:$A$1005,0)),"MISSING ITEM ID")</x:f>
        <x:v>Cultural objects</x:v>
      </x:c>
      <x:c r="D211" s="4" t="str">
        <x:v>Secondary</x:v>
      </x:c>
      <x:c r="E211" s="4" t="str">
        <x:v>Writing and records</x:v>
      </x:c>
      <x:c r="F211" s="4" t="str">
        <x:v>Current item description. Catalog intent, not implemented actions.</x:v>
      </x:c>
    </x:row>
    <x:row r="212" ht="45" customHeight="1">
      <x:c r="A212" s="4" t="str">
        <x:v>proposal.culture.offering</x:v>
      </x:c>
      <x:c r="B212" s="4" t="str">
        <x:f>IFERROR(INDEX(Items!$B$6:$B$1005,MATCH(A212,Items!$A$6:$A$1005,0)),"MISSING ITEM ID")</x:f>
        <x:v>Votive shell token</x:v>
      </x:c>
      <x:c r="C212" s="4" t="str">
        <x:f>IFERROR(INDEX(Items!$C$6:$C$1005,MATCH(A212,Items!$A$6:$A$1005,0)),"MISSING ITEM ID")</x:f>
        <x:v>Cultural objects</x:v>
      </x:c>
      <x:c r="D212" s="4" t="str">
        <x:v>Primary</x:v>
      </x:c>
      <x:c r="E212" s="4" t="str">
        <x:f>IFERROR(INDEX(Items!$Z$6:$Z$1005,MATCH(A212,Items!$A$6:$A$1005,0)),"MISSING ITEM ID")</x:f>
        <x:v>Devotion</x:v>
      </x:c>
      <x:c r="F212" s="4" t="str">
        <x:v>Current item description. Catalog intent, not implemented actions.</x:v>
      </x:c>
    </x:row>
    <x:row r="213" ht="45" customHeight="1">
      <x:c r="A213" s="4" t="str">
        <x:v>proposal.culture.badge</x:v>
      </x:c>
      <x:c r="B213" s="4" t="str">
        <x:f>IFERROR(INDEX(Items!$B$6:$B$1005,MATCH(A213,Items!$A$6:$A$1005,0)),"MISSING ITEM ID")</x:f>
        <x:v>Civic office badge</x:v>
      </x:c>
      <x:c r="C213" s="4" t="str">
        <x:f>IFERROR(INDEX(Items!$C$6:$C$1005,MATCH(A213,Items!$A$6:$A$1005,0)),"MISSING ITEM ID")</x:f>
        <x:v>Cultural objects</x:v>
      </x:c>
      <x:c r="D213" s="4" t="str">
        <x:v>Primary</x:v>
      </x:c>
      <x:c r="E213" s="4" t="str">
        <x:f>IFERROR(INDEX(Items!$Z$6:$Z$1005,MATCH(A213,Items!$A$6:$A$1005,0)),"MISSING ITEM ID")</x:f>
        <x:v>Civic identification</x:v>
      </x:c>
      <x:c r="F213" s="4" t="str">
        <x:v>Current item description. Catalog intent, not implemented actions.</x:v>
      </x:c>
    </x:row>
    <x:row r="214" ht="45" customHeight="1">
      <x:c r="A214" s="4" t="str">
        <x:v>proposal.culture.stamp</x:v>
      </x:c>
      <x:c r="B214" s="4" t="str">
        <x:f>IFERROR(INDEX(Items!$B$6:$B$1005,MATCH(A214,Items!$A$6:$A$1005,0)),"MISSING ITEM ID")</x:f>
        <x:v>Official seal stamp</x:v>
      </x:c>
      <x:c r="C214" s="4" t="str">
        <x:f>IFERROR(INDEX(Items!$C$6:$C$1005,MATCH(A214,Items!$A$6:$A$1005,0)),"MISSING ITEM ID")</x:f>
        <x:v>Cultural objects</x:v>
      </x:c>
      <x:c r="D214" s="4" t="str">
        <x:v>Primary</x:v>
      </x:c>
      <x:c r="E214" s="4" t="str">
        <x:f>IFERROR(INDEX(Items!$Z$6:$Z$1005,MATCH(A214,Items!$A$6:$A$1005,0)),"MISSING ITEM ID")</x:f>
        <x:v>Writing and records</x:v>
      </x:c>
      <x:c r="F214" s="4" t="str">
        <x:v>Current item description. Catalog intent, not implemented actions.</x:v>
      </x:c>
    </x:row>
    <x:row r="215" ht="45" customHeight="1">
      <x:c r="A215" s="4" t="str">
        <x:v>proposal.culture.stamp</x:v>
      </x:c>
      <x:c r="B215" s="4" t="str">
        <x:f>IFERROR(INDEX(Items!$B$6:$B$1005,MATCH(A215,Items!$A$6:$A$1005,0)),"MISSING ITEM ID")</x:f>
        <x:v>Official seal stamp</x:v>
      </x:c>
      <x:c r="C215" s="4" t="str">
        <x:f>IFERROR(INDEX(Items!$C$6:$C$1005,MATCH(A215,Items!$A$6:$A$1005,0)),"MISSING ITEM ID")</x:f>
        <x:v>Cultural objects</x:v>
      </x:c>
      <x:c r="D215" s="4" t="str">
        <x:v>Secondary</x:v>
      </x:c>
      <x:c r="E215" s="4" t="str">
        <x:v>Civic identification</x:v>
      </x:c>
      <x:c r="F215" s="4" t="str">
        <x:v>Current item description. Catalog intent, not implemented actions.</x:v>
      </x:c>
    </x:row>
    <x:row r="216" ht="45" customHeight="1">
      <x:c r="A216" s="4" t="str">
        <x:v>proposal.culture.register</x:v>
      </x:c>
      <x:c r="B216" s="4" t="str">
        <x:f>IFERROR(INDEX(Items!$B$6:$B$1005,MATCH(A216,Items!$A$6:$A$1005,0)),"MISSING ITEM ID")</x:f>
        <x:v>Civic register folio</x:v>
      </x:c>
      <x:c r="C216" s="4" t="str">
        <x:f>IFERROR(INDEX(Items!$C$6:$C$1005,MATCH(A216,Items!$A$6:$A$1005,0)),"MISSING ITEM ID")</x:f>
        <x:v>Cultural objects</x:v>
      </x:c>
      <x:c r="D216" s="4" t="str">
        <x:v>Primary</x:v>
      </x:c>
      <x:c r="E216" s="4" t="str">
        <x:f>IFERROR(INDEX(Items!$Z$6:$Z$1005,MATCH(A216,Items!$A$6:$A$1005,0)),"MISSING ITEM ID")</x:f>
        <x:v>Writing and records</x:v>
      </x:c>
      <x:c r="F216" s="4" t="str">
        <x:v>Current item description. Catalog intent, not implemented actions.</x:v>
      </x:c>
    </x:row>
    <x:row r="217" ht="45" customHeight="1">
      <x:c r="A217" s="4" t="str">
        <x:v>proposal.culture.register</x:v>
      </x:c>
      <x:c r="B217" s="4" t="str">
        <x:f>IFERROR(INDEX(Items!$B$6:$B$1005,MATCH(A217,Items!$A$6:$A$1005,0)),"MISSING ITEM ID")</x:f>
        <x:v>Civic register folio</x:v>
      </x:c>
      <x:c r="C217" s="4" t="str">
        <x:f>IFERROR(INDEX(Items!$C$6:$C$1005,MATCH(A217,Items!$A$6:$A$1005,0)),"MISSING ITEM ID")</x:f>
        <x:v>Cultural objects</x:v>
      </x:c>
      <x:c r="D217" s="4" t="str">
        <x:v>Secondary</x:v>
      </x:c>
      <x:c r="E217" s="4" t="str">
        <x:v>Civic recognition</x:v>
      </x:c>
      <x:c r="F217" s="4" t="str">
        <x:v>Current item description. Catalog intent, not implemented actions.</x:v>
      </x:c>
    </x:row>
    <x:row r="218" ht="45" customHeight="1">
      <x:c r="A218" s="4" t="str">
        <x:v>proposal.culture.notice</x:v>
      </x:c>
      <x:c r="B218" s="4" t="str">
        <x:f>IFERROR(INDEX(Items!$B$6:$B$1005,MATCH(A218,Items!$A$6:$A$1005,0)),"MISSING ITEM ID")</x:f>
        <x:v>Public notice plate</x:v>
      </x:c>
      <x:c r="C218" s="4" t="str">
        <x:f>IFERROR(INDEX(Items!$C$6:$C$1005,MATCH(A218,Items!$A$6:$A$1005,0)),"MISSING ITEM ID")</x:f>
        <x:v>Cultural objects</x:v>
      </x:c>
      <x:c r="D218" s="4" t="str">
        <x:v>Primary</x:v>
      </x:c>
      <x:c r="E218" s="4" t="str">
        <x:f>IFERROR(INDEX(Items!$Z$6:$Z$1005,MATCH(A218,Items!$A$6:$A$1005,0)),"MISSING ITEM ID")</x:f>
        <x:v>Public communication</x:v>
      </x:c>
      <x:c r="F218" s="4" t="str">
        <x:v>Current item description. Catalog intent, not implemented actions.</x:v>
      </x:c>
    </x:row>
    <x:row r="219" ht="45" customHeight="1">
      <x:c r="A219" s="4" t="str">
        <x:v>proposal.culture.petition</x:v>
      </x:c>
      <x:c r="B219" s="4" t="str">
        <x:f>IFERROR(INDEX(Items!$B$6:$B$1005,MATCH(A219,Items!$A$6:$A$1005,0)),"MISSING ITEM ID")</x:f>
        <x:v>Petition leaf</x:v>
      </x:c>
      <x:c r="C219" s="4" t="str">
        <x:f>IFERROR(INDEX(Items!$C$6:$C$1005,MATCH(A219,Items!$A$6:$A$1005,0)),"MISSING ITEM ID")</x:f>
        <x:v>Cultural objects</x:v>
      </x:c>
      <x:c r="D219" s="4" t="str">
        <x:v>Primary</x:v>
      </x:c>
      <x:c r="E219" s="4" t="str">
        <x:f>IFERROR(INDEX(Items!$Z$6:$Z$1005,MATCH(A219,Items!$A$6:$A$1005,0)),"MISSING ITEM ID")</x:f>
        <x:v>Public communication</x:v>
      </x:c>
      <x:c r="F219" s="4" t="str">
        <x:v>Current item description. Catalog intent, not implemented actions.</x:v>
      </x:c>
    </x:row>
    <x:row r="220" ht="45" customHeight="1">
      <x:c r="A220" s="4" t="str">
        <x:v>proposal.culture.commendation</x:v>
      </x:c>
      <x:c r="B220" s="4" t="str">
        <x:f>IFERROR(INDEX(Items!$B$6:$B$1005,MATCH(A220,Items!$A$6:$A$1005,0)),"MISSING ITEM ID")</x:f>
        <x:v>Community service medallion</x:v>
      </x:c>
      <x:c r="C220" s="4" t="str">
        <x:f>IFERROR(INDEX(Items!$C$6:$C$1005,MATCH(A220,Items!$A$6:$A$1005,0)),"MISSING ITEM ID")</x:f>
        <x:v>Cultural objects</x:v>
      </x:c>
      <x:c r="D220" s="4" t="str">
        <x:v>Primary</x:v>
      </x:c>
      <x:c r="E220" s="4" t="str">
        <x:f>IFERROR(INDEX(Items!$Z$6:$Z$1005,MATCH(A220,Items!$A$6:$A$1005,0)),"MISSING ITEM ID")</x:f>
        <x:v>Civic recognition</x:v>
      </x:c>
      <x:c r="F220" s="4" t="str">
        <x:v>Current item description. Catalog intent, not implemented actions.</x:v>
      </x:c>
    </x:row>
    <x:row r="221" ht="45" customHeight="1">
      <x:c r="A221" s="4" t="str">
        <x:v>proposal.culture.pilgrim_die</x:v>
      </x:c>
      <x:c r="B221" s="4" t="str">
        <x:f>IFERROR(INDEX(Items!$B$6:$B$1005,MATCH(A221,Items!$A$6:$A$1005,0)),"MISSING ITEM ID")</x:f>
        <x:v>Pilgrimage marking die</x:v>
      </x:c>
      <x:c r="C221" s="4" t="str">
        <x:f>IFERROR(INDEX(Items!$C$6:$C$1005,MATCH(A221,Items!$A$6:$A$1005,0)),"MISSING ITEM ID")</x:f>
        <x:v>Cultural objects</x:v>
      </x:c>
      <x:c r="D221" s="4" t="str">
        <x:v>Primary</x:v>
      </x:c>
      <x:c r="E221" s="4" t="str">
        <x:f>IFERROR(INDEX(Items!$Z$6:$Z$1005,MATCH(A221,Items!$A$6:$A$1005,0)),"MISSING ITEM ID")</x:f>
        <x:v>Ceremony</x:v>
      </x:c>
      <x:c r="F221" s="4" t="str">
        <x:v>Current item description. Catalog intent, not implemented actions.</x:v>
      </x:c>
    </x:row>
    <x:row r="222" ht="45" customHeight="1">
      <x:c r="A222" s="4" t="str">
        <x:v>proposal.culture.pilgrim_die</x:v>
      </x:c>
      <x:c r="B222" s="4" t="str">
        <x:f>IFERROR(INDEX(Items!$B$6:$B$1005,MATCH(A222,Items!$A$6:$A$1005,0)),"MISSING ITEM ID")</x:f>
        <x:v>Pilgrimage marking die</x:v>
      </x:c>
      <x:c r="C222" s="4" t="str">
        <x:f>IFERROR(INDEX(Items!$C$6:$C$1005,MATCH(A222,Items!$A$6:$A$1005,0)),"MISSING ITEM ID")</x:f>
        <x:v>Cultural objects</x:v>
      </x:c>
      <x:c r="D222" s="4" t="str">
        <x:v>Secondary</x:v>
      </x:c>
      <x:c r="E222" s="4" t="str">
        <x:v>Provenance</x:v>
      </x:c>
      <x:c r="F222" s="4" t="str">
        <x:v>Current item description. Catalog intent, not implemented actions.</x:v>
      </x:c>
    </x:row>
    <x:row r="223" ht="45" customHeight="1">
      <x:c r="A223" s="4" t="str">
        <x:v>proposal.culture.memorial</x:v>
      </x:c>
      <x:c r="B223" s="4" t="str">
        <x:f>IFERROR(INDEX(Items!$B$6:$B$1005,MATCH(A223,Items!$A$6:$A$1005,0)),"MISSING ITEM ID")</x:f>
        <x:v>Memorial name plate</x:v>
      </x:c>
      <x:c r="C223" s="4" t="str">
        <x:f>IFERROR(INDEX(Items!$C$6:$C$1005,MATCH(A223,Items!$A$6:$A$1005,0)),"MISSING ITEM ID")</x:f>
        <x:v>Cultural objects</x:v>
      </x:c>
      <x:c r="D223" s="4" t="str">
        <x:v>Primary</x:v>
      </x:c>
      <x:c r="E223" s="4" t="str">
        <x:f>IFERROR(INDEX(Items!$Z$6:$Z$1005,MATCH(A223,Items!$A$6:$A$1005,0)),"MISSING ITEM ID")</x:f>
        <x:v>Remembrance</x:v>
      </x:c>
      <x:c r="F223" s="4" t="str">
        <x:v>Current item description. Catalog intent, not implemented actions.</x:v>
      </x:c>
    </x:row>
    <x:row r="224" ht="45" customHeight="1">
      <x:c r="A224" s="4" t="str">
        <x:v>proposal.culture.oath_ring</x:v>
      </x:c>
      <x:c r="B224" s="4" t="str">
        <x:f>IFERROR(INDEX(Items!$B$6:$B$1005,MATCH(A224,Items!$A$6:$A$1005,0)),"MISSING ITEM ID")</x:f>
        <x:v>Oath exchange ring</x:v>
      </x:c>
      <x:c r="C224" s="4" t="str">
        <x:f>IFERROR(INDEX(Items!$C$6:$C$1005,MATCH(A224,Items!$A$6:$A$1005,0)),"MISSING ITEM ID")</x:f>
        <x:v>Cultural objects</x:v>
      </x:c>
      <x:c r="D224" s="4" t="str">
        <x:v>Primary</x:v>
      </x:c>
      <x:c r="E224" s="4" t="str">
        <x:f>IFERROR(INDEX(Items!$Z$6:$Z$1005,MATCH(A224,Items!$A$6:$A$1005,0)),"MISSING ITEM ID")</x:f>
        <x:v>Ceremony</x:v>
      </x:c>
      <x:c r="F224" s="4" t="str">
        <x:v>Current item description. Catalog intent, not implemented actions.</x:v>
      </x:c>
    </x:row>
    <x:row r="225" ht="45" customHeight="1">
      <x:c r="A225" s="4" t="str">
        <x:v>proposal.culture.milestone</x:v>
      </x:c>
      <x:c r="B225" s="4" t="str">
        <x:f>IFERROR(INDEX(Items!$B$6:$B$1005,MATCH(A225,Items!$A$6:$A$1005,0)),"MISSING ITEM ID")</x:f>
        <x:v>Life-event charm</x:v>
      </x:c>
      <x:c r="C225" s="4" t="str">
        <x:f>IFERROR(INDEX(Items!$C$6:$C$1005,MATCH(A225,Items!$A$6:$A$1005,0)),"MISSING ITEM ID")</x:f>
        <x:v>Cultural objects</x:v>
      </x:c>
      <x:c r="D225" s="4" t="str">
        <x:v>Primary</x:v>
      </x:c>
      <x:c r="E225" s="4" t="str">
        <x:f>IFERROR(INDEX(Items!$Z$6:$Z$1005,MATCH(A225,Items!$A$6:$A$1005,0)),"MISSING ITEM ID")</x:f>
        <x:v>Remembrance</x:v>
      </x:c>
      <x:c r="F225" s="4" t="str">
        <x:v>Current item description. Catalog intent, not implemented actions.</x:v>
      </x:c>
    </x:row>
    <x:row r="226" ht="45" customHeight="1">
      <x:c r="A226" s="4" t="str">
        <x:v>proposal.culture.milestone</x:v>
      </x:c>
      <x:c r="B226" s="4" t="str">
        <x:f>IFERROR(INDEX(Items!$B$6:$B$1005,MATCH(A226,Items!$A$6:$A$1005,0)),"MISSING ITEM ID")</x:f>
        <x:v>Life-event charm</x:v>
      </x:c>
      <x:c r="C226" s="4" t="str">
        <x:f>IFERROR(INDEX(Items!$C$6:$C$1005,MATCH(A226,Items!$A$6:$A$1005,0)),"MISSING ITEM ID")</x:f>
        <x:v>Cultural objects</x:v>
      </x:c>
      <x:c r="D226" s="4" t="str">
        <x:v>Secondary</x:v>
      </x:c>
      <x:c r="E226" s="4" t="str">
        <x:v>Ceremony</x:v>
      </x:c>
      <x:c r="F226" s="4" t="str">
        <x:v>Current item description. Catalog intent, not implemented actions.</x:v>
      </x:c>
    </x:row>
    <x:row r="227" ht="45" customHeight="1">
      <x:c r="A227" s="4" t="str">
        <x:v>proposal.culture.rattle</x:v>
      </x:c>
      <x:c r="B227" s="4" t="str">
        <x:f>IFERROR(INDEX(Items!$B$6:$B$1005,MATCH(A227,Items!$A$6:$A$1005,0)),"MISSING ITEM ID")</x:f>
        <x:v>Ceremonial shell rattle</x:v>
      </x:c>
      <x:c r="C227" s="4" t="str">
        <x:f>IFERROR(INDEX(Items!$C$6:$C$1005,MATCH(A227,Items!$A$6:$A$1005,0)),"MISSING ITEM ID")</x:f>
        <x:v>Cultural objects</x:v>
      </x:c>
      <x:c r="D227" s="4" t="str">
        <x:v>Primary</x:v>
      </x:c>
      <x:c r="E227" s="4" t="str">
        <x:f>IFERROR(INDEX(Items!$Z$6:$Z$1005,MATCH(A227,Items!$A$6:$A$1005,0)),"MISSING ITEM ID")</x:f>
        <x:v>Ceremony</x:v>
      </x:c>
      <x:c r="F227" s="4" t="str">
        <x:v>Current item description. Catalog intent, not implemented actions.</x:v>
      </x:c>
    </x:row>
    <x:row r="228" ht="45" customHeight="1">
      <x:c r="A228" s="4" t="str">
        <x:v>proposal.culture.rattle</x:v>
      </x:c>
      <x:c r="B228" s="4" t="str">
        <x:f>IFERROR(INDEX(Items!$B$6:$B$1005,MATCH(A228,Items!$A$6:$A$1005,0)),"MISSING ITEM ID")</x:f>
        <x:v>Ceremonial shell rattle</x:v>
      </x:c>
      <x:c r="C228" s="4" t="str">
        <x:f>IFERROR(INDEX(Items!$C$6:$C$1005,MATCH(A228,Items!$A$6:$A$1005,0)),"MISSING ITEM ID")</x:f>
        <x:v>Cultural objects</x:v>
      </x:c>
      <x:c r="D228" s="4" t="str">
        <x:v>Secondary</x:v>
      </x:c>
      <x:c r="E228" s="4" t="str">
        <x:v>Music</x:v>
      </x:c>
      <x:c r="F228" s="4" t="str">
        <x:v>Current item description. Catalog intent, not implemented actions.</x:v>
      </x:c>
    </x:row>
    <x:row r="229" ht="45" customHeight="1">
      <x:c r="A229" s="4" t="str">
        <x:v>proposal.culture.gift_case</x:v>
      </x:c>
      <x:c r="B229" s="4" t="str">
        <x:f>IFERROR(INDEX(Items!$B$6:$B$1005,MATCH(A229,Items!$A$6:$A$1005,0)),"MISSING ITEM ID")</x:f>
        <x:v>Ceremonial gift case</x:v>
      </x:c>
      <x:c r="C229" s="4" t="str">
        <x:f>IFERROR(INDEX(Items!$C$6:$C$1005,MATCH(A229,Items!$A$6:$A$1005,0)),"MISSING ITEM ID")</x:f>
        <x:v>Cultural objects</x:v>
      </x:c>
      <x:c r="D229" s="4" t="str">
        <x:v>Primary</x:v>
      </x:c>
      <x:c r="E229" s="4" t="str">
        <x:f>IFERROR(INDEX(Items!$Z$6:$Z$1005,MATCH(A229,Items!$A$6:$A$1005,0)),"MISSING ITEM ID")</x:f>
        <x:v>Ceremony</x:v>
      </x:c>
      <x:c r="F229" s="4" t="str">
        <x:v>Current item description. Catalog intent, not implemented actions.</x:v>
      </x:c>
    </x:row>
    <x:row r="230" ht="45" customHeight="1">
      <x:c r="A230" s="4" t="str">
        <x:v>proposal.culture.gift_case</x:v>
      </x:c>
      <x:c r="B230" s="4" t="str">
        <x:f>IFERROR(INDEX(Items!$B$6:$B$1005,MATCH(A230,Items!$A$6:$A$1005,0)),"MISSING ITEM ID")</x:f>
        <x:v>Ceremonial gift case</x:v>
      </x:c>
      <x:c r="C230" s="4" t="str">
        <x:f>IFERROR(INDEX(Items!$C$6:$C$1005,MATCH(A230,Items!$A$6:$A$1005,0)),"MISSING ITEM ID")</x:f>
        <x:v>Cultural objects</x:v>
      </x:c>
      <x:c r="D230" s="4" t="str">
        <x:v>Secondary</x:v>
      </x:c>
      <x:c r="E230" s="4" t="str">
        <x:v>Keepsake storage</x:v>
      </x:c>
      <x:c r="F230" s="4" t="str">
        <x:v>Current item description. Catalog intent, not implemented actions.</x:v>
      </x:c>
    </x:row>
    <x:row r="231" ht="45" customHeight="1">
      <x:c r="A231" s="4" t="str">
        <x:v>proposal.culture.bowl</x:v>
      </x:c>
      <x:c r="B231" s="4" t="str">
        <x:f>IFERROR(INDEX(Items!$B$6:$B$1005,MATCH(A231,Items!$A$6:$A$1005,0)),"MISSING ITEM ID")</x:f>
        <x:v>Everyday shell bowl</x:v>
      </x:c>
      <x:c r="C231" s="4" t="str">
        <x:f>IFERROR(INDEX(Items!$C$6:$C$1005,MATCH(A231,Items!$A$6:$A$1005,0)),"MISSING ITEM ID")</x:f>
        <x:v>Everyday objects</x:v>
      </x:c>
      <x:c r="D231" s="4" t="str">
        <x:v>Primary</x:v>
      </x:c>
      <x:c r="E231" s="4" t="str">
        <x:f>IFERROR(INDEX(Items!$Z$6:$Z$1005,MATCH(A231,Items!$A$6:$A$1005,0)),"MISSING ITEM ID")</x:f>
        <x:v>Food service</x:v>
      </x:c>
      <x:c r="F231" s="4" t="str">
        <x:v>Current item description. Catalog intent, not implemented actions.</x:v>
      </x:c>
    </x:row>
    <x:row r="232" ht="45" customHeight="1">
      <x:c r="A232" s="4" t="str">
        <x:v>proposal.culture.spoon</x:v>
      </x:c>
      <x:c r="B232" s="4" t="str">
        <x:f>IFERROR(INDEX(Items!$B$6:$B$1005,MATCH(A232,Items!$A$6:$A$1005,0)),"MISSING ITEM ID")</x:f>
        <x:v>Algae spoon / scraper</x:v>
      </x:c>
      <x:c r="C232" s="4" t="str">
        <x:f>IFERROR(INDEX(Items!$C$6:$C$1005,MATCH(A232,Items!$A$6:$A$1005,0)),"MISSING ITEM ID")</x:f>
        <x:v>Everyday objects</x:v>
      </x:c>
      <x:c r="D232" s="4" t="str">
        <x:v>Primary</x:v>
      </x:c>
      <x:c r="E232" s="4" t="str">
        <x:f>IFERROR(INDEX(Items!$Z$6:$Z$1005,MATCH(A232,Items!$A$6:$A$1005,0)),"MISSING ITEM ID")</x:f>
        <x:v>Food service</x:v>
      </x:c>
      <x:c r="F232" s="4" t="str">
        <x:v>Current item description. Catalog intent, not implemented actions.</x:v>
      </x:c>
    </x:row>
    <x:row r="233" ht="45" customHeight="1">
      <x:c r="A233" s="4" t="str">
        <x:v>proposal.culture.brush</x:v>
      </x:c>
      <x:c r="B233" s="4" t="str">
        <x:f>IFERROR(INDEX(Items!$B$6:$B$1005,MATCH(A233,Items!$A$6:$A$1005,0)),"MISSING ITEM ID")</x:f>
        <x:v>Dust brush</x:v>
      </x:c>
      <x:c r="C233" s="4" t="str">
        <x:f>IFERROR(INDEX(Items!$C$6:$C$1005,MATCH(A233,Items!$A$6:$A$1005,0)),"MISSING ITEM ID")</x:f>
        <x:v>Everyday objects</x:v>
      </x:c>
      <x:c r="D233" s="4" t="str">
        <x:v>Primary</x:v>
      </x:c>
      <x:c r="E233" s="4" t="str">
        <x:f>IFERROR(INDEX(Items!$Z$6:$Z$1005,MATCH(A233,Items!$A$6:$A$1005,0)),"MISSING ITEM ID")</x:f>
        <x:v>Cleaning</x:v>
      </x:c>
      <x:c r="F233" s="4" t="str">
        <x:v>Current item description. Catalog intent, not implemented actions.</x:v>
      </x:c>
    </x:row>
    <x:row r="234" ht="45" customHeight="1">
      <x:c r="A234" s="4" t="str">
        <x:v>proposal.culture.comb</x:v>
      </x:c>
      <x:c r="B234" s="4" t="str">
        <x:f>IFERROR(INDEX(Items!$B$6:$B$1005,MATCH(A234,Items!$A$6:$A$1005,0)),"MISSING ITEM ID")</x:f>
        <x:v>Shell comb</x:v>
      </x:c>
      <x:c r="C234" s="4" t="str">
        <x:f>IFERROR(INDEX(Items!$C$6:$C$1005,MATCH(A234,Items!$A$6:$A$1005,0)),"MISSING ITEM ID")</x:f>
        <x:v>Everyday objects</x:v>
      </x:c>
      <x:c r="D234" s="4" t="str">
        <x:v>Primary</x:v>
      </x:c>
      <x:c r="E234" s="4" t="str">
        <x:f>IFERROR(INDEX(Items!$Z$6:$Z$1005,MATCH(A234,Items!$A$6:$A$1005,0)),"MISSING ITEM ID")</x:f>
        <x:v>Grooming</x:v>
      </x:c>
      <x:c r="F234" s="4" t="str">
        <x:v>Current item description. Catalog intent, not implemented actions.</x:v>
      </x:c>
    </x:row>
    <x:row r="235" ht="45" customHeight="1">
      <x:c r="A235" s="4" t="str">
        <x:v>proposal.culture.tablet</x:v>
      </x:c>
      <x:c r="B235" s="4" t="str">
        <x:f>IFERROR(INDEX(Items!$B$6:$B$1005,MATCH(A235,Items!$A$6:$A$1005,0)),"MISSING ITEM ID")</x:f>
        <x:v>Reusable tally tablet</x:v>
      </x:c>
      <x:c r="C235" s="4" t="str">
        <x:f>IFERROR(INDEX(Items!$C$6:$C$1005,MATCH(A235,Items!$A$6:$A$1005,0)),"MISSING ITEM ID")</x:f>
        <x:v>Everyday objects</x:v>
      </x:c>
      <x:c r="D235" s="4" t="str">
        <x:v>Primary</x:v>
      </x:c>
      <x:c r="E235" s="4" t="str">
        <x:f>IFERROR(INDEX(Items!$Z$6:$Z$1005,MATCH(A235,Items!$A$6:$A$1005,0)),"MISSING ITEM ID")</x:f>
        <x:v>Writing and records</x:v>
      </x:c>
      <x:c r="F235" s="4" t="str">
        <x:v>Current item description. Catalog intent, not implemented actions.</x:v>
      </x:c>
    </x:row>
    <x:row r="236" ht="45" customHeight="1">
      <x:c r="A236" s="4" t="str">
        <x:v>proposal.culture.stylus</x:v>
      </x:c>
      <x:c r="B236" s="4" t="str">
        <x:f>IFERROR(INDEX(Items!$B$6:$B$1005,MATCH(A236,Items!$A$6:$A$1005,0)),"MISSING ITEM ID")</x:f>
        <x:v>Marking stylus</x:v>
      </x:c>
      <x:c r="C236" s="4" t="str">
        <x:f>IFERROR(INDEX(Items!$C$6:$C$1005,MATCH(A236,Items!$A$6:$A$1005,0)),"MISSING ITEM ID")</x:f>
        <x:v>Everyday objects</x:v>
      </x:c>
      <x:c r="D236" s="4" t="str">
        <x:v>Primary</x:v>
      </x:c>
      <x:c r="E236" s="4" t="str">
        <x:f>IFERROR(INDEX(Items!$Z$6:$Z$1005,MATCH(A236,Items!$A$6:$A$1005,0)),"MISSING ITEM ID")</x:f>
        <x:v>Writing and records</x:v>
      </x:c>
      <x:c r="F236" s="4" t="str">
        <x:v>Current item description. Catalog intent, not implemented actions.</x:v>
      </x:c>
    </x:row>
    <x:row r="237" ht="50" customHeight="1">
      <x:c r="A237" s="4" t="str">
        <x:v>proposal.ceramic.grog</x:v>
      </x:c>
      <x:c r="B237" s="4" t="str">
        <x:f>IFERROR(INDEX(Items!$B$6:$B$1005,MATCH(A237,Items!$A$6:$A$1005,0)),"MISSING ITEM ID")</x:f>
        <x:v>Crushed fired ceramic grit</x:v>
      </x:c>
      <x:c r="C237" s="4" t="str">
        <x:f>IFERROR(INDEX(Items!$C$6:$C$1005,MATCH(A237,Items!$A$6:$A$1005,0)),"MISSING ITEM ID")</x:f>
        <x:v>Resources</x:v>
      </x:c>
      <x:c r="D237" s="4" t="str">
        <x:v>Primary</x:v>
      </x:c>
      <x:c r="E237" s="4" t="str">
        <x:f>IFERROR(INDEX(Items!$Z$6:$Z$1005,MATCH(A237,Items!$A$6:$A$1005,0)),"MISSING ITEM ID")</x:f>
        <x:v>Glass and ceramics</x:v>
      </x:c>
      <x:c r="F237" s="4" t="str">
        <x:v>Ceramic item proposal. Catalog intent; compatibility and properties unresolved.</x:v>
      </x:c>
    </x:row>
    <x:row r="238" ht="50" customHeight="1">
      <x:c r="A238" s="4" t="str">
        <x:v>proposal.ceramic.grog</x:v>
      </x:c>
      <x:c r="B238" s="4" t="str">
        <x:f>IFERROR(INDEX(Items!$B$6:$B$1005,MATCH(A238,Items!$A$6:$A$1005,0)),"MISSING ITEM ID")</x:f>
        <x:v>Crushed fired ceramic grit</x:v>
      </x:c>
      <x:c r="C238" s="4" t="str">
        <x:f>IFERROR(INDEX(Items!$C$6:$C$1005,MATCH(A238,Items!$A$6:$A$1005,0)),"MISSING ITEM ID")</x:f>
        <x:v>Resources</x:v>
      </x:c>
      <x:c r="D238" s="4" t="str">
        <x:v>Secondary</x:v>
      </x:c>
      <x:c r="E238" s="4" t="str">
        <x:v>Fabrication</x:v>
      </x:c>
      <x:c r="F238" s="4" t="str">
        <x:v>Ceramic item proposal. Catalog intent; compatibility and properties unresolved.</x:v>
      </x:c>
    </x:row>
    <x:row r="239" ht="50" customHeight="1">
      <x:c r="A239" s="4" t="str">
        <x:v>proposal.ceramic.body_feed</x:v>
      </x:c>
      <x:c r="B239" s="4" t="str">
        <x:f>IFERROR(INDEX(Items!$B$6:$B$1005,MATCH(A239,Items!$A$6:$A$1005,0)),"MISSING ITEM ID")</x:f>
        <x:v>Prepared ceramic body feed</x:v>
      </x:c>
      <x:c r="C239" s="4" t="str">
        <x:f>IFERROR(INDEX(Items!$C$6:$C$1005,MATCH(A239,Items!$A$6:$A$1005,0)),"MISSING ITEM ID")</x:f>
        <x:v>Resources</x:v>
      </x:c>
      <x:c r="D239" s="4" t="str">
        <x:v>Primary</x:v>
      </x:c>
      <x:c r="E239" s="4" t="str">
        <x:f>IFERROR(INDEX(Items!$Z$6:$Z$1005,MATCH(A239,Items!$A$6:$A$1005,0)),"MISSING ITEM ID")</x:f>
        <x:v>Glass and ceramics</x:v>
      </x:c>
      <x:c r="F239" s="4" t="str">
        <x:v>Ceramic item proposal. Catalog intent; compatibility and properties unresolved.</x:v>
      </x:c>
    </x:row>
    <x:row r="240" ht="50" customHeight="1">
      <x:c r="A240" s="4" t="str">
        <x:v>proposal.ceramic.body_feed</x:v>
      </x:c>
      <x:c r="B240" s="4" t="str">
        <x:f>IFERROR(INDEX(Items!$B$6:$B$1005,MATCH(A240,Items!$A$6:$A$1005,0)),"MISSING ITEM ID")</x:f>
        <x:v>Prepared ceramic body feed</x:v>
      </x:c>
      <x:c r="C240" s="4" t="str">
        <x:f>IFERROR(INDEX(Items!$C$6:$C$1005,MATCH(A240,Items!$A$6:$A$1005,0)),"MISSING ITEM ID")</x:f>
        <x:v>Resources</x:v>
      </x:c>
      <x:c r="D240" s="4" t="str">
        <x:v>Secondary</x:v>
      </x:c>
      <x:c r="E240" s="4" t="str">
        <x:v>Fabrication</x:v>
      </x:c>
      <x:c r="F240" s="4" t="str">
        <x:v>Ceramic item proposal. Catalog intent; compatibility and properties unresolved.</x:v>
      </x:c>
    </x:row>
    <x:row r="241" ht="50" customHeight="1">
      <x:c r="A241" s="4" t="str">
        <x:v>proposal.ceramic.glaze_feed</x:v>
      </x:c>
      <x:c r="B241" s="4" t="str">
        <x:f>IFERROR(INDEX(Items!$B$6:$B$1005,MATCH(A241,Items!$A$6:$A$1005,0)),"MISSING ITEM ID")</x:f>
        <x:v>Prepared glaze feed</x:v>
      </x:c>
      <x:c r="C241" s="4" t="str">
        <x:f>IFERROR(INDEX(Items!$C$6:$C$1005,MATCH(A241,Items!$A$6:$A$1005,0)),"MISSING ITEM ID")</x:f>
        <x:v>Resources</x:v>
      </x:c>
      <x:c r="D241" s="4" t="str">
        <x:v>Primary</x:v>
      </x:c>
      <x:c r="E241" s="4" t="str">
        <x:f>IFERROR(INDEX(Items!$Z$6:$Z$1005,MATCH(A241,Items!$A$6:$A$1005,0)),"MISSING ITEM ID")</x:f>
        <x:v>Glass and ceramics</x:v>
      </x:c>
      <x:c r="F241" s="4" t="str">
        <x:v>Ceramic item proposal. Catalog intent; compatibility and properties unresolved.</x:v>
      </x:c>
    </x:row>
    <x:row r="242" ht="50" customHeight="1">
      <x:c r="A242" s="4" t="str">
        <x:v>proposal.ceramic.glaze_feed</x:v>
      </x:c>
      <x:c r="B242" s="4" t="str">
        <x:f>IFERROR(INDEX(Items!$B$6:$B$1005,MATCH(A242,Items!$A$6:$A$1005,0)),"MISSING ITEM ID")</x:f>
        <x:v>Prepared glaze feed</x:v>
      </x:c>
      <x:c r="C242" s="4" t="str">
        <x:f>IFERROR(INDEX(Items!$C$6:$C$1005,MATCH(A242,Items!$A$6:$A$1005,0)),"MISSING ITEM ID")</x:f>
        <x:v>Resources</x:v>
      </x:c>
      <x:c r="D242" s="4" t="str">
        <x:v>Secondary</x:v>
      </x:c>
      <x:c r="E242" s="4" t="str">
        <x:v>Surface finishing</x:v>
      </x:c>
      <x:c r="F242" s="4" t="str">
        <x:v>Ceramic item proposal. Catalog intent; compatibility and properties unresolved.</x:v>
      </x:c>
    </x:row>
    <x:row r="243" ht="50" customHeight="1">
      <x:c r="A243" s="4" t="str">
        <x:v>proposal.ceramic.unfired_blank</x:v>
      </x:c>
      <x:c r="B243" s="4" t="str">
        <x:f>IFERROR(INDEX(Items!$B$6:$B$1005,MATCH(A243,Items!$A$6:$A$1005,0)),"MISSING ITEM ID")</x:f>
        <x:v>Unfired shaped ceramic blank</x:v>
      </x:c>
      <x:c r="C243" s="4" t="str">
        <x:f>IFERROR(INDEX(Items!$C$6:$C$1005,MATCH(A243,Items!$A$6:$A$1005,0)),"MISSING ITEM ID")</x:f>
        <x:v>Crafting components</x:v>
      </x:c>
      <x:c r="D243" s="4" t="str">
        <x:v>Primary</x:v>
      </x:c>
      <x:c r="E243" s="4" t="str">
        <x:f>IFERROR(INDEX(Items!$Z$6:$Z$1005,MATCH(A243,Items!$A$6:$A$1005,0)),"MISSING ITEM ID")</x:f>
        <x:v>Glass and ceramics</x:v>
      </x:c>
      <x:c r="F243" s="4" t="str">
        <x:v>Ceramic item proposal. Catalog intent; compatibility and properties unresolved.</x:v>
      </x:c>
    </x:row>
    <x:row r="244" ht="50" customHeight="1">
      <x:c r="A244" s="4" t="str">
        <x:v>proposal.ceramic.bowl</x:v>
      </x:c>
      <x:c r="B244" s="4" t="str">
        <x:f>IFERROR(INDEX(Items!$B$6:$B$1005,MATCH(A244,Items!$A$6:$A$1005,0)),"MISSING ITEM ID")</x:f>
        <x:v>Plain ceramic eating bowl</x:v>
      </x:c>
      <x:c r="C244" s="4" t="str">
        <x:f>IFERROR(INDEX(Items!$C$6:$C$1005,MATCH(A244,Items!$A$6:$A$1005,0)),"MISSING ITEM ID")</x:f>
        <x:v>Everyday objects</x:v>
      </x:c>
      <x:c r="D244" s="4" t="str">
        <x:v>Primary</x:v>
      </x:c>
      <x:c r="E244" s="4" t="str">
        <x:f>IFERROR(INDEX(Items!$Z$6:$Z$1005,MATCH(A244,Items!$A$6:$A$1005,0)),"MISSING ITEM ID")</x:f>
        <x:v>Food service</x:v>
      </x:c>
      <x:c r="F244" s="4" t="str">
        <x:v>Ceramic item proposal. Catalog intent; compatibility and properties unresolved.</x:v>
      </x:c>
    </x:row>
    <x:row r="245" ht="50" customHeight="1">
      <x:c r="A245" s="4" t="str">
        <x:v>proposal.ceramic.cup</x:v>
      </x:c>
      <x:c r="B245" s="4" t="str">
        <x:f>IFERROR(INDEX(Items!$B$6:$B$1005,MATCH(A245,Items!$A$6:$A$1005,0)),"MISSING ITEM ID")</x:f>
        <x:v>Small ceramic cup</x:v>
      </x:c>
      <x:c r="C245" s="4" t="str">
        <x:f>IFERROR(INDEX(Items!$C$6:$C$1005,MATCH(A245,Items!$A$6:$A$1005,0)),"MISSING ITEM ID")</x:f>
        <x:v>Everyday objects</x:v>
      </x:c>
      <x:c r="D245" s="4" t="str">
        <x:v>Primary</x:v>
      </x:c>
      <x:c r="E245" s="4" t="str">
        <x:f>IFERROR(INDEX(Items!$Z$6:$Z$1005,MATCH(A245,Items!$A$6:$A$1005,0)),"MISSING ITEM ID")</x:f>
        <x:v>Food service</x:v>
      </x:c>
      <x:c r="F245" s="4" t="str">
        <x:v>Ceramic item proposal. Catalog intent; compatibility and properties unresolved.</x:v>
      </x:c>
    </x:row>
    <x:row r="246" ht="50" customHeight="1">
      <x:c r="A246" s="4" t="str">
        <x:v>proposal.ceramic.plate</x:v>
      </x:c>
      <x:c r="B246" s="4" t="str">
        <x:f>IFERROR(INDEX(Items!$B$6:$B$1005,MATCH(A246,Items!$A$6:$A$1005,0)),"MISSING ITEM ID")</x:f>
        <x:v>Ceramic serving plate</x:v>
      </x:c>
      <x:c r="C246" s="4" t="str">
        <x:f>IFERROR(INDEX(Items!$C$6:$C$1005,MATCH(A246,Items!$A$6:$A$1005,0)),"MISSING ITEM ID")</x:f>
        <x:v>Everyday objects</x:v>
      </x:c>
      <x:c r="D246" s="4" t="str">
        <x:v>Primary</x:v>
      </x:c>
      <x:c r="E246" s="4" t="str">
        <x:f>IFERROR(INDEX(Items!$Z$6:$Z$1005,MATCH(A246,Items!$A$6:$A$1005,0)),"MISSING ITEM ID")</x:f>
        <x:v>Food service</x:v>
      </x:c>
      <x:c r="F246" s="4" t="str">
        <x:v>Ceramic item proposal. Catalog intent; compatibility and properties unresolved.</x:v>
      </x:c>
    </x:row>
    <x:row r="247" ht="50" customHeight="1">
      <x:c r="A247" s="4" t="str">
        <x:v>proposal.ceramic.storage_crock</x:v>
      </x:c>
      <x:c r="B247" s="4" t="str">
        <x:f>IFERROR(INDEX(Items!$B$6:$B$1005,MATCH(A247,Items!$A$6:$A$1005,0)),"MISSING ITEM ID")</x:f>
        <x:v>Ceramic dry-storage crock</x:v>
      </x:c>
      <x:c r="C247" s="4" t="str">
        <x:f>IFERROR(INDEX(Items!$C$6:$C$1005,MATCH(A247,Items!$A$6:$A$1005,0)),"MISSING ITEM ID")</x:f>
        <x:v>Containers</x:v>
      </x:c>
      <x:c r="D247" s="4" t="str">
        <x:v>Primary</x:v>
      </x:c>
      <x:c r="E247" s="4" t="str">
        <x:f>IFERROR(INDEX(Items!$Z$6:$Z$1005,MATCH(A247,Items!$A$6:$A$1005,0)),"MISSING ITEM ID")</x:f>
        <x:v>Cargo organization</x:v>
      </x:c>
      <x:c r="F247" s="4" t="str">
        <x:v>Ceramic item proposal. Catalog intent; compatibility and properties unresolved.</x:v>
      </x:c>
    </x:row>
    <x:row r="248" ht="50" customHeight="1">
      <x:c r="A248" s="4" t="str">
        <x:v>proposal.ceramic.storage_crock</x:v>
      </x:c>
      <x:c r="B248" s="4" t="str">
        <x:f>IFERROR(INDEX(Items!$B$6:$B$1005,MATCH(A248,Items!$A$6:$A$1005,0)),"MISSING ITEM ID")</x:f>
        <x:v>Ceramic dry-storage crock</x:v>
      </x:c>
      <x:c r="C248" s="4" t="str">
        <x:f>IFERROR(INDEX(Items!$C$6:$C$1005,MATCH(A248,Items!$A$6:$A$1005,0)),"MISSING ITEM ID")</x:f>
        <x:v>Containers</x:v>
      </x:c>
      <x:c r="D248" s="4" t="str">
        <x:v>Secondary</x:v>
      </x:c>
      <x:c r="E248" s="4" t="str">
        <x:v>Liquid and bulk containment</x:v>
      </x:c>
      <x:c r="F248" s="4" t="str">
        <x:v>Ceramic item proposal. Catalog intent; compatibility and properties unresolved.</x:v>
      </x:c>
    </x:row>
    <x:row r="249" ht="50" customHeight="1">
      <x:c r="A249" s="4" t="str">
        <x:v>proposal.ceramic.crucible</x:v>
      </x:c>
      <x:c r="B249" s="4" t="str">
        <x:f>IFERROR(INDEX(Items!$B$6:$B$1005,MATCH(A249,Items!$A$6:$A$1005,0)),"MISSING ITEM ID")</x:f>
        <x:v>Ceramic crucible</x:v>
      </x:c>
      <x:c r="C249" s="4" t="str">
        <x:f>IFERROR(INDEX(Items!$C$6:$C$1005,MATCH(A249,Items!$A$6:$A$1005,0)),"MISSING ITEM ID")</x:f>
        <x:v>Equipment</x:v>
      </x:c>
      <x:c r="D249" s="4" t="str">
        <x:v>Primary</x:v>
      </x:c>
      <x:c r="E249" s="4" t="str">
        <x:f>IFERROR(INDEX(Items!$Z$6:$Z$1005,MATCH(A249,Items!$A$6:$A$1005,0)),"MISSING ITEM ID")</x:f>
        <x:v>Metal refining</x:v>
      </x:c>
      <x:c r="F249" s="4" t="str">
        <x:v>Ceramic item proposal. Catalog intent; compatibility and properties unresolved.</x:v>
      </x:c>
    </x:row>
    <x:row r="250" ht="50" customHeight="1">
      <x:c r="A250" s="4" t="str">
        <x:v>proposal.ceramic.crucible</x:v>
      </x:c>
      <x:c r="B250" s="4" t="str">
        <x:f>IFERROR(INDEX(Items!$B$6:$B$1005,MATCH(A250,Items!$A$6:$A$1005,0)),"MISSING ITEM ID")</x:f>
        <x:v>Ceramic crucible</x:v>
      </x:c>
      <x:c r="C250" s="4" t="str">
        <x:f>IFERROR(INDEX(Items!$C$6:$C$1005,MATCH(A250,Items!$A$6:$A$1005,0)),"MISSING ITEM ID")</x:f>
        <x:v>Equipment</x:v>
      </x:c>
      <x:c r="D250" s="4" t="str">
        <x:v>Secondary</x:v>
      </x:c>
      <x:c r="E250" s="4" t="str">
        <x:v>Glass and ceramics</x:v>
      </x:c>
      <x:c r="F250" s="4" t="str">
        <x:v>Ceramic item proposal. Catalog intent; compatibility and properties unresolved.</x:v>
      </x:c>
    </x:row>
    <x:row r="251" ht="50" customHeight="1">
      <x:c r="A251" s="4" t="str">
        <x:v>proposal.ceramic.casting_mold</x:v>
      </x:c>
      <x:c r="B251" s="4" t="str">
        <x:f>IFERROR(INDEX(Items!$B$6:$B$1005,MATCH(A251,Items!$A$6:$A$1005,0)),"MISSING ITEM ID")</x:f>
        <x:v>Ceramic casting mold</x:v>
      </x:c>
      <x:c r="C251" s="4" t="str">
        <x:f>IFERROR(INDEX(Items!$C$6:$C$1005,MATCH(A251,Items!$A$6:$A$1005,0)),"MISSING ITEM ID")</x:f>
        <x:v>Equipment</x:v>
      </x:c>
      <x:c r="D251" s="4" t="str">
        <x:v>Primary</x:v>
      </x:c>
      <x:c r="E251" s="4" t="str">
        <x:f>IFERROR(INDEX(Items!$Z$6:$Z$1005,MATCH(A251,Items!$A$6:$A$1005,0)),"MISSING ITEM ID")</x:f>
        <x:v>Fabrication</x:v>
      </x:c>
      <x:c r="F251" s="4" t="str">
        <x:v>Ceramic item proposal. Catalog intent; compatibility and properties unresolved.</x:v>
      </x:c>
    </x:row>
    <x:row r="252" ht="50" customHeight="1">
      <x:c r="A252" s="4" t="str">
        <x:v>proposal.ceramic.casting_mold</x:v>
      </x:c>
      <x:c r="B252" s="4" t="str">
        <x:f>IFERROR(INDEX(Items!$B$6:$B$1005,MATCH(A252,Items!$A$6:$A$1005,0)),"MISSING ITEM ID")</x:f>
        <x:v>Ceramic casting mold</x:v>
      </x:c>
      <x:c r="C252" s="4" t="str">
        <x:f>IFERROR(INDEX(Items!$C$6:$C$1005,MATCH(A252,Items!$A$6:$A$1005,0)),"MISSING ITEM ID")</x:f>
        <x:v>Equipment</x:v>
      </x:c>
      <x:c r="D252" s="4" t="str">
        <x:v>Secondary</x:v>
      </x:c>
      <x:c r="E252" s="4" t="str">
        <x:v>Metal refining</x:v>
      </x:c>
      <x:c r="F252" s="4" t="str">
        <x:v>Ceramic item proposal. Catalog intent; compatibility and properties unresolved.</x:v>
      </x:c>
    </x:row>
    <x:row r="253" ht="50" customHeight="1">
      <x:c r="A253" s="4" t="str">
        <x:v>proposal.ceramic.mortar</x:v>
      </x:c>
      <x:c r="B253" s="4" t="str">
        <x:f>IFERROR(INDEX(Items!$B$6:$B$1005,MATCH(A253,Items!$A$6:$A$1005,0)),"MISSING ITEM ID")</x:f>
        <x:v>Ceramic grinding mortar</x:v>
      </x:c>
      <x:c r="C253" s="4" t="str">
        <x:f>IFERROR(INDEX(Items!$C$6:$C$1005,MATCH(A253,Items!$A$6:$A$1005,0)),"MISSING ITEM ID")</x:f>
        <x:v>Equipment</x:v>
      </x:c>
      <x:c r="D253" s="4" t="str">
        <x:v>Primary</x:v>
      </x:c>
      <x:c r="E253" s="4" t="str">
        <x:f>IFERROR(INDEX(Items!$Z$6:$Z$1005,MATCH(A253,Items!$A$6:$A$1005,0)),"MISSING ITEM ID")</x:f>
        <x:v>Chemical processing</x:v>
      </x:c>
      <x:c r="F253" s="4" t="str">
        <x:v>Ceramic item proposal. Catalog intent; compatibility and properties unresolved.</x:v>
      </x:c>
    </x:row>
    <x:row r="254" ht="50" customHeight="1">
      <x:c r="A254" s="4" t="str">
        <x:v>proposal.ceramic.mortar</x:v>
      </x:c>
      <x:c r="B254" s="4" t="str">
        <x:f>IFERROR(INDEX(Items!$B$6:$B$1005,MATCH(A254,Items!$A$6:$A$1005,0)),"MISSING ITEM ID")</x:f>
        <x:v>Ceramic grinding mortar</x:v>
      </x:c>
      <x:c r="C254" s="4" t="str">
        <x:f>IFERROR(INDEX(Items!$C$6:$C$1005,MATCH(A254,Items!$A$6:$A$1005,0)),"MISSING ITEM ID")</x:f>
        <x:v>Equipment</x:v>
      </x:c>
      <x:c r="D254" s="4" t="str">
        <x:v>Secondary</x:v>
      </x:c>
      <x:c r="E254" s="4" t="str">
        <x:v>Glass and ceramics</x:v>
      </x:c>
      <x:c r="F254" s="4" t="str">
        <x:v>Ceramic item proposal. Catalog intent; compatibility and properties unresolved.</x:v>
      </x:c>
    </x:row>
    <x:row r="255" ht="50" customHeight="1">
      <x:c r="A255" s="4" t="str">
        <x:v>proposal.ceramic.pestle</x:v>
      </x:c>
      <x:c r="B255" s="4" t="str">
        <x:f>IFERROR(INDEX(Items!$B$6:$B$1005,MATCH(A255,Items!$A$6:$A$1005,0)),"MISSING ITEM ID")</x:f>
        <x:v>Ceramic pestle</x:v>
      </x:c>
      <x:c r="C255" s="4" t="str">
        <x:f>IFERROR(INDEX(Items!$C$6:$C$1005,MATCH(A255,Items!$A$6:$A$1005,0)),"MISSING ITEM ID")</x:f>
        <x:v>Equipment</x:v>
      </x:c>
      <x:c r="D255" s="4" t="str">
        <x:v>Primary</x:v>
      </x:c>
      <x:c r="E255" s="4" t="str">
        <x:f>IFERROR(INDEX(Items!$Z$6:$Z$1005,MATCH(A255,Items!$A$6:$A$1005,0)),"MISSING ITEM ID")</x:f>
        <x:v>Chemical processing</x:v>
      </x:c>
      <x:c r="F255" s="4" t="str">
        <x:v>Ceramic item proposal. Catalog intent; compatibility and properties unresolved.</x:v>
      </x:c>
    </x:row>
    <x:row r="256" ht="50" customHeight="1">
      <x:c r="A256" s="4" t="str">
        <x:v>proposal.ceramic.pestle</x:v>
      </x:c>
      <x:c r="B256" s="4" t="str">
        <x:f>IFERROR(INDEX(Items!$B$6:$B$1005,MATCH(A256,Items!$A$6:$A$1005,0)),"MISSING ITEM ID")</x:f>
        <x:v>Ceramic pestle</x:v>
      </x:c>
      <x:c r="C256" s="4" t="str">
        <x:f>IFERROR(INDEX(Items!$C$6:$C$1005,MATCH(A256,Items!$A$6:$A$1005,0)),"MISSING ITEM ID")</x:f>
        <x:v>Equipment</x:v>
      </x:c>
      <x:c r="D256" s="4" t="str">
        <x:v>Secondary</x:v>
      </x:c>
      <x:c r="E256" s="4" t="str">
        <x:v>Glass and ceramics</x:v>
      </x:c>
      <x:c r="F256" s="4" t="str">
        <x:v>Ceramic item proposal. Catalog intent; compatibility and properties unresolved.</x:v>
      </x:c>
    </x:row>
    <x:row r="257" ht="50" customHeight="1">
      <x:c r="A257" s="4" t="str">
        <x:v>proposal.ceramic.firing_tray</x:v>
      </x:c>
      <x:c r="B257" s="4" t="str">
        <x:f>IFERROR(INDEX(Items!$B$6:$B$1005,MATCH(A257,Items!$A$6:$A$1005,0)),"MISSING ITEM ID")</x:f>
        <x:v>Ceramic firing tray</x:v>
      </x:c>
      <x:c r="C257" s="4" t="str">
        <x:f>IFERROR(INDEX(Items!$C$6:$C$1005,MATCH(A257,Items!$A$6:$A$1005,0)),"MISSING ITEM ID")</x:f>
        <x:v>Equipment</x:v>
      </x:c>
      <x:c r="D257" s="4" t="str">
        <x:v>Primary</x:v>
      </x:c>
      <x:c r="E257" s="4" t="str">
        <x:f>IFERROR(INDEX(Items!$Z$6:$Z$1005,MATCH(A257,Items!$A$6:$A$1005,0)),"MISSING ITEM ID")</x:f>
        <x:v>Glass and ceramics</x:v>
      </x:c>
      <x:c r="F257" s="4" t="str">
        <x:v>Ceramic item proposal. Catalog intent; compatibility and properties unresolved.</x:v>
      </x:c>
    </x:row>
    <x:row r="258" ht="50" customHeight="1">
      <x:c r="A258" s="4" t="str">
        <x:v>proposal.ceramic.refractory_brick</x:v>
      </x:c>
      <x:c r="B258" s="4" t="str">
        <x:f>IFERROR(INDEX(Items!$B$6:$B$1005,MATCH(A258,Items!$A$6:$A$1005,0)),"MISSING ITEM ID")</x:f>
        <x:v>Refractory ceramic brick</x:v>
      </x:c>
      <x:c r="C258" s="4" t="str">
        <x:f>IFERROR(INDEX(Items!$C$6:$C$1005,MATCH(A258,Items!$A$6:$A$1005,0)),"MISSING ITEM ID")</x:f>
        <x:v>Crafting components</x:v>
      </x:c>
      <x:c r="D258" s="4" t="str">
        <x:v>Primary</x:v>
      </x:c>
      <x:c r="E258" s="4" t="str">
        <x:f>IFERROR(INDEX(Items!$Z$6:$Z$1005,MATCH(A258,Items!$A$6:$A$1005,0)),"MISSING ITEM ID")</x:f>
        <x:v>Protective fabrication</x:v>
      </x:c>
      <x:c r="F258" s="4" t="str">
        <x:v>Ceramic item proposal. Catalog intent; compatibility and properties unresolved.</x:v>
      </x:c>
    </x:row>
    <x:row r="259" ht="50" customHeight="1">
      <x:c r="A259" s="4" t="str">
        <x:v>proposal.ceramic.refractory_brick</x:v>
      </x:c>
      <x:c r="B259" s="4" t="str">
        <x:f>IFERROR(INDEX(Items!$B$6:$B$1005,MATCH(A259,Items!$A$6:$A$1005,0)),"MISSING ITEM ID")</x:f>
        <x:v>Refractory ceramic brick</x:v>
      </x:c>
      <x:c r="C259" s="4" t="str">
        <x:f>IFERROR(INDEX(Items!$C$6:$C$1005,MATCH(A259,Items!$A$6:$A$1005,0)),"MISSING ITEM ID")</x:f>
        <x:v>Crafting components</x:v>
      </x:c>
      <x:c r="D259" s="4" t="str">
        <x:v>Secondary</x:v>
      </x:c>
      <x:c r="E259" s="4" t="str">
        <x:v>Glass and ceramics</x:v>
      </x:c>
      <x:c r="F259" s="4" t="str">
        <x:v>Ceramic item proposal. Catalog intent; compatibility and properties unresolved.</x:v>
      </x:c>
    </x:row>
    <x:row r="260" ht="50" customHeight="1">
      <x:c r="A260" s="4" t="str">
        <x:v>proposal.ceramic.refractory_brick</x:v>
      </x:c>
      <x:c r="B260" s="4" t="str">
        <x:f>IFERROR(INDEX(Items!$B$6:$B$1005,MATCH(A260,Items!$A$6:$A$1005,0)),"MISSING ITEM ID")</x:f>
        <x:v>Refractory ceramic brick</x:v>
      </x:c>
      <x:c r="C260" s="4" t="str">
        <x:f>IFERROR(INDEX(Items!$C$6:$C$1005,MATCH(A260,Items!$A$6:$A$1005,0)),"MISSING ITEM ID")</x:f>
        <x:v>Crafting components</x:v>
      </x:c>
      <x:c r="D260" s="4" t="str">
        <x:v>Secondary</x:v>
      </x:c>
      <x:c r="E260" s="4" t="str">
        <x:v>Metal refining</x:v>
      </x:c>
      <x:c r="F260" s="4" t="str">
        <x:v>Ceramic item proposal. Catalog intent; compatibility and properties unresolved.</x:v>
      </x:c>
    </x:row>
    <x:row r="261" ht="50" customHeight="1">
      <x:c r="A261" s="4" t="str">
        <x:v>proposal.ceramic.kiln_liner</x:v>
      </x:c>
      <x:c r="B261" s="4" t="str">
        <x:f>IFERROR(INDEX(Items!$B$6:$B$1005,MATCH(A261,Items!$A$6:$A$1005,0)),"MISSING ITEM ID")</x:f>
        <x:v>Ceramic kiln lining panel</x:v>
      </x:c>
      <x:c r="C261" s="4" t="str">
        <x:f>IFERROR(INDEX(Items!$C$6:$C$1005,MATCH(A261,Items!$A$6:$A$1005,0)),"MISSING ITEM ID")</x:f>
        <x:v>Crafting components</x:v>
      </x:c>
      <x:c r="D261" s="4" t="str">
        <x:v>Primary</x:v>
      </x:c>
      <x:c r="E261" s="4" t="str">
        <x:f>IFERROR(INDEX(Items!$Z$6:$Z$1005,MATCH(A261,Items!$A$6:$A$1005,0)),"MISSING ITEM ID")</x:f>
        <x:v>Protective fabrication</x:v>
      </x:c>
      <x:c r="F261" s="4" t="str">
        <x:v>Ceramic item proposal. Catalog intent; compatibility and properties unresolved.</x:v>
      </x:c>
    </x:row>
    <x:row r="262" ht="50" customHeight="1">
      <x:c r="A262" s="4" t="str">
        <x:v>proposal.ceramic.kiln_liner</x:v>
      </x:c>
      <x:c r="B262" s="4" t="str">
        <x:f>IFERROR(INDEX(Items!$B$6:$B$1005,MATCH(A262,Items!$A$6:$A$1005,0)),"MISSING ITEM ID")</x:f>
        <x:v>Ceramic kiln lining panel</x:v>
      </x:c>
      <x:c r="C262" s="4" t="str">
        <x:f>IFERROR(INDEX(Items!$C$6:$C$1005,MATCH(A262,Items!$A$6:$A$1005,0)),"MISSING ITEM ID")</x:f>
        <x:v>Crafting components</x:v>
      </x:c>
      <x:c r="D262" s="4" t="str">
        <x:v>Secondary</x:v>
      </x:c>
      <x:c r="E262" s="4" t="str">
        <x:v>Glass and ceramics</x:v>
      </x:c>
      <x:c r="F262" s="4" t="str">
        <x:v>Ceramic item proposal. Catalog intent; compatibility and properties unresolved.</x:v>
      </x:c>
    </x:row>
    <x:row r="263" ht="50" customHeight="1">
      <x:c r="A263" s="4" t="str">
        <x:v>proposal.ceramic.bead</x:v>
      </x:c>
      <x:c r="B263" s="4" t="str">
        <x:f>IFERROR(INDEX(Items!$B$6:$B$1005,MATCH(A263,Items!$A$6:$A$1005,0)),"MISSING ITEM ID")</x:f>
        <x:v>Ceramic insulating bead</x:v>
      </x:c>
      <x:c r="C263" s="4" t="str">
        <x:f>IFERROR(INDEX(Items!$C$6:$C$1005,MATCH(A263,Items!$A$6:$A$1005,0)),"MISSING ITEM ID")</x:f>
        <x:v>Crafting components</x:v>
      </x:c>
      <x:c r="D263" s="4" t="str">
        <x:v>Primary</x:v>
      </x:c>
      <x:c r="E263" s="4" t="str">
        <x:f>IFERROR(INDEX(Items!$Z$6:$Z$1005,MATCH(A263,Items!$A$6:$A$1005,0)),"MISSING ITEM ID")</x:f>
        <x:v>Electrical insulation</x:v>
      </x:c>
      <x:c r="F263" s="4" t="str">
        <x:v>Ceramic item proposal. Catalog intent; compatibility and properties unresolved.</x:v>
      </x:c>
    </x:row>
    <x:row r="264" ht="50" customHeight="1">
      <x:c r="A264" s="4" t="str">
        <x:v>proposal.ceramic.bead</x:v>
      </x:c>
      <x:c r="B264" s="4" t="str">
        <x:f>IFERROR(INDEX(Items!$B$6:$B$1005,MATCH(A264,Items!$A$6:$A$1005,0)),"MISSING ITEM ID")</x:f>
        <x:v>Ceramic insulating bead</x:v>
      </x:c>
      <x:c r="C264" s="4" t="str">
        <x:f>IFERROR(INDEX(Items!$C$6:$C$1005,MATCH(A264,Items!$A$6:$A$1005,0)),"MISSING ITEM ID")</x:f>
        <x:v>Crafting components</x:v>
      </x:c>
      <x:c r="D264" s="4" t="str">
        <x:v>Secondary</x:v>
      </x:c>
      <x:c r="E264" s="4" t="str">
        <x:v>Electrical work</x:v>
      </x:c>
      <x:c r="F264" s="4" t="str">
        <x:v>Ceramic item proposal. Catalog intent; compatibility and properties unresolved.</x:v>
      </x:c>
    </x:row>
    <x:row r="265" ht="50" customHeight="1">
      <x:c r="A265" s="4" t="str">
        <x:v>proposal.ceramic.spacer</x:v>
      </x:c>
      <x:c r="B265" s="4" t="str">
        <x:f>IFERROR(INDEX(Items!$B$6:$B$1005,MATCH(A265,Items!$A$6:$A$1005,0)),"MISSING ITEM ID")</x:f>
        <x:v>Ceramic insulating spacer</x:v>
      </x:c>
      <x:c r="C265" s="4" t="str">
        <x:f>IFERROR(INDEX(Items!$C$6:$C$1005,MATCH(A265,Items!$A$6:$A$1005,0)),"MISSING ITEM ID")</x:f>
        <x:v>Crafting components</x:v>
      </x:c>
      <x:c r="D265" s="4" t="str">
        <x:v>Primary</x:v>
      </x:c>
      <x:c r="E265" s="4" t="str">
        <x:f>IFERROR(INDEX(Items!$Z$6:$Z$1005,MATCH(A265,Items!$A$6:$A$1005,0)),"MISSING ITEM ID")</x:f>
        <x:v>Electrical insulation</x:v>
      </x:c>
      <x:c r="F265" s="4" t="str">
        <x:v>Ceramic item proposal. Catalog intent; compatibility and properties unresolved.</x:v>
      </x:c>
    </x:row>
    <x:row r="266" ht="50" customHeight="1">
      <x:c r="A266" s="4" t="str">
        <x:v>proposal.ceramic.spacer</x:v>
      </x:c>
      <x:c r="B266" s="4" t="str">
        <x:f>IFERROR(INDEX(Items!$B$6:$B$1005,MATCH(A266,Items!$A$6:$A$1005,0)),"MISSING ITEM ID")</x:f>
        <x:v>Ceramic insulating spacer</x:v>
      </x:c>
      <x:c r="C266" s="4" t="str">
        <x:f>IFERROR(INDEX(Items!$C$6:$C$1005,MATCH(A266,Items!$A$6:$A$1005,0)),"MISSING ITEM ID")</x:f>
        <x:v>Crafting components</x:v>
      </x:c>
      <x:c r="D266" s="4" t="str">
        <x:v>Secondary</x:v>
      </x:c>
      <x:c r="E266" s="4" t="str">
        <x:v>Electrical work</x:v>
      </x:c>
      <x:c r="F266" s="4" t="str">
        <x:v>Ceramic item proposal. Catalog intent; compatibility and properties unresolved.</x:v>
      </x:c>
    </x:row>
    <x:row r="267" ht="50" customHeight="1">
      <x:c r="A267" s="4" t="str">
        <x:v>proposal.ceramic.feedthrough</x:v>
      </x:c>
      <x:c r="B267" s="4" t="str">
        <x:f>IFERROR(INDEX(Items!$B$6:$B$1005,MATCH(A267,Items!$A$6:$A$1005,0)),"MISSING ITEM ID")</x:f>
        <x:v>Ceramic electrical feedthrough</x:v>
      </x:c>
      <x:c r="C267" s="4" t="str">
        <x:f>IFERROR(INDEX(Items!$C$6:$C$1005,MATCH(A267,Items!$A$6:$A$1005,0)),"MISSING ITEM ID")</x:f>
        <x:v>Crafting components</x:v>
      </x:c>
      <x:c r="D267" s="4" t="str">
        <x:v>Primary</x:v>
      </x:c>
      <x:c r="E267" s="4" t="str">
        <x:f>IFERROR(INDEX(Items!$Z$6:$Z$1005,MATCH(A267,Items!$A$6:$A$1005,0)),"MISSING ITEM ID")</x:f>
        <x:v>Electrical insulation</x:v>
      </x:c>
      <x:c r="F267" s="4" t="str">
        <x:v>Ceramic item proposal. Catalog intent; compatibility and properties unresolved.</x:v>
      </x:c>
    </x:row>
    <x:row r="268" ht="50" customHeight="1">
      <x:c r="A268" s="4" t="str">
        <x:v>proposal.ceramic.feedthrough</x:v>
      </x:c>
      <x:c r="B268" s="4" t="str">
        <x:f>IFERROR(INDEX(Items!$B$6:$B$1005,MATCH(A268,Items!$A$6:$A$1005,0)),"MISSING ITEM ID")</x:f>
        <x:v>Ceramic electrical feedthrough</x:v>
      </x:c>
      <x:c r="C268" s="4" t="str">
        <x:f>IFERROR(INDEX(Items!$C$6:$C$1005,MATCH(A268,Items!$A$6:$A$1005,0)),"MISSING ITEM ID")</x:f>
        <x:v>Crafting components</x:v>
      </x:c>
      <x:c r="D268" s="4" t="str">
        <x:v>Secondary</x:v>
      </x:c>
      <x:c r="E268" s="4" t="str">
        <x:v>Electrical conduction</x:v>
      </x:c>
      <x:c r="F268" s="4" t="str">
        <x:v>Ceramic item proposal. Catalog intent; compatibility and properties unresolved.</x:v>
      </x:c>
    </x:row>
    <x:row r="269" ht="50" customHeight="1">
      <x:c r="A269" s="4" t="str">
        <x:v>proposal.ceramic.stopper</x:v>
      </x:c>
      <x:c r="B269" s="4" t="str">
        <x:f>IFERROR(INDEX(Items!$B$6:$B$1005,MATCH(A269,Items!$A$6:$A$1005,0)),"MISSING ITEM ID")</x:f>
        <x:v>Fitted ceramic stopper</x:v>
      </x:c>
      <x:c r="C269" s="4" t="str">
        <x:f>IFERROR(INDEX(Items!$C$6:$C$1005,MATCH(A269,Items!$A$6:$A$1005,0)),"MISSING ITEM ID")</x:f>
        <x:v>Crafting components</x:v>
      </x:c>
      <x:c r="D269" s="4" t="str">
        <x:v>Primary</x:v>
      </x:c>
      <x:c r="E269" s="4" t="str">
        <x:f>IFERROR(INDEX(Items!$Z$6:$Z$1005,MATCH(A269,Items!$A$6:$A$1005,0)),"MISSING ITEM ID")</x:f>
        <x:v>Sealing</x:v>
      </x:c>
      <x:c r="F269" s="4" t="str">
        <x:v>Ceramic item proposal. Catalog intent; compatibility and properties unresolved.</x:v>
      </x:c>
    </x:row>
    <x:row r="270" ht="50" customHeight="1">
      <x:c r="A270" s="4" t="str">
        <x:v>proposal.ceramic.lid</x:v>
      </x:c>
      <x:c r="B270" s="4" t="str">
        <x:f>IFERROR(INDEX(Items!$B$6:$B$1005,MATCH(A270,Items!$A$6:$A$1005,0)),"MISSING ITEM ID")</x:f>
        <x:v>Ceramic vessel lid</x:v>
      </x:c>
      <x:c r="C270" s="4" t="str">
        <x:f>IFERROR(INDEX(Items!$C$6:$C$1005,MATCH(A270,Items!$A$6:$A$1005,0)),"MISSING ITEM ID")</x:f>
        <x:v>Crafting components</x:v>
      </x:c>
      <x:c r="D270" s="4" t="str">
        <x:v>Primary</x:v>
      </x:c>
      <x:c r="E270" s="4" t="str">
        <x:f>IFERROR(INDEX(Items!$Z$6:$Z$1005,MATCH(A270,Items!$A$6:$A$1005,0)),"MISSING ITEM ID")</x:f>
        <x:v>Liquid and bulk containment</x:v>
      </x:c>
      <x:c r="F270" s="4" t="str">
        <x:v>Ceramic item proposal. Catalog intent; compatibility and properties unresolved.</x:v>
      </x:c>
    </x:row>
    <x:row r="271" ht="50" customHeight="1">
      <x:c r="A271" s="4" t="str">
        <x:v>proposal.ceramic.lid</x:v>
      </x:c>
      <x:c r="B271" s="4" t="str">
        <x:f>IFERROR(INDEX(Items!$B$6:$B$1005,MATCH(A271,Items!$A$6:$A$1005,0)),"MISSING ITEM ID")</x:f>
        <x:v>Ceramic vessel lid</x:v>
      </x:c>
      <x:c r="C271" s="4" t="str">
        <x:f>IFERROR(INDEX(Items!$C$6:$C$1005,MATCH(A271,Items!$A$6:$A$1005,0)),"MISSING ITEM ID")</x:f>
        <x:v>Crafting components</x:v>
      </x:c>
      <x:c r="D271" s="4" t="str">
        <x:v>Secondary</x:v>
      </x:c>
      <x:c r="E271" s="4" t="str">
        <x:v>Dust exclusion</x:v>
      </x:c>
      <x:c r="F271" s="4" t="str">
        <x:v>Ceramic item proposal. Catalog intent; compatibility and properties unresolved.</x:v>
      </x:c>
    </x:row>
    <x:row r="272" ht="50" customHeight="1">
      <x:c r="A272" s="4" t="str">
        <x:v>proposal.ceramic.pour_spout</x:v>
      </x:c>
      <x:c r="B272" s="4" t="str">
        <x:f>IFERROR(INDEX(Items!$B$6:$B$1005,MATCH(A272,Items!$A$6:$A$1005,0)),"MISSING ITEM ID")</x:f>
        <x:v>Ceramic pouring spout</x:v>
      </x:c>
      <x:c r="C272" s="4" t="str">
        <x:f>IFERROR(INDEX(Items!$C$6:$C$1005,MATCH(A272,Items!$A$6:$A$1005,0)),"MISSING ITEM ID")</x:f>
        <x:v>Crafting components</x:v>
      </x:c>
      <x:c r="D272" s="4" t="str">
        <x:v>Primary</x:v>
      </x:c>
      <x:c r="E272" s="4" t="str">
        <x:f>IFERROR(INDEX(Items!$Z$6:$Z$1005,MATCH(A272,Items!$A$6:$A$1005,0)),"MISSING ITEM ID")</x:f>
        <x:v>Material transfer</x:v>
      </x:c>
      <x:c r="F272" s="4" t="str">
        <x:v>Ceramic item proposal. Catalog intent; compatibility and properties unresolved.</x:v>
      </x:c>
    </x:row>
    <x:row r="273" ht="50" customHeight="1">
      <x:c r="A273" s="4" t="str">
        <x:v>proposal.ceramic.conduit</x:v>
      </x:c>
      <x:c r="B273" s="4" t="str">
        <x:f>IFERROR(INDEX(Items!$B$6:$B$1005,MATCH(A273,Items!$A$6:$A$1005,0)),"MISSING ITEM ID")</x:f>
        <x:v>Ceramic conduit section</x:v>
      </x:c>
      <x:c r="C273" s="4" t="str">
        <x:f>IFERROR(INDEX(Items!$C$6:$C$1005,MATCH(A273,Items!$A$6:$A$1005,0)),"MISSING ITEM ID")</x:f>
        <x:v>Crafting components</x:v>
      </x:c>
      <x:c r="D273" s="4" t="str">
        <x:v>Primary</x:v>
      </x:c>
      <x:c r="E273" s="4" t="str">
        <x:f>IFERROR(INDEX(Items!$Z$6:$Z$1005,MATCH(A273,Items!$A$6:$A$1005,0)),"MISSING ITEM ID")</x:f>
        <x:v>Material transfer</x:v>
      </x:c>
      <x:c r="F273" s="4" t="str">
        <x:v>Ceramic item proposal. Catalog intent; compatibility and properties unresolved.</x:v>
      </x:c>
    </x:row>
    <x:row r="274" ht="50" customHeight="1">
      <x:c r="A274" s="4" t="str">
        <x:v>proposal.ceramic.votive_plaque</x:v>
      </x:c>
      <x:c r="B274" s="4" t="str">
        <x:f>IFERROR(INDEX(Items!$B$6:$B$1005,MATCH(A274,Items!$A$6:$A$1005,0)),"MISSING ITEM ID")</x:f>
        <x:v>Ceramic votive plaque</x:v>
      </x:c>
      <x:c r="C274" s="4" t="str">
        <x:f>IFERROR(INDEX(Items!$C$6:$C$1005,MATCH(A274,Items!$A$6:$A$1005,0)),"MISSING ITEM ID")</x:f>
        <x:v>Cultural objects</x:v>
      </x:c>
      <x:c r="D274" s="4" t="str">
        <x:v>Primary</x:v>
      </x:c>
      <x:c r="E274" s="4" t="str">
        <x:f>IFERROR(INDEX(Items!$Z$6:$Z$1005,MATCH(A274,Items!$A$6:$A$1005,0)),"MISSING ITEM ID")</x:f>
        <x:v>Devotion</x:v>
      </x:c>
      <x:c r="F274" s="4" t="str">
        <x:v>Ceramic item proposal. Catalog intent; compatibility and properties unresolved.</x:v>
      </x:c>
    </x:row>
    <x:row r="275" ht="50" customHeight="1">
      <x:c r="A275" s="4" t="str">
        <x:v>proposal.ceramic.votive_plaque</x:v>
      </x:c>
      <x:c r="B275" s="4" t="str">
        <x:f>IFERROR(INDEX(Items!$B$6:$B$1005,MATCH(A275,Items!$A$6:$A$1005,0)),"MISSING ITEM ID")</x:f>
        <x:v>Ceramic votive plaque</x:v>
      </x:c>
      <x:c r="C275" s="4" t="str">
        <x:f>IFERROR(INDEX(Items!$C$6:$C$1005,MATCH(A275,Items!$A$6:$A$1005,0)),"MISSING ITEM ID")</x:f>
        <x:v>Cultural objects</x:v>
      </x:c>
      <x:c r="D275" s="4" t="str">
        <x:v>Secondary</x:v>
      </x:c>
      <x:c r="E275" s="4" t="str">
        <x:v>Decoration</x:v>
      </x:c>
      <x:c r="F275" s="4" t="str">
        <x:v>Ceramic item proposal. Catalog intent; compatibility and properties unresolved.</x:v>
      </x:c>
    </x:row>
    <x:row r="276" ht="50" customHeight="1">
      <x:c r="A276" s="4" t="str">
        <x:v>proposal.ceramic.figurine</x:v>
      </x:c>
      <x:c r="B276" s="4" t="str">
        <x:f>IFERROR(INDEX(Items!$B$6:$B$1005,MATCH(A276,Items!$A$6:$A$1005,0)),"MISSING ITEM ID")</x:f>
        <x:v>Ceramic commemorative figurine</x:v>
      </x:c>
      <x:c r="C276" s="4" t="str">
        <x:f>IFERROR(INDEX(Items!$C$6:$C$1005,MATCH(A276,Items!$A$6:$A$1005,0)),"MISSING ITEM ID")</x:f>
        <x:v>Cultural objects</x:v>
      </x:c>
      <x:c r="D276" s="4" t="str">
        <x:v>Primary</x:v>
      </x:c>
      <x:c r="E276" s="4" t="str">
        <x:f>IFERROR(INDEX(Items!$Z$6:$Z$1005,MATCH(A276,Items!$A$6:$A$1005,0)),"MISSING ITEM ID")</x:f>
        <x:v>Remembrance</x:v>
      </x:c>
      <x:c r="F276" s="4" t="str">
        <x:v>Ceramic item proposal. Catalog intent; compatibility and properties unresolved.</x:v>
      </x:c>
    </x:row>
    <x:row r="277" ht="50" customHeight="1">
      <x:c r="A277" s="4" t="str">
        <x:v>proposal.ceramic.figurine</x:v>
      </x:c>
      <x:c r="B277" s="4" t="str">
        <x:f>IFERROR(INDEX(Items!$B$6:$B$1005,MATCH(A277,Items!$A$6:$A$1005,0)),"MISSING ITEM ID")</x:f>
        <x:v>Ceramic commemorative figurine</x:v>
      </x:c>
      <x:c r="C277" s="4" t="str">
        <x:f>IFERROR(INDEX(Items!$C$6:$C$1005,MATCH(A277,Items!$A$6:$A$1005,0)),"MISSING ITEM ID")</x:f>
        <x:v>Cultural objects</x:v>
      </x:c>
      <x:c r="D277" s="4" t="str">
        <x:v>Secondary</x:v>
      </x:c>
      <x:c r="E277" s="4" t="str">
        <x:v>Decoration</x:v>
      </x:c>
      <x:c r="F277" s="4" t="str">
        <x:v>Ceramic item proposal. Catalog intent; compatibility and properties unresolved.</x:v>
      </x:c>
    </x:row>
    <x:row r="278" ht="50" customHeight="1">
      <x:c r="A278" s="4" t="str">
        <x:v>proposal.ceramic.ceremony_bowl</x:v>
      </x:c>
      <x:c r="B278" s="4" t="str">
        <x:f>IFERROR(INDEX(Items!$B$6:$B$1005,MATCH(A278,Items!$A$6:$A$1005,0)),"MISSING ITEM ID")</x:f>
        <x:v>Ceremonial ceramic bowl</x:v>
      </x:c>
      <x:c r="C278" s="4" t="str">
        <x:f>IFERROR(INDEX(Items!$C$6:$C$1005,MATCH(A278,Items!$A$6:$A$1005,0)),"MISSING ITEM ID")</x:f>
        <x:v>Cultural objects</x:v>
      </x:c>
      <x:c r="D278" s="4" t="str">
        <x:v>Primary</x:v>
      </x:c>
      <x:c r="E278" s="4" t="str">
        <x:f>IFERROR(INDEX(Items!$Z$6:$Z$1005,MATCH(A278,Items!$A$6:$A$1005,0)),"MISSING ITEM ID")</x:f>
        <x:v>Ceremony</x:v>
      </x:c>
      <x:c r="F278" s="4" t="str">
        <x:v>Ceramic item proposal. Catalog intent; compatibility and properties unresolved.</x:v>
      </x:c>
    </x:row>
    <x:row r="279" ht="50" customHeight="1">
      <x:c r="A279" s="4" t="str">
        <x:v>proposal.ceramic.ceremony_bowl</x:v>
      </x:c>
      <x:c r="B279" s="4" t="str">
        <x:f>IFERROR(INDEX(Items!$B$6:$B$1005,MATCH(A279,Items!$A$6:$A$1005,0)),"MISSING ITEM ID")</x:f>
        <x:v>Ceremonial ceramic bowl</x:v>
      </x:c>
      <x:c r="C279" s="4" t="str">
        <x:f>IFERROR(INDEX(Items!$C$6:$C$1005,MATCH(A279,Items!$A$6:$A$1005,0)),"MISSING ITEM ID")</x:f>
        <x:v>Cultural objects</x:v>
      </x:c>
      <x:c r="D279" s="4" t="str">
        <x:v>Secondary</x:v>
      </x:c>
      <x:c r="E279" s="4" t="str">
        <x:v>Decoration</x:v>
      </x:c>
      <x:c r="F279" s="4" t="str">
        <x:v>Ceramic item proposal. Catalog intent; compatibility and properties unresolved.</x:v>
      </x:c>
    </x:row>
    <x:row r="280" ht="50" customHeight="1">
      <x:c r="A280" s="4" t="str">
        <x:v>proposal.ceramic.armor_insert</x:v>
      </x:c>
      <x:c r="B280" s="4" t="str">
        <x:f>IFERROR(INDEX(Items!$B$6:$B$1005,MATCH(A280,Items!$A$6:$A$1005,0)),"MISSING ITEM ID")</x:f>
        <x:v>Specialist ceramic armor insert</x:v>
      </x:c>
      <x:c r="C280" s="4" t="str">
        <x:f>IFERROR(INDEX(Items!$C$6:$C$1005,MATCH(A280,Items!$A$6:$A$1005,0)),"MISSING ITEM ID")</x:f>
        <x:v>Equipment</x:v>
      </x:c>
      <x:c r="D280" s="4" t="str">
        <x:v>Primary</x:v>
      </x:c>
      <x:c r="E280" s="4" t="str">
        <x:f>IFERROR(INDEX(Items!$Z$6:$Z$1005,MATCH(A280,Items!$A$6:$A$1005,0)),"MISSING ITEM ID")</x:f>
        <x:v>Protection</x:v>
      </x:c>
      <x:c r="F280" s="4" t="str">
        <x:v>Ceramic item proposal. Catalog intent; compatibility and properties unresolved.</x:v>
      </x:c>
    </x:row>
    <x:row r="281" ht="50" customHeight="1">
      <x:c r="A281" s="4" t="str">
        <x:v>proposal.ceramic.fastener</x:v>
      </x:c>
      <x:c r="B281" s="4" t="str">
        <x:f>IFERROR(INDEX(Items!$B$6:$B$1005,MATCH(A281,Items!$A$6:$A$1005,0)),"MISSING ITEM ID")</x:f>
        <x:v>Ceramic toggle fastener</x:v>
      </x:c>
      <x:c r="C281" s="4" t="str">
        <x:f>IFERROR(INDEX(Items!$C$6:$C$1005,MATCH(A281,Items!$A$6:$A$1005,0)),"MISSING ITEM ID")</x:f>
        <x:v>Crafting components</x:v>
      </x:c>
      <x:c r="D281" s="4" t="str">
        <x:v>Primary</x:v>
      </x:c>
      <x:c r="E281" s="4" t="str">
        <x:f>IFERROR(INDEX(Items!$Z$6:$Z$1005,MATCH(A281,Items!$A$6:$A$1005,0)),"MISSING ITEM ID")</x:f>
        <x:v>Clothing fabrication</x:v>
      </x:c>
      <x:c r="F281" s="4" t="str">
        <x:v>Ceramic item proposal. Catalog intent; compatibility and properties unresolved.</x:v>
      </x:c>
    </x:row>
    <x:row r="282" ht="50" customHeight="1">
      <x:c r="A282" s="4" t="str">
        <x:v>proposal.ceramic.fastener</x:v>
      </x:c>
      <x:c r="B282" s="4" t="str">
        <x:f>IFERROR(INDEX(Items!$B$6:$B$1005,MATCH(A282,Items!$A$6:$A$1005,0)),"MISSING ITEM ID")</x:f>
        <x:v>Ceramic toggle fastener</x:v>
      </x:c>
      <x:c r="C282" s="4" t="str">
        <x:f>IFERROR(INDEX(Items!$C$6:$C$1005,MATCH(A282,Items!$A$6:$A$1005,0)),"MISSING ITEM ID")</x:f>
        <x:v>Crafting components</x:v>
      </x:c>
      <x:c r="D282" s="4" t="str">
        <x:v>Secondary</x:v>
      </x:c>
      <x:c r="E282" s="4" t="str">
        <x:v>Equipment mounting</x:v>
      </x:c>
      <x:c r="F282" s="4" t="str">
        <x:v>Ceramic item proposal. Catalog intent; compatibility and properties unresolved.</x:v>
      </x:c>
    </x:row>
    <x:row r="283" ht="50" customHeight="1">
      <x:c r="A283" s="4" t="str">
        <x:v>proposal.ceramic.grinding_disc</x:v>
      </x:c>
      <x:c r="B283" s="4" t="str">
        <x:f>IFERROR(INDEX(Items!$B$6:$B$1005,MATCH(A283,Items!$A$6:$A$1005,0)),"MISSING ITEM ID")</x:f>
        <x:v>Ceramic abrasive disc</x:v>
      </x:c>
      <x:c r="C283" s="4" t="str">
        <x:f>IFERROR(INDEX(Items!$C$6:$C$1005,MATCH(A283,Items!$A$6:$A$1005,0)),"MISSING ITEM ID")</x:f>
        <x:v>Equipment</x:v>
      </x:c>
      <x:c r="D283" s="4" t="str">
        <x:v>Primary</x:v>
      </x:c>
      <x:c r="E283" s="4" t="str">
        <x:f>IFERROR(INDEX(Items!$Z$6:$Z$1005,MATCH(A283,Items!$A$6:$A$1005,0)),"MISSING ITEM ID")</x:f>
        <x:v>Surface finishing</x:v>
      </x:c>
      <x:c r="F283" s="4" t="str">
        <x:v>Ceramic item proposal. Catalog intent; compatibility and properties unresolved.</x:v>
      </x:c>
    </x:row>
    <x:row r="284" ht="70" customHeight="1">
      <x:c r="A284" s="4" t="str">
        <x:v>source.currency.imperial_commons</x:v>
      </x:c>
      <x:c r="B284" s="4" t="str">
        <x:f>IFERROR(INDEX(Items!$B$6:$B$1005,MATCH(A284,Items!$A$6:$A$1005,0)),"MISSING ITEM ID")</x:f>
        <x:v>Imperial Commons</x:v>
      </x:c>
      <x:c r="C284" s="4" t="str">
        <x:f>IFERROR(INDEX(Items!$C$6:$C$1005,MATCH(A284,Items!$A$6:$A$1005,0)),"MISSING ITEM ID")</x:f>
        <x:v>Currency</x:v>
      </x:c>
      <x:c r="D284" s="4" t="str">
        <x:v>Primary</x:v>
      </x:c>
      <x:c r="E284" s="4" t="str">
        <x:f>IFERROR(INDEX(Items!$Z$6:$Z$1005,MATCH(A284,Items!$A$6:$A$1005,0)),"MISSING ITEM ID")</x:f>
        <x:v>Trade</x:v>
      </x:c>
      <x:c r="F284" s="4" t="str">
        <x:v>WLD-0032 currency proposal. Unit/denomination and physical form unresolved.</x:v>
      </x:c>
    </x:row>
    <x:row r="285" ht="65" customHeight="1">
      <x:c r="A285" s="4" t="str">
        <x:v>proposal.fire.oxygen_stone</x:v>
      </x:c>
      <x:c r="B285" s="4" t="str">
        <x:f>IFERROR(INDEX(Items!$B$6:$B$1005,MATCH(A285,Items!$A$6:$A$1005,0)),"MISSING ITEM ID")</x:f>
        <x:v>Oxygen-releasing stone</x:v>
      </x:c>
      <x:c r="C285" s="4" t="str">
        <x:f>IFERROR(INDEX(Items!$C$6:$C$1005,MATCH(A285,Items!$A$6:$A$1005,0)),"MISSING ITEM ID")</x:f>
        <x:v>Resources</x:v>
      </x:c>
      <x:c r="D285" s="4" t="str">
        <x:v>Primary</x:v>
      </x:c>
      <x:c r="E285" s="4" t="str">
        <x:f>IFERROR(INDEX(Items!$Z$6:$Z$1005,MATCH(A285,Items!$A$6:$A$1005,0)),"MISSING ITEM ID")</x:f>
        <x:v>Atmospheric support</x:v>
      </x:c>
      <x:c r="F285" s="4" t="str">
        <x:v>Catalog intent. Source/author distinction and fire constraints are recorded in Items.</x:v>
      </x:c>
    </x:row>
    <x:row r="286" ht="65" customHeight="1">
      <x:c r="A286" s="4" t="str">
        <x:v>proposal.fire.glow_stone</x:v>
      </x:c>
      <x:c r="B286" s="4" t="str">
        <x:f>IFERROR(INDEX(Items!$B$6:$B$1005,MATCH(A286,Items!$A$6:$A$1005,0)),"MISSING ITEM ID")</x:f>
        <x:v>Glowing stone</x:v>
      </x:c>
      <x:c r="C286" s="4" t="str">
        <x:f>IFERROR(INDEX(Items!$C$6:$C$1005,MATCH(A286,Items!$A$6:$A$1005,0)),"MISSING ITEM ID")</x:f>
        <x:v>Resources</x:v>
      </x:c>
      <x:c r="D286" s="4" t="str">
        <x:v>Primary</x:v>
      </x:c>
      <x:c r="E286" s="4" t="str">
        <x:f>IFERROR(INDEX(Items!$Z$6:$Z$1005,MATCH(A286,Items!$A$6:$A$1005,0)),"MISSING ITEM ID")</x:f>
        <x:v>Illumination</x:v>
      </x:c>
      <x:c r="F286" s="4" t="str">
        <x:v>Catalog intent. Source/author distinction and fire constraints are recorded in Items.</x:v>
      </x:c>
    </x:row>
    <x:row r="287" ht="65" customHeight="1">
      <x:c r="A287" s="4" t="str">
        <x:v>proposal.fire.flint</x:v>
      </x:c>
      <x:c r="B287" s="4" t="str">
        <x:f>IFERROR(INDEX(Items!$B$6:$B$1005,MATCH(A287,Items!$A$6:$A$1005,0)),"MISSING ITEM ID")</x:f>
        <x:v>Flint stone</x:v>
      </x:c>
      <x:c r="C287" s="4" t="str">
        <x:f>IFERROR(INDEX(Items!$C$6:$C$1005,MATCH(A287,Items!$A$6:$A$1005,0)),"MISSING ITEM ID")</x:f>
        <x:v>Resources</x:v>
      </x:c>
      <x:c r="D287" s="4" t="str">
        <x:v>Primary</x:v>
      </x:c>
      <x:c r="E287" s="4" t="str">
        <x:f>IFERROR(INDEX(Items!$Z$6:$Z$1005,MATCH(A287,Items!$A$6:$A$1005,0)),"MISSING ITEM ID")</x:f>
        <x:v>Ignition</x:v>
      </x:c>
      <x:c r="F287" s="4" t="str">
        <x:v>Catalog intent. Source/author distinction and fire constraints are recorded in Items.</x:v>
      </x:c>
    </x:row>
    <x:row r="288" ht="65" customHeight="1">
      <x:c r="A288" s="4" t="str">
        <x:v>proposal.fire.flint</x:v>
      </x:c>
      <x:c r="B288" s="4" t="str">
        <x:f>IFERROR(INDEX(Items!$B$6:$B$1005,MATCH(A288,Items!$A$6:$A$1005,0)),"MISSING ITEM ID")</x:f>
        <x:v>Flint stone</x:v>
      </x:c>
      <x:c r="C288" s="4" t="str">
        <x:f>IFERROR(INDEX(Items!$C$6:$C$1005,MATCH(A288,Items!$A$6:$A$1005,0)),"MISSING ITEM ID")</x:f>
        <x:v>Resources</x:v>
      </x:c>
      <x:c r="D288" s="4" t="str">
        <x:v>Secondary</x:v>
      </x:c>
      <x:c r="E288" s="4" t="str">
        <x:v>Tool fabrication</x:v>
      </x:c>
      <x:c r="F288" s="4" t="str">
        <x:v>Catalog intent. Source/author distinction and fire constraints are recorded in Items.</x:v>
      </x:c>
    </x:row>
    <x:row r="289" ht="65" customHeight="1">
      <x:c r="A289" s="4" t="str">
        <x:v>proposal.fire.striker</x:v>
      </x:c>
      <x:c r="B289" s="4" t="str">
        <x:f>IFERROR(INDEX(Items!$B$6:$B$1005,MATCH(A289,Items!$A$6:$A$1005,0)),"MISSING ITEM ID")</x:f>
        <x:v>Flint striking tool</x:v>
      </x:c>
      <x:c r="C289" s="4" t="str">
        <x:f>IFERROR(INDEX(Items!$C$6:$C$1005,MATCH(A289,Items!$A$6:$A$1005,0)),"MISSING ITEM ID")</x:f>
        <x:v>Equipment</x:v>
      </x:c>
      <x:c r="D289" s="4" t="str">
        <x:v>Primary</x:v>
      </x:c>
      <x:c r="E289" s="4" t="str">
        <x:f>IFERROR(INDEX(Items!$Z$6:$Z$1005,MATCH(A289,Items!$A$6:$A$1005,0)),"MISSING ITEM ID")</x:f>
        <x:v>Ignition</x:v>
      </x:c>
      <x:c r="F289" s="4" t="str">
        <x:v>Catalog intent. Source/author distinction and fire constraints are recorded in Items.</x:v>
      </x:c>
    </x:row>
    <x:row r="290" ht="65" customHeight="1">
      <x:c r="A290" s="4" t="str">
        <x:v>proposal.fire.chitin_char</x:v>
      </x:c>
      <x:c r="B290" s="4" t="str">
        <x:f>IFERROR(INDEX(Items!$B$6:$B$1005,MATCH(A290,Items!$A$6:$A$1005,0)),"MISSING ITEM ID")</x:f>
        <x:v>Chitin-char</x:v>
      </x:c>
      <x:c r="C290" s="4" t="str">
        <x:f>IFERROR(INDEX(Items!$C$6:$C$1005,MATCH(A290,Items!$A$6:$A$1005,0)),"MISSING ITEM ID")</x:f>
        <x:v>Resources</x:v>
      </x:c>
      <x:c r="D290" s="4" t="str">
        <x:v>Primary</x:v>
      </x:c>
      <x:c r="E290" s="4" t="str">
        <x:f>IFERROR(INDEX(Items!$Z$6:$Z$1005,MATCH(A290,Items!$A$6:$A$1005,0)),"MISSING ITEM ID")</x:f>
        <x:v>Fuel</x:v>
      </x:c>
      <x:c r="F290" s="4" t="str">
        <x:v>Catalog intent. Source/author distinction and fire constraints are recorded in Items.</x:v>
      </x:c>
    </x:row>
    <x:row r="291" ht="65" customHeight="1">
      <x:c r="A291" s="4" t="str">
        <x:v>proposal.fire.cooking_pot</x:v>
      </x:c>
      <x:c r="B291" s="4" t="str">
        <x:f>IFERROR(INDEX(Items!$B$6:$B$1005,MATCH(A291,Items!$A$6:$A$1005,0)),"MISSING ITEM ID")</x:f>
        <x:v>Ceramic cooking pot</x:v>
      </x:c>
      <x:c r="C291" s="4" t="str">
        <x:f>IFERROR(INDEX(Items!$C$6:$C$1005,MATCH(A291,Items!$A$6:$A$1005,0)),"MISSING ITEM ID")</x:f>
        <x:v>Equipment</x:v>
      </x:c>
      <x:c r="D291" s="4" t="str">
        <x:v>Primary</x:v>
      </x:c>
      <x:c r="E291" s="4" t="str">
        <x:f>IFERROR(INDEX(Items!$Z$6:$Z$1005,MATCH(A291,Items!$A$6:$A$1005,0)),"MISSING ITEM ID")</x:f>
        <x:v>Cooking</x:v>
      </x:c>
      <x:c r="F291" s="4" t="str">
        <x:v>Catalog intent. Source/author distinction and fire constraints are recorded in Items.</x:v>
      </x:c>
    </x:row>
    <x:row r="292" ht="65" customHeight="1">
      <x:c r="A292" s="4" t="str">
        <x:v>proposal.fire.cooking_slab</x:v>
      </x:c>
      <x:c r="B292" s="4" t="str">
        <x:f>IFERROR(INDEX(Items!$B$6:$B$1005,MATCH(A292,Items!$A$6:$A$1005,0)),"MISSING ITEM ID")</x:f>
        <x:v>Cooking stone slab</x:v>
      </x:c>
      <x:c r="C292" s="4" t="str">
        <x:f>IFERROR(INDEX(Items!$C$6:$C$1005,MATCH(A292,Items!$A$6:$A$1005,0)),"MISSING ITEM ID")</x:f>
        <x:v>Equipment</x:v>
      </x:c>
      <x:c r="D292" s="4" t="str">
        <x:v>Primary</x:v>
      </x:c>
      <x:c r="E292" s="4" t="str">
        <x:f>IFERROR(INDEX(Items!$Z$6:$Z$1005,MATCH(A292,Items!$A$6:$A$1005,0)),"MISSING ITEM ID")</x:f>
        <x:v>Cooking</x:v>
      </x:c>
      <x:c r="F292" s="4" t="str">
        <x:v>Catalog intent. Source/author distinction and fire constraints are recorded in Items.</x:v>
      </x:c>
    </x:row>
    <x:row r="293" ht="65" customHeight="1">
      <x:c r="A293" s="4" t="str">
        <x:v>proposal.fire.lidded_pan</x:v>
      </x:c>
      <x:c r="B293" s="4" t="str">
        <x:f>IFERROR(INDEX(Items!$B$6:$B$1005,MATCH(A293,Items!$A$6:$A$1005,0)),"MISSING ITEM ID")</x:f>
        <x:v>Lidded cooking pan</x:v>
      </x:c>
      <x:c r="C293" s="4" t="str">
        <x:f>IFERROR(INDEX(Items!$C$6:$C$1005,MATCH(A293,Items!$A$6:$A$1005,0)),"MISSING ITEM ID")</x:f>
        <x:v>Equipment</x:v>
      </x:c>
      <x:c r="D293" s="4" t="str">
        <x:v>Primary</x:v>
      </x:c>
      <x:c r="E293" s="4" t="str">
        <x:f>IFERROR(INDEX(Items!$Z$6:$Z$1005,MATCH(A293,Items!$A$6:$A$1005,0)),"MISSING ITEM ID")</x:f>
        <x:v>Cooking</x:v>
      </x:c>
      <x:c r="F293" s="4" t="str">
        <x:v>Catalog intent. Source/author distinction and fire constraints are recorded in Items.</x:v>
      </x:c>
    </x:row>
    <x:row r="294" ht="65" customHeight="1">
      <x:c r="A294" s="4" t="str">
        <x:v>proposal.fire.rack</x:v>
      </x:c>
      <x:c r="B294" s="4" t="str">
        <x:f>IFERROR(INDEX(Items!$B$6:$B$1005,MATCH(A294,Items!$A$6:$A$1005,0)),"MISSING ITEM ID")</x:f>
        <x:v>Cooking rack</x:v>
      </x:c>
      <x:c r="C294" s="4" t="str">
        <x:f>IFERROR(INDEX(Items!$C$6:$C$1005,MATCH(A294,Items!$A$6:$A$1005,0)),"MISSING ITEM ID")</x:f>
        <x:v>Equipment</x:v>
      </x:c>
      <x:c r="D294" s="4" t="str">
        <x:v>Primary</x:v>
      </x:c>
      <x:c r="E294" s="4" t="str">
        <x:f>IFERROR(INDEX(Items!$Z$6:$Z$1005,MATCH(A294,Items!$A$6:$A$1005,0)),"MISSING ITEM ID")</x:f>
        <x:v>Cooking</x:v>
      </x:c>
      <x:c r="F294" s="4" t="str">
        <x:v>Catalog intent. Source/author distinction and fire constraints are recorded in Items.</x:v>
      </x:c>
    </x:row>
    <x:row r="295" ht="65" customHeight="1">
      <x:c r="A295" s="4" t="str">
        <x:v>proposal.fire.pot_stand</x:v>
      </x:c>
      <x:c r="B295" s="4" t="str">
        <x:f>IFERROR(INDEX(Items!$B$6:$B$1005,MATCH(A295,Items!$A$6:$A$1005,0)),"MISSING ITEM ID")</x:f>
        <x:v>Cooking pot stand</x:v>
      </x:c>
      <x:c r="C295" s="4" t="str">
        <x:f>IFERROR(INDEX(Items!$C$6:$C$1005,MATCH(A295,Items!$A$6:$A$1005,0)),"MISSING ITEM ID")</x:f>
        <x:v>Equipment</x:v>
      </x:c>
      <x:c r="D295" s="4" t="str">
        <x:v>Primary</x:v>
      </x:c>
      <x:c r="E295" s="4" t="str">
        <x:f>IFERROR(INDEX(Items!$Z$6:$Z$1005,MATCH(A295,Items!$A$6:$A$1005,0)),"MISSING ITEM ID")</x:f>
        <x:v>Cooking</x:v>
      </x:c>
      <x:c r="F295" s="4" t="str">
        <x:v>Catalog intent. Source/author distinction and fire constraints are recorded in Items.</x:v>
      </x:c>
    </x:row>
    <x:row r="296" ht="65" customHeight="1">
      <x:c r="A296" s="4" t="str">
        <x:v>proposal.fire.tongs</x:v>
      </x:c>
      <x:c r="B296" s="4" t="str">
        <x:f>IFERROR(INDEX(Items!$B$6:$B$1005,MATCH(A296,Items!$A$6:$A$1005,0)),"MISSING ITEM ID")</x:f>
        <x:v>Cooking tongs</x:v>
      </x:c>
      <x:c r="C296" s="4" t="str">
        <x:f>IFERROR(INDEX(Items!$C$6:$C$1005,MATCH(A296,Items!$A$6:$A$1005,0)),"MISSING ITEM ID")</x:f>
        <x:v>Equipment</x:v>
      </x:c>
      <x:c r="D296" s="4" t="str">
        <x:v>Primary</x:v>
      </x:c>
      <x:c r="E296" s="4" t="str">
        <x:f>IFERROR(INDEX(Items!$Z$6:$Z$1005,MATCH(A296,Items!$A$6:$A$1005,0)),"MISSING ITEM ID")</x:f>
        <x:v>Cooking</x:v>
      </x:c>
      <x:c r="F296" s="4" t="str">
        <x:v>Catalog intent. Source/author distinction and fire constraints are recorded in Items.</x:v>
      </x:c>
    </x:row>
    <x:row r="297" ht="65" customHeight="1">
      <x:c r="A297" s="4" t="str">
        <x:v>proposal.fire.firebox</x:v>
      </x:c>
      <x:c r="B297" s="4" t="str">
        <x:f>IFERROR(INDEX(Items!$B$6:$B$1005,MATCH(A297,Items!$A$6:$A$1005,0)),"MISSING ITEM ID")</x:f>
        <x:v>Managed cooking firebox</x:v>
      </x:c>
      <x:c r="C297" s="4" t="str">
        <x:f>IFERROR(INDEX(Items!$C$6:$C$1005,MATCH(A297,Items!$A$6:$A$1005,0)),"MISSING ITEM ID")</x:f>
        <x:v>Equipment</x:v>
      </x:c>
      <x:c r="D297" s="4" t="str">
        <x:v>Primary</x:v>
      </x:c>
      <x:c r="E297" s="4" t="str">
        <x:f>IFERROR(INDEX(Items!$Z$6:$Z$1005,MATCH(A297,Items!$A$6:$A$1005,0)),"MISSING ITEM ID")</x:f>
        <x:v>Cooking</x:v>
      </x:c>
      <x:c r="F297" s="4" t="str">
        <x:v>Catalog intent. Source/author distinction and fire constraints are recorded in Items.</x:v>
      </x:c>
    </x:row>
    <x:row r="298" ht="65" customHeight="1">
      <x:c r="A298" s="4" t="str">
        <x:v>proposal.fire.firebox</x:v>
      </x:c>
      <x:c r="B298" s="4" t="str">
        <x:f>IFERROR(INDEX(Items!$B$6:$B$1005,MATCH(A298,Items!$A$6:$A$1005,0)),"MISSING ITEM ID")</x:f>
        <x:v>Managed cooking firebox</x:v>
      </x:c>
      <x:c r="C298" s="4" t="str">
        <x:f>IFERROR(INDEX(Items!$C$6:$C$1005,MATCH(A298,Items!$A$6:$A$1005,0)),"MISSING ITEM ID")</x:f>
        <x:v>Equipment</x:v>
      </x:c>
      <x:c r="D298" s="4" t="str">
        <x:v>Secondary</x:v>
      </x:c>
      <x:c r="E298" s="4" t="str">
        <x:v>Fire management</x:v>
      </x:c>
      <x:c r="F298" s="4" t="str">
        <x:v>Catalog intent. Source/author distinction and fire constraints are recorded in Items.</x:v>
      </x:c>
    </x:row>
    <x:row r="299" ht="65" customHeight="1">
      <x:c r="A299" s="4" t="str">
        <x:v>proposal.fire.wind_baffle</x:v>
      </x:c>
      <x:c r="B299" s="4" t="str">
        <x:f>IFERROR(INDEX(Items!$B$6:$B$1005,MATCH(A299,Items!$A$6:$A$1005,0)),"MISSING ITEM ID")</x:f>
        <x:v>Cooking wind baffle</x:v>
      </x:c>
      <x:c r="C299" s="4" t="str">
        <x:f>IFERROR(INDEX(Items!$C$6:$C$1005,MATCH(A299,Items!$A$6:$A$1005,0)),"MISSING ITEM ID")</x:f>
        <x:v>Crafting components</x:v>
      </x:c>
      <x:c r="D299" s="4" t="str">
        <x:v>Primary</x:v>
      </x:c>
      <x:c r="E299" s="4" t="str">
        <x:f>IFERROR(INDEX(Items!$Z$6:$Z$1005,MATCH(A299,Items!$A$6:$A$1005,0)),"MISSING ITEM ID")</x:f>
        <x:v>Fire management</x:v>
      </x:c>
      <x:c r="F299" s="4" t="str">
        <x:v>Catalog intent. Source/author distinction and fire constraints are recorded in Items.</x:v>
      </x:c>
    </x:row>
    <x:row r="300" ht="65" customHeight="1">
      <x:c r="A300" s="4" t="str">
        <x:v>proposal.fire.wind_baffle</x:v>
      </x:c>
      <x:c r="B300" s="4" t="str">
        <x:f>IFERROR(INDEX(Items!$B$6:$B$1005,MATCH(A300,Items!$A$6:$A$1005,0)),"MISSING ITEM ID")</x:f>
        <x:v>Cooking wind baffle</x:v>
      </x:c>
      <x:c r="C300" s="4" t="str">
        <x:f>IFERROR(INDEX(Items!$C$6:$C$1005,MATCH(A300,Items!$A$6:$A$1005,0)),"MISSING ITEM ID")</x:f>
        <x:v>Crafting components</x:v>
      </x:c>
      <x:c r="D300" s="4" t="str">
        <x:v>Secondary</x:v>
      </x:c>
      <x:c r="E300" s="4" t="str">
        <x:v>Cooking</x:v>
      </x:c>
      <x:c r="F300" s="4" t="str">
        <x:v>Catalog intent. Source/author distinction and fire constraints are recorded in Items.</x:v>
      </x:c>
    </x:row>
    <x:row r="301" ht="65" customHeight="1">
      <x:c r="A301" s="4" t="str">
        <x:v>proposal.fire.draft_collar</x:v>
      </x:c>
      <x:c r="B301" s="4" t="str">
        <x:f>IFERROR(INDEX(Items!$B$6:$B$1005,MATCH(A301,Items!$A$6:$A$1005,0)),"MISSING ITEM ID")</x:f>
        <x:v>Cooking draft collar</x:v>
      </x:c>
      <x:c r="C301" s="4" t="str">
        <x:f>IFERROR(INDEX(Items!$C$6:$C$1005,MATCH(A301,Items!$A$6:$A$1005,0)),"MISSING ITEM ID")</x:f>
        <x:v>Crafting components</x:v>
      </x:c>
      <x:c r="D301" s="4" t="str">
        <x:v>Primary</x:v>
      </x:c>
      <x:c r="E301" s="4" t="str">
        <x:f>IFERROR(INDEX(Items!$Z$6:$Z$1005,MATCH(A301,Items!$A$6:$A$1005,0)),"MISSING ITEM ID")</x:f>
        <x:v>Fire management</x:v>
      </x:c>
      <x:c r="F301" s="4" t="str">
        <x:v>Catalog intent. Source/author distinction and fire constraints are recorded in Items.</x:v>
      </x:c>
    </x:row>
    <x:row r="302" ht="65" customHeight="1">
      <x:c r="A302" s="4" t="str">
        <x:v>proposal.fire.draft_collar</x:v>
      </x:c>
      <x:c r="B302" s="4" t="str">
        <x:f>IFERROR(INDEX(Items!$B$6:$B$1005,MATCH(A302,Items!$A$6:$A$1005,0)),"MISSING ITEM ID")</x:f>
        <x:v>Cooking draft collar</x:v>
      </x:c>
      <x:c r="C302" s="4" t="str">
        <x:f>IFERROR(INDEX(Items!$C$6:$C$1005,MATCH(A302,Items!$A$6:$A$1005,0)),"MISSING ITEM ID")</x:f>
        <x:v>Crafting components</x:v>
      </x:c>
      <x:c r="D302" s="4" t="str">
        <x:v>Secondary</x:v>
      </x:c>
      <x:c r="E302" s="4" t="str">
        <x:v>Cooking</x:v>
      </x:c>
      <x:c r="F302" s="4" t="str">
        <x:v>Catalog intent. Source/author distinction and fire constraints are recorded in Items.</x:v>
      </x:c>
    </x:row>
    <x:row r="303" ht="65" customHeight="1">
      <x:c r="A303" s="4" t="str">
        <x:v>proposal.fire.heat_shroud</x:v>
      </x:c>
      <x:c r="B303" s="4" t="str">
        <x:f>IFERROR(INDEX(Items!$B$6:$B$1005,MATCH(A303,Items!$A$6:$A$1005,0)),"MISSING ITEM ID")</x:f>
        <x:v>Cooking heat shroud</x:v>
      </x:c>
      <x:c r="C303" s="4" t="str">
        <x:f>IFERROR(INDEX(Items!$C$6:$C$1005,MATCH(A303,Items!$A$6:$A$1005,0)),"MISSING ITEM ID")</x:f>
        <x:v>Crafting components</x:v>
      </x:c>
      <x:c r="D303" s="4" t="str">
        <x:v>Primary</x:v>
      </x:c>
      <x:c r="E303" s="4" t="str">
        <x:f>IFERROR(INDEX(Items!$Z$6:$Z$1005,MATCH(A303,Items!$A$6:$A$1005,0)),"MISSING ITEM ID")</x:f>
        <x:v>Cooking</x:v>
      </x:c>
      <x:c r="F303" s="4" t="str">
        <x:v>Catalog intent. Source/author distinction and fire constraints are recorded in Items.</x:v>
      </x:c>
    </x:row>
    <x:row r="304" ht="65" customHeight="1">
      <x:c r="A304" s="4" t="str">
        <x:v>proposal.fire.heat_shroud</x:v>
      </x:c>
      <x:c r="B304" s="4" t="str">
        <x:f>IFERROR(INDEX(Items!$B$6:$B$1005,MATCH(A304,Items!$A$6:$A$1005,0)),"MISSING ITEM ID")</x:f>
        <x:v>Cooking heat shroud</x:v>
      </x:c>
      <x:c r="C304" s="4" t="str">
        <x:f>IFERROR(INDEX(Items!$C$6:$C$1005,MATCH(A304,Items!$A$6:$A$1005,0)),"MISSING ITEM ID")</x:f>
        <x:v>Crafting components</x:v>
      </x:c>
      <x:c r="D304" s="4" t="str">
        <x:v>Secondary</x:v>
      </x:c>
      <x:c r="E304" s="4" t="str">
        <x:v>Protective fabrication</x:v>
      </x:c>
      <x:c r="F304" s="4" t="str">
        <x:v>Catalog intent. Source/author distinction and fire constraints are recorded in Items.</x:v>
      </x:c>
    </x:row>
    <x:row r="305" ht="65" customHeight="1">
      <x:c r="A305" s="4" t="str">
        <x:v>proposal.fire.glow_holder</x:v>
      </x:c>
      <x:c r="B305" s="4" t="str">
        <x:f>IFERROR(INDEX(Items!$B$6:$B$1005,MATCH(A305,Items!$A$6:$A$1005,0)),"MISSING ITEM ID")</x:f>
        <x:v>Shuttered glow-stone holder</x:v>
      </x:c>
      <x:c r="C305" s="4" t="str">
        <x:f>IFERROR(INDEX(Items!$C$6:$C$1005,MATCH(A305,Items!$A$6:$A$1005,0)),"MISSING ITEM ID")</x:f>
        <x:v>Equipment</x:v>
      </x:c>
      <x:c r="D305" s="4" t="str">
        <x:v>Primary</x:v>
      </x:c>
      <x:c r="E305" s="4" t="str">
        <x:f>IFERROR(INDEX(Items!$Z$6:$Z$1005,MATCH(A305,Items!$A$6:$A$1005,0)),"MISSING ITEM ID")</x:f>
        <x:v>Illumination</x:v>
      </x:c>
      <x:c r="F305" s="4" t="str">
        <x:v>Catalog intent. Source/author distinction and fire constraints are recorded in Items.</x:v>
      </x:c>
    </x:row>
    <x:row r="306" ht="65" customHeight="1">
      <x:c r="A306" s="4" t="str">
        <x:v>proposal.lubricant.base</x:v>
      </x:c>
      <x:c r="B306" s="4" t="str">
        <x:f>IFERROR(INDEX(Items!$B$6:$B$1005,MATCH(A306,Items!$A$6:$A$1005,0)),"MISSING ITEM ID")</x:f>
        <x:v>Clarified faunal lubricant base</x:v>
      </x:c>
      <x:c r="C306" s="4" t="str">
        <x:f>IFERROR(INDEX(Items!$C$6:$C$1005,MATCH(A306,Items!$A$6:$A$1005,0)),"MISSING ITEM ID")</x:f>
        <x:v>Resources</x:v>
      </x:c>
      <x:c r="D306" s="4" t="str">
        <x:v>Primary</x:v>
      </x:c>
      <x:c r="E306" s="4" t="str">
        <x:f>IFERROR(INDEX(Items!$Z$6:$Z$1005,MATCH(A306,Items!$A$6:$A$1005,0)),"MISSING ITEM ID")</x:f>
        <x:v>Chemical processing</x:v>
      </x:c>
      <x:c r="F306" s="4" t="str">
        <x:v>Proposed industrial use. Exact compatibility, properties and refinement unresolved.</x:v>
      </x:c>
    </x:row>
    <x:row r="307" ht="65" customHeight="1">
      <x:c r="A307" s="4" t="str">
        <x:v>proposal.lubricant.base</x:v>
      </x:c>
      <x:c r="B307" s="4" t="str">
        <x:f>IFERROR(INDEX(Items!$B$6:$B$1005,MATCH(A307,Items!$A$6:$A$1005,0)),"MISSING ITEM ID")</x:f>
        <x:v>Clarified faunal lubricant base</x:v>
      </x:c>
      <x:c r="C307" s="4" t="str">
        <x:f>IFERROR(INDEX(Items!$C$6:$C$1005,MATCH(A307,Items!$A$6:$A$1005,0)),"MISSING ITEM ID")</x:f>
        <x:v>Resources</x:v>
      </x:c>
      <x:c r="D307" s="4" t="str">
        <x:v>Secondary</x:v>
      </x:c>
      <x:c r="E307" s="4" t="str">
        <x:v>Lubrication</x:v>
      </x:c>
      <x:c r="F307" s="4" t="str">
        <x:v>Proposed industrial use. Exact compatibility, properties and refinement unresolved.</x:v>
      </x:c>
    </x:row>
    <x:row r="308" ht="65" customHeight="1">
      <x:c r="A308" s="4" t="str">
        <x:v>proposal.lubricant.thickener</x:v>
      </x:c>
      <x:c r="B308" s="4" t="str">
        <x:f>IFERROR(INDEX(Items!$B$6:$B$1005,MATCH(A308,Items!$A$6:$A$1005,0)),"MISSING ITEM ID")</x:f>
        <x:v>Prepared secretion thickener</x:v>
      </x:c>
      <x:c r="C308" s="4" t="str">
        <x:f>IFERROR(INDEX(Items!$C$6:$C$1005,MATCH(A308,Items!$A$6:$A$1005,0)),"MISSING ITEM ID")</x:f>
        <x:v>Resources</x:v>
      </x:c>
      <x:c r="D308" s="4" t="str">
        <x:v>Primary</x:v>
      </x:c>
      <x:c r="E308" s="4" t="str">
        <x:f>IFERROR(INDEX(Items!$Z$6:$Z$1005,MATCH(A308,Items!$A$6:$A$1005,0)),"MISSING ITEM ID")</x:f>
        <x:v>Chemical processing</x:v>
      </x:c>
      <x:c r="F308" s="4" t="str">
        <x:v>Proposed industrial use. Exact compatibility, properties and refinement unresolved.</x:v>
      </x:c>
    </x:row>
    <x:row r="309" ht="65" customHeight="1">
      <x:c r="A309" s="4" t="str">
        <x:v>proposal.lubricant.thickener</x:v>
      </x:c>
      <x:c r="B309" s="4" t="str">
        <x:f>IFERROR(INDEX(Items!$B$6:$B$1005,MATCH(A309,Items!$A$6:$A$1005,0)),"MISSING ITEM ID")</x:f>
        <x:v>Prepared secretion thickener</x:v>
      </x:c>
      <x:c r="C309" s="4" t="str">
        <x:f>IFERROR(INDEX(Items!$C$6:$C$1005,MATCH(A309,Items!$A$6:$A$1005,0)),"MISSING ITEM ID")</x:f>
        <x:v>Resources</x:v>
      </x:c>
      <x:c r="D309" s="4" t="str">
        <x:v>Secondary</x:v>
      </x:c>
      <x:c r="E309" s="4" t="str">
        <x:v>Lubrication</x:v>
      </x:c>
      <x:c r="F309" s="4" t="str">
        <x:v>Proposed industrial use. Exact compatibility, properties and refinement unresolved.</x:v>
      </x:c>
    </x:row>
    <x:row r="310" ht="65" customHeight="1">
      <x:c r="A310" s="4" t="str">
        <x:v>proposal.lubricant.joint_grease</x:v>
      </x:c>
      <x:c r="B310" s="4" t="str">
        <x:f>IFERROR(INDEX(Items!$B$6:$B$1005,MATCH(A310,Items!$A$6:$A$1005,0)),"MISSING ITEM ID")</x:f>
        <x:v>Faunal joint grease</x:v>
      </x:c>
      <x:c r="C310" s="4" t="str">
        <x:f>IFERROR(INDEX(Items!$C$6:$C$1005,MATCH(A310,Items!$A$6:$A$1005,0)),"MISSING ITEM ID")</x:f>
        <x:v>Resources</x:v>
      </x:c>
      <x:c r="D310" s="4" t="str">
        <x:v>Primary</x:v>
      </x:c>
      <x:c r="E310" s="4" t="str">
        <x:f>IFERROR(INDEX(Items!$Z$6:$Z$1005,MATCH(A310,Items!$A$6:$A$1005,0)),"MISSING ITEM ID")</x:f>
        <x:v>Lubrication</x:v>
      </x:c>
      <x:c r="F310" s="4" t="str">
        <x:v>Proposed industrial use. Exact compatibility, properties and refinement unresolved.</x:v>
      </x:c>
    </x:row>
    <x:row r="311" ht="65" customHeight="1">
      <x:c r="A311" s="4" t="str">
        <x:v>proposal.lubricant.joint_grease</x:v>
      </x:c>
      <x:c r="B311" s="4" t="str">
        <x:f>IFERROR(INDEX(Items!$B$6:$B$1005,MATCH(A311,Items!$A$6:$A$1005,0)),"MISSING ITEM ID")</x:f>
        <x:v>Faunal joint grease</x:v>
      </x:c>
      <x:c r="C311" s="4" t="str">
        <x:f>IFERROR(INDEX(Items!$C$6:$C$1005,MATCH(A311,Items!$A$6:$A$1005,0)),"MISSING ITEM ID")</x:f>
        <x:v>Resources</x:v>
      </x:c>
      <x:c r="D311" s="4" t="str">
        <x:v>Secondary</x:v>
      </x:c>
      <x:c r="E311" s="4" t="str">
        <x:v>Equipment repair</x:v>
      </x:c>
      <x:c r="F311" s="4" t="str">
        <x:v>Proposed industrial use. Exact compatibility, properties and refinement unresolved.</x:v>
      </x:c>
    </x:row>
    <x:row r="312" ht="65" customHeight="1">
      <x:c r="A312" s="4" t="str">
        <x:v>proposal.lubricant.dust_film</x:v>
      </x:c>
      <x:c r="B312" s="4" t="str">
        <x:f>IFERROR(INDEX(Items!$B$6:$B$1005,MATCH(A312,Items!$A$6:$A$1005,0)),"MISSING ITEM ID")</x:f>
        <x:v>Dust-shedding lubricant film</x:v>
      </x:c>
      <x:c r="C312" s="4" t="str">
        <x:f>IFERROR(INDEX(Items!$C$6:$C$1005,MATCH(A312,Items!$A$6:$A$1005,0)),"MISSING ITEM ID")</x:f>
        <x:v>Resources</x:v>
      </x:c>
      <x:c r="D312" s="4" t="str">
        <x:v>Primary</x:v>
      </x:c>
      <x:c r="E312" s="4" t="str">
        <x:f>IFERROR(INDEX(Items!$Z$6:$Z$1005,MATCH(A312,Items!$A$6:$A$1005,0)),"MISSING ITEM ID")</x:f>
        <x:v>Lubrication</x:v>
      </x:c>
      <x:c r="F312" s="4" t="str">
        <x:v>Proposed industrial use. Exact compatibility, properties and refinement unresolved.</x:v>
      </x:c>
    </x:row>
    <x:row r="313" ht="65" customHeight="1">
      <x:c r="A313" s="4" t="str">
        <x:v>proposal.lubricant.dust_film</x:v>
      </x:c>
      <x:c r="B313" s="4" t="str">
        <x:f>IFERROR(INDEX(Items!$B$6:$B$1005,MATCH(A313,Items!$A$6:$A$1005,0)),"MISSING ITEM ID")</x:f>
        <x:v>Dust-shedding lubricant film</x:v>
      </x:c>
      <x:c r="C313" s="4" t="str">
        <x:f>IFERROR(INDEX(Items!$C$6:$C$1005,MATCH(A313,Items!$A$6:$A$1005,0)),"MISSING ITEM ID")</x:f>
        <x:v>Resources</x:v>
      </x:c>
      <x:c r="D313" s="4" t="str">
        <x:v>Secondary</x:v>
      </x:c>
      <x:c r="E313" s="4" t="str">
        <x:v>Dust exclusion</x:v>
      </x:c>
      <x:c r="F313" s="4" t="str">
        <x:v>Proposed industrial use. Exact compatibility, properties and refinement unresolved.</x:v>
      </x:c>
    </x:row>
    <x:row r="314" ht="65" customHeight="1">
      <x:c r="A314" s="4" t="str">
        <x:v>proposal.lubricant.seal_paste</x:v>
      </x:c>
      <x:c r="B314" s="4" t="str">
        <x:f>IFERROR(INDEX(Items!$B$6:$B$1005,MATCH(A314,Items!$A$6:$A$1005,0)),"MISSING ITEM ID")</x:f>
        <x:v>Seal-conditioning paste</x:v>
      </x:c>
      <x:c r="C314" s="4" t="str">
        <x:f>IFERROR(INDEX(Items!$C$6:$C$1005,MATCH(A314,Items!$A$6:$A$1005,0)),"MISSING ITEM ID")</x:f>
        <x:v>Resources</x:v>
      </x:c>
      <x:c r="D314" s="4" t="str">
        <x:v>Primary</x:v>
      </x:c>
      <x:c r="E314" s="4" t="str">
        <x:f>IFERROR(INDEX(Items!$Z$6:$Z$1005,MATCH(A314,Items!$A$6:$A$1005,0)),"MISSING ITEM ID")</x:f>
        <x:v>Lubrication</x:v>
      </x:c>
      <x:c r="F314" s="4" t="str">
        <x:v>Proposed industrial use. Exact compatibility, properties and refinement unresolved.</x:v>
      </x:c>
    </x:row>
    <x:row r="315" ht="65" customHeight="1">
      <x:c r="A315" s="4" t="str">
        <x:v>proposal.lubricant.seal_paste</x:v>
      </x:c>
      <x:c r="B315" s="4" t="str">
        <x:f>IFERROR(INDEX(Items!$B$6:$B$1005,MATCH(A315,Items!$A$6:$A$1005,0)),"MISSING ITEM ID")</x:f>
        <x:v>Seal-conditioning paste</x:v>
      </x:c>
      <x:c r="C315" s="4" t="str">
        <x:f>IFERROR(INDEX(Items!$C$6:$C$1005,MATCH(A315,Items!$A$6:$A$1005,0)),"MISSING ITEM ID")</x:f>
        <x:v>Resources</x:v>
      </x:c>
      <x:c r="D315" s="4" t="str">
        <x:v>Secondary</x:v>
      </x:c>
      <x:c r="E315" s="4" t="str">
        <x:v>Sealing</x:v>
      </x:c>
      <x:c r="F315" s="4" t="str">
        <x:v>Proposed industrial use. Exact compatibility, properties and refinement unresolved.</x:v>
      </x:c>
    </x:row>
    <x:row r="316" ht="65" customHeight="1">
      <x:c r="A316" s="4" t="str">
        <x:v>proposal.lubricant.graphite_grease</x:v>
      </x:c>
      <x:c r="B316" s="4" t="str">
        <x:f>IFERROR(INDEX(Items!$B$6:$B$1005,MATCH(A316,Items!$A$6:$A$1005,0)),"MISSING ITEM ID")</x:f>
        <x:v>Graphite faunal grease</x:v>
      </x:c>
      <x:c r="C316" s="4" t="str">
        <x:f>IFERROR(INDEX(Items!$C$6:$C$1005,MATCH(A316,Items!$A$6:$A$1005,0)),"MISSING ITEM ID")</x:f>
        <x:v>Resources</x:v>
      </x:c>
      <x:c r="D316" s="4" t="str">
        <x:v>Primary</x:v>
      </x:c>
      <x:c r="E316" s="4" t="str">
        <x:f>IFERROR(INDEX(Items!$Z$6:$Z$1005,MATCH(A316,Items!$A$6:$A$1005,0)),"MISSING ITEM ID")</x:f>
        <x:v>Lubrication</x:v>
      </x:c>
      <x:c r="F316" s="4" t="str">
        <x:v>Proposed industrial use. Exact compatibility, properties and refinement unresolved.</x:v>
      </x:c>
    </x:row>
    <x:row r="317" ht="65" customHeight="1">
      <x:c r="A317" s="4" t="str">
        <x:v>proposal.lubricant.graphite_grease</x:v>
      </x:c>
      <x:c r="B317" s="4" t="str">
        <x:f>IFERROR(INDEX(Items!$B$6:$B$1005,MATCH(A317,Items!$A$6:$A$1005,0)),"MISSING ITEM ID")</x:f>
        <x:v>Graphite faunal grease</x:v>
      </x:c>
      <x:c r="C317" s="4" t="str">
        <x:f>IFERROR(INDEX(Items!$C$6:$C$1005,MATCH(A317,Items!$A$6:$A$1005,0)),"MISSING ITEM ID")</x:f>
        <x:v>Resources</x:v>
      </x:c>
      <x:c r="D317" s="4" t="str">
        <x:v>Secondary</x:v>
      </x:c>
      <x:c r="E317" s="4" t="str">
        <x:v>Equipment repair</x:v>
      </x:c>
      <x:c r="F317" s="4" t="str">
        <x:v>Proposed industrial use. Exact compatibility, properties and refinement unresolved.</x:v>
      </x:c>
    </x:row>
    <x:row r="318" ht="65" customHeight="1">
      <x:c r="A318" s="4" t="str">
        <x:v>proposal.lubricant.insulating_grease</x:v>
      </x:c>
      <x:c r="B318" s="4" t="str">
        <x:f>IFERROR(INDEX(Items!$B$6:$B$1005,MATCH(A318,Items!$A$6:$A$1005,0)),"MISSING ITEM ID")</x:f>
        <x:v>Electrically insulating grease</x:v>
      </x:c>
      <x:c r="C318" s="4" t="str">
        <x:f>IFERROR(INDEX(Items!$C$6:$C$1005,MATCH(A318,Items!$A$6:$A$1005,0)),"MISSING ITEM ID")</x:f>
        <x:v>Resources</x:v>
      </x:c>
      <x:c r="D318" s="4" t="str">
        <x:v>Primary</x:v>
      </x:c>
      <x:c r="E318" s="4" t="str">
        <x:f>IFERROR(INDEX(Items!$Z$6:$Z$1005,MATCH(A318,Items!$A$6:$A$1005,0)),"MISSING ITEM ID")</x:f>
        <x:v>Lubrication</x:v>
      </x:c>
      <x:c r="F318" s="4" t="str">
        <x:v>Proposed industrial use. Exact compatibility, properties and refinement unresolved.</x:v>
      </x:c>
    </x:row>
    <x:row r="319" ht="65" customHeight="1">
      <x:c r="A319" s="4" t="str">
        <x:v>proposal.lubricant.insulating_grease</x:v>
      </x:c>
      <x:c r="B319" s="4" t="str">
        <x:f>IFERROR(INDEX(Items!$B$6:$B$1005,MATCH(A319,Items!$A$6:$A$1005,0)),"MISSING ITEM ID")</x:f>
        <x:v>Electrically insulating grease</x:v>
      </x:c>
      <x:c r="C319" s="4" t="str">
        <x:f>IFERROR(INDEX(Items!$C$6:$C$1005,MATCH(A319,Items!$A$6:$A$1005,0)),"MISSING ITEM ID")</x:f>
        <x:v>Resources</x:v>
      </x:c>
      <x:c r="D319" s="4" t="str">
        <x:v>Secondary</x:v>
      </x:c>
      <x:c r="E319" s="4" t="str">
        <x:v>Electrical insulation</x:v>
      </x:c>
      <x:c r="F319" s="4" t="str">
        <x:v>Proposed industrial use. Exact compatibility, properties and refinement unresolved.</x:v>
      </x:c>
    </x:row>
    <x:row r="320" ht="65" customHeight="1">
      <x:c r="A320" s="4" t="str">
        <x:v>proposal.lubricant.precision_oil</x:v>
      </x:c>
      <x:c r="B320" s="4" t="str">
        <x:f>IFERROR(INDEX(Items!$B$6:$B$1005,MATCH(A320,Items!$A$6:$A$1005,0)),"MISSING ITEM ID")</x:f>
        <x:v>Fine mechanism oil</x:v>
      </x:c>
      <x:c r="C320" s="4" t="str">
        <x:f>IFERROR(INDEX(Items!$C$6:$C$1005,MATCH(A320,Items!$A$6:$A$1005,0)),"MISSING ITEM ID")</x:f>
        <x:v>Resources</x:v>
      </x:c>
      <x:c r="D320" s="4" t="str">
        <x:v>Primary</x:v>
      </x:c>
      <x:c r="E320" s="4" t="str">
        <x:f>IFERROR(INDEX(Items!$Z$6:$Z$1005,MATCH(A320,Items!$A$6:$A$1005,0)),"MISSING ITEM ID")</x:f>
        <x:v>Lubrication</x:v>
      </x:c>
      <x:c r="F320" s="4" t="str">
        <x:v>Proposed industrial use. Exact compatibility, properties and refinement unresolved.</x:v>
      </x:c>
    </x:row>
    <x:row r="321" ht="65" customHeight="1">
      <x:c r="A321" s="4" t="str">
        <x:v>proposal.lubricant.precision_oil</x:v>
      </x:c>
      <x:c r="B321" s="4" t="str">
        <x:f>IFERROR(INDEX(Items!$B$6:$B$1005,MATCH(A321,Items!$A$6:$A$1005,0)),"MISSING ITEM ID")</x:f>
        <x:v>Fine mechanism oil</x:v>
      </x:c>
      <x:c r="C321" s="4" t="str">
        <x:f>IFERROR(INDEX(Items!$C$6:$C$1005,MATCH(A321,Items!$A$6:$A$1005,0)),"MISSING ITEM ID")</x:f>
        <x:v>Resources</x:v>
      </x:c>
      <x:c r="D321" s="4" t="str">
        <x:v>Secondary</x:v>
      </x:c>
      <x:c r="E321" s="4" t="str">
        <x:v>Equipment repair</x:v>
      </x:c>
      <x:c r="F321" s="4" t="str">
        <x:v>Proposed industrial use. Exact compatibility, properties and refinement unresolved.</x:v>
      </x:c>
    </x:row>
    <x:row r="322" ht="65" customHeight="1">
      <x:c r="A322" s="4" t="str">
        <x:v>proposal.wind.turbine</x:v>
      </x:c>
      <x:c r="B322" s="4" t="str">
        <x:f>IFERROR(INDEX(Items!$B$6:$B$1005,MATCH(A322,Items!$A$6:$A$1005,0)),"MISSING ITEM ID")</x:f>
        <x:v>Salvaged wind turbine</x:v>
      </x:c>
      <x:c r="C322" s="4" t="str">
        <x:f>IFERROR(INDEX(Items!$C$6:$C$1005,MATCH(A322,Items!$A$6:$A$1005,0)),"MISSING ITEM ID")</x:f>
        <x:v>Equipment</x:v>
      </x:c>
      <x:c r="D322" s="4" t="str">
        <x:v>Primary</x:v>
      </x:c>
      <x:c r="E322" s="4" t="str">
        <x:f>IFERROR(INDEX(Items!$Z$6:$Z$1005,MATCH(A322,Items!$A$6:$A$1005,0)),"MISSING ITEM ID")</x:f>
        <x:v>Wind power</x:v>
      </x:c>
      <x:c r="F322" s="4" t="str">
        <x:v>Author-directed family or proposed component. Runtime movement and energy behavior undefined.</x:v>
      </x:c>
    </x:row>
    <x:row r="323" ht="65" customHeight="1">
      <x:c r="A323" s="4" t="str">
        <x:v>proposal.wind.turbine</x:v>
      </x:c>
      <x:c r="B323" s="4" t="str">
        <x:f>IFERROR(INDEX(Items!$B$6:$B$1005,MATCH(A323,Items!$A$6:$A$1005,0)),"MISSING ITEM ID")</x:f>
        <x:v>Salvaged wind turbine</x:v>
      </x:c>
      <x:c r="C323" s="4" t="str">
        <x:f>IFERROR(INDEX(Items!$C$6:$C$1005,MATCH(A323,Items!$A$6:$A$1005,0)),"MISSING ITEM ID")</x:f>
        <x:v>Equipment</x:v>
      </x:c>
      <x:c r="D323" s="4" t="str">
        <x:v>Secondary</x:v>
      </x:c>
      <x:c r="E323" s="4" t="str">
        <x:v>Machinery drive</x:v>
      </x:c>
      <x:c r="F323" s="4" t="str">
        <x:v>Author-directed family or proposed component. Runtime movement and energy behavior undefined.</x:v>
      </x:c>
    </x:row>
    <x:row r="324" ht="65" customHeight="1">
      <x:c r="A324" s="4" t="str">
        <x:v>proposal.wind.sail_panel</x:v>
      </x:c>
      <x:c r="B324" s="4" t="str">
        <x:f>IFERROR(INDEX(Items!$B$6:$B$1005,MATCH(A324,Items!$A$6:$A$1005,0)),"MISSING ITEM ID")</x:f>
        <x:v>Prepared insect-wing sail panel</x:v>
      </x:c>
      <x:c r="C324" s="4" t="str">
        <x:f>IFERROR(INDEX(Items!$C$6:$C$1005,MATCH(A324,Items!$A$6:$A$1005,0)),"MISSING ITEM ID")</x:f>
        <x:v>Crafting components</x:v>
      </x:c>
      <x:c r="D324" s="4" t="str">
        <x:v>Primary</x:v>
      </x:c>
      <x:c r="E324" s="4" t="str">
        <x:f>IFERROR(INDEX(Items!$Z$6:$Z$1005,MATCH(A324,Items!$A$6:$A$1005,0)),"MISSING ITEM ID")</x:f>
        <x:v>Wind propulsion</x:v>
      </x:c>
      <x:c r="F324" s="4" t="str">
        <x:v>Author-directed family or proposed component. Runtime movement and energy behavior undefined.</x:v>
      </x:c>
    </x:row>
    <x:row r="325" ht="65" customHeight="1">
      <x:c r="A325" s="4" t="str">
        <x:v>proposal.wind.hand_sail</x:v>
      </x:c>
      <x:c r="B325" s="4" t="str">
        <x:f>IFERROR(INDEX(Items!$B$6:$B$1005,MATCH(A325,Items!$A$6:$A$1005,0)),"MISSING ITEM ID")</x:f>
        <x:v>Collapsible handheld wind sail</x:v>
      </x:c>
      <x:c r="C325" s="4" t="str">
        <x:f>IFERROR(INDEX(Items!$C$6:$C$1005,MATCH(A325,Items!$A$6:$A$1005,0)),"MISSING ITEM ID")</x:f>
        <x:v>Equipment</x:v>
      </x:c>
      <x:c r="D325" s="4" t="str">
        <x:v>Primary</x:v>
      </x:c>
      <x:c r="E325" s="4" t="str">
        <x:f>IFERROR(INDEX(Items!$Z$6:$Z$1005,MATCH(A325,Items!$A$6:$A$1005,0)),"MISSING ITEM ID")</x:f>
        <x:v>Wind propulsion</x:v>
      </x:c>
      <x:c r="F325" s="4" t="str">
        <x:v>Author-directed family or proposed component. Runtime movement and energy behavior undefined.</x:v>
      </x:c>
    </x:row>
    <x:row r="326" ht="65" customHeight="1">
      <x:c r="A326" s="4" t="str">
        <x:v>proposal.wind.hand_sail</x:v>
      </x:c>
      <x:c r="B326" s="4" t="str">
        <x:f>IFERROR(INDEX(Items!$B$6:$B$1005,MATCH(A326,Items!$A$6:$A$1005,0)),"MISSING ITEM ID")</x:f>
        <x:v>Collapsible handheld wind sail</x:v>
      </x:c>
      <x:c r="C326" s="4" t="str">
        <x:f>IFERROR(INDEX(Items!$C$6:$C$1005,MATCH(A326,Items!$A$6:$A$1005,0)),"MISSING ITEM ID")</x:f>
        <x:v>Equipment</x:v>
      </x:c>
      <x:c r="D326" s="4" t="str">
        <x:v>Secondary</x:v>
      </x:c>
      <x:c r="E326" s="4" t="str">
        <x:v>Traversal</x:v>
      </x:c>
      <x:c r="F326" s="4" t="str">
        <x:v>Author-directed family or proposed component. Runtime movement and energy behavior undefined.</x:v>
      </x:c>
    </x:row>
    <x:row r="327" ht="65" customHeight="1">
      <x:c r="A327" s="4" t="str">
        <x:v>proposal.wind.dirtboard</x:v>
      </x:c>
      <x:c r="B327" s="4" t="str">
        <x:f>IFERROR(INDEX(Items!$B$6:$B$1005,MATCH(A327,Items!$A$6:$A$1005,0)),"MISSING ITEM ID")</x:f>
        <x:v>Four-wheel all-terrain dirtboard</x:v>
      </x:c>
      <x:c r="C327" s="4" t="str">
        <x:f>IFERROR(INDEX(Items!$C$6:$C$1005,MATCH(A327,Items!$A$6:$A$1005,0)),"MISSING ITEM ID")</x:f>
        <x:v>Equipment</x:v>
      </x:c>
      <x:c r="D327" s="4" t="str">
        <x:v>Primary</x:v>
      </x:c>
      <x:c r="E327" s="4" t="str">
        <x:f>IFERROR(INDEX(Items!$Z$6:$Z$1005,MATCH(A327,Items!$A$6:$A$1005,0)),"MISSING ITEM ID")</x:f>
        <x:v>Traversal</x:v>
      </x:c>
      <x:c r="F327" s="4" t="str">
        <x:v>Author-directed family or proposed component. Runtime movement and energy behavior undefined.</x:v>
      </x:c>
    </x:row>
    <x:row r="328" ht="65" customHeight="1">
      <x:c r="A328" s="4" t="str">
        <x:v>proposal.wind.dirtboard</x:v>
      </x:c>
      <x:c r="B328" s="4" t="str">
        <x:f>IFERROR(INDEX(Items!$B$6:$B$1005,MATCH(A328,Items!$A$6:$A$1005,0)),"MISSING ITEM ID")</x:f>
        <x:v>Four-wheel all-terrain dirtboard</x:v>
      </x:c>
      <x:c r="C328" s="4" t="str">
        <x:f>IFERROR(INDEX(Items!$C$6:$C$1005,MATCH(A328,Items!$A$6:$A$1005,0)),"MISSING ITEM ID")</x:f>
        <x:v>Equipment</x:v>
      </x:c>
      <x:c r="D328" s="4" t="str">
        <x:v>Secondary</x:v>
      </x:c>
      <x:c r="E328" s="4" t="str">
        <x:v>Wind propulsion</x:v>
      </x:c>
      <x:c r="F328" s="4" t="str">
        <x:v>Author-directed family or proposed component. Runtime movement and energy behavior undefined.</x:v>
      </x:c>
    </x:row>
    <x:row r="329" ht="65" customHeight="1">
      <x:c r="A329" s="4" t="str">
        <x:v>proposal.wind.folding_frame</x:v>
      </x:c>
      <x:c r="B329" s="4" t="str">
        <x:f>IFERROR(INDEX(Items!$B$6:$B$1005,MATCH(A329,Items!$A$6:$A$1005,0)),"MISSING ITEM ID")</x:f>
        <x:v>Collapsible sail frame</x:v>
      </x:c>
      <x:c r="C329" s="4" t="str">
        <x:f>IFERROR(INDEX(Items!$C$6:$C$1005,MATCH(A329,Items!$A$6:$A$1005,0)),"MISSING ITEM ID")</x:f>
        <x:v>Crafting components</x:v>
      </x:c>
      <x:c r="D329" s="4" t="str">
        <x:v>Primary</x:v>
      </x:c>
      <x:c r="E329" s="4" t="str">
        <x:f>IFERROR(INDEX(Items!$Z$6:$Z$1005,MATCH(A329,Items!$A$6:$A$1005,0)),"MISSING ITEM ID")</x:f>
        <x:v>Equipment fabrication</x:v>
      </x:c>
      <x:c r="F329" s="4" t="str">
        <x:v>Author-directed family or proposed component. Runtime movement and energy behavior undefined.</x:v>
      </x:c>
    </x:row>
    <x:row r="330" ht="65" customHeight="1">
      <x:c r="A330" s="4" t="str">
        <x:v>proposal.wind.sail_grip</x:v>
      </x:c>
      <x:c r="B330" s="4" t="str">
        <x:f>IFERROR(INDEX(Items!$B$6:$B$1005,MATCH(A330,Items!$A$6:$A$1005,0)),"MISSING ITEM ID")</x:f>
        <x:v>Hand-sail grip assembly</x:v>
      </x:c>
      <x:c r="C330" s="4" t="str">
        <x:f>IFERROR(INDEX(Items!$C$6:$C$1005,MATCH(A330,Items!$A$6:$A$1005,0)),"MISSING ITEM ID")</x:f>
        <x:v>Crafting components</x:v>
      </x:c>
      <x:c r="D330" s="4" t="str">
        <x:v>Primary</x:v>
      </x:c>
      <x:c r="E330" s="4" t="str">
        <x:f>IFERROR(INDEX(Items!$Z$6:$Z$1005,MATCH(A330,Items!$A$6:$A$1005,0)),"MISSING ITEM ID")</x:f>
        <x:v>Equipment fabrication</x:v>
      </x:c>
      <x:c r="F330" s="4" t="str">
        <x:v>Author-directed family or proposed component. Runtime movement and energy behavior undefined.</x:v>
      </x:c>
    </x:row>
    <x:row r="331" ht="65" customHeight="1">
      <x:c r="A331" s="4" t="str">
        <x:v>proposal.wind.sail_grip</x:v>
      </x:c>
      <x:c r="B331" s="4" t="str">
        <x:f>IFERROR(INDEX(Items!$B$6:$B$1005,MATCH(A331,Items!$A$6:$A$1005,0)),"MISSING ITEM ID")</x:f>
        <x:v>Hand-sail grip assembly</x:v>
      </x:c>
      <x:c r="C331" s="4" t="str">
        <x:f>IFERROR(INDEX(Items!$C$6:$C$1005,MATCH(A331,Items!$A$6:$A$1005,0)),"MISSING ITEM ID")</x:f>
        <x:v>Crafting components</x:v>
      </x:c>
      <x:c r="D331" s="4" t="str">
        <x:v>Secondary</x:v>
      </x:c>
      <x:c r="E331" s="4" t="str">
        <x:v>Equipment mounting</x:v>
      </x:c>
      <x:c r="F331" s="4" t="str">
        <x:v>Author-directed family or proposed component. Runtime movement and energy behavior undefined.</x:v>
      </x:c>
    </x:row>
    <x:row r="332" ht="65" customHeight="1">
      <x:c r="A332" s="4" t="str">
        <x:v>proposal.wind.wheel</x:v>
      </x:c>
      <x:c r="B332" s="4" t="str">
        <x:f>IFERROR(INDEX(Items!$B$6:$B$1005,MATCH(A332,Items!$A$6:$A$1005,0)),"MISSING ITEM ID")</x:f>
        <x:v>Dirtboard wheel assembly</x:v>
      </x:c>
      <x:c r="C332" s="4" t="str">
        <x:f>IFERROR(INDEX(Items!$C$6:$C$1005,MATCH(A332,Items!$A$6:$A$1005,0)),"MISSING ITEM ID")</x:f>
        <x:v>Crafting components</x:v>
      </x:c>
      <x:c r="D332" s="4" t="str">
        <x:v>Primary</x:v>
      </x:c>
      <x:c r="E332" s="4" t="str">
        <x:f>IFERROR(INDEX(Items!$Z$6:$Z$1005,MATCH(A332,Items!$A$6:$A$1005,0)),"MISSING ITEM ID")</x:f>
        <x:v>Equipment fabrication</x:v>
      </x:c>
      <x:c r="F332" s="4" t="str">
        <x:v>Author-directed family or proposed component. Runtime movement and energy behavior undefined.</x:v>
      </x:c>
    </x:row>
    <x:row r="333" ht="65" customHeight="1">
      <x:c r="A333" s="4" t="str">
        <x:v>proposal.wind.wheel</x:v>
      </x:c>
      <x:c r="B333" s="4" t="str">
        <x:f>IFERROR(INDEX(Items!$B$6:$B$1005,MATCH(A333,Items!$A$6:$A$1005,0)),"MISSING ITEM ID")</x:f>
        <x:v>Dirtboard wheel assembly</x:v>
      </x:c>
      <x:c r="C333" s="4" t="str">
        <x:f>IFERROR(INDEX(Items!$C$6:$C$1005,MATCH(A333,Items!$A$6:$A$1005,0)),"MISSING ITEM ID")</x:f>
        <x:v>Crafting components</x:v>
      </x:c>
      <x:c r="D333" s="4" t="str">
        <x:v>Secondary</x:v>
      </x:c>
      <x:c r="E333" s="4" t="str">
        <x:v>Equipment repair</x:v>
      </x:c>
      <x:c r="F333" s="4" t="str">
        <x:v>Author-directed family or proposed component. Runtime movement and energy behavior undefined.</x:v>
      </x:c>
    </x:row>
    <x:row r="334" ht="65" customHeight="1">
      <x:c r="A334" s="4" t="str">
        <x:v>proposal.wind.truck</x:v>
      </x:c>
      <x:c r="B334" s="4" t="str">
        <x:f>IFERROR(INDEX(Items!$B$6:$B$1005,MATCH(A334,Items!$A$6:$A$1005,0)),"MISSING ITEM ID")</x:f>
        <x:v>Dirtboard axle / steering assembly</x:v>
      </x:c>
      <x:c r="C334" s="4" t="str">
        <x:f>IFERROR(INDEX(Items!$C$6:$C$1005,MATCH(A334,Items!$A$6:$A$1005,0)),"MISSING ITEM ID")</x:f>
        <x:v>Crafting components</x:v>
      </x:c>
      <x:c r="D334" s="4" t="str">
        <x:v>Primary</x:v>
      </x:c>
      <x:c r="E334" s="4" t="str">
        <x:f>IFERROR(INDEX(Items!$Z$6:$Z$1005,MATCH(A334,Items!$A$6:$A$1005,0)),"MISSING ITEM ID")</x:f>
        <x:v>Equipment fabrication</x:v>
      </x:c>
      <x:c r="F334" s="4" t="str">
        <x:v>Author-directed family or proposed component. Runtime movement and energy behavior undefined.</x:v>
      </x:c>
    </x:row>
    <x:row r="335" ht="65" customHeight="1">
      <x:c r="A335" s="4" t="str">
        <x:v>proposal.wind.truck</x:v>
      </x:c>
      <x:c r="B335" s="4" t="str">
        <x:f>IFERROR(INDEX(Items!$B$6:$B$1005,MATCH(A335,Items!$A$6:$A$1005,0)),"MISSING ITEM ID")</x:f>
        <x:v>Dirtboard axle / steering assembly</x:v>
      </x:c>
      <x:c r="C335" s="4" t="str">
        <x:f>IFERROR(INDEX(Items!$C$6:$C$1005,MATCH(A335,Items!$A$6:$A$1005,0)),"MISSING ITEM ID")</x:f>
        <x:v>Crafting components</x:v>
      </x:c>
      <x:c r="D335" s="4" t="str">
        <x:v>Secondary</x:v>
      </x:c>
      <x:c r="E335" s="4" t="str">
        <x:v>Equipment repair</x:v>
      </x:c>
      <x:c r="F335" s="4" t="str">
        <x:v>Author-directed family or proposed component. Runtime movement and energy behavior undefined.</x:v>
      </x:c>
    </x:row>
    <x:row r="336" ht="65" customHeight="1">
      <x:c r="A336" s="4" t="str">
        <x:v>proposal.wind.rotor</x:v>
      </x:c>
      <x:c r="B336" s="4" t="str">
        <x:f>IFERROR(INDEX(Items!$B$6:$B$1005,MATCH(A336,Items!$A$6:$A$1005,0)),"MISSING ITEM ID")</x:f>
        <x:v>Salvaged turbine rotor assembly</x:v>
      </x:c>
      <x:c r="C336" s="4" t="str">
        <x:f>IFERROR(INDEX(Items!$C$6:$C$1005,MATCH(A336,Items!$A$6:$A$1005,0)),"MISSING ITEM ID")</x:f>
        <x:v>Crafting components</x:v>
      </x:c>
      <x:c r="D336" s="4" t="str">
        <x:v>Primary</x:v>
      </x:c>
      <x:c r="E336" s="4" t="str">
        <x:f>IFERROR(INDEX(Items!$Z$6:$Z$1005,MATCH(A336,Items!$A$6:$A$1005,0)),"MISSING ITEM ID")</x:f>
        <x:v>Equipment fabrication</x:v>
      </x:c>
      <x:c r="F336" s="4" t="str">
        <x:v>Author-directed family or proposed component. Runtime movement and energy behavior undefined.</x:v>
      </x:c>
    </x:row>
    <x:row r="337" ht="65" customHeight="1">
      <x:c r="A337" s="4" t="str">
        <x:v>proposal.wind.rotor</x:v>
      </x:c>
      <x:c r="B337" s="4" t="str">
        <x:f>IFERROR(INDEX(Items!$B$6:$B$1005,MATCH(A337,Items!$A$6:$A$1005,0)),"MISSING ITEM ID")</x:f>
        <x:v>Salvaged turbine rotor assembly</x:v>
      </x:c>
      <x:c r="C337" s="4" t="str">
        <x:f>IFERROR(INDEX(Items!$C$6:$C$1005,MATCH(A337,Items!$A$6:$A$1005,0)),"MISSING ITEM ID")</x:f>
        <x:v>Crafting components</x:v>
      </x:c>
      <x:c r="D337" s="4" t="str">
        <x:v>Secondary</x:v>
      </x:c>
      <x:c r="E337" s="4" t="str">
        <x:v>Wind power</x:v>
      </x:c>
      <x:c r="F337" s="4" t="str">
        <x:v>Author-directed family or proposed component. Runtime movement and energy behavior undefined.</x:v>
      </x:c>
    </x:row>
    <x:row r="338" ht="65" customHeight="1">
      <x:c r="A338" s="4" t="str">
        <x:v>proposal.wind.generator</x:v>
      </x:c>
      <x:c r="B338" s="4" t="str">
        <x:f>IFERROR(INDEX(Items!$B$6:$B$1005,MATCH(A338,Items!$A$6:$A$1005,0)),"MISSING ITEM ID")</x:f>
        <x:v>Salvaged generator assembly</x:v>
      </x:c>
      <x:c r="C338" s="4" t="str">
        <x:f>IFERROR(INDEX(Items!$C$6:$C$1005,MATCH(A338,Items!$A$6:$A$1005,0)),"MISSING ITEM ID")</x:f>
        <x:v>Crafting components</x:v>
      </x:c>
      <x:c r="D338" s="4" t="str">
        <x:v>Primary</x:v>
      </x:c>
      <x:c r="E338" s="4" t="str">
        <x:f>IFERROR(INDEX(Items!$Z$6:$Z$1005,MATCH(A338,Items!$A$6:$A$1005,0)),"MISSING ITEM ID")</x:f>
        <x:v>Energy processing</x:v>
      </x:c>
      <x:c r="F338" s="4" t="str">
        <x:v>Author-directed family or proposed component. Runtime movement and energy behavior undefined.</x:v>
      </x:c>
    </x:row>
    <x:row r="339" ht="65" customHeight="1">
      <x:c r="A339" s="4" t="str">
        <x:v>proposal.wind.generator</x:v>
      </x:c>
      <x:c r="B339" s="4" t="str">
        <x:f>IFERROR(INDEX(Items!$B$6:$B$1005,MATCH(A339,Items!$A$6:$A$1005,0)),"MISSING ITEM ID")</x:f>
        <x:v>Salvaged generator assembly</x:v>
      </x:c>
      <x:c r="C339" s="4" t="str">
        <x:f>IFERROR(INDEX(Items!$C$6:$C$1005,MATCH(A339,Items!$A$6:$A$1005,0)),"MISSING ITEM ID")</x:f>
        <x:v>Crafting components</x:v>
      </x:c>
      <x:c r="D339" s="4" t="str">
        <x:v>Secondary</x:v>
      </x:c>
      <x:c r="E339" s="4" t="str">
        <x:v>Wind power</x:v>
      </x:c>
      <x:c r="F339" s="4" t="str">
        <x:v>Author-directed family or proposed component. Runtime movement and energy behavior undefined.</x:v>
      </x:c>
    </x:row>
    <x:row r="340" ht="65" customHeight="1">
      <x:c r="A340" s="3" t="str">
        <x:v>proposal.bio.inner_wing</x:v>
      </x:c>
      <x:c r="B340" s="3" t="str">
        <x:f>IFERROR(INDEX(Items!$B$6:$B$1005,MATCH(A340,Items!$A$6:$A$1005,0)),"MISSING ITEM ID")</x:f>
        <x:v>Delicate inner wing</x:v>
      </x:c>
      <x:c r="C340" s="3" t="str">
        <x:f>IFERROR(INDEX(Items!$C$6:$C$1005,MATCH(A340,Items!$A$6:$A$1005,0)),"MISSING ITEM ID")</x:f>
        <x:v>Resources</x:v>
      </x:c>
      <x:c r="D340" s="3" t="str">
        <x:v>Secondary</x:v>
      </x:c>
      <x:c r="E340" s="3" t="str">
        <x:v>Wind propulsion</x:v>
      </x:c>
      <x:c r="F340" s="3" t="str">
        <x:v>Author direction: delicate insectoid wings supply sails as well as shade material.</x:v>
      </x:c>
    </x:row>
    <x:row r="341" ht="65" customHeight="1">
      <x:c r="A341" s="3" t="str">
        <x:v>proposal.legger.sling</x:v>
      </x:c>
      <x:c r="B341" s="3" t="str">
        <x:f>IFERROR(INDEX(Items!$B$6:$B$1005,MATCH(A341,Items!$A$6:$A$1005,0)),"MISSING ITEM ID")</x:f>
        <x:v>Legger cargo sling</x:v>
      </x:c>
      <x:c r="C341" s="3" t="str">
        <x:f>IFERROR(INDEX(Items!$C$6:$C$1005,MATCH(A341,Items!$A$6:$A$1005,0)),"MISSING ITEM ID")</x:f>
        <x:v>Equipment</x:v>
      </x:c>
      <x:c r="D341" s="3" t="str">
        <x:v>Primary</x:v>
      </x:c>
      <x:c r="E341" s="3" t="str">
        <x:f>IFERROR(INDEX(Items!$Z$6:$Z$1005,MATCH(A341,Items!$A$6:$A$1005,0)),"MISSING ITEM ID")</x:f>
        <x:v>Cargo organization</x:v>
      </x:c>
      <x:c r="F341" s="3" t="str">
        <x:v>Legger-specific proposal; intended use is not an implemented companion ability.</x:v>
      </x:c>
    </x:row>
    <x:row r="342" ht="65" customHeight="1">
      <x:c r="A342" s="3" t="str">
        <x:v>proposal.legger.sling</x:v>
      </x:c>
      <x:c r="B342" s="3" t="str">
        <x:f>IFERROR(INDEX(Items!$B$6:$B$1005,MATCH(A342,Items!$A$6:$A$1005,0)),"MISSING ITEM ID")</x:f>
        <x:v>Legger cargo sling</x:v>
      </x:c>
      <x:c r="C342" s="3" t="str">
        <x:f>IFERROR(INDEX(Items!$C$6:$C$1005,MATCH(A342,Items!$A$6:$A$1005,0)),"MISSING ITEM ID")</x:f>
        <x:v>Equipment</x:v>
      </x:c>
      <x:c r="D342" s="3" t="str">
        <x:v>Secondary</x:v>
      </x:c>
      <x:c r="E342" s="3" t="str">
        <x:v>Equipment mounting</x:v>
      </x:c>
      <x:c r="F342" s="3" t="str">
        <x:v>Legger-specific proposal; intended use is not an implemented companion ability.</x:v>
      </x:c>
    </x:row>
    <x:row r="343" ht="65" customHeight="1">
      <x:c r="A343" s="3" t="str">
        <x:v>proposal.legger.cradle</x:v>
      </x:c>
      <x:c r="B343" s="3" t="str">
        <x:f>IFERROR(INDEX(Items!$B$6:$B$1005,MATCH(A343,Items!$A$6:$A$1005,0)),"MISSING ITEM ID")</x:f>
        <x:v>Legger rigid cargo cradle</x:v>
      </x:c>
      <x:c r="C343" s="3" t="str">
        <x:f>IFERROR(INDEX(Items!$C$6:$C$1005,MATCH(A343,Items!$A$6:$A$1005,0)),"MISSING ITEM ID")</x:f>
        <x:v>Equipment</x:v>
      </x:c>
      <x:c r="D343" s="3" t="str">
        <x:v>Primary</x:v>
      </x:c>
      <x:c r="E343" s="3" t="str">
        <x:f>IFERROR(INDEX(Items!$Z$6:$Z$1005,MATCH(A343,Items!$A$6:$A$1005,0)),"MISSING ITEM ID")</x:f>
        <x:v>Cargo organization</x:v>
      </x:c>
      <x:c r="F343" s="3" t="str">
        <x:v>Legger-specific proposal; intended use is not an implemented companion ability.</x:v>
      </x:c>
    </x:row>
    <x:row r="344" ht="65" customHeight="1">
      <x:c r="A344" s="3" t="str">
        <x:v>proposal.legger.cradle</x:v>
      </x:c>
      <x:c r="B344" s="3" t="str">
        <x:f>IFERROR(INDEX(Items!$B$6:$B$1005,MATCH(A344,Items!$A$6:$A$1005,0)),"MISSING ITEM ID")</x:f>
        <x:v>Legger rigid cargo cradle</x:v>
      </x:c>
      <x:c r="C344" s="3" t="str">
        <x:f>IFERROR(INDEX(Items!$C$6:$C$1005,MATCH(A344,Items!$A$6:$A$1005,0)),"MISSING ITEM ID")</x:f>
        <x:v>Equipment</x:v>
      </x:c>
      <x:c r="D344" s="3" t="str">
        <x:v>Secondary</x:v>
      </x:c>
      <x:c r="E344" s="3" t="str">
        <x:v>Equipment mounting</x:v>
      </x:c>
      <x:c r="F344" s="3" t="str">
        <x:v>Legger-specific proposal; intended use is not an implemented companion ability.</x:v>
      </x:c>
    </x:row>
    <x:row r="345" ht="65" customHeight="1">
      <x:c r="A345" s="3" t="str">
        <x:v>proposal.legger.anchors</x:v>
      </x:c>
      <x:c r="B345" s="3" t="str">
        <x:f>IFERROR(INDEX(Items!$B$6:$B$1005,MATCH(A345,Items!$A$6:$A$1005,0)),"MISSING ITEM ID")</x:f>
        <x:v>Legger lashing-anchor set</x:v>
      </x:c>
      <x:c r="C345" s="3" t="str">
        <x:f>IFERROR(INDEX(Items!$C$6:$C$1005,MATCH(A345,Items!$A$6:$A$1005,0)),"MISSING ITEM ID")</x:f>
        <x:v>Crafting components</x:v>
      </x:c>
      <x:c r="D345" s="3" t="str">
        <x:v>Primary</x:v>
      </x:c>
      <x:c r="E345" s="3" t="str">
        <x:f>IFERROR(INDEX(Items!$Z$6:$Z$1005,MATCH(A345,Items!$A$6:$A$1005,0)),"MISSING ITEM ID")</x:f>
        <x:v>Equipment mounting</x:v>
      </x:c>
      <x:c r="F345" s="3" t="str">
        <x:v>Legger-specific proposal; intended use is not an implemented companion ability.</x:v>
      </x:c>
    </x:row>
    <x:row r="346" ht="65" customHeight="1">
      <x:c r="A346" s="3" t="str">
        <x:v>proposal.legger.balance_link</x:v>
      </x:c>
      <x:c r="B346" s="3" t="str">
        <x:f>IFERROR(INDEX(Items!$B$6:$B$1005,MATCH(A346,Items!$A$6:$A$1005,0)),"MISSING ITEM ID")</x:f>
        <x:v>Legger load-balance linkage</x:v>
      </x:c>
      <x:c r="C346" s="3" t="str">
        <x:f>IFERROR(INDEX(Items!$C$6:$C$1005,MATCH(A346,Items!$A$6:$A$1005,0)),"MISSING ITEM ID")</x:f>
        <x:v>Crafting components</x:v>
      </x:c>
      <x:c r="D346" s="3" t="str">
        <x:v>Primary</x:v>
      </x:c>
      <x:c r="E346" s="3" t="str">
        <x:f>IFERROR(INDEX(Items!$Z$6:$Z$1005,MATCH(A346,Items!$A$6:$A$1005,0)),"MISSING ITEM ID")</x:f>
        <x:v>Cargo organization</x:v>
      </x:c>
      <x:c r="F346" s="3" t="str">
        <x:v>Legger-specific proposal; intended use is not an implemented companion ability.</x:v>
      </x:c>
    </x:row>
    <x:row r="347" ht="65" customHeight="1">
      <x:c r="A347" s="3" t="str">
        <x:v>proposal.legger.balance_link</x:v>
      </x:c>
      <x:c r="B347" s="3" t="str">
        <x:f>IFERROR(INDEX(Items!$B$6:$B$1005,MATCH(A347,Items!$A$6:$A$1005,0)),"MISSING ITEM ID")</x:f>
        <x:v>Legger load-balance linkage</x:v>
      </x:c>
      <x:c r="C347" s="3" t="str">
        <x:f>IFERROR(INDEX(Items!$C$6:$C$1005,MATCH(A347,Items!$A$6:$A$1005,0)),"MISSING ITEM ID")</x:f>
        <x:v>Crafting components</x:v>
      </x:c>
      <x:c r="D347" s="3" t="str">
        <x:v>Secondary</x:v>
      </x:c>
      <x:c r="E347" s="3" t="str">
        <x:v>Equipment mounting</x:v>
      </x:c>
      <x:c r="F347" s="3" t="str">
        <x:v>Legger-specific proposal; intended use is not an implemented companion ability.</x:v>
      </x:c>
    </x:row>
    <x:row r="348" ht="65" customHeight="1">
      <x:c r="A348" s="3" t="str">
        <x:v>proposal.legger.iron_rib</x:v>
      </x:c>
      <x:c r="B348" s="3" t="str">
        <x:f>IFERROR(INDEX(Items!$B$6:$B$1005,MATCH(A348,Items!$A$6:$A$1005,0)),"MISSING ITEM ID")</x:f>
        <x:v>Iron chassis replacement rib</x:v>
      </x:c>
      <x:c r="C348" s="3" t="str">
        <x:f>IFERROR(INDEX(Items!$C$6:$C$1005,MATCH(A348,Items!$A$6:$A$1005,0)),"MISSING ITEM ID")</x:f>
        <x:v>Crafting components</x:v>
      </x:c>
      <x:c r="D348" s="3" t="str">
        <x:v>Primary</x:v>
      </x:c>
      <x:c r="E348" s="3" t="str">
        <x:f>IFERROR(INDEX(Items!$Z$6:$Z$1005,MATCH(A348,Items!$A$6:$A$1005,0)),"MISSING ITEM ID")</x:f>
        <x:v>Equipment repair</x:v>
      </x:c>
      <x:c r="F348" s="3" t="str">
        <x:v>Legger-specific proposal; intended use is not an implemented companion ability.</x:v>
      </x:c>
    </x:row>
    <x:row r="349" ht="65" customHeight="1">
      <x:c r="A349" s="3" t="str">
        <x:v>proposal.legger.crossbrace</x:v>
      </x:c>
      <x:c r="B349" s="3" t="str">
        <x:f>IFERROR(INDEX(Items!$B$6:$B$1005,MATCH(A349,Items!$A$6:$A$1005,0)),"MISSING ITEM ID")</x:f>
        <x:v>Chassis crossbrace</x:v>
      </x:c>
      <x:c r="C349" s="3" t="str">
        <x:f>IFERROR(INDEX(Items!$C$6:$C$1005,MATCH(A349,Items!$A$6:$A$1005,0)),"MISSING ITEM ID")</x:f>
        <x:v>Crafting components</x:v>
      </x:c>
      <x:c r="D349" s="3" t="str">
        <x:v>Primary</x:v>
      </x:c>
      <x:c r="E349" s="3" t="str">
        <x:f>IFERROR(INDEX(Items!$Z$6:$Z$1005,MATCH(A349,Items!$A$6:$A$1005,0)),"MISSING ITEM ID")</x:f>
        <x:v>Equipment repair</x:v>
      </x:c>
      <x:c r="F349" s="3" t="str">
        <x:v>Legger-specific proposal; intended use is not an implemented companion ability.</x:v>
      </x:c>
    </x:row>
    <x:row r="350" ht="65" customHeight="1">
      <x:c r="A350" s="3" t="str">
        <x:v>proposal.legger.crossbrace</x:v>
      </x:c>
      <x:c r="B350" s="3" t="str">
        <x:f>IFERROR(INDEX(Items!$B$6:$B$1005,MATCH(A350,Items!$A$6:$A$1005,0)),"MISSING ITEM ID")</x:f>
        <x:v>Chassis crossbrace</x:v>
      </x:c>
      <x:c r="C350" s="3" t="str">
        <x:f>IFERROR(INDEX(Items!$C$6:$C$1005,MATCH(A350,Items!$A$6:$A$1005,0)),"MISSING ITEM ID")</x:f>
        <x:v>Crafting components</x:v>
      </x:c>
      <x:c r="D350" s="3" t="str">
        <x:v>Secondary</x:v>
      </x:c>
      <x:c r="E350" s="3" t="str">
        <x:v>Equipment fabrication</x:v>
      </x:c>
      <x:c r="F350" s="3" t="str">
        <x:v>Legger-specific proposal; intended use is not an implemented companion ability.</x:v>
      </x:c>
    </x:row>
    <x:row r="351" ht="65" customHeight="1">
      <x:c r="A351" s="3" t="str">
        <x:v>proposal.legger.belly_pan</x:v>
      </x:c>
      <x:c r="B351" s="3" t="str">
        <x:f>IFERROR(INDEX(Items!$B$6:$B$1005,MATCH(A351,Items!$A$6:$A$1005,0)),"MISSING ITEM ID")</x:f>
        <x:v>Legger chassis belly pan</x:v>
      </x:c>
      <x:c r="C351" s="3" t="str">
        <x:f>IFERROR(INDEX(Items!$C$6:$C$1005,MATCH(A351,Items!$A$6:$A$1005,0)),"MISSING ITEM ID")</x:f>
        <x:v>Equipment</x:v>
      </x:c>
      <x:c r="D351" s="3" t="str">
        <x:v>Primary</x:v>
      </x:c>
      <x:c r="E351" s="3" t="str">
        <x:f>IFERROR(INDEX(Items!$Z$6:$Z$1005,MATCH(A351,Items!$A$6:$A$1005,0)),"MISSING ITEM ID")</x:f>
        <x:v>Protection</x:v>
      </x:c>
      <x:c r="F351" s="3" t="str">
        <x:v>Legger-specific proposal; intended use is not an implemented companion ability.</x:v>
      </x:c>
    </x:row>
    <x:row r="352" ht="65" customHeight="1">
      <x:c r="A352" s="3" t="str">
        <x:v>proposal.legger.belly_pan</x:v>
      </x:c>
      <x:c r="B352" s="3" t="str">
        <x:f>IFERROR(INDEX(Items!$B$6:$B$1005,MATCH(A352,Items!$A$6:$A$1005,0)),"MISSING ITEM ID")</x:f>
        <x:v>Legger chassis belly pan</x:v>
      </x:c>
      <x:c r="C352" s="3" t="str">
        <x:f>IFERROR(INDEX(Items!$C$6:$C$1005,MATCH(A352,Items!$A$6:$A$1005,0)),"MISSING ITEM ID")</x:f>
        <x:v>Equipment</x:v>
      </x:c>
      <x:c r="D352" s="3" t="str">
        <x:v>Secondary</x:v>
      </x:c>
      <x:c r="E352" s="3" t="str">
        <x:v>Dust exclusion</x:v>
      </x:c>
      <x:c r="F352" s="3" t="str">
        <x:v>Legger-specific proposal; intended use is not an implemented companion ability.</x:v>
      </x:c>
    </x:row>
    <x:row r="353" ht="65" customHeight="1">
      <x:c r="A353" s="3" t="str">
        <x:v>proposal.legger.mount_rail</x:v>
      </x:c>
      <x:c r="B353" s="3" t="str">
        <x:f>IFERROR(INDEX(Items!$B$6:$B$1005,MATCH(A353,Items!$A$6:$A$1005,0)),"MISSING ITEM ID")</x:f>
        <x:v>Legger attachment rail</x:v>
      </x:c>
      <x:c r="C353" s="3" t="str">
        <x:f>IFERROR(INDEX(Items!$C$6:$C$1005,MATCH(A353,Items!$A$6:$A$1005,0)),"MISSING ITEM ID")</x:f>
        <x:v>Crafting components</x:v>
      </x:c>
      <x:c r="D353" s="3" t="str">
        <x:v>Primary</x:v>
      </x:c>
      <x:c r="E353" s="3" t="str">
        <x:f>IFERROR(INDEX(Items!$Z$6:$Z$1005,MATCH(A353,Items!$A$6:$A$1005,0)),"MISSING ITEM ID")</x:f>
        <x:v>Equipment mounting</x:v>
      </x:c>
      <x:c r="F353" s="3" t="str">
        <x:v>Legger-specific proposal; intended use is not an implemented companion ability.</x:v>
      </x:c>
    </x:row>
    <x:row r="354" ht="65" customHeight="1">
      <x:c r="A354" s="3" t="str">
        <x:v>proposal.legger.joint_bush</x:v>
      </x:c>
      <x:c r="B354" s="3" t="str">
        <x:f>IFERROR(INDEX(Items!$B$6:$B$1005,MATCH(A354,Items!$A$6:$A$1005,0)),"MISSING ITEM ID")</x:f>
        <x:v>Iron joint bushing</x:v>
      </x:c>
      <x:c r="C354" s="3" t="str">
        <x:f>IFERROR(INDEX(Items!$C$6:$C$1005,MATCH(A354,Items!$A$6:$A$1005,0)),"MISSING ITEM ID")</x:f>
        <x:v>Crafting components</x:v>
      </x:c>
      <x:c r="D354" s="3" t="str">
        <x:v>Primary</x:v>
      </x:c>
      <x:c r="E354" s="3" t="str">
        <x:f>IFERROR(INDEX(Items!$Z$6:$Z$1005,MATCH(A354,Items!$A$6:$A$1005,0)),"MISSING ITEM ID")</x:f>
        <x:v>Equipment repair</x:v>
      </x:c>
      <x:c r="F354" s="3" t="str">
        <x:v>Legger-specific proposal; intended use is not an implemented companion ability.</x:v>
      </x:c>
    </x:row>
    <x:row r="355" ht="65" customHeight="1">
      <x:c r="A355" s="3" t="str">
        <x:v>proposal.legger.bearing</x:v>
      </x:c>
      <x:c r="B355" s="3" t="str">
        <x:f>IFERROR(INDEX(Items!$B$6:$B$1005,MATCH(A355,Items!$A$6:$A$1005,0)),"MISSING ITEM ID")</x:f>
        <x:v>Replacement bearing assembly</x:v>
      </x:c>
      <x:c r="C355" s="3" t="str">
        <x:f>IFERROR(INDEX(Items!$C$6:$C$1005,MATCH(A355,Items!$A$6:$A$1005,0)),"MISSING ITEM ID")</x:f>
        <x:v>Crafting components</x:v>
      </x:c>
      <x:c r="D355" s="3" t="str">
        <x:v>Primary</x:v>
      </x:c>
      <x:c r="E355" s="3" t="str">
        <x:f>IFERROR(INDEX(Items!$Z$6:$Z$1005,MATCH(A355,Items!$A$6:$A$1005,0)),"MISSING ITEM ID")</x:f>
        <x:v>Equipment repair</x:v>
      </x:c>
      <x:c r="F355" s="3" t="str">
        <x:v>Legger-specific proposal; intended use is not an implemented companion ability.</x:v>
      </x:c>
    </x:row>
    <x:row r="356" ht="65" customHeight="1">
      <x:c r="A356" s="3" t="str">
        <x:v>proposal.legger.foot_plate</x:v>
      </x:c>
      <x:c r="B356" s="3" t="str">
        <x:f>IFERROR(INDEX(Items!$B$6:$B$1005,MATCH(A356,Items!$A$6:$A$1005,0)),"MISSING ITEM ID")</x:f>
        <x:v>Replaceable foot contact plate</x:v>
      </x:c>
      <x:c r="C356" s="3" t="str">
        <x:f>IFERROR(INDEX(Items!$C$6:$C$1005,MATCH(A356,Items!$A$6:$A$1005,0)),"MISSING ITEM ID")</x:f>
        <x:v>Crafting components</x:v>
      </x:c>
      <x:c r="D356" s="3" t="str">
        <x:v>Primary</x:v>
      </x:c>
      <x:c r="E356" s="3" t="str">
        <x:f>IFERROR(INDEX(Items!$Z$6:$Z$1005,MATCH(A356,Items!$A$6:$A$1005,0)),"MISSING ITEM ID")</x:f>
        <x:v>Equipment repair</x:v>
      </x:c>
      <x:c r="F356" s="3" t="str">
        <x:v>Legger-specific proposal; intended use is not an implemented companion ability.</x:v>
      </x:c>
    </x:row>
    <x:row r="357" ht="65" customHeight="1">
      <x:c r="A357" s="3" t="str">
        <x:v>proposal.legger.foot_plate</x:v>
      </x:c>
      <x:c r="B357" s="3" t="str">
        <x:f>IFERROR(INDEX(Items!$B$6:$B$1005,MATCH(A357,Items!$A$6:$A$1005,0)),"MISSING ITEM ID")</x:f>
        <x:v>Replaceable foot contact plate</x:v>
      </x:c>
      <x:c r="C357" s="3" t="str">
        <x:f>IFERROR(INDEX(Items!$C$6:$C$1005,MATCH(A357,Items!$A$6:$A$1005,0)),"MISSING ITEM ID")</x:f>
        <x:v>Crafting components</x:v>
      </x:c>
      <x:c r="D357" s="3" t="str">
        <x:v>Secondary</x:v>
      </x:c>
      <x:c r="E357" s="3" t="str">
        <x:v>Traversal</x:v>
      </x:c>
      <x:c r="F357" s="3" t="str">
        <x:v>Legger-specific proposal; intended use is not an implemented companion ability.</x:v>
      </x:c>
    </x:row>
    <x:row r="358" ht="65" customHeight="1">
      <x:c r="A358" s="3" t="str">
        <x:v>proposal.legger.actuator_rod</x:v>
      </x:c>
      <x:c r="B358" s="3" t="str">
        <x:f>IFERROR(INDEX(Items!$B$6:$B$1005,MATCH(A358,Items!$A$6:$A$1005,0)),"MISSING ITEM ID")</x:f>
        <x:v>Replacement actuator link</x:v>
      </x:c>
      <x:c r="C358" s="3" t="str">
        <x:f>IFERROR(INDEX(Items!$C$6:$C$1005,MATCH(A358,Items!$A$6:$A$1005,0)),"MISSING ITEM ID")</x:f>
        <x:v>Crafting components</x:v>
      </x:c>
      <x:c r="D358" s="3" t="str">
        <x:v>Primary</x:v>
      </x:c>
      <x:c r="E358" s="3" t="str">
        <x:f>IFERROR(INDEX(Items!$Z$6:$Z$1005,MATCH(A358,Items!$A$6:$A$1005,0)),"MISSING ITEM ID")</x:f>
        <x:v>Equipment repair</x:v>
      </x:c>
      <x:c r="F358" s="3" t="str">
        <x:v>Legger-specific proposal; intended use is not an implemented companion ability.</x:v>
      </x:c>
    </x:row>
    <x:row r="359" ht="65" customHeight="1">
      <x:c r="A359" s="3" t="str">
        <x:v>proposal.legger.joint_shroud</x:v>
      </x:c>
      <x:c r="B359" s="3" t="str">
        <x:f>IFERROR(INDEX(Items!$B$6:$B$1005,MATCH(A359,Items!$A$6:$A$1005,0)),"MISSING ITEM ID")</x:f>
        <x:v>Joint dust shroud</x:v>
      </x:c>
      <x:c r="C359" s="3" t="str">
        <x:f>IFERROR(INDEX(Items!$C$6:$C$1005,MATCH(A359,Items!$A$6:$A$1005,0)),"MISSING ITEM ID")</x:f>
        <x:v>Crafting components</x:v>
      </x:c>
      <x:c r="D359" s="3" t="str">
        <x:v>Primary</x:v>
      </x:c>
      <x:c r="E359" s="3" t="str">
        <x:f>IFERROR(INDEX(Items!$Z$6:$Z$1005,MATCH(A359,Items!$A$6:$A$1005,0)),"MISSING ITEM ID")</x:f>
        <x:v>Dust exclusion</x:v>
      </x:c>
      <x:c r="F359" s="3" t="str">
        <x:v>Legger-specific proposal; intended use is not an implemented companion ability.</x:v>
      </x:c>
    </x:row>
    <x:row r="360" ht="65" customHeight="1">
      <x:c r="A360" s="3" t="str">
        <x:v>proposal.legger.joint_shroud</x:v>
      </x:c>
      <x:c r="B360" s="3" t="str">
        <x:f>IFERROR(INDEX(Items!$B$6:$B$1005,MATCH(A360,Items!$A$6:$A$1005,0)),"MISSING ITEM ID")</x:f>
        <x:v>Joint dust shroud</x:v>
      </x:c>
      <x:c r="C360" s="3" t="str">
        <x:f>IFERROR(INDEX(Items!$C$6:$C$1005,MATCH(A360,Items!$A$6:$A$1005,0)),"MISSING ITEM ID")</x:f>
        <x:v>Crafting components</x:v>
      </x:c>
      <x:c r="D360" s="3" t="str">
        <x:v>Secondary</x:v>
      </x:c>
      <x:c r="E360" s="3" t="str">
        <x:v>Protection</x:v>
      </x:c>
      <x:c r="F360" s="3" t="str">
        <x:v>Legger-specific proposal; intended use is not an implemented companion ability.</x:v>
      </x:c>
    </x:row>
    <x:row r="361" ht="65" customHeight="1">
      <x:c r="A361" s="3" t="str">
        <x:v>proposal.legger.grease_cup</x:v>
      </x:c>
      <x:c r="B361" s="3" t="str">
        <x:f>IFERROR(INDEX(Items!$B$6:$B$1005,MATCH(A361,Items!$A$6:$A$1005,0)),"MISSING ITEM ID")</x:f>
        <x:v>Fitted joint lubricant cup</x:v>
      </x:c>
      <x:c r="C361" s="3" t="str">
        <x:f>IFERROR(INDEX(Items!$C$6:$C$1005,MATCH(A361,Items!$A$6:$A$1005,0)),"MISSING ITEM ID")</x:f>
        <x:v>Crafting components</x:v>
      </x:c>
      <x:c r="D361" s="3" t="str">
        <x:v>Primary</x:v>
      </x:c>
      <x:c r="E361" s="3" t="str">
        <x:f>IFERROR(INDEX(Items!$Z$6:$Z$1005,MATCH(A361,Items!$A$6:$A$1005,0)),"MISSING ITEM ID")</x:f>
        <x:v>Lubrication</x:v>
      </x:c>
      <x:c r="F361" s="3" t="str">
        <x:v>Legger-specific proposal; intended use is not an implemented companion ability.</x:v>
      </x:c>
    </x:row>
    <x:row r="362" ht="65" customHeight="1">
      <x:c r="A362" s="3" t="str">
        <x:v>proposal.legger.seal_cartridge</x:v>
      </x:c>
      <x:c r="B362" s="3" t="str">
        <x:f>IFERROR(INDEX(Items!$B$6:$B$1005,MATCH(A362,Items!$A$6:$A$1005,0)),"MISSING ITEM ID")</x:f>
        <x:v>Replaceable joint-seal cartridge</x:v>
      </x:c>
      <x:c r="C362" s="3" t="str">
        <x:f>IFERROR(INDEX(Items!$C$6:$C$1005,MATCH(A362,Items!$A$6:$A$1005,0)),"MISSING ITEM ID")</x:f>
        <x:v>Crafting components</x:v>
      </x:c>
      <x:c r="D362" s="3" t="str">
        <x:v>Primary</x:v>
      </x:c>
      <x:c r="E362" s="3" t="str">
        <x:f>IFERROR(INDEX(Items!$Z$6:$Z$1005,MATCH(A362,Items!$A$6:$A$1005,0)),"MISSING ITEM ID")</x:f>
        <x:v>Sealing</x:v>
      </x:c>
      <x:c r="F362" s="3" t="str">
        <x:v>Legger-specific proposal; intended use is not an implemented companion ability.</x:v>
      </x:c>
    </x:row>
    <x:row r="363" ht="65" customHeight="1">
      <x:c r="A363" s="3" t="str">
        <x:v>proposal.legger.seal_cartridge</x:v>
      </x:c>
      <x:c r="B363" s="3" t="str">
        <x:f>IFERROR(INDEX(Items!$B$6:$B$1005,MATCH(A363,Items!$A$6:$A$1005,0)),"MISSING ITEM ID")</x:f>
        <x:v>Replaceable joint-seal cartridge</x:v>
      </x:c>
      <x:c r="C363" s="3" t="str">
        <x:f>IFERROR(INDEX(Items!$C$6:$C$1005,MATCH(A363,Items!$A$6:$A$1005,0)),"MISSING ITEM ID")</x:f>
        <x:v>Crafting components</x:v>
      </x:c>
      <x:c r="D363" s="3" t="str">
        <x:v>Secondary</x:v>
      </x:c>
      <x:c r="E363" s="3" t="str">
        <x:v>Equipment repair</x:v>
      </x:c>
      <x:c r="F363" s="3" t="str">
        <x:v>Legger-specific proposal; intended use is not an implemented companion ability.</x:v>
      </x:c>
    </x:row>
    <x:row r="364" ht="65" customHeight="1">
      <x:c r="A364" s="3" t="str">
        <x:v>proposal.legger.fastener_pack</x:v>
      </x:c>
      <x:c r="B364" s="3" t="str">
        <x:f>IFERROR(INDEX(Items!$B$6:$B$1005,MATCH(A364,Items!$A$6:$A$1005,0)),"MISSING ITEM ID")</x:f>
        <x:v>Legger service fastener pack</x:v>
      </x:c>
      <x:c r="C364" s="3" t="str">
        <x:f>IFERROR(INDEX(Items!$C$6:$C$1005,MATCH(A364,Items!$A$6:$A$1005,0)),"MISSING ITEM ID")</x:f>
        <x:v>Field supplies</x:v>
      </x:c>
      <x:c r="D364" s="3" t="str">
        <x:v>Primary</x:v>
      </x:c>
      <x:c r="E364" s="3" t="str">
        <x:f>IFERROR(INDEX(Items!$Z$6:$Z$1005,MATCH(A364,Items!$A$6:$A$1005,0)),"MISSING ITEM ID")</x:f>
        <x:v>Equipment repair</x:v>
      </x:c>
      <x:c r="F364" s="3" t="str">
        <x:v>Legger-specific proposal; intended use is not an implemented companion ability.</x:v>
      </x:c>
    </x:row>
    <x:row r="365" ht="65" customHeight="1">
      <x:c r="A365" s="3" t="str">
        <x:v>proposal.legger.shell_guard</x:v>
      </x:c>
      <x:c r="B365" s="3" t="str">
        <x:f>IFERROR(INDEX(Items!$B$6:$B$1005,MATCH(A365,Items!$A$6:$A$1005,0)),"MISSING ITEM ID")</x:f>
        <x:v>Chitin chassis guard</x:v>
      </x:c>
      <x:c r="C365" s="3" t="str">
        <x:f>IFERROR(INDEX(Items!$C$6:$C$1005,MATCH(A365,Items!$A$6:$A$1005,0)),"MISSING ITEM ID")</x:f>
        <x:v>Equipment</x:v>
      </x:c>
      <x:c r="D365" s="3" t="str">
        <x:v>Primary</x:v>
      </x:c>
      <x:c r="E365" s="3" t="str">
        <x:f>IFERROR(INDEX(Items!$Z$6:$Z$1005,MATCH(A365,Items!$A$6:$A$1005,0)),"MISSING ITEM ID")</x:f>
        <x:v>Protection</x:v>
      </x:c>
      <x:c r="F365" s="3" t="str">
        <x:v>Legger-specific proposal; intended use is not an implemented companion ability.</x:v>
      </x:c>
    </x:row>
    <x:row r="366" ht="65" customHeight="1">
      <x:c r="A366" s="3" t="str">
        <x:v>proposal.legger.iron_guard</x:v>
      </x:c>
      <x:c r="B366" s="3" t="str">
        <x:f>IFERROR(INDEX(Items!$B$6:$B$1005,MATCH(A366,Items!$A$6:$A$1005,0)),"MISSING ITEM ID")</x:f>
        <x:v>Iron chassis guard</x:v>
      </x:c>
      <x:c r="C366" s="3" t="str">
        <x:f>IFERROR(INDEX(Items!$C$6:$C$1005,MATCH(A366,Items!$A$6:$A$1005,0)),"MISSING ITEM ID")</x:f>
        <x:v>Equipment</x:v>
      </x:c>
      <x:c r="D366" s="3" t="str">
        <x:v>Primary</x:v>
      </x:c>
      <x:c r="E366" s="3" t="str">
        <x:f>IFERROR(INDEX(Items!$Z$6:$Z$1005,MATCH(A366,Items!$A$6:$A$1005,0)),"MISSING ITEM ID")</x:f>
        <x:v>Protection</x:v>
      </x:c>
      <x:c r="F366" s="3" t="str">
        <x:v>Legger-specific proposal; intended use is not an implemented companion ability.</x:v>
      </x:c>
    </x:row>
    <x:row r="367" ht="65" customHeight="1">
      <x:c r="A367" s="3" t="str">
        <x:v>proposal.legger.joint_guard</x:v>
      </x:c>
      <x:c r="B367" s="3" t="str">
        <x:f>IFERROR(INDEX(Items!$B$6:$B$1005,MATCH(A367,Items!$A$6:$A$1005,0)),"MISSING ITEM ID")</x:f>
        <x:v>Articulated joint guard</x:v>
      </x:c>
      <x:c r="C367" s="3" t="str">
        <x:f>IFERROR(INDEX(Items!$C$6:$C$1005,MATCH(A367,Items!$A$6:$A$1005,0)),"MISSING ITEM ID")</x:f>
        <x:v>Equipment</x:v>
      </x:c>
      <x:c r="D367" s="3" t="str">
        <x:v>Primary</x:v>
      </x:c>
      <x:c r="E367" s="3" t="str">
        <x:f>IFERROR(INDEX(Items!$Z$6:$Z$1005,MATCH(A367,Items!$A$6:$A$1005,0)),"MISSING ITEM ID")</x:f>
        <x:v>Protection</x:v>
      </x:c>
      <x:c r="F367" s="3" t="str">
        <x:v>Legger-specific proposal; intended use is not an implemented companion ability.</x:v>
      </x:c>
    </x:row>
    <x:row r="368" ht="65" customHeight="1">
      <x:c r="A368" s="3" t="str">
        <x:v>proposal.legger.ceramic_backing</x:v>
      </x:c>
      <x:c r="B368" s="3" t="str">
        <x:f>IFERROR(INDEX(Items!$B$6:$B$1005,MATCH(A368,Items!$A$6:$A$1005,0)),"MISSING ITEM ID")</x:f>
        <x:v>Ceramic armor backing insert</x:v>
      </x:c>
      <x:c r="C368" s="3" t="str">
        <x:f>IFERROR(INDEX(Items!$C$6:$C$1005,MATCH(A368,Items!$A$6:$A$1005,0)),"MISSING ITEM ID")</x:f>
        <x:v>Equipment</x:v>
      </x:c>
      <x:c r="D368" s="3" t="str">
        <x:v>Primary</x:v>
      </x:c>
      <x:c r="E368" s="3" t="str">
        <x:f>IFERROR(INDEX(Items!$Z$6:$Z$1005,MATCH(A368,Items!$A$6:$A$1005,0)),"MISSING ITEM ID")</x:f>
        <x:v>Protection</x:v>
      </x:c>
      <x:c r="F368" s="3" t="str">
        <x:v>Legger-specific proposal; intended use is not an implemented companion ability.</x:v>
      </x:c>
    </x:row>
    <x:row r="369" ht="65" customHeight="1">
      <x:c r="A369" s="3" t="str">
        <x:v>proposal.legger.plasteel_rib</x:v>
      </x:c>
      <x:c r="B369" s="3" t="str">
        <x:f>IFERROR(INDEX(Items!$B$6:$B$1005,MATCH(A369,Items!$A$6:$A$1005,0)),"MISSING ITEM ID")</x:f>
        <x:v>Ancient plasteel replacement member</x:v>
      </x:c>
      <x:c r="C369" s="3" t="str">
        <x:f>IFERROR(INDEX(Items!$C$6:$C$1005,MATCH(A369,Items!$A$6:$A$1005,0)),"MISSING ITEM ID")</x:f>
        <x:v>Crafting components</x:v>
      </x:c>
      <x:c r="D369" s="3" t="str">
        <x:v>Primary</x:v>
      </x:c>
      <x:c r="E369" s="3" t="str">
        <x:f>IFERROR(INDEX(Items!$Z$6:$Z$1005,MATCH(A369,Items!$A$6:$A$1005,0)),"MISSING ITEM ID")</x:f>
        <x:v>Equipment repair</x:v>
      </x:c>
      <x:c r="F369" s="3" t="str">
        <x:v>Legger-specific proposal; intended use is not an implemented companion ability.</x:v>
      </x:c>
    </x:row>
    <x:row r="370" ht="65" customHeight="1">
      <x:c r="A370" s="3" t="str">
        <x:v>proposal.legger.nanocarbon_panel</x:v>
      </x:c>
      <x:c r="B370" s="3" t="str">
        <x:f>IFERROR(INDEX(Items!$B$6:$B$1005,MATCH(A370,Items!$A$6:$A$1005,0)),"MISSING ITEM ID")</x:f>
        <x:v>Ancient nanocarbon armor panel</x:v>
      </x:c>
      <x:c r="C370" s="3" t="str">
        <x:f>IFERROR(INDEX(Items!$C$6:$C$1005,MATCH(A370,Items!$A$6:$A$1005,0)),"MISSING ITEM ID")</x:f>
        <x:v>Equipment</x:v>
      </x:c>
      <x:c r="D370" s="3" t="str">
        <x:v>Primary</x:v>
      </x:c>
      <x:c r="E370" s="3" t="str">
        <x:f>IFERROR(INDEX(Items!$Z$6:$Z$1005,MATCH(A370,Items!$A$6:$A$1005,0)),"MISSING ITEM ID")</x:f>
        <x:v>Protection</x:v>
      </x:c>
      <x:c r="F370" s="3" t="str">
        <x:v>Legger-specific proposal; intended use is not an implemented companion ability.</x:v>
      </x:c>
    </x:row>
    <x:row r="371" ht="65" customHeight="1">
      <x:c r="A371" s="3" t="str">
        <x:v>proposal.legger.ancient_bearing</x:v>
      </x:c>
      <x:c r="B371" s="3" t="str">
        <x:f>IFERROR(INDEX(Items!$B$6:$B$1005,MATCH(A371,Items!$A$6:$A$1005,0)),"MISSING ITEM ID")</x:f>
        <x:v>Ancient bearing cassette</x:v>
      </x:c>
      <x:c r="C371" s="3" t="str">
        <x:f>IFERROR(INDEX(Items!$C$6:$C$1005,MATCH(A371,Items!$A$6:$A$1005,0)),"MISSING ITEM ID")</x:f>
        <x:v>Crafting components</x:v>
      </x:c>
      <x:c r="D371" s="3" t="str">
        <x:v>Primary</x:v>
      </x:c>
      <x:c r="E371" s="3" t="str">
        <x:f>IFERROR(INDEX(Items!$Z$6:$Z$1005,MATCH(A371,Items!$A$6:$A$1005,0)),"MISSING ITEM ID")</x:f>
        <x:v>Equipment repair</x:v>
      </x:c>
      <x:c r="F371" s="3" t="str">
        <x:v>Legger-specific proposal; intended use is not an implemented companion ability.</x:v>
      </x:c>
    </x:row>
    <x:row r="372" ht="65" customHeight="1">
      <x:c r="A372" s="3" t="str">
        <x:v>proposal.legger.ballistic_guard</x:v>
      </x:c>
      <x:c r="B372" s="3" t="str">
        <x:f>IFERROR(INDEX(Items!$B$6:$B$1005,MATCH(A372,Items!$A$6:$A$1005,0)),"MISSING ITEM ID")</x:f>
        <x:v>Ancient ballistic-deflecting guard</x:v>
      </x:c>
      <x:c r="C372" s="3" t="str">
        <x:f>IFERROR(INDEX(Items!$C$6:$C$1005,MATCH(A372,Items!$A$6:$A$1005,0)),"MISSING ITEM ID")</x:f>
        <x:v>Equipment</x:v>
      </x:c>
      <x:c r="D372" s="3" t="str">
        <x:v>Primary</x:v>
      </x:c>
      <x:c r="E372" s="3" t="str">
        <x:f>IFERROR(INDEX(Items!$Z$6:$Z$1005,MATCH(A372,Items!$A$6:$A$1005,0)),"MISSING ITEM ID")</x:f>
        <x:v>Protection</x:v>
      </x:c>
      <x:c r="F372" s="3" t="str">
        <x:v>Legger-specific proposal; intended use is not an implemented companion ability.</x:v>
      </x:c>
    </x:row>
    <x:row r="373" ht="65" customHeight="1">
      <x:c r="A373" s="3" t="str">
        <x:v>proposal.legger.pannier_frame</x:v>
      </x:c>
      <x:c r="B373" s="3" t="str">
        <x:f>IFERROR(INDEX(Items!$B$6:$B$1005,MATCH(A373,Items!$A$6:$A$1005,0)),"MISSING ITEM ID")</x:f>
        <x:v>Legger side-pannier frame</x:v>
      </x:c>
      <x:c r="C373" s="3" t="str">
        <x:f>IFERROR(INDEX(Items!$C$6:$C$1005,MATCH(A373,Items!$A$6:$A$1005,0)),"MISSING ITEM ID")</x:f>
        <x:v>Equipment</x:v>
      </x:c>
      <x:c r="D373" s="3" t="str">
        <x:v>Primary</x:v>
      </x:c>
      <x:c r="E373" s="3" t="str">
        <x:f>IFERROR(INDEX(Items!$Z$6:$Z$1005,MATCH(A373,Items!$A$6:$A$1005,0)),"MISSING ITEM ID")</x:f>
        <x:v>Cargo organization</x:v>
      </x:c>
      <x:c r="F373" s="3" t="str">
        <x:v>Legger-specific proposal; intended use is not an implemented companion ability.</x:v>
      </x:c>
    </x:row>
    <x:row r="374" ht="65" customHeight="1">
      <x:c r="A374" s="3" t="str">
        <x:v>proposal.legger.pannier_frame</x:v>
      </x:c>
      <x:c r="B374" s="3" t="str">
        <x:f>IFERROR(INDEX(Items!$B$6:$B$1005,MATCH(A374,Items!$A$6:$A$1005,0)),"MISSING ITEM ID")</x:f>
        <x:v>Legger side-pannier frame</x:v>
      </x:c>
      <x:c r="C374" s="3" t="str">
        <x:f>IFERROR(INDEX(Items!$C$6:$C$1005,MATCH(A374,Items!$A$6:$A$1005,0)),"MISSING ITEM ID")</x:f>
        <x:v>Equipment</x:v>
      </x:c>
      <x:c r="D374" s="3" t="str">
        <x:v>Secondary</x:v>
      </x:c>
      <x:c r="E374" s="3" t="str">
        <x:v>Equipment mounting</x:v>
      </x:c>
      <x:c r="F374" s="3" t="str">
        <x:v>Legger-specific proposal; intended use is not an implemented companion ability.</x:v>
      </x:c>
    </x:row>
    <x:row r="375" ht="65" customHeight="1">
      <x:c r="A375" s="3" t="str">
        <x:v>proposal.legger.sample_rack</x:v>
      </x:c>
      <x:c r="B375" s="3" t="str">
        <x:f>IFERROR(INDEX(Items!$B$6:$B$1005,MATCH(A375,Items!$A$6:$A$1005,0)),"MISSING ITEM ID")</x:f>
        <x:v>Legger sample-vial rack</x:v>
      </x:c>
      <x:c r="C375" s="3" t="str">
        <x:f>IFERROR(INDEX(Items!$C$6:$C$1005,MATCH(A375,Items!$A$6:$A$1005,0)),"MISSING ITEM ID")</x:f>
        <x:v>Equipment</x:v>
      </x:c>
      <x:c r="D375" s="3" t="str">
        <x:v>Primary</x:v>
      </x:c>
      <x:c r="E375" s="3" t="str">
        <x:f>IFERROR(INDEX(Items!$Z$6:$Z$1005,MATCH(A375,Items!$A$6:$A$1005,0)),"MISSING ITEM ID")</x:f>
        <x:v>Cargo organization</x:v>
      </x:c>
      <x:c r="F375" s="3" t="str">
        <x:v>Legger-specific proposal; intended use is not an implemented companion ability.</x:v>
      </x:c>
    </x:row>
    <x:row r="376" ht="65" customHeight="1">
      <x:c r="A376" s="3" t="str">
        <x:v>proposal.legger.ore_bin</x:v>
      </x:c>
      <x:c r="B376" s="3" t="str">
        <x:f>IFERROR(INDEX(Items!$B$6:$B$1005,MATCH(A376,Items!$A$6:$A$1005,0)),"MISSING ITEM ID")</x:f>
        <x:v>Legger removable ore bin</x:v>
      </x:c>
      <x:c r="C376" s="3" t="str">
        <x:f>IFERROR(INDEX(Items!$C$6:$C$1005,MATCH(A376,Items!$A$6:$A$1005,0)),"MISSING ITEM ID")</x:f>
        <x:v>Equipment</x:v>
      </x:c>
      <x:c r="D376" s="3" t="str">
        <x:v>Primary</x:v>
      </x:c>
      <x:c r="E376" s="3" t="str">
        <x:f>IFERROR(INDEX(Items!$Z$6:$Z$1005,MATCH(A376,Items!$A$6:$A$1005,0)),"MISSING ITEM ID")</x:f>
        <x:v>Cargo organization</x:v>
      </x:c>
      <x:c r="F376" s="3" t="str">
        <x:v>Legger-specific proposal; intended use is not an implemented companion ability.</x:v>
      </x:c>
    </x:row>
    <x:row r="377" ht="65" customHeight="1">
      <x:c r="A377" s="3" t="str">
        <x:v>proposal.legger.long_load_clamp</x:v>
      </x:c>
      <x:c r="B377" s="3" t="str">
        <x:f>IFERROR(INDEX(Items!$B$6:$B$1005,MATCH(A377,Items!$A$6:$A$1005,0)),"MISSING ITEM ID")</x:f>
        <x:v>Legger long-load clamp</x:v>
      </x:c>
      <x:c r="C377" s="3" t="str">
        <x:f>IFERROR(INDEX(Items!$C$6:$C$1005,MATCH(A377,Items!$A$6:$A$1005,0)),"MISSING ITEM ID")</x:f>
        <x:v>Crafting components</x:v>
      </x:c>
      <x:c r="D377" s="3" t="str">
        <x:v>Primary</x:v>
      </x:c>
      <x:c r="E377" s="3" t="str">
        <x:f>IFERROR(INDEX(Items!$Z$6:$Z$1005,MATCH(A377,Items!$A$6:$A$1005,0)),"MISSING ITEM ID")</x:f>
        <x:v>Equipment mounting</x:v>
      </x:c>
      <x:c r="F377" s="3" t="str">
        <x:v>Legger-specific proposal; intended use is not an implemented companion ability.</x:v>
      </x:c>
    </x:row>
    <x:row r="378" ht="65" customHeight="1">
      <x:c r="A378" s="3" t="str">
        <x:v>proposal.legger.long_load_clamp</x:v>
      </x:c>
      <x:c r="B378" s="3" t="str">
        <x:f>IFERROR(INDEX(Items!$B$6:$B$1005,MATCH(A378,Items!$A$6:$A$1005,0)),"MISSING ITEM ID")</x:f>
        <x:v>Legger long-load clamp</x:v>
      </x:c>
      <x:c r="C378" s="3" t="str">
        <x:f>IFERROR(INDEX(Items!$C$6:$C$1005,MATCH(A378,Items!$A$6:$A$1005,0)),"MISSING ITEM ID")</x:f>
        <x:v>Crafting components</x:v>
      </x:c>
      <x:c r="D378" s="3" t="str">
        <x:v>Secondary</x:v>
      </x:c>
      <x:c r="E378" s="3" t="str">
        <x:v>Cargo organization</x:v>
      </x:c>
      <x:c r="F378" s="3" t="str">
        <x:v>Legger-specific proposal; intended use is not an implemented companion ability.</x:v>
      </x:c>
    </x:row>
    <x:row r="379" ht="65" customHeight="1">
      <x:c r="A379" s="3" t="str">
        <x:v>proposal.legger.release_latch</x:v>
      </x:c>
      <x:c r="B379" s="3" t="str">
        <x:f>IFERROR(INDEX(Items!$B$6:$B$1005,MATCH(A379,Items!$A$6:$A$1005,0)),"MISSING ITEM ID")</x:f>
        <x:v>Cargo quick-release latch</x:v>
      </x:c>
      <x:c r="C379" s="3" t="str">
        <x:f>IFERROR(INDEX(Items!$C$6:$C$1005,MATCH(A379,Items!$A$6:$A$1005,0)),"MISSING ITEM ID")</x:f>
        <x:v>Crafting components</x:v>
      </x:c>
      <x:c r="D379" s="3" t="str">
        <x:v>Primary</x:v>
      </x:c>
      <x:c r="E379" s="3" t="str">
        <x:f>IFERROR(INDEX(Items!$Z$6:$Z$1005,MATCH(A379,Items!$A$6:$A$1005,0)),"MISSING ITEM ID")</x:f>
        <x:v>Equipment mounting</x:v>
      </x:c>
      <x:c r="F379" s="3" t="str">
        <x:v>Legger-specific proposal; intended use is not an implemented companion ability.</x:v>
      </x:c>
    </x:row>
    <x:row r="380" ht="65" customHeight="1">
      <x:c r="A380" s="3" t="str">
        <x:v>proposal.legger.board_bracket</x:v>
      </x:c>
      <x:c r="B380" s="3" t="str">
        <x:f>IFERROR(INDEX(Items!$B$6:$B$1005,MATCH(A380,Items!$A$6:$A$1005,0)),"MISSING ITEM ID")</x:f>
        <x:v>Legger dirtboard carrying bracket</x:v>
      </x:c>
      <x:c r="C380" s="3" t="str">
        <x:f>IFERROR(INDEX(Items!$C$6:$C$1005,MATCH(A380,Items!$A$6:$A$1005,0)),"MISSING ITEM ID")</x:f>
        <x:v>Equipment</x:v>
      </x:c>
      <x:c r="D380" s="3" t="str">
        <x:v>Primary</x:v>
      </x:c>
      <x:c r="E380" s="3" t="str">
        <x:f>IFERROR(INDEX(Items!$Z$6:$Z$1005,MATCH(A380,Items!$A$6:$A$1005,0)),"MISSING ITEM ID")</x:f>
        <x:v>Cargo organization</x:v>
      </x:c>
      <x:c r="F380" s="3" t="str">
        <x:v>Legger-specific proposal; intended use is not an implemented companion ability.</x:v>
      </x:c>
    </x:row>
    <x:row r="381" ht="65" customHeight="1">
      <x:c r="A381" s="3" t="str">
        <x:v>proposal.legger.board_bracket</x:v>
      </x:c>
      <x:c r="B381" s="3" t="str">
        <x:f>IFERROR(INDEX(Items!$B$6:$B$1005,MATCH(A381,Items!$A$6:$A$1005,0)),"MISSING ITEM ID")</x:f>
        <x:v>Legger dirtboard carrying bracket</x:v>
      </x:c>
      <x:c r="C381" s="3" t="str">
        <x:f>IFERROR(INDEX(Items!$C$6:$C$1005,MATCH(A381,Items!$A$6:$A$1005,0)),"MISSING ITEM ID")</x:f>
        <x:v>Equipment</x:v>
      </x:c>
      <x:c r="D381" s="3" t="str">
        <x:v>Secondary</x:v>
      </x:c>
      <x:c r="E381" s="3" t="str">
        <x:v>Equipment mounting</x:v>
      </x:c>
      <x:c r="F381" s="3" t="str">
        <x:v>Legger-specific proposal; intended use is not an implemented companion ability.</x:v>
      </x:c>
    </x:row>
    <x:row r="382" ht="65" customHeight="1">
      <x:c r="A382" s="3" t="str">
        <x:v>proposal.legger.hinge_plate</x:v>
      </x:c>
      <x:c r="B382" s="3" t="str">
        <x:f>IFERROR(INDEX(Items!$B$6:$B$1005,MATCH(A382,Items!$A$6:$A$1005,0)),"MISSING ITEM ID")</x:f>
        <x:v>Chassis hinge-mount plate</x:v>
      </x:c>
      <x:c r="C382" s="3" t="str">
        <x:f>IFERROR(INDEX(Items!$C$6:$C$1005,MATCH(A382,Items!$A$6:$A$1005,0)),"MISSING ITEM ID")</x:f>
        <x:v>Crafting components</x:v>
      </x:c>
      <x:c r="D382" s="3" t="str">
        <x:v>Primary</x:v>
      </x:c>
      <x:c r="E382" s="3" t="str">
        <x:f>IFERROR(INDEX(Items!$Z$6:$Z$1005,MATCH(A382,Items!$A$6:$A$1005,0)),"MISSING ITEM ID")</x:f>
        <x:v>Equipment repair</x:v>
      </x:c>
      <x:c r="F382" s="3" t="str">
        <x:v>Legger-specific proposal; intended use is not an implemented companion ability.</x:v>
      </x:c>
    </x:row>
    <x:row r="383" ht="65" customHeight="1">
      <x:c r="A383" s="3" t="str">
        <x:v>proposal.legger.hinge_plate</x:v>
      </x:c>
      <x:c r="B383" s="3" t="str">
        <x:f>IFERROR(INDEX(Items!$B$6:$B$1005,MATCH(A383,Items!$A$6:$A$1005,0)),"MISSING ITEM ID")</x:f>
        <x:v>Chassis hinge-mount plate</x:v>
      </x:c>
      <x:c r="C383" s="3" t="str">
        <x:f>IFERROR(INDEX(Items!$C$6:$C$1005,MATCH(A383,Items!$A$6:$A$1005,0)),"MISSING ITEM ID")</x:f>
        <x:v>Crafting components</x:v>
      </x:c>
      <x:c r="D383" s="3" t="str">
        <x:v>Secondary</x:v>
      </x:c>
      <x:c r="E383" s="3" t="str">
        <x:v>Equipment mounting</x:v>
      </x:c>
      <x:c r="F383" s="3" t="str">
        <x:v>Legger-specific proposal; intended use is not an implemented companion ability.</x:v>
      </x:c>
    </x:row>
    <x:row r="384" ht="65" customHeight="1">
      <x:c r="A384" s="3" t="str">
        <x:v>proposal.legger.inspection_hatch</x:v>
      </x:c>
      <x:c r="B384" s="3" t="str">
        <x:f>IFERROR(INDEX(Items!$B$6:$B$1005,MATCH(A384,Items!$A$6:$A$1005,0)),"MISSING ITEM ID")</x:f>
        <x:v>Legger inspection hatch</x:v>
      </x:c>
      <x:c r="C384" s="3" t="str">
        <x:f>IFERROR(INDEX(Items!$C$6:$C$1005,MATCH(A384,Items!$A$6:$A$1005,0)),"MISSING ITEM ID")</x:f>
        <x:v>Crafting components</x:v>
      </x:c>
      <x:c r="D384" s="3" t="str">
        <x:v>Primary</x:v>
      </x:c>
      <x:c r="E384" s="3" t="str">
        <x:f>IFERROR(INDEX(Items!$Z$6:$Z$1005,MATCH(A384,Items!$A$6:$A$1005,0)),"MISSING ITEM ID")</x:f>
        <x:v>Inspection</x:v>
      </x:c>
      <x:c r="F384" s="3" t="str">
        <x:v>Legger-specific proposal; intended use is not an implemented companion ability.</x:v>
      </x:c>
    </x:row>
    <x:row r="385" ht="65" customHeight="1">
      <x:c r="A385" s="3" t="str">
        <x:v>proposal.legger.inspection_hatch</x:v>
      </x:c>
      <x:c r="B385" s="3" t="str">
        <x:f>IFERROR(INDEX(Items!$B$6:$B$1005,MATCH(A385,Items!$A$6:$A$1005,0)),"MISSING ITEM ID")</x:f>
        <x:v>Legger inspection hatch</x:v>
      </x:c>
      <x:c r="C385" s="3" t="str">
        <x:f>IFERROR(INDEX(Items!$C$6:$C$1005,MATCH(A385,Items!$A$6:$A$1005,0)),"MISSING ITEM ID")</x:f>
        <x:v>Crafting components</x:v>
      </x:c>
      <x:c r="D385" s="3" t="str">
        <x:v>Secondary</x:v>
      </x:c>
      <x:c r="E385" s="3" t="str">
        <x:v>Equipment repair</x:v>
      </x:c>
      <x:c r="F385" s="3" t="str">
        <x:v>Legger-specific proposal; intended use is not an implemented companion ability.</x:v>
      </x:c>
    </x:row>
    <x:row r="386" ht="65" customHeight="1">
      <x:c r="A386" s="3" t="str">
        <x:v>proposal.legger.fracture_patch</x:v>
      </x:c>
      <x:c r="B386" s="3" t="str">
        <x:f>IFERROR(INDEX(Items!$B$6:$B$1005,MATCH(A386,Items!$A$6:$A$1005,0)),"MISSING ITEM ID")</x:f>
        <x:v>Iron chassis fracture patch</x:v>
      </x:c>
      <x:c r="C386" s="3" t="str">
        <x:f>IFERROR(INDEX(Items!$C$6:$C$1005,MATCH(A386,Items!$A$6:$A$1005,0)),"MISSING ITEM ID")</x:f>
        <x:v>Crafting components</x:v>
      </x:c>
      <x:c r="D386" s="3" t="str">
        <x:v>Primary</x:v>
      </x:c>
      <x:c r="E386" s="3" t="str">
        <x:f>IFERROR(INDEX(Items!$Z$6:$Z$1005,MATCH(A386,Items!$A$6:$A$1005,0)),"MISSING ITEM ID")</x:f>
        <x:v>Equipment repair</x:v>
      </x:c>
      <x:c r="F386" s="3" t="str">
        <x:v>Legger-specific proposal; intended use is not an implemented companion ability.</x:v>
      </x:c>
    </x:row>
    <x:row r="387" ht="65" customHeight="1">
      <x:c r="A387" s="3" t="str">
        <x:v>proposal.legger.crush_mount</x:v>
      </x:c>
      <x:c r="B387" s="3" t="str">
        <x:f>IFERROR(INDEX(Items!$B$6:$B$1005,MATCH(A387,Items!$A$6:$A$1005,0)),"MISSING ITEM ID")</x:f>
        <x:v>Sacrificial attachment mount</x:v>
      </x:c>
      <x:c r="C387" s="3" t="str">
        <x:f>IFERROR(INDEX(Items!$C$6:$C$1005,MATCH(A387,Items!$A$6:$A$1005,0)),"MISSING ITEM ID")</x:f>
        <x:v>Crafting components</x:v>
      </x:c>
      <x:c r="D387" s="3" t="str">
        <x:v>Primary</x:v>
      </x:c>
      <x:c r="E387" s="3" t="str">
        <x:f>IFERROR(INDEX(Items!$Z$6:$Z$1005,MATCH(A387,Items!$A$6:$A$1005,0)),"MISSING ITEM ID")</x:f>
        <x:v>Equipment mounting</x:v>
      </x:c>
      <x:c r="F387" s="3" t="str">
        <x:v>Legger-specific proposal; intended use is not an implemented companion ability.</x:v>
      </x:c>
    </x:row>
    <x:row r="388" ht="65" customHeight="1">
      <x:c r="A388" s="3" t="str">
        <x:v>proposal.legger.crush_mount</x:v>
      </x:c>
      <x:c r="B388" s="3" t="str">
        <x:f>IFERROR(INDEX(Items!$B$6:$B$1005,MATCH(A388,Items!$A$6:$A$1005,0)),"MISSING ITEM ID")</x:f>
        <x:v>Sacrificial attachment mount</x:v>
      </x:c>
      <x:c r="C388" s="3" t="str">
        <x:f>IFERROR(INDEX(Items!$C$6:$C$1005,MATCH(A388,Items!$A$6:$A$1005,0)),"MISSING ITEM ID")</x:f>
        <x:v>Crafting components</x:v>
      </x:c>
      <x:c r="D388" s="3" t="str">
        <x:v>Secondary</x:v>
      </x:c>
      <x:c r="E388" s="3" t="str">
        <x:v>Protection</x:v>
      </x:c>
      <x:c r="F388" s="3" t="str">
        <x:v>Legger-specific proposal; intended use is not an implemented companion ability.</x:v>
      </x:c>
    </x:row>
    <x:row r="389" ht="65" customHeight="1">
      <x:c r="A389" s="3" t="str">
        <x:v>proposal.legger.bulkhead_ring</x:v>
      </x:c>
      <x:c r="B389" s="3" t="str">
        <x:f>IFERROR(INDEX(Items!$B$6:$B$1005,MATCH(A389,Items!$A$6:$A$1005,0)),"MISSING ITEM ID")</x:f>
        <x:v>Chassis reinforcing ring</x:v>
      </x:c>
      <x:c r="C389" s="3" t="str">
        <x:f>IFERROR(INDEX(Items!$C$6:$C$1005,MATCH(A389,Items!$A$6:$A$1005,0)),"MISSING ITEM ID")</x:f>
        <x:v>Crafting components</x:v>
      </x:c>
      <x:c r="D389" s="3" t="str">
        <x:v>Primary</x:v>
      </x:c>
      <x:c r="E389" s="3" t="str">
        <x:f>IFERROR(INDEX(Items!$Z$6:$Z$1005,MATCH(A389,Items!$A$6:$A$1005,0)),"MISSING ITEM ID")</x:f>
        <x:v>Equipment fabrication</x:v>
      </x:c>
      <x:c r="F389" s="3" t="str">
        <x:v>Legger-specific proposal; intended use is not an implemented companion ability.</x:v>
      </x:c>
    </x:row>
    <x:row r="390" ht="65" customHeight="1">
      <x:c r="A390" s="3" t="str">
        <x:v>proposal.legger.alignment_shims</x:v>
      </x:c>
      <x:c r="B390" s="3" t="str">
        <x:f>IFERROR(INDEX(Items!$B$6:$B$1005,MATCH(A390,Items!$A$6:$A$1005,0)),"MISSING ITEM ID")</x:f>
        <x:v>Chassis alignment-shim set</x:v>
      </x:c>
      <x:c r="C390" s="3" t="str">
        <x:f>IFERROR(INDEX(Items!$C$6:$C$1005,MATCH(A390,Items!$A$6:$A$1005,0)),"MISSING ITEM ID")</x:f>
        <x:v>Crafting components</x:v>
      </x:c>
      <x:c r="D390" s="3" t="str">
        <x:v>Primary</x:v>
      </x:c>
      <x:c r="E390" s="3" t="str">
        <x:f>IFERROR(INDEX(Items!$Z$6:$Z$1005,MATCH(A390,Items!$A$6:$A$1005,0)),"MISSING ITEM ID")</x:f>
        <x:v>Equipment repair</x:v>
      </x:c>
      <x:c r="F390" s="3" t="str">
        <x:v>Legger-specific proposal; intended use is not an implemented companion ability.</x:v>
      </x:c>
    </x:row>
    <x:row r="391" ht="65" customHeight="1">
      <x:c r="A391" s="3" t="str">
        <x:v>proposal.legger.joint_pin</x:v>
      </x:c>
      <x:c r="B391" s="3" t="str">
        <x:f>IFERROR(INDEX(Items!$B$6:$B$1005,MATCH(A391,Items!$A$6:$A$1005,0)),"MISSING ITEM ID")</x:f>
        <x:v>Replaceable joint pin</x:v>
      </x:c>
      <x:c r="C391" s="3" t="str">
        <x:f>IFERROR(INDEX(Items!$C$6:$C$1005,MATCH(A391,Items!$A$6:$A$1005,0)),"MISSING ITEM ID")</x:f>
        <x:v>Crafting components</x:v>
      </x:c>
      <x:c r="D391" s="3" t="str">
        <x:v>Primary</x:v>
      </x:c>
      <x:c r="E391" s="3" t="str">
        <x:f>IFERROR(INDEX(Items!$Z$6:$Z$1005,MATCH(A391,Items!$A$6:$A$1005,0)),"MISSING ITEM ID")</x:f>
        <x:v>Equipment repair</x:v>
      </x:c>
      <x:c r="F391" s="3" t="str">
        <x:v>Legger-specific proposal; intended use is not an implemented companion ability.</x:v>
      </x:c>
    </x:row>
    <x:row r="392" ht="65" customHeight="1">
      <x:c r="A392" s="3" t="str">
        <x:v>proposal.legger.thrust_washer</x:v>
      </x:c>
      <x:c r="B392" s="3" t="str">
        <x:f>IFERROR(INDEX(Items!$B$6:$B$1005,MATCH(A392,Items!$A$6:$A$1005,0)),"MISSING ITEM ID")</x:f>
        <x:v>Joint thrust washer</x:v>
      </x:c>
      <x:c r="C392" s="3" t="str">
        <x:f>IFERROR(INDEX(Items!$C$6:$C$1005,MATCH(A392,Items!$A$6:$A$1005,0)),"MISSING ITEM ID")</x:f>
        <x:v>Crafting components</x:v>
      </x:c>
      <x:c r="D392" s="3" t="str">
        <x:v>Primary</x:v>
      </x:c>
      <x:c r="E392" s="3" t="str">
        <x:f>IFERROR(INDEX(Items!$Z$6:$Z$1005,MATCH(A392,Items!$A$6:$A$1005,0)),"MISSING ITEM ID")</x:f>
        <x:v>Equipment repair</x:v>
      </x:c>
      <x:c r="F392" s="3" t="str">
        <x:v>Legger-specific proposal; intended use is not an implemented companion ability.</x:v>
      </x:c>
    </x:row>
    <x:row r="393" ht="65" customHeight="1">
      <x:c r="A393" s="3" t="str">
        <x:v>proposal.legger.gear_cluster</x:v>
      </x:c>
      <x:c r="B393" s="3" t="str">
        <x:f>IFERROR(INDEX(Items!$B$6:$B$1005,MATCH(A393,Items!$A$6:$A$1005,0)),"MISSING ITEM ID")</x:f>
        <x:v>Replacement gear cluster</x:v>
      </x:c>
      <x:c r="C393" s="3" t="str">
        <x:f>IFERROR(INDEX(Items!$C$6:$C$1005,MATCH(A393,Items!$A$6:$A$1005,0)),"MISSING ITEM ID")</x:f>
        <x:v>Crafting components</x:v>
      </x:c>
      <x:c r="D393" s="3" t="str">
        <x:v>Primary</x:v>
      </x:c>
      <x:c r="E393" s="3" t="str">
        <x:f>IFERROR(INDEX(Items!$Z$6:$Z$1005,MATCH(A393,Items!$A$6:$A$1005,0)),"MISSING ITEM ID")</x:f>
        <x:v>Machinery drive</x:v>
      </x:c>
      <x:c r="F393" s="3" t="str">
        <x:v>Legger-specific proposal; intended use is not an implemented companion ability.</x:v>
      </x:c>
    </x:row>
    <x:row r="394" ht="65" customHeight="1">
      <x:c r="A394" s="3" t="str">
        <x:v>proposal.legger.gear_cluster</x:v>
      </x:c>
      <x:c r="B394" s="3" t="str">
        <x:f>IFERROR(INDEX(Items!$B$6:$B$1005,MATCH(A394,Items!$A$6:$A$1005,0)),"MISSING ITEM ID")</x:f>
        <x:v>Replacement gear cluster</x:v>
      </x:c>
      <x:c r="C394" s="3" t="str">
        <x:f>IFERROR(INDEX(Items!$C$6:$C$1005,MATCH(A394,Items!$A$6:$A$1005,0)),"MISSING ITEM ID")</x:f>
        <x:v>Crafting components</x:v>
      </x:c>
      <x:c r="D394" s="3" t="str">
        <x:v>Secondary</x:v>
      </x:c>
      <x:c r="E394" s="3" t="str">
        <x:v>Equipment repair</x:v>
      </x:c>
      <x:c r="F394" s="3" t="str">
        <x:v>Legger-specific proposal; intended use is not an implemented companion ability.</x:v>
      </x:c>
    </x:row>
    <x:row r="395" ht="65" customHeight="1">
      <x:c r="A395" s="3" t="str">
        <x:v>proposal.legger.linkage_end</x:v>
      </x:c>
      <x:c r="B395" s="3" t="str">
        <x:f>IFERROR(INDEX(Items!$B$6:$B$1005,MATCH(A395,Items!$A$6:$A$1005,0)),"MISSING ITEM ID")</x:f>
        <x:v>Replacement linkage-end joint</x:v>
      </x:c>
      <x:c r="C395" s="3" t="str">
        <x:f>IFERROR(INDEX(Items!$C$6:$C$1005,MATCH(A395,Items!$A$6:$A$1005,0)),"MISSING ITEM ID")</x:f>
        <x:v>Crafting components</x:v>
      </x:c>
      <x:c r="D395" s="3" t="str">
        <x:v>Primary</x:v>
      </x:c>
      <x:c r="E395" s="3" t="str">
        <x:f>IFERROR(INDEX(Items!$Z$6:$Z$1005,MATCH(A395,Items!$A$6:$A$1005,0)),"MISSING ITEM ID")</x:f>
        <x:v>Equipment repair</x:v>
      </x:c>
      <x:c r="F395" s="3" t="str">
        <x:v>Legger-specific proposal; intended use is not an implemented companion ability.</x:v>
      </x:c>
    </x:row>
    <x:row r="396" ht="65" customHeight="1">
      <x:c r="A396" s="3" t="str">
        <x:v>proposal.legger.tensioner</x:v>
      </x:c>
      <x:c r="B396" s="3" t="str">
        <x:f>IFERROR(INDEX(Items!$B$6:$B$1005,MATCH(A396,Items!$A$6:$A$1005,0)),"MISSING ITEM ID")</x:f>
        <x:v>Drive tensioner assembly</x:v>
      </x:c>
      <x:c r="C396" s="3" t="str">
        <x:f>IFERROR(INDEX(Items!$C$6:$C$1005,MATCH(A396,Items!$A$6:$A$1005,0)),"MISSING ITEM ID")</x:f>
        <x:v>Crafting components</x:v>
      </x:c>
      <x:c r="D396" s="3" t="str">
        <x:v>Primary</x:v>
      </x:c>
      <x:c r="E396" s="3" t="str">
        <x:f>IFERROR(INDEX(Items!$Z$6:$Z$1005,MATCH(A396,Items!$A$6:$A$1005,0)),"MISSING ITEM ID")</x:f>
        <x:v>Machinery drive</x:v>
      </x:c>
      <x:c r="F396" s="3" t="str">
        <x:v>Legger-specific proposal; intended use is not an implemented companion ability.</x:v>
      </x:c>
    </x:row>
    <x:row r="397" ht="65" customHeight="1">
      <x:c r="A397" s="3" t="str">
        <x:v>proposal.legger.tensioner</x:v>
      </x:c>
      <x:c r="B397" s="3" t="str">
        <x:f>IFERROR(INDEX(Items!$B$6:$B$1005,MATCH(A397,Items!$A$6:$A$1005,0)),"MISSING ITEM ID")</x:f>
        <x:v>Drive tensioner assembly</x:v>
      </x:c>
      <x:c r="C397" s="3" t="str">
        <x:f>IFERROR(INDEX(Items!$C$6:$C$1005,MATCH(A397,Items!$A$6:$A$1005,0)),"MISSING ITEM ID")</x:f>
        <x:v>Crafting components</x:v>
      </x:c>
      <x:c r="D397" s="3" t="str">
        <x:v>Secondary</x:v>
      </x:c>
      <x:c r="E397" s="3" t="str">
        <x:v>Equipment repair</x:v>
      </x:c>
      <x:c r="F397" s="3" t="str">
        <x:v>Legger-specific proposal; intended use is not an implemented companion ability.</x:v>
      </x:c>
    </x:row>
    <x:row r="398" ht="65" customHeight="1">
      <x:c r="A398" s="3" t="str">
        <x:v>proposal.legger.scraper_ring</x:v>
      </x:c>
      <x:c r="B398" s="3" t="str">
        <x:f>IFERROR(INDEX(Items!$B$6:$B$1005,MATCH(A398,Items!$A$6:$A$1005,0)),"MISSING ITEM ID")</x:f>
        <x:v>Joint grit-scraper ring</x:v>
      </x:c>
      <x:c r="C398" s="3" t="str">
        <x:f>IFERROR(INDEX(Items!$C$6:$C$1005,MATCH(A398,Items!$A$6:$A$1005,0)),"MISSING ITEM ID")</x:f>
        <x:v>Crafting components</x:v>
      </x:c>
      <x:c r="D398" s="3" t="str">
        <x:v>Primary</x:v>
      </x:c>
      <x:c r="E398" s="3" t="str">
        <x:f>IFERROR(INDEX(Items!$Z$6:$Z$1005,MATCH(A398,Items!$A$6:$A$1005,0)),"MISSING ITEM ID")</x:f>
        <x:v>Dust exclusion</x:v>
      </x:c>
      <x:c r="F398" s="3" t="str">
        <x:v>Legger-specific proposal; intended use is not an implemented companion ability.</x:v>
      </x:c>
    </x:row>
    <x:row r="399" ht="65" customHeight="1">
      <x:c r="A399" s="3" t="str">
        <x:v>proposal.legger.scraper_ring</x:v>
      </x:c>
      <x:c r="B399" s="3" t="str">
        <x:f>IFERROR(INDEX(Items!$B$6:$B$1005,MATCH(A399,Items!$A$6:$A$1005,0)),"MISSING ITEM ID")</x:f>
        <x:v>Joint grit-scraper ring</x:v>
      </x:c>
      <x:c r="C399" s="3" t="str">
        <x:f>IFERROR(INDEX(Items!$C$6:$C$1005,MATCH(A399,Items!$A$6:$A$1005,0)),"MISSING ITEM ID")</x:f>
        <x:v>Crafting components</x:v>
      </x:c>
      <x:c r="D399" s="3" t="str">
        <x:v>Secondary</x:v>
      </x:c>
      <x:c r="E399" s="3" t="str">
        <x:v>Equipment repair</x:v>
      </x:c>
      <x:c r="F399" s="3" t="str">
        <x:v>Legger-specific proposal; intended use is not an implemented companion ability.</x:v>
      </x:c>
    </x:row>
    <x:row r="400" ht="65" customHeight="1">
      <x:c r="A400" s="3" t="str">
        <x:v>proposal.legger.grease_applicator</x:v>
      </x:c>
      <x:c r="B400" s="3" t="str">
        <x:f>IFERROR(INDEX(Items!$B$6:$B$1005,MATCH(A400,Items!$A$6:$A$1005,0)),"MISSING ITEM ID")</x:f>
        <x:v>Joint grease applicator</x:v>
      </x:c>
      <x:c r="C400" s="3" t="str">
        <x:f>IFERROR(INDEX(Items!$C$6:$C$1005,MATCH(A400,Items!$A$6:$A$1005,0)),"MISSING ITEM ID")</x:f>
        <x:v>Equipment</x:v>
      </x:c>
      <x:c r="D400" s="3" t="str">
        <x:v>Primary</x:v>
      </x:c>
      <x:c r="E400" s="3" t="str">
        <x:f>IFERROR(INDEX(Items!$Z$6:$Z$1005,MATCH(A400,Items!$A$6:$A$1005,0)),"MISSING ITEM ID")</x:f>
        <x:v>Lubrication</x:v>
      </x:c>
      <x:c r="F400" s="3" t="str">
        <x:v>Legger-specific proposal; intended use is not an implemented companion ability.</x:v>
      </x:c>
    </x:row>
    <x:row r="401" ht="65" customHeight="1">
      <x:c r="A401" s="3" t="str">
        <x:v>proposal.legger.grease_applicator</x:v>
      </x:c>
      <x:c r="B401" s="3" t="str">
        <x:f>IFERROR(INDEX(Items!$B$6:$B$1005,MATCH(A401,Items!$A$6:$A$1005,0)),"MISSING ITEM ID")</x:f>
        <x:v>Joint grease applicator</x:v>
      </x:c>
      <x:c r="C401" s="3" t="str">
        <x:f>IFERROR(INDEX(Items!$C$6:$C$1005,MATCH(A401,Items!$A$6:$A$1005,0)),"MISSING ITEM ID")</x:f>
        <x:v>Equipment</x:v>
      </x:c>
      <x:c r="D401" s="3" t="str">
        <x:v>Secondary</x:v>
      </x:c>
      <x:c r="E401" s="3" t="str">
        <x:v>Equipment repair</x:v>
      </x:c>
      <x:c r="F401" s="3" t="str">
        <x:v>Legger-specific proposal; intended use is not an implemented companion ability.</x:v>
      </x:c>
    </x:row>
    <x:row r="402" ht="65" customHeight="1">
      <x:c r="A402" s="3" t="str">
        <x:v>proposal.legger.service_adapter</x:v>
      </x:c>
      <x:c r="B402" s="3" t="str">
        <x:f>IFERROR(INDEX(Items!$B$6:$B$1005,MATCH(A402,Items!$A$6:$A$1005,0)),"MISSING ITEM ID")</x:f>
        <x:v>Lubricant service-port adapter</x:v>
      </x:c>
      <x:c r="C402" s="3" t="str">
        <x:f>IFERROR(INDEX(Items!$C$6:$C$1005,MATCH(A402,Items!$A$6:$A$1005,0)),"MISSING ITEM ID")</x:f>
        <x:v>Crafting components</x:v>
      </x:c>
      <x:c r="D402" s="3" t="str">
        <x:v>Primary</x:v>
      </x:c>
      <x:c r="E402" s="3" t="str">
        <x:f>IFERROR(INDEX(Items!$Z$6:$Z$1005,MATCH(A402,Items!$A$6:$A$1005,0)),"MISSING ITEM ID")</x:f>
        <x:v>Material transfer</x:v>
      </x:c>
      <x:c r="F402" s="3" t="str">
        <x:v>Legger-specific proposal; intended use is not an implemented companion ability.</x:v>
      </x:c>
    </x:row>
    <x:row r="403" ht="65" customHeight="1">
      <x:c r="A403" s="3" t="str">
        <x:v>proposal.legger.service_adapter</x:v>
      </x:c>
      <x:c r="B403" s="3" t="str">
        <x:f>IFERROR(INDEX(Items!$B$6:$B$1005,MATCH(A403,Items!$A$6:$A$1005,0)),"MISSING ITEM ID")</x:f>
        <x:v>Lubricant service-port adapter</x:v>
      </x:c>
      <x:c r="C403" s="3" t="str">
        <x:f>IFERROR(INDEX(Items!$C$6:$C$1005,MATCH(A403,Items!$A$6:$A$1005,0)),"MISSING ITEM ID")</x:f>
        <x:v>Crafting components</x:v>
      </x:c>
      <x:c r="D403" s="3" t="str">
        <x:v>Secondary</x:v>
      </x:c>
      <x:c r="E403" s="3" t="str">
        <x:v>Lubrication</x:v>
      </x:c>
      <x:c r="F403" s="3" t="str">
        <x:v>Legger-specific proposal; intended use is not an implemented companion ability.</x:v>
      </x:c>
    </x:row>
    <x:row r="404" ht="65" customHeight="1">
      <x:c r="A404" s="3" t="str">
        <x:v>proposal.legger.service_pick</x:v>
      </x:c>
      <x:c r="B404" s="3" t="str">
        <x:f>IFERROR(INDEX(Items!$B$6:$B$1005,MATCH(A404,Items!$A$6:$A$1005,0)),"MISSING ITEM ID")</x:f>
        <x:v>Joint-service cleaning pick</x:v>
      </x:c>
      <x:c r="C404" s="3" t="str">
        <x:f>IFERROR(INDEX(Items!$C$6:$C$1005,MATCH(A404,Items!$A$6:$A$1005,0)),"MISSING ITEM ID")</x:f>
        <x:v>Equipment</x:v>
      </x:c>
      <x:c r="D404" s="3" t="str">
        <x:v>Primary</x:v>
      </x:c>
      <x:c r="E404" s="3" t="str">
        <x:f>IFERROR(INDEX(Items!$Z$6:$Z$1005,MATCH(A404,Items!$A$6:$A$1005,0)),"MISSING ITEM ID")</x:f>
        <x:v>Cleaning</x:v>
      </x:c>
      <x:c r="F404" s="3" t="str">
        <x:v>Legger-specific proposal; intended use is not an implemented companion ability.</x:v>
      </x:c>
    </x:row>
    <x:row r="405" ht="65" customHeight="1">
      <x:c r="A405" s="3" t="str">
        <x:v>proposal.legger.service_pick</x:v>
      </x:c>
      <x:c r="B405" s="3" t="str">
        <x:f>IFERROR(INDEX(Items!$B$6:$B$1005,MATCH(A405,Items!$A$6:$A$1005,0)),"MISSING ITEM ID")</x:f>
        <x:v>Joint-service cleaning pick</x:v>
      </x:c>
      <x:c r="C405" s="3" t="str">
        <x:f>IFERROR(INDEX(Items!$C$6:$C$1005,MATCH(A405,Items!$A$6:$A$1005,0)),"MISSING ITEM ID")</x:f>
        <x:v>Equipment</x:v>
      </x:c>
      <x:c r="D405" s="3" t="str">
        <x:v>Secondary</x:v>
      </x:c>
      <x:c r="E405" s="3" t="str">
        <x:v>Equipment repair</x:v>
      </x:c>
      <x:c r="F405" s="3" t="str">
        <x:v>Legger-specific proposal; intended use is not an implemented companion ability.</x:v>
      </x:c>
    </x:row>
    <x:row r="406" ht="65" customHeight="1">
      <x:c r="A406" s="3" t="str">
        <x:v>proposal.legger.bearing_puller</x:v>
      </x:c>
      <x:c r="B406" s="3" t="str">
        <x:f>IFERROR(INDEX(Items!$B$6:$B$1005,MATCH(A406,Items!$A$6:$A$1005,0)),"MISSING ITEM ID")</x:f>
        <x:v>Matched bearing-removal tool</x:v>
      </x:c>
      <x:c r="C406" s="3" t="str">
        <x:f>IFERROR(INDEX(Items!$C$6:$C$1005,MATCH(A406,Items!$A$6:$A$1005,0)),"MISSING ITEM ID")</x:f>
        <x:v>Equipment</x:v>
      </x:c>
      <x:c r="D406" s="3" t="str">
        <x:v>Primary</x:v>
      </x:c>
      <x:c r="E406" s="3" t="str">
        <x:f>IFERROR(INDEX(Items!$Z$6:$Z$1005,MATCH(A406,Items!$A$6:$A$1005,0)),"MISSING ITEM ID")</x:f>
        <x:v>Equipment repair</x:v>
      </x:c>
      <x:c r="F406" s="3" t="str">
        <x:v>Legger-specific proposal; intended use is not an implemented companion ability.</x:v>
      </x:c>
    </x:row>
    <x:row r="407" ht="65" customHeight="1">
      <x:c r="A407" s="3" t="str">
        <x:v>proposal.legger.alignment_gauge</x:v>
      </x:c>
      <x:c r="B407" s="3" t="str">
        <x:f>IFERROR(INDEX(Items!$B$6:$B$1005,MATCH(A407,Items!$A$6:$A$1005,0)),"MISSING ITEM ID")</x:f>
        <x:v>Legger alignment gauge</x:v>
      </x:c>
      <x:c r="C407" s="3" t="str">
        <x:f>IFERROR(INDEX(Items!$C$6:$C$1005,MATCH(A407,Items!$A$6:$A$1005,0)),"MISSING ITEM ID")</x:f>
        <x:v>Equipment</x:v>
      </x:c>
      <x:c r="D407" s="3" t="str">
        <x:v>Primary</x:v>
      </x:c>
      <x:c r="E407" s="3" t="str">
        <x:f>IFERROR(INDEX(Items!$Z$6:$Z$1005,MATCH(A407,Items!$A$6:$A$1005,0)),"MISSING ITEM ID")</x:f>
        <x:v>Inspection</x:v>
      </x:c>
      <x:c r="F407" s="3" t="str">
        <x:v>Legger-specific proposal; intended use is not an implemented companion ability.</x:v>
      </x:c>
    </x:row>
    <x:row r="408" ht="65" customHeight="1">
      <x:c r="A408" s="3" t="str">
        <x:v>proposal.legger.alignment_gauge</x:v>
      </x:c>
      <x:c r="B408" s="3" t="str">
        <x:f>IFERROR(INDEX(Items!$B$6:$B$1005,MATCH(A408,Items!$A$6:$A$1005,0)),"MISSING ITEM ID")</x:f>
        <x:v>Legger alignment gauge</x:v>
      </x:c>
      <x:c r="C408" s="3" t="str">
        <x:f>IFERROR(INDEX(Items!$C$6:$C$1005,MATCH(A408,Items!$A$6:$A$1005,0)),"MISSING ITEM ID")</x:f>
        <x:v>Equipment</x:v>
      </x:c>
      <x:c r="D408" s="3" t="str">
        <x:v>Secondary</x:v>
      </x:c>
      <x:c r="E408" s="3" t="str">
        <x:v>Equipment repair</x:v>
      </x:c>
      <x:c r="F408" s="3" t="str">
        <x:v>Legger-specific proposal; intended use is not an implemented companion ability.</x:v>
      </x:c>
    </x:row>
    <x:row r="409" ht="65" customHeight="1">
      <x:c r="A409" s="3" t="str">
        <x:v>proposal.legger.spares_case</x:v>
      </x:c>
      <x:c r="B409" s="3" t="str">
        <x:f>IFERROR(INDEX(Items!$B$6:$B$1005,MATCH(A409,Items!$A$6:$A$1005,0)),"MISSING ITEM ID")</x:f>
        <x:v>Legger fitted spares case</x:v>
      </x:c>
      <x:c r="C409" s="3" t="str">
        <x:f>IFERROR(INDEX(Items!$C$6:$C$1005,MATCH(A409,Items!$A$6:$A$1005,0)),"MISSING ITEM ID")</x:f>
        <x:v>Equipment</x:v>
      </x:c>
      <x:c r="D409" s="3" t="str">
        <x:v>Primary</x:v>
      </x:c>
      <x:c r="E409" s="3" t="str">
        <x:f>IFERROR(INDEX(Items!$Z$6:$Z$1005,MATCH(A409,Items!$A$6:$A$1005,0)),"MISSING ITEM ID")</x:f>
        <x:v>Cargo organization</x:v>
      </x:c>
      <x:c r="F409" s="3" t="str">
        <x:v>Legger-specific proposal; intended use is not an implemented companion ability.</x:v>
      </x:c>
    </x:row>
    <x:row r="410" ht="65" customHeight="1">
      <x:c r="A410" s="3" t="str">
        <x:v>proposal.legger.edge_guard</x:v>
      </x:c>
      <x:c r="B410" s="3" t="str">
        <x:f>IFERROR(INDEX(Items!$B$6:$B$1005,MATCH(A410,Items!$A$6:$A$1005,0)),"MISSING ITEM ID")</x:f>
        <x:v>Chassis leading-edge guard</x:v>
      </x:c>
      <x:c r="C410" s="3" t="str">
        <x:f>IFERROR(INDEX(Items!$C$6:$C$1005,MATCH(A410,Items!$A$6:$A$1005,0)),"MISSING ITEM ID")</x:f>
        <x:v>Equipment</x:v>
      </x:c>
      <x:c r="D410" s="3" t="str">
        <x:v>Primary</x:v>
      </x:c>
      <x:c r="E410" s="3" t="str">
        <x:f>IFERROR(INDEX(Items!$Z$6:$Z$1005,MATCH(A410,Items!$A$6:$A$1005,0)),"MISSING ITEM ID")</x:f>
        <x:v>Protection</x:v>
      </x:c>
      <x:c r="F410" s="3" t="str">
        <x:v>Legger-specific proposal; intended use is not an implemented companion ability.</x:v>
      </x:c>
    </x:row>
    <x:row r="411" ht="65" customHeight="1">
      <x:c r="A411" s="3" t="str">
        <x:v>proposal.legger.instrument_guard</x:v>
      </x:c>
      <x:c r="B411" s="3" t="str">
        <x:f>IFERROR(INDEX(Items!$B$6:$B$1005,MATCH(A411,Items!$A$6:$A$1005,0)),"MISSING ITEM ID")</x:f>
        <x:v>Instrument-face guard</x:v>
      </x:c>
      <x:c r="C411" s="3" t="str">
        <x:f>IFERROR(INDEX(Items!$C$6:$C$1005,MATCH(A411,Items!$A$6:$A$1005,0)),"MISSING ITEM ID")</x:f>
        <x:v>Equipment</x:v>
      </x:c>
      <x:c r="D411" s="3" t="str">
        <x:v>Primary</x:v>
      </x:c>
      <x:c r="E411" s="3" t="str">
        <x:f>IFERROR(INDEX(Items!$Z$6:$Z$1005,MATCH(A411,Items!$A$6:$A$1005,0)),"MISSING ITEM ID")</x:f>
        <x:v>Protection</x:v>
      </x:c>
      <x:c r="F411" s="3" t="str">
        <x:v>Legger-specific proposal; intended use is not an implemented companion ability.</x:v>
      </x:c>
    </x:row>
    <x:row r="412" ht="65" customHeight="1">
      <x:c r="A412" s="3" t="str">
        <x:v>proposal.legger.seam_guard</x:v>
      </x:c>
      <x:c r="B412" s="3" t="str">
        <x:f>IFERROR(INDEX(Items!$B$6:$B$1005,MATCH(A412,Items!$A$6:$A$1005,0)),"MISSING ITEM ID")</x:f>
        <x:v>Armor seam-cover strip</x:v>
      </x:c>
      <x:c r="C412" s="3" t="str">
        <x:f>IFERROR(INDEX(Items!$C$6:$C$1005,MATCH(A412,Items!$A$6:$A$1005,0)),"MISSING ITEM ID")</x:f>
        <x:v>Equipment</x:v>
      </x:c>
      <x:c r="D412" s="3" t="str">
        <x:v>Primary</x:v>
      </x:c>
      <x:c r="E412" s="3" t="str">
        <x:f>IFERROR(INDEX(Items!$Z$6:$Z$1005,MATCH(A412,Items!$A$6:$A$1005,0)),"MISSING ITEM ID")</x:f>
        <x:v>Protection</x:v>
      </x:c>
      <x:c r="F412" s="3" t="str">
        <x:v>Legger-specific proposal; intended use is not an implemented companion ability.</x:v>
      </x:c>
    </x:row>
    <x:row r="413" ht="65" customHeight="1">
      <x:c r="A413" s="3" t="str">
        <x:v>proposal.legger.impact_cap</x:v>
      </x:c>
      <x:c r="B413" s="3" t="str">
        <x:f>IFERROR(INDEX(Items!$B$6:$B$1005,MATCH(A413,Items!$A$6:$A$1005,0)),"MISSING ITEM ID")</x:f>
        <x:v>Sacrificial impact cap</x:v>
      </x:c>
      <x:c r="C413" s="3" t="str">
        <x:f>IFERROR(INDEX(Items!$C$6:$C$1005,MATCH(A413,Items!$A$6:$A$1005,0)),"MISSING ITEM ID")</x:f>
        <x:v>Equipment</x:v>
      </x:c>
      <x:c r="D413" s="3" t="str">
        <x:v>Primary</x:v>
      </x:c>
      <x:c r="E413" s="3" t="str">
        <x:f>IFERROR(INDEX(Items!$Z$6:$Z$1005,MATCH(A413,Items!$A$6:$A$1005,0)),"MISSING ITEM ID")</x:f>
        <x:v>Protection</x:v>
      </x:c>
      <x:c r="F413" s="3" t="str">
        <x:v>Legger-specific proposal; intended use is not an implemented companion ability.</x:v>
      </x:c>
    </x:row>
    <x:row r="414" ht="65" customHeight="1">
      <x:c r="A414" s="3" t="str">
        <x:v>proposal.legger.fragment_liner</x:v>
      </x:c>
      <x:c r="B414" s="3" t="str">
        <x:f>IFERROR(INDEX(Items!$B$6:$B$1005,MATCH(A414,Items!$A$6:$A$1005,0)),"MISSING ITEM ID")</x:f>
        <x:v>Pressed-husk fragment liner</x:v>
      </x:c>
      <x:c r="C414" s="3" t="str">
        <x:f>IFERROR(INDEX(Items!$C$6:$C$1005,MATCH(A414,Items!$A$6:$A$1005,0)),"MISSING ITEM ID")</x:f>
        <x:v>Equipment</x:v>
      </x:c>
      <x:c r="D414" s="3" t="str">
        <x:v>Primary</x:v>
      </x:c>
      <x:c r="E414" s="3" t="str">
        <x:f>IFERROR(INDEX(Items!$Z$6:$Z$1005,MATCH(A414,Items!$A$6:$A$1005,0)),"MISSING ITEM ID")</x:f>
        <x:v>Protection</x:v>
      </x:c>
      <x:c r="F414" s="3" t="str">
        <x:v>Legger-specific proposal; intended use is not an implemented companion ability.</x:v>
      </x:c>
    </x:row>
    <x:row r="415" ht="65" customHeight="1">
      <x:c r="A415" s="3" t="str">
        <x:v>proposal.legger.guard_hinge</x:v>
      </x:c>
      <x:c r="B415" s="3" t="str">
        <x:f>IFERROR(INDEX(Items!$B$6:$B$1005,MATCH(A415,Items!$A$6:$A$1005,0)),"MISSING ITEM ID")</x:f>
        <x:v>Armor-guard hinge assembly</x:v>
      </x:c>
      <x:c r="C415" s="3" t="str">
        <x:f>IFERROR(INDEX(Items!$C$6:$C$1005,MATCH(A415,Items!$A$6:$A$1005,0)),"MISSING ITEM ID")</x:f>
        <x:v>Crafting components</x:v>
      </x:c>
      <x:c r="D415" s="3" t="str">
        <x:v>Primary</x:v>
      </x:c>
      <x:c r="E415" s="3" t="str">
        <x:f>IFERROR(INDEX(Items!$Z$6:$Z$1005,MATCH(A415,Items!$A$6:$A$1005,0)),"MISSING ITEM ID")</x:f>
        <x:v>Equipment mounting</x:v>
      </x:c>
      <x:c r="F415" s="3" t="str">
        <x:v>Legger-specific proposal; intended use is not an implemented companion ability.</x:v>
      </x:c>
    </x:row>
    <x:row r="416" ht="65" customHeight="1">
      <x:c r="A416" s="3" t="str">
        <x:v>proposal.legger.guard_hinge</x:v>
      </x:c>
      <x:c r="B416" s="3" t="str">
        <x:f>IFERROR(INDEX(Items!$B$6:$B$1005,MATCH(A416,Items!$A$6:$A$1005,0)),"MISSING ITEM ID")</x:f>
        <x:v>Armor-guard hinge assembly</x:v>
      </x:c>
      <x:c r="C416" s="3" t="str">
        <x:f>IFERROR(INDEX(Items!$C$6:$C$1005,MATCH(A416,Items!$A$6:$A$1005,0)),"MISSING ITEM ID")</x:f>
        <x:v>Crafting components</x:v>
      </x:c>
      <x:c r="D416" s="3" t="str">
        <x:v>Secondary</x:v>
      </x:c>
      <x:c r="E416" s="3" t="str">
        <x:v>Equipment repair</x:v>
      </x:c>
      <x:c r="F416" s="3" t="str">
        <x:v>Legger-specific proposal; intended use is not an implemented companion ability.</x:v>
      </x:c>
    </x:row>
    <x:row r="417" ht="65" customHeight="1">
      <x:c r="A417" s="3" t="str">
        <x:v>proposal.legger.plasteel_collar</x:v>
      </x:c>
      <x:c r="B417" s="3" t="str">
        <x:f>IFERROR(INDEX(Items!$B$6:$B$1005,MATCH(A417,Items!$A$6:$A$1005,0)),"MISSING ITEM ID")</x:f>
        <x:v>Ancient plasteel joint collar</x:v>
      </x:c>
      <x:c r="C417" s="3" t="str">
        <x:f>IFERROR(INDEX(Items!$C$6:$C$1005,MATCH(A417,Items!$A$6:$A$1005,0)),"MISSING ITEM ID")</x:f>
        <x:v>Crafting components</x:v>
      </x:c>
      <x:c r="D417" s="3" t="str">
        <x:v>Primary</x:v>
      </x:c>
      <x:c r="E417" s="3" t="str">
        <x:f>IFERROR(INDEX(Items!$Z$6:$Z$1005,MATCH(A417,Items!$A$6:$A$1005,0)),"MISSING ITEM ID")</x:f>
        <x:v>Equipment repair</x:v>
      </x:c>
      <x:c r="F417" s="3" t="str">
        <x:v>Legger-specific proposal; intended use is not an implemented companion ability.</x:v>
      </x:c>
    </x:row>
    <x:row r="418" ht="65" customHeight="1">
      <x:c r="A418" s="3" t="str">
        <x:v>proposal.legger.tension_member</x:v>
      </x:c>
      <x:c r="B418" s="3" t="str">
        <x:f>IFERROR(INDEX(Items!$B$6:$B$1005,MATCH(A418,Items!$A$6:$A$1005,0)),"MISSING ITEM ID")</x:f>
        <x:v>Ancient nanocarbon tension member</x:v>
      </x:c>
      <x:c r="C418" s="3" t="str">
        <x:f>IFERROR(INDEX(Items!$C$6:$C$1005,MATCH(A418,Items!$A$6:$A$1005,0)),"MISSING ITEM ID")</x:f>
        <x:v>Crafting components</x:v>
      </x:c>
      <x:c r="D418" s="3" t="str">
        <x:v>Primary</x:v>
      </x:c>
      <x:c r="E418" s="3" t="str">
        <x:f>IFERROR(INDEX(Items!$Z$6:$Z$1005,MATCH(A418,Items!$A$6:$A$1005,0)),"MISSING ITEM ID")</x:f>
        <x:v>Equipment repair</x:v>
      </x:c>
      <x:c r="F418" s="3" t="str">
        <x:v>Legger-specific proposal; intended use is not an implemented companion ability.</x:v>
      </x:c>
    </x:row>
    <x:row r="419" ht="65" customHeight="1">
      <x:c r="A419" s="3" t="str">
        <x:v>proposal.legger.friction_insert</x:v>
      </x:c>
      <x:c r="B419" s="3" t="str">
        <x:f>IFERROR(INDEX(Items!$B$6:$B$1005,MATCH(A419,Items!$A$6:$A$1005,0)),"MISSING ITEM ID")</x:f>
        <x:v>Ancient friction-interface insert</x:v>
      </x:c>
      <x:c r="C419" s="3" t="str">
        <x:f>IFERROR(INDEX(Items!$C$6:$C$1005,MATCH(A419,Items!$A$6:$A$1005,0)),"MISSING ITEM ID")</x:f>
        <x:v>Crafting components</x:v>
      </x:c>
      <x:c r="D419" s="3" t="str">
        <x:v>Primary</x:v>
      </x:c>
      <x:c r="E419" s="3" t="str">
        <x:f>IFERROR(INDEX(Items!$Z$6:$Z$1005,MATCH(A419,Items!$A$6:$A$1005,0)),"MISSING ITEM ID")</x:f>
        <x:v>Equipment repair</x:v>
      </x:c>
      <x:c r="F419" s="3" t="str">
        <x:v>Legger-specific proposal; intended use is not an implemented companion ability.</x:v>
      </x:c>
    </x:row>
    <x:row r="420" ht="65" customHeight="1">
      <x:c r="A420" s="3" t="str">
        <x:v>proposal.legger.ceramic_race</x:v>
      </x:c>
      <x:c r="B420" s="3" t="str">
        <x:f>IFERROR(INDEX(Items!$B$6:$B$1005,MATCH(A420,Items!$A$6:$A$1005,0)),"MISSING ITEM ID")</x:f>
        <x:v>Ancient precision ceramic bearing race</x:v>
      </x:c>
      <x:c r="C420" s="3" t="str">
        <x:f>IFERROR(INDEX(Items!$C$6:$C$1005,MATCH(A420,Items!$A$6:$A$1005,0)),"MISSING ITEM ID")</x:f>
        <x:v>Crafting components</x:v>
      </x:c>
      <x:c r="D420" s="3" t="str">
        <x:v>Primary</x:v>
      </x:c>
      <x:c r="E420" s="3" t="str">
        <x:f>IFERROR(INDEX(Items!$Z$6:$Z$1005,MATCH(A420,Items!$A$6:$A$1005,0)),"MISSING ITEM ID")</x:f>
        <x:v>Equipment repair</x:v>
      </x:c>
      <x:c r="F420" s="3" t="str">
        <x:v>Legger-specific proposal; intended use is not an implemented companion ability.</x:v>
      </x:c>
    </x:row>
    <x:row r="421" ht="65" customHeight="1">
      <x:c r="A421" s="3" t="str">
        <x:v>proposal.legger.impact_lattice</x:v>
      </x:c>
      <x:c r="B421" s="3" t="str">
        <x:f>IFERROR(INDEX(Items!$B$6:$B$1005,MATCH(A421,Items!$A$6:$A$1005,0)),"MISSING ITEM ID")</x:f>
        <x:v>Ancient impact-lattice backing</x:v>
      </x:c>
      <x:c r="C421" s="3" t="str">
        <x:f>IFERROR(INDEX(Items!$C$6:$C$1005,MATCH(A421,Items!$A$6:$A$1005,0)),"MISSING ITEM ID")</x:f>
        <x:v>Equipment</x:v>
      </x:c>
      <x:c r="D421" s="3" t="str">
        <x:v>Primary</x:v>
      </x:c>
      <x:c r="E421" s="3" t="str">
        <x:f>IFERROR(INDEX(Items!$Z$6:$Z$1005,MATCH(A421,Items!$A$6:$A$1005,0)),"MISSING ITEM ID")</x:f>
        <x:v>Protection</x:v>
      </x:c>
      <x:c r="F421" s="3" t="str">
        <x:v>Legger-specific proposal; intended use is not an implemented companion ability.</x:v>
      </x:c>
    </x:row>
    <x:row r="422" ht="65" customHeight="1">
      <x:c r="A422" s="3" t="str">
        <x:v>proposal.legger.interface_adapter</x:v>
      </x:c>
      <x:c r="B422" s="3" t="str">
        <x:f>IFERROR(INDEX(Items!$B$6:$B$1005,MATCH(A422,Items!$A$6:$A$1005,0)),"MISSING ITEM ID")</x:f>
        <x:v>Ancient module interface adapter</x:v>
      </x:c>
      <x:c r="C422" s="3" t="str">
        <x:f>IFERROR(INDEX(Items!$C$6:$C$1005,MATCH(A422,Items!$A$6:$A$1005,0)),"MISSING ITEM ID")</x:f>
        <x:v>Crafting components</x:v>
      </x:c>
      <x:c r="D422" s="3" t="str">
        <x:v>Primary</x:v>
      </x:c>
      <x:c r="E422" s="3" t="str">
        <x:f>IFERROR(INDEX(Items!$Z$6:$Z$1005,MATCH(A422,Items!$A$6:$A$1005,0)),"MISSING ITEM ID")</x:f>
        <x:v>Equipment mounting</x:v>
      </x:c>
      <x:c r="F422" s="3" t="str">
        <x:v>Legger-specific proposal; intended use is not an implemented companion ability.</x:v>
      </x:c>
    </x:row>
    <x:row r="423" ht="65" customHeight="1">
      <x:c r="A423" s="3" t="str">
        <x:v>proposal.food.drink_portion</x:v>
      </x:c>
      <x:c r="B423" s="3" t="str">
        <x:f>IFERROR(INDEX(Items!$B$6:$B$1005,MATCH(A423,Items!$A$6:$A$1005,0)),"MISSING ITEM ID")</x:f>
        <x:v>Prepared Phagia drink portion</x:v>
      </x:c>
      <x:c r="C423" s="3" t="str">
        <x:f>IFERROR(INDEX(Items!$C$6:$C$1005,MATCH(A423,Items!$A$6:$A$1005,0)),"MISSING ITEM ID")</x:f>
        <x:v>Consumables</x:v>
      </x:c>
      <x:c r="D423" s="3" t="str">
        <x:v>Primary</x:v>
      </x:c>
      <x:c r="E423" s="3" t="str">
        <x:f>IFERROR(INDEX(Items!$Z$6:$Z$1005,MATCH(A423,Items!$A$6:$A$1005,0)),"MISSING ITEM ID")</x:f>
        <x:v>Hydration</x:v>
      </x:c>
      <x:c r="F423" s="3" t="str">
        <x:v>Food direction / item proposal. Consumption values, ingredient compatibility and packaging behavior unresolved.</x:v>
      </x:c>
    </x:row>
    <x:row r="424" ht="65" customHeight="1">
      <x:c r="A424" s="3" t="str">
        <x:v>proposal.food.drink_portion</x:v>
      </x:c>
      <x:c r="B424" s="3" t="str">
        <x:f>IFERROR(INDEX(Items!$B$6:$B$1005,MATCH(A424,Items!$A$6:$A$1005,0)),"MISSING ITEM ID")</x:f>
        <x:v>Prepared Phagia drink portion</x:v>
      </x:c>
      <x:c r="C424" s="3" t="str">
        <x:f>IFERROR(INDEX(Items!$C$6:$C$1005,MATCH(A424,Items!$A$6:$A$1005,0)),"MISSING ITEM ID")</x:f>
        <x:v>Consumables</x:v>
      </x:c>
      <x:c r="D424" s="3" t="str">
        <x:v>Secondary</x:v>
      </x:c>
      <x:c r="E424" s="3" t="str">
        <x:v>Nutrition</x:v>
      </x:c>
      <x:c r="F424" s="3" t="str">
        <x:v>Food direction / item proposal. Consumption values, ingredient compatibility and packaging behavior unresolved.</x:v>
      </x:c>
    </x:row>
    <x:row r="425" ht="65" customHeight="1">
      <x:c r="A425" s="3" t="str">
        <x:v>proposal.food.dense_drink</x:v>
      </x:c>
      <x:c r="B425" s="3" t="str">
        <x:f>IFERROR(INDEX(Items!$B$6:$B$1005,MATCH(A425,Items!$A$6:$A$1005,0)),"MISSING ITEM ID")</x:f>
        <x:v>Dense Phagia nutrient drink</x:v>
      </x:c>
      <x:c r="C425" s="3" t="str">
        <x:f>IFERROR(INDEX(Items!$C$6:$C$1005,MATCH(A425,Items!$A$6:$A$1005,0)),"MISSING ITEM ID")</x:f>
        <x:v>Consumables</x:v>
      </x:c>
      <x:c r="D425" s="3" t="str">
        <x:v>Primary</x:v>
      </x:c>
      <x:c r="E425" s="3" t="str">
        <x:f>IFERROR(INDEX(Items!$Z$6:$Z$1005,MATCH(A425,Items!$A$6:$A$1005,0)),"MISSING ITEM ID")</x:f>
        <x:v>Nutrition</x:v>
      </x:c>
      <x:c r="F425" s="3" t="str">
        <x:v>Food direction / item proposal. Consumption values, ingredient compatibility and packaging behavior unresolved.</x:v>
      </x:c>
    </x:row>
    <x:row r="426" ht="65" customHeight="1">
      <x:c r="A426" s="3" t="str">
        <x:v>proposal.food.dense_drink</x:v>
      </x:c>
      <x:c r="B426" s="3" t="str">
        <x:f>IFERROR(INDEX(Items!$B$6:$B$1005,MATCH(A426,Items!$A$6:$A$1005,0)),"MISSING ITEM ID")</x:f>
        <x:v>Dense Phagia nutrient drink</x:v>
      </x:c>
      <x:c r="C426" s="3" t="str">
        <x:f>IFERROR(INDEX(Items!$C$6:$C$1005,MATCH(A426,Items!$A$6:$A$1005,0)),"MISSING ITEM ID")</x:f>
        <x:v>Consumables</x:v>
      </x:c>
      <x:c r="D426" s="3" t="str">
        <x:v>Secondary</x:v>
      </x:c>
      <x:c r="E426" s="3" t="str">
        <x:v>Hydration</x:v>
      </x:c>
      <x:c r="F426" s="3" t="str">
        <x:v>Food direction / item proposal. Consumption values, ingredient compatibility and packaging behavior unresolved.</x:v>
      </x:c>
    </x:row>
    <x:row r="427" ht="65" customHeight="1">
      <x:c r="A427" s="3" t="str">
        <x:v>proposal.food.ration_bar</x:v>
      </x:c>
      <x:c r="B427" s="3" t="str">
        <x:f>IFERROR(INDEX(Items!$B$6:$B$1005,MATCH(A427,Items!$A$6:$A$1005,0)),"MISSING ITEM ID")</x:f>
        <x:v>Phagia ration bar</x:v>
      </x:c>
      <x:c r="C427" s="3" t="str">
        <x:f>IFERROR(INDEX(Items!$C$6:$C$1005,MATCH(A427,Items!$A$6:$A$1005,0)),"MISSING ITEM ID")</x:f>
        <x:v>Consumables</x:v>
      </x:c>
      <x:c r="D427" s="3" t="str">
        <x:v>Primary</x:v>
      </x:c>
      <x:c r="E427" s="3" t="str">
        <x:f>IFERROR(INDEX(Items!$Z$6:$Z$1005,MATCH(A427,Items!$A$6:$A$1005,0)),"MISSING ITEM ID")</x:f>
        <x:v>Nutrition</x:v>
      </x:c>
      <x:c r="F427" s="3" t="str">
        <x:v>Food direction / item proposal. Consumption values, ingredient compatibility and packaging behavior unresolved.</x:v>
      </x:c>
    </x:row>
    <x:row r="428" ht="65" customHeight="1">
      <x:c r="A428" s="3" t="str">
        <x:v>proposal.food.dried_bar</x:v>
      </x:c>
      <x:c r="B428" s="3" t="str">
        <x:f>IFERROR(INDEX(Items!$B$6:$B$1005,MATCH(A428,Items!$A$6:$A$1005,0)),"MISSING ITEM ID")</x:f>
        <x:v>Dried Phagia travel bar</x:v>
      </x:c>
      <x:c r="C428" s="3" t="str">
        <x:f>IFERROR(INDEX(Items!$C$6:$C$1005,MATCH(A428,Items!$A$6:$A$1005,0)),"MISSING ITEM ID")</x:f>
        <x:v>Consumables</x:v>
      </x:c>
      <x:c r="D428" s="3" t="str">
        <x:v>Primary</x:v>
      </x:c>
      <x:c r="E428" s="3" t="str">
        <x:f>IFERROR(INDEX(Items!$Z$6:$Z$1005,MATCH(A428,Items!$A$6:$A$1005,0)),"MISSING ITEM ID")</x:f>
        <x:v>Nutrition</x:v>
      </x:c>
      <x:c r="F428" s="3" t="str">
        <x:v>Food direction / item proposal. Consumption values, ingredient compatibility and packaging behavior unresolved.</x:v>
      </x:c>
    </x:row>
    <x:row r="429" ht="65" customHeight="1">
      <x:c r="A429" s="3" t="str">
        <x:v>proposal.food.meal_paste</x:v>
      </x:c>
      <x:c r="B429" s="3" t="str">
        <x:f>IFERROR(INDEX(Items!$B$6:$B$1005,MATCH(A429,Items!$A$6:$A$1005,0)),"MISSING ITEM ID")</x:f>
        <x:v>Prepared Phagia meal paste</x:v>
      </x:c>
      <x:c r="C429" s="3" t="str">
        <x:f>IFERROR(INDEX(Items!$C$6:$C$1005,MATCH(A429,Items!$A$6:$A$1005,0)),"MISSING ITEM ID")</x:f>
        <x:v>Consumables</x:v>
      </x:c>
      <x:c r="D429" s="3" t="str">
        <x:v>Primary</x:v>
      </x:c>
      <x:c r="E429" s="3" t="str">
        <x:f>IFERROR(INDEX(Items!$Z$6:$Z$1005,MATCH(A429,Items!$A$6:$A$1005,0)),"MISSING ITEM ID")</x:f>
        <x:v>Nutrition</x:v>
      </x:c>
      <x:c r="F429" s="3" t="str">
        <x:v>Food direction / item proposal. Consumption values, ingredient compatibility and packaging behavior unresolved.</x:v>
      </x:c>
    </x:row>
    <x:row r="430" ht="65" customHeight="1">
      <x:c r="A430" s="3" t="str">
        <x:v>proposal.food.meal_portion</x:v>
      </x:c>
      <x:c r="B430" s="3" t="str">
        <x:f>IFERROR(INDEX(Items!$B$6:$B$1005,MATCH(A430,Items!$A$6:$A$1005,0)),"MISSING ITEM ID")</x:f>
        <x:v>Prepared Phagia meal portion</x:v>
      </x:c>
      <x:c r="C430" s="3" t="str">
        <x:f>IFERROR(INDEX(Items!$C$6:$C$1005,MATCH(A430,Items!$A$6:$A$1005,0)),"MISSING ITEM ID")</x:f>
        <x:v>Consumables</x:v>
      </x:c>
      <x:c r="D430" s="3" t="str">
        <x:v>Primary</x:v>
      </x:c>
      <x:c r="E430" s="3" t="str">
        <x:f>IFERROR(INDEX(Items!$Z$6:$Z$1005,MATCH(A430,Items!$A$6:$A$1005,0)),"MISSING ITEM ID")</x:f>
        <x:v>Nutrition</x:v>
      </x:c>
      <x:c r="F430" s="3" t="str">
        <x:v>Food direction / item proposal. Consumption values, ingredient compatibility and packaging behavior unresolved.</x:v>
      </x:c>
    </x:row>
    <x:row r="431" ht="65" customHeight="1">
      <x:c r="A431" s="3" t="str">
        <x:v>proposal.food.fauna_flake_dish</x:v>
      </x:c>
      <x:c r="B431" s="3" t="str">
        <x:f>IFERROR(INDEX(Items!$B$6:$B$1005,MATCH(A431,Items!$A$6:$A$1005,0)),"MISSING ITEM ID")</x:f>
        <x:v>Phagia and edible-fauna flake delicacy</x:v>
      </x:c>
      <x:c r="C431" s="3" t="str">
        <x:f>IFERROR(INDEX(Items!$C$6:$C$1005,MATCH(A431,Items!$A$6:$A$1005,0)),"MISSING ITEM ID")</x:f>
        <x:v>Consumables</x:v>
      </x:c>
      <x:c r="D431" s="3" t="str">
        <x:v>Primary</x:v>
      </x:c>
      <x:c r="E431" s="3" t="str">
        <x:f>IFERROR(INDEX(Items!$Z$6:$Z$1005,MATCH(A431,Items!$A$6:$A$1005,0)),"MISSING ITEM ID")</x:f>
        <x:v>Nutrition</x:v>
      </x:c>
      <x:c r="F431" s="3" t="str">
        <x:v>Food direction / item proposal. Consumption values, ingredient compatibility and packaging behavior unresolved.</x:v>
      </x:c>
    </x:row>
    <x:row r="432" ht="65" customHeight="1">
      <x:c r="A432" s="3" t="str">
        <x:v>proposal.food.layered_delicacy</x:v>
      </x:c>
      <x:c r="B432" s="3" t="str">
        <x:f>IFERROR(INDEX(Items!$B$6:$B$1005,MATCH(A432,Items!$A$6:$A$1005,0)),"MISSING ITEM ID")</x:f>
        <x:v>Layered Phagia-fauna delicacy</x:v>
      </x:c>
      <x:c r="C432" s="3" t="str">
        <x:f>IFERROR(INDEX(Items!$C$6:$C$1005,MATCH(A432,Items!$A$6:$A$1005,0)),"MISSING ITEM ID")</x:f>
        <x:v>Consumables</x:v>
      </x:c>
      <x:c r="D432" s="3" t="str">
        <x:v>Primary</x:v>
      </x:c>
      <x:c r="E432" s="3" t="str">
        <x:f>IFERROR(INDEX(Items!$Z$6:$Z$1005,MATCH(A432,Items!$A$6:$A$1005,0)),"MISSING ITEM ID")</x:f>
        <x:v>Nutrition</x:v>
      </x:c>
      <x:c r="F432" s="3" t="str">
        <x:v>Food direction / item proposal. Consumption values, ingredient compatibility and packaging behavior unresolved.</x:v>
      </x:c>
    </x:row>
    <x:row r="433" ht="65" customHeight="1">
      <x:c r="A433" s="3" t="str">
        <x:v>proposal.food.crisp_delicacy</x:v>
      </x:c>
      <x:c r="B433" s="3" t="str">
        <x:f>IFERROR(INDEX(Items!$B$6:$B$1005,MATCH(A433,Items!$A$6:$A$1005,0)),"MISSING ITEM ID")</x:f>
        <x:v>Crisp Phagia-fauna wafer</x:v>
      </x:c>
      <x:c r="C433" s="3" t="str">
        <x:f>IFERROR(INDEX(Items!$C$6:$C$1005,MATCH(A433,Items!$A$6:$A$1005,0)),"MISSING ITEM ID")</x:f>
        <x:v>Consumables</x:v>
      </x:c>
      <x:c r="D433" s="3" t="str">
        <x:v>Primary</x:v>
      </x:c>
      <x:c r="E433" s="3" t="str">
        <x:f>IFERROR(INDEX(Items!$Z$6:$Z$1005,MATCH(A433,Items!$A$6:$A$1005,0)),"MISSING ITEM ID")</x:f>
        <x:v>Nutrition</x:v>
      </x:c>
      <x:c r="F433" s="3" t="str">
        <x:v>Food direction / item proposal. Consumption values, ingredient compatibility and packaging behavior unresolved.</x:v>
      </x:c>
    </x:row>
    <x:row r="434" ht="65" customHeight="1">
      <x:c r="A434" s="3" t="str">
        <x:v>proposal.food.edible_flakes</x:v>
      </x:c>
      <x:c r="B434" s="3" t="str">
        <x:f>IFERROR(INDEX(Items!$B$6:$B$1005,MATCH(A434,Items!$A$6:$A$1005,0)),"MISSING ITEM ID")</x:f>
        <x:v>Prepared edible-fauna flakes</x:v>
      </x:c>
      <x:c r="C434" s="3" t="str">
        <x:f>IFERROR(INDEX(Items!$C$6:$C$1005,MATCH(A434,Items!$A$6:$A$1005,0)),"MISSING ITEM ID")</x:f>
        <x:v>Resources</x:v>
      </x:c>
      <x:c r="D434" s="3" t="str">
        <x:v>Primary</x:v>
      </x:c>
      <x:c r="E434" s="3" t="str">
        <x:f>IFERROR(INDEX(Items!$Z$6:$Z$1005,MATCH(A434,Items!$A$6:$A$1005,0)),"MISSING ITEM ID")</x:f>
        <x:v>Food preparation</x:v>
      </x:c>
      <x:c r="F434" s="3" t="str">
        <x:v>Food direction / item proposal. Consumption values, ingredient compatibility and packaging behavior unresolved.</x:v>
      </x:c>
    </x:row>
    <x:row r="435" ht="65" customHeight="1">
      <x:c r="A435" s="3" t="str">
        <x:v>proposal.food.edible_paste</x:v>
      </x:c>
      <x:c r="B435" s="3" t="str">
        <x:f>IFERROR(INDEX(Items!$B$6:$B$1005,MATCH(A435,Items!$A$6:$A$1005,0)),"MISSING ITEM ID")</x:f>
        <x:v>Prepared edible-fauna paste</x:v>
      </x:c>
      <x:c r="C435" s="3" t="str">
        <x:f>IFERROR(INDEX(Items!$C$6:$C$1005,MATCH(A435,Items!$A$6:$A$1005,0)),"MISSING ITEM ID")</x:f>
        <x:v>Resources</x:v>
      </x:c>
      <x:c r="D435" s="3" t="str">
        <x:v>Primary</x:v>
      </x:c>
      <x:c r="E435" s="3" t="str">
        <x:f>IFERROR(INDEX(Items!$Z$6:$Z$1005,MATCH(A435,Items!$A$6:$A$1005,0)),"MISSING ITEM ID")</x:f>
        <x:v>Food preparation</x:v>
      </x:c>
      <x:c r="F435" s="3" t="str">
        <x:v>Food direction / item proposal. Consumption values, ingredient compatibility and packaging behavior unresolved.</x:v>
      </x:c>
    </x:row>
    <x:row r="436" ht="65" customHeight="1">
      <x:c r="A436" s="3" t="str">
        <x:v>proposal.food.drink_flask</x:v>
      </x:c>
      <x:c r="B436" s="3" t="str">
        <x:f>IFERROR(INDEX(Items!$B$6:$B$1005,MATCH(A436,Items!$A$6:$A$1005,0)),"MISSING ITEM ID")</x:f>
        <x:v>Reusable Phagia drinking flask</x:v>
      </x:c>
      <x:c r="C436" s="3" t="str">
        <x:f>IFERROR(INDEX(Items!$C$6:$C$1005,MATCH(A436,Items!$A$6:$A$1005,0)),"MISSING ITEM ID")</x:f>
        <x:v>Containers</x:v>
      </x:c>
      <x:c r="D436" s="3" t="str">
        <x:v>Primary</x:v>
      </x:c>
      <x:c r="E436" s="3" t="str">
        <x:f>IFERROR(INDEX(Items!$Z$6:$Z$1005,MATCH(A436,Items!$A$6:$A$1005,0)),"MISSING ITEM ID")</x:f>
        <x:v>Food service</x:v>
      </x:c>
      <x:c r="F436" s="3" t="str">
        <x:v>Food direction / item proposal. Consumption values, ingredient compatibility and packaging behavior unresolved.</x:v>
      </x:c>
    </x:row>
    <x:row r="437" ht="65" customHeight="1">
      <x:c r="A437" s="3" t="str">
        <x:v>proposal.food.drink_flask</x:v>
      </x:c>
      <x:c r="B437" s="3" t="str">
        <x:f>IFERROR(INDEX(Items!$B$6:$B$1005,MATCH(A437,Items!$A$6:$A$1005,0)),"MISSING ITEM ID")</x:f>
        <x:v>Reusable Phagia drinking flask</x:v>
      </x:c>
      <x:c r="C437" s="3" t="str">
        <x:f>IFERROR(INDEX(Items!$C$6:$C$1005,MATCH(A437,Items!$A$6:$A$1005,0)),"MISSING ITEM ID")</x:f>
        <x:v>Containers</x:v>
      </x:c>
      <x:c r="D437" s="3" t="str">
        <x:v>Secondary</x:v>
      </x:c>
      <x:c r="E437" s="3" t="str">
        <x:v>Cargo organization</x:v>
      </x:c>
      <x:c r="F437" s="3" t="str">
        <x:v>Food direction / item proposal. Consumption values, ingredient compatibility and packaging behavior unresolved.</x:v>
      </x:c>
    </x:row>
    <x:row r="438" ht="65" customHeight="1">
      <x:c r="A438" s="3" t="str">
        <x:v>proposal.food.bar_case</x:v>
      </x:c>
      <x:c r="B438" s="3" t="str">
        <x:f>IFERROR(INDEX(Items!$B$6:$B$1005,MATCH(A438,Items!$A$6:$A$1005,0)),"MISSING ITEM ID")</x:f>
        <x:v>Phagia ration-bar case</x:v>
      </x:c>
      <x:c r="C438" s="3" t="str">
        <x:f>IFERROR(INDEX(Items!$C$6:$C$1005,MATCH(A438,Items!$A$6:$A$1005,0)),"MISSING ITEM ID")</x:f>
        <x:v>Containers</x:v>
      </x:c>
      <x:c r="D438" s="3" t="str">
        <x:v>Primary</x:v>
      </x:c>
      <x:c r="E438" s="3" t="str">
        <x:f>IFERROR(INDEX(Items!$Z$6:$Z$1005,MATCH(A438,Items!$A$6:$A$1005,0)),"MISSING ITEM ID")</x:f>
        <x:v>Food service</x:v>
      </x:c>
      <x:c r="F438" s="3" t="str">
        <x:v>Food direction / item proposal. Consumption values, ingredient compatibility and packaging behavior unresolved.</x:v>
      </x:c>
    </x:row>
    <x:row r="439" ht="65" customHeight="1">
      <x:c r="A439" s="3" t="str">
        <x:v>proposal.food.bar_case</x:v>
      </x:c>
      <x:c r="B439" s="3" t="str">
        <x:f>IFERROR(INDEX(Items!$B$6:$B$1005,MATCH(A439,Items!$A$6:$A$1005,0)),"MISSING ITEM ID")</x:f>
        <x:v>Phagia ration-bar case</x:v>
      </x:c>
      <x:c r="C439" s="3" t="str">
        <x:f>IFERROR(INDEX(Items!$C$6:$C$1005,MATCH(A439,Items!$A$6:$A$1005,0)),"MISSING ITEM ID")</x:f>
        <x:v>Containers</x:v>
      </x:c>
      <x:c r="D439" s="3" t="str">
        <x:v>Secondary</x:v>
      </x:c>
      <x:c r="E439" s="3" t="str">
        <x:v>Cargo organization</x:v>
      </x:c>
      <x:c r="F439" s="3" t="str">
        <x:v>Food direction / item proposal. Consumption values, ingredient compatibility and packaging behavior unresolved.</x:v>
      </x:c>
    </x:row>
    <x:row r="440" ht="65" customHeight="1">
      <x:c r="A440" s="3" t="str">
        <x:v>proposal.food.meal_carrier</x:v>
      </x:c>
      <x:c r="B440" s="3" t="str">
        <x:f>IFERROR(INDEX(Items!$B$6:$B$1005,MATCH(A440,Items!$A$6:$A$1005,0)),"MISSING ITEM ID")</x:f>
        <x:v>Prepared-meal carrier</x:v>
      </x:c>
      <x:c r="C440" s="3" t="str">
        <x:f>IFERROR(INDEX(Items!$C$6:$C$1005,MATCH(A440,Items!$A$6:$A$1005,0)),"MISSING ITEM ID")</x:f>
        <x:v>Containers</x:v>
      </x:c>
      <x:c r="D440" s="3" t="str">
        <x:v>Primary</x:v>
      </x:c>
      <x:c r="E440" s="3" t="str">
        <x:f>IFERROR(INDEX(Items!$Z$6:$Z$1005,MATCH(A440,Items!$A$6:$A$1005,0)),"MISSING ITEM ID")</x:f>
        <x:v>Food service</x:v>
      </x:c>
      <x:c r="F440" s="3" t="str">
        <x:v>Food direction / item proposal. Consumption values, ingredient compatibility and packaging behavior unresolved.</x:v>
      </x:c>
    </x:row>
    <x:row r="441" ht="65" customHeight="1">
      <x:c r="A441" s="3" t="str">
        <x:v>proposal.food.meal_carrier</x:v>
      </x:c>
      <x:c r="B441" s="3" t="str">
        <x:f>IFERROR(INDEX(Items!$B$6:$B$1005,MATCH(A441,Items!$A$6:$A$1005,0)),"MISSING ITEM ID")</x:f>
        <x:v>Prepared-meal carrier</x:v>
      </x:c>
      <x:c r="C441" s="3" t="str">
        <x:f>IFERROR(INDEX(Items!$C$6:$C$1005,MATCH(A441,Items!$A$6:$A$1005,0)),"MISSING ITEM ID")</x:f>
        <x:v>Containers</x:v>
      </x:c>
      <x:c r="D441" s="3" t="str">
        <x:v>Secondary</x:v>
      </x:c>
      <x:c r="E441" s="3" t="str">
        <x:v>Cargo organization</x:v>
      </x:c>
      <x:c r="F441" s="3" t="str">
        <x:v>Food direction / item proposal. Consumption values, ingredient compatibility and packaging behavior unresolved.</x:v>
      </x:c>
    </x:row>
    <x:row r="442" ht="65" customHeight="1">
      <x:c r="A442" s="3" t="str">
        <x:v>proposal.raw.basalt</x:v>
      </x:c>
      <x:c r="B442" s="3" t="str">
        <x:f>IFERROR(INDEX(Items!$B$6:$B$1005,MATCH(A442,Items!$A$6:$A$1005,0)),"MISSING ITEM ID")</x:f>
        <x:v>Basalt blocks</x:v>
      </x:c>
      <x:c r="C442" s="3" t="str">
        <x:f>IFERROR(INDEX(Items!$C$6:$C$1005,MATCH(A442,Items!$A$6:$A$1005,0)),"MISSING ITEM ID")</x:f>
        <x:v>Resources</x:v>
      </x:c>
      <x:c r="D442" s="3" t="str">
        <x:v>Primary</x:v>
      </x:c>
      <x:c r="E442" s="3" t="str">
        <x:f>IFERROR(INDEX(Items!$Z$6:$Z$1005,MATCH(A442,Items!$A$6:$A$1005,0)),"MISSING ITEM ID")</x:f>
        <x:v>Binding and construction</x:v>
      </x:c>
      <x:c r="F442" s="3" t="str">
        <x:v>Candidate use for a specific raw form. Material qualification and processing remain proposed.</x:v>
      </x:c>
    </x:row>
    <x:row r="443" ht="65" customHeight="1">
      <x:c r="A443" s="3" t="str">
        <x:v>proposal.raw.slate</x:v>
      </x:c>
      <x:c r="B443" s="3" t="str">
        <x:f>IFERROR(INDEX(Items!$B$6:$B$1005,MATCH(A443,Items!$A$6:$A$1005,0)),"MISSING ITEM ID")</x:f>
        <x:v>Slate plates</x:v>
      </x:c>
      <x:c r="C443" s="3" t="str">
        <x:f>IFERROR(INDEX(Items!$C$6:$C$1005,MATCH(A443,Items!$A$6:$A$1005,0)),"MISSING ITEM ID")</x:f>
        <x:v>Resources</x:v>
      </x:c>
      <x:c r="D443" s="3" t="str">
        <x:v>Primary</x:v>
      </x:c>
      <x:c r="E443" s="3" t="str">
        <x:f>IFERROR(INDEX(Items!$Z$6:$Z$1005,MATCH(A443,Items!$A$6:$A$1005,0)),"MISSING ITEM ID")</x:f>
        <x:v>Fabrication</x:v>
      </x:c>
      <x:c r="F443" s="3" t="str">
        <x:v>Candidate use for a specific raw form. Material qualification and processing remain proposed.</x:v>
      </x:c>
    </x:row>
    <x:row r="444" ht="65" customHeight="1">
      <x:c r="A444" s="3" t="str">
        <x:v>proposal.raw.slate</x:v>
      </x:c>
      <x:c r="B444" s="3" t="str">
        <x:f>IFERROR(INDEX(Items!$B$6:$B$1005,MATCH(A444,Items!$A$6:$A$1005,0)),"MISSING ITEM ID")</x:f>
        <x:v>Slate plates</x:v>
      </x:c>
      <x:c r="C444" s="3" t="str">
        <x:f>IFERROR(INDEX(Items!$C$6:$C$1005,MATCH(A444,Items!$A$6:$A$1005,0)),"MISSING ITEM ID")</x:f>
        <x:v>Resources</x:v>
      </x:c>
      <x:c r="D444" s="3" t="str">
        <x:v>Secondary</x:v>
      </x:c>
      <x:c r="E444" s="3" t="str">
        <x:v>Writing and records</x:v>
      </x:c>
      <x:c r="F444" s="3" t="str">
        <x:v>Candidate use for a specific raw form. Material qualification and processing remain proposed.</x:v>
      </x:c>
    </x:row>
    <x:row r="445" ht="65" customHeight="1">
      <x:c r="A445" s="3" t="str">
        <x:v>proposal.raw.pumice</x:v>
      </x:c>
      <x:c r="B445" s="3" t="str">
        <x:f>IFERROR(INDEX(Items!$B$6:$B$1005,MATCH(A445,Items!$A$6:$A$1005,0)),"MISSING ITEM ID")</x:f>
        <x:v>Pumice lumps</x:v>
      </x:c>
      <x:c r="C445" s="3" t="str">
        <x:f>IFERROR(INDEX(Items!$C$6:$C$1005,MATCH(A445,Items!$A$6:$A$1005,0)),"MISSING ITEM ID")</x:f>
        <x:v>Resources</x:v>
      </x:c>
      <x:c r="D445" s="3" t="str">
        <x:v>Primary</x:v>
      </x:c>
      <x:c r="E445" s="3" t="str">
        <x:f>IFERROR(INDEX(Items!$Z$6:$Z$1005,MATCH(A445,Items!$A$6:$A$1005,0)),"MISSING ITEM ID")</x:f>
        <x:v>Surface finishing</x:v>
      </x:c>
      <x:c r="F445" s="3" t="str">
        <x:v>Candidate use for a specific raw form. Material qualification and processing remain proposed.</x:v>
      </x:c>
    </x:row>
    <x:row r="446" ht="65" customHeight="1">
      <x:c r="A446" s="3" t="str">
        <x:v>proposal.raw.feldspar</x:v>
      </x:c>
      <x:c r="B446" s="3" t="str">
        <x:f>IFERROR(INDEX(Items!$B$6:$B$1005,MATCH(A446,Items!$A$6:$A$1005,0)),"MISSING ITEM ID")</x:f>
        <x:v>Feldspar fragments</x:v>
      </x:c>
      <x:c r="C446" s="3" t="str">
        <x:f>IFERROR(INDEX(Items!$C$6:$C$1005,MATCH(A446,Items!$A$6:$A$1005,0)),"MISSING ITEM ID")</x:f>
        <x:v>Resources</x:v>
      </x:c>
      <x:c r="D446" s="3" t="str">
        <x:v>Primary</x:v>
      </x:c>
      <x:c r="E446" s="3" t="str">
        <x:f>IFERROR(INDEX(Items!$Z$6:$Z$1005,MATCH(A446,Items!$A$6:$A$1005,0)),"MISSING ITEM ID")</x:f>
        <x:v>Glass and ceramics</x:v>
      </x:c>
      <x:c r="F446" s="3" t="str">
        <x:v>Candidate use for a specific raw form. Material qualification and processing remain proposed.</x:v>
      </x:c>
    </x:row>
    <x:row r="447" ht="65" customHeight="1">
      <x:c r="A447" s="3" t="str">
        <x:v>proposal.raw.spines</x:v>
      </x:c>
      <x:c r="B447" s="3" t="str">
        <x:f>IFERROR(INDEX(Items!$B$6:$B$1005,MATCH(A447,Items!$A$6:$A$1005,0)),"MISSING ITEM ID")</x:f>
        <x:v>Loose fauna spines</x:v>
      </x:c>
      <x:c r="C447" s="3" t="str">
        <x:f>IFERROR(INDEX(Items!$C$6:$C$1005,MATCH(A447,Items!$A$6:$A$1005,0)),"MISSING ITEM ID")</x:f>
        <x:v>Resources</x:v>
      </x:c>
      <x:c r="D447" s="3" t="str">
        <x:v>Primary</x:v>
      </x:c>
      <x:c r="E447" s="3" t="str">
        <x:f>IFERROR(INDEX(Items!$Z$6:$Z$1005,MATCH(A447,Items!$A$6:$A$1005,0)),"MISSING ITEM ID")</x:f>
        <x:v>Tool fabrication</x:v>
      </x:c>
      <x:c r="F447" s="3" t="str">
        <x:v>Candidate use for a specific raw form. Material qualification and processing remain proposed.</x:v>
      </x:c>
    </x:row>
    <x:row r="448" ht="65" customHeight="1">
      <x:c r="A448" s="3" t="str">
        <x:v>proposal.raw.claws</x:v>
      </x:c>
      <x:c r="B448" s="3" t="str">
        <x:f>IFERROR(INDEX(Items!$B$6:$B$1005,MATCH(A448,Items!$A$6:$A$1005,0)),"MISSING ITEM ID")</x:f>
        <x:v>Fauna claw tips</x:v>
      </x:c>
      <x:c r="C448" s="3" t="str">
        <x:f>IFERROR(INDEX(Items!$C$6:$C$1005,MATCH(A448,Items!$A$6:$A$1005,0)),"MISSING ITEM ID")</x:f>
        <x:v>Resources</x:v>
      </x:c>
      <x:c r="D448" s="3" t="str">
        <x:v>Primary</x:v>
      </x:c>
      <x:c r="E448" s="3" t="str">
        <x:f>IFERROR(INDEX(Items!$Z$6:$Z$1005,MATCH(A448,Items!$A$6:$A$1005,0)),"MISSING ITEM ID")</x:f>
        <x:v>Tool fabrication</x:v>
      </x:c>
      <x:c r="F448" s="3" t="str">
        <x:v>Candidate use for a specific raw form. Material qualification and processing remain proposed.</x:v>
      </x:c>
    </x:row>
    <x:row r="449" ht="65" customHeight="1">
      <x:c r="A449" s="3" t="str">
        <x:v>proposal.raw.brood_casing</x:v>
      </x:c>
      <x:c r="B449" s="3" t="str">
        <x:f>IFERROR(INDEX(Items!$B$6:$B$1005,MATCH(A449,Items!$A$6:$A$1005,0)),"MISSING ITEM ID")</x:f>
        <x:v>Empty brood casings</x:v>
      </x:c>
      <x:c r="C449" s="3" t="str">
        <x:f>IFERROR(INDEX(Items!$C$6:$C$1005,MATCH(A449,Items!$A$6:$A$1005,0)),"MISSING ITEM ID")</x:f>
        <x:v>Resources</x:v>
      </x:c>
      <x:c r="D449" s="3" t="str">
        <x:v>Primary</x:v>
      </x:c>
      <x:c r="E449" s="3" t="str">
        <x:f>IFERROR(INDEX(Items!$Z$6:$Z$1005,MATCH(A449,Items!$A$6:$A$1005,0)),"MISSING ITEM ID")</x:f>
        <x:v>Fabrication</x:v>
      </x:c>
      <x:c r="F449" s="3" t="str">
        <x:v>Candidate use for a specific raw form. Material qualification and processing remain proposed.</x:v>
      </x:c>
    </x:row>
    <x:row r="450" ht="65" customHeight="1">
      <x:c r="A450" s="3" t="str">
        <x:v>proposal.raw.antenna_sheath</x:v>
      </x:c>
      <x:c r="B450" s="3" t="str">
        <x:f>IFERROR(INDEX(Items!$B$6:$B$1005,MATCH(A450,Items!$A$6:$A$1005,0)),"MISSING ITEM ID")</x:f>
        <x:v>Empty antenna sheaths</x:v>
      </x:c>
      <x:c r="C450" s="3" t="str">
        <x:f>IFERROR(INDEX(Items!$C$6:$C$1005,MATCH(A450,Items!$A$6:$A$1005,0)),"MISSING ITEM ID")</x:f>
        <x:v>Resources</x:v>
      </x:c>
      <x:c r="D450" s="3" t="str">
        <x:v>Primary</x:v>
      </x:c>
      <x:c r="E450" s="3" t="str">
        <x:f>IFERROR(INDEX(Items!$Z$6:$Z$1005,MATCH(A450,Items!$A$6:$A$1005,0)),"MISSING ITEM ID")</x:f>
        <x:v>Fabrication</x:v>
      </x:c>
      <x:c r="F450" s="3" t="str">
        <x:v>Candidate use for a specific raw form. Material qualification and processing remain proposed.</x:v>
      </x:c>
    </x:row>
    <x:row r="451" ht="65" customHeight="1">
      <x:c r="A451" s="3" t="str">
        <x:v>proposal.raw.wing_ribs</x:v>
      </x:c>
      <x:c r="B451" s="3" t="str">
        <x:f>IFERROR(INDEX(Items!$B$6:$B$1005,MATCH(A451,Items!$A$6:$A$1005,0)),"MISSING ITEM ID")</x:f>
        <x:v>Insectoid wing ribs</x:v>
      </x:c>
      <x:c r="C451" s="3" t="str">
        <x:f>IFERROR(INDEX(Items!$C$6:$C$1005,MATCH(A451,Items!$A$6:$A$1005,0)),"MISSING ITEM ID")</x:f>
        <x:v>Resources</x:v>
      </x:c>
      <x:c r="D451" s="3" t="str">
        <x:v>Primary</x:v>
      </x:c>
      <x:c r="E451" s="3" t="str">
        <x:f>IFERROR(INDEX(Items!$Z$6:$Z$1005,MATCH(A451,Items!$A$6:$A$1005,0)),"MISSING ITEM ID")</x:f>
        <x:v>Fabrication</x:v>
      </x:c>
      <x:c r="F451" s="3" t="str">
        <x:v>Candidate use for a specific raw form. Material qualification and processing remain proposed.</x:v>
      </x:c>
    </x:row>
    <x:row r="452" ht="65" customHeight="1">
      <x:c r="A452" s="3" t="str">
        <x:v>proposal.raw.wing_ribs</x:v>
      </x:c>
      <x:c r="B452" s="3" t="str">
        <x:f>IFERROR(INDEX(Items!$B$6:$B$1005,MATCH(A452,Items!$A$6:$A$1005,0)),"MISSING ITEM ID")</x:f>
        <x:v>Insectoid wing ribs</x:v>
      </x:c>
      <x:c r="C452" s="3" t="str">
        <x:f>IFERROR(INDEX(Items!$C$6:$C$1005,MATCH(A452,Items!$A$6:$A$1005,0)),"MISSING ITEM ID")</x:f>
        <x:v>Resources</x:v>
      </x:c>
      <x:c r="D452" s="3" t="str">
        <x:v>Secondary</x:v>
      </x:c>
      <x:c r="E452" s="3" t="str">
        <x:v>Equipment fabrication</x:v>
      </x:c>
      <x:c r="F452" s="3" t="str">
        <x:v>Candidate use for a specific raw form. Material qualification and processing remain proposed.</x:v>
      </x:c>
    </x:row>
    <x:row r="453" ht="65" customHeight="1">
      <x:c r="A453" s="3" t="str">
        <x:v>proposal.raw.ceramic_shards</x:v>
      </x:c>
      <x:c r="B453" s="3" t="str">
        <x:f>IFERROR(INDEX(Items!$B$6:$B$1005,MATCH(A453,Items!$A$6:$A$1005,0)),"MISSING ITEM ID")</x:f>
        <x:v>Broken ceramic shards</x:v>
      </x:c>
      <x:c r="C453" s="3" t="str">
        <x:f>IFERROR(INDEX(Items!$C$6:$C$1005,MATCH(A453,Items!$A$6:$A$1005,0)),"MISSING ITEM ID")</x:f>
        <x:v>Resources</x:v>
      </x:c>
      <x:c r="D453" s="3" t="str">
        <x:v>Primary</x:v>
      </x:c>
      <x:c r="E453" s="3" t="str">
        <x:f>IFERROR(INDEX(Items!$Z$6:$Z$1005,MATCH(A453,Items!$A$6:$A$1005,0)),"MISSING ITEM ID")</x:f>
        <x:v>Glass and ceramics</x:v>
      </x:c>
      <x:c r="F453" s="3" t="str">
        <x:v>Candidate use for a specific raw form. Material qualification and processing remain proposed.</x:v>
      </x:c>
    </x:row>
    <x:row r="454" ht="65" customHeight="1">
      <x:c r="A454" s="3" t="str">
        <x:v>proposal.raw.glass_shards</x:v>
      </x:c>
      <x:c r="B454" s="3" t="str">
        <x:f>IFERROR(INDEX(Items!$B$6:$B$1005,MATCH(A454,Items!$A$6:$A$1005,0)),"MISSING ITEM ID")</x:f>
        <x:v>Broken glass pieces</x:v>
      </x:c>
      <x:c r="C454" s="3" t="str">
        <x:f>IFERROR(INDEX(Items!$C$6:$C$1005,MATCH(A454,Items!$A$6:$A$1005,0)),"MISSING ITEM ID")</x:f>
        <x:v>Resources</x:v>
      </x:c>
      <x:c r="D454" s="3" t="str">
        <x:v>Primary</x:v>
      </x:c>
      <x:c r="E454" s="3" t="str">
        <x:f>IFERROR(INDEX(Items!$Z$6:$Z$1005,MATCH(A454,Items!$A$6:$A$1005,0)),"MISSING ITEM ID")</x:f>
        <x:v>Glass and ceramics</x:v>
      </x:c>
      <x:c r="F454" s="3" t="str">
        <x:v>Candidate use for a specific raw form. Material qualification and processing remain proposed.</x:v>
      </x:c>
    </x:row>
    <x:row r="455" ht="65" customHeight="1">
      <x:c r="A455" s="3" t="str">
        <x:v>proposal.raw.spring_strips</x:v>
      </x:c>
      <x:c r="B455" s="3" t="str">
        <x:f>IFERROR(INDEX(Items!$B$6:$B$1005,MATCH(A455,Items!$A$6:$A$1005,0)),"MISSING ITEM ID")</x:f>
        <x:v>Salvaged spring-metal strips</x:v>
      </x:c>
      <x:c r="C455" s="3" t="str">
        <x:f>IFERROR(INDEX(Items!$C$6:$C$1005,MATCH(A455,Items!$A$6:$A$1005,0)),"MISSING ITEM ID")</x:f>
        <x:v>Resources</x:v>
      </x:c>
      <x:c r="D455" s="3" t="str">
        <x:v>Primary</x:v>
      </x:c>
      <x:c r="E455" s="3" t="str">
        <x:f>IFERROR(INDEX(Items!$Z$6:$Z$1005,MATCH(A455,Items!$A$6:$A$1005,0)),"MISSING ITEM ID")</x:f>
        <x:v>Equipment fabrication</x:v>
      </x:c>
      <x:c r="F455" s="3" t="str">
        <x:v>Candidate use for a specific raw form. Material qualification and processing remain proposed.</x:v>
      </x:c>
    </x:row>
    <x:row r="456" ht="65" customHeight="1">
      <x:c r="A456" s="3" t="str">
        <x:v>proposal.raw.spring_strips</x:v>
      </x:c>
      <x:c r="B456" s="3" t="str">
        <x:f>IFERROR(INDEX(Items!$B$6:$B$1005,MATCH(A456,Items!$A$6:$A$1005,0)),"MISSING ITEM ID")</x:f>
        <x:v>Salvaged spring-metal strips</x:v>
      </x:c>
      <x:c r="C456" s="3" t="str">
        <x:f>IFERROR(INDEX(Items!$C$6:$C$1005,MATCH(A456,Items!$A$6:$A$1005,0)),"MISSING ITEM ID")</x:f>
        <x:v>Resources</x:v>
      </x:c>
      <x:c r="D456" s="3" t="str">
        <x:v>Secondary</x:v>
      </x:c>
      <x:c r="E456" s="3" t="str">
        <x:v>Equipment repair</x:v>
      </x:c>
      <x:c r="F456" s="3" t="str">
        <x:v>Candidate use for a specific raw form. Material qualification and processing remain proposed.</x:v>
      </x:c>
    </x:row>
    <x:row r="457" ht="65" customHeight="1">
      <x:c r="A457" s="3" t="str">
        <x:v>proposal.raw.metal_cable</x:v>
      </x:c>
      <x:c r="B457" s="3" t="str">
        <x:f>IFERROR(INDEX(Items!$B$6:$B$1005,MATCH(A457,Items!$A$6:$A$1005,0)),"MISSING ITEM ID")</x:f>
        <x:v>Salvaged metal cable</x:v>
      </x:c>
      <x:c r="C457" s="3" t="str">
        <x:f>IFERROR(INDEX(Items!$C$6:$C$1005,MATCH(A457,Items!$A$6:$A$1005,0)),"MISSING ITEM ID")</x:f>
        <x:v>Resources</x:v>
      </x:c>
      <x:c r="D457" s="3" t="str">
        <x:v>Primary</x:v>
      </x:c>
      <x:c r="E457" s="3" t="str">
        <x:f>IFERROR(INDEX(Items!$Z$6:$Z$1005,MATCH(A457,Items!$A$6:$A$1005,0)),"MISSING ITEM ID")</x:f>
        <x:v>Binding and construction</x:v>
      </x:c>
      <x:c r="F457" s="3" t="str">
        <x:v>Candidate use for a specific raw form. Material qualification and processing remain proposed.</x:v>
      </x:c>
    </x:row>
    <x:row r="458" ht="65" customHeight="1">
      <x:c r="A458" s="3" t="str">
        <x:v>proposal.raw.metal_cable</x:v>
      </x:c>
      <x:c r="B458" s="3" t="str">
        <x:f>IFERROR(INDEX(Items!$B$6:$B$1005,MATCH(A458,Items!$A$6:$A$1005,0)),"MISSING ITEM ID")</x:f>
        <x:v>Salvaged metal cable</x:v>
      </x:c>
      <x:c r="C458" s="3" t="str">
        <x:f>IFERROR(INDEX(Items!$C$6:$C$1005,MATCH(A458,Items!$A$6:$A$1005,0)),"MISSING ITEM ID")</x:f>
        <x:v>Resources</x:v>
      </x:c>
      <x:c r="D458" s="3" t="str">
        <x:v>Secondary</x:v>
      </x:c>
      <x:c r="E458" s="3" t="str">
        <x:v>Equipment mounting</x:v>
      </x:c>
      <x:c r="F458" s="3" t="str">
        <x:v>Candidate use for a specific raw form. Material qualification and processing remain proposed.</x:v>
      </x:c>
    </x:row>
    <x:row r="459" ht="65" customHeight="1">
      <x:c r="A459" s="3" t="str">
        <x:v>proposal.raw.metal_mesh</x:v>
      </x:c>
      <x:c r="B459" s="3" t="str">
        <x:f>IFERROR(INDEX(Items!$B$6:$B$1005,MATCH(A459,Items!$A$6:$A$1005,0)),"MISSING ITEM ID")</x:f>
        <x:v>Metal mesh scrap</x:v>
      </x:c>
      <x:c r="C459" s="3" t="str">
        <x:f>IFERROR(INDEX(Items!$C$6:$C$1005,MATCH(A459,Items!$A$6:$A$1005,0)),"MISSING ITEM ID")</x:f>
        <x:v>Resources</x:v>
      </x:c>
      <x:c r="D459" s="3" t="str">
        <x:v>Primary</x:v>
      </x:c>
      <x:c r="E459" s="3" t="str">
        <x:f>IFERROR(INDEX(Items!$Z$6:$Z$1005,MATCH(A459,Items!$A$6:$A$1005,0)),"MISSING ITEM ID")</x:f>
        <x:v>Fabrication</x:v>
      </x:c>
      <x:c r="F459" s="3" t="str">
        <x:v>Candidate use for a specific raw form. Material qualification and processing remain proposed.</x:v>
      </x:c>
    </x:row>
    <x:row r="460" ht="65" customHeight="1">
      <x:c r="A460" s="3" t="str">
        <x:v>proposal.raw.metal_mesh</x:v>
      </x:c>
      <x:c r="B460" s="3" t="str">
        <x:f>IFERROR(INDEX(Items!$B$6:$B$1005,MATCH(A460,Items!$A$6:$A$1005,0)),"MISSING ITEM ID")</x:f>
        <x:v>Metal mesh scrap</x:v>
      </x:c>
      <x:c r="C460" s="3" t="str">
        <x:f>IFERROR(INDEX(Items!$C$6:$C$1005,MATCH(A460,Items!$A$6:$A$1005,0)),"MISSING ITEM ID")</x:f>
        <x:v>Resources</x:v>
      </x:c>
      <x:c r="D460" s="3" t="str">
        <x:v>Secondary</x:v>
      </x:c>
      <x:c r="E460" s="3" t="str">
        <x:v>Protection</x:v>
      </x:c>
      <x:c r="F460" s="3" t="str">
        <x:v>Candidate use for a specific raw form. Material qualification and processing remain proposed.</x:v>
      </x:c>
    </x:row>
    <x:row r="461" ht="65" customHeight="1">
      <x:c r="A461" s="3" t="str">
        <x:v>proposal.raw.clinker</x:v>
      </x:c>
      <x:c r="B461" s="3" t="str">
        <x:f>IFERROR(INDEX(Items!$B$6:$B$1005,MATCH(A461,Items!$A$6:$A$1005,0)),"MISSING ITEM ID")</x:f>
        <x:v>Furnace clinker chunks</x:v>
      </x:c>
      <x:c r="C461" s="3" t="str">
        <x:f>IFERROR(INDEX(Items!$C$6:$C$1005,MATCH(A461,Items!$A$6:$A$1005,0)),"MISSING ITEM ID")</x:f>
        <x:v>Resources</x:v>
      </x:c>
      <x:c r="D461" s="3" t="str">
        <x:v>Primary</x:v>
      </x:c>
      <x:c r="E461" s="3" t="str">
        <x:f>IFERROR(INDEX(Items!$Z$6:$Z$1005,MATCH(A461,Items!$A$6:$A$1005,0)),"MISSING ITEM ID")</x:f>
        <x:v>Binding and construction</x:v>
      </x:c>
      <x:c r="F461" s="3" t="str">
        <x:v>Candidate use for a specific raw form. Material qualification and processing remain proposed.</x:v>
      </x:c>
    </x:row>
    <x:row r="462" ht="65" customHeight="1">
      <x:c r="A462" s="3" t="str">
        <x:v>proposal.raw.spent_refractory</x:v>
      </x:c>
      <x:c r="B462" s="3" t="str">
        <x:f>IFERROR(INDEX(Items!$B$6:$B$1005,MATCH(A462,Items!$A$6:$A$1005,0)),"MISSING ITEM ID")</x:f>
        <x:v>Spent refractory chunks</x:v>
      </x:c>
      <x:c r="C462" s="3" t="str">
        <x:f>IFERROR(INDEX(Items!$C$6:$C$1005,MATCH(A462,Items!$A$6:$A$1005,0)),"MISSING ITEM ID")</x:f>
        <x:v>Resources</x:v>
      </x:c>
      <x:c r="D462" s="3" t="str">
        <x:v>Primary</x:v>
      </x:c>
      <x:c r="E462" s="3" t="str">
        <x:f>IFERROR(INDEX(Items!$Z$6:$Z$1005,MATCH(A462,Items!$A$6:$A$1005,0)),"MISSING ITEM ID")</x:f>
        <x:v>Glass and ceramics</x:v>
      </x:c>
      <x:c r="F462" s="3" t="str">
        <x:v>Candidate use for a specific raw form. Material qualification and processing remain proposed.</x:v>
      </x:c>
    </x:row>
    <x:row r="463" ht="65" customHeight="1">
      <x:c r="A463" s="3" t="str">
        <x:v>proposal.raw.spent_refractory</x:v>
      </x:c>
      <x:c r="B463" s="3" t="str">
        <x:f>IFERROR(INDEX(Items!$B$6:$B$1005,MATCH(A463,Items!$A$6:$A$1005,0)),"MISSING ITEM ID")</x:f>
        <x:v>Spent refractory chunks</x:v>
      </x:c>
      <x:c r="C463" s="3" t="str">
        <x:f>IFERROR(INDEX(Items!$C$6:$C$1005,MATCH(A463,Items!$A$6:$A$1005,0)),"MISSING ITEM ID")</x:f>
        <x:v>Resources</x:v>
      </x:c>
      <x:c r="D463" s="3" t="str">
        <x:v>Secondary</x:v>
      </x:c>
      <x:c r="E463" s="3" t="str">
        <x:v>Equipment repair</x:v>
      </x:c>
      <x:c r="F463" s="3" t="str">
        <x:v>Candidate use for a specific raw form. Material qualification and processing remain proposed.</x:v>
      </x:c>
    </x:row>
    <x:row r="464" ht="65" customHeight="1">
      <x:c r="A464" s="3" t="str">
        <x:v>proposal.raw.sandstone</x:v>
      </x:c>
      <x:c r="B464" s="3" t="str">
        <x:f>IFERROR(INDEX(Items!$B$6:$B$1005,MATCH(A464,Items!$A$6:$A$1005,0)),"MISSING ITEM ID")</x:f>
        <x:v>Sandstone blocks</x:v>
      </x:c>
      <x:c r="C464" s="3" t="str">
        <x:f>IFERROR(INDEX(Items!$C$6:$C$1005,MATCH(A464,Items!$A$6:$A$1005,0)),"MISSING ITEM ID")</x:f>
        <x:v>Resources</x:v>
      </x:c>
      <x:c r="D464" s="3" t="str">
        <x:v>Primary</x:v>
      </x:c>
      <x:c r="E464" s="3" t="str">
        <x:f>IFERROR(INDEX(Items!$Z$6:$Z$1005,MATCH(A464,Items!$A$6:$A$1005,0)),"MISSING ITEM ID")</x:f>
        <x:v>Binding and construction</x:v>
      </x:c>
      <x:c r="F464" s="3" t="str">
        <x:v>Candidate use for a specific raw form. Material qualification and processing remain proposed.</x:v>
      </x:c>
    </x:row>
    <x:row r="465" ht="65" customHeight="1">
      <x:c r="A465" s="3" t="str">
        <x:v>proposal.raw.obsidian</x:v>
      </x:c>
      <x:c r="B465" s="3" t="str">
        <x:f>IFERROR(INDEX(Items!$B$6:$B$1005,MATCH(A465,Items!$A$6:$A$1005,0)),"MISSING ITEM ID")</x:f>
        <x:v>Obsidian chunks</x:v>
      </x:c>
      <x:c r="C465" s="3" t="str">
        <x:f>IFERROR(INDEX(Items!$C$6:$C$1005,MATCH(A465,Items!$A$6:$A$1005,0)),"MISSING ITEM ID")</x:f>
        <x:v>Resources</x:v>
      </x:c>
      <x:c r="D465" s="3" t="str">
        <x:v>Primary</x:v>
      </x:c>
      <x:c r="E465" s="3" t="str">
        <x:f>IFERROR(INDEX(Items!$Z$6:$Z$1005,MATCH(A465,Items!$A$6:$A$1005,0)),"MISSING ITEM ID")</x:f>
        <x:v>Tool fabrication</x:v>
      </x:c>
      <x:c r="F465" s="3" t="str">
        <x:v>Candidate use for a specific raw form. Material qualification and processing remain proposed.</x:v>
      </x:c>
    </x:row>
    <x:row r="466" ht="65" customHeight="1">
      <x:c r="A466" s="3" t="str">
        <x:v>proposal.raw.emery</x:v>
      </x:c>
      <x:c r="B466" s="3" t="str">
        <x:f>IFERROR(INDEX(Items!$B$6:$B$1005,MATCH(A466,Items!$A$6:$A$1005,0)),"MISSING ITEM ID")</x:f>
        <x:v>Emery-bearing lumps</x:v>
      </x:c>
      <x:c r="C466" s="3" t="str">
        <x:f>IFERROR(INDEX(Items!$C$6:$C$1005,MATCH(A466,Items!$A$6:$A$1005,0)),"MISSING ITEM ID")</x:f>
        <x:v>Resources</x:v>
      </x:c>
      <x:c r="D466" s="3" t="str">
        <x:v>Primary</x:v>
      </x:c>
      <x:c r="E466" s="3" t="str">
        <x:f>IFERROR(INDEX(Items!$Z$6:$Z$1005,MATCH(A466,Items!$A$6:$A$1005,0)),"MISSING ITEM ID")</x:f>
        <x:v>Surface finishing</x:v>
      </x:c>
      <x:c r="F466" s="3" t="str">
        <x:v>Candidate use for a specific raw form. Material qualification and processing remain proposed.</x:v>
      </x:c>
    </x:row>
    <x:row r="467" ht="65" customHeight="1">
      <x:c r="A467" s="3" t="str">
        <x:v>proposal.raw.barite</x:v>
      </x:c>
      <x:c r="B467" s="3" t="str">
        <x:f>IFERROR(INDEX(Items!$B$6:$B$1005,MATCH(A467,Items!$A$6:$A$1005,0)),"MISSING ITEM ID")</x:f>
        <x:v>Dense barite lumps</x:v>
      </x:c>
      <x:c r="C467" s="3" t="str">
        <x:f>IFERROR(INDEX(Items!$C$6:$C$1005,MATCH(A467,Items!$A$6:$A$1005,0)),"MISSING ITEM ID")</x:f>
        <x:v>Resources</x:v>
      </x:c>
      <x:c r="D467" s="3" t="str">
        <x:v>Primary</x:v>
      </x:c>
      <x:c r="E467" s="3" t="str">
        <x:f>IFERROR(INDEX(Items!$Z$6:$Z$1005,MATCH(A467,Items!$A$6:$A$1005,0)),"MISSING ITEM ID")</x:f>
        <x:v>Fabrication</x:v>
      </x:c>
      <x:c r="F467" s="3" t="str">
        <x:v>Candidate use for a specific raw form. Material qualification and processing remain proposed.</x:v>
      </x:c>
    </x:row>
    <x:row r="468" ht="65" customHeight="1">
      <x:c r="A468" s="3" t="str">
        <x:v>proposal.raw.grinding_pebbles</x:v>
      </x:c>
      <x:c r="B468" s="3" t="str">
        <x:f>IFERROR(INDEX(Items!$B$6:$B$1005,MATCH(A468,Items!$A$6:$A$1005,0)),"MISSING ITEM ID")</x:f>
        <x:v>Rounded grinding stones</x:v>
      </x:c>
      <x:c r="C468" s="3" t="str">
        <x:f>IFERROR(INDEX(Items!$C$6:$C$1005,MATCH(A468,Items!$A$6:$A$1005,0)),"MISSING ITEM ID")</x:f>
        <x:v>Resources</x:v>
      </x:c>
      <x:c r="D468" s="3" t="str">
        <x:v>Primary</x:v>
      </x:c>
      <x:c r="E468" s="3" t="str">
        <x:f>IFERROR(INDEX(Items!$Z$6:$Z$1005,MATCH(A468,Items!$A$6:$A$1005,0)),"MISSING ITEM ID")</x:f>
        <x:v>Chemical processing</x:v>
      </x:c>
      <x:c r="F468" s="3" t="str">
        <x:v>Candidate use for a specific raw form. Material qualification and processing remain proposed.</x:v>
      </x:c>
    </x:row>
    <x:row r="469" ht="65" customHeight="1">
      <x:c r="A469" s="3" t="str">
        <x:v>proposal.raw.grinding_pebbles</x:v>
      </x:c>
      <x:c r="B469" s="3" t="str">
        <x:f>IFERROR(INDEX(Items!$B$6:$B$1005,MATCH(A469,Items!$A$6:$A$1005,0)),"MISSING ITEM ID")</x:f>
        <x:v>Rounded grinding stones</x:v>
      </x:c>
      <x:c r="C469" s="3" t="str">
        <x:f>IFERROR(INDEX(Items!$C$6:$C$1005,MATCH(A469,Items!$A$6:$A$1005,0)),"MISSING ITEM ID")</x:f>
        <x:v>Resources</x:v>
      </x:c>
      <x:c r="D469" s="3" t="str">
        <x:v>Secondary</x:v>
      </x:c>
      <x:c r="E469" s="3" t="str">
        <x:v>Food preparation</x:v>
      </x:c>
      <x:c r="F469" s="3" t="str">
        <x:v>Candidate use for a specific raw form. Material qualification and processing remain proposed.</x:v>
      </x:c>
    </x:row>
    <x:row r="470" ht="65" customHeight="1">
      <x:c r="A470" s="3" t="str">
        <x:v>proposal.raw.ochre</x:v>
      </x:c>
      <x:c r="B470" s="3" t="str">
        <x:f>IFERROR(INDEX(Items!$B$6:$B$1005,MATCH(A470,Items!$A$6:$A$1005,0)),"MISSING ITEM ID")</x:f>
        <x:v>Yellow ochre clods</x:v>
      </x:c>
      <x:c r="C470" s="3" t="str">
        <x:f>IFERROR(INDEX(Items!$C$6:$C$1005,MATCH(A470,Items!$A$6:$A$1005,0)),"MISSING ITEM ID")</x:f>
        <x:v>Resources</x:v>
      </x:c>
      <x:c r="D470" s="3" t="str">
        <x:v>Primary</x:v>
      </x:c>
      <x:c r="E470" s="3" t="str">
        <x:f>IFERROR(INDEX(Items!$Z$6:$Z$1005,MATCH(A470,Items!$A$6:$A$1005,0)),"MISSING ITEM ID")</x:f>
        <x:v>Decoration</x:v>
      </x:c>
      <x:c r="F470" s="3" t="str">
        <x:v>Candidate use for a specific raw form. Material qualification and processing remain proposed.</x:v>
      </x:c>
    </x:row>
    <x:row r="471" ht="65" customHeight="1">
      <x:c r="A471" s="3" t="str">
        <x:v>proposal.raw.ochre</x:v>
      </x:c>
      <x:c r="B471" s="3" t="str">
        <x:f>IFERROR(INDEX(Items!$B$6:$B$1005,MATCH(A471,Items!$A$6:$A$1005,0)),"MISSING ITEM ID")</x:f>
        <x:v>Yellow ochre clods</x:v>
      </x:c>
      <x:c r="C471" s="3" t="str">
        <x:f>IFERROR(INDEX(Items!$C$6:$C$1005,MATCH(A471,Items!$A$6:$A$1005,0)),"MISSING ITEM ID")</x:f>
        <x:v>Resources</x:v>
      </x:c>
      <x:c r="D471" s="3" t="str">
        <x:v>Secondary</x:v>
      </x:c>
      <x:c r="E471" s="3" t="str">
        <x:v>Writing and records</x:v>
      </x:c>
      <x:c r="F471" s="3" t="str">
        <x:v>Candidate use for a specific raw form. Material qualification and processing remain proposed.</x:v>
      </x:c>
    </x:row>
    <x:row r="472" ht="65" customHeight="1">
      <x:c r="A472" s="3" t="str">
        <x:v>proposal.raw.horn_core</x:v>
      </x:c>
      <x:c r="B472" s="3" t="str">
        <x:f>IFERROR(INDEX(Items!$B$6:$B$1005,MATCH(A472,Items!$A$6:$A$1005,0)),"MISSING ITEM ID")</x:f>
        <x:v>Fauna horn cores</x:v>
      </x:c>
      <x:c r="C472" s="3" t="str">
        <x:f>IFERROR(INDEX(Items!$C$6:$C$1005,MATCH(A472,Items!$A$6:$A$1005,0)),"MISSING ITEM ID")</x:f>
        <x:v>Resources</x:v>
      </x:c>
      <x:c r="D472" s="3" t="str">
        <x:v>Primary</x:v>
      </x:c>
      <x:c r="E472" s="3" t="str">
        <x:f>IFERROR(INDEX(Items!$Z$6:$Z$1005,MATCH(A472,Items!$A$6:$A$1005,0)),"MISSING ITEM ID")</x:f>
        <x:v>Tool fabrication</x:v>
      </x:c>
      <x:c r="F472" s="3" t="str">
        <x:v>Candidate use for a specific raw form. Material qualification and processing remain proposed.</x:v>
      </x:c>
    </x:row>
    <x:row r="473" ht="65" customHeight="1">
      <x:c r="A473" s="3" t="str">
        <x:v>proposal.raw.tail_rings</x:v>
      </x:c>
      <x:c r="B473" s="3" t="str">
        <x:f>IFERROR(INDEX(Items!$B$6:$B$1005,MATCH(A473,Items!$A$6:$A$1005,0)),"MISSING ITEM ID")</x:f>
        <x:v>Fauna tail rings</x:v>
      </x:c>
      <x:c r="C473" s="3" t="str">
        <x:f>IFERROR(INDEX(Items!$C$6:$C$1005,MATCH(A473,Items!$A$6:$A$1005,0)),"MISSING ITEM ID")</x:f>
        <x:v>Resources</x:v>
      </x:c>
      <x:c r="D473" s="3" t="str">
        <x:v>Primary</x:v>
      </x:c>
      <x:c r="E473" s="3" t="str">
        <x:f>IFERROR(INDEX(Items!$Z$6:$Z$1005,MATCH(A473,Items!$A$6:$A$1005,0)),"MISSING ITEM ID")</x:f>
        <x:v>Protective fabrication</x:v>
      </x:c>
      <x:c r="F473" s="3" t="str">
        <x:v>Candidate use for a specific raw form. Material qualification and processing remain proposed.</x:v>
      </x:c>
    </x:row>
    <x:row r="474" ht="65" customHeight="1">
      <x:c r="A474" s="3" t="str">
        <x:v>proposal.raw.tail_rings</x:v>
      </x:c>
      <x:c r="B474" s="3" t="str">
        <x:f>IFERROR(INDEX(Items!$B$6:$B$1005,MATCH(A474,Items!$A$6:$A$1005,0)),"MISSING ITEM ID")</x:f>
        <x:v>Fauna tail rings</x:v>
      </x:c>
      <x:c r="C474" s="3" t="str">
        <x:f>IFERROR(INDEX(Items!$C$6:$C$1005,MATCH(A474,Items!$A$6:$A$1005,0)),"MISSING ITEM ID")</x:f>
        <x:v>Resources</x:v>
      </x:c>
      <x:c r="D474" s="3" t="str">
        <x:v>Secondary</x:v>
      </x:c>
      <x:c r="E474" s="3" t="str">
        <x:v>Fabrication</x:v>
      </x:c>
      <x:c r="F474" s="3" t="str">
        <x:v>Candidate use for a specific raw form. Material qualification and processing remain proposed.</x:v>
      </x:c>
    </x:row>
    <x:row r="475" ht="65" customHeight="1">
      <x:c r="A475" s="3" t="str">
        <x:v>proposal.raw.socket_cups</x:v>
      </x:c>
      <x:c r="B475" s="3" t="str">
        <x:f>IFERROR(INDEX(Items!$B$6:$B$1005,MATCH(A475,Items!$A$6:$A$1005,0)),"MISSING ITEM ID")</x:f>
        <x:v>Fauna joint-socket cups</x:v>
      </x:c>
      <x:c r="C475" s="3" t="str">
        <x:f>IFERROR(INDEX(Items!$C$6:$C$1005,MATCH(A475,Items!$A$6:$A$1005,0)),"MISSING ITEM ID")</x:f>
        <x:v>Resources</x:v>
      </x:c>
      <x:c r="D475" s="3" t="str">
        <x:v>Primary</x:v>
      </x:c>
      <x:c r="E475" s="3" t="str">
        <x:f>IFERROR(INDEX(Items!$Z$6:$Z$1005,MATCH(A475,Items!$A$6:$A$1005,0)),"MISSING ITEM ID")</x:f>
        <x:v>Fabrication</x:v>
      </x:c>
      <x:c r="F475" s="3" t="str">
        <x:v>Candidate use for a specific raw form. Material qualification and processing remain proposed.</x:v>
      </x:c>
    </x:row>
    <x:row r="476" ht="65" customHeight="1">
      <x:c r="A476" s="3" t="str">
        <x:v>proposal.raw.eye_lenses</x:v>
      </x:c>
      <x:c r="B476" s="3" t="str">
        <x:f>IFERROR(INDEX(Items!$B$6:$B$1005,MATCH(A476,Items!$A$6:$A$1005,0)),"MISSING ITEM ID")</x:f>
        <x:v>Fauna eye lenses</x:v>
      </x:c>
      <x:c r="C476" s="3" t="str">
        <x:f>IFERROR(INDEX(Items!$C$6:$C$1005,MATCH(A476,Items!$A$6:$A$1005,0)),"MISSING ITEM ID")</x:f>
        <x:v>Resources</x:v>
      </x:c>
      <x:c r="D476" s="3" t="str">
        <x:v>Primary</x:v>
      </x:c>
      <x:c r="E476" s="3" t="str">
        <x:f>IFERROR(INDEX(Items!$Z$6:$Z$1005,MATCH(A476,Items!$A$6:$A$1005,0)),"MISSING ITEM ID")</x:f>
        <x:v>Vision</x:v>
      </x:c>
      <x:c r="F476" s="3" t="str">
        <x:v>Candidate use for a specific raw form. Material qualification and processing remain proposed.</x:v>
      </x:c>
    </x:row>
    <x:row r="477" ht="65" customHeight="1">
      <x:c r="A477" s="3" t="str">
        <x:v>proposal.raw.filter_plates</x:v>
      </x:c>
      <x:c r="B477" s="3" t="str">
        <x:f>IFERROR(INDEX(Items!$B$6:$B$1005,MATCH(A477,Items!$A$6:$A$1005,0)),"MISSING ITEM ID")</x:f>
        <x:v>Fauna breathing-filter plates</x:v>
      </x:c>
      <x:c r="C477" s="3" t="str">
        <x:f>IFERROR(INDEX(Items!$C$6:$C$1005,MATCH(A477,Items!$A$6:$A$1005,0)),"MISSING ITEM ID")</x:f>
        <x:v>Resources</x:v>
      </x:c>
      <x:c r="D477" s="3" t="str">
        <x:v>Primary</x:v>
      </x:c>
      <x:c r="E477" s="3" t="str">
        <x:f>IFERROR(INDEX(Items!$Z$6:$Z$1005,MATCH(A477,Items!$A$6:$A$1005,0)),"MISSING ITEM ID")</x:f>
        <x:v>Dust exclusion</x:v>
      </x:c>
      <x:c r="F477" s="3" t="str">
        <x:v>Candidate use for a specific raw form. Material qualification and processing remain proposed.</x:v>
      </x:c>
    </x:row>
    <x:row r="478" ht="65" customHeight="1">
      <x:c r="A478" s="3" t="str">
        <x:v>proposal.raw.droppings</x:v>
      </x:c>
      <x:c r="B478" s="3" t="str">
        <x:f>IFERROR(INDEX(Items!$B$6:$B$1005,MATCH(A478,Items!$A$6:$A$1005,0)),"MISSING ITEM ID")</x:f>
        <x:v>Dried mineral-rich fauna droppings</x:v>
      </x:c>
      <x:c r="C478" s="3" t="str">
        <x:f>IFERROR(INDEX(Items!$C$6:$C$1005,MATCH(A478,Items!$A$6:$A$1005,0)),"MISSING ITEM ID")</x:f>
        <x:v>Resources</x:v>
      </x:c>
      <x:c r="D478" s="3" t="str">
        <x:v>Primary</x:v>
      </x:c>
      <x:c r="E478" s="3" t="str">
        <x:f>IFERROR(INDEX(Items!$Z$6:$Z$1005,MATCH(A478,Items!$A$6:$A$1005,0)),"MISSING ITEM ID")</x:f>
        <x:v>Chemical processing</x:v>
      </x:c>
      <x:c r="F478" s="3" t="str">
        <x:v>Candidate use for a specific raw form. Material qualification and processing remain proposed.</x:v>
      </x:c>
    </x:row>
    <x:row r="479" ht="65" customHeight="1">
      <x:c r="A479" s="3" t="str">
        <x:v>proposal.raw.chain</x:v>
      </x:c>
      <x:c r="B479" s="3" t="str">
        <x:f>IFERROR(INDEX(Items!$B$6:$B$1005,MATCH(A479,Items!$A$6:$A$1005,0)),"MISSING ITEM ID")</x:f>
        <x:v>Rusted chain lengths</x:v>
      </x:c>
      <x:c r="C479" s="3" t="str">
        <x:f>IFERROR(INDEX(Items!$C$6:$C$1005,MATCH(A479,Items!$A$6:$A$1005,0)),"MISSING ITEM ID")</x:f>
        <x:v>Resources</x:v>
      </x:c>
      <x:c r="D479" s="3" t="str">
        <x:v>Primary</x:v>
      </x:c>
      <x:c r="E479" s="3" t="str">
        <x:f>IFERROR(INDEX(Items!$Z$6:$Z$1005,MATCH(A479,Items!$A$6:$A$1005,0)),"MISSING ITEM ID")</x:f>
        <x:v>Binding and construction</x:v>
      </x:c>
      <x:c r="F479" s="3" t="str">
        <x:v>Candidate use for a specific raw form. Material qualification and processing remain proposed.</x:v>
      </x:c>
    </x:row>
    <x:row r="480" ht="65" customHeight="1">
      <x:c r="A480" s="3" t="str">
        <x:v>proposal.raw.chain</x:v>
      </x:c>
      <x:c r="B480" s="3" t="str">
        <x:f>IFERROR(INDEX(Items!$B$6:$B$1005,MATCH(A480,Items!$A$6:$A$1005,0)),"MISSING ITEM ID")</x:f>
        <x:v>Rusted chain lengths</x:v>
      </x:c>
      <x:c r="C480" s="3" t="str">
        <x:f>IFERROR(INDEX(Items!$C$6:$C$1005,MATCH(A480,Items!$A$6:$A$1005,0)),"MISSING ITEM ID")</x:f>
        <x:v>Resources</x:v>
      </x:c>
      <x:c r="D480" s="3" t="str">
        <x:v>Secondary</x:v>
      </x:c>
      <x:c r="E480" s="3" t="str">
        <x:v>Equipment mounting</x:v>
      </x:c>
      <x:c r="F480" s="3" t="str">
        <x:v>Candidate use for a specific raw form. Material qualification and processing remain proposed.</x:v>
      </x:c>
    </x:row>
    <x:row r="481" ht="65" customHeight="1">
      <x:c r="A481" s="3" t="str">
        <x:v>proposal.raw.brass_scrap</x:v>
      </x:c>
      <x:c r="B481" s="3" t="str">
        <x:f>IFERROR(INDEX(Items!$B$6:$B$1005,MATCH(A481,Items!$A$6:$A$1005,0)),"MISSING ITEM ID")</x:f>
        <x:v>Salvaged brass fragments</x:v>
      </x:c>
      <x:c r="C481" s="3" t="str">
        <x:f>IFERROR(INDEX(Items!$C$6:$C$1005,MATCH(A481,Items!$A$6:$A$1005,0)),"MISSING ITEM ID")</x:f>
        <x:v>Resources</x:v>
      </x:c>
      <x:c r="D481" s="3" t="str">
        <x:v>Primary</x:v>
      </x:c>
      <x:c r="E481" s="3" t="str">
        <x:f>IFERROR(INDEX(Items!$Z$6:$Z$1005,MATCH(A481,Items!$A$6:$A$1005,0)),"MISSING ITEM ID")</x:f>
        <x:v>Metal refining</x:v>
      </x:c>
      <x:c r="F481" s="3" t="str">
        <x:v>Candidate use for a specific raw form. Material qualification and processing remain proposed.</x:v>
      </x:c>
    </x:row>
    <x:row r="482" ht="65" customHeight="1">
      <x:c r="A482" s="3" t="str">
        <x:v>proposal.raw.bronze_scrap</x:v>
      </x:c>
      <x:c r="B482" s="3" t="str">
        <x:f>IFERROR(INDEX(Items!$B$6:$B$1005,MATCH(A482,Items!$A$6:$A$1005,0)),"MISSING ITEM ID")</x:f>
        <x:v>Salvaged bronze fragments</x:v>
      </x:c>
      <x:c r="C482" s="3" t="str">
        <x:f>IFERROR(INDEX(Items!$C$6:$C$1005,MATCH(A482,Items!$A$6:$A$1005,0)),"MISSING ITEM ID")</x:f>
        <x:v>Resources</x:v>
      </x:c>
      <x:c r="D482" s="3" t="str">
        <x:v>Primary</x:v>
      </x:c>
      <x:c r="E482" s="3" t="str">
        <x:f>IFERROR(INDEX(Items!$Z$6:$Z$1005,MATCH(A482,Items!$A$6:$A$1005,0)),"MISSING ITEM ID")</x:f>
        <x:v>Metal refining</x:v>
      </x:c>
      <x:c r="F482" s="3" t="str">
        <x:v>Candidate use for a specific raw form. Material qualification and processing remain proposed.</x:v>
      </x:c>
    </x:row>
    <x:row r="483" ht="65" customHeight="1">
      <x:c r="A483" s="3" t="str">
        <x:v>proposal.raw.hinge_halves</x:v>
      </x:c>
      <x:c r="B483" s="3" t="str">
        <x:f>IFERROR(INDEX(Items!$B$6:$B$1005,MATCH(A483,Items!$A$6:$A$1005,0)),"MISSING ITEM ID")</x:f>
        <x:v>Discarded hinge halves</x:v>
      </x:c>
      <x:c r="C483" s="3" t="str">
        <x:f>IFERROR(INDEX(Items!$C$6:$C$1005,MATCH(A483,Items!$A$6:$A$1005,0)),"MISSING ITEM ID")</x:f>
        <x:v>Resources</x:v>
      </x:c>
      <x:c r="D483" s="3" t="str">
        <x:v>Primary</x:v>
      </x:c>
      <x:c r="E483" s="3" t="str">
        <x:f>IFERROR(INDEX(Items!$Z$6:$Z$1005,MATCH(A483,Items!$A$6:$A$1005,0)),"MISSING ITEM ID")</x:f>
        <x:v>Equipment fabrication</x:v>
      </x:c>
      <x:c r="F483" s="3" t="str">
        <x:v>Candidate use for a specific raw form. Material qualification and processing remain proposed.</x:v>
      </x:c>
    </x:row>
    <x:row r="484" ht="65" customHeight="1">
      <x:c r="A484" s="3" t="str">
        <x:v>proposal.raw.hinge_halves</x:v>
      </x:c>
      <x:c r="B484" s="3" t="str">
        <x:f>IFERROR(INDEX(Items!$B$6:$B$1005,MATCH(A484,Items!$A$6:$A$1005,0)),"MISSING ITEM ID")</x:f>
        <x:v>Discarded hinge halves</x:v>
      </x:c>
      <x:c r="C484" s="3" t="str">
        <x:f>IFERROR(INDEX(Items!$C$6:$C$1005,MATCH(A484,Items!$A$6:$A$1005,0)),"MISSING ITEM ID")</x:f>
        <x:v>Resources</x:v>
      </x:c>
      <x:c r="D484" s="3" t="str">
        <x:v>Secondary</x:v>
      </x:c>
      <x:c r="E484" s="3" t="str">
        <x:v>Equipment repair</x:v>
      </x:c>
      <x:c r="F484" s="3" t="str">
        <x:v>Candidate use for a specific raw form. Material qualification and processing remain proposed.</x:v>
      </x:c>
    </x:row>
    <x:row r="485" ht="65" customHeight="1">
      <x:c r="A485" s="3" t="str">
        <x:v>proposal.raw.hoop_bands</x:v>
      </x:c>
      <x:c r="B485" s="3" t="str">
        <x:f>IFERROR(INDEX(Items!$B$6:$B$1005,MATCH(A485,Items!$A$6:$A$1005,0)),"MISSING ITEM ID")</x:f>
        <x:v>Salvaged metal hoop bands</x:v>
      </x:c>
      <x:c r="C485" s="3" t="str">
        <x:f>IFERROR(INDEX(Items!$C$6:$C$1005,MATCH(A485,Items!$A$6:$A$1005,0)),"MISSING ITEM ID")</x:f>
        <x:v>Resources</x:v>
      </x:c>
      <x:c r="D485" s="3" t="str">
        <x:v>Primary</x:v>
      </x:c>
      <x:c r="E485" s="3" t="str">
        <x:f>IFERROR(INDEX(Items!$Z$6:$Z$1005,MATCH(A485,Items!$A$6:$A$1005,0)),"MISSING ITEM ID")</x:f>
        <x:v>Equipment mounting</x:v>
      </x:c>
      <x:c r="F485" s="3" t="str">
        <x:v>Candidate use for a specific raw form. Material qualification and processing remain proposed.</x:v>
      </x:c>
    </x:row>
    <x:row r="486" ht="65" customHeight="1">
      <x:c r="A486" s="3" t="str">
        <x:v>proposal.raw.hoop_bands</x:v>
      </x:c>
      <x:c r="B486" s="3" t="str">
        <x:f>IFERROR(INDEX(Items!$B$6:$B$1005,MATCH(A486,Items!$A$6:$A$1005,0)),"MISSING ITEM ID")</x:f>
        <x:v>Salvaged metal hoop bands</x:v>
      </x:c>
      <x:c r="C486" s="3" t="str">
        <x:f>IFERROR(INDEX(Items!$C$6:$C$1005,MATCH(A486,Items!$A$6:$A$1005,0)),"MISSING ITEM ID")</x:f>
        <x:v>Resources</x:v>
      </x:c>
      <x:c r="D486" s="3" t="str">
        <x:v>Secondary</x:v>
      </x:c>
      <x:c r="E486" s="3" t="str">
        <x:v>Fabrication</x:v>
      </x:c>
      <x:c r="F486" s="3" t="str">
        <x:v>Candidate use for a specific raw form. Material qualification and processing remain proposed.</x:v>
      </x:c>
    </x:row>
    <x:row r="487" ht="65" customHeight="1">
      <x:c r="A487" s="3" t="str">
        <x:v>proposal.raw.pipe_sections</x:v>
      </x:c>
      <x:c r="B487" s="3" t="str">
        <x:f>IFERROR(INDEX(Items!$B$6:$B$1005,MATCH(A487,Items!$A$6:$A$1005,0)),"MISSING ITEM ID")</x:f>
        <x:v>Old metal pipe sections</x:v>
      </x:c>
      <x:c r="C487" s="3" t="str">
        <x:f>IFERROR(INDEX(Items!$C$6:$C$1005,MATCH(A487,Items!$A$6:$A$1005,0)),"MISSING ITEM ID")</x:f>
        <x:v>Resources</x:v>
      </x:c>
      <x:c r="D487" s="3" t="str">
        <x:v>Primary</x:v>
      </x:c>
      <x:c r="E487" s="3" t="str">
        <x:f>IFERROR(INDEX(Items!$Z$6:$Z$1005,MATCH(A487,Items!$A$6:$A$1005,0)),"MISSING ITEM ID")</x:f>
        <x:v>Fabrication</x:v>
      </x:c>
      <x:c r="F487" s="3" t="str">
        <x:v>Candidate use for a specific raw form. Material qualification and processing remain proposed.</x:v>
      </x:c>
    </x:row>
    <x:row r="488" ht="65" customHeight="1">
      <x:c r="A488" s="3" t="str">
        <x:v>proposal.raw.coated_sheet</x:v>
      </x:c>
      <x:c r="B488" s="3" t="str">
        <x:f>IFERROR(INDEX(Items!$B$6:$B$1005,MATCH(A488,Items!$A$6:$A$1005,0)),"MISSING ITEM ID")</x:f>
        <x:v>Coated sheet-metal scrap</x:v>
      </x:c>
      <x:c r="C488" s="3" t="str">
        <x:f>IFERROR(INDEX(Items!$C$6:$C$1005,MATCH(A488,Items!$A$6:$A$1005,0)),"MISSING ITEM ID")</x:f>
        <x:v>Resources</x:v>
      </x:c>
      <x:c r="D488" s="3" t="str">
        <x:v>Primary</x:v>
      </x:c>
      <x:c r="E488" s="3" t="str">
        <x:f>IFERROR(INDEX(Items!$Z$6:$Z$1005,MATCH(A488,Items!$A$6:$A$1005,0)),"MISSING ITEM ID")</x:f>
        <x:v>Fabrication</x:v>
      </x:c>
      <x:c r="F488" s="3" t="str">
        <x:v>Candidate use for a specific raw form. Material qualification and processing remain proposed.</x:v>
      </x:c>
    </x:row>
    <x:row r="489" ht="65" customHeight="1">
      <x:c r="A489" s="3" t="str">
        <x:v>proposal.raw.bent_fasteners</x:v>
      </x:c>
      <x:c r="B489" s="3" t="str">
        <x:f>IFERROR(INDEX(Items!$B$6:$B$1005,MATCH(A489,Items!$A$6:$A$1005,0)),"MISSING ITEM ID")</x:f>
        <x:v>Bent nails and rivets</x:v>
      </x:c>
      <x:c r="C489" s="3" t="str">
        <x:f>IFERROR(INDEX(Items!$C$6:$C$1005,MATCH(A489,Items!$A$6:$A$1005,0)),"MISSING ITEM ID")</x:f>
        <x:v>Resources</x:v>
      </x:c>
      <x:c r="D489" s="3" t="str">
        <x:v>Primary</x:v>
      </x:c>
      <x:c r="E489" s="3" t="str">
        <x:f>IFERROR(INDEX(Items!$Z$6:$Z$1005,MATCH(A489,Items!$A$6:$A$1005,0)),"MISSING ITEM ID")</x:f>
        <x:v>Metal refining</x:v>
      </x:c>
      <x:c r="F489" s="3" t="str">
        <x:v>Candidate use for a specific raw form. Material qualification and processing remain proposed.</x:v>
      </x:c>
    </x:row>
    <x:row r="490" ht="65" customHeight="1">
      <x:c r="A490" s="3" t="str">
        <x:v>proposal.raw.bent_fasteners</x:v>
      </x:c>
      <x:c r="B490" s="3" t="str">
        <x:f>IFERROR(INDEX(Items!$B$6:$B$1005,MATCH(A490,Items!$A$6:$A$1005,0)),"MISSING ITEM ID")</x:f>
        <x:v>Bent nails and rivets</x:v>
      </x:c>
      <x:c r="C490" s="3" t="str">
        <x:f>IFERROR(INDEX(Items!$C$6:$C$1005,MATCH(A490,Items!$A$6:$A$1005,0)),"MISSING ITEM ID")</x:f>
        <x:v>Resources</x:v>
      </x:c>
      <x:c r="D490" s="3" t="str">
        <x:v>Secondary</x:v>
      </x:c>
      <x:c r="E490" s="3" t="str">
        <x:v>Equipment fabrication</x:v>
      </x:c>
      <x:c r="F490" s="3" t="str">
        <x:v>Candidate use for a specific raw form. Material qualification and processing remain proposed.</x:v>
      </x:c>
    </x:row>
    <x:row r="491" ht="65" customHeight="1">
      <x:c r="A491" s="3" t="str">
        <x:v>proposal.raw.furnace_ash</x:v>
      </x:c>
      <x:c r="B491" s="3" t="str">
        <x:f>IFERROR(INDEX(Items!$B$6:$B$1005,MATCH(A491,Items!$A$6:$A$1005,0)),"MISSING ITEM ID")</x:f>
        <x:v>Coarse furnace ash</x:v>
      </x:c>
      <x:c r="C491" s="3" t="str">
        <x:f>IFERROR(INDEX(Items!$C$6:$C$1005,MATCH(A491,Items!$A$6:$A$1005,0)),"MISSING ITEM ID")</x:f>
        <x:v>Resources</x:v>
      </x:c>
      <x:c r="D491" s="3" t="str">
        <x:v>Primary</x:v>
      </x:c>
      <x:c r="E491" s="3" t="str">
        <x:f>IFERROR(INDEX(Items!$Z$6:$Z$1005,MATCH(A491,Items!$A$6:$A$1005,0)),"MISSING ITEM ID")</x:f>
        <x:v>Chemical processing</x:v>
      </x:c>
      <x:c r="F491" s="3" t="str">
        <x:v>Candidate use for a specific raw form. Material qualification and processing remain proposed.</x:v>
      </x:c>
    </x:row>
    <x:row r="492" ht="65" customHeight="1">
      <x:c r="A492" s="3" t="str">
        <x:v>proposal.raw.abrasive_fragments</x:v>
      </x:c>
      <x:c r="B492" s="3" t="str">
        <x:f>IFERROR(INDEX(Items!$B$6:$B$1005,MATCH(A492,Items!$A$6:$A$1005,0)),"MISSING ITEM ID")</x:f>
        <x:v>Broken abrasive-wheel fragments</x:v>
      </x:c>
      <x:c r="C492" s="3" t="str">
        <x:f>IFERROR(INDEX(Items!$C$6:$C$1005,MATCH(A492,Items!$A$6:$A$1005,0)),"MISSING ITEM ID")</x:f>
        <x:v>Resources</x:v>
      </x:c>
      <x:c r="D492" s="3" t="str">
        <x:v>Primary</x:v>
      </x:c>
      <x:c r="E492" s="3" t="str">
        <x:f>IFERROR(INDEX(Items!$Z$6:$Z$1005,MATCH(A492,Items!$A$6:$A$1005,0)),"MISSING ITEM ID")</x:f>
        <x:v>Surface finishing</x:v>
      </x:c>
      <x:c r="F492" s="3" t="str">
        <x:v>Candidate use for a specific raw form. Material qualification and processing remain proposed.</x:v>
      </x:c>
    </x:row>
    <x:row r="493" ht="65" customHeight="1">
      <x:c r="A493" s="3" t="str">
        <x:v>proposal.raw.magnet_fragments</x:v>
      </x:c>
      <x:c r="B493" s="3" t="str">
        <x:f>IFERROR(INDEX(Items!$B$6:$B$1005,MATCH(A493,Items!$A$6:$A$1005,0)),"MISSING ITEM ID")</x:f>
        <x:v>Broken magnet fragments</x:v>
      </x:c>
      <x:c r="C493" s="3" t="str">
        <x:f>IFERROR(INDEX(Items!$C$6:$C$1005,MATCH(A493,Items!$A$6:$A$1005,0)),"MISSING ITEM ID")</x:f>
        <x:v>Resources</x:v>
      </x:c>
      <x:c r="D493" s="3" t="str">
        <x:v>Primary</x:v>
      </x:c>
      <x:c r="E493" s="3" t="str">
        <x:f>IFERROR(INDEX(Items!$Z$6:$Z$1005,MATCH(A493,Items!$A$6:$A$1005,0)),"MISSING ITEM ID")</x:f>
        <x:v>Magnetic tools</x:v>
      </x:c>
      <x:c r="F493" s="3" t="str">
        <x:v>Candidate use for a specific raw form. Material qualification and processing remain proposed.</x:v>
      </x:c>
    </x:row>
    <x:row r="494" ht="65" customHeight="1">
      <x:c r="A494" s="3" t="str">
        <x:v>proposal.raw.magnet_fragments</x:v>
      </x:c>
      <x:c r="B494" s="3" t="str">
        <x:f>IFERROR(INDEX(Items!$B$6:$B$1005,MATCH(A494,Items!$A$6:$A$1005,0)),"MISSING ITEM ID")</x:f>
        <x:v>Broken magnet fragments</x:v>
      </x:c>
      <x:c r="C494" s="3" t="str">
        <x:f>IFERROR(INDEX(Items!$C$6:$C$1005,MATCH(A494,Items!$A$6:$A$1005,0)),"MISSING ITEM ID")</x:f>
        <x:v>Resources</x:v>
      </x:c>
      <x:c r="D494" s="3" t="str">
        <x:v>Secondary</x:v>
      </x:c>
      <x:c r="E494" s="3" t="str">
        <x:v>Work holding</x:v>
      </x:c>
      <x:c r="F494" s="3" t="str">
        <x:v>Candidate use for a specific raw form. Material qualification and processing remain proposed.</x:v>
      </x:c>
    </x:row>
    <x:row r="495" ht="65" customHeight="1">
      <x:c r="A495" s="3" t="str">
        <x:v>proposal.raw.punching_offcuts</x:v>
      </x:c>
      <x:c r="B495" s="3" t="str">
        <x:f>IFERROR(INDEX(Items!$B$6:$B$1005,MATCH(A495,Items!$A$6:$A$1005,0)),"MISSING ITEM ID")</x:f>
        <x:v>Metal punching offcuts</x:v>
      </x:c>
      <x:c r="C495" s="3" t="str">
        <x:f>IFERROR(INDEX(Items!$C$6:$C$1005,MATCH(A495,Items!$A$6:$A$1005,0)),"MISSING ITEM ID")</x:f>
        <x:v>Resources</x:v>
      </x:c>
      <x:c r="D495" s="3" t="str">
        <x:v>Primary</x:v>
      </x:c>
      <x:c r="E495" s="3" t="str">
        <x:f>IFERROR(INDEX(Items!$Z$6:$Z$1005,MATCH(A495,Items!$A$6:$A$1005,0)),"MISSING ITEM ID")</x:f>
        <x:v>Equipment fabrication</x:v>
      </x:c>
      <x:c r="F495" s="3" t="str">
        <x:v>Candidate use for a specific raw form. Material qualification and processing remain proposed.</x:v>
      </x:c>
    </x:row>
    <x:row r="496" ht="65" customHeight="1">
      <x:c r="A496" s="3" t="str">
        <x:v>proposal.t1.iron_bloom</x:v>
      </x:c>
      <x:c r="B496" s="3" t="str">
        <x:f>IFERROR(INDEX(Items!$B$6:$B$1005,MATCH(A496,Items!$A$6:$A$1005,0)),"MISSING ITEM ID")</x:f>
        <x:v>Smelted iron bloom</x:v>
      </x:c>
      <x:c r="C496" s="3" t="str">
        <x:f>IFERROR(INDEX(Items!$C$6:$C$1005,MATCH(A496,Items!$A$6:$A$1005,0)),"MISSING ITEM ID")</x:f>
        <x:v>Resources</x:v>
      </x:c>
      <x:c r="D496" s="3" t="str">
        <x:v>Primary</x:v>
      </x:c>
      <x:c r="E496" s="3" t="str">
        <x:f>IFERROR(INDEX(Items!$Z$6:$Z$1005,MATCH(A496,Items!$A$6:$A$1005,0)),"MISSING ITEM ID")</x:f>
        <x:v>Metal refining</x:v>
      </x:c>
      <x:c r="F496" s="3" t="str">
        <x:v>Proposed first-stage material use; no production recipe or material performance approved.</x:v>
      </x:c>
    </x:row>
    <x:row r="497" ht="65" customHeight="1">
      <x:c r="A497" s="3" t="str">
        <x:v>proposal.t1.iron_bloom</x:v>
      </x:c>
      <x:c r="B497" s="3" t="str">
        <x:f>IFERROR(INDEX(Items!$B$6:$B$1005,MATCH(A497,Items!$A$6:$A$1005,0)),"MISSING ITEM ID")</x:f>
        <x:v>Smelted iron bloom</x:v>
      </x:c>
      <x:c r="C497" s="3" t="str">
        <x:f>IFERROR(INDEX(Items!$C$6:$C$1005,MATCH(A497,Items!$A$6:$A$1005,0)),"MISSING ITEM ID")</x:f>
        <x:v>Resources</x:v>
      </x:c>
      <x:c r="D497" s="3" t="str">
        <x:v>Secondary</x:v>
      </x:c>
      <x:c r="E497" s="3" t="str">
        <x:v>Fabrication</x:v>
      </x:c>
      <x:c r="F497" s="3" t="str">
        <x:v>Proposed first-stage material use; no production recipe or material performance approved.</x:v>
      </x:c>
    </x:row>
    <x:row r="498" ht="65" customHeight="1">
      <x:c r="A498" s="3" t="str">
        <x:v>proposal.t1.copper_cake</x:v>
      </x:c>
      <x:c r="B498" s="3" t="str">
        <x:f>IFERROR(INDEX(Items!$B$6:$B$1005,MATCH(A498,Items!$A$6:$A$1005,0)),"MISSING ITEM ID")</x:f>
        <x:v>Refined copper cake</x:v>
      </x:c>
      <x:c r="C498" s="3" t="str">
        <x:f>IFERROR(INDEX(Items!$C$6:$C$1005,MATCH(A498,Items!$A$6:$A$1005,0)),"MISSING ITEM ID")</x:f>
        <x:v>Resources</x:v>
      </x:c>
      <x:c r="D498" s="3" t="str">
        <x:v>Primary</x:v>
      </x:c>
      <x:c r="E498" s="3" t="str">
        <x:f>IFERROR(INDEX(Items!$Z$6:$Z$1005,MATCH(A498,Items!$A$6:$A$1005,0)),"MISSING ITEM ID")</x:f>
        <x:v>Electrical conduction</x:v>
      </x:c>
      <x:c r="F498" s="3" t="str">
        <x:v>Proposed first-stage material use; no production recipe or material performance approved.</x:v>
      </x:c>
    </x:row>
    <x:row r="499" ht="65" customHeight="1">
      <x:c r="A499" s="3" t="str">
        <x:v>proposal.t1.copper_cake</x:v>
      </x:c>
      <x:c r="B499" s="3" t="str">
        <x:f>IFERROR(INDEX(Items!$B$6:$B$1005,MATCH(A499,Items!$A$6:$A$1005,0)),"MISSING ITEM ID")</x:f>
        <x:v>Refined copper cake</x:v>
      </x:c>
      <x:c r="C499" s="3" t="str">
        <x:f>IFERROR(INDEX(Items!$C$6:$C$1005,MATCH(A499,Items!$A$6:$A$1005,0)),"MISSING ITEM ID")</x:f>
        <x:v>Resources</x:v>
      </x:c>
      <x:c r="D499" s="3" t="str">
        <x:v>Secondary</x:v>
      </x:c>
      <x:c r="E499" s="3" t="str">
        <x:v>Fabrication</x:v>
      </x:c>
      <x:c r="F499" s="3" t="str">
        <x:v>Proposed first-stage material use; no production recipe or material performance approved.</x:v>
      </x:c>
    </x:row>
    <x:row r="500" ht="65" customHeight="1">
      <x:c r="A500" s="3" t="str">
        <x:v>proposal.t1.brass_billet</x:v>
      </x:c>
      <x:c r="B500" s="3" t="str">
        <x:f>IFERROR(INDEX(Items!$B$6:$B$1005,MATCH(A500,Items!$A$6:$A$1005,0)),"MISSING ITEM ID")</x:f>
        <x:v>Reclaimed brass billet</x:v>
      </x:c>
      <x:c r="C500" s="3" t="str">
        <x:f>IFERROR(INDEX(Items!$C$6:$C$1005,MATCH(A500,Items!$A$6:$A$1005,0)),"MISSING ITEM ID")</x:f>
        <x:v>Resources</x:v>
      </x:c>
      <x:c r="D500" s="3" t="str">
        <x:v>Primary</x:v>
      </x:c>
      <x:c r="E500" s="3" t="str">
        <x:f>IFERROR(INDEX(Items!$Z$6:$Z$1005,MATCH(A500,Items!$A$6:$A$1005,0)),"MISSING ITEM ID")</x:f>
        <x:v>Fabrication</x:v>
      </x:c>
      <x:c r="F500" s="3" t="str">
        <x:v>Proposed first-stage material use; no production recipe or material performance approved.</x:v>
      </x:c>
    </x:row>
    <x:row r="501" ht="65" customHeight="1">
      <x:c r="A501" s="3" t="str">
        <x:v>proposal.t1.bronze_billet</x:v>
      </x:c>
      <x:c r="B501" s="3" t="str">
        <x:f>IFERROR(INDEX(Items!$B$6:$B$1005,MATCH(A501,Items!$A$6:$A$1005,0)),"MISSING ITEM ID")</x:f>
        <x:v>Reclaimed bronze billet</x:v>
      </x:c>
      <x:c r="C501" s="3" t="str">
        <x:f>IFERROR(INDEX(Items!$C$6:$C$1005,MATCH(A501,Items!$A$6:$A$1005,0)),"MISSING ITEM ID")</x:f>
        <x:v>Resources</x:v>
      </x:c>
      <x:c r="D501" s="3" t="str">
        <x:v>Primary</x:v>
      </x:c>
      <x:c r="E501" s="3" t="str">
        <x:f>IFERROR(INDEX(Items!$Z$6:$Z$1005,MATCH(A501,Items!$A$6:$A$1005,0)),"MISSING ITEM ID")</x:f>
        <x:v>Fabrication</x:v>
      </x:c>
      <x:c r="F501" s="3" t="str">
        <x:v>Proposed first-stage material use; no production recipe or material performance approved.</x:v>
      </x:c>
    </x:row>
    <x:row r="502" ht="65" customHeight="1">
      <x:c r="A502" s="3" t="str">
        <x:v>proposal.t1.opaque_glass</x:v>
      </x:c>
      <x:c r="B502" s="3" t="str">
        <x:f>IFERROR(INDEX(Items!$B$6:$B$1005,MATCH(A502,Items!$A$6:$A$1005,0)),"MISSING ITEM ID")</x:f>
        <x:v>Opaque mineral-glass stock</x:v>
      </x:c>
      <x:c r="C502" s="3" t="str">
        <x:f>IFERROR(INDEX(Items!$C$6:$C$1005,MATCH(A502,Items!$A$6:$A$1005,0)),"MISSING ITEM ID")</x:f>
        <x:v>Resources</x:v>
      </x:c>
      <x:c r="D502" s="3" t="str">
        <x:v>Primary</x:v>
      </x:c>
      <x:c r="E502" s="3" t="str">
        <x:f>IFERROR(INDEX(Items!$Z$6:$Z$1005,MATCH(A502,Items!$A$6:$A$1005,0)),"MISSING ITEM ID")</x:f>
        <x:v>Glass and ceramics</x:v>
      </x:c>
      <x:c r="F502" s="3" t="str">
        <x:v>Proposed first-stage material use; no production recipe or material performance approved.</x:v>
      </x:c>
    </x:row>
    <x:row r="503" ht="65" customHeight="1">
      <x:c r="A503" s="3" t="str">
        <x:v>proposal.t1.opaque_glass</x:v>
      </x:c>
      <x:c r="B503" s="3" t="str">
        <x:f>IFERROR(INDEX(Items!$B$6:$B$1005,MATCH(A503,Items!$A$6:$A$1005,0)),"MISSING ITEM ID")</x:f>
        <x:v>Opaque mineral-glass stock</x:v>
      </x:c>
      <x:c r="C503" s="3" t="str">
        <x:f>IFERROR(INDEX(Items!$C$6:$C$1005,MATCH(A503,Items!$A$6:$A$1005,0)),"MISSING ITEM ID")</x:f>
        <x:v>Resources</x:v>
      </x:c>
      <x:c r="D503" s="3" t="str">
        <x:v>Secondary</x:v>
      </x:c>
      <x:c r="E503" s="3" t="str">
        <x:v>Fabrication</x:v>
      </x:c>
      <x:c r="F503" s="3" t="str">
        <x:v>Proposed first-stage material use; no production recipe or material performance approved.</x:v>
      </x:c>
    </x:row>
    <x:row r="504" ht="65" customHeight="1">
      <x:c r="A504" s="3" t="str">
        <x:v>proposal.t1.clear_glass_blank</x:v>
      </x:c>
      <x:c r="B504" s="3" t="str">
        <x:f>IFERROR(INDEX(Items!$B$6:$B$1005,MATCH(A504,Items!$A$6:$A$1005,0)),"MISSING ITEM ID")</x:f>
        <x:v>Rough clear-glass blank</x:v>
      </x:c>
      <x:c r="C504" s="3" t="str">
        <x:f>IFERROR(INDEX(Items!$C$6:$C$1005,MATCH(A504,Items!$A$6:$A$1005,0)),"MISSING ITEM ID")</x:f>
        <x:v>Resources</x:v>
      </x:c>
      <x:c r="D504" s="3" t="str">
        <x:v>Primary</x:v>
      </x:c>
      <x:c r="E504" s="3" t="str">
        <x:f>IFERROR(INDEX(Items!$Z$6:$Z$1005,MATCH(A504,Items!$A$6:$A$1005,0)),"MISSING ITEM ID")</x:f>
        <x:v>Inspection</x:v>
      </x:c>
      <x:c r="F504" s="3" t="str">
        <x:v>Proposed first-stage material use; no production recipe or material performance approved.</x:v>
      </x:c>
    </x:row>
    <x:row r="505" ht="65" customHeight="1">
      <x:c r="A505" s="3" t="str">
        <x:v>proposal.t1.clear_glass_blank</x:v>
      </x:c>
      <x:c r="B505" s="3" t="str">
        <x:f>IFERROR(INDEX(Items!$B$6:$B$1005,MATCH(A505,Items!$A$6:$A$1005,0)),"MISSING ITEM ID")</x:f>
        <x:v>Rough clear-glass blank</x:v>
      </x:c>
      <x:c r="C505" s="3" t="str">
        <x:f>IFERROR(INDEX(Items!$C$6:$C$1005,MATCH(A505,Items!$A$6:$A$1005,0)),"MISSING ITEM ID")</x:f>
        <x:v>Resources</x:v>
      </x:c>
      <x:c r="D505" s="3" t="str">
        <x:v>Secondary</x:v>
      </x:c>
      <x:c r="E505" s="3" t="str">
        <x:v>Glass and ceramics</x:v>
      </x:c>
      <x:c r="F505" s="3" t="str">
        <x:v>Proposed first-stage material use; no production recipe or material performance approved.</x:v>
      </x:c>
    </x:row>
    <x:row r="506" ht="65" customHeight="1">
      <x:c r="A506" s="3" t="str">
        <x:v>proposal.t1.dressed_stone</x:v>
      </x:c>
      <x:c r="B506" s="3" t="str">
        <x:f>IFERROR(INDEX(Items!$B$6:$B$1005,MATCH(A506,Items!$A$6:$A$1005,0)),"MISSING ITEM ID")</x:f>
        <x:v>Dressed building-stone stock</x:v>
      </x:c>
      <x:c r="C506" s="3" t="str">
        <x:f>IFERROR(INDEX(Items!$C$6:$C$1005,MATCH(A506,Items!$A$6:$A$1005,0)),"MISSING ITEM ID")</x:f>
        <x:v>Resources</x:v>
      </x:c>
      <x:c r="D506" s="3" t="str">
        <x:v>Primary</x:v>
      </x:c>
      <x:c r="E506" s="3" t="str">
        <x:f>IFERROR(INDEX(Items!$Z$6:$Z$1005,MATCH(A506,Items!$A$6:$A$1005,0)),"MISSING ITEM ID")</x:f>
        <x:v>Binding and construction</x:v>
      </x:c>
      <x:c r="F506" s="3" t="str">
        <x:v>Proposed first-stage material use; no production recipe or material performance approved.</x:v>
      </x:c>
    </x:row>
    <x:row r="507" ht="65" customHeight="1">
      <x:c r="A507" s="3" t="str">
        <x:v>proposal.t1.dressed_stone</x:v>
      </x:c>
      <x:c r="B507" s="3" t="str">
        <x:f>IFERROR(INDEX(Items!$B$6:$B$1005,MATCH(A507,Items!$A$6:$A$1005,0)),"MISSING ITEM ID")</x:f>
        <x:v>Dressed building-stone stock</x:v>
      </x:c>
      <x:c r="C507" s="3" t="str">
        <x:f>IFERROR(INDEX(Items!$C$6:$C$1005,MATCH(A507,Items!$A$6:$A$1005,0)),"MISSING ITEM ID")</x:f>
        <x:v>Resources</x:v>
      </x:c>
      <x:c r="D507" s="3" t="str">
        <x:v>Secondary</x:v>
      </x:c>
      <x:c r="E507" s="3" t="str">
        <x:v>Fabrication</x:v>
      </x:c>
      <x:c r="F507" s="3" t="str">
        <x:v>Proposed first-stage material use; no production recipe or material performance approved.</x:v>
      </x:c>
    </x:row>
    <x:row r="508" ht="65" customHeight="1">
      <x:c r="A508" s="3" t="str">
        <x:v>proposal.t1.resonant_blank</x:v>
      </x:c>
      <x:c r="B508" s="3" t="str">
        <x:f>IFERROR(INDEX(Items!$B$6:$B$1005,MATCH(A508,Items!$A$6:$A$1005,0)),"MISSING ITEM ID")</x:f>
        <x:v>Selected resonant-stone blank</x:v>
      </x:c>
      <x:c r="C508" s="3" t="str">
        <x:f>IFERROR(INDEX(Items!$C$6:$C$1005,MATCH(A508,Items!$A$6:$A$1005,0)),"MISSING ITEM ID")</x:f>
        <x:v>Resources</x:v>
      </x:c>
      <x:c r="D508" s="3" t="str">
        <x:v>Primary</x:v>
      </x:c>
      <x:c r="E508" s="3" t="str">
        <x:f>IFERROR(INDEX(Items!$Z$6:$Z$1005,MATCH(A508,Items!$A$6:$A$1005,0)),"MISSING ITEM ID")</x:f>
        <x:v>Music</x:v>
      </x:c>
      <x:c r="F508" s="3" t="str">
        <x:v>Proposed first-stage material use; no production recipe or material performance approved.</x:v>
      </x:c>
    </x:row>
    <x:row r="509" ht="65" customHeight="1">
      <x:c r="A509" s="3" t="str">
        <x:v>proposal.t1.resonant_blank</x:v>
      </x:c>
      <x:c r="B509" s="3" t="str">
        <x:f>IFERROR(INDEX(Items!$B$6:$B$1005,MATCH(A509,Items!$A$6:$A$1005,0)),"MISSING ITEM ID")</x:f>
        <x:v>Selected resonant-stone blank</x:v>
      </x:c>
      <x:c r="C509" s="3" t="str">
        <x:f>IFERROR(INDEX(Items!$C$6:$C$1005,MATCH(A509,Items!$A$6:$A$1005,0)),"MISSING ITEM ID")</x:f>
        <x:v>Resources</x:v>
      </x:c>
      <x:c r="D509" s="3" t="str">
        <x:v>Secondary</x:v>
      </x:c>
      <x:c r="E509" s="3" t="str">
        <x:v>Fabrication</x:v>
      </x:c>
      <x:c r="F509" s="3" t="str">
        <x:v>Proposed first-stage material use; no production recipe or material performance approved.</x:v>
      </x:c>
    </x:row>
    <x:row r="510" ht="65" customHeight="1">
      <x:c r="A510" s="3" t="str">
        <x:v>proposal.t1.pigment_powder</x:v>
      </x:c>
      <x:c r="B510" s="3" t="str">
        <x:f>IFERROR(INDEX(Items!$B$6:$B$1005,MATCH(A510,Items!$A$6:$A$1005,0)),"MISSING ITEM ID")</x:f>
        <x:v>Prepared mineral pigment powder</x:v>
      </x:c>
      <x:c r="C510" s="3" t="str">
        <x:f>IFERROR(INDEX(Items!$C$6:$C$1005,MATCH(A510,Items!$A$6:$A$1005,0)),"MISSING ITEM ID")</x:f>
        <x:v>Resources</x:v>
      </x:c>
      <x:c r="D510" s="3" t="str">
        <x:v>Primary</x:v>
      </x:c>
      <x:c r="E510" s="3" t="str">
        <x:f>IFERROR(INDEX(Items!$Z$6:$Z$1005,MATCH(A510,Items!$A$6:$A$1005,0)),"MISSING ITEM ID")</x:f>
        <x:v>Decoration</x:v>
      </x:c>
      <x:c r="F510" s="3" t="str">
        <x:v>Proposed first-stage material use; no production recipe or material performance approved.</x:v>
      </x:c>
    </x:row>
    <x:row r="511" ht="65" customHeight="1">
      <x:c r="A511" s="3" t="str">
        <x:v>proposal.t1.pigment_powder</x:v>
      </x:c>
      <x:c r="B511" s="3" t="str">
        <x:f>IFERROR(INDEX(Items!$B$6:$B$1005,MATCH(A511,Items!$A$6:$A$1005,0)),"MISSING ITEM ID")</x:f>
        <x:v>Prepared mineral pigment powder</x:v>
      </x:c>
      <x:c r="C511" s="3" t="str">
        <x:f>IFERROR(INDEX(Items!$C$6:$C$1005,MATCH(A511,Items!$A$6:$A$1005,0)),"MISSING ITEM ID")</x:f>
        <x:v>Resources</x:v>
      </x:c>
      <x:c r="D511" s="3" t="str">
        <x:v>Secondary</x:v>
      </x:c>
      <x:c r="E511" s="3" t="str">
        <x:v>Writing and records</x:v>
      </x:c>
      <x:c r="F511" s="3" t="str">
        <x:v>Proposed first-stage material use; no production recipe or material performance approved.</x:v>
      </x:c>
    </x:row>
    <x:row r="512" ht="65" customHeight="1">
      <x:c r="A512" s="3" t="str">
        <x:v>proposal.t1.mineral_filler</x:v>
      </x:c>
      <x:c r="B512" s="3" t="str">
        <x:f>IFERROR(INDEX(Items!$B$6:$B$1005,MATCH(A512,Items!$A$6:$A$1005,0)),"MISSING ITEM ID")</x:f>
        <x:v>Graded mineral filler</x:v>
      </x:c>
      <x:c r="C512" s="3" t="str">
        <x:f>IFERROR(INDEX(Items!$C$6:$C$1005,MATCH(A512,Items!$A$6:$A$1005,0)),"MISSING ITEM ID")</x:f>
        <x:v>Resources</x:v>
      </x:c>
      <x:c r="D512" s="3" t="str">
        <x:v>Primary</x:v>
      </x:c>
      <x:c r="E512" s="3" t="str">
        <x:f>IFERROR(INDEX(Items!$Z$6:$Z$1005,MATCH(A512,Items!$A$6:$A$1005,0)),"MISSING ITEM ID")</x:f>
        <x:v>Binding and construction</x:v>
      </x:c>
      <x:c r="F512" s="3" t="str">
        <x:v>Proposed first-stage material use; no production recipe or material performance approved.</x:v>
      </x:c>
    </x:row>
    <x:row r="513" ht="65" customHeight="1">
      <x:c r="A513" s="3" t="str">
        <x:v>proposal.t1.mineral_filler</x:v>
      </x:c>
      <x:c r="B513" s="3" t="str">
        <x:f>IFERROR(INDEX(Items!$B$6:$B$1005,MATCH(A513,Items!$A$6:$A$1005,0)),"MISSING ITEM ID")</x:f>
        <x:v>Graded mineral filler</x:v>
      </x:c>
      <x:c r="C513" s="3" t="str">
        <x:f>IFERROR(INDEX(Items!$C$6:$C$1005,MATCH(A513,Items!$A$6:$A$1005,0)),"MISSING ITEM ID")</x:f>
        <x:v>Resources</x:v>
      </x:c>
      <x:c r="D513" s="3" t="str">
        <x:v>Secondary</x:v>
      </x:c>
      <x:c r="E513" s="3" t="str">
        <x:v>Fabrication</x:v>
      </x:c>
      <x:c r="F513" s="3" t="str">
        <x:v>Proposed first-stage material use; no production recipe or material performance approved.</x:v>
      </x:c>
    </x:row>
    <x:row r="514" ht="65" customHeight="1">
      <x:c r="A514" s="3" t="str">
        <x:v>proposal.t1.glass_feed</x:v>
      </x:c>
      <x:c r="B514" s="3" t="str">
        <x:f>IFERROR(INDEX(Items!$B$6:$B$1005,MATCH(A514,Items!$A$6:$A$1005,0)),"MISSING ITEM ID")</x:f>
        <x:v>Sorted glass remelt feed</x:v>
      </x:c>
      <x:c r="C514" s="3" t="str">
        <x:f>IFERROR(INDEX(Items!$C$6:$C$1005,MATCH(A514,Items!$A$6:$A$1005,0)),"MISSING ITEM ID")</x:f>
        <x:v>Resources</x:v>
      </x:c>
      <x:c r="D514" s="3" t="str">
        <x:v>Primary</x:v>
      </x:c>
      <x:c r="E514" s="3" t="str">
        <x:f>IFERROR(INDEX(Items!$Z$6:$Z$1005,MATCH(A514,Items!$A$6:$A$1005,0)),"MISSING ITEM ID")</x:f>
        <x:v>Glass and ceramics</x:v>
      </x:c>
      <x:c r="F514" s="3" t="str">
        <x:v>Proposed first-stage material use; no production recipe or material performance approved.</x:v>
      </x:c>
    </x:row>
    <x:row r="515" ht="65" customHeight="1">
      <x:c r="A515" s="3" t="str">
        <x:v>proposal.t1.mica_flakes</x:v>
      </x:c>
      <x:c r="B515" s="3" t="str">
        <x:f>IFERROR(INDEX(Items!$B$6:$B$1005,MATCH(A515,Items!$A$6:$A$1005,0)),"MISSING ITEM ID")</x:f>
        <x:v>Separated mica flake grade</x:v>
      </x:c>
      <x:c r="C515" s="3" t="str">
        <x:f>IFERROR(INDEX(Items!$C$6:$C$1005,MATCH(A515,Items!$A$6:$A$1005,0)),"MISSING ITEM ID")</x:f>
        <x:v>Resources</x:v>
      </x:c>
      <x:c r="D515" s="3" t="str">
        <x:v>Primary</x:v>
      </x:c>
      <x:c r="E515" s="3" t="str">
        <x:f>IFERROR(INDEX(Items!$Z$6:$Z$1005,MATCH(A515,Items!$A$6:$A$1005,0)),"MISSING ITEM ID")</x:f>
        <x:v>Fabrication</x:v>
      </x:c>
      <x:c r="F515" s="3" t="str">
        <x:v>Proposed first-stage material use; no production recipe or material performance approved.</x:v>
      </x:c>
    </x:row>
    <x:row r="516" ht="65" customHeight="1">
      <x:c r="A516" s="3" t="str">
        <x:v>proposal.t1.mica_flakes</x:v>
      </x:c>
      <x:c r="B516" s="3" t="str">
        <x:f>IFERROR(INDEX(Items!$B$6:$B$1005,MATCH(A516,Items!$A$6:$A$1005,0)),"MISSING ITEM ID")</x:f>
        <x:v>Separated mica flake grade</x:v>
      </x:c>
      <x:c r="C516" s="3" t="str">
        <x:f>IFERROR(INDEX(Items!$C$6:$C$1005,MATCH(A516,Items!$A$6:$A$1005,0)),"MISSING ITEM ID")</x:f>
        <x:v>Resources</x:v>
      </x:c>
      <x:c r="D516" s="3" t="str">
        <x:v>Secondary</x:v>
      </x:c>
      <x:c r="E516" s="3" t="str">
        <x:v>Decoration</x:v>
      </x:c>
      <x:c r="F516" s="3" t="str">
        <x:v>Proposed first-stage material use; no production recipe or material performance approved.</x:v>
      </x:c>
    </x:row>
    <x:row r="517" ht="65" customHeight="1">
      <x:c r="A517" s="3" t="str">
        <x:v>proposal.t1.husk_pulp</x:v>
      </x:c>
      <x:c r="B517" s="3" t="str">
        <x:f>IFERROR(INDEX(Items!$B$6:$B$1005,MATCH(A517,Items!$A$6:$A$1005,0)),"MISSING ITEM ID")</x:f>
        <x:v>Prepared husk-fiber pulp</x:v>
      </x:c>
      <x:c r="C517" s="3" t="str">
        <x:f>IFERROR(INDEX(Items!$C$6:$C$1005,MATCH(A517,Items!$A$6:$A$1005,0)),"MISSING ITEM ID")</x:f>
        <x:v>Resources</x:v>
      </x:c>
      <x:c r="D517" s="3" t="str">
        <x:v>Primary</x:v>
      </x:c>
      <x:c r="E517" s="3" t="str">
        <x:f>IFERROR(INDEX(Items!$Z$6:$Z$1005,MATCH(A517,Items!$A$6:$A$1005,0)),"MISSING ITEM ID")</x:f>
        <x:v>Paper making</x:v>
      </x:c>
      <x:c r="F517" s="3" t="str">
        <x:v>Proposed first-stage material use; no production recipe or material performance approved.</x:v>
      </x:c>
    </x:row>
    <x:row r="518" ht="65" customHeight="1">
      <x:c r="A518" s="3" t="str">
        <x:v>proposal.t1.husk_pulp</x:v>
      </x:c>
      <x:c r="B518" s="3" t="str">
        <x:f>IFERROR(INDEX(Items!$B$6:$B$1005,MATCH(A518,Items!$A$6:$A$1005,0)),"MISSING ITEM ID")</x:f>
        <x:v>Prepared husk-fiber pulp</x:v>
      </x:c>
      <x:c r="C518" s="3" t="str">
        <x:f>IFERROR(INDEX(Items!$C$6:$C$1005,MATCH(A518,Items!$A$6:$A$1005,0)),"MISSING ITEM ID")</x:f>
        <x:v>Resources</x:v>
      </x:c>
      <x:c r="D518" s="3" t="str">
        <x:v>Secondary</x:v>
      </x:c>
      <x:c r="E518" s="3" t="str">
        <x:v>Textile processing</x:v>
      </x:c>
      <x:c r="F518" s="3" t="str">
        <x:v>Proposed first-stage material use; no production recipe or material performance approved.</x:v>
      </x:c>
    </x:row>
    <x:row r="519" ht="65" customHeight="1">
      <x:c r="A519" s="3" t="str">
        <x:v>proposal.t1.bristle_bundle</x:v>
      </x:c>
      <x:c r="B519" s="3" t="str">
        <x:f>IFERROR(INDEX(Items!$B$6:$B$1005,MATCH(A519,Items!$A$6:$A$1005,0)),"MISSING ITEM ID")</x:f>
        <x:v>Clean graded bristle bundles</x:v>
      </x:c>
      <x:c r="C519" s="3" t="str">
        <x:f>IFERROR(INDEX(Items!$C$6:$C$1005,MATCH(A519,Items!$A$6:$A$1005,0)),"MISSING ITEM ID")</x:f>
        <x:v>Resources</x:v>
      </x:c>
      <x:c r="D519" s="3" t="str">
        <x:v>Primary</x:v>
      </x:c>
      <x:c r="E519" s="3" t="str">
        <x:f>IFERROR(INDEX(Items!$Z$6:$Z$1005,MATCH(A519,Items!$A$6:$A$1005,0)),"MISSING ITEM ID")</x:f>
        <x:v>Dust exclusion</x:v>
      </x:c>
      <x:c r="F519" s="3" t="str">
        <x:v>Proposed first-stage material use; no production recipe or material performance approved.</x:v>
      </x:c>
    </x:row>
    <x:row r="520" ht="65" customHeight="1">
      <x:c r="A520" s="3" t="str">
        <x:v>proposal.t1.shell_lamina</x:v>
      </x:c>
      <x:c r="B520" s="3" t="str">
        <x:f>IFERROR(INDEX(Items!$B$6:$B$1005,MATCH(A520,Items!$A$6:$A$1005,0)),"MISSING ITEM ID")</x:f>
        <x:v>Separated shell lamina stock</x:v>
      </x:c>
      <x:c r="C520" s="3" t="str">
        <x:f>IFERROR(INDEX(Items!$C$6:$C$1005,MATCH(A520,Items!$A$6:$A$1005,0)),"MISSING ITEM ID")</x:f>
        <x:v>Resources</x:v>
      </x:c>
      <x:c r="D520" s="3" t="str">
        <x:v>Primary</x:v>
      </x:c>
      <x:c r="E520" s="3" t="str">
        <x:f>IFERROR(INDEX(Items!$Z$6:$Z$1005,MATCH(A520,Items!$A$6:$A$1005,0)),"MISSING ITEM ID")</x:f>
        <x:v>Protective fabrication</x:v>
      </x:c>
      <x:c r="F520" s="3" t="str">
        <x:v>Proposed first-stage material use; no production recipe or material performance approved.</x:v>
      </x:c>
    </x:row>
    <x:row r="521" ht="65" customHeight="1">
      <x:c r="A521" s="3" t="str">
        <x:v>proposal.t1.shell_lamina</x:v>
      </x:c>
      <x:c r="B521" s="3" t="str">
        <x:f>IFERROR(INDEX(Items!$B$6:$B$1005,MATCH(A521,Items!$A$6:$A$1005,0)),"MISSING ITEM ID")</x:f>
        <x:v>Separated shell lamina stock</x:v>
      </x:c>
      <x:c r="C521" s="3" t="str">
        <x:f>IFERROR(INDEX(Items!$C$6:$C$1005,MATCH(A521,Items!$A$6:$A$1005,0)),"MISSING ITEM ID")</x:f>
        <x:v>Resources</x:v>
      </x:c>
      <x:c r="D521" s="3" t="str">
        <x:v>Secondary</x:v>
      </x:c>
      <x:c r="E521" s="3" t="str">
        <x:v>Fabrication</x:v>
      </x:c>
      <x:c r="F521" s="3" t="str">
        <x:v>Proposed first-stage material use; no production recipe or material performance approved.</x:v>
      </x:c>
    </x:row>
    <x:row r="522" ht="65" customHeight="1">
      <x:c r="A522" s="3" t="str">
        <x:v>proposal.t1.hardpart_blank</x:v>
      </x:c>
      <x:c r="B522" s="3" t="str">
        <x:f>IFERROR(INDEX(Items!$B$6:$B$1005,MATCH(A522,Items!$A$6:$A$1005,0)),"MISSING ITEM ID")</x:f>
        <x:v>Shaped fauna hard-part blanks</x:v>
      </x:c>
      <x:c r="C522" s="3" t="str">
        <x:f>IFERROR(INDEX(Items!$C$6:$C$1005,MATCH(A522,Items!$A$6:$A$1005,0)),"MISSING ITEM ID")</x:f>
        <x:v>Resources</x:v>
      </x:c>
      <x:c r="D522" s="3" t="str">
        <x:v>Primary</x:v>
      </x:c>
      <x:c r="E522" s="3" t="str">
        <x:f>IFERROR(INDEX(Items!$Z$6:$Z$1005,MATCH(A522,Items!$A$6:$A$1005,0)),"MISSING ITEM ID")</x:f>
        <x:v>Tool fabrication</x:v>
      </x:c>
      <x:c r="F522" s="3" t="str">
        <x:v>Proposed first-stage material use; no production recipe or material performance approved.</x:v>
      </x:c>
    </x:row>
    <x:row r="523" ht="65" customHeight="1">
      <x:c r="A523" s="3" t="str">
        <x:v>proposal.t1.process_salts</x:v>
      </x:c>
      <x:c r="B523" s="3" t="str">
        <x:f>IFERROR(INDEX(Items!$B$6:$B$1005,MATCH(A523,Items!$A$6:$A$1005,0)),"MISSING ITEM ID")</x:f>
        <x:v>Graded process salts</x:v>
      </x:c>
      <x:c r="C523" s="3" t="str">
        <x:f>IFERROR(INDEX(Items!$C$6:$C$1005,MATCH(A523,Items!$A$6:$A$1005,0)),"MISSING ITEM ID")</x:f>
        <x:v>Resources</x:v>
      </x:c>
      <x:c r="D523" s="3" t="str">
        <x:v>Primary</x:v>
      </x:c>
      <x:c r="E523" s="3" t="str">
        <x:f>IFERROR(INDEX(Items!$Z$6:$Z$1005,MATCH(A523,Items!$A$6:$A$1005,0)),"MISSING ITEM ID")</x:f>
        <x:v>Chemical processing</x:v>
      </x:c>
      <x:c r="F523" s="3" t="str">
        <x:v>Proposed first-stage material use; no production recipe or material performance approved.</x:v>
      </x:c>
    </x:row>
    <x:row r="524" ht="65" customHeight="1">
      <x:c r="A524" s="3" t="str">
        <x:v>proposal.t1.faunal_carrier</x:v>
      </x:c>
      <x:c r="B524" s="3" t="str">
        <x:f>IFERROR(INDEX(Items!$B$6:$B$1005,MATCH(A524,Items!$A$6:$A$1005,0)),"MISSING ITEM ID")</x:f>
        <x:v>Selected faunal carrier fraction</x:v>
      </x:c>
      <x:c r="C524" s="3" t="str">
        <x:f>IFERROR(INDEX(Items!$C$6:$C$1005,MATCH(A524,Items!$A$6:$A$1005,0)),"MISSING ITEM ID")</x:f>
        <x:v>Resources</x:v>
      </x:c>
      <x:c r="D524" s="3" t="str">
        <x:v>Primary</x:v>
      </x:c>
      <x:c r="E524" s="3" t="str">
        <x:f>IFERROR(INDEX(Items!$Z$6:$Z$1005,MATCH(A524,Items!$A$6:$A$1005,0)),"MISSING ITEM ID")</x:f>
        <x:v>Chemical processing</x:v>
      </x:c>
      <x:c r="F524" s="3" t="str">
        <x:v>Proposed first-stage material use; no production recipe or material performance approved.</x:v>
      </x:c>
    </x:row>
    <x:row r="525" ht="65" customHeight="1">
      <x:c r="A525" s="3" t="str">
        <x:v>proposal.t1.faunal_carrier</x:v>
      </x:c>
      <x:c r="B525" s="3" t="str">
        <x:f>IFERROR(INDEX(Items!$B$6:$B$1005,MATCH(A525,Items!$A$6:$A$1005,0)),"MISSING ITEM ID")</x:f>
        <x:v>Selected faunal carrier fraction</x:v>
      </x:c>
      <x:c r="C525" s="3" t="str">
        <x:f>IFERROR(INDEX(Items!$C$6:$C$1005,MATCH(A525,Items!$A$6:$A$1005,0)),"MISSING ITEM ID")</x:f>
        <x:v>Resources</x:v>
      </x:c>
      <x:c r="D525" s="3" t="str">
        <x:v>Secondary</x:v>
      </x:c>
      <x:c r="E525" s="3" t="str">
        <x:v>Surface finishing</x:v>
      </x:c>
      <x:c r="F525" s="3" t="str">
        <x:v>Proposed first-stage material use; no production recipe or material performance approved.</x:v>
      </x:c>
    </x:row>
    <x:row r="526" ht="65" customHeight="1">
      <x:c r="A526" s="3" t="str">
        <x:v>proposal.t1.shell_adhesive</x:v>
      </x:c>
      <x:c r="B526" s="3" t="str">
        <x:f>IFERROR(INDEX(Items!$B$6:$B$1005,MATCH(A526,Items!$A$6:$A$1005,0)),"MISSING ITEM ID")</x:f>
        <x:v>Prepared shell-binding adhesive</x:v>
      </x:c>
      <x:c r="C526" s="3" t="str">
        <x:f>IFERROR(INDEX(Items!$C$6:$C$1005,MATCH(A526,Items!$A$6:$A$1005,0)),"MISSING ITEM ID")</x:f>
        <x:v>Resources</x:v>
      </x:c>
      <x:c r="D526" s="3" t="str">
        <x:v>Primary</x:v>
      </x:c>
      <x:c r="E526" s="3" t="str">
        <x:f>IFERROR(INDEX(Items!$Z$6:$Z$1005,MATCH(A526,Items!$A$6:$A$1005,0)),"MISSING ITEM ID")</x:f>
        <x:v>Binding and construction</x:v>
      </x:c>
      <x:c r="F526" s="3" t="str">
        <x:v>Proposed first-stage material use; no production recipe or material performance approved.</x:v>
      </x:c>
    </x:row>
    <x:row r="527" ht="65" customHeight="1">
      <x:c r="A527" s="3" t="str">
        <x:v>proposal.t1.shell_adhesive</x:v>
      </x:c>
      <x:c r="B527" s="3" t="str">
        <x:f>IFERROR(INDEX(Items!$B$6:$B$1005,MATCH(A527,Items!$A$6:$A$1005,0)),"MISSING ITEM ID")</x:f>
        <x:v>Prepared shell-binding adhesive</x:v>
      </x:c>
      <x:c r="C527" s="3" t="str">
        <x:f>IFERROR(INDEX(Items!$C$6:$C$1005,MATCH(A527,Items!$A$6:$A$1005,0)),"MISSING ITEM ID")</x:f>
        <x:v>Resources</x:v>
      </x:c>
      <x:c r="D527" s="3" t="str">
        <x:v>Secondary</x:v>
      </x:c>
      <x:c r="E527" s="3" t="str">
        <x:v>Protective fabrication</x:v>
      </x:c>
      <x:c r="F527" s="3" t="str">
        <x:v>Proposed first-stage material use; no production recipe or material performance approved.</x:v>
      </x:c>
    </x:row>
    <x:row r="528" ht="65" customHeight="1">
      <x:c r="A528" s="3" t="str">
        <x:v>proposal.t1.clot_seal</x:v>
      </x:c>
      <x:c r="B528" s="3" t="str">
        <x:f>IFERROR(INDEX(Items!$B$6:$B$1005,MATCH(A528,Items!$A$6:$A$1005,0)),"MISSING ITEM ID")</x:f>
        <x:v>Prepared clot-seal compound</x:v>
      </x:c>
      <x:c r="C528" s="3" t="str">
        <x:f>IFERROR(INDEX(Items!$C$6:$C$1005,MATCH(A528,Items!$A$6:$A$1005,0)),"MISSING ITEM ID")</x:f>
        <x:v>Resources</x:v>
      </x:c>
      <x:c r="D528" s="3" t="str">
        <x:v>Primary</x:v>
      </x:c>
      <x:c r="E528" s="3" t="str">
        <x:f>IFERROR(INDEX(Items!$Z$6:$Z$1005,MATCH(A528,Items!$A$6:$A$1005,0)),"MISSING ITEM ID")</x:f>
        <x:v>Equipment repair</x:v>
      </x:c>
      <x:c r="F528" s="3" t="str">
        <x:v>Proposed first-stage material use; no production recipe or material performance approved.</x:v>
      </x:c>
    </x:row>
    <x:row r="529" ht="65" customHeight="1">
      <x:c r="A529" s="3" t="str">
        <x:v>proposal.t1.clot_seal</x:v>
      </x:c>
      <x:c r="B529" s="3" t="str">
        <x:f>IFERROR(INDEX(Items!$B$6:$B$1005,MATCH(A529,Items!$A$6:$A$1005,0)),"MISSING ITEM ID")</x:f>
        <x:v>Prepared clot-seal compound</x:v>
      </x:c>
      <x:c r="C529" s="3" t="str">
        <x:f>IFERROR(INDEX(Items!$C$6:$C$1005,MATCH(A529,Items!$A$6:$A$1005,0)),"MISSING ITEM ID")</x:f>
        <x:v>Resources</x:v>
      </x:c>
      <x:c r="D529" s="3" t="str">
        <x:v>Secondary</x:v>
      </x:c>
      <x:c r="E529" s="3" t="str">
        <x:v>Sealing</x:v>
      </x:c>
      <x:c r="F529" s="3" t="str">
        <x:v>Proposed first-stage material use; no production recipe or material performance approved.</x:v>
      </x:c>
    </x:row>
    <x:row r="530" ht="65" customHeight="1">
      <x:c r="A530" s="3" t="str">
        <x:v>proposal.t1.gem_preform</x:v>
      </x:c>
      <x:c r="B530" s="3" t="str">
        <x:f>IFERROR(INDEX(Items!$B$6:$B$1005,MATCH(A530,Items!$A$6:$A$1005,0)),"MISSING ITEM ID")</x:f>
        <x:v>Cut gemstone preform</x:v>
      </x:c>
      <x:c r="C530" s="3" t="str">
        <x:f>IFERROR(INDEX(Items!$C$6:$C$1005,MATCH(A530,Items!$A$6:$A$1005,0)),"MISSING ITEM ID")</x:f>
        <x:v>Resources</x:v>
      </x:c>
      <x:c r="D530" s="3" t="str">
        <x:v>Primary</x:v>
      </x:c>
      <x:c r="E530" s="3" t="str">
        <x:f>IFERROR(INDEX(Items!$Z$6:$Z$1005,MATCH(A530,Items!$A$6:$A$1005,0)),"MISSING ITEM ID")</x:f>
        <x:v>Decoration</x:v>
      </x:c>
      <x:c r="F530" s="3" t="str">
        <x:v>Proposed first-stage material use; no production recipe or material performance approved.</x:v>
      </x:c>
    </x:row>
    <x:row r="531" ht="65" customHeight="1">
      <x:c r="A531" s="3" t="str">
        <x:v>proposal.t1.gem_chips</x:v>
      </x:c>
      <x:c r="B531" s="3" t="str">
        <x:f>IFERROR(INDEX(Items!$B$6:$B$1005,MATCH(A531,Items!$A$6:$A$1005,0)),"MISSING ITEM ID")</x:f>
        <x:v>Graded stone inlay chips</x:v>
      </x:c>
      <x:c r="C531" s="3" t="str">
        <x:f>IFERROR(INDEX(Items!$C$6:$C$1005,MATCH(A531,Items!$A$6:$A$1005,0)),"MISSING ITEM ID")</x:f>
        <x:v>Resources</x:v>
      </x:c>
      <x:c r="D531" s="3" t="str">
        <x:v>Primary</x:v>
      </x:c>
      <x:c r="E531" s="3" t="str">
        <x:f>IFERROR(INDEX(Items!$Z$6:$Z$1005,MATCH(A531,Items!$A$6:$A$1005,0)),"MISSING ITEM ID")</x:f>
        <x:v>Decoration</x:v>
      </x:c>
      <x:c r="F531" s="3" t="str">
        <x:v>Proposed first-stage material use; no production recipe or material performance approved.</x:v>
      </x:c>
    </x:row>
    <x:row r="532" ht="65" customHeight="1">
      <x:c r="A532" s="3" t="str">
        <x:v>proposal.t1.shell_inlay</x:v>
      </x:c>
      <x:c r="B532" s="3" t="str">
        <x:f>IFERROR(INDEX(Items!$B$6:$B$1005,MATCH(A532,Items!$A$6:$A$1005,0)),"MISSING ITEM ID")</x:f>
        <x:v>Burnished shell inlay scales</x:v>
      </x:c>
      <x:c r="C532" s="3" t="str">
        <x:f>IFERROR(INDEX(Items!$C$6:$C$1005,MATCH(A532,Items!$A$6:$A$1005,0)),"MISSING ITEM ID")</x:f>
        <x:v>Resources</x:v>
      </x:c>
      <x:c r="D532" s="3" t="str">
        <x:v>Primary</x:v>
      </x:c>
      <x:c r="E532" s="3" t="str">
        <x:f>IFERROR(INDEX(Items!$Z$6:$Z$1005,MATCH(A532,Items!$A$6:$A$1005,0)),"MISSING ITEM ID")</x:f>
        <x:v>Decoration</x:v>
      </x:c>
      <x:c r="F532" s="3" t="str">
        <x:v>Proposed first-stage material use; no production recipe or material performance approved.</x:v>
      </x:c>
    </x:row>
    <x:row r="533" ht="65" customHeight="1">
      <x:c r="A533" s="3" t="str">
        <x:v>proposal.t1.mica_window</x:v>
      </x:c>
      <x:c r="B533" s="3" t="str">
        <x:f>IFERROR(INDEX(Items!$B$6:$B$1005,MATCH(A533,Items!$A$6:$A$1005,0)),"MISSING ITEM ID")</x:f>
        <x:v>Sized mica viewing sheet</x:v>
      </x:c>
      <x:c r="C533" s="3" t="str">
        <x:f>IFERROR(INDEX(Items!$C$6:$C$1005,MATCH(A533,Items!$A$6:$A$1005,0)),"MISSING ITEM ID")</x:f>
        <x:v>Resources</x:v>
      </x:c>
      <x:c r="D533" s="3" t="str">
        <x:v>Primary</x:v>
      </x:c>
      <x:c r="E533" s="3" t="str">
        <x:f>IFERROR(INDEX(Items!$Z$6:$Z$1005,MATCH(A533,Items!$A$6:$A$1005,0)),"MISSING ITEM ID")</x:f>
        <x:v>Inspection</x:v>
      </x:c>
      <x:c r="F533" s="3" t="str">
        <x:v>Proposed first-stage material use; no production recipe or material performance approved.</x:v>
      </x:c>
    </x:row>
    <x:row r="534" ht="65" customHeight="1">
      <x:c r="A534" s="3" t="str">
        <x:v>proposal.t1.mica_window</x:v>
      </x:c>
      <x:c r="B534" s="3" t="str">
        <x:f>IFERROR(INDEX(Items!$B$6:$B$1005,MATCH(A534,Items!$A$6:$A$1005,0)),"MISSING ITEM ID")</x:f>
        <x:v>Sized mica viewing sheet</x:v>
      </x:c>
      <x:c r="C534" s="3" t="str">
        <x:f>IFERROR(INDEX(Items!$C$6:$C$1005,MATCH(A534,Items!$A$6:$A$1005,0)),"MISSING ITEM ID")</x:f>
        <x:v>Resources</x:v>
      </x:c>
      <x:c r="D534" s="3" t="str">
        <x:v>Secondary</x:v>
      </x:c>
      <x:c r="E534" s="3" t="str">
        <x:v>Fabrication</x:v>
      </x:c>
      <x:c r="F534" s="3" t="str">
        <x:v>Proposed first-stage material use; no production recipe or material performance approved.</x:v>
      </x:c>
    </x:row>
    <x:row r="535">
      <x:c r="A535" s="3" t="str">
        <x:v>author.communication.crude_two_way_radio</x:v>
      </x:c>
      <x:c r="B535" s="3" t="str">
        <x:f>IFERROR(INDEX(Items!$B$6:$B$1005,MATCH(A535,Items!$A$6:$A$1005,0)),"MISSING ITEM ID")</x:f>
        <x:v>Crude two-way radio</x:v>
      </x:c>
      <x:c r="C535" s="3" t="str">
        <x:f>IFERROR(INDEX(Items!$C$6:$C$1005,MATCH(A535,Items!$A$6:$A$1005,0)),"MISSING ITEM ID")</x:f>
        <x:v>Equipment</x:v>
      </x:c>
      <x:c r="D535" s="3" t="str">
        <x:v>Primary</x:v>
      </x:c>
      <x:c r="E535" s="3" t="str">
        <x:f>IFERROR(INDEX(Items!$Z$6:$Z$1005,MATCH(A535,Items!$A$6:$A$1005,0)),"MISSING ITEM ID")</x:f>
        <x:v>Radio communication</x:v>
      </x:c>
      <x:c r="F535" s="3" t="str">
        <x:v>Author-directed two-way radio communication; technical behavior remains open.</x:v>
      </x:c>
    </x:row>
    <x:row r="536">
      <x:c r="A536" s="3" t="str">
        <x:v>author.ancient.laser_sword</x:v>
      </x:c>
      <x:c r="B536" s="3" t="str">
        <x:f>IFERROR(INDEX(Items!$B$6:$B$1005,MATCH(A536,Items!$A$6:$A$1005,0)),"MISSING ITEM ID")</x:f>
        <x:v>Laser sword</x:v>
      </x:c>
      <x:c r="C536" s="3" t="str">
        <x:f>IFERROR(INDEX(Items!$C$6:$C$1005,MATCH(A536,Items!$A$6:$A$1005,0)),"MISSING ITEM ID")</x:f>
        <x:v>Weapons</x:v>
      </x:c>
      <x:c r="D536" s="3" t="str">
        <x:v>Primary</x:v>
      </x:c>
      <x:c r="E536" s="3" t="str">
        <x:f>IFERROR(INDEX(Items!$Z$6:$Z$1005,MATCH(A536,Items!$A$6:$A$1005,0)),"MISSING ITEM ID")</x:f>
        <x:v>Offensive combat</x:v>
      </x:c>
      <x:c r="F536" s="3" t="str">
        <x:v>Author-directed ancient weapon/ammunition family; technical and gameplay details unresolved.</x:v>
      </x:c>
    </x:row>
    <x:row r="537">
      <x:c r="A537" s="3" t="str">
        <x:v>author.ancient.laser_blaster</x:v>
      </x:c>
      <x:c r="B537" s="3" t="str">
        <x:f>IFERROR(INDEX(Items!$B$6:$B$1005,MATCH(A537,Items!$A$6:$A$1005,0)),"MISSING ITEM ID")</x:f>
        <x:v>Laser blaster</x:v>
      </x:c>
      <x:c r="C537" s="3" t="str">
        <x:f>IFERROR(INDEX(Items!$C$6:$C$1005,MATCH(A537,Items!$A$6:$A$1005,0)),"MISSING ITEM ID")</x:f>
        <x:v>Weapons</x:v>
      </x:c>
      <x:c r="D537" s="3" t="str">
        <x:v>Primary</x:v>
      </x:c>
      <x:c r="E537" s="3" t="str">
        <x:f>IFERROR(INDEX(Items!$Z$6:$Z$1005,MATCH(A537,Items!$A$6:$A$1005,0)),"MISSING ITEM ID")</x:f>
        <x:v>Offensive combat</x:v>
      </x:c>
      <x:c r="F537" s="3" t="str">
        <x:v>Author-directed ancient weapon/ammunition family; technical and gameplay details unresolved.</x:v>
      </x:c>
    </x:row>
    <x:row r="538">
      <x:c r="A538" s="3" t="str">
        <x:v>author.ancient.rocket</x:v>
      </x:c>
      <x:c r="B538" s="3" t="str">
        <x:f>IFERROR(INDEX(Items!$B$6:$B$1005,MATCH(A538,Items!$A$6:$A$1005,0)),"MISSING ITEM ID")</x:f>
        <x:v>Rocket</x:v>
      </x:c>
      <x:c r="C538" s="3" t="str">
        <x:f>IFERROR(INDEX(Items!$C$6:$C$1005,MATCH(A538,Items!$A$6:$A$1005,0)),"MISSING ITEM ID")</x:f>
        <x:v>Weapons</x:v>
      </x:c>
      <x:c r="D538" s="3" t="str">
        <x:v>Primary</x:v>
      </x:c>
      <x:c r="E538" s="3" t="str">
        <x:f>IFERROR(INDEX(Items!$Z$6:$Z$1005,MATCH(A538,Items!$A$6:$A$1005,0)),"MISSING ITEM ID")</x:f>
        <x:v>Offensive combat</x:v>
      </x:c>
      <x:c r="F538" s="3" t="str">
        <x:v>Author-directed ancient weapon/ammunition family; technical and gameplay details unresolved.</x:v>
      </x:c>
    </x:row>
    <x:row r="539">
      <x:c r="A539" s="3" t="str">
        <x:v>author.ancient.rocket_launcher</x:v>
      </x:c>
      <x:c r="B539" s="3" t="str">
        <x:f>IFERROR(INDEX(Items!$B$6:$B$1005,MATCH(A539,Items!$A$6:$A$1005,0)),"MISSING ITEM ID")</x:f>
        <x:v>Rocket launcher</x:v>
      </x:c>
      <x:c r="C539" s="3" t="str">
        <x:f>IFERROR(INDEX(Items!$C$6:$C$1005,MATCH(A539,Items!$A$6:$A$1005,0)),"MISSING ITEM ID")</x:f>
        <x:v>Weapons</x:v>
      </x:c>
      <x:c r="D539" s="3" t="str">
        <x:v>Primary</x:v>
      </x:c>
      <x:c r="E539" s="3" t="str">
        <x:f>IFERROR(INDEX(Items!$Z$6:$Z$1005,MATCH(A539,Items!$A$6:$A$1005,0)),"MISSING ITEM ID")</x:f>
        <x:v>Offensive combat</x:v>
      </x:c>
      <x:c r="F539" s="3" t="str">
        <x:v>Author-directed ancient weapon/ammunition family; technical and gameplay details unresolved.</x:v>
      </x:c>
    </x:row>
    <x:row r="540">
      <x:c r="A540" s="3" t="str">
        <x:v>author.electrical.magnetic_disruptor</x:v>
      </x:c>
      <x:c r="B540" s="3" t="str">
        <x:f>IFERROR(INDEX(Items!$B$6:$B$1005,MATCH(A540,Items!$A$6:$A$1005,0)),"MISSING ITEM ID")</x:f>
        <x:v>Magnetic field disruptor</x:v>
      </x:c>
      <x:c r="C540" s="3" t="str">
        <x:f>IFERROR(INDEX(Items!$C$6:$C$1005,MATCH(A540,Items!$A$6:$A$1005,0)),"MISSING ITEM ID")</x:f>
        <x:v>Equipment</x:v>
      </x:c>
      <x:c r="D540" s="3" t="str">
        <x:v>Primary</x:v>
      </x:c>
      <x:c r="E540" s="3" t="str">
        <x:f>IFERROR(INDEX(Items!$Z$6:$Z$1005,MATCH(A540,Items!$A$6:$A$1005,0)),"MISSING ITEM ID")</x:f>
        <x:v>Magnetic field control</x:v>
      </x:c>
      <x:c r="F540" s="3" t="str">
        <x:v>Author-directed intended use; no numeric operating capability or recipe assigned.</x:v>
      </x:c>
    </x:row>
    <x:row r="541">
      <x:c r="A541" s="3" t="str">
        <x:v>author.electrical.magnetic_inhibitor</x:v>
      </x:c>
      <x:c r="B541" s="3" t="str">
        <x:f>IFERROR(INDEX(Items!$B$6:$B$1005,MATCH(A541,Items!$A$6:$A$1005,0)),"MISSING ITEM ID")</x:f>
        <x:v>Magnetic field inhibitor</x:v>
      </x:c>
      <x:c r="C541" s="3" t="str">
        <x:f>IFERROR(INDEX(Items!$C$6:$C$1005,MATCH(A541,Items!$A$6:$A$1005,0)),"MISSING ITEM ID")</x:f>
        <x:v>Equipment</x:v>
      </x:c>
      <x:c r="D541" s="3" t="str">
        <x:v>Primary</x:v>
      </x:c>
      <x:c r="E541" s="3" t="str">
        <x:f>IFERROR(INDEX(Items!$Z$6:$Z$1005,MATCH(A541,Items!$A$6:$A$1005,0)),"MISSING ITEM ID")</x:f>
        <x:v>Magnetic field control</x:v>
      </x:c>
      <x:c r="F541" s="3" t="str">
        <x:v>Author-directed intended use; no numeric operating capability or recipe assigned.</x:v>
      </x:c>
    </x:row>
    <x:row r="542">
      <x:c r="A542" s="3" t="str">
        <x:v>author.electrical.magnetic_enhancer</x:v>
      </x:c>
      <x:c r="B542" s="3" t="str">
        <x:f>IFERROR(INDEX(Items!$B$6:$B$1005,MATCH(A542,Items!$A$6:$A$1005,0)),"MISSING ITEM ID")</x:f>
        <x:v>Magnetic field enhancer</x:v>
      </x:c>
      <x:c r="C542" s="3" t="str">
        <x:f>IFERROR(INDEX(Items!$C$6:$C$1005,MATCH(A542,Items!$A$6:$A$1005,0)),"MISSING ITEM ID")</x:f>
        <x:v>Equipment</x:v>
      </x:c>
      <x:c r="D542" s="3" t="str">
        <x:v>Primary</x:v>
      </x:c>
      <x:c r="E542" s="3" t="str">
        <x:f>IFERROR(INDEX(Items!$Z$6:$Z$1005,MATCH(A542,Items!$A$6:$A$1005,0)),"MISSING ITEM ID")</x:f>
        <x:v>Magnetic field control</x:v>
      </x:c>
      <x:c r="F542" s="3" t="str">
        <x:v>Author-directed intended use; no numeric operating capability or recipe assigned.</x:v>
      </x:c>
    </x:row>
    <x:row r="543">
      <x:c r="A543" s="3" t="str">
        <x:v>author.electrical.static_enhancer</x:v>
      </x:c>
      <x:c r="B543" s="3" t="str">
        <x:f>IFERROR(INDEX(Items!$B$6:$B$1005,MATCH(A543,Items!$A$6:$A$1005,0)),"MISSING ITEM ID")</x:f>
        <x:v>Static-electricity field enhancer</x:v>
      </x:c>
      <x:c r="C543" s="3" t="str">
        <x:f>IFERROR(INDEX(Items!$C$6:$C$1005,MATCH(A543,Items!$A$6:$A$1005,0)),"MISSING ITEM ID")</x:f>
        <x:v>Equipment</x:v>
      </x:c>
      <x:c r="D543" s="3" t="str">
        <x:v>Primary</x:v>
      </x:c>
      <x:c r="E543" s="3" t="str">
        <x:f>IFERROR(INDEX(Items!$Z$6:$Z$1005,MATCH(A543,Items!$A$6:$A$1005,0)),"MISSING ITEM ID")</x:f>
        <x:v>Static management</x:v>
      </x:c>
      <x:c r="F543" s="3" t="str">
        <x:v>Author-directed intended use; no numeric operating capability or recipe assigned.</x:v>
      </x:c>
    </x:row>
    <x:row r="544">
      <x:c r="A544" s="3" t="str">
        <x:v>author.electrical.static_disruptor</x:v>
      </x:c>
      <x:c r="B544" s="3" t="str">
        <x:f>IFERROR(INDEX(Items!$B$6:$B$1005,MATCH(A544,Items!$A$6:$A$1005,0)),"MISSING ITEM ID")</x:f>
        <x:v>Static-electricity field disruptor</x:v>
      </x:c>
      <x:c r="C544" s="3" t="str">
        <x:f>IFERROR(INDEX(Items!$C$6:$C$1005,MATCH(A544,Items!$A$6:$A$1005,0)),"MISSING ITEM ID")</x:f>
        <x:v>Equipment</x:v>
      </x:c>
      <x:c r="D544" s="3" t="str">
        <x:v>Primary</x:v>
      </x:c>
      <x:c r="E544" s="3" t="str">
        <x:f>IFERROR(INDEX(Items!$Z$6:$Z$1005,MATCH(A544,Items!$A$6:$A$1005,0)),"MISSING ITEM ID")</x:f>
        <x:v>Static management</x:v>
      </x:c>
      <x:c r="F544" s="3" t="str">
        <x:v>Author-directed intended use; no numeric operating capability or recipe assigned.</x:v>
      </x:c>
    </x:row>
    <x:row r="545">
      <x:c r="A545" s="3" t="str">
        <x:v>author.electrical.arc_ray_gun</x:v>
      </x:c>
      <x:c r="B545" s="3" t="str">
        <x:f>IFERROR(INDEX(Items!$B$6:$B$1005,MATCH(A545,Items!$A$6:$A$1005,0)),"MISSING ITEM ID")</x:f>
        <x:v>Arc ray gun</x:v>
      </x:c>
      <x:c r="C545" s="3" t="str">
        <x:f>IFERROR(INDEX(Items!$C$6:$C$1005,MATCH(A545,Items!$A$6:$A$1005,0)),"MISSING ITEM ID")</x:f>
        <x:v>Weapons</x:v>
      </x:c>
      <x:c r="D545" s="3" t="str">
        <x:v>Primary</x:v>
      </x:c>
      <x:c r="E545" s="3" t="str">
        <x:f>IFERROR(INDEX(Items!$Z$6:$Z$1005,MATCH(A545,Items!$A$6:$A$1005,0)),"MISSING ITEM ID")</x:f>
        <x:v>Offensive combat</x:v>
      </x:c>
      <x:c r="F545" s="3" t="str">
        <x:v>Author-directed intended use; no numeric operating capability or recipe assigned.</x:v>
      </x:c>
    </x:row>
    <x:row r="546">
      <x:c r="A546" s="3" t="str">
        <x:v>author.electrical.insulation_stock</x:v>
      </x:c>
      <x:c r="B546" s="3" t="str">
        <x:f>IFERROR(INDEX(Items!$B$6:$B$1005,MATCH(A546,Items!$A$6:$A$1005,0)),"MISSING ITEM ID")</x:f>
        <x:v>Prepared electrical insulation stock</x:v>
      </x:c>
      <x:c r="C546" s="3" t="str">
        <x:f>IFERROR(INDEX(Items!$C$6:$C$1005,MATCH(A546,Items!$A$6:$A$1005,0)),"MISSING ITEM ID")</x:f>
        <x:v>Resources</x:v>
      </x:c>
      <x:c r="D546" s="3" t="str">
        <x:v>Primary</x:v>
      </x:c>
      <x:c r="E546" s="3" t="str">
        <x:f>IFERROR(INDEX(Items!$Z$6:$Z$1005,MATCH(A546,Items!$A$6:$A$1005,0)),"MISSING ITEM ID")</x:f>
        <x:v>Electrical insulation</x:v>
      </x:c>
      <x:c r="F546" s="3" t="str">
        <x:v>Author-directed intended use; no numeric operating capability or recipe assigned.</x:v>
      </x:c>
    </x:row>
    <x:row r="547">
      <x:c r="A547" s="3" t="str">
        <x:v>author.electrical.insulation_stock</x:v>
      </x:c>
      <x:c r="B547" s="3" t="str">
        <x:f>IFERROR(INDEX(Items!$B$6:$B$1005,MATCH(A547,Items!$A$6:$A$1005,0)),"MISSING ITEM ID")</x:f>
        <x:v>Prepared electrical insulation stock</x:v>
      </x:c>
      <x:c r="C547" s="3" t="str">
        <x:f>IFERROR(INDEX(Items!$C$6:$C$1005,MATCH(A547,Items!$A$6:$A$1005,0)),"MISSING ITEM ID")</x:f>
        <x:v>Resources</x:v>
      </x:c>
      <x:c r="D547" s="3" t="str">
        <x:v>Secondary</x:v>
      </x:c>
      <x:c r="E547" s="3" t="str">
        <x:v>Electrical work</x:v>
      </x:c>
      <x:c r="F547" s="3" t="str">
        <x:v>Author-directed intended use; no numeric operating capability or recipe assigned.</x:v>
      </x:c>
    </x:row>
    <x:row r="548">
      <x:c r="A548" s="3" t="str">
        <x:v>author.electrical.insulated_suit</x:v>
      </x:c>
      <x:c r="B548" s="3" t="str">
        <x:f>IFERROR(INDEX(Items!$B$6:$B$1005,MATCH(A548,Items!$A$6:$A$1005,0)),"MISSING ITEM ID")</x:f>
        <x:v>Electrical insulating suit</x:v>
      </x:c>
      <x:c r="C548" s="3" t="str">
        <x:f>IFERROR(INDEX(Items!$C$6:$C$1005,MATCH(A548,Items!$A$6:$A$1005,0)),"MISSING ITEM ID")</x:f>
        <x:v>Equipment</x:v>
      </x:c>
      <x:c r="D548" s="3" t="str">
        <x:v>Primary</x:v>
      </x:c>
      <x:c r="E548" s="3" t="str">
        <x:f>IFERROR(INDEX(Items!$Z$6:$Z$1005,MATCH(A548,Items!$A$6:$A$1005,0)),"MISSING ITEM ID")</x:f>
        <x:v>Electrical insulation</x:v>
      </x:c>
      <x:c r="F548" s="3" t="str">
        <x:v>Author-directed intended use; no numeric operating capability or recipe assigned.</x:v>
      </x:c>
    </x:row>
    <x:row r="549">
      <x:c r="A549" s="3" t="str">
        <x:v>author.electrical.insulated_suit</x:v>
      </x:c>
      <x:c r="B549" s="3" t="str">
        <x:f>IFERROR(INDEX(Items!$B$6:$B$1005,MATCH(A549,Items!$A$6:$A$1005,0)),"MISSING ITEM ID")</x:f>
        <x:v>Electrical insulating suit</x:v>
      </x:c>
      <x:c r="C549" s="3" t="str">
        <x:f>IFERROR(INDEX(Items!$C$6:$C$1005,MATCH(A549,Items!$A$6:$A$1005,0)),"MISSING ITEM ID")</x:f>
        <x:v>Equipment</x:v>
      </x:c>
      <x:c r="D549" s="3" t="str">
        <x:v>Secondary</x:v>
      </x:c>
      <x:c r="E549" s="3" t="str">
        <x:v>Electrical work</x:v>
      </x:c>
      <x:c r="F549" s="3" t="str">
        <x:v>Author-directed intended use; no numeric operating capability or recipe assigned.</x:v>
      </x:c>
    </x:row>
    <x:row r="550">
      <x:c r="A550" s="3" t="str">
        <x:v>author.electrical.insulated_gloves</x:v>
      </x:c>
      <x:c r="B550" s="3" t="str">
        <x:f>IFERROR(INDEX(Items!$B$6:$B$1005,MATCH(A550,Items!$A$6:$A$1005,0)),"MISSING ITEM ID")</x:f>
        <x:v>Electrical insulating gloves</x:v>
      </x:c>
      <x:c r="C550" s="3" t="str">
        <x:f>IFERROR(INDEX(Items!$C$6:$C$1005,MATCH(A550,Items!$A$6:$A$1005,0)),"MISSING ITEM ID")</x:f>
        <x:v>Equipment</x:v>
      </x:c>
      <x:c r="D550" s="3" t="str">
        <x:v>Primary</x:v>
      </x:c>
      <x:c r="E550" s="3" t="str">
        <x:f>IFERROR(INDEX(Items!$Z$6:$Z$1005,MATCH(A550,Items!$A$6:$A$1005,0)),"MISSING ITEM ID")</x:f>
        <x:v>Electrical insulation</x:v>
      </x:c>
      <x:c r="F550" s="3" t="str">
        <x:v>Author-directed intended use; no numeric operating capability or recipe assigned.</x:v>
      </x:c>
    </x:row>
    <x:row r="551">
      <x:c r="A551" s="3" t="str">
        <x:v>author.electrical.insulated_gloves</x:v>
      </x:c>
      <x:c r="B551" s="3" t="str">
        <x:f>IFERROR(INDEX(Items!$B$6:$B$1005,MATCH(A551,Items!$A$6:$A$1005,0)),"MISSING ITEM ID")</x:f>
        <x:v>Electrical insulating gloves</x:v>
      </x:c>
      <x:c r="C551" s="3" t="str">
        <x:f>IFERROR(INDEX(Items!$C$6:$C$1005,MATCH(A551,Items!$A$6:$A$1005,0)),"MISSING ITEM ID")</x:f>
        <x:v>Equipment</x:v>
      </x:c>
      <x:c r="D551" s="3" t="str">
        <x:v>Secondary</x:v>
      </x:c>
      <x:c r="E551" s="3" t="str">
        <x:v>Electrical work</x:v>
      </x:c>
      <x:c r="F551" s="3" t="str">
        <x:v>Author-directed intended use; no numeric operating capability or recipe assigned.</x:v>
      </x:c>
    </x:row>
    <x:row r="552">
      <x:c r="A552" s="3" t="str">
        <x:v>author.electrical.insulated_boots</x:v>
      </x:c>
      <x:c r="B552" s="3" t="str">
        <x:f>IFERROR(INDEX(Items!$B$6:$B$1005,MATCH(A552,Items!$A$6:$A$1005,0)),"MISSING ITEM ID")</x:f>
        <x:v>Electrical insulating boots</x:v>
      </x:c>
      <x:c r="C552" s="3" t="str">
        <x:f>IFERROR(INDEX(Items!$C$6:$C$1005,MATCH(A552,Items!$A$6:$A$1005,0)),"MISSING ITEM ID")</x:f>
        <x:v>Equipment</x:v>
      </x:c>
      <x:c r="D552" s="3" t="str">
        <x:v>Primary</x:v>
      </x:c>
      <x:c r="E552" s="3" t="str">
        <x:f>IFERROR(INDEX(Items!$Z$6:$Z$1005,MATCH(A552,Items!$A$6:$A$1005,0)),"MISSING ITEM ID")</x:f>
        <x:v>Electrical insulation</x:v>
      </x:c>
      <x:c r="F552" s="3" t="str">
        <x:v>Author-directed intended use; no numeric operating capability or recipe assigned.</x:v>
      </x:c>
    </x:row>
    <x:row r="553">
      <x:c r="A553" s="3" t="str">
        <x:v>author.electrical.insulated_boots</x:v>
      </x:c>
      <x:c r="B553" s="3" t="str">
        <x:f>IFERROR(INDEX(Items!$B$6:$B$1005,MATCH(A553,Items!$A$6:$A$1005,0)),"MISSING ITEM ID")</x:f>
        <x:v>Electrical insulating boots</x:v>
      </x:c>
      <x:c r="C553" s="3" t="str">
        <x:f>IFERROR(INDEX(Items!$C$6:$C$1005,MATCH(A553,Items!$A$6:$A$1005,0)),"MISSING ITEM ID")</x:f>
        <x:v>Equipment</x:v>
      </x:c>
      <x:c r="D553" s="3" t="str">
        <x:v>Secondary</x:v>
      </x:c>
      <x:c r="E553" s="3" t="str">
        <x:v>Electrical work</x:v>
      </x:c>
      <x:c r="F553" s="3" t="str">
        <x:v>Author-directed intended use; no numeric operating capability or recipe assigned.</x:v>
      </x:c>
    </x:row>
    <x:row r="554">
      <x:c r="A554" s="3" t="str">
        <x:v>author.forging.hammer</x:v>
      </x:c>
      <x:c r="B554" s="3" t="str">
        <x:f>IFERROR(INDEX(Items!$B$6:$B$1005,MATCH(A554,Items!$A$6:$A$1005,0)),"MISSING ITEM ID")</x:f>
        <x:v>Forging hammer</x:v>
      </x:c>
      <x:c r="C554" s="3" t="str">
        <x:f>IFERROR(INDEX(Items!$C$6:$C$1005,MATCH(A554,Items!$A$6:$A$1005,0)),"MISSING ITEM ID")</x:f>
        <x:v>Equipment</x:v>
      </x:c>
      <x:c r="D554" s="3" t="str">
        <x:v>Primary</x:v>
      </x:c>
      <x:c r="E554" s="3" t="str">
        <x:f>IFERROR(INDEX(Items!$Z$6:$Z$1005,MATCH(A554,Items!$A$6:$A$1005,0)),"MISSING ITEM ID")</x:f>
        <x:v>Metal forging</x:v>
      </x:c>
      <x:c r="F554" s="3" t="str">
        <x:v>Workshop-use classification; tool construction, recipes and mechanics remain open.</x:v>
      </x:c>
    </x:row>
    <x:row r="555">
      <x:c r="A555" s="3" t="str">
        <x:v>author.forging.anvil</x:v>
      </x:c>
      <x:c r="B555" s="3" t="str">
        <x:f>IFERROR(INDEX(Items!$B$6:$B$1005,MATCH(A555,Items!$A$6:$A$1005,0)),"MISSING ITEM ID")</x:f>
        <x:v>Anvil</x:v>
      </x:c>
      <x:c r="C555" s="3" t="str">
        <x:f>IFERROR(INDEX(Items!$C$6:$C$1005,MATCH(A555,Items!$A$6:$A$1005,0)),"MISSING ITEM ID")</x:f>
        <x:v>Equipment</x:v>
      </x:c>
      <x:c r="D555" s="3" t="str">
        <x:v>Primary</x:v>
      </x:c>
      <x:c r="E555" s="3" t="str">
        <x:f>IFERROR(INDEX(Items!$Z$6:$Z$1005,MATCH(A555,Items!$A$6:$A$1005,0)),"MISSING ITEM ID")</x:f>
        <x:v>Metal forging</x:v>
      </x:c>
      <x:c r="F555" s="3" t="str">
        <x:v>Workshop-use classification; tool construction, recipes and mechanics remain open.</x:v>
      </x:c>
    </x:row>
    <x:row r="556">
      <x:c r="A556" s="3" t="str">
        <x:v>proposal.forging.tongs</x:v>
      </x:c>
      <x:c r="B556" s="3" t="str">
        <x:f>IFERROR(INDEX(Items!$B$6:$B$1005,MATCH(A556,Items!$A$6:$A$1005,0)),"MISSING ITEM ID")</x:f>
        <x:v>Smithing tongs</x:v>
      </x:c>
      <x:c r="C556" s="3" t="str">
        <x:f>IFERROR(INDEX(Items!$C$6:$C$1005,MATCH(A556,Items!$A$6:$A$1005,0)),"MISSING ITEM ID")</x:f>
        <x:v>Equipment</x:v>
      </x:c>
      <x:c r="D556" s="3" t="str">
        <x:v>Primary</x:v>
      </x:c>
      <x:c r="E556" s="3" t="str">
        <x:f>IFERROR(INDEX(Items!$Z$6:$Z$1005,MATCH(A556,Items!$A$6:$A$1005,0)),"MISSING ITEM ID")</x:f>
        <x:v>Work holding</x:v>
      </x:c>
      <x:c r="F556" s="3" t="str">
        <x:v>Workshop-use classification; tool construction, recipes and mechanics remain open.</x:v>
      </x:c>
    </x:row>
    <x:row r="557">
      <x:c r="A557" s="3" t="str">
        <x:v>proposal.forging.sledge</x:v>
      </x:c>
      <x:c r="B557" s="3" t="str">
        <x:f>IFERROR(INDEX(Items!$B$6:$B$1005,MATCH(A557,Items!$A$6:$A$1005,0)),"MISSING ITEM ID")</x:f>
        <x:v>Forging sledge</x:v>
      </x:c>
      <x:c r="C557" s="3" t="str">
        <x:f>IFERROR(INDEX(Items!$C$6:$C$1005,MATCH(A557,Items!$A$6:$A$1005,0)),"MISSING ITEM ID")</x:f>
        <x:v>Equipment</x:v>
      </x:c>
      <x:c r="D557" s="3" t="str">
        <x:v>Primary</x:v>
      </x:c>
      <x:c r="E557" s="3" t="str">
        <x:f>IFERROR(INDEX(Items!$Z$6:$Z$1005,MATCH(A557,Items!$A$6:$A$1005,0)),"MISSING ITEM ID")</x:f>
        <x:v>Metal forging</x:v>
      </x:c>
      <x:c r="F557" s="3" t="str">
        <x:v>Workshop-use classification; tool construction, recipes and mechanics remain open.</x:v>
      </x:c>
    </x:row>
    <x:row r="558">
      <x:c r="A558" s="3" t="str">
        <x:v>proposal.forging.hot_cut</x:v>
      </x:c>
      <x:c r="B558" s="3" t="str">
        <x:f>IFERROR(INDEX(Items!$B$6:$B$1005,MATCH(A558,Items!$A$6:$A$1005,0)),"MISSING ITEM ID")</x:f>
        <x:v>Hot-cut chisel</x:v>
      </x:c>
      <x:c r="C558" s="3" t="str">
        <x:f>IFERROR(INDEX(Items!$C$6:$C$1005,MATCH(A558,Items!$A$6:$A$1005,0)),"MISSING ITEM ID")</x:f>
        <x:v>Equipment</x:v>
      </x:c>
      <x:c r="D558" s="3" t="str">
        <x:v>Primary</x:v>
      </x:c>
      <x:c r="E558" s="3" t="str">
        <x:f>IFERROR(INDEX(Items!$Z$6:$Z$1005,MATCH(A558,Items!$A$6:$A$1005,0)),"MISSING ITEM ID")</x:f>
        <x:v>Metal forging</x:v>
      </x:c>
      <x:c r="F558" s="3" t="str">
        <x:v>Workshop-use classification; tool construction, recipes and mechanics remain open.</x:v>
      </x:c>
    </x:row>
    <x:row r="559">
      <x:c r="A559" s="3" t="str">
        <x:v>proposal.forging.punch</x:v>
      </x:c>
      <x:c r="B559" s="3" t="str">
        <x:f>IFERROR(INDEX(Items!$B$6:$B$1005,MATCH(A559,Items!$A$6:$A$1005,0)),"MISSING ITEM ID")</x:f>
        <x:v>Forging punch</x:v>
      </x:c>
      <x:c r="C559" s="3" t="str">
        <x:f>IFERROR(INDEX(Items!$C$6:$C$1005,MATCH(A559,Items!$A$6:$A$1005,0)),"MISSING ITEM ID")</x:f>
        <x:v>Equipment</x:v>
      </x:c>
      <x:c r="D559" s="3" t="str">
        <x:v>Primary</x:v>
      </x:c>
      <x:c r="E559" s="3" t="str">
        <x:f>IFERROR(INDEX(Items!$Z$6:$Z$1005,MATCH(A559,Items!$A$6:$A$1005,0)),"MISSING ITEM ID")</x:f>
        <x:v>Metal forging</x:v>
      </x:c>
      <x:c r="F559" s="3" t="str">
        <x:v>Workshop-use classification; tool construction, recipes and mechanics remain open.</x:v>
      </x:c>
    </x:row>
    <x:row r="560">
      <x:c r="A560" s="3" t="str">
        <x:v>proposal.forging.drift</x:v>
      </x:c>
      <x:c r="B560" s="3" t="str">
        <x:f>IFERROR(INDEX(Items!$B$6:$B$1005,MATCH(A560,Items!$A$6:$A$1005,0)),"MISSING ITEM ID")</x:f>
        <x:v>Forming drift</x:v>
      </x:c>
      <x:c r="C560" s="3" t="str">
        <x:f>IFERROR(INDEX(Items!$C$6:$C$1005,MATCH(A560,Items!$A$6:$A$1005,0)),"MISSING ITEM ID")</x:f>
        <x:v>Equipment</x:v>
      </x:c>
      <x:c r="D560" s="3" t="str">
        <x:v>Primary</x:v>
      </x:c>
      <x:c r="E560" s="3" t="str">
        <x:f>IFERROR(INDEX(Items!$Z$6:$Z$1005,MATCH(A560,Items!$A$6:$A$1005,0)),"MISSING ITEM ID")</x:f>
        <x:v>Metal forging</x:v>
      </x:c>
      <x:c r="F560" s="3" t="str">
        <x:v>Workshop-use classification; tool construction, recipes and mechanics remain open.</x:v>
      </x:c>
    </x:row>
    <x:row r="561">
      <x:c r="A561" s="3" t="str">
        <x:v>proposal.forging.swage_block</x:v>
      </x:c>
      <x:c r="B561" s="3" t="str">
        <x:f>IFERROR(INDEX(Items!$B$6:$B$1005,MATCH(A561,Items!$A$6:$A$1005,0)),"MISSING ITEM ID")</x:f>
        <x:v>Swage block</x:v>
      </x:c>
      <x:c r="C561" s="3" t="str">
        <x:f>IFERROR(INDEX(Items!$C$6:$C$1005,MATCH(A561,Items!$A$6:$A$1005,0)),"MISSING ITEM ID")</x:f>
        <x:v>Equipment</x:v>
      </x:c>
      <x:c r="D561" s="3" t="str">
        <x:v>Primary</x:v>
      </x:c>
      <x:c r="E561" s="3" t="str">
        <x:f>IFERROR(INDEX(Items!$Z$6:$Z$1005,MATCH(A561,Items!$A$6:$A$1005,0)),"MISSING ITEM ID")</x:f>
        <x:v>Metal forging</x:v>
      </x:c>
      <x:c r="F561" s="3" t="str">
        <x:v>Workshop-use classification; tool construction, recipes and mechanics remain open.</x:v>
      </x:c>
    </x:row>
    <x:row r="562">
      <x:c r="A562" s="3" t="str">
        <x:v>proposal.forging.file</x:v>
      </x:c>
      <x:c r="B562" s="3" t="str">
        <x:f>IFERROR(INDEX(Items!$B$6:$B$1005,MATCH(A562,Items!$A$6:$A$1005,0)),"MISSING ITEM ID")</x:f>
        <x:v>Metalworking file</x:v>
      </x:c>
      <x:c r="C562" s="3" t="str">
        <x:f>IFERROR(INDEX(Items!$C$6:$C$1005,MATCH(A562,Items!$A$6:$A$1005,0)),"MISSING ITEM ID")</x:f>
        <x:v>Equipment</x:v>
      </x:c>
      <x:c r="D562" s="3" t="str">
        <x:v>Primary</x:v>
      </x:c>
      <x:c r="E562" s="3" t="str">
        <x:f>IFERROR(INDEX(Items!$Z$6:$Z$1005,MATCH(A562,Items!$A$6:$A$1005,0)),"MISSING ITEM ID")</x:f>
        <x:v>Surface finishing</x:v>
      </x:c>
      <x:c r="F562" s="3" t="str">
        <x:v>Workshop-use classification; tool construction, recipes and mechanics remain open.</x:v>
      </x:c>
    </x:row>
    <x:row r="563">
      <x:c r="A563" s="3" t="str">
        <x:v>proposal.forging.hearth</x:v>
      </x:c>
      <x:c r="B563" s="3" t="str">
        <x:f>IFERROR(INDEX(Items!$B$6:$B$1005,MATCH(A563,Items!$A$6:$A$1005,0)),"MISSING ITEM ID")</x:f>
        <x:v>Forge hearth</x:v>
      </x:c>
      <x:c r="C563" s="3" t="str">
        <x:f>IFERROR(INDEX(Items!$C$6:$C$1005,MATCH(A563,Items!$A$6:$A$1005,0)),"MISSING ITEM ID")</x:f>
        <x:v>Equipment</x:v>
      </x:c>
      <x:c r="D563" s="3" t="str">
        <x:v>Primary</x:v>
      </x:c>
      <x:c r="E563" s="3" t="str">
        <x:f>IFERROR(INDEX(Items!$Z$6:$Z$1005,MATCH(A563,Items!$A$6:$A$1005,0)),"MISSING ITEM ID")</x:f>
        <x:v>Metal forging</x:v>
      </x:c>
      <x:c r="F563" s="3" t="str">
        <x:v>Workshop-use classification; tool construction, recipes and mechanics remain open.</x:v>
      </x:c>
    </x:row>
    <x:row r="564">
      <x:c r="A564" s="3" t="str">
        <x:v>author.metallurgy.steel_stock</x:v>
      </x:c>
      <x:c r="B564" s="3" t="str">
        <x:f>IFERROR(INDEX(Items!$B$6:$B$1005,MATCH(A564,Items!$A$6:$A$1005,0)),"MISSING ITEM ID")</x:f>
        <x:v>Steel stock</x:v>
      </x:c>
      <x:c r="C564" s="3" t="str">
        <x:f>IFERROR(INDEX(Items!$C$6:$C$1005,MATCH(A564,Items!$A$6:$A$1005,0)),"MISSING ITEM ID")</x:f>
        <x:v>Resources</x:v>
      </x:c>
      <x:c r="D564" s="3" t="str">
        <x:v>Primary</x:v>
      </x:c>
      <x:c r="E564" s="3" t="str">
        <x:f>IFERROR(INDEX(Items!$Z$6:$Z$1005,MATCH(A564,Items!$A$6:$A$1005,0)),"MISSING ITEM ID")</x:f>
        <x:v>Fabrication</x:v>
      </x:c>
      <x:c r="F564" s="3" t="str">
        <x:v>Steel stock is fabrication material; specific tool, armor and machine grades remain unassigned.</x:v>
      </x:c>
    </x:row>
    <x:row r="565">
      <x:c r="A565" s="3" t="str">
        <x:v>author.city_transport.carriage</x:v>
      </x:c>
      <x:c r="B565" s="3" t="str">
        <x:f>IFERROR(INDEX(Items!$B$6:$B$1005,MATCH(A565,Items!$A$6:$A$1005,0)),"MISSING ITEM ID")</x:f>
        <x:v>Inner-city carriage</x:v>
      </x:c>
      <x:c r="C565" s="3" t="str">
        <x:f>IFERROR(INDEX(Items!$C$6:$C$1005,MATCH(A565,Items!$A$6:$A$1005,0)),"MISSING ITEM ID")</x:f>
        <x:v>Equipment</x:v>
      </x:c>
      <x:c r="D565" s="3" t="str">
        <x:v>Primary</x:v>
      </x:c>
      <x:c r="E565" s="3" t="str">
        <x:f>IFERROR(INDEX(Items!$Z$6:$Z$1005,MATCH(A565,Items!$A$6:$A$1005,0)),"MISSING ITEM ID")</x:f>
        <x:v>Traversal</x:v>
      </x:c>
      <x:c r="F565" s="3" t="str">
        <x:v>Author-directed inner-city transport family; operating mechanics remain undefined.</x:v>
      </x:c>
    </x:row>
    <x:row r="566">
      <x:c r="A566" s="3" t="str">
        <x:v>author.city_transport.car</x:v>
      </x:c>
      <x:c r="B566" s="3" t="str">
        <x:f>IFERROR(INDEX(Items!$B$6:$B$1005,MATCH(A566,Items!$A$6:$A$1005,0)),"MISSING ITEM ID")</x:f>
        <x:v>Inner-city car</x:v>
      </x:c>
      <x:c r="C566" s="3" t="str">
        <x:f>IFERROR(INDEX(Items!$C$6:$C$1005,MATCH(A566,Items!$A$6:$A$1005,0)),"MISSING ITEM ID")</x:f>
        <x:v>Equipment</x:v>
      </x:c>
      <x:c r="D566" s="3" t="str">
        <x:v>Primary</x:v>
      </x:c>
      <x:c r="E566" s="3" t="str">
        <x:f>IFERROR(INDEX(Items!$Z$6:$Z$1005,MATCH(A566,Items!$A$6:$A$1005,0)),"MISSING ITEM ID")</x:f>
        <x:v>Traversal</x:v>
      </x:c>
      <x:c r="F566" s="3" t="str">
        <x:v>Author-directed inner-city transport family; operating mechanics remain undefined.</x:v>
      </x:c>
    </x:row>
    <x:row r="567">
      <x:c r="A567" s="3" t="str">
        <x:v>author.corrosion.advanced_remover</x:v>
      </x:c>
      <x:c r="B567" s="3" t="str">
        <x:f>IFERROR(INDEX(Items!$B$6:$B$1005,MATCH(A567,Items!$A$6:$A$1005,0)),"MISSING ITEM ID")</x:f>
        <x:v>Advanced rust-removal compound</x:v>
      </x:c>
      <x:c r="C567" s="3" t="str">
        <x:f>IFERROR(INDEX(Items!$C$6:$C$1005,MATCH(A567,Items!$A$6:$A$1005,0)),"MISSING ITEM ID")</x:f>
        <x:v>Resources</x:v>
      </x:c>
      <x:c r="D567" s="3" t="str">
        <x:v>Primary</x:v>
      </x:c>
      <x:c r="E567" s="3" t="str">
        <x:f>IFERROR(INDEX(Items!$Z$6:$Z$1005,MATCH(A567,Items!$A$6:$A$1005,0)),"MISSING ITEM ID")</x:f>
        <x:v>Surface finishing</x:v>
      </x:c>
      <x:c r="F567" s="3" t="str">
        <x:v>Metal surface-treatment function; formulation and performance remain open.</x:v>
      </x:c>
    </x:row>
    <x:row r="568">
      <x:c r="A568" s="3" t="str">
        <x:v>author.corrosion.advanced_remover</x:v>
      </x:c>
      <x:c r="B568" s="3" t="str">
        <x:f>IFERROR(INDEX(Items!$B$6:$B$1005,MATCH(A568,Items!$A$6:$A$1005,0)),"MISSING ITEM ID")</x:f>
        <x:v>Advanced rust-removal compound</x:v>
      </x:c>
      <x:c r="C568" s="3" t="str">
        <x:f>IFERROR(INDEX(Items!$C$6:$C$1005,MATCH(A568,Items!$A$6:$A$1005,0)),"MISSING ITEM ID")</x:f>
        <x:v>Resources</x:v>
      </x:c>
      <x:c r="D568" s="3" t="str">
        <x:v>Secondary</x:v>
      </x:c>
      <x:c r="E568" s="3" t="str">
        <x:v>Equipment repair</x:v>
      </x:c>
      <x:c r="F568" s="3" t="str">
        <x:v>Candidate maintenance use; compatibility must be specified.</x:v>
      </x:c>
    </x:row>
    <x:row r="569">
      <x:c r="A569" s="3" t="str">
        <x:v>proposal.corrosion.converter</x:v>
      </x:c>
      <x:c r="B569" s="3" t="str">
        <x:f>IFERROR(INDEX(Items!$B$6:$B$1005,MATCH(A569,Items!$A$6:$A$1005,0)),"MISSING ITEM ID")</x:f>
        <x:v>Rust-conversion treatment</x:v>
      </x:c>
      <x:c r="C569" s="3" t="str">
        <x:f>IFERROR(INDEX(Items!$C$6:$C$1005,MATCH(A569,Items!$A$6:$A$1005,0)),"MISSING ITEM ID")</x:f>
        <x:v>Resources</x:v>
      </x:c>
      <x:c r="D569" s="3" t="str">
        <x:v>Primary</x:v>
      </x:c>
      <x:c r="E569" s="3" t="str">
        <x:f>IFERROR(INDEX(Items!$Z$6:$Z$1005,MATCH(A569,Items!$A$6:$A$1005,0)),"MISSING ITEM ID")</x:f>
        <x:v>Surface finishing</x:v>
      </x:c>
      <x:c r="F569" s="3" t="str">
        <x:v>Metal surface-treatment function; formulation and performance remain open.</x:v>
      </x:c>
    </x:row>
    <x:row r="570">
      <x:c r="A570" s="3" t="str">
        <x:v>proposal.corrosion.converter</x:v>
      </x:c>
      <x:c r="B570" s="3" t="str">
        <x:f>IFERROR(INDEX(Items!$B$6:$B$1005,MATCH(A570,Items!$A$6:$A$1005,0)),"MISSING ITEM ID")</x:f>
        <x:v>Rust-conversion treatment</x:v>
      </x:c>
      <x:c r="C570" s="3" t="str">
        <x:f>IFERROR(INDEX(Items!$C$6:$C$1005,MATCH(A570,Items!$A$6:$A$1005,0)),"MISSING ITEM ID")</x:f>
        <x:v>Resources</x:v>
      </x:c>
      <x:c r="D570" s="3" t="str">
        <x:v>Secondary</x:v>
      </x:c>
      <x:c r="E570" s="3" t="str">
        <x:v>Equipment repair</x:v>
      </x:c>
      <x:c r="F570" s="3" t="str">
        <x:v>Candidate maintenance use; compatibility must be specified.</x:v>
      </x:c>
    </x:row>
    <x:row r="571">
      <x:c r="A571" s="3" t="str">
        <x:v>proposal.corrosion.inhibitor</x:v>
      </x:c>
      <x:c r="B571" s="3" t="str">
        <x:f>IFERROR(INDEX(Items!$B$6:$B$1005,MATCH(A571,Items!$A$6:$A$1005,0)),"MISSING ITEM ID")</x:f>
        <x:v>Corrosion-inhibiting finish</x:v>
      </x:c>
      <x:c r="C571" s="3" t="str">
        <x:f>IFERROR(INDEX(Items!$C$6:$C$1005,MATCH(A571,Items!$A$6:$A$1005,0)),"MISSING ITEM ID")</x:f>
        <x:v>Resources</x:v>
      </x:c>
      <x:c r="D571" s="3" t="str">
        <x:v>Primary</x:v>
      </x:c>
      <x:c r="E571" s="3" t="str">
        <x:f>IFERROR(INDEX(Items!$Z$6:$Z$1005,MATCH(A571,Items!$A$6:$A$1005,0)),"MISSING ITEM ID")</x:f>
        <x:v>Surface finishing</x:v>
      </x:c>
      <x:c r="F571" s="3" t="str">
        <x:v>Metal surface-treatment function; formulation and performance remain open.</x:v>
      </x:c>
    </x:row>
    <x:row r="572">
      <x:c r="A572" s="3" t="str">
        <x:v>proposal.corrosion.inhibitor</x:v>
      </x:c>
      <x:c r="B572" s="3" t="str">
        <x:f>IFERROR(INDEX(Items!$B$6:$B$1005,MATCH(A572,Items!$A$6:$A$1005,0)),"MISSING ITEM ID")</x:f>
        <x:v>Corrosion-inhibiting finish</x:v>
      </x:c>
      <x:c r="C572" s="3" t="str">
        <x:f>IFERROR(INDEX(Items!$C$6:$C$1005,MATCH(A572,Items!$A$6:$A$1005,0)),"MISSING ITEM ID")</x:f>
        <x:v>Resources</x:v>
      </x:c>
      <x:c r="D572" s="3" t="str">
        <x:v>Secondary</x:v>
      </x:c>
      <x:c r="E572" s="3" t="str">
        <x:v>Equipment repair</x:v>
      </x:c>
      <x:c r="F572" s="3" t="str">
        <x:v>Candidate maintenance use; compatibility must be specified.</x:v>
      </x:c>
    </x:row>
  </x:sheetData>
  <x:dataValidations count="3">
    <x:dataValidation type="list" sqref="A6:A1005">
      <x:formula1>'Items'!$A$6:$A$413</x:formula1>
    </x:dataValidation>
    <x:dataValidation type="list" sqref="D6:D1005">
      <x:formula1>"Primary,Secondary"</x:formula1>
    </x:dataValidation>
    <x:dataValidation type="list" sqref="E6:E1005">
      <x:formula1>'Taxonomy'!$B$64:$B$142</x:formula1>
    </x:dataValidation>
  </x:dataValidations>
  <x:pageMargins left="0.7" right="0.7" top="0.75" bottom="0.75" header="0.3" footer="0.3"/>
  <x:tableParts count="1">
    <x:tablePart xmlns:r="http://schemas.openxmlformats.org/officeDocument/2006/relationships" r:id="R6ec7c27af215453d"/>
  </x:tableParts>
</x:worksheet>
</file>

<file path=xl/worksheets/sheet14.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25" hidden="0" customWidth="1"/>
    <x:col min="2" max="2" width="37" hidden="0" customWidth="1"/>
    <x:col min="3" max="3" width="30" hidden="0" customWidth="1"/>
    <x:col min="4" max="4" width="16" hidden="0" customWidth="1"/>
    <x:col min="5" max="5" width="37" hidden="0" customWidth="1"/>
    <x:col min="6" max="6" width="32" hidden="0" customWidth="1"/>
    <x:col min="7" max="7" width="16" hidden="0" customWidth="1"/>
    <x:col min="8" max="8" width="70" hidden="0" customWidth="1"/>
    <x:col min="9" max="9" width="52" hidden="0" customWidth="1"/>
    <x:col min="10" max="10" width="100" hidden="0" customWidth="1"/>
  </x:cols>
  <x:sheetData>
    <x:row r="2">
      <x:c r="A2" s="2" t="str">
        <x:v>Proposed material refinement routes</x:v>
      </x:c>
    </x:row>
    <x:row r="3">
      <x:c r="A3" t="str">
        <x:v>Each row is an ingredient edge. No quantities, complete recipes, costs or runtime craft rules are assigned.</x:v>
      </x:c>
    </x:row>
    <x:row r="5" ht="36" customHeight="1">
      <x:c r="A5" s="62" t="str">
        <x:v>Route ID</x:v>
      </x:c>
      <x:c r="B5" s="62" t="str">
        <x:v>Input item ID</x:v>
      </x:c>
      <x:c r="C5" s="62" t="str">
        <x:v>Input name</x:v>
      </x:c>
      <x:c r="D5" s="62" t="str">
        <x:v>Input tier</x:v>
      </x:c>
      <x:c r="E5" s="62" t="str">
        <x:v>Output item ID</x:v>
      </x:c>
      <x:c r="F5" s="62" t="str">
        <x:v>Output name</x:v>
      </x:c>
      <x:c r="G5" s="62" t="str">
        <x:v>Output tier</x:v>
      </x:c>
      <x:c r="H5" s="62" t="str">
        <x:v>Processing intent</x:v>
      </x:c>
      <x:c r="I5" s="62" t="str">
        <x:v>Status / completeness</x:v>
      </x:c>
      <x:c r="J5" s="62" t="str">
        <x:v>Source / basis</x:v>
      </x:c>
    </x:row>
    <x:row r="6" ht="105" customHeight="1">
      <x:c r="A6" s="4" t="str">
        <x:v>material.route.001</x:v>
      </x:c>
      <x:c r="B6" s="4" t="str">
        <x:v>proposal.natural.magnetite</x:v>
      </x:c>
      <x:c r="C6" s="4" t="str">
        <x:f>IFERROR(INDEX(Items!$B$6:$B$1005,MATCH(B6,Items!$A$6:$A$1005,0)),"MISSING ITEM ID")</x:f>
        <x:v>Magnetite-rich stone</x:v>
      </x:c>
      <x:c r="D6" s="4" t="str">
        <x:f>IFERROR(INDEX(Items!$AF$6:$AF$1005,MATCH(B6,Items!$A$6:$A$1005,0)),"MISSING ITEM ID")</x:f>
        <x:v>T0</x:v>
      </x:c>
      <x:c r="E6" s="4" t="str">
        <x:v>proposal.natural.iron_feed</x:v>
      </x:c>
      <x:c r="F6" s="4" t="str">
        <x:f>IFERROR(INDEX(Items!$B$6:$B$1005,MATCH(E6,Items!$A$6:$A$1005,0)),"MISSING ITEM ID")</x:f>
        <x:v>Iron-rich mineral feed</x:v>
      </x:c>
      <x:c r="G6" s="4" t="str">
        <x:f>IFERROR(INDEX(Items!$AF$6:$AF$1005,MATCH(E6,Items!$A$6:$A$1005,0)),"MISSING ITEM ID")</x:f>
        <x:v>T1</x:v>
      </x:c>
      <x:c r="H6" s="4" t="str">
        <x:v>Dry mineral separation into iron-bearing feed.</x:v>
      </x:c>
      <x:c r="I6" s="4" t="str">
        <x:v>Proposed tier edge; input candidate only, not complete recipe</x:v>
      </x:c>
      <x:c r="J6" s="4" t="str">
        <x:v>New game proposal; no complete recipe</x:v>
      </x:c>
    </x:row>
    <x:row r="7" ht="105" customHeight="1">
      <x:c r="A7" s="4" t="str">
        <x:v>material.route.002</x:v>
      </x:c>
      <x:c r="B7" s="4" t="str">
        <x:v>resource.ironstone_ore</x:v>
      </x:c>
      <x:c r="C7" s="4" t="str">
        <x:f>IFERROR(INDEX(Items!$B$6:$B$1005,MATCH(B7,Items!$A$6:$A$1005,0)),"MISSING ITEM ID")</x:f>
        <x:v>Ironstone Ore</x:v>
      </x:c>
      <x:c r="D7" s="4" t="str">
        <x:f>IFERROR(INDEX(Items!$AF$6:$AF$1005,MATCH(B7,Items!$A$6:$A$1005,0)),"MISSING ITEM ID")</x:f>
        <x:v>T0</x:v>
      </x:c>
      <x:c r="E7" s="4" t="str">
        <x:v>lab.ironstone.concentrate</x:v>
      </x:c>
      <x:c r="F7" s="4" t="str">
        <x:f>IFERROR(INDEX(Items!$B$6:$B$1005,MATCH(E7,Items!$A$6:$A$1005,0)),"MISSING ITEM ID")</x:f>
        <x:v>Iron-rich Concentrate</x:v>
      </x:c>
      <x:c r="G7" s="4" t="str">
        <x:f>IFERROR(INDEX(Items!$AF$6:$AF$1005,MATCH(E7,Items!$A$6:$A$1005,0)),"MISSING ITEM ID")</x:f>
        <x:v>T1</x:v>
      </x:c>
      <x:c r="H7" s="4" t="str">
        <x:v>Existing Camp Loop dry-sorting output; manufacturing tier newly proposed.</x:v>
      </x:c>
      <x:c r="I7" s="4" t="str">
        <x:v>Proposed tier edge; input candidate only, not complete recipe</x:v>
      </x:c>
      <x:c r="J7" s="4" t="str">
        <x:v>New game proposal; no complete recipe</x:v>
      </x:c>
    </x:row>
    <x:row r="8" ht="105" customHeight="1">
      <x:c r="A8" s="4" t="str">
        <x:v>material.route.003</x:v>
      </x:c>
      <x:c r="B8" s="4" t="str">
        <x:v>proposal.raw.emery</x:v>
      </x:c>
      <x:c r="C8" s="4" t="str">
        <x:f>IFERROR(INDEX(Items!$B$6:$B$1005,MATCH(B8,Items!$A$6:$A$1005,0)),"MISSING ITEM ID")</x:f>
        <x:v>Emery-bearing lumps</x:v>
      </x:c>
      <x:c r="D8" s="4" t="str">
        <x:f>IFERROR(INDEX(Items!$AF$6:$AF$1005,MATCH(B8,Items!$A$6:$A$1005,0)),"MISSING ITEM ID")</x:f>
        <x:v>T0</x:v>
      </x:c>
      <x:c r="E8" s="4" t="str">
        <x:v>proposal.natural.abrasive</x:v>
      </x:c>
      <x:c r="F8" s="4" t="str">
        <x:f>IFERROR(INDEX(Items!$B$6:$B$1005,MATCH(E8,Items!$A$6:$A$1005,0)),"MISSING ITEM ID")</x:f>
        <x:v>Graded abrasive grit</x:v>
      </x:c>
      <x:c r="G8" s="4" t="str">
        <x:f>IFERROR(INDEX(Items!$AF$6:$AF$1005,MATCH(E8,Items!$A$6:$A$1005,0)),"MISSING ITEM ID")</x:f>
        <x:v>T1</x:v>
      </x:c>
      <x:c r="H8" s="4" t="str">
        <x:v>Grade a candidate abrasive fraction; reuse existing abrasive stock.</x:v>
      </x:c>
      <x:c r="I8" s="4" t="str">
        <x:v>Proposed tier edge; input candidate only, not complete recipe</x:v>
      </x:c>
      <x:c r="J8" s="4" t="str">
        <x:v>New game proposal; no complete recipe</x:v>
      </x:c>
    </x:row>
    <x:row r="9" ht="105" customHeight="1">
      <x:c r="A9" s="4" t="str">
        <x:v>material.route.004</x:v>
      </x:c>
      <x:c r="B9" s="4" t="str">
        <x:v>proposal.natural.graphite</x:v>
      </x:c>
      <x:c r="C9" s="4" t="str">
        <x:f>IFERROR(INDEX(Items!$B$6:$B$1005,MATCH(B9,Items!$A$6:$A$1005,0)),"MISSING ITEM ID")</x:f>
        <x:v>Graphite-bearing stone</x:v>
      </x:c>
      <x:c r="D9" s="4" t="str">
        <x:f>IFERROR(INDEX(Items!$AF$6:$AF$1005,MATCH(B9,Items!$A$6:$A$1005,0)),"MISSING ITEM ID")</x:f>
        <x:v>T0</x:v>
      </x:c>
      <x:c r="E9" s="4" t="str">
        <x:v>proposal.natural.carbon</x:v>
      </x:c>
      <x:c r="F9" s="4" t="str">
        <x:f>IFERROR(INDEX(Items!$B$6:$B$1005,MATCH(E9,Items!$A$6:$A$1005,0)),"MISSING ITEM ID")</x:f>
        <x:v>Graded graphite flakes</x:v>
      </x:c>
      <x:c r="G9" s="4" t="str">
        <x:f>IFERROR(INDEX(Items!$AF$6:$AF$1005,MATCH(E9,Items!$A$6:$A$1005,0)),"MISSING ITEM ID")</x:f>
        <x:v>T1</x:v>
      </x:c>
      <x:c r="H9" s="4" t="str">
        <x:v>Separate/grade graphite flakes.</x:v>
      </x:c>
      <x:c r="I9" s="4" t="str">
        <x:v>Proposed tier edge; input candidate only, not complete recipe</x:v>
      </x:c>
      <x:c r="J9" s="4" t="str">
        <x:v>New game proposal; no complete recipe</x:v>
      </x:c>
    </x:row>
    <x:row r="10" ht="105" customHeight="1">
      <x:c r="A10" s="4" t="str">
        <x:v>material.route.005</x:v>
      </x:c>
      <x:c r="B10" s="4" t="str">
        <x:v>proposal.natural.carbonate</x:v>
      </x:c>
      <x:c r="C10" s="4" t="str">
        <x:f>IFERROR(INDEX(Items!$B$6:$B$1005,MATCH(B10,Items!$A$6:$A$1005,0)),"MISSING ITEM ID")</x:f>
        <x:v>Carbonate stone</x:v>
      </x:c>
      <x:c r="D10" s="4" t="str">
        <x:f>IFERROR(INDEX(Items!$AF$6:$AF$1005,MATCH(B10,Items!$A$6:$A$1005,0)),"MISSING ITEM ID")</x:f>
        <x:v>T0</x:v>
      </x:c>
      <x:c r="E10" s="4" t="str">
        <x:v>proposal.natural.lime</x:v>
      </x:c>
      <x:c r="F10" s="4" t="str">
        <x:f>IFERROR(INDEX(Items!$B$6:$B$1005,MATCH(E10,Items!$A$6:$A$1005,0)),"MISSING ITEM ID")</x:f>
        <x:v>Calcined mineral binder</x:v>
      </x:c>
      <x:c r="G10" s="4" t="str">
        <x:f>IFERROR(INDEX(Items!$AF$6:$AF$1005,MATCH(E10,Items!$A$6:$A$1005,0)),"MISSING ITEM ID")</x:f>
        <x:v>T1</x:v>
      </x:c>
      <x:c r="H10" s="4" t="str">
        <x:v>Specialist kiln route to existing calcined binder.</x:v>
      </x:c>
      <x:c r="I10" s="4" t="str">
        <x:v>Proposed tier edge; input candidate only, not complete recipe</x:v>
      </x:c>
      <x:c r="J10" s="4" t="str">
        <x:v>New game proposal; no complete recipe</x:v>
      </x:c>
    </x:row>
    <x:row r="11" ht="105" customHeight="1">
      <x:c r="A11" s="4" t="str">
        <x:v>material.route.006</x:v>
      </x:c>
      <x:c r="B11" s="4" t="str">
        <x:v>proposal.raw.ceramic_shards</x:v>
      </x:c>
      <x:c r="C11" s="4" t="str">
        <x:f>IFERROR(INDEX(Items!$B$6:$B$1005,MATCH(B11,Items!$A$6:$A$1005,0)),"MISSING ITEM ID")</x:f>
        <x:v>Broken ceramic shards</x:v>
      </x:c>
      <x:c r="D11" s="4" t="str">
        <x:f>IFERROR(INDEX(Items!$AF$6:$AF$1005,MATCH(B11,Items!$A$6:$A$1005,0)),"MISSING ITEM ID")</x:f>
        <x:v>T0</x:v>
      </x:c>
      <x:c r="E11" s="4" t="str">
        <x:v>proposal.ceramic.grog</x:v>
      </x:c>
      <x:c r="F11" s="4" t="str">
        <x:f>IFERROR(INDEX(Items!$B$6:$B$1005,MATCH(E11,Items!$A$6:$A$1005,0)),"MISSING ITEM ID")</x:f>
        <x:v>Crushed fired ceramic grit</x:v>
      </x:c>
      <x:c r="G11" s="4" t="str">
        <x:f>IFERROR(INDEX(Items!$AF$6:$AF$1005,MATCH(E11,Items!$A$6:$A$1005,0)),"MISSING ITEM ID")</x:f>
        <x:v>T1</x:v>
      </x:c>
      <x:c r="H11" s="4" t="str">
        <x:v>Sort and crush qualified ceramic waste.</x:v>
      </x:c>
      <x:c r="I11" s="4" t="str">
        <x:v>Proposed tier edge; input candidate only, not complete recipe</x:v>
      </x:c>
      <x:c r="J11" s="4" t="str">
        <x:v>New game proposal; no complete recipe</x:v>
      </x:c>
    </x:row>
    <x:row r="12" ht="105" customHeight="1">
      <x:c r="A12" s="4" t="str">
        <x:v>material.route.007</x:v>
      </x:c>
      <x:c r="B12" s="4" t="str">
        <x:v>proposal.natural.claystone</x:v>
      </x:c>
      <x:c r="C12" s="4" t="str">
        <x:f>IFERROR(INDEX(Items!$B$6:$B$1005,MATCH(B12,Items!$A$6:$A$1005,0)),"MISSING ITEM ID")</x:f>
        <x:v>Claystone</x:v>
      </x:c>
      <x:c r="D12" s="4" t="str">
        <x:f>IFERROR(INDEX(Items!$AF$6:$AF$1005,MATCH(B12,Items!$A$6:$A$1005,0)),"MISSING ITEM ID")</x:f>
        <x:v>T0</x:v>
      </x:c>
      <x:c r="E12" s="4" t="str">
        <x:v>proposal.ceramic.body_feed</x:v>
      </x:c>
      <x:c r="F12" s="4" t="str">
        <x:f>IFERROR(INDEX(Items!$B$6:$B$1005,MATCH(E12,Items!$A$6:$A$1005,0)),"MISSING ITEM ID")</x:f>
        <x:v>Prepared ceramic body feed</x:v>
      </x:c>
      <x:c r="G12" s="4" t="str">
        <x:f>IFERROR(INDEX(Items!$AF$6:$AF$1005,MATCH(E12,Items!$A$6:$A$1005,0)),"MISSING ITEM ID")</x:f>
        <x:v>T1</x:v>
      </x:c>
      <x:c r="H12" s="4" t="str">
        <x:v>Prepare a selected body feed; forming/binder route unresolved.</x:v>
      </x:c>
      <x:c r="I12" s="4" t="str">
        <x:v>Proposed tier edge; input candidate only, not complete recipe</x:v>
      </x:c>
      <x:c r="J12" s="4" t="str">
        <x:v>New game proposal; no complete recipe</x:v>
      </x:c>
    </x:row>
    <x:row r="13" ht="105" customHeight="1">
      <x:c r="A13" s="4" t="str">
        <x:v>material.route.008</x:v>
      </x:c>
      <x:c r="B13" s="4" t="str">
        <x:v>proposal.natural.borate</x:v>
      </x:c>
      <x:c r="C13" s="4" t="str">
        <x:f>IFERROR(INDEX(Items!$B$6:$B$1005,MATCH(B13,Items!$A$6:$A$1005,0)),"MISSING ITEM ID")</x:f>
        <x:v>Raw borate minerals</x:v>
      </x:c>
      <x:c r="D13" s="4" t="str">
        <x:f>IFERROR(INDEX(Items!$AF$6:$AF$1005,MATCH(B13,Items!$A$6:$A$1005,0)),"MISSING ITEM ID")</x:f>
        <x:v>T0</x:v>
      </x:c>
      <x:c r="E13" s="4" t="str">
        <x:v>proposal.ceramic.glaze_feed</x:v>
      </x:c>
      <x:c r="F13" s="4" t="str">
        <x:f>IFERROR(INDEX(Items!$B$6:$B$1005,MATCH(E13,Items!$A$6:$A$1005,0)),"MISSING ITEM ID")</x:f>
        <x:v>Prepared glaze feed</x:v>
      </x:c>
      <x:c r="G13" s="4" t="str">
        <x:f>IFERROR(INDEX(Items!$AF$6:$AF$1005,MATCH(E13,Items!$A$6:$A$1005,0)),"MISSING ITEM ID")</x:f>
        <x:v>T1</x:v>
      </x:c>
      <x:c r="H13" s="4" t="str">
        <x:v>Candidate mineral input to a first prepared finish feed.</x:v>
      </x:c>
      <x:c r="I13" s="4" t="str">
        <x:v>Proposed tier edge; input candidate only, not complete recipe</x:v>
      </x:c>
      <x:c r="J13" s="4" t="str">
        <x:v>New game proposal; no complete recipe</x:v>
      </x:c>
    </x:row>
    <x:row r="14" ht="105" customHeight="1">
      <x:c r="A14" s="4" t="str">
        <x:v>material.route.009</x:v>
      </x:c>
      <x:c r="B14" s="4" t="str">
        <x:v>proposal.bio.hide</x:v>
      </x:c>
      <x:c r="C14" s="4" t="str">
        <x:f>IFERROR(INDEX(Items!$B$6:$B$1005,MATCH(B14,Items!$A$6:$A$1005,0)),"MISSING ITEM ID")</x:f>
        <x:v>Raw hide</x:v>
      </x:c>
      <x:c r="D14" s="4" t="str">
        <x:f>IFERROR(INDEX(Items!$AF$6:$AF$1005,MATCH(B14,Items!$A$6:$A$1005,0)),"MISSING ITEM ID")</x:f>
        <x:v>T0</x:v>
      </x:c>
      <x:c r="E14" s="4" t="str">
        <x:v>proposal.bio.hide_material</x:v>
      </x:c>
      <x:c r="F14" s="4" t="str">
        <x:f>IFERROR(INDEX(Items!$B$6:$B$1005,MATCH(E14,Items!$A$6:$A$1005,0)),"MISSING ITEM ID")</x:f>
        <x:v>Processed hide material</x:v>
      </x:c>
      <x:c r="G14" s="4" t="str">
        <x:f>IFERROR(INDEX(Items!$AF$6:$AF$1005,MATCH(E14,Items!$A$6:$A$1005,0)),"MISSING ITEM ID")</x:f>
        <x:v>T1</x:v>
      </x:c>
      <x:c r="H14" s="4" t="str">
        <x:v>Extremely low-yield hide preparation; no ordinary leather/cloth supply.</x:v>
      </x:c>
      <x:c r="I14" s="4" t="str">
        <x:v>Proposed tier edge; input candidate only, not complete recipe</x:v>
      </x:c>
      <x:c r="J14" s="4" t="str">
        <x:v>New game proposal; no complete recipe</x:v>
      </x:c>
    </x:row>
    <x:row r="15" ht="105" customHeight="1">
      <x:c r="A15" s="4" t="str">
        <x:v>material.route.010</x:v>
      </x:c>
      <x:c r="B15" s="4" t="str">
        <x:v>proposal.bio.underfur</x:v>
      </x:c>
      <x:c r="C15" s="4" t="str">
        <x:f>IFERROR(INDEX(Items!$B$6:$B$1005,MATCH(B15,Items!$A$6:$A$1005,0)),"MISSING ITEM ID")</x:f>
        <x:v>Shed underfur</x:v>
      </x:c>
      <x:c r="D15" s="4" t="str">
        <x:f>IFERROR(INDEX(Items!$AF$6:$AF$1005,MATCH(B15,Items!$A$6:$A$1005,0)),"MISSING ITEM ID")</x:f>
        <x:v>T0</x:v>
      </x:c>
      <x:c r="E15" s="4" t="str">
        <x:v>proposal.bio.liner</x:v>
      </x:c>
      <x:c r="F15" s="4" t="str">
        <x:f>IFERROR(INDEX(Items!$B$6:$B$1005,MATCH(E15,Items!$A$6:$A$1005,0)),"MISSING ITEM ID")</x:f>
        <x:v>Pressed fur-fiber material</x:v>
      </x:c>
      <x:c r="G15" s="4" t="str">
        <x:f>IFERROR(INDEX(Items!$AF$6:$AF$1005,MATCH(E15,Items!$A$6:$A$1005,0)),"MISSING ITEM ID")</x:f>
        <x:v>T1</x:v>
      </x:c>
      <x:c r="H15" s="4" t="str">
        <x:v>Extremely low-yield pressed fur-material preparation.</x:v>
      </x:c>
      <x:c r="I15" s="4" t="str">
        <x:v>Proposed tier edge; input candidate only, not complete recipe</x:v>
      </x:c>
      <x:c r="J15" s="4" t="str">
        <x:v>New game proposal; no complete recipe</x:v>
      </x:c>
    </x:row>
    <x:row r="16" ht="105" customHeight="1">
      <x:c r="A16" s="4" t="str">
        <x:v>material.route.011</x:v>
      </x:c>
      <x:c r="B16" s="4" t="str">
        <x:v>proposal.bio.tendon</x:v>
      </x:c>
      <x:c r="C16" s="4" t="str">
        <x:f>IFERROR(INDEX(Items!$B$6:$B$1005,MATCH(B16,Items!$A$6:$A$1005,0)),"MISSING ITEM ID")</x:f>
        <x:v>Dried tendon bundles</x:v>
      </x:c>
      <x:c r="D16" s="4" t="str">
        <x:f>IFERROR(INDEX(Items!$AF$6:$AF$1005,MATCH(B16,Items!$A$6:$A$1005,0)),"MISSING ITEM ID")</x:f>
        <x:v>T0</x:v>
      </x:c>
      <x:c r="E16" s="4" t="str">
        <x:v>proposal.bio.cord</x:v>
      </x:c>
      <x:c r="F16" s="4" t="str">
        <x:f>IFERROR(INDEX(Items!$B$6:$B$1005,MATCH(E16,Items!$A$6:$A$1005,0)),"MISSING ITEM ID")</x:f>
        <x:v>Tendon cord</x:v>
      </x:c>
      <x:c r="G16" s="4" t="str">
        <x:f>IFERROR(INDEX(Items!$AF$6:$AF$1005,MATCH(E16,Items!$A$6:$A$1005,0)),"MISSING ITEM ID")</x:f>
        <x:v>T1</x:v>
      </x:c>
      <x:c r="H16" s="4" t="str">
        <x:v>Prepare a candidate binding cord.</x:v>
      </x:c>
      <x:c r="I16" s="4" t="str">
        <x:v>Proposed tier edge; input candidate only, not complete recipe</x:v>
      </x:c>
      <x:c r="J16" s="4" t="str">
        <x:v>New game proposal; no complete recipe</x:v>
      </x:c>
    </x:row>
    <x:row r="17" ht="105" customHeight="1">
      <x:c r="A17" s="4" t="str">
        <x:v>material.route.012</x:v>
      </x:c>
      <x:c r="B17" s="4" t="str">
        <x:v>proposal.bio.membrane</x:v>
      </x:c>
      <x:c r="C17" s="4" t="str">
        <x:f>IFERROR(INDEX(Items!$B$6:$B$1005,MATCH(B17,Items!$A$6:$A$1005,0)),"MISSING ITEM ID")</x:f>
        <x:v>Dried joint membrane</x:v>
      </x:c>
      <x:c r="D17" s="4" t="str">
        <x:f>IFERROR(INDEX(Items!$AF$6:$AF$1005,MATCH(B17,Items!$A$6:$A$1005,0)),"MISSING ITEM ID")</x:f>
        <x:v>T0</x:v>
      </x:c>
      <x:c r="E17" s="4" t="str">
        <x:v>proposal.bio.seal</x:v>
      </x:c>
      <x:c r="F17" s="4" t="str">
        <x:f>IFERROR(INDEX(Items!$B$6:$B$1005,MATCH(E17,Items!$A$6:$A$1005,0)),"MISSING ITEM ID")</x:f>
        <x:v>Membrane seal patches</x:v>
      </x:c>
      <x:c r="G17" s="4" t="str">
        <x:f>IFERROR(INDEX(Items!$AF$6:$AF$1005,MATCH(E17,Items!$A$6:$A$1005,0)),"MISSING ITEM ID")</x:f>
        <x:v>T1</x:v>
      </x:c>
      <x:c r="H17" s="4" t="str">
        <x:v>Cut/prepare selected membrane seal patches.</x:v>
      </x:c>
      <x:c r="I17" s="4" t="str">
        <x:v>Proposed tier edge; input candidate only, not complete recipe</x:v>
      </x:c>
      <x:c r="J17" s="4" t="str">
        <x:v>New game proposal; no complete recipe</x:v>
      </x:c>
    </x:row>
    <x:row r="18" ht="105" customHeight="1">
      <x:c r="A18" s="4" t="str">
        <x:v>material.route.013</x:v>
      </x:c>
      <x:c r="B18" s="4" t="str">
        <x:v>proposal.bio.icore_fibers</x:v>
      </x:c>
      <x:c r="C18" s="4" t="str">
        <x:f>IFERROR(INDEX(Items!$B$6:$B$1005,MATCH(B18,Items!$A$6:$A$1005,0)),"MISSING ITEM ID")</x:f>
        <x:v>Scraped icore fibers</x:v>
      </x:c>
      <x:c r="D18" s="4" t="str">
        <x:f>IFERROR(INDEX(Items!$AF$6:$AF$1005,MATCH(B18,Items!$A$6:$A$1005,0)),"MISSING ITEM ID")</x:f>
        <x:v>T0</x:v>
      </x:c>
      <x:c r="E18" s="4" t="str">
        <x:v>proposal.bio.pressed_husk</x:v>
      </x:c>
      <x:c r="F18" s="4" t="str">
        <x:f>IFERROR(INDEX(Items!$B$6:$B$1005,MATCH(E18,Items!$A$6:$A$1005,0)),"MISSING ITEM ID")</x:f>
        <x:v>Pressed husk-fiber textile material</x:v>
      </x:c>
      <x:c r="G18" s="4" t="str">
        <x:f>IFERROR(INDEX(Items!$AF$6:$AF$1005,MATCH(E18,Items!$A$6:$A$1005,0)),"MISSING ITEM ID")</x:f>
        <x:v>T1</x:v>
      </x:c>
      <x:c r="H18" s="4" t="str">
        <x:v>Difficult selected fiber pressing route.</x:v>
      </x:c>
      <x:c r="I18" s="4" t="str">
        <x:v>Proposed tier edge; input candidate only, not complete recipe</x:v>
      </x:c>
      <x:c r="J18" s="4" t="str">
        <x:v>New game proposal; no complete recipe</x:v>
      </x:c>
    </x:row>
    <x:row r="19" ht="105" customHeight="1">
      <x:c r="A19" s="4" t="str">
        <x:v>material.route.014</x:v>
      </x:c>
      <x:c r="B19" s="4" t="str">
        <x:v>proposal.bio.inner_wing</x:v>
      </x:c>
      <x:c r="C19" s="4" t="str">
        <x:f>IFERROR(INDEX(Items!$B$6:$B$1005,MATCH(B19,Items!$A$6:$A$1005,0)),"MISSING ITEM ID")</x:f>
        <x:v>Delicate inner wing</x:v>
      </x:c>
      <x:c r="D19" s="4" t="str">
        <x:f>IFERROR(INDEX(Items!$AF$6:$AF$1005,MATCH(B19,Items!$A$6:$A$1005,0)),"MISSING ITEM ID")</x:f>
        <x:v>T0</x:v>
      </x:c>
      <x:c r="E19" s="4" t="str">
        <x:v>proposal.bio.wing_panel</x:v>
      </x:c>
      <x:c r="F19" s="4" t="str">
        <x:f>IFERROR(INDEX(Items!$B$6:$B$1005,MATCH(E19,Items!$A$6:$A$1005,0)),"MISSING ITEM ID")</x:f>
        <x:v>Prepared wing shade panel</x:v>
      </x:c>
      <x:c r="G19" s="4" t="str">
        <x:f>IFERROR(INDEX(Items!$AF$6:$AF$1005,MATCH(E19,Items!$A$6:$A$1005,0)),"MISSING ITEM ID")</x:f>
        <x:v>T1</x:v>
      </x:c>
      <x:c r="H19" s="4" t="str">
        <x:v>Prepare shade-service wing panel.</x:v>
      </x:c>
      <x:c r="I19" s="4" t="str">
        <x:v>Proposed tier edge; input candidate only, not complete recipe</x:v>
      </x:c>
      <x:c r="J19" s="4" t="str">
        <x:v>New game proposal; no complete recipe</x:v>
      </x:c>
    </x:row>
    <x:row r="20" ht="105" customHeight="1">
      <x:c r="A20" s="4" t="str">
        <x:v>material.route.015</x:v>
      </x:c>
      <x:c r="B20" s="4" t="str">
        <x:v>proposal.bio.inner_wing</x:v>
      </x:c>
      <x:c r="C20" s="4" t="str">
        <x:f>IFERROR(INDEX(Items!$B$6:$B$1005,MATCH(B20,Items!$A$6:$A$1005,0)),"MISSING ITEM ID")</x:f>
        <x:v>Delicate inner wing</x:v>
      </x:c>
      <x:c r="D20" s="4" t="str">
        <x:f>IFERROR(INDEX(Items!$AF$6:$AF$1005,MATCH(B20,Items!$A$6:$A$1005,0)),"MISSING ITEM ID")</x:f>
        <x:v>T0</x:v>
      </x:c>
      <x:c r="E20" s="4" t="str">
        <x:v>proposal.wind.sail_panel</x:v>
      </x:c>
      <x:c r="F20" s="4" t="str">
        <x:f>IFERROR(INDEX(Items!$B$6:$B$1005,MATCH(E20,Items!$A$6:$A$1005,0)),"MISSING ITEM ID")</x:f>
        <x:v>Prepared insect-wing sail panel</x:v>
      </x:c>
      <x:c r="G20" s="4" t="str">
        <x:f>IFERROR(INDEX(Items!$AF$6:$AF$1005,MATCH(E20,Items!$A$6:$A$1005,0)),"MISSING ITEM ID")</x:f>
        <x:v>T1</x:v>
      </x:c>
      <x:c r="H20" s="4" t="str">
        <x:v>Prepare sail-service wing panel; may later merge preparation with shade grade.</x:v>
      </x:c>
      <x:c r="I20" s="4" t="str">
        <x:v>Proposed tier edge; input candidate only, not complete recipe</x:v>
      </x:c>
      <x:c r="J20" s="4" t="str">
        <x:v>New game proposal; no complete recipe</x:v>
      </x:c>
    </x:row>
    <x:row r="21" ht="105" customHeight="1">
      <x:c r="A21" s="4" t="str">
        <x:v>material.route.016</x:v>
      </x:c>
      <x:c r="B21" s="4" t="str">
        <x:v>proposal.chemical.joint_lubricant</x:v>
      </x:c>
      <x:c r="C21" s="4" t="str">
        <x:f>IFERROR(INDEX(Items!$B$6:$B$1005,MATCH(B21,Items!$A$6:$A$1005,0)),"MISSING ITEM ID")</x:f>
        <x:v>Joint-lubricating secretion</x:v>
      </x:c>
      <x:c r="D21" s="4" t="str">
        <x:f>IFERROR(INDEX(Items!$AF$6:$AF$1005,MATCH(B21,Items!$A$6:$A$1005,0)),"MISSING ITEM ID")</x:f>
        <x:v>T0</x:v>
      </x:c>
      <x:c r="E21" s="4" t="str">
        <x:v>proposal.lubricant.base</x:v>
      </x:c>
      <x:c r="F21" s="4" t="str">
        <x:f>IFERROR(INDEX(Items!$B$6:$B$1005,MATCH(E21,Items!$A$6:$A$1005,0)),"MISSING ITEM ID")</x:f>
        <x:v>Clarified faunal lubricant base</x:v>
      </x:c>
      <x:c r="G21" s="4" t="str">
        <x:f>IFERROR(INDEX(Items!$AF$6:$AF$1005,MATCH(E21,Items!$A$6:$A$1005,0)),"MISSING ITEM ID")</x:f>
        <x:v>T1</x:v>
      </x:c>
      <x:c r="H21" s="4" t="str">
        <x:v>Select and clarify candidate joint-liquid base.</x:v>
      </x:c>
      <x:c r="I21" s="4" t="str">
        <x:v>Proposed tier edge; input candidate only, not complete recipe</x:v>
      </x:c>
      <x:c r="J21" s="4" t="str">
        <x:v>New game proposal; no complete recipe</x:v>
      </x:c>
    </x:row>
    <x:row r="22" ht="105" customHeight="1">
      <x:c r="A22" s="4" t="str">
        <x:v>material.route.017</x:v>
      </x:c>
      <x:c r="B22" s="4" t="str">
        <x:v>proposal.bio.chemical_material</x:v>
      </x:c>
      <x:c r="C22" s="4" t="str">
        <x:f>IFERROR(INDEX(Items!$B$6:$B$1005,MATCH(B22,Items!$A$6:$A$1005,0)),"MISSING ITEM ID")</x:f>
        <x:v>Faunal chemical material (unspecified)</x:v>
      </x:c>
      <x:c r="D22" s="4" t="str">
        <x:f>IFERROR(INDEX(Items!$AF$6:$AF$1005,MATCH(B22,Items!$A$6:$A$1005,0)),"MISSING ITEM ID")</x:f>
        <x:v>T0</x:v>
      </x:c>
      <x:c r="E22" s="4" t="str">
        <x:v>proposal.lubricant.thickener</x:v>
      </x:c>
      <x:c r="F22" s="4" t="str">
        <x:f>IFERROR(INDEX(Items!$B$6:$B$1005,MATCH(E22,Items!$A$6:$A$1005,0)),"MISSING ITEM ID")</x:f>
        <x:v>Prepared secretion thickener</x:v>
      </x:c>
      <x:c r="G22" s="4" t="str">
        <x:f>IFERROR(INDEX(Items!$AF$6:$AF$1005,MATCH(E22,Items!$A$6:$A$1005,0)),"MISSING ITEM ID")</x:f>
        <x:v>T1</x:v>
      </x:c>
      <x:c r="H22" s="4" t="str">
        <x:v>Research a compatible non-curing thickener fraction; not raw glue.</x:v>
      </x:c>
      <x:c r="I22" s="4" t="str">
        <x:v>Proposed tier edge; input candidate only, not complete recipe</x:v>
      </x:c>
      <x:c r="J22" s="4" t="str">
        <x:v>New game proposal; no complete recipe</x:v>
      </x:c>
    </x:row>
    <x:row r="23" ht="105" customHeight="1">
      <x:c r="A23" s="4" t="str">
        <x:v>material.route.018</x:v>
      </x:c>
      <x:c r="B23" s="4" t="str">
        <x:v>resource.ironstone_ore</x:v>
      </x:c>
      <x:c r="C23" s="4" t="str">
        <x:f>IFERROR(INDEX(Items!$B$6:$B$1005,MATCH(B23,Items!$A$6:$A$1005,0)),"MISSING ITEM ID")</x:f>
        <x:v>Ironstone Ore</x:v>
      </x:c>
      <x:c r="D23" s="4" t="str">
        <x:f>IFERROR(INDEX(Items!$AF$6:$AF$1005,MATCH(B23,Items!$A$6:$A$1005,0)),"MISSING ITEM ID")</x:f>
        <x:v>T0</x:v>
      </x:c>
      <x:c r="E23" s="4" t="str">
        <x:v>proposal.t1.iron_bloom</x:v>
      </x:c>
      <x:c r="F23" s="4" t="str">
        <x:f>IFERROR(INDEX(Items!$B$6:$B$1005,MATCH(E23,Items!$A$6:$A$1005,0)),"MISSING ITEM ID")</x:f>
        <x:v>Smelted iron bloom</x:v>
      </x:c>
      <x:c r="G23" s="4" t="str">
        <x:f>IFERROR(INDEX(Items!$AF$6:$AF$1005,MATCH(E23,Items!$A$6:$A$1005,0)),"MISSING ITEM ID")</x:f>
        <x:v>T1</x:v>
      </x:c>
      <x:c r="H23" s="4" t="str">
        <x:v>Sort/reduce raw iron-rich feed into a first metal mass in a specialist furnace.</x:v>
      </x:c>
      <x:c r="I23" s="4" t="str">
        <x:v>Proposed tier edge; input candidate only, not complete recipe</x:v>
      </x:c>
      <x:c r="J23" s="4" t="str">
        <x:v>https://github.com/sleepyseamonster/Arc-Dust/blob/f6f98515c005dc3c73cccd9cbc031691745740c6/02-Arc-Dust-Worldbuilding/world/materials/industrial-material-palette.md (source proposal; game route proposed)</x:v>
      </x:c>
    </x:row>
    <x:row r="24" ht="105" customHeight="1">
      <x:c r="A24" s="4" t="str">
        <x:v>material.route.019</x:v>
      </x:c>
      <x:c r="B24" s="4" t="str">
        <x:v>proposal.natural.raw_copper</x:v>
      </x:c>
      <x:c r="C24" s="4" t="str">
        <x:f>IFERROR(INDEX(Items!$B$6:$B$1005,MATCH(B24,Items!$A$6:$A$1005,0)),"MISSING ITEM ID")</x:f>
        <x:v>Raw copper lump</x:v>
      </x:c>
      <x:c r="D24" s="4" t="str">
        <x:f>IFERROR(INDEX(Items!$AF$6:$AF$1005,MATCH(B24,Items!$A$6:$A$1005,0)),"MISSING ITEM ID")</x:f>
        <x:v>T0</x:v>
      </x:c>
      <x:c r="E24" s="4" t="str">
        <x:v>proposal.t1.copper_cake</x:v>
      </x:c>
      <x:c r="F24" s="4" t="str">
        <x:f>IFERROR(INDEX(Items!$B$6:$B$1005,MATCH(E24,Items!$A$6:$A$1005,0)),"MISSING ITEM ID")</x:f>
        <x:v>Refined copper cake</x:v>
      </x:c>
      <x:c r="G24" s="4" t="str">
        <x:f>IFERROR(INDEX(Items!$AF$6:$AF$1005,MATCH(E24,Items!$A$6:$A$1005,0)),"MISSING ITEM ID")</x:f>
        <x:v>T1</x:v>
      </x:c>
      <x:c r="H24" s="4" t="str">
        <x:v>Select and refine unworked copper into a qualified first metal batch.</x:v>
      </x:c>
      <x:c r="I24" s="4" t="str">
        <x:v>Proposed tier edge; input candidate only, not complete recipe</x:v>
      </x:c>
      <x:c r="J24" s="4" t="str">
        <x:v>https://github.com/sleepyseamonster/Arc-Dust/blob/f6f98515c005dc3c73cccd9cbc031691745740c6/02-Arc-Dust-Worldbuilding/world/materials/industrial-material-palette.md (source proposal; game route proposed)</x:v>
      </x:c>
    </x:row>
    <x:row r="25" ht="105" customHeight="1">
      <x:c r="A25" s="4" t="str">
        <x:v>material.route.020</x:v>
      </x:c>
      <x:c r="B25" s="4" t="str">
        <x:v>proposal.raw.brass_scrap</x:v>
      </x:c>
      <x:c r="C25" s="4" t="str">
        <x:f>IFERROR(INDEX(Items!$B$6:$B$1005,MATCH(B25,Items!$A$6:$A$1005,0)),"MISSING ITEM ID")</x:f>
        <x:v>Salvaged brass fragments</x:v>
      </x:c>
      <x:c r="D25" s="4" t="str">
        <x:f>IFERROR(INDEX(Items!$AF$6:$AF$1005,MATCH(B25,Items!$A$6:$A$1005,0)),"MISSING ITEM ID")</x:f>
        <x:v>T0</x:v>
      </x:c>
      <x:c r="E25" s="4" t="str">
        <x:v>proposal.t1.brass_billet</x:v>
      </x:c>
      <x:c r="F25" s="4" t="str">
        <x:f>IFERROR(INDEX(Items!$B$6:$B$1005,MATCH(E25,Items!$A$6:$A$1005,0)),"MISSING ITEM ID")</x:f>
        <x:v>Reclaimed brass billet</x:v>
      </x:c>
      <x:c r="G25" s="4" t="str">
        <x:f>IFERROR(INDEX(Items!$AF$6:$AF$1005,MATCH(E25,Items!$A$6:$A$1005,0)),"MISSING ITEM ID")</x:f>
        <x:v>T1</x:v>
      </x:c>
      <x:c r="H25" s="4" t="str">
        <x:v>Sort identified brass scrap and recover a first usable metal billet.</x:v>
      </x:c>
      <x:c r="I25" s="4" t="str">
        <x:v>Proposed tier edge; input candidate only, not complete recipe</x:v>
      </x:c>
      <x:c r="J25" s="4" t="str">
        <x:v>https://github.com/sleepyseamonster/Arc-Dust/blob/f6f98515c005dc3c73cccd9cbc031691745740c6/02-Arc-Dust-Worldbuilding/world/materials/industrial-material-palette.md (source proposal; game route proposed)</x:v>
      </x:c>
    </x:row>
    <x:row r="26" ht="105" customHeight="1">
      <x:c r="A26" s="4" t="str">
        <x:v>material.route.021</x:v>
      </x:c>
      <x:c r="B26" s="4" t="str">
        <x:v>proposal.raw.bronze_scrap</x:v>
      </x:c>
      <x:c r="C26" s="4" t="str">
        <x:f>IFERROR(INDEX(Items!$B$6:$B$1005,MATCH(B26,Items!$A$6:$A$1005,0)),"MISSING ITEM ID")</x:f>
        <x:v>Salvaged bronze fragments</x:v>
      </x:c>
      <x:c r="D26" s="4" t="str">
        <x:f>IFERROR(INDEX(Items!$AF$6:$AF$1005,MATCH(B26,Items!$A$6:$A$1005,0)),"MISSING ITEM ID")</x:f>
        <x:v>T0</x:v>
      </x:c>
      <x:c r="E26" s="4" t="str">
        <x:v>proposal.t1.bronze_billet</x:v>
      </x:c>
      <x:c r="F26" s="4" t="str">
        <x:f>IFERROR(INDEX(Items!$B$6:$B$1005,MATCH(E26,Items!$A$6:$A$1005,0)),"MISSING ITEM ID")</x:f>
        <x:v>Reclaimed bronze billet</x:v>
      </x:c>
      <x:c r="G26" s="4" t="str">
        <x:f>IFERROR(INDEX(Items!$AF$6:$AF$1005,MATCH(E26,Items!$A$6:$A$1005,0)),"MISSING ITEM ID")</x:f>
        <x:v>T1</x:v>
      </x:c>
      <x:c r="H26" s="4" t="str">
        <x:v>Sort identified bronze scrap and recover a first usable metal billet.</x:v>
      </x:c>
      <x:c r="I26" s="4" t="str">
        <x:v>Proposed tier edge; input candidate only, not complete recipe</x:v>
      </x:c>
      <x:c r="J26" s="4" t="str">
        <x:v>https://github.com/sleepyseamonster/Arc-Dust/blob/f6f98515c005dc3c73cccd9cbc031691745740c6/02-Arc-Dust-Worldbuilding/world/materials/industrial-material-palette.md (source proposal; game route proposed)</x:v>
      </x:c>
    </x:row>
    <x:row r="27" ht="105" customHeight="1">
      <x:c r="A27" s="4" t="str">
        <x:v>material.route.022</x:v>
      </x:c>
      <x:c r="B27" s="4" t="str">
        <x:v>proposal.natural.silica</x:v>
      </x:c>
      <x:c r="C27" s="4" t="str">
        <x:f>IFERROR(INDEX(Items!$B$6:$B$1005,MATCH(B27,Items!$A$6:$A$1005,0)),"MISSING ITEM ID")</x:f>
        <x:v>Silica-rich grit</x:v>
      </x:c>
      <x:c r="D27" s="4" t="str">
        <x:f>IFERROR(INDEX(Items!$AF$6:$AF$1005,MATCH(B27,Items!$A$6:$A$1005,0)),"MISSING ITEM ID")</x:f>
        <x:v>T0</x:v>
      </x:c>
      <x:c r="E27" s="4" t="str">
        <x:v>proposal.t1.opaque_glass</x:v>
      </x:c>
      <x:c r="F27" s="4" t="str">
        <x:f>IFERROR(INDEX(Items!$B$6:$B$1005,MATCH(E27,Items!$A$6:$A$1005,0)),"MISSING ITEM ID")</x:f>
        <x:v>Opaque mineral-glass stock</x:v>
      </x:c>
      <x:c r="G27" s="4" t="str">
        <x:f>IFERROR(INDEX(Items!$AF$6:$AF$1005,MATCH(E27,Items!$A$6:$A$1005,0)),"MISSING ITEM ID")</x:f>
        <x:v>T1</x:v>
      </x:c>
      <x:c r="H27" s="4" t="str">
        <x:v>Use qualified raw silicate/mineral inputs in a first integrated melt and cooling batch.</x:v>
      </x:c>
      <x:c r="I27" s="4" t="str">
        <x:v>Proposed tier edge; input candidate only, not complete recipe</x:v>
      </x:c>
      <x:c r="J27" s="4" t="str">
        <x:v>https://github.com/sleepyseamonster/Arc-Dust/blob/f6f98515c005dc3c73cccd9cbc031691745740c6/02-Arc-Dust-Worldbuilding/world/materials/glass.md (source proposal; game route proposed)</x:v>
      </x:c>
    </x:row>
    <x:row r="28" ht="105" customHeight="1">
      <x:c r="A28" s="4" t="str">
        <x:v>material.route.023</x:v>
      </x:c>
      <x:c r="B28" s="4" t="str">
        <x:v>proposal.natural.silica</x:v>
      </x:c>
      <x:c r="C28" s="4" t="str">
        <x:f>IFERROR(INDEX(Items!$B$6:$B$1005,MATCH(B28,Items!$A$6:$A$1005,0)),"MISSING ITEM ID")</x:f>
        <x:v>Silica-rich grit</x:v>
      </x:c>
      <x:c r="D28" s="4" t="str">
        <x:f>IFERROR(INDEX(Items!$AF$6:$AF$1005,MATCH(B28,Items!$A$6:$A$1005,0)),"MISSING ITEM ID")</x:f>
        <x:v>T0</x:v>
      </x:c>
      <x:c r="E28" s="4" t="str">
        <x:v>proposal.t1.clear_glass_blank</x:v>
      </x:c>
      <x:c r="F28" s="4" t="str">
        <x:f>IFERROR(INDEX(Items!$B$6:$B$1005,MATCH(E28,Items!$A$6:$A$1005,0)),"MISSING ITEM ID")</x:f>
        <x:v>Rough clear-glass blank</x:v>
      </x:c>
      <x:c r="G28" s="4" t="str">
        <x:f>IFERROR(INDEX(Items!$AF$6:$AF$1005,MATCH(E28,Items!$A$6:$A$1005,0)),"MISSING ITEM ID")</x:f>
        <x:v>T1</x:v>
      </x:c>
      <x:c r="H28" s="4" t="str">
        <x:v>Select exceptional clean raw silicate for a specialist first clear-glass batch.</x:v>
      </x:c>
      <x:c r="I28" s="4" t="str">
        <x:v>Proposed tier edge; input candidate only, not complete recipe</x:v>
      </x:c>
      <x:c r="J28" s="4" t="str">
        <x:v>https://github.com/sleepyseamonster/Arc-Dust/blob/f6f98515c005dc3c73cccd9cbc031691745740c6/02-Arc-Dust-Worldbuilding/world/materials/glass.md (source proposal; game route proposed)</x:v>
      </x:c>
    </x:row>
    <x:row r="29" ht="105" customHeight="1">
      <x:c r="A29" s="4" t="str">
        <x:v>material.route.024</x:v>
      </x:c>
      <x:c r="B29" s="4" t="str">
        <x:v>proposal.raw.basalt</x:v>
      </x:c>
      <x:c r="C29" s="4" t="str">
        <x:f>IFERROR(INDEX(Items!$B$6:$B$1005,MATCH(B29,Items!$A$6:$A$1005,0)),"MISSING ITEM ID")</x:f>
        <x:v>Basalt blocks</x:v>
      </x:c>
      <x:c r="D29" s="4" t="str">
        <x:f>IFERROR(INDEX(Items!$AF$6:$AF$1005,MATCH(B29,Items!$A$6:$A$1005,0)),"MISSING ITEM ID")</x:f>
        <x:v>T0</x:v>
      </x:c>
      <x:c r="E29" s="4" t="str">
        <x:v>proposal.t1.dressed_stone</x:v>
      </x:c>
      <x:c r="F29" s="4" t="str">
        <x:f>IFERROR(INDEX(Items!$B$6:$B$1005,MATCH(E29,Items!$A$6:$A$1005,0)),"MISSING ITEM ID")</x:f>
        <x:v>Dressed building-stone stock</x:v>
      </x:c>
      <x:c r="G29" s="4" t="str">
        <x:f>IFERROR(INDEX(Items!$AF$6:$AF$1005,MATCH(E29,Items!$A$6:$A$1005,0)),"MISSING ITEM ID")</x:f>
        <x:v>T1</x:v>
      </x:c>
      <x:c r="H29" s="4" t="str">
        <x:v>Select, dress and size raw blocks into reusable building stock.</x:v>
      </x:c>
      <x:c r="I29" s="4" t="str">
        <x:v>Proposed tier edge; input candidate only, not complete recipe</x:v>
      </x:c>
      <x:c r="J29" s="4" t="str">
        <x:v>https://github.com/sleepyseamonster/Arc-Dust/blob/f6f98515c005dc3c73cccd9cbc031691745740c6/02-Arc-Dust-Worldbuilding/world/materials/industrial-material-palette.md (source proposal; game route proposed)</x:v>
      </x:c>
    </x:row>
    <x:row r="30" ht="105" customHeight="1">
      <x:c r="A30" s="4" t="str">
        <x:v>material.route.025</x:v>
      </x:c>
      <x:c r="B30" s="4" t="str">
        <x:v>proposal.raw.slate</x:v>
      </x:c>
      <x:c r="C30" s="4" t="str">
        <x:f>IFERROR(INDEX(Items!$B$6:$B$1005,MATCH(B30,Items!$A$6:$A$1005,0)),"MISSING ITEM ID")</x:f>
        <x:v>Slate plates</x:v>
      </x:c>
      <x:c r="D30" s="4" t="str">
        <x:f>IFERROR(INDEX(Items!$AF$6:$AF$1005,MATCH(B30,Items!$A$6:$A$1005,0)),"MISSING ITEM ID")</x:f>
        <x:v>T0</x:v>
      </x:c>
      <x:c r="E30" s="4" t="str">
        <x:v>proposal.t1.resonant_blank</x:v>
      </x:c>
      <x:c r="F30" s="4" t="str">
        <x:f>IFERROR(INDEX(Items!$B$6:$B$1005,MATCH(E30,Items!$A$6:$A$1005,0)),"MISSING ITEM ID")</x:f>
        <x:v>Selected resonant-stone blank</x:v>
      </x:c>
      <x:c r="G30" s="4" t="str">
        <x:f>IFERROR(INDEX(Items!$AF$6:$AF$1005,MATCH(E30,Items!$A$6:$A$1005,0)),"MISSING ITEM ID")</x:f>
        <x:v>T1</x:v>
      </x:c>
      <x:c r="H30" s="4" t="str">
        <x:v>Select and rough-shape candidate stone blanks for later instrument tuning.</x:v>
      </x:c>
      <x:c r="I30" s="4" t="str">
        <x:v>Proposed tier edge; input candidate only, not complete recipe</x:v>
      </x:c>
      <x:c r="J30" s="4" t="str">
        <x:v>https://github.com/sleepyseamonster/Arc-Dust/blob/f6f98515c005dc3c73cccd9cbc031691745740c6/02-Arc-Dust-Worldbuilding/world/peoples/resonance-callers.md (source proposal; game route proposed)</x:v>
      </x:c>
    </x:row>
    <x:row r="31" ht="105" customHeight="1">
      <x:c r="A31" s="4" t="str">
        <x:v>material.route.026</x:v>
      </x:c>
      <x:c r="B31" s="4" t="str">
        <x:v>proposal.raw.ochre</x:v>
      </x:c>
      <x:c r="C31" s="4" t="str">
        <x:f>IFERROR(INDEX(Items!$B$6:$B$1005,MATCH(B31,Items!$A$6:$A$1005,0)),"MISSING ITEM ID")</x:f>
        <x:v>Yellow ochre clods</x:v>
      </x:c>
      <x:c r="D31" s="4" t="str">
        <x:f>IFERROR(INDEX(Items!$AF$6:$AF$1005,MATCH(B31,Items!$A$6:$A$1005,0)),"MISSING ITEM ID")</x:f>
        <x:v>T0</x:v>
      </x:c>
      <x:c r="E31" s="4" t="str">
        <x:v>proposal.t1.pigment_powder</x:v>
      </x:c>
      <x:c r="F31" s="4" t="str">
        <x:f>IFERROR(INDEX(Items!$B$6:$B$1005,MATCH(E31,Items!$A$6:$A$1005,0)),"MISSING ITEM ID")</x:f>
        <x:v>Prepared mineral pigment powder</x:v>
      </x:c>
      <x:c r="G31" s="4" t="str">
        <x:f>IFERROR(INDEX(Items!$AF$6:$AF$1005,MATCH(E31,Items!$A$6:$A$1005,0)),"MISSING ITEM ID")</x:f>
        <x:v>T1</x:v>
      </x:c>
      <x:c r="H31" s="4" t="str">
        <x:v>Sort and grind a chosen raw color-bearing feed.</x:v>
      </x:c>
      <x:c r="I31" s="4" t="str">
        <x:v>Proposed tier edge; input candidate only, not complete recipe</x:v>
      </x:c>
      <x:c r="J31" s="4" t="str">
        <x:v>https://github.com/sleepyseamonster/Arc-Dust/blob/f6f98515c005dc3c73cccd9cbc031691745740c6/02-Arc-Dust-Worldbuilding/world/materials/chemical-processing-agents.md (source proposal; game route proposed)</x:v>
      </x:c>
    </x:row>
    <x:row r="32" ht="105" customHeight="1">
      <x:c r="A32" s="4" t="str">
        <x:v>material.route.027</x:v>
      </x:c>
      <x:c r="B32" s="4" t="str">
        <x:v>proposal.raw.barite</x:v>
      </x:c>
      <x:c r="C32" s="4" t="str">
        <x:f>IFERROR(INDEX(Items!$B$6:$B$1005,MATCH(B32,Items!$A$6:$A$1005,0)),"MISSING ITEM ID")</x:f>
        <x:v>Dense barite lumps</x:v>
      </x:c>
      <x:c r="D32" s="4" t="str">
        <x:f>IFERROR(INDEX(Items!$AF$6:$AF$1005,MATCH(B32,Items!$A$6:$A$1005,0)),"MISSING ITEM ID")</x:f>
        <x:v>T0</x:v>
      </x:c>
      <x:c r="E32" s="4" t="str">
        <x:v>proposal.t1.mineral_filler</x:v>
      </x:c>
      <x:c r="F32" s="4" t="str">
        <x:f>IFERROR(INDEX(Items!$B$6:$B$1005,MATCH(E32,Items!$A$6:$A$1005,0)),"MISSING ITEM ID")</x:f>
        <x:v>Graded mineral filler</x:v>
      </x:c>
      <x:c r="G32" s="4" t="str">
        <x:f>IFERROR(INDEX(Items!$AF$6:$AF$1005,MATCH(E32,Items!$A$6:$A$1005,0)),"MISSING ITEM ID")</x:f>
        <x:v>T1</x:v>
      </x:c>
      <x:c r="H32" s="4" t="str">
        <x:v>Select and grade raw mineral feed into a defined filler fraction.</x:v>
      </x:c>
      <x:c r="I32" s="4" t="str">
        <x:v>Proposed tier edge; input candidate only, not complete recipe</x:v>
      </x:c>
      <x:c r="J32" s="4" t="str">
        <x:v>https://github.com/sleepyseamonster/Arc-Dust/blob/f6f98515c005dc3c73cccd9cbc031691745740c6/02-Arc-Dust-Worldbuilding/world/materials/chemical-processing-agents.md (source proposal; game route proposed)</x:v>
      </x:c>
    </x:row>
    <x:row r="33" ht="105" customHeight="1">
      <x:c r="A33" s="4" t="str">
        <x:v>material.route.028</x:v>
      </x:c>
      <x:c r="B33" s="4" t="str">
        <x:v>proposal.raw.glass_shards</x:v>
      </x:c>
      <x:c r="C33" s="4" t="str">
        <x:f>IFERROR(INDEX(Items!$B$6:$B$1005,MATCH(B33,Items!$A$6:$A$1005,0)),"MISSING ITEM ID")</x:f>
        <x:v>Broken glass pieces</x:v>
      </x:c>
      <x:c r="D33" s="4" t="str">
        <x:f>IFERROR(INDEX(Items!$AF$6:$AF$1005,MATCH(B33,Items!$A$6:$A$1005,0)),"MISSING ITEM ID")</x:f>
        <x:v>T0</x:v>
      </x:c>
      <x:c r="E33" s="4" t="str">
        <x:v>proposal.t1.glass_feed</x:v>
      </x:c>
      <x:c r="F33" s="4" t="str">
        <x:f>IFERROR(INDEX(Items!$B$6:$B$1005,MATCH(E33,Items!$A$6:$A$1005,0)),"MISSING ITEM ID")</x:f>
        <x:v>Sorted glass remelt feed</x:v>
      </x:c>
      <x:c r="G33" s="4" t="str">
        <x:f>IFERROR(INDEX(Items!$AF$6:$AF$1005,MATCH(E33,Items!$A$6:$A$1005,0)),"MISSING ITEM ID")</x:f>
        <x:v>T1</x:v>
      </x:c>
      <x:c r="H33" s="4" t="str">
        <x:v>Identify, segregate and prepare recovered glass for a compatible later melt.</x:v>
      </x:c>
      <x:c r="I33" s="4" t="str">
        <x:v>Proposed tier edge; input candidate only, not complete recipe</x:v>
      </x:c>
      <x:c r="J33" s="4" t="str">
        <x:v>https://github.com/sleepyseamonster/Arc-Dust/blob/f6f98515c005dc3c73cccd9cbc031691745740c6/02-Arc-Dust-Worldbuilding/world/materials/glass.md (source proposal; game route proposed)</x:v>
      </x:c>
    </x:row>
    <x:row r="34" ht="105" customHeight="1">
      <x:c r="A34" s="4" t="str">
        <x:v>material.route.029</x:v>
      </x:c>
      <x:c r="B34" s="4" t="str">
        <x:v>proposal.natural.mica</x:v>
      </x:c>
      <x:c r="C34" s="4" t="str">
        <x:f>IFERROR(INDEX(Items!$B$6:$B$1005,MATCH(B34,Items!$A$6:$A$1005,0)),"MISSING ITEM ID")</x:f>
        <x:v>Mica sheets</x:v>
      </x:c>
      <x:c r="D34" s="4" t="str">
        <x:f>IFERROR(INDEX(Items!$AF$6:$AF$1005,MATCH(B34,Items!$A$6:$A$1005,0)),"MISSING ITEM ID")</x:f>
        <x:v>T0</x:v>
      </x:c>
      <x:c r="E34" s="4" t="str">
        <x:v>proposal.t1.mica_flakes</x:v>
      </x:c>
      <x:c r="F34" s="4" t="str">
        <x:f>IFERROR(INDEX(Items!$B$6:$B$1005,MATCH(E34,Items!$A$6:$A$1005,0)),"MISSING ITEM ID")</x:f>
        <x:v>Separated mica flake grade</x:v>
      </x:c>
      <x:c r="G34" s="4" t="str">
        <x:f>IFERROR(INDEX(Items!$AF$6:$AF$1005,MATCH(E34,Items!$A$6:$A$1005,0)),"MISSING ITEM ID")</x:f>
        <x:v>T1</x:v>
      </x:c>
      <x:c r="H34" s="4" t="str">
        <x:v>Split and grade selected raw mica into flake feed.</x:v>
      </x:c>
      <x:c r="I34" s="4" t="str">
        <x:v>Proposed tier edge; input candidate only, not complete recipe</x:v>
      </x:c>
      <x:c r="J34" s="4" t="str">
        <x:v>https://github.com/sleepyseamonster/Arc-Dust/blob/f6f98515c005dc3c73cccd9cbc031691745740c6/02-Arc-Dust-Worldbuilding/world/materials/industrial-material-palette.md (source proposal; game route proposed)</x:v>
      </x:c>
    </x:row>
    <x:row r="35" ht="105" customHeight="1">
      <x:c r="A35" s="4" t="str">
        <x:v>material.route.030</x:v>
      </x:c>
      <x:c r="B35" s="4" t="str">
        <x:v>proposal.bio.chitin_fibers</x:v>
      </x:c>
      <x:c r="C35" s="4" t="str">
        <x:f>IFERROR(INDEX(Items!$B$6:$B$1005,MATCH(B35,Items!$A$6:$A$1005,0)),"MISSING ITEM ID")</x:f>
        <x:v>Scraped chitin fibers</x:v>
      </x:c>
      <x:c r="D35" s="4" t="str">
        <x:f>IFERROR(INDEX(Items!$AF$6:$AF$1005,MATCH(B35,Items!$A$6:$A$1005,0)),"MISSING ITEM ID")</x:f>
        <x:v>T0</x:v>
      </x:c>
      <x:c r="E35" s="4" t="str">
        <x:v>proposal.t1.husk_pulp</x:v>
      </x:c>
      <x:c r="F35" s="4" t="str">
        <x:f>IFERROR(INDEX(Items!$B$6:$B$1005,MATCH(E35,Items!$A$6:$A$1005,0)),"MISSING ITEM ID")</x:f>
        <x:v>Prepared husk-fiber pulp</x:v>
      </x:c>
      <x:c r="G35" s="4" t="str">
        <x:f>IFERROR(INDEX(Items!$AF$6:$AF$1005,MATCH(E35,Items!$A$6:$A$1005,0)),"MISSING ITEM ID")</x:f>
        <x:v>T1</x:v>
      </x:c>
      <x:c r="H35" s="4" t="str">
        <x:v>Separate and condition scraped husk fiber into a first paper-making feed.</x:v>
      </x:c>
      <x:c r="I35" s="4" t="str">
        <x:v>Proposed tier edge; input candidate only, not complete recipe</x:v>
      </x:c>
      <x:c r="J35" s="4" t="str">
        <x:v>https://github.com/sleepyseamonster/Arc-Dust/blob/f6f98515c005dc3c73cccd9cbc031691745740c6/02-Arc-Dust-Worldbuilding/world/materials/chitin.md (source proposal; game route proposed)</x:v>
      </x:c>
    </x:row>
    <x:row r="36" ht="105" customHeight="1">
      <x:c r="A36" s="4" t="str">
        <x:v>material.route.031</x:v>
      </x:c>
      <x:c r="B36" s="4" t="str">
        <x:v>proposal.bio.bristles</x:v>
      </x:c>
      <x:c r="C36" s="4" t="str">
        <x:f>IFERROR(INDEX(Items!$B$6:$B$1005,MATCH(B36,Items!$A$6:$A$1005,0)),"MISSING ITEM ID")</x:f>
        <x:v>Coarse sensory bristles</x:v>
      </x:c>
      <x:c r="D36" s="4" t="str">
        <x:f>IFERROR(INDEX(Items!$AF$6:$AF$1005,MATCH(B36,Items!$A$6:$A$1005,0)),"MISSING ITEM ID")</x:f>
        <x:v>T0</x:v>
      </x:c>
      <x:c r="E36" s="4" t="str">
        <x:v>proposal.t1.bristle_bundle</x:v>
      </x:c>
      <x:c r="F36" s="4" t="str">
        <x:f>IFERROR(INDEX(Items!$B$6:$B$1005,MATCH(E36,Items!$A$6:$A$1005,0)),"MISSING ITEM ID")</x:f>
        <x:v>Clean graded bristle bundles</x:v>
      </x:c>
      <x:c r="G36" s="4" t="str">
        <x:f>IFERROR(INDEX(Items!$AF$6:$AF$1005,MATCH(E36,Items!$A$6:$A$1005,0)),"MISSING ITEM ID")</x:f>
        <x:v>T1</x:v>
      </x:c>
      <x:c r="H36" s="4" t="str">
        <x:v>Sort and prepare a selected bristle batch.</x:v>
      </x:c>
      <x:c r="I36" s="4" t="str">
        <x:v>Proposed tier edge; input candidate only, not complete recipe</x:v>
      </x:c>
      <x:c r="J36" s="4" t="str">
        <x:v>https://github.com/sleepyseamonster/Arc-Dust/blob/f6f98515c005dc3c73cccd9cbc031691745740c6/02-Arc-Dust-Worldbuilding/world/materials/chitin.md (source proposal; game route proposed)</x:v>
      </x:c>
    </x:row>
    <x:row r="37" ht="105" customHeight="1">
      <x:c r="A37" s="4" t="str">
        <x:v>material.route.032</x:v>
      </x:c>
      <x:c r="B37" s="4" t="str">
        <x:v>proposal.bio.shell</x:v>
      </x:c>
      <x:c r="C37" s="4" t="str">
        <x:f>IFERROR(INDEX(Items!$B$6:$B$1005,MATCH(B37,Items!$A$6:$A$1005,0)),"MISSING ITEM ID")</x:f>
        <x:v>Shell husks / shed plates</x:v>
      </x:c>
      <x:c r="D37" s="4" t="str">
        <x:f>IFERROR(INDEX(Items!$AF$6:$AF$1005,MATCH(B37,Items!$A$6:$A$1005,0)),"MISSING ITEM ID")</x:f>
        <x:v>T0</x:v>
      </x:c>
      <x:c r="E37" s="4" t="str">
        <x:v>proposal.t1.shell_lamina</x:v>
      </x:c>
      <x:c r="F37" s="4" t="str">
        <x:f>IFERROR(INDEX(Items!$B$6:$B$1005,MATCH(E37,Items!$A$6:$A$1005,0)),"MISSING ITEM ID")</x:f>
        <x:v>Separated shell lamina stock</x:v>
      </x:c>
      <x:c r="G37" s="4" t="str">
        <x:f>IFERROR(INDEX(Items!$AF$6:$AF$1005,MATCH(E37,Items!$A$6:$A$1005,0)),"MISSING ITEM ID")</x:f>
        <x:v>T1</x:v>
      </x:c>
      <x:c r="H37" s="4" t="str">
        <x:v>Separate and prepare selected shell layers as first sheet stock.</x:v>
      </x:c>
      <x:c r="I37" s="4" t="str">
        <x:v>Proposed tier edge; input candidate only, not complete recipe</x:v>
      </x:c>
      <x:c r="J37" s="4" t="str">
        <x:v>https://github.com/sleepyseamonster/Arc-Dust/blob/f6f98515c005dc3c73cccd9cbc031691745740c6/02-Arc-Dust-Worldbuilding/world/materials/chitin.md (source proposal; game route proposed)</x:v>
      </x:c>
    </x:row>
    <x:row r="38" ht="105" customHeight="1">
      <x:c r="A38" s="4" t="str">
        <x:v>material.route.033</x:v>
      </x:c>
      <x:c r="B38" s="4" t="str">
        <x:v>proposal.raw.horn_core</x:v>
      </x:c>
      <x:c r="C38" s="4" t="str">
        <x:f>IFERROR(INDEX(Items!$B$6:$B$1005,MATCH(B38,Items!$A$6:$A$1005,0)),"MISSING ITEM ID")</x:f>
        <x:v>Fauna horn cores</x:v>
      </x:c>
      <x:c r="D38" s="4" t="str">
        <x:f>IFERROR(INDEX(Items!$AF$6:$AF$1005,MATCH(B38,Items!$A$6:$A$1005,0)),"MISSING ITEM ID")</x:f>
        <x:v>T0</x:v>
      </x:c>
      <x:c r="E38" s="4" t="str">
        <x:v>proposal.t1.hardpart_blank</x:v>
      </x:c>
      <x:c r="F38" s="4" t="str">
        <x:f>IFERROR(INDEX(Items!$B$6:$B$1005,MATCH(E38,Items!$A$6:$A$1005,0)),"MISSING ITEM ID")</x:f>
        <x:v>Shaped fauna hard-part blanks</x:v>
      </x:c>
      <x:c r="G38" s="4" t="str">
        <x:f>IFERROR(INDEX(Items!$AF$6:$AF$1005,MATCH(E38,Items!$A$6:$A$1005,0)),"MISSING ITEM ID")</x:f>
        <x:v>T1</x:v>
      </x:c>
      <x:c r="H38" s="4" t="str">
        <x:v>Select and rough-shape usable horn/core hard tissue into tool-stock blanks.</x:v>
      </x:c>
      <x:c r="I38" s="4" t="str">
        <x:v>Proposed tier edge; input candidate only, not complete recipe</x:v>
      </x:c>
      <x:c r="J38" s="4" t="str">
        <x:v>https://github.com/sleepyseamonster/Arc-Dust/blob/f6f98515c005dc3c73cccd9cbc031691745740c6/02-Arc-Dust-Worldbuilding/world/materials/chitin.md (source proposal; game route proposed)</x:v>
      </x:c>
    </x:row>
    <x:row r="39" ht="105" customHeight="1">
      <x:c r="A39" s="4" t="str">
        <x:v>material.route.034</x:v>
      </x:c>
      <x:c r="B39" s="4" t="str">
        <x:v>proposal.natural.salts</x:v>
      </x:c>
      <x:c r="C39" s="4" t="str">
        <x:f>IFERROR(INDEX(Items!$B$6:$B$1005,MATCH(B39,Items!$A$6:$A$1005,0)),"MISSING ITEM ID")</x:f>
        <x:v>Dry mineral salts</x:v>
      </x:c>
      <x:c r="D39" s="4" t="str">
        <x:f>IFERROR(INDEX(Items!$AF$6:$AF$1005,MATCH(B39,Items!$A$6:$A$1005,0)),"MISSING ITEM ID")</x:f>
        <x:v>T0</x:v>
      </x:c>
      <x:c r="E39" s="4" t="str">
        <x:v>proposal.t1.process_salts</x:v>
      </x:c>
      <x:c r="F39" s="4" t="str">
        <x:f>IFERROR(INDEX(Items!$B$6:$B$1005,MATCH(E39,Items!$A$6:$A$1005,0)),"MISSING ITEM ID")</x:f>
        <x:v>Graded process salts</x:v>
      </x:c>
      <x:c r="G39" s="4" t="str">
        <x:f>IFERROR(INDEX(Items!$AF$6:$AF$1005,MATCH(E39,Items!$A$6:$A$1005,0)),"MISSING ITEM ID")</x:f>
        <x:v>T1</x:v>
      </x:c>
      <x:c r="H39" s="4" t="str">
        <x:v>Identify and segregate a specific raw salt fraction for workshop use.</x:v>
      </x:c>
      <x:c r="I39" s="4" t="str">
        <x:v>Proposed tier edge; input candidate only, not complete recipe</x:v>
      </x:c>
      <x:c r="J39" s="4" t="str">
        <x:v>https://github.com/sleepyseamonster/Arc-Dust/blob/f6f98515c005dc3c73cccd9cbc031691745740c6/02-Arc-Dust-Worldbuilding/world/materials/chemical-processing-agents.md (source proposal; game route proposed)</x:v>
      </x:c>
    </x:row>
    <x:row r="40" ht="105" customHeight="1">
      <x:c r="A40" s="4" t="str">
        <x:v>material.route.035</x:v>
      </x:c>
      <x:c r="B40" s="4" t="str">
        <x:v>proposal.bio.liquid_material</x:v>
      </x:c>
      <x:c r="C40" s="4" t="str">
        <x:f>IFERROR(INDEX(Items!$B$6:$B$1005,MATCH(B40,Items!$A$6:$A$1005,0)),"MISSING ITEM ID")</x:f>
        <x:v>Faunal liquid material (unspecified)</x:v>
      </x:c>
      <x:c r="D40" s="4" t="str">
        <x:f>IFERROR(INDEX(Items!$AF$6:$AF$1005,MATCH(B40,Items!$A$6:$A$1005,0)),"MISSING ITEM ID")</x:f>
        <x:v>T0</x:v>
      </x:c>
      <x:c r="E40" s="4" t="str">
        <x:v>proposal.t1.faunal_carrier</x:v>
      </x:c>
      <x:c r="F40" s="4" t="str">
        <x:f>IFERROR(INDEX(Items!$B$6:$B$1005,MATCH(E40,Items!$A$6:$A$1005,0)),"MISSING ITEM ID")</x:f>
        <x:v>Selected faunal carrier fraction</x:v>
      </x:c>
      <x:c r="G40" s="4" t="str">
        <x:f>IFERROR(INDEX(Items!$AF$6:$AF$1005,MATCH(E40,Items!$A$6:$A$1005,0)),"MISSING ITEM ID")</x:f>
        <x:v>T1</x:v>
      </x:c>
      <x:c r="H40" s="4" t="str">
        <x:v>Separate a candidate contained faunal liquid for controlled coating/material application.</x:v>
      </x:c>
      <x:c r="I40" s="4" t="str">
        <x:v>Proposed tier edge; input candidate only, not complete recipe</x:v>
      </x:c>
      <x:c r="J40" s="4" t="str">
        <x:v>https://github.com/sleepyseamonster/Arc-Dust/blob/f6f98515c005dc3c73cccd9cbc031691745740c6/02-Arc-Dust-Worldbuilding/world/materials/chemical-processing-agents.md (source proposal; game route proposed)</x:v>
      </x:c>
    </x:row>
    <x:row r="41" ht="105" customHeight="1">
      <x:c r="A41" s="4" t="str">
        <x:v>material.route.036</x:v>
      </x:c>
      <x:c r="B41" s="4" t="str">
        <x:v>proposal.chemical.shell_binder</x:v>
      </x:c>
      <x:c r="C41" s="4" t="str">
        <x:f>IFERROR(INDEX(Items!$B$6:$B$1005,MATCH(B41,Items!$A$6:$A$1005,0)),"MISSING ITEM ID")</x:f>
        <x:v>Shell-binding secretion</x:v>
      </x:c>
      <x:c r="D41" s="4" t="str">
        <x:f>IFERROR(INDEX(Items!$AF$6:$AF$1005,MATCH(B41,Items!$A$6:$A$1005,0)),"MISSING ITEM ID")</x:f>
        <x:v>T0</x:v>
      </x:c>
      <x:c r="E41" s="4" t="str">
        <x:v>proposal.t1.shell_adhesive</x:v>
      </x:c>
      <x:c r="F41" s="4" t="str">
        <x:f>IFERROR(INDEX(Items!$B$6:$B$1005,MATCH(E41,Items!$A$6:$A$1005,0)),"MISSING ITEM ID")</x:f>
        <x:v>Prepared shell-binding adhesive</x:v>
      </x:c>
      <x:c r="G41" s="4" t="str">
        <x:f>IFERROR(INDEX(Items!$AF$6:$AF$1005,MATCH(E41,Items!$A$6:$A$1005,0)),"MISSING ITEM ID")</x:f>
        <x:v>T1</x:v>
      </x:c>
      <x:c r="H41" s="4" t="str">
        <x:v>Qualify and prepare a selected raw shell-binding secretion.</x:v>
      </x:c>
      <x:c r="I41" s="4" t="str">
        <x:v>Proposed tier edge; input candidate only, not complete recipe</x:v>
      </x:c>
      <x:c r="J41" s="4" t="str">
        <x:v>https://github.com/sleepyseamonster/Arc-Dust/blob/f6f98515c005dc3c73cccd9cbc031691745740c6/02-Arc-Dust-Worldbuilding/world/materials/chemical-processing-agents.md (source proposal; game route proposed)</x:v>
      </x:c>
    </x:row>
    <x:row r="42" ht="105" customHeight="1">
      <x:c r="A42" s="4" t="str">
        <x:v>material.route.037</x:v>
      </x:c>
      <x:c r="B42" s="4" t="str">
        <x:v>proposal.chemical.clotting_compound</x:v>
      </x:c>
      <x:c r="C42" s="4" t="str">
        <x:f>IFERROR(INDEX(Items!$B$6:$B$1005,MATCH(B42,Items!$A$6:$A$1005,0)),"MISSING ITEM ID")</x:f>
        <x:v>Mineral clotting compound</x:v>
      </x:c>
      <x:c r="D42" s="4" t="str">
        <x:f>IFERROR(INDEX(Items!$AF$6:$AF$1005,MATCH(B42,Items!$A$6:$A$1005,0)),"MISSING ITEM ID")</x:f>
        <x:v>T0</x:v>
      </x:c>
      <x:c r="E42" s="4" t="str">
        <x:v>proposal.t1.clot_seal</x:v>
      </x:c>
      <x:c r="F42" s="4" t="str">
        <x:f>IFERROR(INDEX(Items!$B$6:$B$1005,MATCH(E42,Items!$A$6:$A$1005,0)),"MISSING ITEM ID")</x:f>
        <x:v>Prepared clot-seal compound</x:v>
      </x:c>
      <x:c r="G42" s="4" t="str">
        <x:f>IFERROR(INDEX(Items!$AF$6:$AF$1005,MATCH(E42,Items!$A$6:$A$1005,0)),"MISSING ITEM ID")</x:f>
        <x:v>T1</x:v>
      </x:c>
      <x:c r="H42" s="4" t="str">
        <x:v>Separate and prepare a selected raw hard-setting secretion for a bounded patching service.</x:v>
      </x:c>
      <x:c r="I42" s="4" t="str">
        <x:v>Proposed tier edge; input candidate only, not complete recipe</x:v>
      </x:c>
      <x:c r="J42" s="4" t="str">
        <x:v>https://github.com/sleepyseamonster/Arc-Dust/blob/f6f98515c005dc3c73cccd9cbc031691745740c6/02-Arc-Dust-Worldbuilding/world/materials/chemical-processing-agents.md (source proposal; game route proposed)</x:v>
      </x:c>
    </x:row>
    <x:row r="43" ht="105" customHeight="1">
      <x:c r="A43" s="4" t="str">
        <x:v>material.route.038</x:v>
      </x:c>
      <x:c r="B43" s="4" t="str">
        <x:v>proposal.gem.garnet</x:v>
      </x:c>
      <x:c r="C43" s="4" t="str">
        <x:f>IFERROR(INDEX(Items!$B$6:$B$1005,MATCH(B43,Items!$A$6:$A$1005,0)),"MISSING ITEM ID")</x:f>
        <x:v>Garnet</x:v>
      </x:c>
      <x:c r="D43" s="4" t="str">
        <x:f>IFERROR(INDEX(Items!$AF$6:$AF$1005,MATCH(B43,Items!$A$6:$A$1005,0)),"MISSING ITEM ID")</x:f>
        <x:v>T0</x:v>
      </x:c>
      <x:c r="E43" s="4" t="str">
        <x:v>proposal.t1.gem_preform</x:v>
      </x:c>
      <x:c r="F43" s="4" t="str">
        <x:f>IFERROR(INDEX(Items!$B$6:$B$1005,MATCH(E43,Items!$A$6:$A$1005,0)),"MISSING ITEM ID")</x:f>
        <x:v>Cut gemstone preform</x:v>
      </x:c>
      <x:c r="G43" s="4" t="str">
        <x:f>IFERROR(INDEX(Items!$AF$6:$AF$1005,MATCH(E43,Items!$A$6:$A$1005,0)),"MISSING ITEM ID")</x:f>
        <x:v>T1</x:v>
      </x:c>
      <x:c r="H43" s="4" t="str">
        <x:v>Select and rough-cut a raw-gem interpretation of the existing gemstone family.</x:v>
      </x:c>
      <x:c r="I43" s="4" t="str">
        <x:v>Proposed tier edge; input candidate only, not complete recipe</x:v>
      </x:c>
      <x:c r="J43" s="4" t="str">
        <x:v>https://github.com/sleepyseamonster/Arc-Dust/blob/f6f98515c005dc3c73cccd9cbc031691745740c6/02-Arc-Dust-Worldbuilding/world/materials/canyon-depth-geology.md (source proposal; game route proposed)</x:v>
      </x:c>
    </x:row>
    <x:row r="44" ht="105" customHeight="1">
      <x:c r="A44" s="4" t="str">
        <x:v>material.route.039</x:v>
      </x:c>
      <x:c r="B44" s="4" t="str">
        <x:v>proposal.gem.clear_quartz</x:v>
      </x:c>
      <x:c r="C44" s="4" t="str">
        <x:f>IFERROR(INDEX(Items!$B$6:$B$1005,MATCH(B44,Items!$A$6:$A$1005,0)),"MISSING ITEM ID")</x:f>
        <x:v>Clear quartz</x:v>
      </x:c>
      <x:c r="D44" s="4" t="str">
        <x:f>IFERROR(INDEX(Items!$AF$6:$AF$1005,MATCH(B44,Items!$A$6:$A$1005,0)),"MISSING ITEM ID")</x:f>
        <x:v>T0</x:v>
      </x:c>
      <x:c r="E44" s="4" t="str">
        <x:v>proposal.t1.gem_chips</x:v>
      </x:c>
      <x:c r="F44" s="4" t="str">
        <x:f>IFERROR(INDEX(Items!$B$6:$B$1005,MATCH(E44,Items!$A$6:$A$1005,0)),"MISSING ITEM ID")</x:f>
        <x:v>Graded stone inlay chips</x:v>
      </x:c>
      <x:c r="G44" s="4" t="str">
        <x:f>IFERROR(INDEX(Items!$AF$6:$AF$1005,MATCH(E44,Items!$A$6:$A$1005,0)),"MISSING ITEM ID")</x:f>
        <x:v>T1</x:v>
      </x:c>
      <x:c r="H44" s="4" t="str">
        <x:v>Select and size raw crystal offcuts for decorative setting work.</x:v>
      </x:c>
      <x:c r="I44" s="4" t="str">
        <x:v>Proposed tier edge; input candidate only, not complete recipe</x:v>
      </x:c>
      <x:c r="J44" s="4" t="str">
        <x:v>https://github.com/sleepyseamonster/Arc-Dust/blob/f6f98515c005dc3c73cccd9cbc031691745740c6/02-Arc-Dust-Worldbuilding/world/materials/canyon-depth-geology.md (source proposal; game route proposed)</x:v>
      </x:c>
    </x:row>
    <x:row r="45" ht="105" customHeight="1">
      <x:c r="A45" s="4" t="str">
        <x:v>material.route.040</x:v>
      </x:c>
      <x:c r="B45" s="4" t="str">
        <x:v>proposal.bio.shell</x:v>
      </x:c>
      <x:c r="C45" s="4" t="str">
        <x:f>IFERROR(INDEX(Items!$B$6:$B$1005,MATCH(B45,Items!$A$6:$A$1005,0)),"MISSING ITEM ID")</x:f>
        <x:v>Shell husks / shed plates</x:v>
      </x:c>
      <x:c r="D45" s="4" t="str">
        <x:f>IFERROR(INDEX(Items!$AF$6:$AF$1005,MATCH(B45,Items!$A$6:$A$1005,0)),"MISSING ITEM ID")</x:f>
        <x:v>T0</x:v>
      </x:c>
      <x:c r="E45" s="4" t="str">
        <x:v>proposal.t1.shell_inlay</x:v>
      </x:c>
      <x:c r="F45" s="4" t="str">
        <x:f>IFERROR(INDEX(Items!$B$6:$B$1005,MATCH(E45,Items!$A$6:$A$1005,0)),"MISSING ITEM ID")</x:f>
        <x:v>Burnished shell inlay scales</x:v>
      </x:c>
      <x:c r="G45" s="4" t="str">
        <x:f>IFERROR(INDEX(Items!$AF$6:$AF$1005,MATCH(E45,Items!$A$6:$A$1005,0)),"MISSING ITEM ID")</x:f>
        <x:v>T1</x:v>
      </x:c>
      <x:c r="H45" s="4" t="str">
        <x:v>Select and prepare small shell surfaces for decorative inlay stock.</x:v>
      </x:c>
      <x:c r="I45" s="4" t="str">
        <x:v>Proposed tier edge; input candidate only, not complete recipe</x:v>
      </x:c>
      <x:c r="J45" s="4" t="str">
        <x:v>https://github.com/sleepyseamonster/Arc-Dust/blob/f6f98515c005dc3c73cccd9cbc031691745740c6/02-Arc-Dust-Worldbuilding/world/economy/canister-identity.md (source proposal; game route proposed)</x:v>
      </x:c>
    </x:row>
    <x:row r="46" ht="105" customHeight="1">
      <x:c r="A46" s="4" t="str">
        <x:v>material.route.041</x:v>
      </x:c>
      <x:c r="B46" s="4" t="str">
        <x:v>proposal.natural.mica</x:v>
      </x:c>
      <x:c r="C46" s="4" t="str">
        <x:f>IFERROR(INDEX(Items!$B$6:$B$1005,MATCH(B46,Items!$A$6:$A$1005,0)),"MISSING ITEM ID")</x:f>
        <x:v>Mica sheets</x:v>
      </x:c>
      <x:c r="D46" s="4" t="str">
        <x:f>IFERROR(INDEX(Items!$AF$6:$AF$1005,MATCH(B46,Items!$A$6:$A$1005,0)),"MISSING ITEM ID")</x:f>
        <x:v>T0</x:v>
      </x:c>
      <x:c r="E46" s="4" t="str">
        <x:v>proposal.t1.mica_window</x:v>
      </x:c>
      <x:c r="F46" s="4" t="str">
        <x:f>IFERROR(INDEX(Items!$B$6:$B$1005,MATCH(E46,Items!$A$6:$A$1005,0)),"MISSING ITEM ID")</x:f>
        <x:v>Sized mica viewing sheet</x:v>
      </x:c>
      <x:c r="G46" s="4" t="str">
        <x:f>IFERROR(INDEX(Items!$AF$6:$AF$1005,MATCH(E46,Items!$A$6:$A$1005,0)),"MISSING ITEM ID")</x:f>
        <x:v>T1</x:v>
      </x:c>
      <x:c r="H46" s="4" t="str">
        <x:v>Split, select and size a suitable raw sheet for a proposed viewing/cover insert.</x:v>
      </x:c>
      <x:c r="I46" s="4" t="str">
        <x:v>Proposed tier edge; input candidate only, not complete recipe</x:v>
      </x:c>
      <x:c r="J46" s="4" t="str">
        <x:v>https://github.com/sleepyseamonster/Arc-Dust/blob/f6f98515c005dc3c73cccd9cbc031691745740c6/02-Arc-Dust-Worldbuilding/world/materials/industrial-material-palette.md (source proposal; game route proposed)</x:v>
      </x:c>
    </x:row>
    <x:row r="47" ht="105" customHeight="1">
      <x:c r="A47" s="4" t="str">
        <x:v>material.route.042</x:v>
      </x:c>
      <x:c r="B47" s="4" t="str">
        <x:v>proposal.t1.husk_pulp</x:v>
      </x:c>
      <x:c r="C47" s="4" t="str">
        <x:f>IFERROR(INDEX(Items!$B$6:$B$1005,MATCH(B47,Items!$A$6:$A$1005,0)),"MISSING ITEM ID")</x:f>
        <x:v>Prepared husk-fiber pulp</x:v>
      </x:c>
      <x:c r="D47" s="4" t="str">
        <x:f>IFERROR(INDEX(Items!$AF$6:$AF$1005,MATCH(B47,Items!$A$6:$A$1005,0)),"MISSING ITEM ID")</x:f>
        <x:v>T1</x:v>
      </x:c>
      <x:c r="E47" s="4" t="str">
        <x:v>proposal.bio.husk_paper</x:v>
      </x:c>
      <x:c r="F47" s="4" t="str">
        <x:f>IFERROR(INDEX(Items!$B$6:$B$1005,MATCH(E47,Items!$A$6:$A$1005,0)),"MISSING ITEM ID")</x:f>
        <x:v>Husk-fiber paper</x:v>
      </x:c>
      <x:c r="G47" s="4" t="str">
        <x:f>IFERROR(INDEX(Items!$AF$6:$AF$1005,MATCH(E47,Items!$A$6:$A$1005,0)),"MISSING ITEM ID")</x:f>
        <x:v>T2</x:v>
      </x:c>
      <x:c r="H47" s="4" t="str">
        <x:v>Prepare the existing main husk-paper material from T1 pulp.</x:v>
      </x:c>
      <x:c r="I47" s="4" t="str">
        <x:v>Proposed tier edge; input candidate only, not complete recipe</x:v>
      </x:c>
      <x:c r="J47" s="4" t="str">
        <x:v>New game proposal; no complete recipe</x:v>
      </x:c>
    </x:row>
    <x:row r="48" ht="105" customHeight="1">
      <x:c r="A48" s="4" t="str">
        <x:v>material.route.043</x:v>
      </x:c>
      <x:c r="B48" s="4" t="str">
        <x:v>proposal.t1.iron_bloom</x:v>
      </x:c>
      <x:c r="C48" s="4" t="str">
        <x:f>IFERROR(INDEX(Items!$B$6:$B$1005,MATCH(B48,Items!$A$6:$A$1005,0)),"MISSING ITEM ID")</x:f>
        <x:v>Smelted iron bloom</x:v>
      </x:c>
      <x:c r="D48" s="4" t="str">
        <x:f>IFERROR(INDEX(Items!$AF$6:$AF$1005,MATCH(B48,Items!$A$6:$A$1005,0)),"MISSING ITEM ID")</x:f>
        <x:v>T1</x:v>
      </x:c>
      <x:c r="E48" s="4" t="str">
        <x:v>proposal.natural.iron_stock</x:v>
      </x:c>
      <x:c r="F48" s="4" t="str">
        <x:f>IFERROR(INDEX(Items!$B$6:$B$1005,MATCH(E48,Items!$A$6:$A$1005,0)),"MISSING ITEM ID")</x:f>
        <x:v>Worked iron stock</x:v>
      </x:c>
      <x:c r="G48" s="4" t="str">
        <x:f>IFERROR(INDEX(Items!$AF$6:$AF$1005,MATCH(E48,Items!$A$6:$A$1005,0)),"MISSING ITEM ID")</x:f>
        <x:v>T2</x:v>
      </x:c>
      <x:c r="H48" s="4" t="str">
        <x:v>Work selected first metal into repair/structural stock.</x:v>
      </x:c>
      <x:c r="I48" s="4" t="str">
        <x:v>Proposed tier edge; input candidate only, not complete recipe</x:v>
      </x:c>
      <x:c r="J48" s="4" t="str">
        <x:v>New game proposal; no complete recipe</x:v>
      </x:c>
    </x:row>
    <x:row r="49" ht="105" customHeight="1">
      <x:c r="A49" s="4" t="str">
        <x:v>material.route.044</x:v>
      </x:c>
      <x:c r="B49" s="4" t="str">
        <x:v>proposal.t1.shell_lamina</x:v>
      </x:c>
      <x:c r="C49" s="4" t="str">
        <x:f>IFERROR(INDEX(Items!$B$6:$B$1005,MATCH(B49,Items!$A$6:$A$1005,0)),"MISSING ITEM ID")</x:f>
        <x:v>Separated shell lamina stock</x:v>
      </x:c>
      <x:c r="D49" s="4" t="str">
        <x:f>IFERROR(INDEX(Items!$AF$6:$AF$1005,MATCH(B49,Items!$A$6:$A$1005,0)),"MISSING ITEM ID")</x:f>
        <x:v>T1</x:v>
      </x:c>
      <x:c r="E49" s="4" t="str">
        <x:v>proposal.bio.laminate</x:v>
      </x:c>
      <x:c r="F49" s="4" t="str">
        <x:f>IFERROR(INDEX(Items!$B$6:$B$1005,MATCH(E49,Items!$A$6:$A$1005,0)),"MISSING ITEM ID")</x:f>
        <x:v>Shell laminate</x:v>
      </x:c>
      <x:c r="G49" s="4" t="str">
        <x:f>IFERROR(INDEX(Items!$AF$6:$AF$1005,MATCH(E49,Items!$A$6:$A$1005,0)),"MISSING ITEM ID")</x:f>
        <x:v>T2</x:v>
      </x:c>
      <x:c r="H49" s="4" t="str">
        <x:v>Proposed sheet input for layered shell material.</x:v>
      </x:c>
      <x:c r="I49" s="4" t="str">
        <x:v>Proposed tier edge; input candidate only, not complete recipe</x:v>
      </x:c>
      <x:c r="J49" s="4" t="str">
        <x:v>New game proposal; no complete recipe</x:v>
      </x:c>
    </x:row>
    <x:row r="50" ht="105" customHeight="1">
      <x:c r="A50" s="4" t="str">
        <x:v>material.route.045</x:v>
      </x:c>
      <x:c r="B50" s="4" t="str">
        <x:v>proposal.t1.shell_adhesive</x:v>
      </x:c>
      <x:c r="C50" s="4" t="str">
        <x:f>IFERROR(INDEX(Items!$B$6:$B$1005,MATCH(B50,Items!$A$6:$A$1005,0)),"MISSING ITEM ID")</x:f>
        <x:v>Prepared shell-binding adhesive</x:v>
      </x:c>
      <x:c r="D50" s="4" t="str">
        <x:f>IFERROR(INDEX(Items!$AF$6:$AF$1005,MATCH(B50,Items!$A$6:$A$1005,0)),"MISSING ITEM ID")</x:f>
        <x:v>T1</x:v>
      </x:c>
      <x:c r="E50" s="4" t="str">
        <x:v>proposal.bio.laminate</x:v>
      </x:c>
      <x:c r="F50" s="4" t="str">
        <x:f>IFERROR(INDEX(Items!$B$6:$B$1005,MATCH(E50,Items!$A$6:$A$1005,0)),"MISSING ITEM ID")</x:f>
        <x:v>Shell laminate</x:v>
      </x:c>
      <x:c r="G50" s="4" t="str">
        <x:f>IFERROR(INDEX(Items!$AF$6:$AF$1005,MATCH(E50,Items!$A$6:$A$1005,0)),"MISSING ITEM ID")</x:f>
        <x:v>T2</x:v>
      </x:c>
      <x:c r="H50" s="4" t="str">
        <x:v>Proposed compatible binder input for the same laminate route.</x:v>
      </x:c>
      <x:c r="I50" s="4" t="str">
        <x:v>Proposed tier edge; input candidate only, not complete recipe</x:v>
      </x:c>
      <x:c r="J50" s="4" t="str">
        <x:v>New game proposal; no complete recipe</x:v>
      </x:c>
    </x:row>
    <x:row r="51" ht="105" customHeight="1">
      <x:c r="A51" s="4" t="str">
        <x:v>material.route.046</x:v>
      </x:c>
      <x:c r="B51" s="4" t="str">
        <x:v>proposal.lubricant.base</x:v>
      </x:c>
      <x:c r="C51" s="4" t="str">
        <x:f>IFERROR(INDEX(Items!$B$6:$B$1005,MATCH(B51,Items!$A$6:$A$1005,0)),"MISSING ITEM ID")</x:f>
        <x:v>Clarified faunal lubricant base</x:v>
      </x:c>
      <x:c r="D51" s="4" t="str">
        <x:f>IFERROR(INDEX(Items!$AF$6:$AF$1005,MATCH(B51,Items!$A$6:$A$1005,0)),"MISSING ITEM ID")</x:f>
        <x:v>T1</x:v>
      </x:c>
      <x:c r="E51" s="4" t="str">
        <x:v>proposal.lubricant.joint_grease</x:v>
      </x:c>
      <x:c r="F51" s="4" t="str">
        <x:f>IFERROR(INDEX(Items!$B$6:$B$1005,MATCH(E51,Items!$A$6:$A$1005,0)),"MISSING ITEM ID")</x:f>
        <x:v>Faunal joint grease</x:v>
      </x:c>
      <x:c r="G51" s="4" t="str">
        <x:f>IFERROR(INDEX(Items!$AF$6:$AF$1005,MATCH(E51,Items!$A$6:$A$1005,0)),"MISSING ITEM ID")</x:f>
        <x:v>T2</x:v>
      </x:c>
      <x:c r="H51" s="4" t="str">
        <x:v>Candidate base input for formulated joint grease.</x:v>
      </x:c>
      <x:c r="I51" s="4" t="str">
        <x:v>Proposed tier edge; input candidate only, not complete recipe</x:v>
      </x:c>
      <x:c r="J51" s="4" t="str">
        <x:v>New game proposal; no complete recipe</x:v>
      </x:c>
    </x:row>
    <x:row r="52" ht="105" customHeight="1">
      <x:c r="A52" s="4" t="str">
        <x:v>material.route.047</x:v>
      </x:c>
      <x:c r="B52" s="4" t="str">
        <x:v>proposal.lubricant.thickener</x:v>
      </x:c>
      <x:c r="C52" s="4" t="str">
        <x:f>IFERROR(INDEX(Items!$B$6:$B$1005,MATCH(B52,Items!$A$6:$A$1005,0)),"MISSING ITEM ID")</x:f>
        <x:v>Prepared secretion thickener</x:v>
      </x:c>
      <x:c r="D52" s="4" t="str">
        <x:f>IFERROR(INDEX(Items!$AF$6:$AF$1005,MATCH(B52,Items!$A$6:$A$1005,0)),"MISSING ITEM ID")</x:f>
        <x:v>T1</x:v>
      </x:c>
      <x:c r="E52" s="4" t="str">
        <x:v>proposal.lubricant.joint_grease</x:v>
      </x:c>
      <x:c r="F52" s="4" t="str">
        <x:f>IFERROR(INDEX(Items!$B$6:$B$1005,MATCH(E52,Items!$A$6:$A$1005,0)),"MISSING ITEM ID")</x:f>
        <x:v>Faunal joint grease</x:v>
      </x:c>
      <x:c r="G52" s="4" t="str">
        <x:f>IFERROR(INDEX(Items!$AF$6:$AF$1005,MATCH(E52,Items!$A$6:$A$1005,0)),"MISSING ITEM ID")</x:f>
        <x:v>T2</x:v>
      </x:c>
      <x:c r="H52" s="4" t="str">
        <x:v>Compatible thickener input for formulated joint grease.</x:v>
      </x:c>
      <x:c r="I52" s="4" t="str">
        <x:v>Proposed tier edge; input candidate only, not complete recipe</x:v>
      </x:c>
      <x:c r="J52" s="4" t="str">
        <x:v>New game proposal; no complete recipe</x:v>
      </x:c>
    </x:row>
  </x:sheetData>
  <x:pageMargins left="0.7" right="0.7" top="0.75" bottom="0.75" header="0.3" footer="0.3"/>
  <x:tableParts count="1">
    <x:tablePart xmlns:r="http://schemas.openxmlformats.org/officeDocument/2006/relationships" r:id="R2253d5b21e794c6a"/>
  </x:tableParts>
</x:worksheet>
</file>

<file path=xl/worksheets/sheet15.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29" hidden="0" customWidth="1"/>
    <x:col min="2" max="2" width="38" hidden="0" customWidth="1"/>
    <x:col min="3" max="3" width="77" hidden="0" customWidth="1"/>
    <x:col min="4" max="4" width="75" hidden="0" customWidth="1"/>
    <x:col min="5" max="5" width="100" hidden="0" customWidth="1"/>
    <x:col min="6" max="6" width="75" hidden="0" customWidth="1"/>
    <x:col min="7" max="7" width="67" hidden="0" customWidth="1"/>
    <x:col min="8" max="8" width="115" hidden="0" customWidth="1"/>
  </x:cols>
  <x:sheetData>
    <x:row r="2">
      <x:c r="A2" s="2" t="str">
        <x:v>Regional material and fashion directions</x:v>
      </x:c>
    </x:row>
    <x:row r="3">
      <x:c r="A3" t="str">
        <x:v>All inspected lore records are draft/proposal. Source context and new game demand ideas are explicitly separated.</x:v>
      </x:c>
    </x:row>
    <x:row r="5" ht="36" customHeight="1">
      <x:c r="A5" s="62" t="str">
        <x:v>Region / people</x:v>
      </x:c>
      <x:c r="B5" s="62" t="str">
        <x:v>Scope</x:v>
      </x:c>
      <x:c r="C5" s="62" t="str">
        <x:v>Source-supported context</x:v>
      </x:c>
      <x:c r="D5" s="62" t="str">
        <x:v>Proposed material / fashion direction</x:v>
      </x:c>
      <x:c r="E5" s="62" t="str">
        <x:v>Candidate item IDs</x:v>
      </x:c>
      <x:c r="F5" s="62" t="str">
        <x:v>Possible demand driver</x:v>
      </x:c>
      <x:c r="G5" s="62" t="str">
        <x:v>Evidence boundary</x:v>
      </x:c>
      <x:c r="H5" s="62" t="str">
        <x:v>Source record</x:v>
      </x:c>
    </x:row>
    <x:row r="6" ht="105" customHeight="1">
      <x:c r="A6" s="4" t="str">
        <x:v>Frontier settlements</x:v>
      </x:c>
      <x:c r="B6" s="4" t="str">
        <x:v>Regional Imperial communities</x:v>
      </x:c>
      <x:c r="C6" s="4" t="str">
        <x:v>Source describes practical, repaired, adapted goods; outfitters and hazardous settlement work.</x:v>
      </x:c>
      <x:c r="D6" s="4" t="str">
        <x:v>Repairable iron stock, shell laminates, pressed patches, coarse finishes and dependable seal/lube batches.</x:v>
      </x:c>
      <x:c r="E6" s="4" t="str">
        <x:v>proposal.natural.iron_stock; proposal.bio.laminate; proposal.bio.pressed_husk</x:v>
      </x:c>
      <x:c r="F6" s="4" t="str">
        <x:v>Access, repairability and fit could matter more than elaborate finish.</x:v>
      </x:c>
      <x:c r="G6" s="4" t="str">
        <x:v>Source context; specific demand/fashion is new proposal</x:v>
      </x:c>
      <x:c r="H6" s="4" t="str">
        <x:v>https://github.com/sleepyseamonster/Arc-Dust/blob/f6f98515c005dc3c73cccd9cbc031691745740c6/02-Arc-Dust-Worldbuilding/world/economy/frontier-culture-economy.md</x:v>
      </x:c>
    </x:row>
    <x:row r="7" ht="105" customHeight="1">
      <x:c r="A7" s="4" t="str">
        <x:v>Seat / inner Empire</x:v>
      </x:c>
      <x:c r="B7" s="4" t="str">
        <x:v>Broad civic culture; many classes</x:v>
      </x:c>
      <x:c r="C7" s="4" t="str">
        <x:v>Source describes concentrated guild/prestige structures and canister craft. Frontier style can become fashionable in cities.</x:v>
      </x:c>
      <x:c r="D7" s="4" t="str">
        <x:v>Fine husk-paper work, selected inlays, clear viewing blanks, provenance-bearing finish; elaborate garments remain rare.</x:v>
      </x:c>
      <x:c r="E7" s="4" t="str">
        <x:v>proposal.bio.husk_paper; proposal.t1.gem_preform; proposal.t1.clear_glass_blank; proposal.t1.shell_inlay</x:v>
      </x:c>
      <x:c r="F7" s="4" t="str">
        <x:v>Commission quality, provenance and workmanship could raise value without increasing material tier.</x:v>
      </x:c>
      <x:c r="G7" s="4" t="str">
        <x:v>Source context; proposed material affinities, not universal Imperial taste</x:v>
      </x:c>
      <x:c r="H7" s="4" t="str">
        <x:v>https://github.com/sleepyseamonster/Arc-Dust/blob/f6f98515c005dc3c73cccd9cbc031691745740c6/02-Arc-Dust-Worldbuilding/world/peoples/imperials.md</x:v>
      </x:c>
    </x:row>
    <x:row r="8" ht="105" customHeight="1">
      <x:c r="A8" s="4" t="str">
        <x:v>Iron Mystics</x:v>
      </x:c>
      <x:c r="B8" s="4" t="str">
        <x:v>Recognized sovereign nation; no territorial homeland</x:v>
      </x:c>
      <x:c r="C8" s="4" t="str">
        <x:v>Source ties their practice to iron/field knowledge and biology; The Work does not require external apparatus.</x:v>
      </x:c>
      <x:c r="D8" s="4" t="str">
        <x:v>Precisely selected iron and magnetic mineral grades; restrained iron-focused ornaments are a possible game direction.</x:v>
      </x:c>
      <x:c r="E8" s="4" t="str">
        <x:v>proposal.natural.iron_feed; proposal.t1.iron_bloom; proposal.natural.magnetite</x:v>
      </x:c>
      <x:c r="F8" s="4" t="str">
        <x:v>Specialist selection and material knowledge; magnets are not automatically sacred equipment or power amplifiers.</x:v>
      </x:c>
      <x:c r="G8" s="4" t="str">
        <x:v>Source context; ornament and demand preference proposed</x:v>
      </x:c>
      <x:c r="H8" s="4" t="str">
        <x:v>https://github.com/sleepyseamonster/Arc-Dust/blob/f6f98515c005dc3c73cccd9cbc031691745740c6/02-Arc-Dust-Worldbuilding/world/peoples/iron-mystics.md</x:v>
      </x:c>
    </x:row>
    <x:row r="9" ht="105" customHeight="1">
      <x:c r="A9" s="4" t="str">
        <x:v>Resonance Callers</x:v>
      </x:c>
      <x:c r="B9" s="4" t="str">
        <x:v>Territorial sovereign nation within Empire</x:v>
      </x:c>
      <x:c r="C9" s="4" t="str">
        <x:v>Source explicitly describes tuned stone, stone-language, bracelets, rings, collars and ankle chimes.</x:v>
      </x:c>
      <x:c r="D9" s="4" t="str">
        <x:v>Stone preforms, carefully worked inlay and tuned wearable-instrument components.</x:v>
      </x:c>
      <x:c r="E9" s="4" t="str">
        <x:v>proposal.t1.resonant_blank; proposal.t1.gem_chips; proposal.t1.dressed_stone</x:v>
      </x:c>
      <x:c r="F9" s="4" t="str">
        <x:v>Tuning, contact and lineage of craft may matter more than expensive gems.</x:v>
      </x:c>
      <x:c r="G9" s="4" t="str">
        <x:v>Source supports stone wear; exact trade products/demand proposed</x:v>
      </x:c>
      <x:c r="H9" s="4" t="str">
        <x:v>https://github.com/sleepyseamonster/Arc-Dust/blob/f6f98515c005dc3c73cccd9cbc031691745740c6/02-Arc-Dust-Worldbuilding/world/peoples/resonance-callers.md</x:v>
      </x:c>
    </x:row>
    <x:row r="10" ht="105" customHeight="1">
      <x:c r="A10" s="4" t="str">
        <x:v>Dustward</x:v>
      </x:c>
      <x:c r="B10" s="4" t="str">
        <x:v>People; nationhood not established here</x:v>
      </x:c>
      <x:c r="C10" s="4" t="str">
        <x:v>Source emphasizes particulate discipline and knowledge of residue/exposure; its cloth references conflict with game rule.</x:v>
      </x:c>
      <x:c r="D10" s="4" t="str">
        <x:v>Close-fitting shell surfaces, controlled finish, bristle and scarce pressed-husk inputs.</x:v>
      </x:c>
      <x:c r="E10" s="4" t="str">
        <x:v>proposal.t1.shell_lamina; proposal.t1.bristle_bundle; proposal.bio.pressed_husk</x:v>
      </x:c>
      <x:c r="F10" s="4" t="str">
        <x:v>Cleanable and repairable surface ideas under the no-cloth rule.</x:v>
      </x:c>
      <x:c r="G10" s="4" t="str">
        <x:v>Adaptation context sourced; fashion/material demand proposed</x:v>
      </x:c>
      <x:c r="H10" s="4" t="str">
        <x:v>https://github.com/sleepyseamonster/Arc-Dust/blob/f6f98515c005dc3c73cccd9cbc031691745740c6/02-Arc-Dust-Worldbuilding/world/peoples/dustward.md</x:v>
      </x:c>
    </x:row>
    <x:row r="11" ht="105" customHeight="1">
      <x:c r="A11" s="4" t="str">
        <x:v>Ridgeborne</x:v>
      </x:c>
      <x:c r="B11" s="4" t="str">
        <x:v>People; nationhood not established here</x:v>
      </x:c>
      <x:c r="C11" s="4" t="str">
        <x:v>Source describes thin-air living and management of exposure/effort.</x:v>
      </x:c>
      <x:c r="D11" s="4" t="str">
        <x:v>Selected light portable casing stock and minimal, fitted garment components.</x:v>
      </x:c>
      <x:c r="E11" s="4" t="str">
        <x:v>proposal.t1.shell_lamina; proposal.bio.wing_panel; proposal.bio.hide_material</x:v>
      </x:c>
      <x:c r="F11" s="4" t="str">
        <x:v>Weight and preparation burden could shape choices; no weight bonuses or universal costume.</x:v>
      </x:c>
      <x:c r="G11" s="4" t="str">
        <x:v>Source environment; preference proposed</x:v>
      </x:c>
      <x:c r="H11" s="4" t="str">
        <x:v>https://github.com/sleepyseamonster/Arc-Dust/blob/f6f98515c005dc3c73cccd9cbc031691745740c6/02-Arc-Dust-Worldbuilding/world/peoples/ridgeborne.md</x:v>
      </x:c>
    </x:row>
    <x:row r="12" ht="105" customHeight="1">
      <x:c r="A12" s="4" t="str">
        <x:v>Wallborn</x:v>
      </x:c>
      <x:c r="B12" s="4" t="str">
        <x:v>People; nationhood not established here</x:v>
      </x:c>
      <x:c r="C12" s="4" t="str">
        <x:v>Source describes vertical habitation, grip, balance and routine fall-risk management.</x:v>
      </x:c>
      <x:c r="D12" s="4" t="str">
        <x:v>Compact attachment stock, selected cord and fitted low-bulk covers.</x:v>
      </x:c>
      <x:c r="E12" s="4" t="str">
        <x:v>proposal.bio.cord; proposal.natural.iron_stock; proposal.t1.shell_lamina</x:v>
      </x:c>
      <x:c r="F12" s="4" t="str">
        <x:v>Secure fit and manageable bulk could be valued in cliff-built settlements.</x:v>
      </x:c>
      <x:c r="G12" s="4" t="str">
        <x:v>Source environment; preference proposed</x:v>
      </x:c>
      <x:c r="H12" s="4" t="str">
        <x:v>https://github.com/sleepyseamonster/Arc-Dust/blob/f6f98515c005dc3c73cccd9cbc031691745740c6/02-Arc-Dust-Worldbuilding/world/peoples/wallborn.md</x:v>
      </x:c>
    </x:row>
    <x:row r="13" ht="105" customHeight="1">
      <x:c r="A13" s="4" t="str">
        <x:v>Stonebound</x:v>
      </x:c>
      <x:c r="B13" s="4" t="str">
        <x:v>People; nationhood not established here</x:v>
      </x:c>
      <x:c r="C13" s="4" t="str">
        <x:v>Source describes extraction communities and respect for sorters, refiners, material grain and maintenance.</x:v>
      </x:c>
      <x:c r="D13" s="4" t="str">
        <x:v>Well-finished contact surfaces, controlled mineral grades, readable workmanship and selected colorants.</x:v>
      </x:c>
      <x:c r="E13" s="4" t="str">
        <x:v>proposal.t1.dressed_stone; proposal.t1.pigment_powder; proposal.t1.process_salts</x:v>
      </x:c>
      <x:c r="F13" s="4" t="str">
        <x:v>Purity/finish and reduced unwanted residue could be valued; not a stereotype of wearing heavy raw stone.</x:v>
      </x:c>
      <x:c r="G13" s="4" t="str">
        <x:v>Source context; fashion/material demand proposed</x:v>
      </x:c>
      <x:c r="H13" s="4" t="str">
        <x:v>https://github.com/sleepyseamonster/Arc-Dust/blob/f6f98515c005dc3c73cccd9cbc031691745740c6/02-Arc-Dust-Worldbuilding/world/peoples/stonebound.md</x:v>
      </x:c>
    </x:row>
    <x:row r="14" ht="105" customHeight="1">
      <x:c r="A14" s="4" t="str">
        <x:v>Sootvein</x:v>
      </x:c>
      <x:c r="B14" s="4" t="str">
        <x:v>People; nationhood not established here</x:v>
      </x:c>
      <x:c r="C14" s="4" t="str">
        <x:v>Source describes chemical-processing communities and attention to traces/contamination.</x:v>
      </x:c>
      <x:c r="D14" s="4" t="str">
        <x:v>Identified reagent fractions, segregated glass feed and maintainable surfaces.</x:v>
      </x:c>
      <x:c r="E14" s="4" t="str">
        <x:v>proposal.t1.process_salts; proposal.t1.glass_feed; proposal.t1.faunal_carrier</x:v>
      </x:c>
      <x:c r="F14" s="4" t="str">
        <x:v>Batch identity and reliable preparation could drive specialist demand.</x:v>
      </x:c>
      <x:c r="G14" s="4" t="str">
        <x:v>Source context; demand proposed</x:v>
      </x:c>
      <x:c r="H14" s="4" t="str">
        <x:v>https://github.com/sleepyseamonster/Arc-Dust/blob/f6f98515c005dc3c73cccd9cbc031691745740c6/02-Arc-Dust-Worldbuilding/world/peoples/sootvein.md</x:v>
      </x:c>
    </x:row>
    <x:row r="15" ht="105" customHeight="1">
      <x:c r="A15" s="4" t="str">
        <x:v>Current-Bearers</x:v>
      </x:c>
      <x:c r="B15" s="4" t="str">
        <x:v>Living people; sovereign status not established here</x:v>
      </x:c>
      <x:c r="C15" s="4" t="str">
        <x:v>Source describes charge-handling labor, grounding and conductive architecture.</x:v>
      </x:c>
      <x:c r="D15" s="4" t="str">
        <x:v>Qualified copper/iron stock beside separately qualified ceramic/mineral insulating stock.</x:v>
      </x:c>
      <x:c r="E15" s="4" t="str">
        <x:v>proposal.t1.copper_cake; proposal.t1.iron_bloom; proposal.natural.ceramic</x:v>
      </x:c>
      <x:c r="F15" s="4" t="str">
        <x:v>Workmanship and interface compatibility; no automatic immunity or requirement to wear conductive metal.</x:v>
      </x:c>
      <x:c r="G15" s="4" t="str">
        <x:v>Source context; fashion/material demand proposed</x:v>
      </x:c>
      <x:c r="H15" s="4" t="str">
        <x:v>https://github.com/sleepyseamonster/Arc-Dust/blob/f6f98515c005dc3c73cccd9cbc031691745740c6/02-Arc-Dust-Worldbuilding/world/peoples/current-bearers.md</x:v>
      </x:c>
    </x:row>
    <x:row r="16" ht="105" customHeight="1">
      <x:c r="A16" s="4" t="str">
        <x:v>Clean-silicate craft regions</x:v>
      </x:c>
      <x:c r="B16" s="4" t="str">
        <x:v>Geographic workshop regions, not named nations</x:v>
      </x:c>
      <x:c r="C16" s="4" t="str">
        <x:v>Glass source describes clear-glass traditions near clean feed, with high specialist costs.</x:v>
      </x:c>
      <x:c r="D16" s="4" t="str">
        <x:v>Selected clear-glass blanks and precision viewing/export work.</x:v>
      </x:c>
      <x:c r="E16" s="4" t="str">
        <x:v>proposal.t1.clear_glass_blank; proposal.t1.glass_feed</x:v>
      </x:c>
      <x:c r="F16" s="4" t="str">
        <x:v>Regional geology and skilled production can command a premium.</x:v>
      </x:c>
      <x:c r="G16" s="4" t="str">
        <x:v>Regional source context; precise product/tier proposed</x:v>
      </x:c>
      <x:c r="H16" s="4" t="str">
        <x:v>https://github.com/sleepyseamonster/Arc-Dust/blob/f6f98515c005dc3c73cccd9cbc031691745740c6/02-Arc-Dust-Worldbuilding/world/materials/glass.md</x:v>
      </x:c>
    </x:row>
    <x:row r="17" ht="105" customHeight="1">
      <x:c r="A17" s="4" t="str">
        <x:v>Colored-glass craft regions</x:v>
      </x:c>
      <x:c r="B17" s="4" t="str">
        <x:v>Geographic workshop regions, not named nations</x:v>
      </x:c>
      <x:c r="C17" s="4" t="str">
        <x:v>Glass source describes regional opaque green/amber traditions and recognizable origin colors.</x:v>
      </x:c>
      <x:c r="D17" s="4" t="str">
        <x:v>Colored opaque glass stock and shell/stone inlay accents.</x:v>
      </x:c>
      <x:c r="E17" s="4" t="str">
        <x:v>proposal.t1.opaque_glass; proposal.t1.shell_inlay; proposal.t1.gem_chips</x:v>
      </x:c>
      <x:c r="F17" s="4" t="str">
        <x:v>Color/provenance could distinguish an origin without a new nation or currency scheme.</x:v>
      </x:c>
      <x:c r="G17" s="4" t="str">
        <x:v>Regional source context; exact palettes and game demand proposed</x:v>
      </x:c>
      <x:c r="H17" s="4" t="str">
        <x:v>https://github.com/sleepyseamonster/Arc-Dust/blob/f6f98515c005dc3c73cccd9cbc031691745740c6/02-Arc-Dust-Worldbuilding/world/materials/glass.md</x:v>
      </x:c>
    </x:row>
    <x:row r="18" ht="105" customHeight="1">
      <x:c r="A18" s="4" t="str">
        <x:v>Gemstone-focused nation idea</x:v>
      </x:c>
      <x:c r="B18" s="4" t="str">
        <x:v>Unassigned design slot; no invented nation name</x:v>
      </x:c>
      <x:c r="C18" s="4" t="str">
        <x:v>Lost Nations record leaves specific nations and their material cultures undeveloped.</x:v>
      </x:c>
      <x:c r="D18" s="4" t="str">
        <x:v>Possible future culture favoring gemstone settings, stone inlay and polished preforms.</x:v>
      </x:c>
      <x:c r="E18" s="4" t="str">
        <x:v>proposal.t1.gem_preform; proposal.t1.gem_chips</x:v>
      </x:c>
      <x:c r="F18" s="4" t="str">
        <x:v>User-suggested avenue for later worldbuilding; no confirmed national gemstone preference.</x:v>
      </x:c>
      <x:c r="G18" s="4" t="str">
        <x:v>New brainstorming only; no sourced nation preference</x:v>
      </x:c>
      <x:c r="H18" s="4" t="str">
        <x:v>https://github.com/sleepyseamonster/Arc-Dust/blob/f6f98515c005dc3c73cccd9cbc031691745740c6/02-Arc-Dust-Worldbuilding/world/regions/lost-nations.md</x:v>
      </x:c>
    </x:row>
  </x:sheetData>
  <x:pageMargins left="0.7" right="0.7" top="0.75" bottom="0.75" header="0.3" footer="0.3"/>
  <x:tableParts count="1">
    <x:tablePart xmlns:r="http://schemas.openxmlformats.org/officeDocument/2006/relationships" r:id="R742d32b8ee724bb1"/>
  </x:tableParts>
</x:worksheet>
</file>