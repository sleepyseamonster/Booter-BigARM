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ec68f7579d4a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c9dd72c09de341c0"/>
    <x:sheet xmlns:r="http://schemas.openxmlformats.org/officeDocument/2006/relationships" name="Variants" sheetId="2" r:id="R08d3808e22594dfa"/>
    <x:sheet xmlns:r="http://schemas.openxmlformats.org/officeDocument/2006/relationships" name="Recipes" sheetId="3" r:id="R5fb7f71d37554fed"/>
    <x:sheet xmlns:r="http://schemas.openxmlformats.org/officeDocument/2006/relationships" name="Categories" sheetId="4" r:id="Ra7bf41a8f1e64e12"/>
    <x:sheet xmlns:r="http://schemas.openxmlformats.org/officeDocument/2006/relationships" name="Guide" sheetId="5" r:id="R31bd2a341b8f47b2"/>
    <x:sheet xmlns:r="http://schemas.openxmlformats.org/officeDocument/2006/relationships" name="Resource chains" sheetId="6" r:id="R02b1924a016d46c6"/>
    <x:sheet xmlns:r="http://schemas.openxmlformats.org/officeDocument/2006/relationships" name="Creature concepts" sheetId="7" r:id="Rf405ec89503548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8A5B22"/>
      </x:font>
    </x:dxf>
    <x:dxf>
      <x:font>
        <x:color rgb="FF87521B"/>
      </x:font>
      <x:fill>
        <x:patternFill patternType="solid"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010d44fc9f4650" /><Relationship Type="http://schemas.openxmlformats.org/officeDocument/2006/relationships/theme" Target="/xl/theme/theme1.xml" Id="Rd97119ef98ad4058" /><Relationship Type="http://schemas.microsoft.com/office/2022/11/relationships/FeaturePropertyBag" Target="/xl/featurePropertyBag/featurePropertyBag.xml" Id="R0d8bc821fdd7417b" /><Relationship Type="http://schemas.openxmlformats.org/officeDocument/2006/relationships/sharedStrings" Target="/xl/sharedStrings.xml" Id="R31f9b2fca8a84c95" /><Relationship Type="http://schemas.openxmlformats.org/officeDocument/2006/relationships/worksheet" Target="/xl/worksheets/sheet1.xml" Id="Rc9dd72c09de341c0" /><Relationship Type="http://schemas.openxmlformats.org/officeDocument/2006/relationships/worksheet" Target="/xl/worksheets/sheet2.xml" Id="R08d3808e22594dfa" /><Relationship Type="http://schemas.openxmlformats.org/officeDocument/2006/relationships/worksheet" Target="/xl/worksheets/sheet3.xml" Id="R5fb7f71d37554fed" /><Relationship Type="http://schemas.openxmlformats.org/officeDocument/2006/relationships/worksheet" Target="/xl/worksheets/sheet4.xml" Id="Ra7bf41a8f1e64e12" /><Relationship Type="http://schemas.openxmlformats.org/officeDocument/2006/relationships/worksheet" Target="/xl/worksheets/sheet5.xml" Id="R31bd2a341b8f47b2" /><Relationship Type="http://schemas.openxmlformats.org/officeDocument/2006/relationships/worksheet" Target="/xl/worksheets/sheet6.xml" Id="R02b1924a016d46c6" /><Relationship Type="http://schemas.openxmlformats.org/officeDocument/2006/relationships/worksheet" Target="/xl/worksheets/sheet7.xml" Id="Rf405ec895035487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55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30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21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d7a8aaab0447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d923ef0b70741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d45700b8fd42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01906c34cb541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fe53715704a4c8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506d206b9564fa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4deea109feb4ad6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 t="str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Production economy and final balance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Shed shell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Layered armor, shields and tool guards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Molts and carcasses of plate-backed fauna</x:v>
      </x:c>
      <x:c r="L40" s="9" t="str">
        <x:v>See Resource chains</x:v>
      </x:c>
      <x:c r="M40" s="9" t="str">
        <x:v>Not implemented</x:v>
      </x:c>
      <x:c r="N40" s="9" t="str">
        <x:v>No yield numbers; fluids outside living organisms remain a canon question. Molt collection where feasible.</x:v>
      </x:c>
      <x:c r="O40" s="22"/>
      <x:c r="P40" s="22"/>
      <x:c r="Q40" s="22"/>
      <x:c r="R40" s="22"/>
      <x:c r="S40" s="22"/>
      <x:c r="T40" s="9" t="str">
        <x:v>Ecology, tissue preservation, safe fiction, processing and final naming</x:v>
      </x:c>
      <x:c r="U40" s="23"/>
      <x:c r="V40" s="9" t="str">
        <x:v>User design direction, October 14, 2026; local brainstorming. New proposal unless explicitly marked User direction.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numbers; fluids outside living organisms remain a canon question. Molt collection where feasible.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numbers; fluids outside living organisms remain a canon question. Molt collection where feasible.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Clothing liners and dust buffers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See Resource chains</x:v>
      </x:c>
      <x:c r="M43" s="9" t="str">
        <x:v>Not implemented</x:v>
      </x:c>
      <x:c r="N43" s="9" t="str">
        <x:v>No yield numbers; fluids outside living organisms remain a canon question. Molt collection where feasible.</x:v>
      </x:c>
      <x:c r="O43" s="22"/>
      <x:c r="P43" s="22"/>
      <x:c r="Q43" s="22"/>
      <x:c r="R43" s="22"/>
      <x:c r="S43" s="22"/>
      <x:c r="T43" s="9" t="str">
        <x:v>Ecology, tissue preservation, safe fiction, processing and final naming</x:v>
      </x:c>
      <x:c r="U43" s="23"/>
      <x:c r="V43" s="9" t="str">
        <x:v>User design direction, October 14, 2026; local brainstorming. New proposal unless explicitly marked User direction.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numbers; fluids outside living organisms remain a canon question. Molt collection where feasible.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No yield numbers; fluids outside living organisms remain a canon question. Molt collection where feasible.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Fresh fat-bearing tissue</x:v>
      </x:c>
      <x:c r="C46" s="9" t="str">
        <x:v>Resources</x:v>
      </x:c>
      <x:c r="D46" s="9" t="str">
        <x:v>Perishable tissue</x:v>
      </x:c>
      <x:c r="E46" s="9" t="str">
        <x:v>New proposal</x:v>
      </x:c>
      <x:c r="F46" s="9" t="str">
        <x:v>Dry solid lubricant and binder research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Recent carcass; preservation rules required</x:v>
      </x:c>
      <x:c r="L46" s="9" t="str">
        <x:v>See Resource chains</x:v>
      </x:c>
      <x:c r="M46" s="9" t="str">
        <x:v>Not implemented</x:v>
      </x:c>
      <x:c r="N46" s="9" t="str">
        <x:v>No yield numbers; fluids outside living organisms remain a canon question. Molt collection where feasible.</x:v>
      </x:c>
      <x:c r="O46" s="22"/>
      <x:c r="P46" s="22"/>
      <x:c r="Q46" s="22"/>
      <x:c r="R46" s="22"/>
      <x:c r="S46" s="22"/>
      <x:c r="T46" s="9" t="str">
        <x:v>Ecology, tissue preservation, safe fiction, processing and final naming</x:v>
      </x:c>
      <x:c r="U46" s="23"/>
      <x:c r="V46" s="9" t="str">
        <x:v>User design direction, October 14, 2026; local brainstorming. New proposal unless explicitly marked User direction.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numbers; fluids outside living organisms remain a canon question. Molt collection where feasible.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Felted underfur liner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Replaceable jacket/cloak liners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Dry clean, card and compress</x:v>
      </x:c>
      <x:c r="M51" s="9" t="str">
        <x:v>Not implemented</x:v>
      </x:c>
      <x:c r="N51" s="9" t="str">
        <x:v>Speculative material capability; no effects or real processing instructions established.</x:v>
      </x:c>
      <x:c r="O51" s="22"/>
      <x:c r="P51" s="22"/>
      <x:c r="Q51" s="22"/>
      <x:c r="R51" s="22"/>
      <x:c r="S51" s="22"/>
      <x:c r="T51" s="9" t="str">
        <x:v>Material properties, additives, station, balance and world-rule compatibility</x:v>
      </x:c>
      <x:c r="U51" s="23"/>
      <x:c r="V51" s="9" t="str">
        <x:v>User design direction, October 14, 2026; local brainstorming. New proposal unless explicitly marked User direction.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New proposal</x:v>
      </x:c>
      <x:c r="F54" s="9" t="str">
        <x:v>Sealing compounds and dry lubricant research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Process fat</x:v>
      </x:c>
      <x:c r="L54" s="9" t="str">
        <x:v>Process tissue into a retained solid; no free-liquid commodity</x:v>
      </x:c>
      <x:c r="M54" s="9" t="str">
        <x:v>Not implemented</x:v>
      </x:c>
      <x:c r="N54" s="9" t="str">
        <x:v>Speculative material capability; no effects or real processing instructions established.</x:v>
      </x:c>
      <x:c r="O54" s="22"/>
      <x:c r="P54" s="22"/>
      <x:c r="Q54" s="22"/>
      <x:c r="R54" s="22"/>
      <x:c r="S54" s="22"/>
      <x:c r="T54" s="9" t="str">
        <x:v>Material properties, additives, station, balance and world-rule compatibility</x:v>
      </x:c>
      <x:c r="U54" s="23"/>
      <x:c r="V54" s="9" t="str">
        <x:v>User design direction, October 14, 2026; local brainstorming. New proposal unless explicitly marked User direction.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d7a8aaab04472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3d923ef0b70741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40d45700b8fd42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28</x:v>
      </x:c>
      <x:c r="C8" s="9" t="str">
        <x:v>Existing mineral resources plus proposed natural and biological inputs</x:v>
      </x:c>
      <x:c r="D8" s="9" t="str">
        <x:v>Proposals have no authored deposits, yields or runtime definitions</x:v>
      </x:c>
    </x:row>
    <x:row r="9" ht="48" customHeight="1">
      <x:c r="A9" s="4" t="str">
        <x:v>Crafting components</x:v>
      </x:c>
      <x:c r="B9" s="4" t="n">
        <x:f>COUNTIF(Items!$C$6:$C$1005,A9)</x:f>
        <x:v>11</x:v>
      </x:c>
      <x:c r="C9" s="4" t="str">
        <x:v>Three trial salvage parts plus proposed biological products</x:v>
      </x:c>
      <x:c r="D9" s="4" t="str">
        <x:v>Recipes and properties remain proposals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801906c34cb54139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50 design entries: 18 existing item IDs plus 2 user-directed gear concepts and 30 new resource/material proposals.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Fauna products do not establish alternate food/hydration or free-liquid supplies.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The separate Arc &amp; Dust source repository is unavailable on this machine; no external roster is claimed.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is limited to carried magnets, grounding equipment and the insectoid/crustacean/mammal hybrid fauna direction. Specific forms, species and materials are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fe53715704a4c8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No liquid commodity, numeric yield or finished recipe approved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No liquid commodity, numeric yield or finished recipe approved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No liquid commodity, numeric yield or finished recipe approved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Dry clean, card and compress</x:v>
      </x:c>
      <x:c r="D15" s="4" t="str">
        <x:v>Replaceable jacket/cloak liners</x:v>
      </x:c>
      <x:c r="E15" s="4" t="str">
        <x:v>Stationary preservation/workbench proposed</x:v>
      </x:c>
      <x:c r="F15" s="4" t="str">
        <x:v>No liquid commodity, numeric yield or finished recipe approved</x:v>
      </x:c>
      <x:c r="G15" s="4" t="str">
        <x:v>New proposal</x:v>
      </x:c>
      <x:c r="H15" s="4" t="str">
        <x:v>User design direction, October 14, 2026; local brainstorming. New proposal unless explicitly marked User direction.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No liquid commodity, numeric yield or finished recipe approved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No liquid commodity, numeric yield or finished recipe approved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Process tissue into a retained solid; no free-liquid commodity</x:v>
      </x:c>
      <x:c r="D18" s="4" t="str">
        <x:v>Sealing compounds and dry lubricant research</x:v>
      </x:c>
      <x:c r="E18" s="4" t="str">
        <x:v>Stationary preservation/workbench proposed</x:v>
      </x:c>
      <x:c r="F18" s="4" t="str">
        <x:v>No liquid commodity, numeric yield or finished recipe approved</x:v>
      </x:c>
      <x:c r="G18" s="4" t="str">
        <x:v>New proposal</x:v>
      </x:c>
      <x:c r="H18" s="4" t="str">
        <x:v>User design direction, October 14, 2026; local brainstorming. New proposal unless explicitly marked User direction.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No liquid commodity, numeric yield or finished recipe approved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506d206b9564fa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8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</x:v>
      </x:c>
      <x:c r="G6" s="4" t="str">
        <x:v>Molts and bedding can supply modest materials without a kill</x:v>
      </x:c>
      <x:c r="H6" s="4" t="str">
        <x:v>Primary productivity and crust biology unresolved; no plant grazing</x:v>
      </x:c>
      <x:c r="I6" s="4" t="str">
        <x:v>New proposal</x:v>
      </x:c>
    </x:row>
    <x:row r="7" ht="8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</x:v>
      </x:c>
      <x:c r="I7" s="4" t="str">
        <x:v>New proposal</x:v>
      </x:c>
    </x:row>
    <x:row r="8" ht="8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</x:v>
      </x:c>
      <x:c r="G8" s="4" t="str">
        <x:v>Abandoned molts available after migrations; rare tissue requires a carcass</x:v>
      </x:c>
      <x:c r="H8" s="4" t="str">
        <x:v>Charge sensing/storage biology and electrical behavior are speculative</x:v>
      </x:c>
      <x:c r="I8" s="4" t="str">
        <x:v>New proposal</x:v>
      </x:c>
    </x:row>
    <x:row r="9" ht="85" customHeight="1">
      <x:c r="A9" s="4" t="str">
        <x:v>fauna.carrion_crusher</x:v>
      </x:c>
      <x:c r="B9" s="4" t="str">
        <x:v>Carrion crusher</x:v>
      </x:c>
      <x:c r="C9" s="4" t="str">
        <x:v>Heavy crab-like claws, mandibular mouth, muscular mammal-like trunk and gait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proposal.bio.fat</x:v>
      </x:c>
      <x:c r="G9" s="4" t="str">
        <x:v>Track feeding sites for discarded dry fragments</x:v>
      </x:c>
      <x:c r="H9" s="4" t="str">
        <x:v>Population depends on a viable food web; no established species or combat kit</x:v>
      </x:c>
      <x:c r="I9" s="4" t="str">
        <x:v>New proposal</x:v>
      </x:c>
    </x:row>
    <x:row r="10" ht="8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04deea109feb4ad6"/>
  </x:tableParts>
</x:worksheet>
</file>