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96b90b1fda43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7c7839909cc94067"/>
    <x:sheet xmlns:r="http://schemas.openxmlformats.org/officeDocument/2006/relationships" name="Variants" sheetId="2" r:id="R75ab1c9bb144465f"/>
    <x:sheet xmlns:r="http://schemas.openxmlformats.org/officeDocument/2006/relationships" name="Recipes" sheetId="3" r:id="R4a034556bca247d1"/>
    <x:sheet xmlns:r="http://schemas.openxmlformats.org/officeDocument/2006/relationships" name="Categories" sheetId="4" r:id="R3570054a1ff645e3"/>
    <x:sheet xmlns:r="http://schemas.openxmlformats.org/officeDocument/2006/relationships" name="Guide" sheetId="5" r:id="R3e127f52146b4c44"/>
    <x:sheet xmlns:r="http://schemas.openxmlformats.org/officeDocument/2006/relationships" name="Resource chains" sheetId="6" r:id="R5b65cf6fa26e419d"/>
    <x:sheet xmlns:r="http://schemas.openxmlformats.org/officeDocument/2006/relationships" name="Creature concepts" sheetId="7" r:id="R070361ad3a944f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b31598306048f6" /><Relationship Type="http://schemas.openxmlformats.org/officeDocument/2006/relationships/theme" Target="/xl/theme/theme1.xml" Id="Racbe5d9e0c33496c" /><Relationship Type="http://schemas.microsoft.com/office/2022/11/relationships/FeaturePropertyBag" Target="/xl/featurePropertyBag/featurePropertyBag.xml" Id="R5c280909035c47b4" /><Relationship Type="http://schemas.openxmlformats.org/officeDocument/2006/relationships/sharedStrings" Target="/xl/sharedStrings.xml" Id="R5b9ada0e8d204ac5" /><Relationship Type="http://schemas.openxmlformats.org/officeDocument/2006/relationships/worksheet" Target="/xl/worksheets/sheet1.xml" Id="R7c7839909cc94067" /><Relationship Type="http://schemas.openxmlformats.org/officeDocument/2006/relationships/worksheet" Target="/xl/worksheets/sheet2.xml" Id="R75ab1c9bb144465f" /><Relationship Type="http://schemas.openxmlformats.org/officeDocument/2006/relationships/worksheet" Target="/xl/worksheets/sheet3.xml" Id="R4a034556bca247d1" /><Relationship Type="http://schemas.openxmlformats.org/officeDocument/2006/relationships/worksheet" Target="/xl/worksheets/sheet4.xml" Id="R3570054a1ff645e3" /><Relationship Type="http://schemas.openxmlformats.org/officeDocument/2006/relationships/worksheet" Target="/xl/worksheets/sheet5.xml" Id="R3e127f52146b4c44" /><Relationship Type="http://schemas.openxmlformats.org/officeDocument/2006/relationships/worksheet" Target="/xl/worksheets/sheet6.xml" Id="R5b65cf6fa26e419d" /><Relationship Type="http://schemas.openxmlformats.org/officeDocument/2006/relationships/worksheet" Target="/xl/worksheets/sheet7.xml" Id="R070361ad3a944f6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80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15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40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ff7cfb275b04c7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a67be037dd844c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b68dcc8827949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2b5acf433784cf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102a32fce19437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fceae31ddf34b4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caca3ea7c1554ba7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 t="str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Source of abundant scraped chitin and icore fibers; possible structural plate uses.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Species-specific shell properties and structural uses remain proposals</x:v>
      </x:c>
      <x:c r="U40" s="23"/>
      <x:c r="V40" s="9" t="str">
        <x:v>Docs/WORLD_BASIS.md#material-culture; author direction October 14, 2026. Process details and specific product forms remain unimplemented.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numbers; fluids outside living organisms remain a canon question. Molt collection where feasible.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numbers; fluids outside living organisms remain a canon question. Molt collection where feasible.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numbers; fluids outside living organisms remain a canon question. Molt collection where feasible.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Fresh fat-bearing tissue</x:v>
      </x:c>
      <x:c r="C46" s="9" t="str">
        <x:v>Resources</x:v>
      </x:c>
      <x:c r="D46" s="9" t="str">
        <x:v>Perishable tissue</x:v>
      </x:c>
      <x:c r="E46" s="9" t="str">
        <x:v>New proposal</x:v>
      </x:c>
      <x:c r="F46" s="9" t="str">
        <x:v>Dry solid lubricant and binder research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Recent carcass; preservation rules required</x:v>
      </x:c>
      <x:c r="L46" s="9" t="str">
        <x:v>See Resource chains</x:v>
      </x:c>
      <x:c r="M46" s="9" t="str">
        <x:v>Not implemented</x:v>
      </x:c>
      <x:c r="N46" s="9" t="str">
        <x:v>No yield numbers; fluids outside living organisms remain a canon question. Molt collection where feasible.</x:v>
      </x:c>
      <x:c r="O46" s="22"/>
      <x:c r="P46" s="22"/>
      <x:c r="Q46" s="22"/>
      <x:c r="R46" s="22"/>
      <x:c r="S46" s="22"/>
      <x:c r="T46" s="9" t="str">
        <x:v>Ecology, tissue preservation, safe fiction, processing and final naming</x:v>
      </x:c>
      <x:c r="U46" s="23"/>
      <x:c r="V46" s="9" t="str">
        <x:v>User design direction, October 14, 2026; local brainstorming. New proposal unless explicitly marked User direction.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numbers; fluids outside living organisms remain a canon question. Molt collection where feasible.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New proposal</x:v>
      </x:c>
      <x:c r="F54" s="9" t="str">
        <x:v>Sealing compounds and dry lubricant research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Process fat</x:v>
      </x:c>
      <x:c r="L54" s="9" t="str">
        <x:v>Process tissue into a retained solid; no free-liquid commodity</x:v>
      </x:c>
      <x:c r="M54" s="9" t="str">
        <x:v>Not implemented</x:v>
      </x:c>
      <x:c r="N54" s="9" t="str">
        <x:v>Speculative material capability; no effects or real processing instructions established.</x:v>
      </x:c>
      <x:c r="O54" s="22"/>
      <x:c r="P54" s="22"/>
      <x:c r="Q54" s="22"/>
      <x:c r="R54" s="22"/>
      <x:c r="S54" s="22"/>
      <x:c r="T54" s="9" t="str">
        <x:v>Material properties, additives, station, balance and world-rule compatibility</x:v>
      </x:c>
      <x:c r="U54" s="23"/>
      <x:c r="V54" s="9" t="str">
        <x:v>User design direction, October 14, 2026; local brainstorming. New proposal unless explicitly marked User direction.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</x:v>
      </x:c>
      <x:c r="U80" s="29"/>
      <x:c r="V80" s="9" t="str">
        <x:v>Docs/WORLD_BASIS.md#material-culture; author direction October 14, 2026. Process details and specific product forms remain unimplemented.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dataValidations count="1">
    <x:dataValidation type="list" sqref="C6:C23">
      <x:formula1>"Equipment,Field supplies,Resources,Crafting components,Weapons,Ammunition,Quest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f7cfb275b04c7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0a67be037dd844c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fb68dcc88279498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8</x:v>
      </x:c>
      <x:c r="C6" s="9" t="str">
        <x:v>Six existing fitted types plus two user-directed carried gear concepts</x:v>
      </x:c>
      <x:c r="D6" s="9" t="str">
        <x:v>Magnets/grounding kit have no assigned equipment slot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50</x:v>
      </x:c>
      <x:c r="C8" s="9" t="str">
        <x:v>Existing resources plus natural minerals, unworked metals, charcoal and biological proposals</x:v>
      </x:c>
      <x:c r="D8" s="9" t="str">
        <x:v>Regional evidence supports candidate selection; availability and processing stay open</x:v>
      </x:c>
    </x:row>
    <x:row r="9" ht="48" customHeight="1">
      <x:c r="A9" s="4" t="str">
        <x:v>Crafting components</x:v>
      </x:c>
      <x:c r="B9" s="4" t="n">
        <x:f>COUNTIF(Items!$C$6:$C$1005,A9)</x:f>
        <x:v>14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No current item definitions</x:v>
      </x:c>
      <x:c r="C12" s="9" t="str">
        <x:v>World basis permits crafted weapons</x:v>
      </x:c>
      <x:c r="D12" s="9" t="str">
        <x:v>No named weapon or ammunition roster established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32b5acf433784cfd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75 design entries: 18 existing item IDs and 57 design concepts. Six husk/paper/hide entries record the author's material direction; no runtime items added.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Fauna products do not establish alternate food/hydration or free-liquid supplies.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The separate Arc &amp; Dust source repository is unavailable on this machine; no external roster is claimed.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</x:sheetData>
  <x:pageMargins left="0.7" right="0.7" top="0.75" bottom="0.75" header="0.3" footer="0.3"/>
  <x:tableParts count="1">
    <x:tablePart xmlns:r="http://schemas.openxmlformats.org/officeDocument/2006/relationships" r:id="R3102a32fce19437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No liquid commodity, numeric yield or finished recipe approved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No liquid commodity, numeric yield or finished recipe approved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No liquid commodity, numeric yield or finished recipe approved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No liquid commodity, numeric yield or finished recipe approved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No liquid commodity, numeric yield or finished recipe approved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Process tissue into a retained solid; no free-liquid commodity</x:v>
      </x:c>
      <x:c r="D18" s="4" t="str">
        <x:v>Sealing compounds and dry lubricant research</x:v>
      </x:c>
      <x:c r="E18" s="4" t="str">
        <x:v>Stationary preservation/workbench proposed</x:v>
      </x:c>
      <x:c r="F18" s="4" t="str">
        <x:v>No liquid commodity, numeric yield or finished recipe approved</x:v>
      </x:c>
      <x:c r="G18" s="4" t="str">
        <x:v>New proposal</x:v>
      </x:c>
      <x:c r="H18" s="4" t="str">
        <x:v>User design direction, October 14, 2026; local brainstorming. New proposal unless explicitly marked User direction.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No liquid commodity, numeric yield or finished recipe approved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efceae31ddf34b4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8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</x:v>
      </x:c>
      <x:c r="I6" s="4" t="str">
        <x:v>New proposal</x:v>
      </x:c>
    </x:row>
    <x:row r="7" ht="8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</x:v>
      </x:c>
      <x:c r="I7" s="4" t="str">
        <x:v>New proposal</x:v>
      </x:c>
    </x:row>
    <x:row r="8" ht="8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</x:v>
      </x:c>
      <x:c r="I8" s="4" t="str">
        <x:v>New proposal</x:v>
      </x:c>
    </x:row>
    <x:row r="9" ht="85" customHeight="1">
      <x:c r="A9" s="4" t="str">
        <x:v>fauna.carrion_crusher</x:v>
      </x:c>
      <x:c r="B9" s="4" t="str">
        <x:v>Carrion crusher</x:v>
      </x:c>
      <x:c r="C9" s="4" t="str">
        <x:v>Heavy crab-like claws, mandibular mouth, muscular mammal-like trunk and gait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proposal.bio.fat;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</x:v>
      </x:c>
      <x:c r="I9" s="4" t="str">
        <x:v>New proposal</x:v>
      </x:c>
    </x:row>
    <x:row r="10" ht="8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caca3ea7c1554ba7"/>
  </x:tableParts>
</x:worksheet>
</file>