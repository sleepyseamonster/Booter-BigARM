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062731f110f4a25" /></Relationships>
</file>

<file path=xl/workbook.xml><?xml version="1.0" encoding="utf-8"?>
<x:workbook xmlns:x="http://schemas.openxmlformats.org/spreadsheetml/2006/main">
  <x:sheets>
    <x:sheet xmlns:r="http://schemas.openxmlformats.org/officeDocument/2006/relationships" name="Items" sheetId="1" r:id="R4ee78065a12d4517"/>
    <x:sheet xmlns:r="http://schemas.openxmlformats.org/officeDocument/2006/relationships" name="Variants" sheetId="2" r:id="R1288d8e9d92141f6"/>
    <x:sheet xmlns:r="http://schemas.openxmlformats.org/officeDocument/2006/relationships" name="Recipes" sheetId="3" r:id="R080ae2e3120d43a0"/>
    <x:sheet xmlns:r="http://schemas.openxmlformats.org/officeDocument/2006/relationships" name="Categories" sheetId="4" r:id="R30c74f33ab184c58"/>
    <x:sheet xmlns:r="http://schemas.openxmlformats.org/officeDocument/2006/relationships" name="Guide" sheetId="5" r:id="R383f4ae01cf74be7"/>
    <x:sheet xmlns:r="http://schemas.openxmlformats.org/officeDocument/2006/relationships" name="Resource chains" sheetId="6" r:id="Rb89248c1a6a84ed3"/>
    <x:sheet xmlns:r="http://schemas.openxmlformats.org/officeDocument/2006/relationships" name="Creature concepts" sheetId="7" r:id="Rf01ee4f97a774275"/>
    <x:sheet xmlns:r="http://schemas.openxmlformats.org/officeDocument/2006/relationships" name="Chemical concepts" sheetId="8" r:id="R2fa148da9494493f"/>
    <x:sheet xmlns:r="http://schemas.openxmlformats.org/officeDocument/2006/relationships" name="Container concepts" sheetId="9" r:id="Rd11700487b984057"/>
    <x:sheet xmlns:r="http://schemas.openxmlformats.org/officeDocument/2006/relationships" name="Equipment concepts" sheetId="10" r:id="R3b7bb426f1034e1b"/>
    <x:sheet xmlns:r="http://schemas.openxmlformats.org/officeDocument/2006/relationships" name="Canister concepts" sheetId="11" r:id="Rb246d655f45a4b33"/>
    <x:sheet xmlns:r="http://schemas.openxmlformats.org/officeDocument/2006/relationships" name="Taxonomy" sheetId="12" r:id="R550b6e341b2a4394"/>
    <x:sheet xmlns:r="http://schemas.openxmlformats.org/officeDocument/2006/relationships" name="Item uses" sheetId="13" r:id="R4bb9a28f0e714884"/>
    <x:sheet xmlns:r="http://schemas.openxmlformats.org/officeDocument/2006/relationships" name="Material routes" sheetId="14" r:id="R39613131f40a44b8"/>
    <x:sheet xmlns:r="http://schemas.openxmlformats.org/officeDocument/2006/relationships" name="Regional demand" sheetId="15" r:id="R2e741da156a64cef"/>
    <x:sheet xmlns:r="http://schemas.openxmlformats.org/officeDocument/2006/relationships" name="Crafting recipes" sheetId="16" r:id="R6c1c98d06165499c"/>
    <x:sheet xmlns:r="http://schemas.openxmlformats.org/officeDocument/2006/relationships" name="Crafting browser" sheetId="17" r:id="Re958789a27be48d7"/>
    <x:sheet xmlns:r="http://schemas.openxmlformats.org/officeDocument/2006/relationships" name="Material branches" sheetId="18" r:id="R3a3e67753b744d5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6">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70">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cellXfs>
  <x:cellStyles count="1">
    <x:cellStyle name="Normal" xfId="0"/>
  </x:cellStyles>
  <x:dxfs count="8">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a85c56254cf46f2" /><Relationship Type="http://schemas.openxmlformats.org/officeDocument/2006/relationships/theme" Target="/xl/theme/theme1.xml" Id="Rba6e2760434a4793" /><Relationship Type="http://schemas.microsoft.com/office/2022/11/relationships/FeaturePropertyBag" Target="/xl/featurePropertyBag/featurePropertyBag.xml" Id="R005ba801041e4a0f" /><Relationship Type="http://schemas.openxmlformats.org/officeDocument/2006/relationships/sharedStrings" Target="/xl/sharedStrings.xml" Id="R54aad88da20b4cda" /><Relationship Type="http://schemas.openxmlformats.org/officeDocument/2006/relationships/worksheet" Target="/xl/worksheets/sheet1.xml" Id="R4ee78065a12d4517" /><Relationship Type="http://schemas.openxmlformats.org/officeDocument/2006/relationships/worksheet" Target="/xl/worksheets/sheet2.xml" Id="R1288d8e9d92141f6" /><Relationship Type="http://schemas.openxmlformats.org/officeDocument/2006/relationships/worksheet" Target="/xl/worksheets/sheet3.xml" Id="R080ae2e3120d43a0" /><Relationship Type="http://schemas.openxmlformats.org/officeDocument/2006/relationships/worksheet" Target="/xl/worksheets/sheet4.xml" Id="R30c74f33ab184c58" /><Relationship Type="http://schemas.openxmlformats.org/officeDocument/2006/relationships/worksheet" Target="/xl/worksheets/sheet5.xml" Id="R383f4ae01cf74be7" /><Relationship Type="http://schemas.openxmlformats.org/officeDocument/2006/relationships/worksheet" Target="/xl/worksheets/sheet6.xml" Id="Rb89248c1a6a84ed3" /><Relationship Type="http://schemas.openxmlformats.org/officeDocument/2006/relationships/worksheet" Target="/xl/worksheets/sheet7.xml" Id="Rf01ee4f97a774275" /><Relationship Type="http://schemas.openxmlformats.org/officeDocument/2006/relationships/worksheet" Target="/xl/worksheets/sheet8.xml" Id="R2fa148da9494493f" /><Relationship Type="http://schemas.openxmlformats.org/officeDocument/2006/relationships/worksheet" Target="/xl/worksheets/sheet9.xml" Id="Rd11700487b984057" /><Relationship Type="http://schemas.openxmlformats.org/officeDocument/2006/relationships/worksheet" Target="/xl/worksheets/sheet10.xml" Id="R3b7bb426f1034e1b" /><Relationship Type="http://schemas.openxmlformats.org/officeDocument/2006/relationships/worksheet" Target="/xl/worksheets/sheet11.xml" Id="Rb246d655f45a4b33" /><Relationship Type="http://schemas.openxmlformats.org/officeDocument/2006/relationships/worksheet" Target="/xl/worksheets/sheet12.xml" Id="R550b6e341b2a4394" /><Relationship Type="http://schemas.openxmlformats.org/officeDocument/2006/relationships/worksheet" Target="/xl/worksheets/sheet13.xml" Id="R4bb9a28f0e714884" /><Relationship Type="http://schemas.openxmlformats.org/officeDocument/2006/relationships/worksheet" Target="/xl/worksheets/sheet14.xml" Id="R39613131f40a44b8" /><Relationship Type="http://schemas.openxmlformats.org/officeDocument/2006/relationships/worksheet" Target="/xl/worksheets/sheet15.xml" Id="R2e741da156a64cef" /><Relationship Type="http://schemas.openxmlformats.org/officeDocument/2006/relationships/worksheet" Target="/xl/worksheets/sheet16.xml" Id="R6c1c98d06165499c" /><Relationship Type="http://schemas.openxmlformats.org/officeDocument/2006/relationships/worksheet" Target="/xl/worksheets/sheet17.xml" Id="Re958789a27be48d7" /><Relationship Type="http://schemas.openxmlformats.org/officeDocument/2006/relationships/worksheet" Target="/xl/worksheets/sheet18.xml" Id="R3a3e67753b744d56"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467" headerRowCount="1" totalsRowCount="0" totalsRowShown="0">
  <x:autoFilter ref="A5:AN467"/>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7" headerRowCount="1" totalsRowCount="0" totalsRowShown="0">
  <x:autoFilter ref="A5:E4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08" headerRowCount="1" totalsRowCount="0" totalsRowShown="0">
  <x:autoFilter ref="A5:B208"/>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13" headerRowCount="1" totalsRowCount="0" totalsRowShown="0">
  <x:autoFilter ref="A5:C21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626" headerRowCount="1" totalsRowCount="0" totalsRowShown="0">
  <x:autoFilter ref="A5:F62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351" headerRowCount="1" totalsRowCount="0" totalsRowShown="0">
  <x:autoFilter ref="A5:Q351"/>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138" headerRowCount="1" totalsRowCount="0" totalsRowShown="0">
  <x:autoFilter ref="A5:M138"/>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218" headerRowCount="1" totalsRowCount="0" totalsRowShown="0">
  <x:autoFilter ref="A5:V218"/>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16" headerRowCount="1" totalsRowCount="0" totalsRowShown="0">
  <x:autoFilter ref="A5:H16"/>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6ae0601165c4b14" /></Relationships>
</file>

<file path=xl/worksheets/_rels/sheet2.xml.rels>&#65279;<?xml version="1.0" encoding="utf-8"?><Relationships xmlns="http://schemas.openxmlformats.org/package/2006/relationships"><Relationship Type="http://schemas.openxmlformats.org/officeDocument/2006/relationships/table" Target="/xl/tables/table2.xml" Id="Rfe92ac8043d14a82" /></Relationships>
</file>

<file path=xl/worksheets/_rels/sheet3.xml.rels>&#65279;<?xml version="1.0" encoding="utf-8"?><Relationships xmlns="http://schemas.openxmlformats.org/package/2006/relationships"><Relationship Type="http://schemas.openxmlformats.org/officeDocument/2006/relationships/table" Target="/xl/tables/table3.xml" Id="Rb80a0f176b35490c" /></Relationships>
</file>

<file path=xl/worksheets/_rels/sheet4.xml.rels>&#65279;<?xml version="1.0" encoding="utf-8"?><Relationships xmlns="http://schemas.openxmlformats.org/package/2006/relationships"><Relationship Type="http://schemas.openxmlformats.org/officeDocument/2006/relationships/table" Target="/xl/tables/table4.xml" Id="R092b501327d948d0" /></Relationships>
</file>

<file path=xl/worksheets/_rels/sheet5.xml.rels>&#65279;<?xml version="1.0" encoding="utf-8"?><Relationships xmlns="http://schemas.openxmlformats.org/package/2006/relationships"><Relationship Type="http://schemas.openxmlformats.org/officeDocument/2006/relationships/table" Target="/xl/tables/table5.xml" Id="R413aea99efc64203" /></Relationships>
</file>

<file path=xl/worksheets/_rels/sheet6.xml.rels>&#65279;<?xml version="1.0" encoding="utf-8"?><Relationships xmlns="http://schemas.openxmlformats.org/package/2006/relationships"><Relationship Type="http://schemas.openxmlformats.org/officeDocument/2006/relationships/table" Target="/xl/tables/table6.xml" Id="R2e776553e5f24984" /></Relationships>
</file>

<file path=xl/worksheets/_rels/sheet7.xml.rels>&#65279;<?xml version="1.0" encoding="utf-8"?><Relationships xmlns="http://schemas.openxmlformats.org/package/2006/relationships"><Relationship Type="http://schemas.openxmlformats.org/officeDocument/2006/relationships/table" Target="/xl/tables/table7.xml" Id="Rda97471dcfa94247" /></Relationships>
</file>

<file path=xl/worksheets/_rels/sheet8.xml.rels>&#65279;<?xml version="1.0" encoding="utf-8"?><Relationships xmlns="http://schemas.openxmlformats.org/package/2006/relationships"><Relationship Type="http://schemas.openxmlformats.org/officeDocument/2006/relationships/table" Target="/xl/tables/table8.xml" Id="Re0cc939cd34b429d" /></Relationships>
</file>

<file path=xl/worksheets/_rels/sheet9.xml.rels>&#65279;<?xml version="1.0" encoding="utf-8"?><Relationships xmlns="http://schemas.openxmlformats.org/package/2006/relationships"><Relationship Type="http://schemas.openxmlformats.org/officeDocument/2006/relationships/table" Target="/xl/tables/table9.xml" Id="Rbb2d208002c44a06" /></Relationships>
</file>

<file path=xl/worksheets/_rels/sheet10.xml.rels>&#65279;<?xml version="1.0" encoding="utf-8"?><Relationships xmlns="http://schemas.openxmlformats.org/package/2006/relationships"><Relationship Type="http://schemas.openxmlformats.org/officeDocument/2006/relationships/table" Target="/xl/tables/table10.xml" Id="R5ef50649a7724d30" /></Relationships>
</file>

<file path=xl/worksheets/_rels/sheet11.xml.rels>&#65279;<?xml version="1.0" encoding="utf-8"?><Relationships xmlns="http://schemas.openxmlformats.org/package/2006/relationships"><Relationship Type="http://schemas.openxmlformats.org/officeDocument/2006/relationships/table" Target="/xl/tables/table11.xml" Id="Ra5b5b033698c4c21" /></Relationships>
</file>

<file path=xl/worksheets/_rels/sheet12.xml.rels>&#65279;<?xml version="1.0" encoding="utf-8"?><Relationships xmlns="http://schemas.openxmlformats.org/package/2006/relationships"><Relationship Type="http://schemas.openxmlformats.org/officeDocument/2006/relationships/table" Target="/xl/tables/table12.xml" Id="Rcd457dfcb11c457a" /></Relationships>
</file>

<file path=xl/worksheets/_rels/sheet13.xml.rels>&#65279;<?xml version="1.0" encoding="utf-8"?><Relationships xmlns="http://schemas.openxmlformats.org/package/2006/relationships"><Relationship Type="http://schemas.openxmlformats.org/officeDocument/2006/relationships/table" Target="/xl/tables/table13.xml" Id="Rbc79ce13a2e84765" /></Relationships>
</file>

<file path=xl/worksheets/_rels/sheet14.xml.rels>&#65279;<?xml version="1.0" encoding="utf-8"?><Relationships xmlns="http://schemas.openxmlformats.org/package/2006/relationships"><Relationship Type="http://schemas.openxmlformats.org/officeDocument/2006/relationships/table" Target="/xl/tables/table14.xml" Id="R8d6b6c30909c417e" /></Relationships>
</file>

<file path=xl/worksheets/_rels/sheet15.xml.rels>&#65279;<?xml version="1.0" encoding="utf-8"?><Relationships xmlns="http://schemas.openxmlformats.org/package/2006/relationships"><Relationship Type="http://schemas.openxmlformats.org/officeDocument/2006/relationships/table" Target="/xl/tables/table15.xml" Id="Rf6ab971097024b34" /></Relationships>
</file>

<file path=xl/worksheets/_rels/sheet16.xml.rels>&#65279;<?xml version="1.0" encoding="utf-8"?><Relationships xmlns="http://schemas.openxmlformats.org/package/2006/relationships"><Relationship Type="http://schemas.openxmlformats.org/officeDocument/2006/relationships/table" Target="/xl/tables/table16.xml" Id="R09391af7697a434b" /></Relationships>
</file>

<file path=xl/worksheets/_rels/sheet17.xml.rels>&#65279;<?xml version="1.0" encoding="utf-8"?><Relationships xmlns="http://schemas.openxmlformats.org/package/2006/relationships"><Relationship Type="http://schemas.openxmlformats.org/officeDocument/2006/relationships/table" Target="/xl/tables/table17.xml" Id="R07a5627f4cc6440a" /></Relationships>
</file>

<file path=xl/worksheets/_rels/sheet18.xml.rels>&#65279;<?xml version="1.0" encoding="utf-8"?><Relationships xmlns="http://schemas.openxmlformats.org/package/2006/relationships"><Relationship Type="http://schemas.openxmlformats.org/officeDocument/2006/relationships/table" Target="/xl/tables/table18.xml" Id="R81832405e0c6410f"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48" customHeight="1">
      <x:c r="A6" s="9" t="str">
        <x:v>lab.salvage.drive_assembly</x:v>
      </x:c>
      <x:c r="B6" s="9" t="str">
        <x:v>Drive Assembly</x:v>
      </x:c>
      <x:c r="C6" s="4" t="str">
        <x:v>Unassigned</x:v>
      </x:c>
      <x:c r="D6" s="9" t="str">
        <x:v>Crafting components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crafting components; salvage; crafting component; recovered part; recovered machinery; machinery repair; mixed / unresolved; assembly; existing definition; ; unassigned; not applicable; component</x:v>
      </x:c>
      <x:c r="AF6" s="4" t="str">
        <x:v>From current item description. Proposed uses retain their existing approval status.</x:v>
      </x:c>
      <x:c r="AG6" s="4" t="str">
        <x:v>Choose a material/part route before assigning a tier. Processing-stage labels alone do not prove chain depth.</x:v>
      </x:c>
      <x:c r="AH6" s="4" t="str">
        <x:v>Not applicable</x:v>
      </x:c>
      <x:c r="AI6" s="4" t="str">
        <x:v>Component</x:v>
      </x:c>
      <x:c r="AJ6" s="4" t="n">
        <x:f>COUNTIFS('Material routes'!$D$6:$D$1005,A6,'Material routes'!$C$6:$C$1005,"Output")</x:f>
        <x:v>0</x:v>
      </x:c>
      <x:c r="AK6" s="4" t="n">
        <x:f>SUM(COUNTIFS('Material routes'!$D$6:$D$1005,A6,'Material routes'!$C$6:$C$1005,"Ingredient candidate"),COUNTIFS('Material routes'!$D$6:$D$1005,A6,'Material routes'!$C$6:$C$1005,"Consumed input"),COUNTIFS('Material routes'!$D$6:$D$1005,A6,'Material routes'!$C$6:$C$1005,"Contained input"),COUNTIFS('Material routes'!$D$6:$D$1005,A6,'Material routes'!$C$6:$C$1005,"Transform input"))</x:f>
        <x:v>0</x:v>
      </x:c>
      <x:c r="AL6" s="4" t="n">
        <x:f>COUNTIFS('Material routes'!$D$6:$D$1005,A6,'Material routes'!$C$6:$C$1005,"Tool candidate")</x:f>
        <x:v>0</x:v>
      </x:c>
      <x:c r="AM6" s="4" t="str">
        <x:f>IF(AJ6&gt;0,"Route listed; review status/completeness",IF(C6="T0","Raw entry feed; no production route","No production route listed"))</x:f>
        <x:v>No production route listed</x:v>
      </x:c>
      <x:c r="AN6" s="14" t="n">
        <x:f>IF(C6="T0",0,IF(C6="T1",1,IF(C6="T2",2,IF(C6="T3",3,IF(C6="T4",4,IF(C6="Unassigned",98,99))))))</x:f>
        <x:v>98</x:v>
      </x:c>
      <x:c r="AZ6"/>
      <x:c r="BA6"/>
      <x:c r="BB6"/>
      <x:c r="BC6"/>
      <x:c r="BD6"/>
      <x:c r="BE6"/>
      <x:c r="BF6"/>
      <x:c r="BG6"/>
      <x:c r="BH6"/>
      <x:c r="BI6"/>
      <x:c r="BJ6"/>
      <x:c r="BK6"/>
      <x:c r="BL6"/>
      <x:c r="BM6"/>
      <x:c r="BN6"/>
      <x:c r="BO6"/>
      <x:c r="BP6"/>
      <x:c r="BQ6"/>
      <x:c r="BR6"/>
      <x:c r="BS6"/>
      <x:c r="BT6"/>
      <x:c r="BU6"/>
      <x:c r="BV6"/>
      <x:c r="BW6"/>
      <x:c r="BX6"/>
      <x:c r="BY6"/>
      <x:c r="BZ6"/>
      <x:c r="CA6"/>
      <x:c r="CB6"/>
      <x:c r="CC6"/>
    </x:row>
    <x:row r="7" ht="48" customHeight="1">
      <x:c r="A7" s="4" t="str">
        <x:v>lab.salvage.metal_plate</x:v>
      </x:c>
      <x:c r="B7" s="4" t="str">
        <x:v>Metal Plate</x:v>
      </x:c>
      <x:c r="C7" s="4" t="str">
        <x:v>Unassigned</x:v>
      </x:c>
      <x:c r="D7" s="4" t="str">
        <x:v>Crafting components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crafting components; salvage; crafting component; recovered part; recovered machinery; fabrication; metal; solid part; existing definition; ; unassigned; not applicable; component</x:v>
      </x:c>
      <x:c r="AF7" s="4" t="str">
        <x:v>From current item description. Proposed uses retain their existing approval status.</x:v>
      </x:c>
      <x:c r="AG7" s="4" t="str">
        <x:v>Choose a material/part route before assigning a tier. Processing-stage labels alone do not prove chain depth.</x:v>
      </x:c>
      <x:c r="AH7" s="4" t="str">
        <x:v>Not applicable</x:v>
      </x:c>
      <x:c r="AI7" s="4" t="str">
        <x:v>Component</x:v>
      </x:c>
      <x:c r="AJ7" s="4" t="n">
        <x:f>COUNTIFS('Material routes'!$D$6:$D$1005,A7,'Material routes'!$C$6:$C$1005,"Output")</x:f>
        <x:v>0</x:v>
      </x:c>
      <x:c r="AK7" s="4" t="n">
        <x:f>SUM(COUNTIFS('Material routes'!$D$6:$D$1005,A7,'Material routes'!$C$6:$C$1005,"Ingredient candidate"),COUNTIFS('Material routes'!$D$6:$D$1005,A7,'Material routes'!$C$6:$C$1005,"Consumed input"),COUNTIFS('Material routes'!$D$6:$D$1005,A7,'Material routes'!$C$6:$C$1005,"Contained input"),COUNTIFS('Material routes'!$D$6:$D$1005,A7,'Material routes'!$C$6:$C$1005,"Transform input"))</x:f>
        <x:v>0</x:v>
      </x:c>
      <x:c r="AL7" s="4" t="n">
        <x:f>COUNTIFS('Material routes'!$D$6:$D$1005,A7,'Material routes'!$C$6:$C$1005,"Tool candidate")</x:f>
        <x:v>0</x:v>
      </x:c>
      <x:c r="AM7" s="4" t="str">
        <x:f>IF(AJ7&gt;0,"Route listed; review status/completeness",IF(C7="T0","Raw entry feed; no production route","No production route listed"))</x:f>
        <x:v>No production route listed</x:v>
      </x:c>
      <x:c r="AN7" s="14" t="n">
        <x:f>IF(C7="T0",0,IF(C7="T1",1,IF(C7="T2",2,IF(C7="T3",3,IF(C7="T4",4,IF(C7="Unassigned",98,99))))))</x:f>
        <x:v>98</x:v>
      </x:c>
      <x:c r="AZ7"/>
      <x:c r="BA7"/>
      <x:c r="BB7"/>
      <x:c r="BC7"/>
      <x:c r="BD7"/>
      <x:c r="BE7"/>
      <x:c r="BF7"/>
      <x:c r="BG7"/>
      <x:c r="BH7"/>
      <x:c r="BI7"/>
      <x:c r="BJ7"/>
      <x:c r="BK7"/>
      <x:c r="BL7"/>
      <x:c r="BM7"/>
      <x:c r="BN7"/>
      <x:c r="BO7"/>
      <x:c r="BP7"/>
      <x:c r="BQ7"/>
      <x:c r="BR7"/>
      <x:c r="BS7"/>
      <x:c r="BT7"/>
      <x:c r="BU7"/>
      <x:c r="BV7"/>
      <x:c r="BW7"/>
      <x:c r="BX7"/>
      <x:c r="BY7"/>
      <x:c r="BZ7"/>
      <x:c r="CA7"/>
      <x:c r="CB7"/>
      <x:c r="CC7"/>
    </x:row>
    <x:row r="8" ht="48" customHeight="1">
      <x:c r="A8" s="9" t="str">
        <x:v>lab.salvage.wire_bundle</x:v>
      </x:c>
      <x:c r="B8" s="9" t="str">
        <x:v>Wire Bundle</x:v>
      </x:c>
      <x:c r="C8" s="4" t="str">
        <x:v>Unassigned</x:v>
      </x:c>
      <x:c r="D8" s="9" t="str">
        <x:v>Crafting components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crafting components; salvage; crafting component; recovered part; recovered machinery; electrical work; metal; bundle; existing definition; ; unassigned; not applicable; component</x:v>
      </x:c>
      <x:c r="AF8" s="4" t="str">
        <x:v>From current item description. Proposed uses retain their existing approval status.</x:v>
      </x:c>
      <x:c r="AG8" s="4" t="str">
        <x:v>Choose a material/part route before assigning a tier. Processing-stage labels alone do not prove chain depth.</x:v>
      </x:c>
      <x:c r="AH8" s="4" t="str">
        <x:v>Not applicable</x:v>
      </x:c>
      <x:c r="AI8" s="4" t="str">
        <x:v>Component</x:v>
      </x:c>
      <x:c r="AJ8" s="4" t="n">
        <x:f>COUNTIFS('Material routes'!$D$6:$D$1005,A8,'Material routes'!$C$6:$C$1005,"Output")</x:f>
        <x:v>0</x:v>
      </x:c>
      <x:c r="AK8" s="4" t="n">
        <x:f>SUM(COUNTIFS('Material routes'!$D$6:$D$1005,A8,'Material routes'!$C$6:$C$1005,"Ingredient candidate"),COUNTIFS('Material routes'!$D$6:$D$1005,A8,'Material routes'!$C$6:$C$1005,"Consumed input"),COUNTIFS('Material routes'!$D$6:$D$1005,A8,'Material routes'!$C$6:$C$1005,"Contained input"),COUNTIFS('Material routes'!$D$6:$D$1005,A8,'Material routes'!$C$6:$C$1005,"Transform input"))</x:f>
        <x:v>0</x:v>
      </x:c>
      <x:c r="AL8" s="4" t="n">
        <x:f>COUNTIFS('Material routes'!$D$6:$D$1005,A8,'Material routes'!$C$6:$C$1005,"Tool candidate")</x:f>
        <x:v>0</x:v>
      </x:c>
      <x:c r="AM8" s="4" t="str">
        <x:f>IF(AJ8&gt;0,"Route listed; review status/completeness",IF(C8="T0","Raw entry feed; no production route","No production route listed"))</x:f>
        <x:v>No production route listed</x:v>
      </x:c>
      <x:c r="AN8" s="14" t="n">
        <x:f>IF(C8="T0",0,IF(C8="T1",1,IF(C8="T2",2,IF(C8="T3",3,IF(C8="T4",4,IF(C8="Unassigned",98,99))))))</x:f>
        <x:v>98</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str">
        <x:v>Equipment</x:v>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equipment; survival; container; finished item; living culture; survival provision; mixed / unresolved; assembly; existing definition; injury treatment; not applicable; unassigned; finished item</x:v>
      </x:c>
      <x:c r="AF9" s="4" t="str">
        <x:v>From current item description. Proposed uses retain their existing approval status.</x:v>
      </x:c>
      <x:c r="AG9" s="4" t="str">
        <x:v>Finished endpoint; material tier is not applicable. Input tiers belong to the chosen recipe.</x:v>
      </x:c>
      <x:c r="AH9" s="4" t="str">
        <x:v>Unassigned</x:v>
      </x:c>
      <x:c r="AI9" s="4" t="str">
        <x:v>Finished item</x:v>
      </x:c>
      <x:c r="AJ9" s="4" t="n">
        <x:f>COUNTIFS('Material routes'!$D$6:$D$1005,A9,'Material routes'!$C$6:$C$1005,"Output")</x:f>
        <x:v>0</x:v>
      </x:c>
      <x:c r="AK9" s="4" t="n">
        <x:f>SUM(COUNTIFS('Material routes'!$D$6:$D$1005,A9,'Material routes'!$C$6:$C$1005,"Ingredient candidate"),COUNTIFS('Material routes'!$D$6:$D$1005,A9,'Material routes'!$C$6:$C$1005,"Consumed input"),COUNTIFS('Material routes'!$D$6:$D$1005,A9,'Material routes'!$C$6:$C$1005,"Contained input"),COUNTIFS('Material routes'!$D$6:$D$1005,A9,'Material routes'!$C$6:$C$1005,"Transform input"))</x:f>
        <x:v>0</x:v>
      </x:c>
      <x:c r="AL9" s="4" t="n">
        <x:f>COUNTIFS('Material routes'!$D$6:$D$1005,A9,'Material routes'!$C$6:$C$1005,"Tool candidate")</x:f>
        <x:v>0</x:v>
      </x:c>
      <x:c r="AM9" s="4" t="str">
        <x:f>IF(AJ9&gt;0,"Route listed; review status/completeness",IF(C9="T0","Raw entry feed; no production route","No production route listed"))</x:f>
        <x:v>No production route listed</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str">
        <x:v>Equipment</x:v>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equipment; clothing; wearable; finished item; unresolved; clothing; unresolved; garment; existing definition; camp rest; not applicable; unassigned; finished item</x:v>
      </x:c>
      <x:c r="AF10" s="4" t="str">
        <x:v>From current item description. Proposed uses retain their existing approval status.</x:v>
      </x:c>
      <x:c r="AG10" s="4" t="str">
        <x:v>Finished endpoint; material tier is not applicable. Input tiers belong to the chosen recipe.</x:v>
      </x:c>
      <x:c r="AH10" s="4" t="str">
        <x:v>Unassigned</x:v>
      </x:c>
      <x:c r="AI10" s="4" t="str">
        <x:v>Finished item</x:v>
      </x:c>
      <x:c r="AJ10" s="4" t="n">
        <x:f>COUNTIFS('Material routes'!$D$6:$D$1005,A10,'Material routes'!$C$6:$C$1005,"Output")</x:f>
        <x:v>0</x:v>
      </x:c>
      <x:c r="AK10" s="4" t="n">
        <x:f>SUM(COUNTIFS('Material routes'!$D$6:$D$1005,A10,'Material routes'!$C$6:$C$1005,"Ingredient candidate"),COUNTIFS('Material routes'!$D$6:$D$1005,A10,'Material routes'!$C$6:$C$1005,"Consumed input"),COUNTIFS('Material routes'!$D$6:$D$1005,A10,'Material routes'!$C$6:$C$1005,"Contained input"),COUNTIFS('Material routes'!$D$6:$D$1005,A10,'Material routes'!$C$6:$C$1005,"Transform input"))</x:f>
        <x:v>0</x:v>
      </x:c>
      <x:c r="AL10" s="4" t="n">
        <x:f>COUNTIFS('Material routes'!$D$6:$D$1005,A10,'Material routes'!$C$6:$C$1005,"Tool candidate")</x:f>
        <x:v>0</x:v>
      </x:c>
      <x:c r="AM10" s="4" t="str">
        <x:f>IF(AJ10&gt;0,"Route listed; review status/completeness",IF(C10="T0","Raw entry feed; no production route","No production route listed"))</x:f>
        <x:v>No production route listed</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str">
        <x:v>Equipment</x:v>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equipment; excavation; tool; finished item; unresolved; excavation; mixed / unresolved; assembly; existing definition; ; not applicable; unassigned; finished item</x:v>
      </x:c>
      <x:c r="AF11" s="4" t="str">
        <x:v>From current item description. Proposed uses retain their existing approval status.</x:v>
      </x:c>
      <x:c r="AG11" s="4" t="str">
        <x:v>Finished endpoint; material tier is not applicable. Input tiers belong to the chosen recipe.</x:v>
      </x:c>
      <x:c r="AH11" s="4" t="str">
        <x:v>Unassigned</x:v>
      </x:c>
      <x:c r="AI11" s="4" t="str">
        <x:v>Finished item</x:v>
      </x:c>
      <x:c r="AJ11" s="4" t="n">
        <x:f>COUNTIFS('Material routes'!$D$6:$D$1005,A11,'Material routes'!$C$6:$C$1005,"Output")</x:f>
        <x:v>0</x:v>
      </x:c>
      <x:c r="AK11" s="4" t="n">
        <x:f>SUM(COUNTIFS('Material routes'!$D$6:$D$1005,A11,'Material routes'!$C$6:$C$1005,"Ingredient candidate"),COUNTIFS('Material routes'!$D$6:$D$1005,A11,'Material routes'!$C$6:$C$1005,"Consumed input"),COUNTIFS('Material routes'!$D$6:$D$1005,A11,'Material routes'!$C$6:$C$1005,"Contained input"),COUNTIFS('Material routes'!$D$6:$D$1005,A11,'Material routes'!$C$6:$C$1005,"Transform input"))</x:f>
        <x:v>0</x:v>
      </x:c>
      <x:c r="AL11" s="4" t="n">
        <x:f>COUNTIFS('Material routes'!$D$6:$D$1005,A11,'Material routes'!$C$6:$C$1005,"Tool candidate")</x:f>
        <x:v>0</x:v>
      </x:c>
      <x:c r="AM11" s="4" t="str">
        <x:f>IF(AJ11&gt;0,"Route listed; review status/completeness",IF(C11="T0","Raw entry feed; no production route","No production route listed"))</x:f>
        <x:v>No production route listed</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str">
        <x:v>Equipment</x:v>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equipment; harvesting; tool; finished item; unresolved; resource collection; mixed / unresolved; assembly; existing definition; ; not applicable; unassigned; finished item</x:v>
      </x:c>
      <x:c r="AF12" s="4" t="str">
        <x:v>From current item description. Proposed uses retain their existing approval status.</x:v>
      </x:c>
      <x:c r="AG12" s="4" t="str">
        <x:v>Finished endpoint; material tier is not applicable. Input tiers belong to the chosen recipe.</x:v>
      </x:c>
      <x:c r="AH12" s="4" t="str">
        <x:v>Unassigned</x:v>
      </x:c>
      <x:c r="AI12" s="4" t="str">
        <x:v>Finished item</x:v>
      </x:c>
      <x:c r="AJ12" s="4" t="n">
        <x:f>COUNTIFS('Material routes'!$D$6:$D$1005,A12,'Material routes'!$C$6:$C$1005,"Output")</x:f>
        <x:v>0</x:v>
      </x:c>
      <x:c r="AK12" s="4" t="n">
        <x:f>SUM(COUNTIFS('Material routes'!$D$6:$D$1005,A12,'Material routes'!$C$6:$C$1005,"Ingredient candidate"),COUNTIFS('Material routes'!$D$6:$D$1005,A12,'Material routes'!$C$6:$C$1005,"Consumed input"),COUNTIFS('Material routes'!$D$6:$D$1005,A12,'Material routes'!$C$6:$C$1005,"Contained input"),COUNTIFS('Material routes'!$D$6:$D$1005,A12,'Material routes'!$C$6:$C$1005,"Transform input"))</x:f>
        <x:v>0</x:v>
      </x:c>
      <x:c r="AL12" s="4" t="n">
        <x:f>COUNTIFS('Material routes'!$D$6:$D$1005,A12,'Material routes'!$C$6:$C$1005,"Tool candidate")</x:f>
        <x:v>0</x:v>
      </x:c>
      <x:c r="AM12" s="4" t="str">
        <x:f>IF(AJ12&gt;0,"Route listed; review status/completeness",IF(C12="T0","Raw entry feed; no production route","No production route listed"))</x:f>
        <x:v>No production route listed</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str">
        <x:v>Equipment</x:v>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equipment; traversal; tool; finished item; unresolved; traversal; mixed / unresolved; assembly; existing definition; ; not applicable; unassigned; finished item</x:v>
      </x:c>
      <x:c r="AF13" s="4" t="str">
        <x:v>From current item description. Proposed uses retain their existing approval status.</x:v>
      </x:c>
      <x:c r="AG13" s="4" t="str">
        <x:v>Finished endpoint; material tier is not applicable. Input tiers belong to the chosen recipe.</x:v>
      </x:c>
      <x:c r="AH13" s="4" t="str">
        <x:v>Unassigned</x:v>
      </x:c>
      <x:c r="AI13" s="4" t="str">
        <x:v>Finished item</x:v>
      </x:c>
      <x:c r="AJ13" s="4" t="n">
        <x:f>COUNTIFS('Material routes'!$D$6:$D$1005,A13,'Material routes'!$C$6:$C$1005,"Output")</x:f>
        <x:v>0</x:v>
      </x:c>
      <x:c r="AK13" s="4" t="n">
        <x:f>SUM(COUNTIFS('Material routes'!$D$6:$D$1005,A13,'Material routes'!$C$6:$C$1005,"Ingredient candidate"),COUNTIFS('Material routes'!$D$6:$D$1005,A13,'Material routes'!$C$6:$C$1005,"Consumed input"),COUNTIFS('Material routes'!$D$6:$D$1005,A13,'Material routes'!$C$6:$C$1005,"Contained input"),COUNTIFS('Material routes'!$D$6:$D$1005,A13,'Material routes'!$C$6:$C$1005,"Transform input"))</x:f>
        <x:v>0</x:v>
      </x:c>
      <x:c r="AL13" s="4" t="n">
        <x:f>COUNTIFS('Material routes'!$D$6:$D$1005,A13,'Material routes'!$C$6:$C$1005,"Tool candidate")</x:f>
        <x:v>0</x:v>
      </x:c>
      <x:c r="AM13" s="4" t="str">
        <x:f>IF(AJ13&gt;0,"Route listed; review status/completeness",IF(C13="T0","Raw entry feed; no production route","No production route listed"))</x:f>
        <x:v>No production route listed</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str">
        <x:v>Equipment</x:v>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equipment; clothing; wearable; finished item; unresolved; clothing; unresolved; garment; existing definition; ; not applicable; unassigned; finished item</x:v>
      </x:c>
      <x:c r="AF14" s="4" t="str">
        <x:v>From current item description. Proposed uses retain their existing approval status.</x:v>
      </x:c>
      <x:c r="AG14" s="4" t="str">
        <x:v>Finished endpoint; material tier is not applicable. Input tiers belong to the chosen recipe.</x:v>
      </x:c>
      <x:c r="AH14" s="4" t="str">
        <x:v>Unassigned</x:v>
      </x:c>
      <x:c r="AI14" s="4" t="str">
        <x:v>Finished item</x:v>
      </x:c>
      <x:c r="AJ14" s="4" t="n">
        <x:f>COUNTIFS('Material routes'!$D$6:$D$1005,A14,'Material routes'!$C$6:$C$1005,"Output")</x:f>
        <x:v>0</x:v>
      </x:c>
      <x:c r="AK14" s="4" t="n">
        <x:f>SUM(COUNTIFS('Material routes'!$D$6:$D$1005,A14,'Material routes'!$C$6:$C$1005,"Ingredient candidate"),COUNTIFS('Material routes'!$D$6:$D$1005,A14,'Material routes'!$C$6:$C$1005,"Consumed input"),COUNTIFS('Material routes'!$D$6:$D$1005,A14,'Material routes'!$C$6:$C$1005,"Contained input"),COUNTIFS('Material routes'!$D$6:$D$1005,A14,'Material routes'!$C$6:$C$1005,"Transform input"))</x:f>
        <x:v>0</x:v>
      </x:c>
      <x:c r="AL14" s="4" t="n">
        <x:f>COUNTIFS('Material routes'!$D$6:$D$1005,A14,'Material routes'!$C$6:$C$1005,"Tool candidate")</x:f>
        <x:v>0</x:v>
      </x:c>
      <x:c r="AM14" s="4" t="str">
        <x:f>IF(AJ14&gt;0,"Route listed; review status/completeness",IF(C14="T0","Raw entry feed; no production route","No production route listed"))</x:f>
        <x:v>No production route listed</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routes'!$D$6:$D$1005,A15,'Material routes'!$C$6:$C$1005,"Output")</x:f>
        <x:v>1</x:v>
      </x:c>
      <x:c r="AK15" s="4" t="n">
        <x:f>SUM(COUNTIFS('Material routes'!$D$6:$D$1005,A15,'Material routes'!$C$6:$C$1005,"Ingredient candidate"),COUNTIFS('Material routes'!$D$6:$D$1005,A15,'Material routes'!$C$6:$C$1005,"Consumed input"),COUNTIFS('Material routes'!$D$6:$D$1005,A15,'Material routes'!$C$6:$C$1005,"Contained input"),COUNTIFS('Material routes'!$D$6:$D$1005,A15,'Material routes'!$C$6:$C$1005,"Transform input"))</x:f>
        <x:v>0</x:v>
      </x:c>
      <x:c r="AL15" s="4" t="n">
        <x:f>COUNTIFS('Material routes'!$D$6:$D$1005,A15,'Material routes'!$C$6:$C$1005,"Tool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routes'!$D$6:$D$1005,A16,'Material routes'!$C$6:$C$1005,"Output")</x:f>
        <x:v>1</x:v>
      </x:c>
      <x:c r="AK16" s="4" t="n">
        <x:f>SUM(COUNTIFS('Material routes'!$D$6:$D$1005,A16,'Material routes'!$C$6:$C$1005,"Ingredient candidate"),COUNTIFS('Material routes'!$D$6:$D$1005,A16,'Material routes'!$C$6:$C$1005,"Consumed input"),COUNTIFS('Material routes'!$D$6:$D$1005,A16,'Material routes'!$C$6:$C$1005,"Contained input"),COUNTIFS('Material routes'!$D$6:$D$1005,A16,'Material routes'!$C$6:$C$1005,"Transform input"))</x:f>
        <x:v>1</x:v>
      </x:c>
      <x:c r="AL16" s="4" t="n">
        <x:f>COUNTIFS('Material routes'!$D$6:$D$1005,A16,'Material routes'!$C$6:$C$1005,"Tool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kit</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kit; finished item; unresolved; camp rest; mixed / unresolved; assembly; existing definition; sun shading; vertical sun shade shelter; not applicable; unassigned; finished item</x:v>
      </x:c>
      <x:c r="AF17" s="4" t="str">
        <x:v>From current item description. Proposed uses retain their existing approval status.</x:v>
      </x:c>
      <x:c r="AG17" s="4" t="str">
        <x:v>Finished endpoint; material tier is not applicable. Input tiers belong to the chosen recipe.</x:v>
      </x:c>
      <x:c r="AH17" s="4" t="str">
        <x:v>Unassigned</x:v>
      </x:c>
      <x:c r="AI17" s="4" t="str">
        <x:v>Finished item</x:v>
      </x:c>
      <x:c r="AJ17" s="4" t="n">
        <x:f>COUNTIFS('Material routes'!$D$6:$D$1005,A17,'Material routes'!$C$6:$C$1005,"Output")</x:f>
        <x:v>0</x:v>
      </x:c>
      <x:c r="AK17" s="4" t="n">
        <x:f>SUM(COUNTIFS('Material routes'!$D$6:$D$1005,A17,'Material routes'!$C$6:$C$1005,"Ingredient candidate"),COUNTIFS('Material routes'!$D$6:$D$1005,A17,'Material routes'!$C$6:$C$1005,"Consumed input"),COUNTIFS('Material routes'!$D$6:$D$1005,A17,'Material routes'!$C$6:$C$1005,"Contained input"),COUNTIFS('Material routes'!$D$6:$D$1005,A17,'Material routes'!$C$6:$C$1005,"Transform input"))</x:f>
        <x:v>0</x:v>
      </x:c>
      <x:c r="AL17" s="4" t="n">
        <x:f>COUNTIFS('Material routes'!$D$6:$D$1005,A17,'Material routes'!$C$6:$C$1005,"Tool candidate")</x:f>
        <x:v>0</x:v>
      </x:c>
      <x:c r="AM17" s="4" t="str">
        <x:f>IF(AJ17&gt;0,"Route listed; review status/completeness",IF(C17="T0","Raw entry feed; no production route","No production route listed"))</x:f>
        <x:v>No production route listed</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resources; airborne resource; raw material; raw; atmospheric; energy processing; unresolved; particles; existing definition; ; t0; not applicable; material</x:v>
      </x:c>
      <x:c r="AF18" s="4" t="str">
        <x:v>From current item description. Proposed uses retain their existing approval status.</x:v>
      </x:c>
      <x:c r="AG18" s="4" t="str">
        <x:v>Raw gathered/recovered craft input under the author T0 framework. This does not imply a naturally occurring pure metal.</x:v>
      </x:c>
      <x:c r="AH18" s="4" t="str">
        <x:v>Not applicable</x:v>
      </x:c>
      <x:c r="AI18" s="4" t="str">
        <x:v>Material</x:v>
      </x:c>
      <x:c r="AJ18" s="4" t="n">
        <x:f>COUNTIFS('Material routes'!$D$6:$D$1005,A18,'Material routes'!$C$6:$C$1005,"Output")</x:f>
        <x:v>0</x:v>
      </x:c>
      <x:c r="AK18" s="4" t="n">
        <x:f>SUM(COUNTIFS('Material routes'!$D$6:$D$1005,A18,'Material routes'!$C$6:$C$1005,"Ingredient candidate"),COUNTIFS('Material routes'!$D$6:$D$1005,A18,'Material routes'!$C$6:$C$1005,"Consumed input"),COUNTIFS('Material routes'!$D$6:$D$1005,A18,'Material routes'!$C$6:$C$1005,"Contained input"),COUNTIFS('Material routes'!$D$6:$D$1005,A18,'Material routes'!$C$6:$C$1005,"Transform input"))</x:f>
        <x:v>1</x:v>
      </x:c>
      <x:c r="AL18" s="4" t="n">
        <x:f>COUNTIFS('Material routes'!$D$6:$D$1005,A18,'Material routes'!$C$6:$C$1005,"Tool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48" customHeight="1">
      <x:c r="A19" s="4" t="str">
        <x:v>lab.ironstone.aggregate</x:v>
      </x:c>
      <x:c r="B19" s="4" t="str">
        <x:v>Coarse Aggregate</x:v>
      </x:c>
      <x:c r="C19" s="4" t="str">
        <x:v>Unassigned</x:v>
      </x:c>
      <x:c r="D19" s="4" t="str">
        <x:v>Resources</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resources; processed mineral; processed material; processed intermediate; geological; use unresolved; mineral; particles; existing definition; ; unassigned; not applicable; material</x:v>
      </x:c>
      <x:c r="AF19" s="4" t="str">
        <x:v>From current item description. Proposed uses retain their existing approval status.</x:v>
      </x:c>
      <x:c r="AG19" s="4" t="str">
        <x:v>Choose a material/part route before assigning a tier. Processing-stage labels alone do not prove chain depth.</x:v>
      </x:c>
      <x:c r="AH19" s="4" t="str">
        <x:v>Not applicable</x:v>
      </x:c>
      <x:c r="AI19" s="4" t="str">
        <x:v>Material</x:v>
      </x:c>
      <x:c r="AJ19" s="4" t="n">
        <x:f>COUNTIFS('Material routes'!$D$6:$D$1005,A19,'Material routes'!$C$6:$C$1005,"Output")</x:f>
        <x:v>1</x:v>
      </x:c>
      <x:c r="AK19" s="4" t="n">
        <x:f>SUM(COUNTIFS('Material routes'!$D$6:$D$1005,A19,'Material routes'!$C$6:$C$1005,"Ingredient candidate"),COUNTIFS('Material routes'!$D$6:$D$1005,A19,'Material routes'!$C$6:$C$1005,"Consumed input"),COUNTIFS('Material routes'!$D$6:$D$1005,A19,'Material routes'!$C$6:$C$1005,"Contained input"),COUNTIFS('Material routes'!$D$6:$D$1005,A19,'Material routes'!$C$6:$C$1005,"Transform input"))</x:f>
        <x:v>0</x:v>
      </x:c>
      <x:c r="AL19" s="4" t="n">
        <x:f>COUNTIFS('Material routes'!$D$6:$D$1005,A19,'Material routes'!$C$6:$C$1005,"Tool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98</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Resources</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resources; processed mineral; processed material; processed intermediate; geological; metal refining; mineral; particles; existing definition; ; t1; not applicable; material</x:v>
      </x:c>
      <x:c r="AF20" s="4" t="str">
        <x:v>From current item description. Proposed uses retain their existing approval status.</x:v>
      </x:c>
      <x:c r="AG20" s="4" t="str">
        <x:v>Proposed game manufacturing tier from the candidate routes. Integrated operations may contain many work steps.</x:v>
      </x:c>
      <x:c r="AH20" s="4" t="str">
        <x:v>Not applicable</x:v>
      </x:c>
      <x:c r="AI20" s="4" t="str">
        <x:v>Material</x:v>
      </x:c>
      <x:c r="AJ20" s="4" t="n">
        <x:f>COUNTIFS('Material routes'!$D$6:$D$1005,A20,'Material routes'!$C$6:$C$1005,"Output")</x:f>
        <x:v>1</x:v>
      </x:c>
      <x:c r="AK20" s="4" t="n">
        <x:f>SUM(COUNTIFS('Material routes'!$D$6:$D$1005,A20,'Material routes'!$C$6:$C$1005,"Ingredient candidate"),COUNTIFS('Material routes'!$D$6:$D$1005,A20,'Material routes'!$C$6:$C$1005,"Consumed input"),COUNTIFS('Material routes'!$D$6:$D$1005,A20,'Material routes'!$C$6:$C$1005,"Contained input"),COUNTIFS('Material routes'!$D$6:$D$1005,A20,'Material routes'!$C$6:$C$1005,"Transform input"))</x:f>
        <x:v>0</x:v>
      </x:c>
      <x:c r="AL20" s="4" t="n">
        <x:f>COUNTIFS('Material routes'!$D$6:$D$1005,A20,'Material routes'!$C$6:$C$1005,"Tool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resources; raw mineral; raw material; raw; geological; metal refining; mineral; rock; existing definition; fabrication; unprocessed iron rich stone; t0; not applicable; material</x:v>
      </x:c>
      <x:c r="AF21" s="4" t="str">
        <x:v>From current item description. Proposed uses retain their existing approval status.</x:v>
      </x:c>
      <x:c r="AG21" s="4" t="str">
        <x:v>Raw gathered/recovered craft input under the author T0 framework. This does not imply a naturally occurring pure metal.</x:v>
      </x:c>
      <x:c r="AH21" s="4" t="str">
        <x:v>Not applicable</x:v>
      </x:c>
      <x:c r="AI21" s="4" t="str">
        <x:v>Material</x:v>
      </x:c>
      <x:c r="AJ21" s="4" t="n">
        <x:f>COUNTIFS('Material routes'!$D$6:$D$1005,A21,'Material routes'!$C$6:$C$1005,"Output")</x:f>
        <x:v>0</x:v>
      </x:c>
      <x:c r="AK21" s="4" t="n">
        <x:f>SUM(COUNTIFS('Material routes'!$D$6:$D$1005,A21,'Material routes'!$C$6:$C$1005,"Ingredient candidate"),COUNTIFS('Material routes'!$D$6:$D$1005,A21,'Material routes'!$C$6:$C$1005,"Consumed input"),COUNTIFS('Material routes'!$D$6:$D$1005,A21,'Material routes'!$C$6:$C$1005,"Contained input"),COUNTIFS('Material routes'!$D$6:$D$1005,A21,'Material routes'!$C$6:$C$1005,"Transform input"))</x:f>
        <x:v>3</x:v>
      </x:c>
      <x:c r="AL21" s="4" t="n">
        <x:f>COUNTIFS('Material routes'!$D$6:$D$1005,A21,'Material routes'!$C$6:$C$1005,"Tool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48" customHeight="1">
      <x:c r="A22" s="9" t="str">
        <x:v>lab.ironstone.mineral_dust</x:v>
      </x:c>
      <x:c r="B22" s="9" t="str">
        <x:v>Mineral Dust</x:v>
      </x:c>
      <x:c r="C22" s="4" t="str">
        <x:v>Unassigned</x:v>
      </x:c>
      <x:c r="D22" s="9" t="str">
        <x:v>Resources</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resources; processed mineral; processed material; processed intermediate; geological; use unresolved; mineral; particles; existing definition; ; unassigned; not applicable; material</x:v>
      </x:c>
      <x:c r="AF22" s="4" t="str">
        <x:v>From current item description. Proposed uses retain their existing approval status.</x:v>
      </x:c>
      <x:c r="AG22" s="4" t="str">
        <x:v>Choose a material/part route before assigning a tier. Processing-stage labels alone do not prove chain depth.</x:v>
      </x:c>
      <x:c r="AH22" s="4" t="str">
        <x:v>Not applicable</x:v>
      </x:c>
      <x:c r="AI22" s="4" t="str">
        <x:v>Material</x:v>
      </x:c>
      <x:c r="AJ22" s="4" t="n">
        <x:f>COUNTIFS('Material routes'!$D$6:$D$1005,A22,'Material routes'!$C$6:$C$1005,"Output")</x:f>
        <x:v>1</x:v>
      </x:c>
      <x:c r="AK22" s="4" t="n">
        <x:f>SUM(COUNTIFS('Material routes'!$D$6:$D$1005,A22,'Material routes'!$C$6:$C$1005,"Ingredient candidate"),COUNTIFS('Material routes'!$D$6:$D$1005,A22,'Material routes'!$C$6:$C$1005,"Consumed input"),COUNTIFS('Material routes'!$D$6:$D$1005,A22,'Material routes'!$C$6:$C$1005,"Contained input"),COUNTIFS('Material routes'!$D$6:$D$1005,A22,'Material routes'!$C$6:$C$1005,"Transform input"))</x:f>
        <x:v>0</x:v>
      </x:c>
      <x:c r="AL22" s="4" t="n">
        <x:f>COUNTIFS('Material routes'!$D$6:$D$1005,A22,'Material routes'!$C$6:$C$1005,"Tool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98</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48" customHeight="1">
      <x:c r="A23" s="4" t="str">
        <x:v>lab.ironstone.sand</x:v>
      </x:c>
      <x:c r="B23" s="4" t="str">
        <x:v>Mineral Sand</x:v>
      </x:c>
      <x:c r="C23" s="4" t="str">
        <x:v>Unassigned</x:v>
      </x:c>
      <x:c r="D23" s="4" t="str">
        <x:v>Resources</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resources; processed mineral; processed material; processed intermediate; geological; use unresolved; mineral; particles; existing definition; ; unassigned; not applicable; material</x:v>
      </x:c>
      <x:c r="AF23" s="4" t="str">
        <x:v>From current item description. Proposed uses retain their existing approval status.</x:v>
      </x:c>
      <x:c r="AG23" s="4" t="str">
        <x:v>Choose a material/part route before assigning a tier. Processing-stage labels alone do not prove chain depth.</x:v>
      </x:c>
      <x:c r="AH23" s="4" t="str">
        <x:v>Not applicable</x:v>
      </x:c>
      <x:c r="AI23" s="4" t="str">
        <x:v>Material</x:v>
      </x:c>
      <x:c r="AJ23" s="4" t="n">
        <x:f>COUNTIFS('Material routes'!$D$6:$D$1005,A23,'Material routes'!$C$6:$C$1005,"Output")</x:f>
        <x:v>1</x:v>
      </x:c>
      <x:c r="AK23" s="4" t="n">
        <x:f>SUM(COUNTIFS('Material routes'!$D$6:$D$1005,A23,'Material routes'!$C$6:$C$1005,"Ingredient candidate"),COUNTIFS('Material routes'!$D$6:$D$1005,A23,'Material routes'!$C$6:$C$1005,"Consumed input"),COUNTIFS('Material routes'!$D$6:$D$1005,A23,'Material routes'!$C$6:$C$1005,"Contained input"),COUNTIFS('Material routes'!$D$6:$D$1005,A23,'Material routes'!$C$6:$C$1005,"Transform input"))</x:f>
        <x:v>0</x:v>
      </x:c>
      <x:c r="AL23" s="4" t="n">
        <x:f>COUNTIFS('Material routes'!$D$6:$D$1005,A23,'Material routes'!$C$6:$C$1005,"Tool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98</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str">
        <x:v>Equipment</x:v>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equipment; magnetic recovery; tool; finished item; manufactured / unresolved; resource collection; mixed / unresolved; assembly; author direction; work holding; not applicable; unassigned; finished item</x:v>
      </x:c>
      <x:c r="AF24" s="4" t="str">
        <x:v>From current item description. Proposed uses retain their existing approval status.</x:v>
      </x:c>
      <x:c r="AG24" s="4" t="str">
        <x:v>Finished endpoint; material tier is not applicable. Input tiers belong to the chosen recipe.</x:v>
      </x:c>
      <x:c r="AH24" s="4" t="str">
        <x:v>Unassigned</x:v>
      </x:c>
      <x:c r="AI24" s="4" t="str">
        <x:v>Finished item</x:v>
      </x:c>
      <x:c r="AJ24" s="4" t="n">
        <x:f>COUNTIFS('Material routes'!$D$6:$D$1005,A24,'Material routes'!$C$6:$C$1005,"Output")</x:f>
        <x:v>0</x:v>
      </x:c>
      <x:c r="AK24" s="4" t="n">
        <x:f>SUM(COUNTIFS('Material routes'!$D$6:$D$1005,A24,'Material routes'!$C$6:$C$1005,"Ingredient candidate"),COUNTIFS('Material routes'!$D$6:$D$1005,A24,'Material routes'!$C$6:$C$1005,"Consumed input"),COUNTIFS('Material routes'!$D$6:$D$1005,A24,'Material routes'!$C$6:$C$1005,"Contained input"),COUNTIFS('Material routes'!$D$6:$D$1005,A24,'Material routes'!$C$6:$C$1005,"Transform input"))</x:f>
        <x:v>0</x:v>
      </x:c>
      <x:c r="AL24" s="4" t="n">
        <x:f>COUNTIFS('Material routes'!$D$6:$D$1005,A24,'Material routes'!$C$6:$C$1005,"Tool candidate")</x:f>
        <x:v>0</x:v>
      </x:c>
      <x:c r="AM24" s="4" t="str">
        <x:f>IF(AJ24&gt;0,"Route listed; review status/completeness",IF(C24="T0","Raw entry feed; no production route","No production route listed"))</x:f>
        <x:v>No production route listed</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str">
        <x:v>Equipment</x:v>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equipment; charge management; tool; finished item; manufactured / unresolved; static management; mixed / unresolved; assembly; author direction; ; not applicable; unassigned; finished item</x:v>
      </x:c>
      <x:c r="AF25" s="4" t="str">
        <x:v>From current item description. Proposed uses retain their existing approval status.</x:v>
      </x:c>
      <x:c r="AG25" s="4" t="str">
        <x:v>Finished endpoint; material tier is not applicable. Input tiers belong to the chosen recipe.</x:v>
      </x:c>
      <x:c r="AH25" s="4" t="str">
        <x:v>Unassigned</x:v>
      </x:c>
      <x:c r="AI25" s="4" t="str">
        <x:v>Finished item</x:v>
      </x:c>
      <x:c r="AJ25" s="4" t="n">
        <x:f>COUNTIFS('Material routes'!$D$6:$D$1005,A25,'Material routes'!$C$6:$C$1005,"Output")</x:f>
        <x:v>3</x:v>
      </x:c>
      <x:c r="AK25" s="4" t="n">
        <x:f>SUM(COUNTIFS('Material routes'!$D$6:$D$1005,A25,'Material routes'!$C$6:$C$1005,"Ingredient candidate"),COUNTIFS('Material routes'!$D$6:$D$1005,A25,'Material routes'!$C$6:$C$1005,"Consumed input"),COUNTIFS('Material routes'!$D$6:$D$1005,A25,'Material routes'!$C$6:$C$1005,"Contained input"),COUNTIFS('Material routes'!$D$6:$D$1005,A25,'Material routes'!$C$6:$C$1005,"Transform input"))</x:f>
        <x:v>0</x:v>
      </x:c>
      <x:c r="AL25" s="4" t="n">
        <x:f>COUNTIFS('Material routes'!$D$6:$D$1005,A25,'Material routes'!$C$6:$C$1005,"Tool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resources; raw mineral; raw material; raw; geological; metal refining; mineral; rock; proposal; magnetic tools; t0; not applicable; material</x:v>
      </x:c>
      <x:c r="AF26" s="4" t="str">
        <x:v>From current item description. Proposed uses retain their existing approval status.</x:v>
      </x:c>
      <x:c r="AG26" s="4" t="str">
        <x:v>Raw gathered/recovered craft input under the author T0 framework. This does not imply a naturally occurring pure metal.</x:v>
      </x:c>
      <x:c r="AH26" s="4" t="str">
        <x:v>Not applicable</x:v>
      </x:c>
      <x:c r="AI26" s="4" t="str">
        <x:v>Material</x:v>
      </x:c>
      <x:c r="AJ26" s="4" t="n">
        <x:f>COUNTIFS('Material routes'!$D$6:$D$1005,A26,'Material routes'!$C$6:$C$1005,"Output")</x:f>
        <x:v>0</x:v>
      </x:c>
      <x:c r="AK26" s="4" t="n">
        <x:f>SUM(COUNTIFS('Material routes'!$D$6:$D$1005,A26,'Material routes'!$C$6:$C$1005,"Ingredient candidate"),COUNTIFS('Material routes'!$D$6:$D$1005,A26,'Material routes'!$C$6:$C$1005,"Consumed input"),COUNTIFS('Material routes'!$D$6:$D$1005,A26,'Material routes'!$C$6:$C$1005,"Contained input"),COUNTIFS('Material routes'!$D$6:$D$1005,A26,'Material routes'!$C$6:$C$1005,"Transform input"))</x:f>
        <x:v>1</x:v>
      </x:c>
      <x:c r="AL26" s="4" t="n">
        <x:f>COUNTIFS('Material routes'!$D$6:$D$1005,A26,'Material routes'!$C$6:$C$1005,"Tool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resources; raw mineral; raw material; raw; geological; surface finishing; mineral; particles; proposal; glass and ceramics; t0; not applicable; material</x:v>
      </x:c>
      <x:c r="AF27" s="4" t="str">
        <x:v>From current item description. Proposed uses retain their existing approval status.</x:v>
      </x:c>
      <x:c r="AG27" s="4" t="str">
        <x:v>Raw gathered/recovered craft input under the author T0 framework. This does not imply a naturally occurring pure metal.</x:v>
      </x:c>
      <x:c r="AH27" s="4" t="str">
        <x:v>Not applicable</x:v>
      </x:c>
      <x:c r="AI27" s="4" t="str">
        <x:v>Material</x:v>
      </x:c>
      <x:c r="AJ27" s="4" t="n">
        <x:f>COUNTIFS('Material routes'!$D$6:$D$1005,A27,'Material routes'!$C$6:$C$1005,"Output")</x:f>
        <x:v>0</x:v>
      </x:c>
      <x:c r="AK27" s="4" t="n">
        <x:f>SUM(COUNTIFS('Material routes'!$D$6:$D$1005,A27,'Material routes'!$C$6:$C$1005,"Ingredient candidate"),COUNTIFS('Material routes'!$D$6:$D$1005,A27,'Material routes'!$C$6:$C$1005,"Consumed input"),COUNTIFS('Material routes'!$D$6:$D$1005,A27,'Material routes'!$C$6:$C$1005,"Contained input"),COUNTIFS('Material routes'!$D$6:$D$1005,A27,'Material routes'!$C$6:$C$1005,"Transform input"))</x:f>
        <x:v>3</x:v>
      </x:c>
      <x:c r="AL27" s="4" t="n">
        <x:f>COUNTIFS('Material routes'!$D$6:$D$1005,A27,'Material routes'!$C$6:$C$1005,"Tool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resources; raw mineral; raw material; raw; geological; glass and ceramics; mineral; rock; proposal; electrical insulation; t0; not applicable; material</x:v>
      </x:c>
      <x:c r="AF28" s="4" t="str">
        <x:v>From current item description. Proposed uses retain their existing approval status.</x:v>
      </x:c>
      <x:c r="AG28" s="4" t="str">
        <x:v>Raw gathered/recovered craft input under the author T0 framework. This does not imply a naturally occurring pure metal.</x:v>
      </x:c>
      <x:c r="AH28" s="4" t="str">
        <x:v>Not applicable</x:v>
      </x:c>
      <x:c r="AI28" s="4" t="str">
        <x:v>Material</x:v>
      </x:c>
      <x:c r="AJ28" s="4" t="n">
        <x:f>COUNTIFS('Material routes'!$D$6:$D$1005,A28,'Material routes'!$C$6:$C$1005,"Output")</x:f>
        <x:v>0</x:v>
      </x:c>
      <x:c r="AK28" s="4" t="n">
        <x:f>SUM(COUNTIFS('Material routes'!$D$6:$D$1005,A28,'Material routes'!$C$6:$C$1005,"Ingredient candidate"),COUNTIFS('Material routes'!$D$6:$D$1005,A28,'Material routes'!$C$6:$C$1005,"Consumed input"),COUNTIFS('Material routes'!$D$6:$D$1005,A28,'Material routes'!$C$6:$C$1005,"Contained input"),COUNTIFS('Material routes'!$D$6:$D$1005,A28,'Material routes'!$C$6:$C$1005,"Transform input"))</x:f>
        <x:v>2</x:v>
      </x:c>
      <x:c r="AL28" s="4" t="n">
        <x:f>COUNTIFS('Material routes'!$D$6:$D$1005,A28,'Material routes'!$C$6:$C$1005,"Tool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resources; raw mineral; raw material; raw; geological; glass and ceramics; mineral; rock; proposal; ; t0; not applicable; material</x:v>
      </x:c>
      <x:c r="AF29" s="4" t="str">
        <x:v>From current item description. Proposed uses retain their existing approval status.</x:v>
      </x:c>
      <x:c r="AG29" s="4" t="str">
        <x:v>Raw gathered/recovered craft input under the author T0 framework. This does not imply a naturally occurring pure metal.</x:v>
      </x:c>
      <x:c r="AH29" s="4" t="str">
        <x:v>Not applicable</x:v>
      </x:c>
      <x:c r="AI29" s="4" t="str">
        <x:v>Material</x:v>
      </x:c>
      <x:c r="AJ29" s="4" t="n">
        <x:f>COUNTIFS('Material routes'!$D$6:$D$1005,A29,'Material routes'!$C$6:$C$1005,"Output")</x:f>
        <x:v>0</x:v>
      </x:c>
      <x:c r="AK29" s="4" t="n">
        <x:f>SUM(COUNTIFS('Material routes'!$D$6:$D$1005,A29,'Material routes'!$C$6:$C$1005,"Ingredient candidate"),COUNTIFS('Material routes'!$D$6:$D$1005,A29,'Material routes'!$C$6:$C$1005,"Consumed input"),COUNTIFS('Material routes'!$D$6:$D$1005,A29,'Material routes'!$C$6:$C$1005,"Contained input"),COUNTIFS('Material routes'!$D$6:$D$1005,A29,'Material routes'!$C$6:$C$1005,"Transform input"))</x:f>
        <x:v>1</x:v>
      </x:c>
      <x:c r="AL29" s="4" t="n">
        <x:f>COUNTIFS('Material routes'!$D$6:$D$1005,A29,'Material routes'!$C$6:$C$1005,"Tool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resources; raw mineral; raw material; raw; geological; binding and construction; mineral; rock; proposal; ; t0; not applicable; material</x:v>
      </x:c>
      <x:c r="AF30" s="4" t="str">
        <x:v>From current item description. Proposed uses retain their existing approval status.</x:v>
      </x:c>
      <x:c r="AG30" s="4" t="str">
        <x:v>Raw gathered/recovered craft input under the author T0 framework. This does not imply a naturally occurring pure metal.</x:v>
      </x:c>
      <x:c r="AH30" s="4" t="str">
        <x:v>Not applicable</x:v>
      </x:c>
      <x:c r="AI30" s="4" t="str">
        <x:v>Material</x:v>
      </x:c>
      <x:c r="AJ30" s="4" t="n">
        <x:f>COUNTIFS('Material routes'!$D$6:$D$1005,A30,'Material routes'!$C$6:$C$1005,"Output")</x:f>
        <x:v>0</x:v>
      </x:c>
      <x:c r="AK30" s="4" t="n">
        <x:f>SUM(COUNTIFS('Material routes'!$D$6:$D$1005,A30,'Material routes'!$C$6:$C$1005,"Ingredient candidate"),COUNTIFS('Material routes'!$D$6:$D$1005,A30,'Material routes'!$C$6:$C$1005,"Consumed input"),COUNTIFS('Material routes'!$D$6:$D$1005,A30,'Material routes'!$C$6:$C$1005,"Contained input"),COUNTIFS('Material routes'!$D$6:$D$1005,A30,'Material routes'!$C$6:$C$1005,"Transform input"))</x:f>
        <x:v>2</x:v>
      </x:c>
      <x:c r="AL30" s="4" t="n">
        <x:f>COUNTIFS('Material routes'!$D$6:$D$1005,A30,'Material routes'!$C$6:$C$1005,"Tool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resources; raw mineral; raw material; raw; geological; culture support; mineral; particles; proposal; ; t0; not applicable; material</x:v>
      </x:c>
      <x:c r="AF31" s="4" t="str">
        <x:v>From current item description. Proposed uses retain their existing approval status.</x:v>
      </x:c>
      <x:c r="AG31" s="4" t="str">
        <x:v>Raw gathered/recovered craft input under the author T0 framework. This does not imply a naturally occurring pure metal.</x:v>
      </x:c>
      <x:c r="AH31" s="4" t="str">
        <x:v>Not applicable</x:v>
      </x:c>
      <x:c r="AI31" s="4" t="str">
        <x:v>Material</x:v>
      </x:c>
      <x:c r="AJ31" s="4" t="n">
        <x:f>COUNTIFS('Material routes'!$D$6:$D$1005,A31,'Material routes'!$C$6:$C$1005,"Output")</x:f>
        <x:v>0</x:v>
      </x:c>
      <x:c r="AK31" s="4" t="n">
        <x:f>SUM(COUNTIFS('Material routes'!$D$6:$D$1005,A31,'Material routes'!$C$6:$C$1005,"Ingredient candidate"),COUNTIFS('Material routes'!$D$6:$D$1005,A31,'Material routes'!$C$6:$C$1005,"Consumed input"),COUNTIFS('Material routes'!$D$6:$D$1005,A31,'Material routes'!$C$6:$C$1005,"Contained input"),COUNTIFS('Material routes'!$D$6:$D$1005,A31,'Material routes'!$C$6:$C$1005,"Transform input"))</x:f>
        <x:v>1</x:v>
      </x:c>
      <x:c r="AL31" s="4" t="n">
        <x:f>COUNTIFS('Material routes'!$D$6:$D$1005,A31,'Material routes'!$C$6:$C$1005,"Tool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resources; raw mineral; raw material; raw; geological; lubrication; mineral; particles; proposal; electrical conduction; t0; not applicable; material</x:v>
      </x:c>
      <x:c r="AF32" s="4" t="str">
        <x:v>From current item description. Proposed uses retain their existing approval status.</x:v>
      </x:c>
      <x:c r="AG32" s="4" t="str">
        <x:v>Raw gathered/recovered craft input under the author T0 framework. This does not imply a naturally occurring pure metal.</x:v>
      </x:c>
      <x:c r="AH32" s="4" t="str">
        <x:v>Not applicable</x:v>
      </x:c>
      <x:c r="AI32" s="4" t="str">
        <x:v>Material</x:v>
      </x:c>
      <x:c r="AJ32" s="4" t="n">
        <x:f>COUNTIFS('Material routes'!$D$6:$D$1005,A32,'Material routes'!$C$6:$C$1005,"Output")</x:f>
        <x:v>0</x:v>
      </x:c>
      <x:c r="AK32" s="4" t="n">
        <x:f>SUM(COUNTIFS('Material routes'!$D$6:$D$1005,A32,'Material routes'!$C$6:$C$1005,"Ingredient candidate"),COUNTIFS('Material routes'!$D$6:$D$1005,A32,'Material routes'!$C$6:$C$1005,"Consumed input"),COUNTIFS('Material routes'!$D$6:$D$1005,A32,'Material routes'!$C$6:$C$1005,"Contained input"),COUNTIFS('Material routes'!$D$6:$D$1005,A32,'Material routes'!$C$6:$C$1005,"Transform input"))</x:f>
        <x:v>1</x:v>
      </x:c>
      <x:c r="AL32" s="4" t="n">
        <x:f>COUNTIFS('Material routes'!$D$6:$D$1005,A32,'Material routes'!$C$6:$C$1005,"Tool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resources; raw mineral; raw material; raw; geological; electrical insulation; mineral; sheet; proposal; protective fabrication; t0; not applicable; material</x:v>
      </x:c>
      <x:c r="AF33" s="4" t="str">
        <x:v>From current item description. Proposed uses retain their existing approval status.</x:v>
      </x:c>
      <x:c r="AG33" s="4" t="str">
        <x:v>Raw gathered/recovered craft input under the author T0 framework. This does not imply a naturally occurring pure metal.</x:v>
      </x:c>
      <x:c r="AH33" s="4" t="str">
        <x:v>Not applicable</x:v>
      </x:c>
      <x:c r="AI33" s="4" t="str">
        <x:v>Material</x:v>
      </x:c>
      <x:c r="AJ33" s="4" t="n">
        <x:f>COUNTIFS('Material routes'!$D$6:$D$1005,A33,'Material routes'!$C$6:$C$1005,"Output")</x:f>
        <x:v>0</x:v>
      </x:c>
      <x:c r="AK33" s="4" t="n">
        <x:f>SUM(COUNTIFS('Material routes'!$D$6:$D$1005,A33,'Material routes'!$C$6:$C$1005,"Ingredient candidate"),COUNTIFS('Material routes'!$D$6:$D$1005,A33,'Material routes'!$C$6:$C$1005,"Consumed input"),COUNTIFS('Material routes'!$D$6:$D$1005,A33,'Material routes'!$C$6:$C$1005,"Contained input"),COUNTIFS('Material routes'!$D$6:$D$1005,A33,'Material routes'!$C$6:$C$1005,"Transform input"))</x:f>
        <x:v>3</x:v>
      </x:c>
      <x:c r="AL33" s="4" t="n">
        <x:f>COUNTIFS('Material routes'!$D$6:$D$1005,A33,'Material routes'!$C$6:$C$1005,"Tool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Resources</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resources; processed mineral; processed material; processed intermediate; geological; metal refining; mineral; particles; proposal; ; t1; not applicable; material</x:v>
      </x:c>
      <x:c r="AF34" s="4" t="str">
        <x:v>From current item description. Proposed uses retain their existing approval status.</x:v>
      </x:c>
      <x:c r="AG34" s="4" t="str">
        <x:v>Proposed game manufacturing tier from the candidate routes. Integrated operations may contain many work steps.</x:v>
      </x:c>
      <x:c r="AH34" s="4" t="str">
        <x:v>Not applicable</x:v>
      </x:c>
      <x:c r="AI34" s="4" t="str">
        <x:v>Material</x:v>
      </x:c>
      <x:c r="AJ34" s="4" t="n">
        <x:f>COUNTIFS('Material routes'!$D$6:$D$1005,A34,'Material routes'!$C$6:$C$1005,"Output")</x:f>
        <x:v>2</x:v>
      </x:c>
      <x:c r="AK34" s="4" t="n">
        <x:f>SUM(COUNTIFS('Material routes'!$D$6:$D$1005,A34,'Material routes'!$C$6:$C$1005,"Ingredient candidate"),COUNTIFS('Material routes'!$D$6:$D$1005,A34,'Material routes'!$C$6:$C$1005,"Consumed input"),COUNTIFS('Material routes'!$D$6:$D$1005,A34,'Material routes'!$C$6:$C$1005,"Contained input"),COUNTIFS('Material routes'!$D$6:$D$1005,A34,'Material routes'!$C$6:$C$1005,"Transform input"))</x:f>
        <x:v>1</x:v>
      </x:c>
      <x:c r="AL34" s="4" t="n">
        <x:f>COUNTIFS('Material routes'!$D$6:$D$1005,A34,'Material routes'!$C$6:$C$1005,"Tool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Resources</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resources; processed mineral; processed material; processed intermediate; geological; fabrication; mineral; solid part; proposal; equipment repair; t2; not applicable; material</x:v>
      </x:c>
      <x:c r="AF35" s="4" t="str">
        <x:v>From current item description. Proposed uses retain their existing approval status.</x:v>
      </x:c>
      <x:c r="AG35" s="4" t="str">
        <x:v>Proposed game manufacturing tier from the candidate routes. Integrated operations may contain many work steps.</x:v>
      </x:c>
      <x:c r="AH35" s="4" t="str">
        <x:v>Not applicable</x:v>
      </x:c>
      <x:c r="AI35" s="4" t="str">
        <x:v>Material</x:v>
      </x:c>
      <x:c r="AJ35" s="4" t="n">
        <x:f>COUNTIFS('Material routes'!$D$6:$D$1005,A35,'Material routes'!$C$6:$C$1005,"Output")</x:f>
        <x:v>2</x:v>
      </x:c>
      <x:c r="AK35" s="4" t="n">
        <x:f>SUM(COUNTIFS('Material routes'!$D$6:$D$1005,A35,'Material routes'!$C$6:$C$1005,"Ingredient candidate"),COUNTIFS('Material routes'!$D$6:$D$1005,A35,'Material routes'!$C$6:$C$1005,"Consumed input"),COUNTIFS('Material routes'!$D$6:$D$1005,A35,'Material routes'!$C$6:$C$1005,"Contained input"),COUNTIFS('Material routes'!$D$6:$D$1005,A35,'Material routes'!$C$6:$C$1005,"Transform input"))</x:f>
        <x:v>0</x:v>
      </x:c>
      <x:c r="AL35" s="4" t="n">
        <x:f>COUNTIFS('Material routes'!$D$6:$D$1005,A35,'Material routes'!$C$6:$C$1005,"Tool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Resources</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resources; processed mineral; processed material; processed intermediate; geological; surface finishing; mineral; particles; proposal; ; t1; not applicable; material</x:v>
      </x:c>
      <x:c r="AF36" s="4" t="str">
        <x:v>From current item description. Proposed uses retain their existing approval status.</x:v>
      </x:c>
      <x:c r="AG36" s="4" t="str">
        <x:v>Proposed game manufacturing tier from the candidate routes. Integrated operations may contain many work steps.</x:v>
      </x:c>
      <x:c r="AH36" s="4" t="str">
        <x:v>Not applicable</x:v>
      </x:c>
      <x:c r="AI36" s="4" t="str">
        <x:v>Material</x:v>
      </x:c>
      <x:c r="AJ36" s="4" t="n">
        <x:f>COUNTIFS('Material routes'!$D$6:$D$1005,A36,'Material routes'!$C$6:$C$1005,"Output")</x:f>
        <x:v>2</x:v>
      </x:c>
      <x:c r="AK36" s="4" t="n">
        <x:f>SUM(COUNTIFS('Material routes'!$D$6:$D$1005,A36,'Material routes'!$C$6:$C$1005,"Ingredient candidate"),COUNTIFS('Material routes'!$D$6:$D$1005,A36,'Material routes'!$C$6:$C$1005,"Consumed input"),COUNTIFS('Material routes'!$D$6:$D$1005,A36,'Material routes'!$C$6:$C$1005,"Contained input"),COUNTIFS('Material routes'!$D$6:$D$1005,A36,'Material routes'!$C$6:$C$1005,"Transform input"))</x:f>
        <x:v>7</x:v>
      </x:c>
      <x:c r="AL36" s="4" t="n">
        <x:f>COUNTIFS('Material routes'!$D$6:$D$1005,A36,'Material routes'!$C$6:$C$1005,"Tool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Resources</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resources;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routes'!$D$6:$D$1005,A37,'Material routes'!$C$6:$C$1005,"Output")</x:f>
        <x:v>2</x:v>
      </x:c>
      <x:c r="AK37" s="4" t="n">
        <x:f>SUM(COUNTIFS('Material routes'!$D$6:$D$1005,A37,'Material routes'!$C$6:$C$1005,"Ingredient candidate"),COUNTIFS('Material routes'!$D$6:$D$1005,A37,'Material routes'!$C$6:$C$1005,"Consumed input"),COUNTIFS('Material routes'!$D$6:$D$1005,A37,'Material routes'!$C$6:$C$1005,"Contained input"),COUNTIFS('Material routes'!$D$6:$D$1005,A37,'Material routes'!$C$6:$C$1005,"Transform input"))</x:f>
        <x:v>7</x:v>
      </x:c>
      <x:c r="AL37" s="4" t="n">
        <x:f>COUNTIFS('Material routes'!$D$6:$D$1005,A37,'Material routes'!$C$6:$C$1005,"Tool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Resources</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resources; processed mineral; processed material; processed intermediate; geological; binding and construction; mineral; particles; proposal; ; t1; not applicable; material</x:v>
      </x:c>
      <x:c r="AF38" s="4" t="str">
        <x:v>From current item description. Proposed uses retain their existing approval status.</x:v>
      </x:c>
      <x:c r="AG38" s="4" t="str">
        <x:v>Proposed game manufacturing tier from the candidate routes. Integrated operations may contain many work steps.</x:v>
      </x:c>
      <x:c r="AH38" s="4" t="str">
        <x:v>Not applicable</x:v>
      </x:c>
      <x:c r="AI38" s="4" t="str">
        <x:v>Material</x:v>
      </x:c>
      <x:c r="AJ38" s="4" t="n">
        <x:f>COUNTIFS('Material routes'!$D$6:$D$1005,A38,'Material routes'!$C$6:$C$1005,"Output")</x:f>
        <x:v>1</x:v>
      </x:c>
      <x:c r="AK38" s="4" t="n">
        <x:f>SUM(COUNTIFS('Material routes'!$D$6:$D$1005,A38,'Material routes'!$C$6:$C$1005,"Ingredient candidate"),COUNTIFS('Material routes'!$D$6:$D$1005,A38,'Material routes'!$C$6:$C$1005,"Consumed input"),COUNTIFS('Material routes'!$D$6:$D$1005,A38,'Material routes'!$C$6:$C$1005,"Contained input"),COUNTIFS('Material routes'!$D$6:$D$1005,A38,'Material routes'!$C$6:$C$1005,"Transform input"))</x:f>
        <x:v>1</x:v>
      </x:c>
      <x:c r="AL38" s="4" t="n">
        <x:f>COUNTIFS('Material routes'!$D$6:$D$1005,A38,'Material routes'!$C$6:$C$1005,"Tool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Resources</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resources; processed mineral; processed material; processed intermediate; geological; lubrication; mineral; particles; proposal; electrical conduction; t1; not applicable; material</x:v>
      </x:c>
      <x:c r="AF39" s="4" t="str">
        <x:v>From current item description. Proposed uses retain their existing approval status.</x:v>
      </x:c>
      <x:c r="AG39" s="4" t="str">
        <x:v>Proposed game manufacturing tier from the candidate routes. Integrated operations may contain many work steps.</x:v>
      </x:c>
      <x:c r="AH39" s="4" t="str">
        <x:v>Not applicable</x:v>
      </x:c>
      <x:c r="AI39" s="4" t="str">
        <x:v>Material</x:v>
      </x:c>
      <x:c r="AJ39" s="4" t="n">
        <x:f>COUNTIFS('Material routes'!$D$6:$D$1005,A39,'Material routes'!$C$6:$C$1005,"Output")</x:f>
        <x:v>1</x:v>
      </x:c>
      <x:c r="AK39" s="4" t="n">
        <x:f>SUM(COUNTIFS('Material routes'!$D$6:$D$1005,A39,'Material routes'!$C$6:$C$1005,"Ingredient candidate"),COUNTIFS('Material routes'!$D$6:$D$1005,A39,'Material routes'!$C$6:$C$1005,"Consumed input"),COUNTIFS('Material routes'!$D$6:$D$1005,A39,'Material routes'!$C$6:$C$1005,"Contained input"),COUNTIFS('Material routes'!$D$6:$D$1005,A39,'Material routes'!$C$6:$C$1005,"Transform input"))</x:f>
        <x:v>4</x:v>
      </x:c>
      <x:c r="AL39" s="4" t="n">
        <x:f>COUNTIFS('Material routes'!$D$6:$D$1005,A39,'Material routes'!$C$6:$C$1005,"Tool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resources; molted exoskeleton; raw material; raw; fauna; fabrication; shell / chitin; shell plate; author direction; fiber processing; t0; not applicable; material</x:v>
      </x:c>
      <x:c r="AF40" s="4" t="str">
        <x:v>From current item description. Proposed uses retain their existing approval status.</x:v>
      </x:c>
      <x:c r="AG40" s="4" t="str">
        <x:v>Raw gathered/recovered craft input under the author T0 framework. This does not imply a naturally occurring pure metal.</x:v>
      </x:c>
      <x:c r="AH40" s="4" t="str">
        <x:v>Not applicable</x:v>
      </x:c>
      <x:c r="AI40" s="4" t="str">
        <x:v>Material</x:v>
      </x:c>
      <x:c r="AJ40" s="4" t="n">
        <x:f>COUNTIFS('Material routes'!$D$6:$D$1005,A40,'Material routes'!$C$6:$C$1005,"Output")</x:f>
        <x:v>0</x:v>
      </x:c>
      <x:c r="AK40" s="4" t="n">
        <x:f>SUM(COUNTIFS('Material routes'!$D$6:$D$1005,A40,'Material routes'!$C$6:$C$1005,"Ingredient candidate"),COUNTIFS('Material routes'!$D$6:$D$1005,A40,'Material routes'!$C$6:$C$1005,"Consumed input"),COUNTIFS('Material routes'!$D$6:$D$1005,A40,'Material routes'!$C$6:$C$1005,"Contained input"),COUNTIFS('Material routes'!$D$6:$D$1005,A40,'Material routes'!$C$6:$C$1005,"Transform input"))</x:f>
        <x:v>5</x:v>
      </x:c>
      <x:c r="AL40" s="4" t="n">
        <x:f>COUNTIFS('Material routes'!$D$6:$D$1005,A40,'Material routes'!$C$6:$C$1005,"Tool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resources; connective tissue; raw material; raw; fauna; binding and construction; faunal tissue; bundle; proposal; ; t0; not applicable; material</x:v>
      </x:c>
      <x:c r="AF41" s="4" t="str">
        <x:v>From current item description. Proposed uses retain their existing approval status.</x:v>
      </x:c>
      <x:c r="AG41" s="4" t="str">
        <x:v>Raw gathered/recovered craft input under the author T0 framework. This does not imply a naturally occurring pure metal.</x:v>
      </x:c>
      <x:c r="AH41" s="4" t="str">
        <x:v>Not applicable</x:v>
      </x:c>
      <x:c r="AI41" s="4" t="str">
        <x:v>Material</x:v>
      </x:c>
      <x:c r="AJ41" s="4" t="n">
        <x:f>COUNTIFS('Material routes'!$D$6:$D$1005,A41,'Material routes'!$C$6:$C$1005,"Output")</x:f>
        <x:v>0</x:v>
      </x:c>
      <x:c r="AK41" s="4" t="n">
        <x:f>SUM(COUNTIFS('Material routes'!$D$6:$D$1005,A41,'Material routes'!$C$6:$C$1005,"Ingredient candidate"),COUNTIFS('Material routes'!$D$6:$D$1005,A41,'Material routes'!$C$6:$C$1005,"Consumed input"),COUNTIFS('Material routes'!$D$6:$D$1005,A41,'Material routes'!$C$6:$C$1005,"Contained input"),COUNTIFS('Material routes'!$D$6:$D$1005,A41,'Material routes'!$C$6:$C$1005,"Transform input"))</x:f>
        <x:v>2</x:v>
      </x:c>
      <x:c r="AL41" s="4" t="n">
        <x:f>COUNTIFS('Material routes'!$D$6:$D$1005,A41,'Material routes'!$C$6:$C$1005,"Tool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resources; dry fibers; raw material; raw; fauna; dust exclusion; faunal fiber; fiber; proposal; ; t0; not applicable; material</x:v>
      </x:c>
      <x:c r="AF42" s="4" t="str">
        <x:v>From current item description. Proposed uses retain their existing approval status.</x:v>
      </x:c>
      <x:c r="AG42" s="4" t="str">
        <x:v>Raw gathered/recovered craft input under the author T0 framework. This does not imply a naturally occurring pure metal.</x:v>
      </x:c>
      <x:c r="AH42" s="4" t="str">
        <x:v>Not applicable</x:v>
      </x:c>
      <x:c r="AI42" s="4" t="str">
        <x:v>Material</x:v>
      </x:c>
      <x:c r="AJ42" s="4" t="n">
        <x:f>COUNTIFS('Material routes'!$D$6:$D$1005,A42,'Material routes'!$C$6:$C$1005,"Output")</x:f>
        <x:v>0</x:v>
      </x:c>
      <x:c r="AK42" s="4" t="n">
        <x:f>SUM(COUNTIFS('Material routes'!$D$6:$D$1005,A42,'Material routes'!$C$6:$C$1005,"Ingredient candidate"),COUNTIFS('Material routes'!$D$6:$D$1005,A42,'Material routes'!$C$6:$C$1005,"Consumed input"),COUNTIFS('Material routes'!$D$6:$D$1005,A42,'Material routes'!$C$6:$C$1005,"Contained input"),COUNTIFS('Material routes'!$D$6:$D$1005,A42,'Material routes'!$C$6:$C$1005,"Transform input"))</x:f>
        <x:v>2</x:v>
      </x:c>
      <x:c r="AL42" s="4" t="n">
        <x:f>COUNTIFS('Material routes'!$D$6:$D$1005,A42,'Material routes'!$C$6:$C$1005,"Tool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resources; dry fibers; raw material; raw; fauna; textile processing; fur; fiber; proposal; ; t0; not applicable; material</x:v>
      </x:c>
      <x:c r="AF43" s="4" t="str">
        <x:v>From current item description. Proposed uses retain their existing approval status.</x:v>
      </x:c>
      <x:c r="AG43" s="4" t="str">
        <x:v>Raw gathered/recovered craft input under the author T0 framework. This does not imply a naturally occurring pure metal.</x:v>
      </x:c>
      <x:c r="AH43" s="4" t="str">
        <x:v>Not applicable</x:v>
      </x:c>
      <x:c r="AI43" s="4" t="str">
        <x:v>Material</x:v>
      </x:c>
      <x:c r="AJ43" s="4" t="n">
        <x:f>COUNTIFS('Material routes'!$D$6:$D$1005,A43,'Material routes'!$C$6:$C$1005,"Output")</x:f>
        <x:v>0</x:v>
      </x:c>
      <x:c r="AK43" s="4" t="n">
        <x:f>SUM(COUNTIFS('Material routes'!$D$6:$D$1005,A43,'Material routes'!$C$6:$C$1005,"Ingredient candidate"),COUNTIFS('Material routes'!$D$6:$D$1005,A43,'Material routes'!$C$6:$C$1005,"Consumed input"),COUNTIFS('Material routes'!$D$6:$D$1005,A43,'Material routes'!$C$6:$C$1005,"Contained input"),COUNTIFS('Material routes'!$D$6:$D$1005,A43,'Material routes'!$C$6:$C$1005,"Transform input"))</x:f>
        <x:v>1</x:v>
      </x:c>
      <x:c r="AL43" s="4" t="n">
        <x:f>COUNTIFS('Material routes'!$D$6:$D$1005,A43,'Material routes'!$C$6:$C$1005,"Tool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resources; hard tissue; raw material; raw; fauna; tool fabrication; faunal tissue; solid piece; proposal; ; t0; not applicable; material</x:v>
      </x:c>
      <x:c r="AF44" s="4" t="str">
        <x:v>From current item description. Proposed uses retain their existing approval status.</x:v>
      </x:c>
      <x:c r="AG44" s="4" t="str">
        <x:v>Raw gathered/recovered craft input under the author T0 framework. This does not imply a naturally occurring pure metal.</x:v>
      </x:c>
      <x:c r="AH44" s="4" t="str">
        <x:v>Not applicable</x:v>
      </x:c>
      <x:c r="AI44" s="4" t="str">
        <x:v>Material</x:v>
      </x:c>
      <x:c r="AJ44" s="4" t="n">
        <x:f>COUNTIFS('Material routes'!$D$6:$D$1005,A44,'Material routes'!$C$6:$C$1005,"Output")</x:f>
        <x:v>0</x:v>
      </x:c>
      <x:c r="AK44" s="4" t="n">
        <x:f>SUM(COUNTIFS('Material routes'!$D$6:$D$1005,A44,'Material routes'!$C$6:$C$1005,"Ingredient candidate"),COUNTIFS('Material routes'!$D$6:$D$1005,A44,'Material routes'!$C$6:$C$1005,"Consumed input"),COUNTIFS('Material routes'!$D$6:$D$1005,A44,'Material routes'!$C$6:$C$1005,"Contained input"),COUNTIFS('Material routes'!$D$6:$D$1005,A44,'Material routes'!$C$6:$C$1005,"Transform input"))</x:f>
        <x:v>1</x:v>
      </x:c>
      <x:c r="AL44" s="4" t="n">
        <x:f>COUNTIFS('Material routes'!$D$6:$D$1005,A44,'Material routes'!$C$6:$C$1005,"Tool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resources; flexible tissue; raw material; processed intermediate; fauna; sealing; faunal membrane; sheet; proposal; equipment repair; t0; not applicable; material</x:v>
      </x:c>
      <x:c r="AF45" s="4" t="str">
        <x:v>From current item description. Proposed uses retain their existing approval status.</x:v>
      </x:c>
      <x:c r="AG45" s="4" t="str">
        <x:v>Proposed raw-feed reading of gathered dried membrane; preprocessing detail is unresolved.</x:v>
      </x:c>
      <x:c r="AH45" s="4" t="str">
        <x:v>Not applicable</x:v>
      </x:c>
      <x:c r="AI45" s="4" t="str">
        <x:v>Material</x:v>
      </x:c>
      <x:c r="AJ45" s="4" t="n">
        <x:f>COUNTIFS('Material routes'!$D$6:$D$1005,A45,'Material routes'!$C$6:$C$1005,"Output")</x:f>
        <x:v>0</x:v>
      </x:c>
      <x:c r="AK45" s="4" t="n">
        <x:f>SUM(COUNTIFS('Material routes'!$D$6:$D$1005,A45,'Material routes'!$C$6:$C$1005,"Ingredient candidate"),COUNTIFS('Material routes'!$D$6:$D$1005,A45,'Material routes'!$C$6:$C$1005,"Consumed input"),COUNTIFS('Material routes'!$D$6:$D$1005,A45,'Material routes'!$C$6:$C$1005,"Contained input"),COUNTIFS('Material routes'!$D$6:$D$1005,A45,'Material routes'!$C$6:$C$1005,"Transform input"))</x:f>
        <x:v>1</x:v>
      </x:c>
      <x:c r="AL45" s="4" t="n">
        <x:f>COUNTIFS('Material routes'!$D$6:$D$1005,A45,'Material routes'!$C$6:$C$1005,"Tool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66" customHeight="1">
      <x:c r="A46" s="9" t="str">
        <x:v>proposal.bio.fat</x:v>
      </x:c>
      <x:c r="B46" s="9" t="str">
        <x:v>Unverified fat-like tissue concept</x:v>
      </x:c>
      <x:c r="C46" s="4" t="str">
        <x:v>Unassigned</x:v>
      </x:c>
      <x:c r="D46" s="9" t="str">
        <x:v>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resources; perishable tissue; raw material; unresolved; fauna; use unresolved; unresolved; unresolved; withheld assumption; ; unassigned; unassigned; material</x:v>
      </x:c>
      <x:c r="AF46" s="4" t="str">
        <x:v>From current item description. Proposed uses retain their existing approval status.</x:v>
      </x:c>
      <x:c r="AG46" s="4" t="str">
        <x:v>Tier requires a chosen production route; recovered ancient material is not automatically T4.</x:v>
      </x:c>
      <x:c r="AH46" s="4" t="str">
        <x:v>Unassigned</x:v>
      </x:c>
      <x:c r="AI46" s="4" t="str">
        <x:v>Material</x:v>
      </x:c>
      <x:c r="AJ46" s="4" t="n">
        <x:f>COUNTIFS('Material routes'!$D$6:$D$1005,A46,'Material routes'!$C$6:$C$1005,"Output")</x:f>
        <x:v>0</x:v>
      </x:c>
      <x:c r="AK46" s="4" t="n">
        <x:f>SUM(COUNTIFS('Material routes'!$D$6:$D$1005,A46,'Material routes'!$C$6:$C$1005,"Ingredient candidate"),COUNTIFS('Material routes'!$D$6:$D$1005,A46,'Material routes'!$C$6:$C$1005,"Consumed input"),COUNTIFS('Material routes'!$D$6:$D$1005,A46,'Material routes'!$C$6:$C$1005,"Contained input"),COUNTIFS('Material routes'!$D$6:$D$1005,A46,'Material routes'!$C$6:$C$1005,"Transform input"))</x:f>
        <x:v>1</x:v>
      </x:c>
      <x:c r="AL46" s="4" t="n">
        <x:f>COUNTIFS('Material routes'!$D$6:$D$1005,A46,'Material routes'!$C$6:$C$1005,"Tool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resources; specialized tissue; raw material; raw; fauna; electrical work; faunal tissue; solid piece; proposal; ; t0; not applicable; material</x:v>
      </x:c>
      <x:c r="AF47" s="4" t="str">
        <x:v>From current item description. Proposed uses retain their existing approval status.</x:v>
      </x:c>
      <x:c r="AG47" s="4" t="str">
        <x:v>Raw gathered/recovered craft input under the author T0 framework. This does not imply a naturally occurring pure metal.</x:v>
      </x:c>
      <x:c r="AH47" s="4" t="str">
        <x:v>Not applicable</x:v>
      </x:c>
      <x:c r="AI47" s="4" t="str">
        <x:v>Material</x:v>
      </x:c>
      <x:c r="AJ47" s="4" t="n">
        <x:f>COUNTIFS('Material routes'!$D$6:$D$1005,A47,'Material routes'!$C$6:$C$1005,"Output")</x:f>
        <x:v>0</x:v>
      </x:c>
      <x:c r="AK47" s="4" t="n">
        <x:f>SUM(COUNTIFS('Material routes'!$D$6:$D$1005,A47,'Material routes'!$C$6:$C$1005,"Ingredient candidate"),COUNTIFS('Material routes'!$D$6:$D$1005,A47,'Material routes'!$C$6:$C$1005,"Consumed input"),COUNTIFS('Material routes'!$D$6:$D$1005,A47,'Material routes'!$C$6:$C$1005,"Contained input"),COUNTIFS('Material routes'!$D$6:$D$1005,A47,'Material routes'!$C$6:$C$1005,"Transform input"))</x:f>
        <x:v>1</x:v>
      </x:c>
      <x:c r="AL47" s="4" t="n">
        <x:f>COUNTIFS('Material routes'!$D$6:$D$1005,A47,'Material routes'!$C$6:$C$1005,"Tool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routes'!$D$6:$D$1005,A48,'Material routes'!$C$6:$C$1005,"Output")</x:f>
        <x:v>2</x:v>
      </x:c>
      <x:c r="AK48" s="4" t="n">
        <x:f>SUM(COUNTIFS('Material routes'!$D$6:$D$1005,A48,'Material routes'!$C$6:$C$1005,"Ingredient candidate"),COUNTIFS('Material routes'!$D$6:$D$1005,A48,'Material routes'!$C$6:$C$1005,"Consumed input"),COUNTIFS('Material routes'!$D$6:$D$1005,A48,'Material routes'!$C$6:$C$1005,"Contained input"),COUNTIFS('Material routes'!$D$6:$D$1005,A48,'Material routes'!$C$6:$C$1005,"Transform input"))</x:f>
        <x:v>4</x:v>
      </x:c>
      <x:c r="AL48" s="4" t="n">
        <x:f>COUNTIFS('Material routes'!$D$6:$D$1005,A48,'Material routes'!$C$6:$C$1005,"Tool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routes'!$D$6:$D$1005,A49,'Material routes'!$C$6:$C$1005,"Output")</x:f>
        <x:v>1</x:v>
      </x:c>
      <x:c r="AK49" s="4" t="n">
        <x:f>SUM(COUNTIFS('Material routes'!$D$6:$D$1005,A49,'Material routes'!$C$6:$C$1005,"Ingredient candidate"),COUNTIFS('Material routes'!$D$6:$D$1005,A49,'Material routes'!$C$6:$C$1005,"Consumed input"),COUNTIFS('Material routes'!$D$6:$D$1005,A49,'Material routes'!$C$6:$C$1005,"Contained input"),COUNTIFS('Material routes'!$D$6:$D$1005,A49,'Material routes'!$C$6:$C$1005,"Transform input"))</x:f>
        <x:v>1</x:v>
      </x:c>
      <x:c r="AL49" s="4" t="n">
        <x:f>COUNTIFS('Material routes'!$D$6:$D$1005,A49,'Material routes'!$C$6:$C$1005,"Tool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66" customHeight="1">
      <x:c r="A50" s="9" t="str">
        <x:v>proposal.bio.brush</x:v>
      </x:c>
      <x:c r="B50" s="9" t="str">
        <x:v>Bristle brush strips</x:v>
      </x:c>
      <x:c r="C50" s="4" t="str">
        <x:v>Unassigned</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unassigned; not applicable; component</x:v>
      </x:c>
      <x:c r="AF50" s="4" t="str">
        <x:v>From current item description. Proposed uses retain their existing approval status.</x:v>
      </x:c>
      <x:c r="AG50" s="4" t="str">
        <x:v>Choose a material/part route before assigning a tier. Processing-stage labels alone do not prove chain depth.</x:v>
      </x:c>
      <x:c r="AH50" s="4" t="str">
        <x:v>Not applicable</x:v>
      </x:c>
      <x:c r="AI50" s="4" t="str">
        <x:v>Component</x:v>
      </x:c>
      <x:c r="AJ50" s="4" t="n">
        <x:f>COUNTIFS('Material routes'!$D$6:$D$1005,A50,'Material routes'!$C$6:$C$1005,"Output")</x:f>
        <x:v>1</x:v>
      </x:c>
      <x:c r="AK50" s="4" t="n">
        <x:f>SUM(COUNTIFS('Material routes'!$D$6:$D$1005,A50,'Material routes'!$C$6:$C$1005,"Ingredient candidate"),COUNTIFS('Material routes'!$D$6:$D$1005,A50,'Material routes'!$C$6:$C$1005,"Consumed input"),COUNTIFS('Material routes'!$D$6:$D$1005,A50,'Material routes'!$C$6:$C$1005,"Contained input"),COUNTIFS('Material routes'!$D$6:$D$1005,A50,'Material routes'!$C$6:$C$1005,"Transform input"))</x:f>
        <x:v>0</x:v>
      </x:c>
      <x:c r="AL50" s="4" t="n">
        <x:f>COUNTIFS('Material routes'!$D$6:$D$1005,A50,'Material routes'!$C$6:$C$1005,"Tool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98</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routes'!$D$6:$D$1005,A51,'Material routes'!$C$6:$C$1005,"Output")</x:f>
        <x:v>1</x:v>
      </x:c>
      <x:c r="AK51" s="4" t="n">
        <x:f>SUM(COUNTIFS('Material routes'!$D$6:$D$1005,A51,'Material routes'!$C$6:$C$1005,"Ingredient candidate"),COUNTIFS('Material routes'!$D$6:$D$1005,A51,'Material routes'!$C$6:$C$1005,"Consumed input"),COUNTIFS('Material routes'!$D$6:$D$1005,A51,'Material routes'!$C$6:$C$1005,"Contained input"),COUNTIFS('Material routes'!$D$6:$D$1005,A51,'Material routes'!$C$6:$C$1005,"Transform input"))</x:f>
        <x:v>0</x:v>
      </x:c>
      <x:c r="AL51" s="4" t="n">
        <x:f>COUNTIFS('Material routes'!$D$6:$D$1005,A51,'Material routes'!$C$6:$C$1005,"Tool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66" customHeight="1">
      <x:c r="A52" s="9" t="str">
        <x:v>proposal.bio.insert</x:v>
      </x:c>
      <x:c r="B52" s="9" t="str">
        <x:v>Jaw cutting insert</x:v>
      </x:c>
      <x:c r="C52" s="4" t="str">
        <x:v>Unassigned</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unassigned; not applicable; component</x:v>
      </x:c>
      <x:c r="AF52" s="4" t="str">
        <x:v>From current item description. Proposed uses retain their existing approval status.</x:v>
      </x:c>
      <x:c r="AG52" s="4" t="str">
        <x:v>Choose a material/part route before assigning a tier. Processing-stage labels alone do not prove chain depth.</x:v>
      </x:c>
      <x:c r="AH52" s="4" t="str">
        <x:v>Not applicable</x:v>
      </x:c>
      <x:c r="AI52" s="4" t="str">
        <x:v>Component</x:v>
      </x:c>
      <x:c r="AJ52" s="4" t="n">
        <x:f>COUNTIFS('Material routes'!$D$6:$D$1005,A52,'Material routes'!$C$6:$C$1005,"Output")</x:f>
        <x:v>1</x:v>
      </x:c>
      <x:c r="AK52" s="4" t="n">
        <x:f>SUM(COUNTIFS('Material routes'!$D$6:$D$1005,A52,'Material routes'!$C$6:$C$1005,"Ingredient candidate"),COUNTIFS('Material routes'!$D$6:$D$1005,A52,'Material routes'!$C$6:$C$1005,"Consumed input"),COUNTIFS('Material routes'!$D$6:$D$1005,A52,'Material routes'!$C$6:$C$1005,"Contained input"),COUNTIFS('Material routes'!$D$6:$D$1005,A52,'Material routes'!$C$6:$C$1005,"Transform input"))</x:f>
        <x:v>0</x:v>
      </x:c>
      <x:c r="AL52" s="4" t="n">
        <x:f>COUNTIFS('Material routes'!$D$6:$D$1005,A52,'Material routes'!$C$6:$C$1005,"Tool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98</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routes'!$D$6:$D$1005,A53,'Material routes'!$C$6:$C$1005,"Output")</x:f>
        <x:v>1</x:v>
      </x:c>
      <x:c r="AK53" s="4" t="n">
        <x:f>SUM(COUNTIFS('Material routes'!$D$6:$D$1005,A53,'Material routes'!$C$6:$C$1005,"Ingredient candidate"),COUNTIFS('Material routes'!$D$6:$D$1005,A53,'Material routes'!$C$6:$C$1005,"Consumed input"),COUNTIFS('Material routes'!$D$6:$D$1005,A53,'Material routes'!$C$6:$C$1005,"Contained input"),COUNTIFS('Material routes'!$D$6:$D$1005,A53,'Material routes'!$C$6:$C$1005,"Transform input"))</x:f>
        <x:v>0</x:v>
      </x:c>
      <x:c r="AL53" s="4" t="n">
        <x:f>COUNTIFS('Material routes'!$D$6:$D$1005,A53,'Material routes'!$C$6:$C$1005,"Tool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66"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Tier requires a chosen production route; recovered ancient material is not automatically T4.</x:v>
      </x:c>
      <x:c r="AH54" s="4" t="str">
        <x:v>Unassigned</x:v>
      </x:c>
      <x:c r="AI54" s="4" t="str">
        <x:v>Material</x:v>
      </x:c>
      <x:c r="AJ54" s="4" t="n">
        <x:f>COUNTIFS('Material routes'!$D$6:$D$1005,A54,'Material routes'!$C$6:$C$1005,"Output")</x:f>
        <x:v>1</x:v>
      </x:c>
      <x:c r="AK54" s="4" t="n">
        <x:f>SUM(COUNTIFS('Material routes'!$D$6:$D$1005,A54,'Material routes'!$C$6:$C$1005,"Ingredient candidate"),COUNTIFS('Material routes'!$D$6:$D$1005,A54,'Material routes'!$C$6:$C$1005,"Consumed input"),COUNTIFS('Material routes'!$D$6:$D$1005,A54,'Material routes'!$C$6:$C$1005,"Contained input"),COUNTIFS('Material routes'!$D$6:$D$1005,A54,'Material routes'!$C$6:$C$1005,"Transform input"))</x:f>
        <x:v>0</x:v>
      </x:c>
      <x:c r="AL54" s="4" t="n">
        <x:f>COUNTIFS('Material routes'!$D$6:$D$1005,A54,'Material routes'!$C$6:$C$1005,"Tool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66" customHeight="1">
      <x:c r="A55" s="9" t="str">
        <x:v>proposal.bio.electrode</x:v>
      </x:c>
      <x:c r="B55" s="9" t="str">
        <x:v>Dry organ electrode scaffold</x:v>
      </x:c>
      <x:c r="C55" s="4" t="str">
        <x:v>Unassigned</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unassigned; not applicable; component</x:v>
      </x:c>
      <x:c r="AF55" s="4" t="str">
        <x:v>From current item description. Proposed uses retain their existing approval status.</x:v>
      </x:c>
      <x:c r="AG55" s="4" t="str">
        <x:v>Choose a material/part route before assigning a tier. Processing-stage labels alone do not prove chain depth.</x:v>
      </x:c>
      <x:c r="AH55" s="4" t="str">
        <x:v>Not applicable</x:v>
      </x:c>
      <x:c r="AI55" s="4" t="str">
        <x:v>Component</x:v>
      </x:c>
      <x:c r="AJ55" s="4" t="n">
        <x:f>COUNTIFS('Material routes'!$D$6:$D$1005,A55,'Material routes'!$C$6:$C$1005,"Output")</x:f>
        <x:v>1</x:v>
      </x:c>
      <x:c r="AK55" s="4" t="n">
        <x:f>SUM(COUNTIFS('Material routes'!$D$6:$D$1005,A55,'Material routes'!$C$6:$C$1005,"Ingredient candidate"),COUNTIFS('Material routes'!$D$6:$D$1005,A55,'Material routes'!$C$6:$C$1005,"Consumed input"),COUNTIFS('Material routes'!$D$6:$D$1005,A55,'Material routes'!$C$6:$C$1005,"Contained input"),COUNTIFS('Material routes'!$D$6:$D$1005,A55,'Material routes'!$C$6:$C$1005,"Transform input"))</x:f>
        <x:v>0</x:v>
      </x:c>
      <x:c r="AL55" s="4" t="n">
        <x:f>COUNTIFS('Material routes'!$D$6:$D$1005,A55,'Material routes'!$C$6:$C$1005,"Tool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98</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75" customHeight="1">
      <x:c r="A56" s="9" t="str">
        <x:v>proposal.natural.charcoal</x:v>
      </x:c>
      <x:c r="B56" s="9" t="str">
        <x:v>Charcoal</x:v>
      </x:c>
      <x:c r="C56" s="4" t="str">
        <x:v>Unassigned</x:v>
      </x:c>
      <x:c r="D56" s="9" t="str">
        <x:v>Resources</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resources; processed fuel; processed material; processed intermediate; unresolved; fuel; carbonaceous material; particles; author direction; metal refining; unassigned; not applicable; material</x:v>
      </x:c>
      <x:c r="AF56" s="4" t="str">
        <x:v>From current item description. Proposed uses retain their existing approval status.</x:v>
      </x:c>
      <x:c r="AG56" s="4" t="str">
        <x:v>Choose a material/part route before assigning a tier. Processing-stage labels alone do not prove chain depth.</x:v>
      </x:c>
      <x:c r="AH56" s="4" t="str">
        <x:v>Not applicable</x:v>
      </x:c>
      <x:c r="AI56" s="4" t="str">
        <x:v>Material</x:v>
      </x:c>
      <x:c r="AJ56" s="4" t="n">
        <x:f>COUNTIFS('Material routes'!$D$6:$D$1005,A56,'Material routes'!$C$6:$C$1005,"Output")</x:f>
        <x:v>1</x:v>
      </x:c>
      <x:c r="AK56" s="4" t="n">
        <x:f>SUM(COUNTIFS('Material routes'!$D$6:$D$1005,A56,'Material routes'!$C$6:$C$1005,"Ingredient candidate"),COUNTIFS('Material routes'!$D$6:$D$1005,A56,'Material routes'!$C$6:$C$1005,"Consumed input"),COUNTIFS('Material routes'!$D$6:$D$1005,A56,'Material routes'!$C$6:$C$1005,"Contained input"),COUNTIFS('Material routes'!$D$6:$D$1005,A56,'Material routes'!$C$6:$C$1005,"Transform input"))</x:f>
        <x:v>0</x:v>
      </x:c>
      <x:c r="AL56" s="4" t="n">
        <x:f>COUNTIFS('Material routes'!$D$6:$D$1005,A56,'Material routes'!$C$6:$C$1005,"Tool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98</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resources; raw mineral; raw material; raw; geological; metal refining; mineral; rock; author direction; ; t0; not applicable; material</x:v>
      </x:c>
      <x:c r="AF57" s="4" t="str">
        <x:v>From current item description. Proposed uses retain their existing approval status.</x:v>
      </x:c>
      <x:c r="AG57" s="4" t="str">
        <x:v>Raw gathered/recovered craft input under the author T0 framework. This does not imply a naturally occurring pure metal.</x:v>
      </x:c>
      <x:c r="AH57" s="4" t="str">
        <x:v>Not applicable</x:v>
      </x:c>
      <x:c r="AI57" s="4" t="str">
        <x:v>Material</x:v>
      </x:c>
      <x:c r="AJ57" s="4" t="n">
        <x:f>COUNTIFS('Material routes'!$D$6:$D$1005,A57,'Material routes'!$C$6:$C$1005,"Output")</x:f>
        <x:v>0</x:v>
      </x:c>
      <x:c r="AK57" s="4" t="n">
        <x:f>SUM(COUNTIFS('Material routes'!$D$6:$D$1005,A57,'Material routes'!$C$6:$C$1005,"Ingredient candidate"),COUNTIFS('Material routes'!$D$6:$D$1005,A57,'Material routes'!$C$6:$C$1005,"Consumed input"),COUNTIFS('Material routes'!$D$6:$D$1005,A57,'Material routes'!$C$6:$C$1005,"Contained input"),COUNTIFS('Material routes'!$D$6:$D$1005,A57,'Material routes'!$C$6:$C$1005,"Transform input"))</x:f>
        <x:v>1</x:v>
      </x:c>
      <x:c r="AL57" s="4" t="n">
        <x:f>COUNTIFS('Material routes'!$D$6:$D$1005,A57,'Material routes'!$C$6:$C$1005,"Tool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75" customHeight="1">
      <x:c r="A58" s="9" t="str">
        <x:v>proposal.natural.copper_ore</x:v>
      </x:c>
      <x:c r="B58" s="9" t="str">
        <x:v>Copper ore</x:v>
      </x:c>
      <x:c r="C58" s="4" t="str">
        <x:v>Unassigned</x:v>
      </x:c>
      <x:c r="D58" s="9" t="str">
        <x:v>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resources; sorted ore; raw material; processed intermediate; geological; metal refining; mineral; rock; author direction; ; unassigned; not applicable; material</x:v>
      </x:c>
      <x:c r="AF58" s="4" t="str">
        <x:v>From current item description. Proposed uses retain their existing approval status.</x:v>
      </x:c>
      <x:c r="AG58" s="4" t="str">
        <x:v>Choose a material/part route before assigning a tier. Processing-stage labels alone do not prove chain depth.</x:v>
      </x:c>
      <x:c r="AH58" s="4" t="str">
        <x:v>Not applicable</x:v>
      </x:c>
      <x:c r="AI58" s="4" t="str">
        <x:v>Material</x:v>
      </x:c>
      <x:c r="AJ58" s="4" t="n">
        <x:f>COUNTIFS('Material routes'!$D$6:$D$1005,A58,'Material routes'!$C$6:$C$1005,"Output")</x:f>
        <x:v>1</x:v>
      </x:c>
      <x:c r="AK58" s="4" t="n">
        <x:f>SUM(COUNTIFS('Material routes'!$D$6:$D$1005,A58,'Material routes'!$C$6:$C$1005,"Ingredient candidate"),COUNTIFS('Material routes'!$D$6:$D$1005,A58,'Material routes'!$C$6:$C$1005,"Consumed input"),COUNTIFS('Material routes'!$D$6:$D$1005,A58,'Material routes'!$C$6:$C$1005,"Contained input"),COUNTIFS('Material routes'!$D$6:$D$1005,A58,'Material routes'!$C$6:$C$1005,"Transform input"))</x:f>
        <x:v>1</x:v>
      </x:c>
      <x:c r="AL58" s="4" t="n">
        <x:f>COUNTIFS('Material routes'!$D$6:$D$1005,A58,'Material routes'!$C$6:$C$1005,"Tool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98</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resources; unworked metal; processed material; unworked metal; geological; electrical conduction; metal; solid piece; author direction; fabrication; t0; not applicable; material</x:v>
      </x:c>
      <x:c r="AF59" s="4" t="str">
        <x:v>From current item description. Proposed uses retain their existing approval status.</x:v>
      </x:c>
      <x:c r="AG59" s="4" t="str">
        <x:v>Raw gathered/recovered craft input under the author T0 framework. This does not imply a naturally occurring pure metal.</x:v>
      </x:c>
      <x:c r="AH59" s="4" t="str">
        <x:v>Not applicable</x:v>
      </x:c>
      <x:c r="AI59" s="4" t="str">
        <x:v>Material</x:v>
      </x:c>
      <x:c r="AJ59" s="4" t="n">
        <x:f>COUNTIFS('Material routes'!$D$6:$D$1005,A59,'Material routes'!$C$6:$C$1005,"Output")</x:f>
        <x:v>1</x:v>
      </x:c>
      <x:c r="AK59" s="4" t="n">
        <x:f>SUM(COUNTIFS('Material routes'!$D$6:$D$1005,A59,'Material routes'!$C$6:$C$1005,"Ingredient candidate"),COUNTIFS('Material routes'!$D$6:$D$1005,A59,'Material routes'!$C$6:$C$1005,"Consumed input"),COUNTIFS('Material routes'!$D$6:$D$1005,A59,'Material routes'!$C$6:$C$1005,"Contained input"),COUNTIFS('Material routes'!$D$6:$D$1005,A59,'Material routes'!$C$6:$C$1005,"Transform input"))</x:f>
        <x:v>2</x:v>
      </x:c>
      <x:c r="AL59" s="4" t="n">
        <x:f>COUNTIFS('Material routes'!$D$6:$D$1005,A59,'Material routes'!$C$6:$C$1005,"Tool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resources; raw mineral; raw material; raw; geological; metal refining; mineral; rock; author direction; tool fabrication; t0; not applicable; material</x:v>
      </x:c>
      <x:c r="AF60" s="4" t="str">
        <x:v>From current item description. Proposed uses retain their existing approval status.</x:v>
      </x:c>
      <x:c r="AG60" s="4" t="str">
        <x:v>Raw gathered/recovered craft input under the author T0 framework. This does not imply a naturally occurring pure metal.</x:v>
      </x:c>
      <x:c r="AH60" s="4" t="str">
        <x:v>Not applicable</x:v>
      </x:c>
      <x:c r="AI60" s="4" t="str">
        <x:v>Material</x:v>
      </x:c>
      <x:c r="AJ60" s="4" t="n">
        <x:f>COUNTIFS('Material routes'!$D$6:$D$1005,A60,'Material routes'!$C$6:$C$1005,"Output")</x:f>
        <x:v>0</x:v>
      </x:c>
      <x:c r="AK60" s="4" t="n">
        <x:f>SUM(COUNTIFS('Material routes'!$D$6:$D$1005,A60,'Material routes'!$C$6:$C$1005,"Ingredient candidate"),COUNTIFS('Material routes'!$D$6:$D$1005,A60,'Material routes'!$C$6:$C$1005,"Consumed input"),COUNTIFS('Material routes'!$D$6:$D$1005,A60,'Material routes'!$C$6:$C$1005,"Contained input"),COUNTIFS('Material routes'!$D$6:$D$1005,A60,'Material routes'!$C$6:$C$1005,"Transform input"))</x:f>
        <x:v>0</x:v>
      </x:c>
      <x:c r="AL60" s="4" t="n">
        <x:f>COUNTIFS('Material routes'!$D$6:$D$1005,A60,'Material routes'!$C$6:$C$1005,"Tool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resources; raw mineral; raw material; raw; geological; metal refining; mineral; rock; author direction; ; t0; not applicable; material</x:v>
      </x:c>
      <x:c r="AF61" s="4" t="str">
        <x:v>From current item description. Proposed uses retain their existing approval status.</x:v>
      </x:c>
      <x:c r="AG61" s="4" t="str">
        <x:v>Raw gathered/recovered craft input under the author T0 framework. This does not imply a naturally occurring pure metal.</x:v>
      </x:c>
      <x:c r="AH61" s="4" t="str">
        <x:v>Not applicable</x:v>
      </x:c>
      <x:c r="AI61" s="4" t="str">
        <x:v>Material</x:v>
      </x:c>
      <x:c r="AJ61" s="4" t="n">
        <x:f>COUNTIFS('Material routes'!$D$6:$D$1005,A61,'Material routes'!$C$6:$C$1005,"Output")</x:f>
        <x:v>0</x:v>
      </x:c>
      <x:c r="AK61" s="4" t="n">
        <x:f>SUM(COUNTIFS('Material routes'!$D$6:$D$1005,A61,'Material routes'!$C$6:$C$1005,"Ingredient candidate"),COUNTIFS('Material routes'!$D$6:$D$1005,A61,'Material routes'!$C$6:$C$1005,"Consumed input"),COUNTIFS('Material routes'!$D$6:$D$1005,A61,'Material routes'!$C$6:$C$1005,"Contained input"),COUNTIFS('Material routes'!$D$6:$D$1005,A61,'Material routes'!$C$6:$C$1005,"Transform input"))</x:f>
        <x:v>1</x:v>
      </x:c>
      <x:c r="AL61" s="4" t="n">
        <x:f>COUNTIFS('Material routes'!$D$6:$D$1005,A61,'Material routes'!$C$6:$C$1005,"Tool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resources; unworked metal; processed material; unworked metal; geological; fabrication; metal; solid piece; author direction; ; t0; not applicable; material</x:v>
      </x:c>
      <x:c r="AF62" s="4" t="str">
        <x:v>From current item description. Proposed uses retain their existing approval status.</x:v>
      </x:c>
      <x:c r="AG62" s="4" t="str">
        <x:v>Raw gathered/recovered craft input under the author T0 framework. This does not imply a naturally occurring pure metal.</x:v>
      </x:c>
      <x:c r="AH62" s="4" t="str">
        <x:v>Not applicable</x:v>
      </x:c>
      <x:c r="AI62" s="4" t="str">
        <x:v>Material</x:v>
      </x:c>
      <x:c r="AJ62" s="4" t="n">
        <x:f>COUNTIFS('Material routes'!$D$6:$D$1005,A62,'Material routes'!$C$6:$C$1005,"Output")</x:f>
        <x:v>1</x:v>
      </x:c>
      <x:c r="AK62" s="4" t="n">
        <x:f>SUM(COUNTIFS('Material routes'!$D$6:$D$1005,A62,'Material routes'!$C$6:$C$1005,"Ingredient candidate"),COUNTIFS('Material routes'!$D$6:$D$1005,A62,'Material routes'!$C$6:$C$1005,"Consumed input"),COUNTIFS('Material routes'!$D$6:$D$1005,A62,'Material routes'!$C$6:$C$1005,"Contained input"),COUNTIFS('Material routes'!$D$6:$D$1005,A62,'Material routes'!$C$6:$C$1005,"Transform input"))</x:f>
        <x:v>0</x:v>
      </x:c>
      <x:c r="AL62" s="4" t="n">
        <x:f>COUNTIFS('Material routes'!$D$6:$D$1005,A62,'Material routes'!$C$6:$C$1005,"Tool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resources; iron oxide mineral; raw material; raw; geological; metal refining; mineral; rock; author direction; ; t0; not applicable; material</x:v>
      </x:c>
      <x:c r="AF63" s="4" t="str">
        <x:v>From current item description. Proposed uses retain their existing approval status.</x:v>
      </x:c>
      <x:c r="AG63" s="4" t="str">
        <x:v>Raw gathered/recovered craft input under the author T0 framework. This does not imply a naturally occurring pure metal.</x:v>
      </x:c>
      <x:c r="AH63" s="4" t="str">
        <x:v>Not applicable</x:v>
      </x:c>
      <x:c r="AI63" s="4" t="str">
        <x:v>Material</x:v>
      </x:c>
      <x:c r="AJ63" s="4" t="n">
        <x:f>COUNTIFS('Material routes'!$D$6:$D$1005,A63,'Material routes'!$C$6:$C$1005,"Output")</x:f>
        <x:v>0</x:v>
      </x:c>
      <x:c r="AK63" s="4" t="n">
        <x:f>SUM(COUNTIFS('Material routes'!$D$6:$D$1005,A63,'Material routes'!$C$6:$C$1005,"Ingredient candidate"),COUNTIFS('Material routes'!$D$6:$D$1005,A63,'Material routes'!$C$6:$C$1005,"Consumed input"),COUNTIFS('Material routes'!$D$6:$D$1005,A63,'Material routes'!$C$6:$C$1005,"Contained input"),COUNTIFS('Material routes'!$D$6:$D$1005,A63,'Material routes'!$C$6:$C$1005,"Transform input"))</x:f>
        <x:v>1</x:v>
      </x:c>
      <x:c r="AL63" s="4" t="n">
        <x:f>COUNTIFS('Material routes'!$D$6:$D$1005,A63,'Material routes'!$C$6:$C$1005,"Tool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resources; native nonmetal; raw material; raw; geological; chemical processing; mineral; rock; author direction; ; t0; not applicable; material</x:v>
      </x:c>
      <x:c r="AF64" s="4" t="str">
        <x:v>From current item description. Proposed uses retain their existing approval status.</x:v>
      </x:c>
      <x:c r="AG64" s="4" t="str">
        <x:v>Raw gathered/recovered craft input under the author T0 framework. This does not imply a naturally occurring pure metal.</x:v>
      </x:c>
      <x:c r="AH64" s="4" t="str">
        <x:v>Not applicable</x:v>
      </x:c>
      <x:c r="AI64" s="4" t="str">
        <x:v>Material</x:v>
      </x:c>
      <x:c r="AJ64" s="4" t="n">
        <x:f>COUNTIFS('Material routes'!$D$6:$D$1005,A64,'Material routes'!$C$6:$C$1005,"Output")</x:f>
        <x:v>0</x:v>
      </x:c>
      <x:c r="AK64" s="4" t="n">
        <x:f>SUM(COUNTIFS('Material routes'!$D$6:$D$1005,A64,'Material routes'!$C$6:$C$1005,"Ingredient candidate"),COUNTIFS('Material routes'!$D$6:$D$1005,A64,'Material routes'!$C$6:$C$1005,"Consumed input"),COUNTIFS('Material routes'!$D$6:$D$1005,A64,'Material routes'!$C$6:$C$1005,"Contained input"),COUNTIFS('Material routes'!$D$6:$D$1005,A64,'Material routes'!$C$6:$C$1005,"Transform input"))</x:f>
        <x:v>0</x:v>
      </x:c>
      <x:c r="AL64" s="4" t="n">
        <x:f>COUNTIFS('Material routes'!$D$6:$D$1005,A64,'Material routes'!$C$6:$C$1005,"Tool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resources; evaporite mineral; raw material; raw; geological; glass and ceramics; mineral; rock; proposal; ; t0; not applicable; material</x:v>
      </x:c>
      <x:c r="AF65" s="4" t="str">
        <x:v>From current item description. Proposed uses retain their existing approval status.</x:v>
      </x:c>
      <x:c r="AG65" s="4" t="str">
        <x:v>Raw gathered/recovered craft input under the author T0 framework. This does not imply a naturally occurring pure metal.</x:v>
      </x:c>
      <x:c r="AH65" s="4" t="str">
        <x:v>Not applicable</x:v>
      </x:c>
      <x:c r="AI65" s="4" t="str">
        <x:v>Material</x:v>
      </x:c>
      <x:c r="AJ65" s="4" t="n">
        <x:f>COUNTIFS('Material routes'!$D$6:$D$1005,A65,'Material routes'!$C$6:$C$1005,"Output")</x:f>
        <x:v>0</x:v>
      </x:c>
      <x:c r="AK65" s="4" t="n">
        <x:f>SUM(COUNTIFS('Material routes'!$D$6:$D$1005,A65,'Material routes'!$C$6:$C$1005,"Ingredient candidate"),COUNTIFS('Material routes'!$D$6:$D$1005,A65,'Material routes'!$C$6:$C$1005,"Consumed input"),COUNTIFS('Material routes'!$D$6:$D$1005,A65,'Material routes'!$C$6:$C$1005,"Contained input"),COUNTIFS('Material routes'!$D$6:$D$1005,A65,'Material routes'!$C$6:$C$1005,"Transform input"))</x:f>
        <x:v>2</x:v>
      </x:c>
      <x:c r="AL65" s="4" t="n">
        <x:f>COUNTIFS('Material routes'!$D$6:$D$1005,A65,'Material routes'!$C$6:$C$1005,"Tool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resources; sulfate mineral; raw material; raw; geological; glass and ceramics; mineral; rock; proposal; ; t0; not applicable; material</x:v>
      </x:c>
      <x:c r="AF66" s="4" t="str">
        <x:v>From current item description. Proposed uses retain their existing approval status.</x:v>
      </x:c>
      <x:c r="AG66" s="4" t="str">
        <x:v>Raw gathered/recovered craft input under the author T0 framework. This does not imply a naturally occurring pure metal.</x:v>
      </x:c>
      <x:c r="AH66" s="4" t="str">
        <x:v>Not applicable</x:v>
      </x:c>
      <x:c r="AI66" s="4" t="str">
        <x:v>Material</x:v>
      </x:c>
      <x:c r="AJ66" s="4" t="n">
        <x:f>COUNTIFS('Material routes'!$D$6:$D$1005,A66,'Material routes'!$C$6:$C$1005,"Output")</x:f>
        <x:v>0</x:v>
      </x:c>
      <x:c r="AK66" s="4" t="n">
        <x:f>SUM(COUNTIFS('Material routes'!$D$6:$D$1005,A66,'Material routes'!$C$6:$C$1005,"Ingredient candidate"),COUNTIFS('Material routes'!$D$6:$D$1005,A66,'Material routes'!$C$6:$C$1005,"Consumed input"),COUNTIFS('Material routes'!$D$6:$D$1005,A66,'Material routes'!$C$6:$C$1005,"Contained input"),COUNTIFS('Material routes'!$D$6:$D$1005,A66,'Material routes'!$C$6:$C$1005,"Transform input"))</x:f>
        <x:v>0</x:v>
      </x:c>
      <x:c r="AL66" s="4" t="n">
        <x:f>COUNTIFS('Material routes'!$D$6:$D$1005,A66,'Material routes'!$C$6:$C$1005,"Tool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resources; industrial mineral; raw material; raw; geological; glass and ceramics; mineral; rock; proposal; surface finishing; t0; not applicable; material</x:v>
      </x:c>
      <x:c r="AF67" s="4" t="str">
        <x:v>From current item description. Proposed uses retain their existing approval status.</x:v>
      </x:c>
      <x:c r="AG67" s="4" t="str">
        <x:v>Raw gathered/recovered craft input under the author T0 framework. This does not imply a naturally occurring pure metal.</x:v>
      </x:c>
      <x:c r="AH67" s="4" t="str">
        <x:v>Not applicable</x:v>
      </x:c>
      <x:c r="AI67" s="4" t="str">
        <x:v>Material</x:v>
      </x:c>
      <x:c r="AJ67" s="4" t="n">
        <x:f>COUNTIFS('Material routes'!$D$6:$D$1005,A67,'Material routes'!$C$6:$C$1005,"Output")</x:f>
        <x:v>0</x:v>
      </x:c>
      <x:c r="AK67" s="4" t="n">
        <x:f>SUM(COUNTIFS('Material routes'!$D$6:$D$1005,A67,'Material routes'!$C$6:$C$1005,"Ingredient candidate"),COUNTIFS('Material routes'!$D$6:$D$1005,A67,'Material routes'!$C$6:$C$1005,"Consumed input"),COUNTIFS('Material routes'!$D$6:$D$1005,A67,'Material routes'!$C$6:$C$1005,"Contained input"),COUNTIFS('Material routes'!$D$6:$D$1005,A67,'Material routes'!$C$6:$C$1005,"Transform input"))</x:f>
        <x:v>0</x:v>
      </x:c>
      <x:c r="AL67" s="4" t="n">
        <x:f>COUNTIFS('Material routes'!$D$6:$D$1005,A67,'Material routes'!$C$6:$C$1005,"Tool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resources; raw mineral; raw material; raw; geological; metal refining; mineral; rock; proposal; decoration; t0; not applicable; material</x:v>
      </x:c>
      <x:c r="AF68" s="4" t="str">
        <x:v>From current item description. Proposed uses retain their existing approval status.</x:v>
      </x:c>
      <x:c r="AG68" s="4" t="str">
        <x:v>Raw gathered/recovered craft input under the author T0 framework. This does not imply a naturally occurring pure metal.</x:v>
      </x:c>
      <x:c r="AH68" s="4" t="str">
        <x:v>Not applicable</x:v>
      </x:c>
      <x:c r="AI68" s="4" t="str">
        <x:v>Material</x:v>
      </x:c>
      <x:c r="AJ68" s="4" t="n">
        <x:f>COUNTIFS('Material routes'!$D$6:$D$1005,A68,'Material routes'!$C$6:$C$1005,"Output")</x:f>
        <x:v>0</x:v>
      </x:c>
      <x:c r="AK68" s="4" t="n">
        <x:f>SUM(COUNTIFS('Material routes'!$D$6:$D$1005,A68,'Material routes'!$C$6:$C$1005,"Ingredient candidate"),COUNTIFS('Material routes'!$D$6:$D$1005,A68,'Material routes'!$C$6:$C$1005,"Consumed input"),COUNTIFS('Material routes'!$D$6:$D$1005,A68,'Material routes'!$C$6:$C$1005,"Contained input"),COUNTIFS('Material routes'!$D$6:$D$1005,A68,'Material routes'!$C$6:$C$1005,"Transform input"))</x:f>
        <x:v>1</x:v>
      </x:c>
      <x:c r="AL68" s="4" t="n">
        <x:f>COUNTIFS('Material routes'!$D$6:$D$1005,A68,'Material routes'!$C$6:$C$1005,"Tool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resources; raw mineral; raw material; raw; geological; metal refining; mineral; rock; proposal; ; t0; not applicable; material</x:v>
      </x:c>
      <x:c r="AF69" s="4" t="str">
        <x:v>From current item description. Proposed uses retain their existing approval status.</x:v>
      </x:c>
      <x:c r="AG69" s="4" t="str">
        <x:v>Raw gathered/recovered craft input under the author T0 framework. This does not imply a naturally occurring pure metal.</x:v>
      </x:c>
      <x:c r="AH69" s="4" t="str">
        <x:v>Not applicable</x:v>
      </x:c>
      <x:c r="AI69" s="4" t="str">
        <x:v>Material</x:v>
      </x:c>
      <x:c r="AJ69" s="4" t="n">
        <x:f>COUNTIFS('Material routes'!$D$6:$D$1005,A69,'Material routes'!$C$6:$C$1005,"Output")</x:f>
        <x:v>0</x:v>
      </x:c>
      <x:c r="AK69" s="4" t="n">
        <x:f>SUM(COUNTIFS('Material routes'!$D$6:$D$1005,A69,'Material routes'!$C$6:$C$1005,"Ingredient candidate"),COUNTIFS('Material routes'!$D$6:$D$1005,A69,'Material routes'!$C$6:$C$1005,"Consumed input"),COUNTIFS('Material routes'!$D$6:$D$1005,A69,'Material routes'!$C$6:$C$1005,"Contained input"),COUNTIFS('Material routes'!$D$6:$D$1005,A69,'Material routes'!$C$6:$C$1005,"Transform input"))</x:f>
        <x:v>0</x:v>
      </x:c>
      <x:c r="AL69" s="4" t="n">
        <x:f>COUNTIFS('Material routes'!$D$6:$D$1005,A69,'Material routes'!$C$6:$C$1005,"Tool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resources; raw mineral; raw material; raw; geological; metal refining; mineral; rock; proposal; ; t0; not applicable; material</x:v>
      </x:c>
      <x:c r="AF70" s="4" t="str">
        <x:v>From current item description. Proposed uses retain their existing approval status.</x:v>
      </x:c>
      <x:c r="AG70" s="4" t="str">
        <x:v>Raw gathered/recovered craft input under the author T0 framework. This does not imply a naturally occurring pure metal.</x:v>
      </x:c>
      <x:c r="AH70" s="4" t="str">
        <x:v>Not applicable</x:v>
      </x:c>
      <x:c r="AI70" s="4" t="str">
        <x:v>Material</x:v>
      </x:c>
      <x:c r="AJ70" s="4" t="n">
        <x:f>COUNTIFS('Material routes'!$D$6:$D$1005,A70,'Material routes'!$C$6:$C$1005,"Output")</x:f>
        <x:v>0</x:v>
      </x:c>
      <x:c r="AK70" s="4" t="n">
        <x:f>SUM(COUNTIFS('Material routes'!$D$6:$D$1005,A70,'Material routes'!$C$6:$C$1005,"Ingredient candidate"),COUNTIFS('Material routes'!$D$6:$D$1005,A70,'Material routes'!$C$6:$C$1005,"Consumed input"),COUNTIFS('Material routes'!$D$6:$D$1005,A70,'Material routes'!$C$6:$C$1005,"Contained input"),COUNTIFS('Material routes'!$D$6:$D$1005,A70,'Material routes'!$C$6:$C$1005,"Transform input"))</x:f>
        <x:v>0</x:v>
      </x:c>
      <x:c r="AL70" s="4" t="n">
        <x:f>COUNTIFS('Material routes'!$D$6:$D$1005,A70,'Material routes'!$C$6:$C$1005,"Tool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resources; raw mineral; raw material; raw; geological; metal refining; mineral; rock; proposal; electrical conduction; t0; not applicable; material</x:v>
      </x:c>
      <x:c r="AF71" s="4" t="str">
        <x:v>From current item description. Proposed uses retain their existing approval status.</x:v>
      </x:c>
      <x:c r="AG71" s="4" t="str">
        <x:v>Raw gathered/recovered craft input under the author T0 framework. This does not imply a naturally occurring pure metal.</x:v>
      </x:c>
      <x:c r="AH71" s="4" t="str">
        <x:v>Not applicable</x:v>
      </x:c>
      <x:c r="AI71" s="4" t="str">
        <x:v>Material</x:v>
      </x:c>
      <x:c r="AJ71" s="4" t="n">
        <x:f>COUNTIFS('Material routes'!$D$6:$D$1005,A71,'Material routes'!$C$6:$C$1005,"Output")</x:f>
        <x:v>0</x:v>
      </x:c>
      <x:c r="AK71" s="4" t="n">
        <x:f>SUM(COUNTIFS('Material routes'!$D$6:$D$1005,A71,'Material routes'!$C$6:$C$1005,"Ingredient candidate"),COUNTIFS('Material routes'!$D$6:$D$1005,A71,'Material routes'!$C$6:$C$1005,"Consumed input"),COUNTIFS('Material routes'!$D$6:$D$1005,A71,'Material routes'!$C$6:$C$1005,"Contained input"),COUNTIFS('Material routes'!$D$6:$D$1005,A71,'Material routes'!$C$6:$C$1005,"Transform input"))</x:f>
        <x:v>0</x:v>
      </x:c>
      <x:c r="AL71" s="4" t="n">
        <x:f>COUNTIFS('Material routes'!$D$6:$D$1005,A71,'Material routes'!$C$6:$C$1005,"Tool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resources; raw mineral; raw material; raw; geological; metal refining; mineral; rock; proposal; decoration; t0; not applicable; material</x:v>
      </x:c>
      <x:c r="AF72" s="4" t="str">
        <x:v>From current item description. Proposed uses retain their existing approval status.</x:v>
      </x:c>
      <x:c r="AG72" s="4" t="str">
        <x:v>Raw gathered/recovered craft input under the author T0 framework. This does not imply a naturally occurring pure metal.</x:v>
      </x:c>
      <x:c r="AH72" s="4" t="str">
        <x:v>Not applicable</x:v>
      </x:c>
      <x:c r="AI72" s="4" t="str">
        <x:v>Material</x:v>
      </x:c>
      <x:c r="AJ72" s="4" t="n">
        <x:f>COUNTIFS('Material routes'!$D$6:$D$1005,A72,'Material routes'!$C$6:$C$1005,"Output")</x:f>
        <x:v>0</x:v>
      </x:c>
      <x:c r="AK72" s="4" t="n">
        <x:f>SUM(COUNTIFS('Material routes'!$D$6:$D$1005,A72,'Material routes'!$C$6:$C$1005,"Ingredient candidate"),COUNTIFS('Material routes'!$D$6:$D$1005,A72,'Material routes'!$C$6:$C$1005,"Consumed input"),COUNTIFS('Material routes'!$D$6:$D$1005,A72,'Material routes'!$C$6:$C$1005,"Contained input"),COUNTIFS('Material routes'!$D$6:$D$1005,A72,'Material routes'!$C$6:$C$1005,"Transform input"))</x:f>
        <x:v>0</x:v>
      </x:c>
      <x:c r="AL72" s="4" t="n">
        <x:f>COUNTIFS('Material routes'!$D$6:$D$1005,A72,'Material routes'!$C$6:$C$1005,"Tool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resources; industrial mineral; raw material; raw; geological; glass and ceramics; mineral; rock; proposal; metal refining; t0; not applicable; material</x:v>
      </x:c>
      <x:c r="AF73" s="4" t="str">
        <x:v>From current item description. Proposed uses retain their existing approval status.</x:v>
      </x:c>
      <x:c r="AG73" s="4" t="str">
        <x:v>Raw gathered/recovered craft input under the author T0 framework. This does not imply a naturally occurring pure metal.</x:v>
      </x:c>
      <x:c r="AH73" s="4" t="str">
        <x:v>Not applicable</x:v>
      </x:c>
      <x:c r="AI73" s="4" t="str">
        <x:v>Material</x:v>
      </x:c>
      <x:c r="AJ73" s="4" t="n">
        <x:f>COUNTIFS('Material routes'!$D$6:$D$1005,A73,'Material routes'!$C$6:$C$1005,"Output")</x:f>
        <x:v>0</x:v>
      </x:c>
      <x:c r="AK73" s="4" t="n">
        <x:f>SUM(COUNTIFS('Material routes'!$D$6:$D$1005,A73,'Material routes'!$C$6:$C$1005,"Ingredient candidate"),COUNTIFS('Material routes'!$D$6:$D$1005,A73,'Material routes'!$C$6:$C$1005,"Consumed input"),COUNTIFS('Material routes'!$D$6:$D$1005,A73,'Material routes'!$C$6:$C$1005,"Contained input"),COUNTIFS('Material routes'!$D$6:$D$1005,A73,'Material routes'!$C$6:$C$1005,"Transform input"))</x:f>
        <x:v>0</x:v>
      </x:c>
      <x:c r="AL73" s="4" t="n">
        <x:f>COUNTIFS('Material routes'!$D$6:$D$1005,A73,'Material routes'!$C$6:$C$1005,"Tool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resources; raw mineral; raw material; raw; geological; metal refining; mineral; rock; proposal; ; t0; not applicable; material</x:v>
      </x:c>
      <x:c r="AF74" s="4" t="str">
        <x:v>From current item description. Proposed uses retain their existing approval status.</x:v>
      </x:c>
      <x:c r="AG74" s="4" t="str">
        <x:v>Raw gathered/recovered craft input under the author T0 framework. This does not imply a naturally occurring pure metal.</x:v>
      </x:c>
      <x:c r="AH74" s="4" t="str">
        <x:v>Not applicable</x:v>
      </x:c>
      <x:c r="AI74" s="4" t="str">
        <x:v>Material</x:v>
      </x:c>
      <x:c r="AJ74" s="4" t="n">
        <x:f>COUNTIFS('Material routes'!$D$6:$D$1005,A74,'Material routes'!$C$6:$C$1005,"Output")</x:f>
        <x:v>0</x:v>
      </x:c>
      <x:c r="AK74" s="4" t="n">
        <x:f>SUM(COUNTIFS('Material routes'!$D$6:$D$1005,A74,'Material routes'!$C$6:$C$1005,"Ingredient candidate"),COUNTIFS('Material routes'!$D$6:$D$1005,A74,'Material routes'!$C$6:$C$1005,"Consumed input"),COUNTIFS('Material routes'!$D$6:$D$1005,A74,'Material routes'!$C$6:$C$1005,"Contained input"),COUNTIFS('Material routes'!$D$6:$D$1005,A74,'Material routes'!$C$6:$C$1005,"Transform input"))</x:f>
        <x:v>0</x:v>
      </x:c>
      <x:c r="AL74" s="4" t="n">
        <x:f>COUNTIFS('Material routes'!$D$6:$D$1005,A74,'Material routes'!$C$6:$C$1005,"Tool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resources; raw husk fiber; raw material; raw; fauna; paper making; shell / chitin; fiber; author direction; textile processing; t0; not applicable; material</x:v>
      </x:c>
      <x:c r="AF75" s="4" t="str">
        <x:v>From current item description. Proposed uses retain their existing approval status.</x:v>
      </x:c>
      <x:c r="AG75" s="4" t="str">
        <x:v>Raw gathered/recovered craft input under the author T0 framework. This does not imply a naturally occurring pure metal.</x:v>
      </x:c>
      <x:c r="AH75" s="4" t="str">
        <x:v>Not applicable</x:v>
      </x:c>
      <x:c r="AI75" s="4" t="str">
        <x:v>Material</x:v>
      </x:c>
      <x:c r="AJ75" s="4" t="n">
        <x:f>COUNTIFS('Material routes'!$D$6:$D$1005,A75,'Material routes'!$C$6:$C$1005,"Output")</x:f>
        <x:v>1</x:v>
      </x:c>
      <x:c r="AK75" s="4" t="n">
        <x:f>SUM(COUNTIFS('Material routes'!$D$6:$D$1005,A75,'Material routes'!$C$6:$C$1005,"Ingredient candidate"),COUNTIFS('Material routes'!$D$6:$D$1005,A75,'Material routes'!$C$6:$C$1005,"Consumed input"),COUNTIFS('Material routes'!$D$6:$D$1005,A75,'Material routes'!$C$6:$C$1005,"Contained input"),COUNTIFS('Material routes'!$D$6:$D$1005,A75,'Material routes'!$C$6:$C$1005,"Transform input"))</x:f>
        <x:v>3</x:v>
      </x:c>
      <x:c r="AL75" s="4" t="n">
        <x:f>COUNTIFS('Material routes'!$D$6:$D$1005,A75,'Material routes'!$C$6:$C$1005,"Tool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x:v>
      </x:c>
      <x:c r="AG76" s="4" t="str">
        <x:v>Raw gathered/recovered craft input under the author T0 framework. This does not imply a naturally occurring pure metal.</x:v>
      </x:c>
      <x:c r="AH76" s="4" t="str">
        <x:v>Not applicable</x:v>
      </x:c>
      <x:c r="AI76" s="4" t="str">
        <x:v>Material</x:v>
      </x:c>
      <x:c r="AJ76" s="4" t="n">
        <x:f>COUNTIFS('Material routes'!$D$6:$D$1005,A76,'Material routes'!$C$6:$C$1005,"Output")</x:f>
        <x:v>1</x:v>
      </x:c>
      <x:c r="AK76" s="4" t="n">
        <x:f>SUM(COUNTIFS('Material routes'!$D$6:$D$1005,A76,'Material routes'!$C$6:$C$1005,"Ingredient candidate"),COUNTIFS('Material routes'!$D$6:$D$1005,A76,'Material routes'!$C$6:$C$1005,"Consumed input"),COUNTIFS('Material routes'!$D$6:$D$1005,A76,'Material routes'!$C$6:$C$1005,"Contained input"),COUNTIFS('Material routes'!$D$6:$D$1005,A76,'Material routes'!$C$6:$C$1005,"Transform input"))</x:f>
        <x:v>2</x:v>
      </x:c>
      <x:c r="AL76" s="4" t="n">
        <x:f>COUNTIFS('Material routes'!$D$6:$D$1005,A76,'Material routes'!$C$6:$C$1005,"Tool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routes'!$D$6:$D$1005,A77,'Material routes'!$C$6:$C$1005,"Output")</x:f>
        <x:v>3</x:v>
      </x:c>
      <x:c r="AK77" s="4" t="n">
        <x:f>SUM(COUNTIFS('Material routes'!$D$6:$D$1005,A77,'Material routes'!$C$6:$C$1005,"Ingredient candidate"),COUNTIFS('Material routes'!$D$6:$D$1005,A77,'Material routes'!$C$6:$C$1005,"Consumed input"),COUNTIFS('Material routes'!$D$6:$D$1005,A77,'Material routes'!$C$6:$C$1005,"Contained input"),COUNTIFS('Material routes'!$D$6:$D$1005,A77,'Material routes'!$C$6:$C$1005,"Transform input"))</x:f>
        <x:v>2</x:v>
      </x:c>
      <x:c r="AL77" s="4" t="n">
        <x:f>COUNTIFS('Material routes'!$D$6:$D$1005,A77,'Material routes'!$C$6:$C$1005,"Tool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routes'!$D$6:$D$1005,A78,'Material routes'!$C$6:$C$1005,"Output")</x:f>
        <x:v>2</x:v>
      </x:c>
      <x:c r="AK78" s="4" t="n">
        <x:f>SUM(COUNTIFS('Material routes'!$D$6:$D$1005,A78,'Material routes'!$C$6:$C$1005,"Ingredient candidate"),COUNTIFS('Material routes'!$D$6:$D$1005,A78,'Material routes'!$C$6:$C$1005,"Consumed input"),COUNTIFS('Material routes'!$D$6:$D$1005,A78,'Material routes'!$C$6:$C$1005,"Contained input"),COUNTIFS('Material routes'!$D$6:$D$1005,A78,'Material routes'!$C$6:$C$1005,"Transform input"))</x:f>
        <x:v>1</x:v>
      </x:c>
      <x:c r="AL78" s="4" t="n">
        <x:f>COUNTIFS('Material routes'!$D$6:$D$1005,A78,'Material routes'!$C$6:$C$1005,"Tool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resources; animal hide; raw material; raw; fauna; textile processing; hide; sheet; author direction; ; t0; not applicable; material</x:v>
      </x:c>
      <x:c r="AF79" s="4" t="str">
        <x:v>From current item description. Proposed uses retain their existing approval status.</x:v>
      </x:c>
      <x:c r="AG79" s="4" t="str">
        <x:v>Raw gathered/recovered craft input under the author T0 framework. This does not imply a naturally occurring pure metal.</x:v>
      </x:c>
      <x:c r="AH79" s="4" t="str">
        <x:v>Not applicable</x:v>
      </x:c>
      <x:c r="AI79" s="4" t="str">
        <x:v>Material</x:v>
      </x:c>
      <x:c r="AJ79" s="4" t="n">
        <x:f>COUNTIFS('Material routes'!$D$6:$D$1005,A79,'Material routes'!$C$6:$C$1005,"Output")</x:f>
        <x:v>0</x:v>
      </x:c>
      <x:c r="AK79" s="4" t="n">
        <x:f>SUM(COUNTIFS('Material routes'!$D$6:$D$1005,A79,'Material routes'!$C$6:$C$1005,"Ingredient candidate"),COUNTIFS('Material routes'!$D$6:$D$1005,A79,'Material routes'!$C$6:$C$1005,"Consumed input"),COUNTIFS('Material routes'!$D$6:$D$1005,A79,'Material routes'!$C$6:$C$1005,"Contained input"),COUNTIFS('Material routes'!$D$6:$D$1005,A79,'Material routes'!$C$6:$C$1005,"Transform input"))</x:f>
        <x:v>1</x:v>
      </x:c>
      <x:c r="AL79" s="4" t="n">
        <x:f>COUNTIFS('Material routes'!$D$6:$D$1005,A79,'Material routes'!$C$6:$C$1005,"Tool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routes'!$D$6:$D$1005,A80,'Material routes'!$C$6:$C$1005,"Output")</x:f>
        <x:v>1</x:v>
      </x:c>
      <x:c r="AK80" s="4" t="n">
        <x:f>SUM(COUNTIFS('Material routes'!$D$6:$D$1005,A80,'Material routes'!$C$6:$C$1005,"Ingredient candidate"),COUNTIFS('Material routes'!$D$6:$D$1005,A80,'Material routes'!$C$6:$C$1005,"Consumed input"),COUNTIFS('Material routes'!$D$6:$D$1005,A80,'Material routes'!$C$6:$C$1005,"Contained input"),COUNTIFS('Material routes'!$D$6:$D$1005,A80,'Material routes'!$C$6:$C$1005,"Transform input"))</x:f>
        <x:v>0</x:v>
      </x:c>
      <x:c r="AL80" s="4" t="n">
        <x:f>COUNTIFS('Material routes'!$D$6:$D$1005,A80,'Material routes'!$C$6:$C$1005,"Tool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80" customHeight="1">
      <x:c r="A81" s="9" t="str">
        <x:v>proposal.bio.edible_fraction</x:v>
      </x:c>
      <x:c r="B81" s="9" t="str">
        <x:v>Edible fauna fraction (species TBD)</x:v>
      </x:c>
      <x:c r="C81" s="4" t="str">
        <x:v>Unassigned</x:v>
      </x:c>
      <x:c r="D81" s="9" t="str">
        <x:v>Resources</x:v>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resources; food candidate; food material; unresolved; fauna; nutrition; faunal tissue; unresolved; author direction; ; unassigned; not applicable; material</x:v>
      </x:c>
      <x:c r="AF81" s="4" t="str">
        <x:v>From current item description. Proposed uses retain their existing approval status.</x:v>
      </x:c>
      <x:c r="AG81" s="4" t="str">
        <x:v>Choose a material/part route before assigning a tier. Processing-stage labels alone do not prove chain depth.</x:v>
      </x:c>
      <x:c r="AH81" s="4" t="str">
        <x:v>Not applicable</x:v>
      </x:c>
      <x:c r="AI81" s="4" t="str">
        <x:v>Material</x:v>
      </x:c>
      <x:c r="AJ81" s="4" t="n">
        <x:f>COUNTIFS('Material routes'!$D$6:$D$1005,A81,'Material routes'!$C$6:$C$1005,"Output")</x:f>
        <x:v>0</x:v>
      </x:c>
      <x:c r="AK81" s="4" t="n">
        <x:f>SUM(COUNTIFS('Material routes'!$D$6:$D$1005,A81,'Material routes'!$C$6:$C$1005,"Ingredient candidate"),COUNTIFS('Material routes'!$D$6:$D$1005,A81,'Material routes'!$C$6:$C$1005,"Consumed input"),COUNTIFS('Material routes'!$D$6:$D$1005,A81,'Material routes'!$C$6:$C$1005,"Contained input"),COUNTIFS('Material routes'!$D$6:$D$1005,A81,'Material routes'!$C$6:$C$1005,"Transform input"))</x:f>
        <x:v>0</x:v>
      </x:c>
      <x:c r="AL81" s="4" t="n">
        <x:f>COUNTIFS('Material routes'!$D$6:$D$1005,A81,'Material routes'!$C$6:$C$1005,"Tool candidate")</x:f>
        <x:v>0</x:v>
      </x:c>
      <x:c r="AM81" s="4" t="str">
        <x:f>IF(AJ81&gt;0,"Route listed; review status/completeness",IF(C81="T0","Raw entry feed; no production route","No production route listed"))</x:f>
        <x:v>No production route listed</x:v>
      </x:c>
      <x:c r="AN81" s="14" t="n">
        <x:f>IF(C81="T0",0,IF(C81="T1",1,IF(C81="T2",2,IF(C81="T3",3,IF(C81="T4",4,IF(C81="Unassigned",98,99))))))</x:f>
        <x:v>98</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resources; chemical material; chemical material; unresolved; fauna; chemical processing; biological chemical; unresolved; author direction; ; t0; not applicable; material</x:v>
      </x:c>
      <x:c r="AF82" s="4" t="str">
        <x:v>From current item description. Proposed uses retain their existing approval status.</x:v>
      </x:c>
      <x:c r="AG82" s="4" t="str">
        <x:v>Provisional raw secretion-feed interpretation for this candidate route; actual chemistry and extraction remain unresolved.</x:v>
      </x:c>
      <x:c r="AH82" s="4" t="str">
        <x:v>Not applicable</x:v>
      </x:c>
      <x:c r="AI82" s="4" t="str">
        <x:v>Material</x:v>
      </x:c>
      <x:c r="AJ82" s="4" t="n">
        <x:f>COUNTIFS('Material routes'!$D$6:$D$1005,A82,'Material routes'!$C$6:$C$1005,"Output")</x:f>
        <x:v>0</x:v>
      </x:c>
      <x:c r="AK82" s="4" t="n">
        <x:f>SUM(COUNTIFS('Material routes'!$D$6:$D$1005,A82,'Material routes'!$C$6:$C$1005,"Ingredient candidate"),COUNTIFS('Material routes'!$D$6:$D$1005,A82,'Material routes'!$C$6:$C$1005,"Consumed input"),COUNTIFS('Material routes'!$D$6:$D$1005,A82,'Material routes'!$C$6:$C$1005,"Contained input"),COUNTIFS('Material routes'!$D$6:$D$1005,A82,'Material routes'!$C$6:$C$1005,"Transform input"))</x:f>
        <x:v>1</x:v>
      </x:c>
      <x:c r="AL82" s="4" t="n">
        <x:f>COUNTIFS('Material routes'!$D$6:$D$1005,A82,'Material routes'!$C$6:$C$1005,"Tool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resources; biological liquid material; chemical material; extracted material; fauna; chemical processing; biological chemical; liquid; author direction; ; t0; not applicable; material</x:v>
      </x:c>
      <x:c r="AF83" s="4" t="str">
        <x:v>From current item description. Proposed uses retain their existing approval status.</x:v>
      </x:c>
      <x:c r="AG83" s="4" t="str">
        <x:v>Raw gathered/recovered craft input under the author T0 framework. This does not imply a naturally occurring pure metal.</x:v>
      </x:c>
      <x:c r="AH83" s="4" t="str">
        <x:v>Not applicable</x:v>
      </x:c>
      <x:c r="AI83" s="4" t="str">
        <x:v>Material</x:v>
      </x:c>
      <x:c r="AJ83" s="4" t="n">
        <x:f>COUNTIFS('Material routes'!$D$6:$D$1005,A83,'Material routes'!$C$6:$C$1005,"Output")</x:f>
        <x:v>0</x:v>
      </x:c>
      <x:c r="AK83" s="4" t="n">
        <x:f>SUM(COUNTIFS('Material routes'!$D$6:$D$1005,A83,'Material routes'!$C$6:$C$1005,"Ingredient candidate"),COUNTIFS('Material routes'!$D$6:$D$1005,A83,'Material routes'!$C$6:$C$1005,"Consumed input"),COUNTIFS('Material routes'!$D$6:$D$1005,A83,'Material routes'!$C$6:$C$1005,"Contained input"),COUNTIFS('Material routes'!$D$6:$D$1005,A83,'Material routes'!$C$6:$C$1005,"Transform input"))</x:f>
        <x:v>1</x:v>
      </x:c>
      <x:c r="AL83" s="4" t="n">
        <x:f>COUNTIFS('Material routes'!$D$6:$D$1005,A83,'Material routes'!$C$6:$C$1005,"Tool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x:v>
      </x:c>
      <x:c r="AG84" s="4" t="str">
        <x:v>Raw gathered/recovered craft input under the author T0 framework. This does not imply a naturally occurring pure metal.</x:v>
      </x:c>
      <x:c r="AH84" s="4" t="str">
        <x:v>Not applicable</x:v>
      </x:c>
      <x:c r="AI84" s="4" t="str">
        <x:v>Material</x:v>
      </x:c>
      <x:c r="AJ84" s="4" t="n">
        <x:f>COUNTIFS('Material routes'!$D$6:$D$1005,A84,'Material routes'!$C$6:$C$1005,"Output")</x:f>
        <x:v>0</x:v>
      </x:c>
      <x:c r="AK84" s="4" t="n">
        <x:f>SUM(COUNTIFS('Material routes'!$D$6:$D$1005,A84,'Material routes'!$C$6:$C$1005,"Ingredient candidate"),COUNTIFS('Material routes'!$D$6:$D$1005,A84,'Material routes'!$C$6:$C$1005,"Consumed input"),COUNTIFS('Material routes'!$D$6:$D$1005,A84,'Material routes'!$C$6:$C$1005,"Contained input"),COUNTIFS('Material routes'!$D$6:$D$1005,A84,'Material routes'!$C$6:$C$1005,"Transform input"))</x:f>
        <x:v>1</x:v>
      </x:c>
      <x:c r="AL84" s="4" t="n">
        <x:f>COUNTIFS('Material routes'!$D$6:$D$1005,A84,'Material routes'!$C$6:$C$1005,"Tool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x:v>
      </x:c>
      <x:c r="AG85" s="4" t="str">
        <x:v>Raw gathered/recovered craft input under the author T0 framework. This does not imply a naturally occurring pure metal.</x:v>
      </x:c>
      <x:c r="AH85" s="4" t="str">
        <x:v>Not applicable</x:v>
      </x:c>
      <x:c r="AI85" s="4" t="str">
        <x:v>Material</x:v>
      </x:c>
      <x:c r="AJ85" s="4" t="n">
        <x:f>COUNTIFS('Material routes'!$D$6:$D$1005,A85,'Material routes'!$C$6:$C$1005,"Output")</x:f>
        <x:v>0</x:v>
      </x:c>
      <x:c r="AK85" s="4" t="n">
        <x:f>SUM(COUNTIFS('Material routes'!$D$6:$D$1005,A85,'Material routes'!$C$6:$C$1005,"Ingredient candidate"),COUNTIFS('Material routes'!$D$6:$D$1005,A85,'Material routes'!$C$6:$C$1005,"Consumed input"),COUNTIFS('Material routes'!$D$6:$D$1005,A85,'Material routes'!$C$6:$C$1005,"Contained input"),COUNTIFS('Material routes'!$D$6:$D$1005,A85,'Material routes'!$C$6:$C$1005,"Transform input"))</x:f>
        <x:v>0</x:v>
      </x:c>
      <x:c r="AL85" s="4" t="n">
        <x:f>COUNTIFS('Material routes'!$D$6:$D$1005,A85,'Material routes'!$C$6:$C$1005,"Tool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x:v>
      </x:c>
      <x:c r="AG86" s="4" t="str">
        <x:v>Raw gathered/recovered craft input under the author T0 framework. This does not imply a naturally occurring pure metal.</x:v>
      </x:c>
      <x:c r="AH86" s="4" t="str">
        <x:v>Not applicable</x:v>
      </x:c>
      <x:c r="AI86" s="4" t="str">
        <x:v>Material</x:v>
      </x:c>
      <x:c r="AJ86" s="4" t="n">
        <x:f>COUNTIFS('Material routes'!$D$6:$D$1005,A86,'Material routes'!$C$6:$C$1005,"Output")</x:f>
        <x:v>0</x:v>
      </x:c>
      <x:c r="AK86" s="4" t="n">
        <x:f>SUM(COUNTIFS('Material routes'!$D$6:$D$1005,A86,'Material routes'!$C$6:$C$1005,"Ingredient candidate"),COUNTIFS('Material routes'!$D$6:$D$1005,A86,'Material routes'!$C$6:$C$1005,"Consumed input"),COUNTIFS('Material routes'!$D$6:$D$1005,A86,'Material routes'!$C$6:$C$1005,"Contained input"),COUNTIFS('Material routes'!$D$6:$D$1005,A86,'Material routes'!$C$6:$C$1005,"Transform input"))</x:f>
        <x:v>1</x:v>
      </x:c>
      <x:c r="AL86" s="4" t="n">
        <x:f>COUNTIFS('Material routes'!$D$6:$D$1005,A86,'Material routes'!$C$6:$C$1005,"Tool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resources; faunal chemical concept; chemical material; extracted material; fauna; equipment repair; biological chemical; unresolved; proposal; sealing; t0; not applicable; material</x:v>
      </x:c>
      <x:c r="AF87" s="4" t="str">
        <x:v>From current item description. Proposed uses retain their existing approval status.</x:v>
      </x:c>
      <x:c r="AG87" s="4" t="str">
        <x:v>Raw gathered/recovered craft input under the author T0 framework. This does not imply a naturally occurring pure metal.</x:v>
      </x:c>
      <x:c r="AH87" s="4" t="str">
        <x:v>Not applicable</x:v>
      </x:c>
      <x:c r="AI87" s="4" t="str">
        <x:v>Material</x:v>
      </x:c>
      <x:c r="AJ87" s="4" t="n">
        <x:f>COUNTIFS('Material routes'!$D$6:$D$1005,A87,'Material routes'!$C$6:$C$1005,"Output")</x:f>
        <x:v>0</x:v>
      </x:c>
      <x:c r="AK87" s="4" t="n">
        <x:f>SUM(COUNTIFS('Material routes'!$D$6:$D$1005,A87,'Material routes'!$C$6:$C$1005,"Ingredient candidate"),COUNTIFS('Material routes'!$D$6:$D$1005,A87,'Material routes'!$C$6:$C$1005,"Consumed input"),COUNTIFS('Material routes'!$D$6:$D$1005,A87,'Material routes'!$C$6:$C$1005,"Contained input"),COUNTIFS('Material routes'!$D$6:$D$1005,A87,'Material routes'!$C$6:$C$1005,"Transform input"))</x:f>
        <x:v>1</x:v>
      </x:c>
      <x:c r="AL87" s="4" t="n">
        <x:f>COUNTIFS('Material routes'!$D$6:$D$1005,A87,'Material routes'!$C$6:$C$1005,"Tool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x:v>
      </x:c>
      <x:c r="AG88" s="4" t="str">
        <x:v>Raw gathered/recovered craft input under the author T0 framework. This does not imply a naturally occurring pure metal.</x:v>
      </x:c>
      <x:c r="AH88" s="4" t="str">
        <x:v>Not applicable</x:v>
      </x:c>
      <x:c r="AI88" s="4" t="str">
        <x:v>Material</x:v>
      </x:c>
      <x:c r="AJ88" s="4" t="n">
        <x:f>COUNTIFS('Material routes'!$D$6:$D$1005,A88,'Material routes'!$C$6:$C$1005,"Output")</x:f>
        <x:v>0</x:v>
      </x:c>
      <x:c r="AK88" s="4" t="n">
        <x:f>SUM(COUNTIFS('Material routes'!$D$6:$D$1005,A88,'Material routes'!$C$6:$C$1005,"Ingredient candidate"),COUNTIFS('Material routes'!$D$6:$D$1005,A88,'Material routes'!$C$6:$C$1005,"Consumed input"),COUNTIFS('Material routes'!$D$6:$D$1005,A88,'Material routes'!$C$6:$C$1005,"Contained input"),COUNTIFS('Material routes'!$D$6:$D$1005,A88,'Material routes'!$C$6:$C$1005,"Transform input"))</x:f>
        <x:v>0</x:v>
      </x:c>
      <x:c r="AL88" s="4" t="n">
        <x:f>COUNTIFS('Material routes'!$D$6:$D$1005,A88,'Material routes'!$C$6:$C$1005,"Tool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resources; faunal chemical concept; chemical material; extracted material; fauna; lubrication; biological chemical; unresolved; proposal; sealing; t0; not applicable; material</x:v>
      </x:c>
      <x:c r="AF89" s="4" t="str">
        <x:v>From current item description. Proposed uses retain their existing approval status.</x:v>
      </x:c>
      <x:c r="AG89" s="4" t="str">
        <x:v>Raw gathered/recovered craft input under the author T0 framework. This does not imply a naturally occurring pure metal.</x:v>
      </x:c>
      <x:c r="AH89" s="4" t="str">
        <x:v>Not applicable</x:v>
      </x:c>
      <x:c r="AI89" s="4" t="str">
        <x:v>Material</x:v>
      </x:c>
      <x:c r="AJ89" s="4" t="n">
        <x:f>COUNTIFS('Material routes'!$D$6:$D$1005,A89,'Material routes'!$C$6:$C$1005,"Output")</x:f>
        <x:v>0</x:v>
      </x:c>
      <x:c r="AK89" s="4" t="n">
        <x:f>SUM(COUNTIFS('Material routes'!$D$6:$D$1005,A89,'Material routes'!$C$6:$C$1005,"Ingredient candidate"),COUNTIFS('Material routes'!$D$6:$D$1005,A89,'Material routes'!$C$6:$C$1005,"Consumed input"),COUNTIFS('Material routes'!$D$6:$D$1005,A89,'Material routes'!$C$6:$C$1005,"Contained input"),COUNTIFS('Material routes'!$D$6:$D$1005,A89,'Material routes'!$C$6:$C$1005,"Transform input"))</x:f>
        <x:v>1</x:v>
      </x:c>
      <x:c r="AL89" s="4" t="n">
        <x:f>COUNTIFS('Material routes'!$D$6:$D$1005,A89,'Material routes'!$C$6:$C$1005,"Tool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resources; faunal chemical concept; chemical material; extracted material; fauna; electrical insulation; biological chemical; unresolved; proposal; ; t0; not applicable; material</x:v>
      </x:c>
      <x:c r="AF90" s="4" t="str">
        <x:v>From current item description. Proposed uses retain their existing approval status.</x:v>
      </x:c>
      <x:c r="AG90" s="4" t="str">
        <x:v>Raw gathered/recovered craft input under the author T0 framework. This does not imply a naturally occurring pure metal.</x:v>
      </x:c>
      <x:c r="AH90" s="4" t="str">
        <x:v>Not applicable</x:v>
      </x:c>
      <x:c r="AI90" s="4" t="str">
        <x:v>Material</x:v>
      </x:c>
      <x:c r="AJ90" s="4" t="n">
        <x:f>COUNTIFS('Material routes'!$D$6:$D$1005,A90,'Material routes'!$C$6:$C$1005,"Output")</x:f>
        <x:v>0</x:v>
      </x:c>
      <x:c r="AK90" s="4" t="n">
        <x:f>SUM(COUNTIFS('Material routes'!$D$6:$D$1005,A90,'Material routes'!$C$6:$C$1005,"Ingredient candidate"),COUNTIFS('Material routes'!$D$6:$D$1005,A90,'Material routes'!$C$6:$C$1005,"Consumed input"),COUNTIFS('Material routes'!$D$6:$D$1005,A90,'Material routes'!$C$6:$C$1005,"Contained input"),COUNTIFS('Material routes'!$D$6:$D$1005,A90,'Material routes'!$C$6:$C$1005,"Transform input"))</x:f>
        <x:v>0</x:v>
      </x:c>
      <x:c r="AL90" s="4" t="n">
        <x:f>COUNTIFS('Material routes'!$D$6:$D$1005,A90,'Material routes'!$C$6:$C$1005,"Tool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resources; faunal chemical concept; chemical material; extracted material; fauna; electrical conduction; biological chemical; gel; proposal; ; t0; not applicable; material</x:v>
      </x:c>
      <x:c r="AF91" s="4" t="str">
        <x:v>From current item description. Proposed uses retain their existing approval status.</x:v>
      </x:c>
      <x:c r="AG91" s="4" t="str">
        <x:v>Raw gathered/recovered craft input under the author T0 framework. This does not imply a naturally occurring pure metal.</x:v>
      </x:c>
      <x:c r="AH91" s="4" t="str">
        <x:v>Not applicable</x:v>
      </x:c>
      <x:c r="AI91" s="4" t="str">
        <x:v>Material</x:v>
      </x:c>
      <x:c r="AJ91" s="4" t="n">
        <x:f>COUNTIFS('Material routes'!$D$6:$D$1005,A91,'Material routes'!$C$6:$C$1005,"Output")</x:f>
        <x:v>0</x:v>
      </x:c>
      <x:c r="AK91" s="4" t="n">
        <x:f>SUM(COUNTIFS('Material routes'!$D$6:$D$1005,A91,'Material routes'!$C$6:$C$1005,"Ingredient candidate"),COUNTIFS('Material routes'!$D$6:$D$1005,A91,'Material routes'!$C$6:$C$1005,"Consumed input"),COUNTIFS('Material routes'!$D$6:$D$1005,A91,'Material routes'!$C$6:$C$1005,"Contained input"),COUNTIFS('Material routes'!$D$6:$D$1005,A91,'Material routes'!$C$6:$C$1005,"Transform input"))</x:f>
        <x:v>0</x:v>
      </x:c>
      <x:c r="AL91" s="4" t="n">
        <x:f>COUNTIFS('Material routes'!$D$6:$D$1005,A91,'Material routes'!$C$6:$C$1005,"Tool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x:v>
      </x:c>
      <x:c r="AG92" s="4" t="str">
        <x:v>Raw gathered/recovered craft input under the author T0 framework. This does not imply a naturally occurring pure metal.</x:v>
      </x:c>
      <x:c r="AH92" s="4" t="str">
        <x:v>Not applicable</x:v>
      </x:c>
      <x:c r="AI92" s="4" t="str">
        <x:v>Material</x:v>
      </x:c>
      <x:c r="AJ92" s="4" t="n">
        <x:f>COUNTIFS('Material routes'!$D$6:$D$1005,A92,'Material routes'!$C$6:$C$1005,"Output")</x:f>
        <x:v>0</x:v>
      </x:c>
      <x:c r="AK92" s="4" t="n">
        <x:f>SUM(COUNTIFS('Material routes'!$D$6:$D$1005,A92,'Material routes'!$C$6:$C$1005,"Ingredient candidate"),COUNTIFS('Material routes'!$D$6:$D$1005,A92,'Material routes'!$C$6:$C$1005,"Consumed input"),COUNTIFS('Material routes'!$D$6:$D$1005,A92,'Material routes'!$C$6:$C$1005,"Contained input"),COUNTIFS('Material routes'!$D$6:$D$1005,A92,'Material routes'!$C$6:$C$1005,"Transform input"))</x:f>
        <x:v>0</x:v>
      </x:c>
      <x:c r="AL92" s="4" t="n">
        <x:f>COUNTIFS('Material routes'!$D$6:$D$1005,A92,'Material routes'!$C$6:$C$1005,"Tool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resources; faunal chemical concept; chemical material; extracted material; fauna; material exclusion; biological chemical; unresolved; proposal; ; t0; not applicable; material</x:v>
      </x:c>
      <x:c r="AF93" s="4" t="str">
        <x:v>From current item description. Proposed uses retain their existing approval status.</x:v>
      </x:c>
      <x:c r="AG93" s="4" t="str">
        <x:v>Raw gathered/recovered craft input under the author T0 framework. This does not imply a naturally occurring pure metal.</x:v>
      </x:c>
      <x:c r="AH93" s="4" t="str">
        <x:v>Not applicable</x:v>
      </x:c>
      <x:c r="AI93" s="4" t="str">
        <x:v>Material</x:v>
      </x:c>
      <x:c r="AJ93" s="4" t="n">
        <x:f>COUNTIFS('Material routes'!$D$6:$D$1005,A93,'Material routes'!$C$6:$C$1005,"Output")</x:f>
        <x:v>0</x:v>
      </x:c>
      <x:c r="AK93" s="4" t="n">
        <x:f>SUM(COUNTIFS('Material routes'!$D$6:$D$1005,A93,'Material routes'!$C$6:$C$1005,"Ingredient candidate"),COUNTIFS('Material routes'!$D$6:$D$1005,A93,'Material routes'!$C$6:$C$1005,"Consumed input"),COUNTIFS('Material routes'!$D$6:$D$1005,A93,'Material routes'!$C$6:$C$1005,"Contained input"),COUNTIFS('Material routes'!$D$6:$D$1005,A93,'Material routes'!$C$6:$C$1005,"Transform input"))</x:f>
        <x:v>0</x:v>
      </x:c>
      <x:c r="AL93" s="4" t="n">
        <x:f>COUNTIFS('Material routes'!$D$6:$D$1005,A93,'Material routes'!$C$6:$C$1005,"Tool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resources; faunal chemical concept; chemical material; extracted material; fauna; specialist samples; biological chemical; unresolved; proposal; ; t0; not applicable; material</x:v>
      </x:c>
      <x:c r="AF94" s="4" t="str">
        <x:v>From current item description. Proposed uses retain their existing approval status.</x:v>
      </x:c>
      <x:c r="AG94" s="4" t="str">
        <x:v>Raw gathered/recovered craft input under the author T0 framework. This does not imply a naturally occurring pure metal.</x:v>
      </x:c>
      <x:c r="AH94" s="4" t="str">
        <x:v>Not applicable</x:v>
      </x:c>
      <x:c r="AI94" s="4" t="str">
        <x:v>Material</x:v>
      </x:c>
      <x:c r="AJ94" s="4" t="n">
        <x:f>COUNTIFS('Material routes'!$D$6:$D$1005,A94,'Material routes'!$C$6:$C$1005,"Output")</x:f>
        <x:v>0</x:v>
      </x:c>
      <x:c r="AK94" s="4" t="n">
        <x:f>SUM(COUNTIFS('Material routes'!$D$6:$D$1005,A94,'Material routes'!$C$6:$C$1005,"Ingredient candidate"),COUNTIFS('Material routes'!$D$6:$D$1005,A94,'Material routes'!$C$6:$C$1005,"Consumed input"),COUNTIFS('Material routes'!$D$6:$D$1005,A94,'Material routes'!$C$6:$C$1005,"Contained input"),COUNTIFS('Material routes'!$D$6:$D$1005,A94,'Material routes'!$C$6:$C$1005,"Transform input"))</x:f>
        <x:v>0</x:v>
      </x:c>
      <x:c r="AL94" s="4" t="n">
        <x:f>COUNTIFS('Material routes'!$D$6:$D$1005,A94,'Material routes'!$C$6:$C$1005,"Tool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resources; faunal chemical concept; chemical material; extracted material; fauna; fauna interaction; biological chemical; unresolved; proposal; ; t0; not applicable; material</x:v>
      </x:c>
      <x:c r="AF95" s="4" t="str">
        <x:v>From current item description. Proposed uses retain their existing approval status.</x:v>
      </x:c>
      <x:c r="AG95" s="4" t="str">
        <x:v>Raw gathered/recovered craft input under the author T0 framework. This does not imply a naturally occurring pure metal.</x:v>
      </x:c>
      <x:c r="AH95" s="4" t="str">
        <x:v>Not applicable</x:v>
      </x:c>
      <x:c r="AI95" s="4" t="str">
        <x:v>Material</x:v>
      </x:c>
      <x:c r="AJ95" s="4" t="n">
        <x:f>COUNTIFS('Material routes'!$D$6:$D$1005,A95,'Material routes'!$C$6:$C$1005,"Output")</x:f>
        <x:v>0</x:v>
      </x:c>
      <x:c r="AK95" s="4" t="n">
        <x:f>SUM(COUNTIFS('Material routes'!$D$6:$D$1005,A95,'Material routes'!$C$6:$C$1005,"Ingredient candidate"),COUNTIFS('Material routes'!$D$6:$D$1005,A95,'Material routes'!$C$6:$C$1005,"Consumed input"),COUNTIFS('Material routes'!$D$6:$D$1005,A95,'Material routes'!$C$6:$C$1005,"Contained input"),COUNTIFS('Material routes'!$D$6:$D$1005,A95,'Material routes'!$C$6:$C$1005,"Transform input"))</x:f>
        <x:v>0</x:v>
      </x:c>
      <x:c r="AL95" s="4" t="n">
        <x:f>COUNTIFS('Material routes'!$D$6:$D$1005,A95,'Material routes'!$C$6:$C$1005,"Tool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t="str">
        <x:v>proposal.container.sample_vial</x:v>
      </x:c>
      <x:c r="B96" s="9" t="str">
        <x:v>Clear sample vial</x:v>
      </x:c>
      <x:c r="C96" s="4" t="str">
        <x:v>Not applicable</x:v>
      </x:c>
      <x:c r="D96" s="9" t="str">
        <x:v>Containers</x:v>
      </x:c>
      <x:c r="E96" s="9" t="str">
        <x:v>Primary vessel</x:v>
      </x:c>
      <x:c r="F96" s="9" t="str">
        <x:v>New proposal</x:v>
      </x:c>
      <x:c r="G96" s="9" t="str">
        <x:v>Inspect a small ichor or chemical sample without opening it</x:v>
      </x:c>
      <x:c r="H96" s="9" t="str">
        <x:v>None</x:v>
      </x:c>
      <x:c r="I96" s="9" t="str">
        <x:v>Filled raw-resource vessel: Legger/local owner; other carrier eligibility TBD</x:v>
      </x:c>
      <x:c r="J96" s="13"/>
      <x:c r="K96" s="15"/>
      <x:c r="L96" s="9" t="str">
        <x:v>Glassworker/fabricator or salvage candidate; no recipe authored</x:v>
      </x:c>
      <x:c r="M96" s="9" t="str">
        <x:v>Materials: Scarce clear glass</x:v>
      </x:c>
      <x:c r="N96" s="9" t="str">
        <x:v>Not implemented</x:v>
      </x:c>
      <x:c r="O96" s="9" t="str">
        <x:v>Clear glass cost; liquid compatibility and fill limit unapproved</x:v>
      </x:c>
      <x:c r="P96" s="17"/>
      <x:c r="Q96" s="17"/>
      <x:c r="R96" s="17"/>
      <x:c r="S96" s="17"/>
      <x:c r="T96" s="17"/>
      <x:c r="U96" s="9" t="str">
        <x:v>Qualitative size: Small sample. Closure: Matched stopper with retained cover proposed. Contents: Species-tagged ichor; compatible chemical samples</x:v>
      </x:c>
      <x:c r="V96" s="11" t="str">
        <x:v>inspection</x:v>
      </x:c>
      <x:c r="W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6" s="4" t="str">
        <x:v>Container</x:v>
      </x:c>
      <x:c r="Y96" s="4" t="str">
        <x:v>Finished item</x:v>
      </x:c>
      <x:c r="Z96" s="4" t="str">
        <x:v>Manufactured / unresolved</x:v>
      </x:c>
      <x:c r="AA96" s="4" t="str">
        <x:v>Liquid and bulk containment</x:v>
      </x:c>
      <x:c r="AB96" s="4" t="str">
        <x:v>Glass</x:v>
      </x:c>
      <x:c r="AC96" s="4" t="str">
        <x:v>Solid part</x:v>
      </x:c>
      <x:c r="AD96" s="4" t="str">
        <x:v>Proposal</x:v>
      </x:c>
      <x:c r="AE96" s="4" t="str">
        <x:f>LOWER(A96&amp;"; "&amp;B96&amp;"; "&amp;D96&amp;"; "&amp;E96&amp;"; "&amp;X96&amp;"; "&amp;Y96&amp;"; "&amp;Z96&amp;"; "&amp;AA96&amp;"; "&amp;AB96&amp;"; "&amp;AC96&amp;"; "&amp;AD96&amp;"; "&amp;V96&amp;"; "&amp;C96&amp;"; "&amp;AH96&amp;"; "&amp;AI96)</x:f>
        <x:v>proposal.container.sample_vial; clear sample vial; containers; primary vessel; container; finished item; manufactured / unresolved; liquid and bulk containment; glass; solid part; proposal; inspection; not applicable; unassigned; finished item</x:v>
      </x:c>
      <x:c r="AF96" s="4" t="str">
        <x:v>From current item description. Proposed uses retain their existing approval status.</x:v>
      </x:c>
      <x:c r="AG96" s="4" t="str">
        <x:v>Finished endpoint; material tier is not applicable. Input tiers belong to the chosen recipe.</x:v>
      </x:c>
      <x:c r="AH96" s="4" t="str">
        <x:v>Unassigned</x:v>
      </x:c>
      <x:c r="AI96" s="4" t="str">
        <x:v>Finished item</x:v>
      </x:c>
      <x:c r="AJ96" s="4" t="n">
        <x:f>COUNTIFS('Material routes'!$D$6:$D$1005,A96,'Material routes'!$C$6:$C$1005,"Output")</x:f>
        <x:v>0</x:v>
      </x:c>
      <x:c r="AK96" s="4" t="n">
        <x:f>SUM(COUNTIFS('Material routes'!$D$6:$D$1005,A96,'Material routes'!$C$6:$C$1005,"Ingredient candidate"),COUNTIFS('Material routes'!$D$6:$D$1005,A96,'Material routes'!$C$6:$C$1005,"Consumed input"),COUNTIFS('Material routes'!$D$6:$D$1005,A96,'Material routes'!$C$6:$C$1005,"Contained input"),COUNTIFS('Material routes'!$D$6:$D$1005,A96,'Material routes'!$C$6:$C$1005,"Transform input"))</x:f>
        <x:v>0</x:v>
      </x:c>
      <x:c r="AL96" s="4" t="n">
        <x:f>COUNTIFS('Material routes'!$D$6:$D$1005,A96,'Material routes'!$C$6:$C$1005,"Tool candidate")</x:f>
        <x:v>0</x:v>
      </x:c>
      <x:c r="AM96" s="4" t="str">
        <x:f>IF(AJ96&gt;0,"Route listed; review status/completeness",IF(C96="T0","Raw entry feed; no production route","No production route listed"))</x:f>
        <x:v>No production route listed</x:v>
      </x:c>
      <x:c r="AN96" s="14" t="n">
        <x:f>IF(C96="T0",0,IF(C96="T1",1,IF(C96="T2",2,IF(C96="T3",3,IF(C96="T4",4,IF(C96="Unassigned",98,99))))))</x:f>
        <x:v>99</x:v>
      </x:c>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unassigned; finished item</x:v>
      </x:c>
      <x:c r="AF97" s="4" t="str">
        <x:v>From current item description. Proposed uses retain their existing approval status.</x:v>
      </x:c>
      <x:c r="AG97" s="4" t="str">
        <x:v>Finished endpoint; material tier is not applicable. Input tiers belong to the chosen recipe.</x:v>
      </x:c>
      <x:c r="AH97" s="4" t="str">
        <x:v>Unassigned</x:v>
      </x:c>
      <x:c r="AI97" s="4" t="str">
        <x:v>Finished item</x:v>
      </x:c>
      <x:c r="AJ97" s="4" t="n">
        <x:f>COUNTIFS('Material routes'!$D$6:$D$1005,A97,'Material routes'!$C$6:$C$1005,"Output")</x:f>
        <x:v>0</x:v>
      </x:c>
      <x:c r="AK97" s="4" t="n">
        <x:f>SUM(COUNTIFS('Material routes'!$D$6:$D$1005,A97,'Material routes'!$C$6:$C$1005,"Ingredient candidate"),COUNTIFS('Material routes'!$D$6:$D$1005,A97,'Material routes'!$C$6:$C$1005,"Consumed input"),COUNTIFS('Material routes'!$D$6:$D$1005,A97,'Material routes'!$C$6:$C$1005,"Contained input"),COUNTIFS('Material routes'!$D$6:$D$1005,A97,'Material routes'!$C$6:$C$1005,"Transform input"))</x:f>
        <x:v>0</x:v>
      </x:c>
      <x:c r="AL97" s="4" t="n">
        <x:f>COUNTIFS('Material routes'!$D$6:$D$1005,A97,'Material routes'!$C$6:$C$1005,"Tool candidate")</x:f>
        <x:v>0</x:v>
      </x:c>
      <x:c r="AM97" s="4" t="str">
        <x:f>IF(AJ97&gt;0,"Route listed; review status/completeness",IF(C97="T0","Raw entry feed; no production route","No production route listed"))</x:f>
        <x:v>No production route listed</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unassigned; finished item</x:v>
      </x:c>
      <x:c r="AF98" s="4" t="str">
        <x:v>From current item description. Proposed uses retain their existing approval status.</x:v>
      </x:c>
      <x:c r="AG98" s="4" t="str">
        <x:v>Finished endpoint; material tier is not applicable. Input tiers belong to the chosen recipe.</x:v>
      </x:c>
      <x:c r="AH98" s="4" t="str">
        <x:v>Unassigned</x:v>
      </x:c>
      <x:c r="AI98" s="4" t="str">
        <x:v>Finished item</x:v>
      </x:c>
      <x:c r="AJ98" s="4" t="n">
        <x:f>COUNTIFS('Material routes'!$D$6:$D$1005,A98,'Material routes'!$C$6:$C$1005,"Output")</x:f>
        <x:v>0</x:v>
      </x:c>
      <x:c r="AK98" s="4" t="n">
        <x:f>SUM(COUNTIFS('Material routes'!$D$6:$D$1005,A98,'Material routes'!$C$6:$C$1005,"Ingredient candidate"),COUNTIFS('Material routes'!$D$6:$D$1005,A98,'Material routes'!$C$6:$C$1005,"Consumed input"),COUNTIFS('Material routes'!$D$6:$D$1005,A98,'Material routes'!$C$6:$C$1005,"Contained input"),COUNTIFS('Material routes'!$D$6:$D$1005,A98,'Material routes'!$C$6:$C$1005,"Transform input"))</x:f>
        <x:v>0</x:v>
      </x:c>
      <x:c r="AL98" s="4" t="n">
        <x:f>COUNTIFS('Material routes'!$D$6:$D$1005,A98,'Material routes'!$C$6:$C$1005,"Tool candidate")</x:f>
        <x:v>0</x:v>
      </x:c>
      <x:c r="AM98" s="4" t="str">
        <x:f>IF(AJ98&gt;0,"Route listed; review status/completeness",IF(C98="T0","Raw entry feed; no production route","No production route listed"))</x:f>
        <x:v>No production route listed</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unassigned; finished item</x:v>
      </x:c>
      <x:c r="AF99" s="4" t="str">
        <x:v>From current item description. Proposed uses retain their existing approval status.</x:v>
      </x:c>
      <x:c r="AG99" s="4" t="str">
        <x:v>Finished endpoint; material tier is not applicable. Input tiers belong to the chosen recipe.</x:v>
      </x:c>
      <x:c r="AH99" s="4" t="str">
        <x:v>Unassigned</x:v>
      </x:c>
      <x:c r="AI99" s="4" t="str">
        <x:v>Finished item</x:v>
      </x:c>
      <x:c r="AJ99" s="4" t="n">
        <x:f>COUNTIFS('Material routes'!$D$6:$D$1005,A99,'Material routes'!$C$6:$C$1005,"Output")</x:f>
        <x:v>0</x:v>
      </x:c>
      <x:c r="AK99" s="4" t="n">
        <x:f>SUM(COUNTIFS('Material routes'!$D$6:$D$1005,A99,'Material routes'!$C$6:$C$1005,"Ingredient candidate"),COUNTIFS('Material routes'!$D$6:$D$1005,A99,'Material routes'!$C$6:$C$1005,"Consumed input"),COUNTIFS('Material routes'!$D$6:$D$1005,A99,'Material routes'!$C$6:$C$1005,"Contained input"),COUNTIFS('Material routes'!$D$6:$D$1005,A99,'Material routes'!$C$6:$C$1005,"Transform input"))</x:f>
        <x:v>0</x:v>
      </x:c>
      <x:c r="AL99" s="4" t="n">
        <x:f>COUNTIFS('Material routes'!$D$6:$D$1005,A99,'Material routes'!$C$6:$C$1005,"Tool candidate")</x:f>
        <x:v>0</x:v>
      </x:c>
      <x:c r="AM99" s="4" t="str">
        <x:f>IF(AJ99&gt;0,"Route listed; review status/completeness",IF(C99="T0","Raw entry feed; no production route","No production route listed"))</x:f>
        <x:v>No production route listed</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unassigned; finished item</x:v>
      </x:c>
      <x:c r="AF100" s="4" t="str">
        <x:v>From current item description. Proposed uses retain their existing approval status.</x:v>
      </x:c>
      <x:c r="AG100" s="4" t="str">
        <x:v>Finished endpoint; material tier is not applicable. Input tiers belong to the chosen recipe.</x:v>
      </x:c>
      <x:c r="AH100" s="4" t="str">
        <x:v>Unassigned</x:v>
      </x:c>
      <x:c r="AI100" s="4" t="str">
        <x:v>Finished item</x:v>
      </x:c>
      <x:c r="AJ100" s="4" t="n">
        <x:f>COUNTIFS('Material routes'!$D$6:$D$1005,A100,'Material routes'!$C$6:$C$1005,"Output")</x:f>
        <x:v>0</x:v>
      </x:c>
      <x:c r="AK100" s="4" t="n">
        <x:f>SUM(COUNTIFS('Material routes'!$D$6:$D$1005,A100,'Material routes'!$C$6:$C$1005,"Ingredient candidate"),COUNTIFS('Material routes'!$D$6:$D$1005,A100,'Material routes'!$C$6:$C$1005,"Consumed input"),COUNTIFS('Material routes'!$D$6:$D$1005,A100,'Material routes'!$C$6:$C$1005,"Contained input"),COUNTIFS('Material routes'!$D$6:$D$1005,A100,'Material routes'!$C$6:$C$1005,"Transform input"))</x:f>
        <x:v>0</x:v>
      </x:c>
      <x:c r="AL100" s="4" t="n">
        <x:f>COUNTIFS('Material routes'!$D$6:$D$1005,A100,'Material routes'!$C$6:$C$1005,"Tool candidate")</x:f>
        <x:v>0</x:v>
      </x:c>
      <x:c r="AM100" s="4" t="str">
        <x:f>IF(AJ100&gt;0,"Route listed; review status/completeness",IF(C100="T0","Raw entry feed; no production route","No production route listed"))</x:f>
        <x:v>No production route listed</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unassigned; finished item</x:v>
      </x:c>
      <x:c r="AF101" s="4" t="str">
        <x:v>From current item description. Proposed uses retain their existing approval status.</x:v>
      </x:c>
      <x:c r="AG101" s="4" t="str">
        <x:v>Finished endpoint; material tier is not applicable. Input tiers belong to the chosen recipe.</x:v>
      </x:c>
      <x:c r="AH101" s="4" t="str">
        <x:v>Unassigned</x:v>
      </x:c>
      <x:c r="AI101" s="4" t="str">
        <x:v>Finished item</x:v>
      </x:c>
      <x:c r="AJ101" s="4" t="n">
        <x:f>COUNTIFS('Material routes'!$D$6:$D$1005,A101,'Material routes'!$C$6:$C$1005,"Output")</x:f>
        <x:v>0</x:v>
      </x:c>
      <x:c r="AK101" s="4" t="n">
        <x:f>SUM(COUNTIFS('Material routes'!$D$6:$D$1005,A101,'Material routes'!$C$6:$C$1005,"Ingredient candidate"),COUNTIFS('Material routes'!$D$6:$D$1005,A101,'Material routes'!$C$6:$C$1005,"Consumed input"),COUNTIFS('Material routes'!$D$6:$D$1005,A101,'Material routes'!$C$6:$C$1005,"Contained input"),COUNTIFS('Material routes'!$D$6:$D$1005,A101,'Material routes'!$C$6:$C$1005,"Transform input"))</x:f>
        <x:v>0</x:v>
      </x:c>
      <x:c r="AL101" s="4" t="n">
        <x:f>COUNTIFS('Material routes'!$D$6:$D$1005,A101,'Material routes'!$C$6:$C$1005,"Tool candidate")</x:f>
        <x:v>0</x:v>
      </x:c>
      <x:c r="AM101" s="4" t="str">
        <x:f>IF(AJ101&gt;0,"Route listed; review status/completeness",IF(C101="T0","Raw entry feed; no production route","No production route listed"))</x:f>
        <x:v>No production route listed</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unassigned; finished item</x:v>
      </x:c>
      <x:c r="AF102" s="4" t="str">
        <x:v>From current item description. Proposed uses retain their existing approval status.</x:v>
      </x:c>
      <x:c r="AG102" s="4" t="str">
        <x:v>Finished endpoint; material tier is not applicable. Input tiers belong to the chosen recipe.</x:v>
      </x:c>
      <x:c r="AH102" s="4" t="str">
        <x:v>Unassigned</x:v>
      </x:c>
      <x:c r="AI102" s="4" t="str">
        <x:v>Finished item</x:v>
      </x:c>
      <x:c r="AJ102" s="4" t="n">
        <x:f>COUNTIFS('Material routes'!$D$6:$D$1005,A102,'Material routes'!$C$6:$C$1005,"Output")</x:f>
        <x:v>0</x:v>
      </x:c>
      <x:c r="AK102" s="4" t="n">
        <x:f>SUM(COUNTIFS('Material routes'!$D$6:$D$1005,A102,'Material routes'!$C$6:$C$1005,"Ingredient candidate"),COUNTIFS('Material routes'!$D$6:$D$1005,A102,'Material routes'!$C$6:$C$1005,"Consumed input"),COUNTIFS('Material routes'!$D$6:$D$1005,A102,'Material routes'!$C$6:$C$1005,"Contained input"),COUNTIFS('Material routes'!$D$6:$D$1005,A102,'Material routes'!$C$6:$C$1005,"Transform input"))</x:f>
        <x:v>0</x:v>
      </x:c>
      <x:c r="AL102" s="4" t="n">
        <x:f>COUNTIFS('Material routes'!$D$6:$D$1005,A102,'Material routes'!$C$6:$C$1005,"Tool candidate")</x:f>
        <x:v>0</x:v>
      </x:c>
      <x:c r="AM102" s="4" t="str">
        <x:f>IF(AJ102&gt;0,"Route listed; review status/completeness",IF(C102="T0","Raw entry feed; no production route","No production route listed"))</x:f>
        <x:v>No production route listed</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unassigned; finished item</x:v>
      </x:c>
      <x:c r="AF103" s="4" t="str">
        <x:v>From current item description. Proposed uses retain their existing approval status.</x:v>
      </x:c>
      <x:c r="AG103" s="4" t="str">
        <x:v>Finished endpoint; material tier is not applicable. Input tiers belong to the chosen recipe.</x:v>
      </x:c>
      <x:c r="AH103" s="4" t="str">
        <x:v>Unassigned</x:v>
      </x:c>
      <x:c r="AI103" s="4" t="str">
        <x:v>Finished item</x:v>
      </x:c>
      <x:c r="AJ103" s="4" t="n">
        <x:f>COUNTIFS('Material routes'!$D$6:$D$1005,A103,'Material routes'!$C$6:$C$1005,"Output")</x:f>
        <x:v>0</x:v>
      </x:c>
      <x:c r="AK103" s="4" t="n">
        <x:f>SUM(COUNTIFS('Material routes'!$D$6:$D$1005,A103,'Material routes'!$C$6:$C$1005,"Ingredient candidate"),COUNTIFS('Material routes'!$D$6:$D$1005,A103,'Material routes'!$C$6:$C$1005,"Consumed input"),COUNTIFS('Material routes'!$D$6:$D$1005,A103,'Material routes'!$C$6:$C$1005,"Contained input"),COUNTIFS('Material routes'!$D$6:$D$1005,A103,'Material routes'!$C$6:$C$1005,"Transform input"))</x:f>
        <x:v>0</x:v>
      </x:c>
      <x:c r="AL103" s="4" t="n">
        <x:f>COUNTIFS('Material routes'!$D$6:$D$1005,A103,'Material routes'!$C$6:$C$1005,"Tool candidate")</x:f>
        <x:v>0</x:v>
      </x:c>
      <x:c r="AM103" s="4" t="str">
        <x:f>IF(AJ103&gt;0,"Route listed; review status/completeness",IF(C103="T0","Raw entry feed; no production route","No production route listed"))</x:f>
        <x:v>No production route listed</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str">
        <x:v>Containers</x:v>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containers; primary vessel; container; finished item; manufactured / unresolved; liquid and bulk containment; mixed / unresolved; assembly; proposal; ; not applicable; unassigned; finished item</x:v>
      </x:c>
      <x:c r="AF104" s="4" t="str">
        <x:v>From current item description. Proposed uses retain their existing approval status.</x:v>
      </x:c>
      <x:c r="AG104" s="4" t="str">
        <x:v>Finished endpoint; material tier is not applicable. Input tiers belong to the chosen recipe.</x:v>
      </x:c>
      <x:c r="AH104" s="4" t="str">
        <x:v>Unassigned</x:v>
      </x:c>
      <x:c r="AI104" s="4" t="str">
        <x:v>Finished item</x:v>
      </x:c>
      <x:c r="AJ104" s="4" t="n">
        <x:f>COUNTIFS('Material routes'!$D$6:$D$1005,A104,'Material routes'!$C$6:$C$1005,"Output")</x:f>
        <x:v>0</x:v>
      </x:c>
      <x:c r="AK104" s="4" t="n">
        <x:f>SUM(COUNTIFS('Material routes'!$D$6:$D$1005,A104,'Material routes'!$C$6:$C$1005,"Ingredient candidate"),COUNTIFS('Material routes'!$D$6:$D$1005,A104,'Material routes'!$C$6:$C$1005,"Consumed input"),COUNTIFS('Material routes'!$D$6:$D$1005,A104,'Material routes'!$C$6:$C$1005,"Contained input"),COUNTIFS('Material routes'!$D$6:$D$1005,A104,'Material routes'!$C$6:$C$1005,"Transform input"))</x:f>
        <x:v>0</x:v>
      </x:c>
      <x:c r="AL104" s="4" t="n">
        <x:f>COUNTIFS('Material routes'!$D$6:$D$1005,A104,'Material routes'!$C$6:$C$1005,"Tool candidate")</x:f>
        <x:v>0</x:v>
      </x:c>
      <x:c r="AM104" s="4" t="str">
        <x:f>IF(AJ104&gt;0,"Route listed; review status/completeness",IF(C104="T0","Raw entry feed; no production route","No production route listed"))</x:f>
        <x:v>No production route listed</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t="str">
        <x:v>proposal.container.vial_case</x:v>
      </x:c>
      <x:c r="B105" s="9" t="str">
        <x:v>Divided vial case</x:v>
      </x:c>
      <x:c r="C105" s="4" t="str">
        <x:v>Not applicable</x:v>
      </x:c>
      <x:c r="D105" s="9" t="str">
        <x:v>Containers</x:v>
      </x:c>
      <x:c r="E105" s="9" t="str">
        <x:v>Protective carrier</x:v>
      </x:c>
      <x:c r="F105" s="9" t="str">
        <x:v>New proposal</x:v>
      </x:c>
      <x:c r="G105" s="9" t="str">
        <x:v>Keep separately sealed specimens organized and supported</x:v>
      </x:c>
      <x:c r="H105" s="9" t="str">
        <x:v>None</x:v>
      </x:c>
      <x:c r="I105" s="9" t="str">
        <x:v>Filled raw-resource vessel: Legger/local owner; other carrier eligibility TBD</x:v>
      </x:c>
      <x:c r="J105" s="13"/>
      <x:c r="K105" s="15"/>
      <x:c r="L105" s="9" t="str">
        <x:v>Glassworker/fabricator or salvage candidate; no recipe authored</x:v>
      </x:c>
      <x:c r="M105" s="9" t="str">
        <x:v>Materials: Shell/metal case; shaped mineral seats</x:v>
      </x:c>
      <x:c r="N105" s="9" t="str">
        <x:v>Not implemented</x:v>
      </x:c>
      <x:c r="O105" s="9" t="str">
        <x:v>Does not create extra inventory capacity; inserts use no assumed wood, cork or cloth</x:v>
      </x:c>
      <x:c r="P105" s="17"/>
      <x:c r="Q105" s="17"/>
      <x:c r="R105" s="17"/>
      <x:c r="S105" s="17"/>
      <x:c r="T105" s="17"/>
      <x:c r="U105" s="9" t="str">
        <x:v>Qualitative size: Several small vessels. Closure: Rigid latched case; each vial has its own seal. Contents: Sealed vials only; no direct liquid payload</x:v>
      </x:c>
      <x:c r="V105" s="11"/>
      <x:c r="W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5" s="4" t="str">
        <x:v>Carrier</x:v>
      </x:c>
      <x:c r="Y105" s="4" t="str">
        <x:v>Finished item</x:v>
      </x:c>
      <x:c r="Z105" s="4" t="str">
        <x:v>Manufactured / unresolved</x:v>
      </x:c>
      <x:c r="AA105" s="4" t="str">
        <x:v>Cargo organization</x:v>
      </x:c>
      <x:c r="AB105" s="4" t="str">
        <x:v>Mixed / unresolved</x:v>
      </x:c>
      <x:c r="AC105" s="4" t="str">
        <x:v>Assembly</x:v>
      </x:c>
      <x:c r="AD105" s="4" t="str">
        <x:v>Proposal</x:v>
      </x:c>
      <x:c r="AE105" s="4" t="str">
        <x:f>LOWER(A105&amp;"; "&amp;B105&amp;"; "&amp;D105&amp;"; "&amp;E105&amp;"; "&amp;X105&amp;"; "&amp;Y105&amp;"; "&amp;Z105&amp;"; "&amp;AA105&amp;"; "&amp;AB105&amp;"; "&amp;AC105&amp;"; "&amp;AD105&amp;"; "&amp;V105&amp;"; "&amp;C105&amp;"; "&amp;AH105&amp;"; "&amp;AI105)</x:f>
        <x:v>proposal.container.vial_case; divided vial case; containers; protective carrier; carrier; finished item; manufactured / unresolved; cargo organization; mixed / unresolved; assembly; proposal; ; not applicable; unassigned; finished item</x:v>
      </x:c>
      <x:c r="AF105" s="4" t="str">
        <x:v>From current item description. Proposed uses retain their existing approval status.</x:v>
      </x:c>
      <x:c r="AG105" s="4" t="str">
        <x:v>Finished endpoint; material tier is not applicable. Input tiers belong to the chosen recipe.</x:v>
      </x:c>
      <x:c r="AH105" s="4" t="str">
        <x:v>Unassigned</x:v>
      </x:c>
      <x:c r="AI105" s="4" t="str">
        <x:v>Finished item</x:v>
      </x:c>
      <x:c r="AJ105" s="4" t="n">
        <x:f>COUNTIFS('Material routes'!$D$6:$D$1005,A105,'Material routes'!$C$6:$C$1005,"Output")</x:f>
        <x:v>0</x:v>
      </x:c>
      <x:c r="AK105" s="4" t="n">
        <x:f>SUM(COUNTIFS('Material routes'!$D$6:$D$1005,A105,'Material routes'!$C$6:$C$1005,"Ingredient candidate"),COUNTIFS('Material routes'!$D$6:$D$1005,A105,'Material routes'!$C$6:$C$1005,"Consumed input"),COUNTIFS('Material routes'!$D$6:$D$1005,A105,'Material routes'!$C$6:$C$1005,"Contained input"),COUNTIFS('Material routes'!$D$6:$D$1005,A105,'Material routes'!$C$6:$C$1005,"Transform input"))</x:f>
        <x:v>0</x:v>
      </x:c>
      <x:c r="AL105" s="4" t="n">
        <x:f>COUNTIFS('Material routes'!$D$6:$D$1005,A105,'Material routes'!$C$6:$C$1005,"Tool candidate")</x:f>
        <x:v>0</x:v>
      </x:c>
      <x:c r="AM105" s="4" t="str">
        <x:f>IF(AJ105&gt;0,"Route listed; review status/completeness",IF(C105="T0","Raw entry feed; no production route","No production route listed"))</x:f>
        <x:v>No production route listed</x:v>
      </x:c>
      <x:c r="AN105" s="14" t="n">
        <x:f>IF(C105="T0",0,IF(C105="T1",1,IF(C105="T2",2,IF(C105="T3",3,IF(C105="T4",4,IF(C105="Unassigned",98,99))))))</x:f>
        <x:v>99</x:v>
      </x:c>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unassigned; finished item</x:v>
      </x:c>
      <x:c r="AF106" s="4" t="str">
        <x:v>From current item description. Proposed uses retain their existing approval status.</x:v>
      </x:c>
      <x:c r="AG106" s="4" t="str">
        <x:v>Finished endpoint; material tier is not applicable. Input tiers belong to the chosen recipe.</x:v>
      </x:c>
      <x:c r="AH106" s="4" t="str">
        <x:v>Unassigned</x:v>
      </x:c>
      <x:c r="AI106" s="4" t="str">
        <x:v>Finished item</x:v>
      </x:c>
      <x:c r="AJ106" s="4" t="n">
        <x:f>COUNTIFS('Material routes'!$D$6:$D$1005,A106,'Material routes'!$C$6:$C$1005,"Output")</x:f>
        <x:v>0</x:v>
      </x:c>
      <x:c r="AK106" s="4" t="n">
        <x:f>SUM(COUNTIFS('Material routes'!$D$6:$D$1005,A106,'Material routes'!$C$6:$C$1005,"Ingredient candidate"),COUNTIFS('Material routes'!$D$6:$D$1005,A106,'Material routes'!$C$6:$C$1005,"Consumed input"),COUNTIFS('Material routes'!$D$6:$D$1005,A106,'Material routes'!$C$6:$C$1005,"Contained input"),COUNTIFS('Material routes'!$D$6:$D$1005,A106,'Material routes'!$C$6:$C$1005,"Transform input"))</x:f>
        <x:v>0</x:v>
      </x:c>
      <x:c r="AL106" s="4" t="n">
        <x:f>COUNTIFS('Material routes'!$D$6:$D$1005,A106,'Material routes'!$C$6:$C$1005,"Tool candidate")</x:f>
        <x:v>0</x:v>
      </x:c>
      <x:c r="AM106" s="4" t="str">
        <x:f>IF(AJ106&gt;0,"Route listed; review status/completeness",IF(C106="T0","Raw entry feed; no production route","No production route listed"))</x:f>
        <x:v>No production route listed</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unassigned; finished item</x:v>
      </x:c>
      <x:c r="AF107" s="4" t="str">
        <x:v>From current item description. Proposed uses retain their existing approval status.</x:v>
      </x:c>
      <x:c r="AG107" s="4" t="str">
        <x:v>Finished endpoint; material tier is not applicable. Input tiers belong to the chosen recipe.</x:v>
      </x:c>
      <x:c r="AH107" s="4" t="str">
        <x:v>Unassigned</x:v>
      </x:c>
      <x:c r="AI107" s="4" t="str">
        <x:v>Finished item</x:v>
      </x:c>
      <x:c r="AJ107" s="4" t="n">
        <x:f>COUNTIFS('Material routes'!$D$6:$D$1005,A107,'Material routes'!$C$6:$C$1005,"Output")</x:f>
        <x:v>0</x:v>
      </x:c>
      <x:c r="AK107" s="4" t="n">
        <x:f>SUM(COUNTIFS('Material routes'!$D$6:$D$1005,A107,'Material routes'!$C$6:$C$1005,"Ingredient candidate"),COUNTIFS('Material routes'!$D$6:$D$1005,A107,'Material routes'!$C$6:$C$1005,"Consumed input"),COUNTIFS('Material routes'!$D$6:$D$1005,A107,'Material routes'!$C$6:$C$1005,"Contained input"),COUNTIFS('Material routes'!$D$6:$D$1005,A107,'Material routes'!$C$6:$C$1005,"Transform input"))</x:f>
        <x:v>0</x:v>
      </x:c>
      <x:c r="AL107" s="4" t="n">
        <x:f>COUNTIFS('Material routes'!$D$6:$D$1005,A107,'Material routes'!$C$6:$C$1005,"Tool candidate")</x:f>
        <x:v>0</x:v>
      </x:c>
      <x:c r="AM107" s="4" t="str">
        <x:f>IF(AJ107&gt;0,"Route listed; review status/completeness",IF(C107="T0","Raw entry feed; no production route","No production route listed"))</x:f>
        <x:v>No production route listed</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t="str">
        <x:v>proposal.container.funnel</x:v>
      </x:c>
      <x:c r="B108" s="9" t="str">
        <x:v>Glass transfer funnel</x:v>
      </x:c>
      <x:c r="C108" s="4" t="str">
        <x:v>Not applicable</x:v>
      </x:c>
      <x:c r="D108" s="9" t="str">
        <x:v>Containers</x:v>
      </x:c>
      <x:c r="E108" s="9" t="str">
        <x:v>Transfer glassware</x:v>
      </x:c>
      <x:c r="F108" s="9" t="str">
        <x:v>New proposal</x:v>
      </x:c>
      <x:c r="G108" s="9" t="str">
        <x:v>Assist transfers into a compatible narrow-neck vessel</x:v>
      </x:c>
      <x:c r="H108" s="9" t="str">
        <x:v>None</x:v>
      </x:c>
      <x:c r="I108" s="9" t="str">
        <x:v>Filled raw-resource vessel: Legger/local owner; other carrier eligibility TBD</x:v>
      </x:c>
      <x:c r="J108" s="13"/>
      <x:c r="K108" s="15"/>
      <x:c r="L108" s="9" t="str">
        <x:v>Glassworker/fabricator or salvage candidate; no recipe authored</x:v>
      </x:c>
      <x:c r="M108" s="9" t="str">
        <x:v>Materials: Glass bowl and stem</x:v>
      </x:c>
      <x:c r="N108" s="9" t="str">
        <x:v>Not implemented</x:v>
      </x:c>
      <x:c r="O108" s="9" t="str">
        <x:v>Residue/cross-contamination and workshop reconditioning unresolved; no ambient fluid pooling</x:v>
      </x:c>
      <x:c r="P108" s="17"/>
      <x:c r="Q108" s="17"/>
      <x:c r="R108" s="17"/>
      <x:c r="S108" s="17"/>
      <x:c r="T108" s="17"/>
      <x:c r="U108" s="9" t="str">
        <x:v>Qualitative size: Tool-sized. Closure: No closure; never a storage vessel. Contents: Temporary transfer contact only</x:v>
      </x:c>
      <x:c r="V108" s="11"/>
      <x:c r="W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8" s="4" t="str">
        <x:v>Tool</x:v>
      </x:c>
      <x:c r="Y108" s="4" t="str">
        <x:v>Finished item</x:v>
      </x:c>
      <x:c r="Z108" s="4" t="str">
        <x:v>Manufactured / unresolved</x:v>
      </x:c>
      <x:c r="AA108" s="4" t="str">
        <x:v>Material transfer</x:v>
      </x:c>
      <x:c r="AB108" s="4" t="str">
        <x:v>Glass</x:v>
      </x:c>
      <x:c r="AC108" s="4" t="str">
        <x:v>Solid part</x:v>
      </x:c>
      <x:c r="AD108" s="4" t="str">
        <x:v>Proposal</x:v>
      </x:c>
      <x:c r="AE108" s="4" t="str">
        <x:f>LOWER(A108&amp;"; "&amp;B108&amp;"; "&amp;D108&amp;"; "&amp;E108&amp;"; "&amp;X108&amp;"; "&amp;Y108&amp;"; "&amp;Z108&amp;"; "&amp;AA108&amp;"; "&amp;AB108&amp;"; "&amp;AC108&amp;"; "&amp;AD108&amp;"; "&amp;V108&amp;"; "&amp;C108&amp;"; "&amp;AH108&amp;"; "&amp;AI108)</x:f>
        <x:v>proposal.container.funnel; glass transfer funnel; containers; transfer glassware; tool; finished item; manufactured / unresolved; material transfer; glass; solid part; proposal; ; not applicable; unassigned; finished item</x:v>
      </x:c>
      <x:c r="AF108" s="4" t="str">
        <x:v>From current item description. Proposed uses retain their existing approval status.</x:v>
      </x:c>
      <x:c r="AG108" s="4" t="str">
        <x:v>Finished endpoint; material tier is not applicable. Input tiers belong to the chosen recipe.</x:v>
      </x:c>
      <x:c r="AH108" s="4" t="str">
        <x:v>Unassigned</x:v>
      </x:c>
      <x:c r="AI108" s="4" t="str">
        <x:v>Finished item</x:v>
      </x:c>
      <x:c r="AJ108" s="4" t="n">
        <x:f>COUNTIFS('Material routes'!$D$6:$D$1005,A108,'Material routes'!$C$6:$C$1005,"Output")</x:f>
        <x:v>0</x:v>
      </x:c>
      <x:c r="AK108" s="4" t="n">
        <x:f>SUM(COUNTIFS('Material routes'!$D$6:$D$1005,A108,'Material routes'!$C$6:$C$1005,"Ingredient candidate"),COUNTIFS('Material routes'!$D$6:$D$1005,A108,'Material routes'!$C$6:$C$1005,"Consumed input"),COUNTIFS('Material routes'!$D$6:$D$1005,A108,'Material routes'!$C$6:$C$1005,"Contained input"),COUNTIFS('Material routes'!$D$6:$D$1005,A108,'Material routes'!$C$6:$C$1005,"Transform input"))</x:f>
        <x:v>0</x:v>
      </x:c>
      <x:c r="AL108" s="4" t="n">
        <x:f>COUNTIFS('Material routes'!$D$6:$D$1005,A108,'Material routes'!$C$6:$C$1005,"Tool candidate")</x:f>
        <x:v>0</x:v>
      </x:c>
      <x:c r="AM108" s="4" t="str">
        <x:f>IF(AJ108&gt;0,"Route listed; review status/completeness",IF(C108="T0","Raw entry feed; no production route","No production route listed"))</x:f>
        <x:v>No production route listed</x:v>
      </x:c>
      <x:c r="AN108" s="14" t="n">
        <x:f>IF(C108="T0",0,IF(C108="T1",1,IF(C108="T2",2,IF(C108="T3",3,IF(C108="T4",4,IF(C108="Unassigned",98,99))))))</x:f>
        <x:v>99</x:v>
      </x:c>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unassigned; finished item</x:v>
      </x:c>
      <x:c r="AF109" s="4" t="str">
        <x:v>From current item description. Proposed uses retain their existing approval status.</x:v>
      </x:c>
      <x:c r="AG109" s="4" t="str">
        <x:v>Finished endpoint; material tier is not applicable. Input tiers belong to the chosen recipe.</x:v>
      </x:c>
      <x:c r="AH109" s="4" t="str">
        <x:v>Unassigned</x:v>
      </x:c>
      <x:c r="AI109" s="4" t="str">
        <x:v>Finished item</x:v>
      </x:c>
      <x:c r="AJ109" s="4" t="n">
        <x:f>COUNTIFS('Material routes'!$D$6:$D$1005,A109,'Material routes'!$C$6:$C$1005,"Output")</x:f>
        <x:v>0</x:v>
      </x:c>
      <x:c r="AK109" s="4" t="n">
        <x:f>SUM(COUNTIFS('Material routes'!$D$6:$D$1005,A109,'Material routes'!$C$6:$C$1005,"Ingredient candidate"),COUNTIFS('Material routes'!$D$6:$D$1005,A109,'Material routes'!$C$6:$C$1005,"Consumed input"),COUNTIFS('Material routes'!$D$6:$D$1005,A109,'Material routes'!$C$6:$C$1005,"Contained input"),COUNTIFS('Material routes'!$D$6:$D$1005,A109,'Material routes'!$C$6:$C$1005,"Transform input"))</x:f>
        <x:v>0</x:v>
      </x:c>
      <x:c r="AL109" s="4" t="n">
        <x:f>COUNTIFS('Material routes'!$D$6:$D$1005,A109,'Material routes'!$C$6:$C$1005,"Tool candidate")</x:f>
        <x:v>0</x:v>
      </x:c>
      <x:c r="AM109" s="4" t="str">
        <x:f>IF(AJ109&gt;0,"Route listed; review status/completeness",IF(C109="T0","Raw entry feed; no production route","No production route listed"))</x:f>
        <x:v>No production route listed</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00" customHeight="1">
      <x:c r="A110" s="9" t="str">
        <x:v>proposal.container.glass_stopper</x:v>
      </x:c>
      <x:c r="B110" s="9" t="str">
        <x:v>Matched glass stopper</x:v>
      </x:c>
      <x:c r="C110" s="4" t="str">
        <x:v>Unassigned</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unassigned; not applicable; component</x:v>
      </x:c>
      <x:c r="AF110" s="4" t="str">
        <x:v>From current item description. Proposed uses retain their existing approval status.</x:v>
      </x:c>
      <x:c r="AG110" s="4" t="str">
        <x:v>Choose a material/part route before assigning a tier. Processing-stage labels alone do not prove chain depth.</x:v>
      </x:c>
      <x:c r="AH110" s="4" t="str">
        <x:v>Not applicable</x:v>
      </x:c>
      <x:c r="AI110" s="4" t="str">
        <x:v>Component</x:v>
      </x:c>
      <x:c r="AJ110" s="4" t="n">
        <x:f>COUNTIFS('Material routes'!$D$6:$D$1005,A110,'Material routes'!$C$6:$C$1005,"Output")</x:f>
        <x:v>0</x:v>
      </x:c>
      <x:c r="AK110" s="4" t="n">
        <x:f>SUM(COUNTIFS('Material routes'!$D$6:$D$1005,A110,'Material routes'!$C$6:$C$1005,"Ingredient candidate"),COUNTIFS('Material routes'!$D$6:$D$1005,A110,'Material routes'!$C$6:$C$1005,"Consumed input"),COUNTIFS('Material routes'!$D$6:$D$1005,A110,'Material routes'!$C$6:$C$1005,"Contained input"),COUNTIFS('Material routes'!$D$6:$D$1005,A110,'Material routes'!$C$6:$C$1005,"Transform input"))</x:f>
        <x:v>0</x:v>
      </x:c>
      <x:c r="AL110" s="4" t="n">
        <x:f>COUNTIFS('Material routes'!$D$6:$D$1005,A110,'Material routes'!$C$6:$C$1005,"Tool candidate")</x:f>
        <x:v>0</x:v>
      </x:c>
      <x:c r="AM110" s="4" t="str">
        <x:f>IF(AJ110&gt;0,"Route listed; review status/completeness",IF(C110="T0","Raw entry feed; no production route","No production route listed"))</x:f>
        <x:v>No production route listed</x:v>
      </x:c>
      <x:c r="AN110" s="14" t="n">
        <x:f>IF(C110="T0",0,IF(C110="T1",1,IF(C110="T2",2,IF(C110="T3",3,IF(C110="T4",4,IF(C110="Unassigned",98,99))))))</x:f>
        <x:v>98</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00" customHeight="1">
      <x:c r="A111" s="9" t="str">
        <x:v>proposal.container.seal_collar</x:v>
      </x:c>
      <x:c r="B111" s="9" t="str">
        <x:v>Compression seal collar</x:v>
      </x:c>
      <x:c r="C111" s="4" t="str">
        <x:v>Unassigned</x:v>
      </x:c>
      <x:c r="D111" s="9" t="str">
        <x:v>Containers</x:v>
      </x:c>
      <x:c r="E111" s="9" t="str">
        <x:v>Closure component</x:v>
      </x:c>
      <x:c r="F111" s="9" t="str">
        <x:v>New proposal</x:v>
      </x:c>
      <x:c r="G111" s="9" t="str">
        <x:v>Retain and compress a vessel lid/seat</x:v>
      </x:c>
      <x:c r="H111" s="9" t="str">
        <x:v>None</x:v>
      </x:c>
      <x:c r="I111" s="9" t="str">
        <x:v>Filled raw-resource vessel: Legger/local owner; other carrier eligibility TBD</x:v>
      </x:c>
      <x:c r="J111" s="13"/>
      <x:c r="K111" s="15"/>
      <x:c r="L111" s="9" t="str">
        <x:v>Glassworker/fabricator or salvage candidate; no recipe authored</x:v>
      </x:c>
      <x:c r="M111" s="9" t="str">
        <x:v>Materials: Metal/shell collar; compatible mineral/biological seal insert TBD</x:v>
      </x:c>
      <x:c r="N111" s="9" t="str">
        <x:v>Not implemented</x:v>
      </x:c>
      <x:c r="O111" s="9" t="str">
        <x:v>Biological membrane is not automatically compatible; no fat/oil/gasket recipe accepted</x:v>
      </x:c>
      <x:c r="P111" s="17"/>
      <x:c r="Q111" s="17"/>
      <x:c r="R111" s="17"/>
      <x:c r="S111" s="17"/>
      <x:c r="T111" s="17"/>
      <x:c r="U111" s="9" t="str">
        <x:v>Qualitative size: Part-sized. Closure: Mechanical collar. Contents: Vessel closure, not a liquid container</x:v>
      </x:c>
      <x:c r="V111" s="11"/>
      <x:c r="W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1" s="4" t="str">
        <x:v>Container part</x:v>
      </x:c>
      <x:c r="Y111" s="4" t="str">
        <x:v>Processed intermediate</x:v>
      </x:c>
      <x:c r="Z111" s="4" t="str">
        <x:v>Manufactured / unresolved</x:v>
      </x:c>
      <x:c r="AA111" s="4" t="str">
        <x:v>Sealing</x:v>
      </x:c>
      <x:c r="AB111" s="4" t="str">
        <x:v>Mixed / unresolved</x:v>
      </x:c>
      <x:c r="AC111" s="4" t="str">
        <x:v>Solid part</x:v>
      </x:c>
      <x:c r="AD111" s="4" t="str">
        <x:v>Proposal</x:v>
      </x:c>
      <x:c r="AE111" s="4" t="str">
        <x:f>LOWER(A111&amp;"; "&amp;B111&amp;"; "&amp;D111&amp;"; "&amp;E111&amp;"; "&amp;X111&amp;"; "&amp;Y111&amp;"; "&amp;Z111&amp;"; "&amp;AA111&amp;"; "&amp;AB111&amp;"; "&amp;AC111&amp;"; "&amp;AD111&amp;"; "&amp;V111&amp;"; "&amp;C111&amp;"; "&amp;AH111&amp;"; "&amp;AI111)</x:f>
        <x:v>proposal.container.seal_collar; compression seal collar; containers; closure component; container part; processed intermediate; manufactured / unresolved; sealing; mixed / unresolved; solid part; proposal; ; unassigned; not applicable; component</x:v>
      </x:c>
      <x:c r="AF111" s="4" t="str">
        <x:v>From current item description. Proposed uses retain their existing approval status.</x:v>
      </x:c>
      <x:c r="AG111" s="4" t="str">
        <x:v>Choose a material/part route before assigning a tier. Processing-stage labels alone do not prove chain depth.</x:v>
      </x:c>
      <x:c r="AH111" s="4" t="str">
        <x:v>Not applicable</x:v>
      </x:c>
      <x:c r="AI111" s="4" t="str">
        <x:v>Component</x:v>
      </x:c>
      <x:c r="AJ111" s="4" t="n">
        <x:f>COUNTIFS('Material routes'!$D$6:$D$1005,A111,'Material routes'!$C$6:$C$1005,"Output")</x:f>
        <x:v>0</x:v>
      </x:c>
      <x:c r="AK111" s="4" t="n">
        <x:f>SUM(COUNTIFS('Material routes'!$D$6:$D$1005,A111,'Material routes'!$C$6:$C$1005,"Ingredient candidate"),COUNTIFS('Material routes'!$D$6:$D$1005,A111,'Material routes'!$C$6:$C$1005,"Consumed input"),COUNTIFS('Material routes'!$D$6:$D$1005,A111,'Material routes'!$C$6:$C$1005,"Contained input"),COUNTIFS('Material routes'!$D$6:$D$1005,A111,'Material routes'!$C$6:$C$1005,"Transform input"))</x:f>
        <x:v>0</x:v>
      </x:c>
      <x:c r="AL111" s="4" t="n">
        <x:f>COUNTIFS('Material routes'!$D$6:$D$1005,A111,'Material routes'!$C$6:$C$1005,"Tool candidate")</x:f>
        <x:v>0</x:v>
      </x:c>
      <x:c r="AM111" s="4" t="str">
        <x:f>IF(AJ111&gt;0,"Route listed; review status/completeness",IF(C111="T0","Raw entry feed; no production route","No production route listed"))</x:f>
        <x:v>No production route listed</x:v>
      </x:c>
      <x:c r="AN111" s="14" t="n">
        <x:f>IF(C111="T0",0,IF(C111="T1",1,IF(C111="T2",2,IF(C111="T3",3,IF(C111="T4",4,IF(C111="Unassigned",98,99))))))</x:f>
        <x:v>98</x:v>
      </x:c>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t="str">
        <x:v>proposal.gear.mail_shirt</x:v>
      </x:c>
      <x:c r="B112" s="9" t="str">
        <x:v>Chainmail shirt</x:v>
      </x:c>
      <x:c r="C112" s="4" t="str">
        <x:v>Not applicable</x:v>
      </x:c>
      <x:c r="D112" s="9" t="str">
        <x:v>Equipment</x:v>
      </x:c>
      <x:c r="E112" s="9" t="str">
        <x:v>Torso layer</x:v>
      </x:c>
      <x:c r="F112" s="9" t="str">
        <x:v>User direction; not implemented</x:v>
      </x:c>
      <x:c r="G112" s="9" t="str">
        <x:v>Everyday metal chainmail clothing; fitted/protective effects remain undecided.</x:v>
      </x:c>
      <x:c r="H112" s="9" t="str">
        <x:v>Unassigned; loadout extension TBD</x:v>
      </x:c>
      <x:c r="I112" s="9" t="str">
        <x:v>Booter-worn/held concept; permitted spares in Legger cargo TBD</x:v>
      </x:c>
      <x:c r="J112" s="13"/>
      <x:c r="K112" s="15"/>
      <x:c r="L112" s="9" t="str">
        <x:v>Fabrication, trade or salvage candidate; no recipe authored</x:v>
      </x:c>
      <x:c r="M112" s="9" t="str">
        <x:v>Proposed materials: Metal rings; attachment/underlayer material undecided</x:v>
      </x:c>
      <x:c r="N112" s="9" t="str">
        <x:v>Not implemented</x:v>
      </x:c>
      <x:c r="O112" s="9" t="str">
        <x:v>Layering, weight, noise and underlayer requirements need design; no cloth assumed</x:v>
      </x:c>
      <x:c r="P112" s="17"/>
      <x:c r="Q112" s="17"/>
      <x:c r="R112" s="17"/>
      <x:c r="S112" s="17"/>
      <x:c r="T112" s="17"/>
      <x:c r="U112" s="9" t="str">
        <x:v>Ordinary simple chainmail belongs to regular clothing. Elaborate variants can be fashion; detailed construction, mass and effects remain open.</x:v>
      </x:c>
      <x:c r="V112" s="11" t="str">
        <x:v>protection; chain mail shirt</x:v>
      </x:c>
      <x:c r="W112" s="9" t="str">
        <x:v>Direct author clarification, October 14, 2026; Docs/WORLD_BASIS.md#material-culture. Ordinary wear: simple wraps, metal chainmail and practical metal-based pieces with minimal fur. Elaborate fashion remains rare/expensive; no cloth.</x:v>
      </x:c>
      <x:c r="X112" s="4" t="str">
        <x:v>Armor</x:v>
      </x:c>
      <x:c r="Y112" s="4" t="str">
        <x:v>Finished item</x:v>
      </x:c>
      <x:c r="Z112" s="4" t="str">
        <x:v>Manufactured / unresolved</x:v>
      </x:c>
      <x:c r="AA112" s="4" t="str">
        <x:v>Clothing</x:v>
      </x:c>
      <x:c r="AB112" s="4" t="str">
        <x:v>Metal</x:v>
      </x:c>
      <x:c r="AC112" s="4" t="str">
        <x:v>Garment</x:v>
      </x:c>
      <x:c r="AD112" s="4" t="str">
        <x:v>Author direction</x:v>
      </x:c>
      <x:c r="AE112" s="4" t="str">
        <x:f>LOWER(A112&amp;"; "&amp;B112&amp;"; "&amp;D112&amp;"; "&amp;E112&amp;"; "&amp;X112&amp;"; "&amp;Y112&amp;"; "&amp;Z112&amp;"; "&amp;AA112&amp;"; "&amp;AB112&amp;"; "&amp;AC112&amp;"; "&amp;AD112&amp;"; "&amp;V112&amp;"; "&amp;C112&amp;"; "&amp;AH112&amp;"; "&amp;AI112)</x:f>
        <x:v>proposal.gear.mail_shirt; chainmail shirt; equipment; torso layer; armor; finished item; manufactured / unresolved; clothing; metal; garment; author direction; protection; chain mail shirt; not applicable; unassigned; finished item</x:v>
      </x:c>
      <x:c r="AF112" s="4" t="str">
        <x:v>From current item description. Proposed uses retain their existing approval status.</x:v>
      </x:c>
      <x:c r="AG112" s="4" t="str">
        <x:v>Finished endpoint; material tier is not applicable. Input tiers belong to the chosen recipe.</x:v>
      </x:c>
      <x:c r="AH112" s="4" t="str">
        <x:v>Unassigned</x:v>
      </x:c>
      <x:c r="AI112" s="4" t="str">
        <x:v>Finished item</x:v>
      </x:c>
      <x:c r="AJ112" s="4" t="n">
        <x:f>COUNTIFS('Material routes'!$D$6:$D$1005,A112,'Material routes'!$C$6:$C$1005,"Output")</x:f>
        <x:v>0</x:v>
      </x:c>
      <x:c r="AK112" s="4" t="n">
        <x:f>SUM(COUNTIFS('Material routes'!$D$6:$D$1005,A112,'Material routes'!$C$6:$C$1005,"Ingredient candidate"),COUNTIFS('Material routes'!$D$6:$D$1005,A112,'Material routes'!$C$6:$C$1005,"Consumed input"),COUNTIFS('Material routes'!$D$6:$D$1005,A112,'Material routes'!$C$6:$C$1005,"Contained input"),COUNTIFS('Material routes'!$D$6:$D$1005,A112,'Material routes'!$C$6:$C$1005,"Transform input"))</x:f>
        <x:v>0</x:v>
      </x:c>
      <x:c r="AL112" s="4" t="n">
        <x:f>COUNTIFS('Material routes'!$D$6:$D$1005,A112,'Material routes'!$C$6:$C$1005,"Tool candidate")</x:f>
        <x:v>0</x:v>
      </x:c>
      <x:c r="AM112" s="4" t="str">
        <x:f>IF(AJ112&gt;0,"Route listed; review status/completeness",IF(C112="T0","Raw entry feed; no production route","No production route listed"))</x:f>
        <x:v>No production route listed</x:v>
      </x:c>
      <x:c r="AN112" s="14" t="n">
        <x:f>IF(C112="T0",0,IF(C112="T1",1,IF(C112="T2",2,IF(C112="T3",3,IF(C112="T4",4,IF(C112="Unassigned",98,99))))))</x:f>
        <x:v>99</x:v>
      </x:c>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t="str">
        <x:v>proposal.gear.metal_armor_set</x:v>
      </x:c>
      <x:c r="B113" s="9" t="str">
        <x:v>Assembled metal armor</x:v>
      </x:c>
      <x:c r="C113" s="4" t="str">
        <x:v>Not applicable</x:v>
      </x:c>
      <x:c r="D113" s="9" t="str">
        <x:v>Equipment</x:v>
      </x:c>
      <x:c r="E113" s="9" t="str">
        <x:v>Whole-body assembly candidate</x:v>
      </x:c>
      <x:c r="F113" s="9" t="str">
        <x:v>User direction; not implemented</x:v>
      </x:c>
      <x:c r="G113" s="9" t="str">
        <x:v>A coordinated armor family from crude to elaborate</x:v>
      </x:c>
      <x:c r="H113" s="9" t="str">
        <x:v>Unassigned; loadout extension TBD</x:v>
      </x:c>
      <x:c r="I113" s="9" t="str">
        <x:v>Booter-worn/held concept; permitted spares in Legger cargo TBD</x:v>
      </x:c>
      <x:c r="J113" s="13"/>
      <x:c r="K113" s="15"/>
      <x:c r="L113" s="9" t="str">
        <x:v>Fabrication, trade or salvage candidate; no recipe authored</x:v>
      </x:c>
      <x:c r="M113" s="9" t="str">
        <x:v>Proposed materials: Metal plates; hinges/rivets; backing and connectors undecided</x:v>
      </x:c>
      <x:c r="N113" s="9" t="str">
        <x:v>Not implemented</x:v>
      </x:c>
      <x:c r="O113" s="9" t="str">
        <x:v>Set versus independently owned pieces unresolved; do not count the same plates as both set and components</x:v>
      </x:c>
      <x:c r="P113" s="17"/>
      <x:c r="Q113" s="17"/>
      <x:c r="R113" s="17"/>
      <x:c r="S113" s="17"/>
      <x:c r="T113" s="17"/>
      <x:c r="U113" s="9" t="str">
        <x:v>Crude: Mixed scavenged plates on a simple carrier. Serviceable: Coordinated torso and limb pieces. Elaborate: Fitted articulated ensemble with matched joints</x:v>
      </x:c>
      <x:c r="V113" s="11"/>
      <x:c r="W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3" s="4" t="str">
        <x:v>Armor</x:v>
      </x:c>
      <x:c r="Y113" s="4" t="str">
        <x:v>Finished item</x:v>
      </x:c>
      <x:c r="Z113" s="4" t="str">
        <x:v>Manufactured / unresolved</x:v>
      </x:c>
      <x:c r="AA113" s="4" t="str">
        <x:v>Protection</x:v>
      </x:c>
      <x:c r="AB113" s="4" t="str">
        <x:v>Metal</x:v>
      </x:c>
      <x:c r="AC113" s="4" t="str">
        <x:v>Assembly</x:v>
      </x:c>
      <x:c r="AD113" s="4" t="str">
        <x:v>Author direction</x:v>
      </x:c>
      <x:c r="AE113" s="4" t="str">
        <x:f>LOWER(A113&amp;"; "&amp;B113&amp;"; "&amp;D113&amp;"; "&amp;E113&amp;"; "&amp;X113&amp;"; "&amp;Y113&amp;"; "&amp;Z113&amp;"; "&amp;AA113&amp;"; "&amp;AB113&amp;"; "&amp;AC113&amp;"; "&amp;AD113&amp;"; "&amp;V113&amp;"; "&amp;C113&amp;"; "&amp;AH113&amp;"; "&amp;AI113)</x:f>
        <x:v>proposal.gear.metal_armor_set; assembled metal armor; equipment; whole-body assembly candidate; armor; finished item; manufactured / unresolved; protection; metal; assembly; author direction; ; not applicable; unassigned; finished item</x:v>
      </x:c>
      <x:c r="AF113" s="4" t="str">
        <x:v>From current item description. Proposed uses retain their existing approval status.</x:v>
      </x:c>
      <x:c r="AG113" s="4" t="str">
        <x:v>Finished endpoint; material tier is not applicable. Input tiers belong to the chosen recipe.</x:v>
      </x:c>
      <x:c r="AH113" s="4" t="str">
        <x:v>Unassigned</x:v>
      </x:c>
      <x:c r="AI113" s="4" t="str">
        <x:v>Finished item</x:v>
      </x:c>
      <x:c r="AJ113" s="4" t="n">
        <x:f>COUNTIFS('Material routes'!$D$6:$D$1005,A113,'Material routes'!$C$6:$C$1005,"Output")</x:f>
        <x:v>0</x:v>
      </x:c>
      <x:c r="AK113" s="4" t="n">
        <x:f>SUM(COUNTIFS('Material routes'!$D$6:$D$1005,A113,'Material routes'!$C$6:$C$1005,"Ingredient candidate"),COUNTIFS('Material routes'!$D$6:$D$1005,A113,'Material routes'!$C$6:$C$1005,"Consumed input"),COUNTIFS('Material routes'!$D$6:$D$1005,A113,'Material routes'!$C$6:$C$1005,"Contained input"),COUNTIFS('Material routes'!$D$6:$D$1005,A113,'Material routes'!$C$6:$C$1005,"Transform input"))</x:f>
        <x:v>0</x:v>
      </x:c>
      <x:c r="AL113" s="4" t="n">
        <x:f>COUNTIFS('Material routes'!$D$6:$D$1005,A113,'Material routes'!$C$6:$C$1005,"Tool candidate")</x:f>
        <x:v>0</x:v>
      </x:c>
      <x:c r="AM113" s="4" t="str">
        <x:f>IF(AJ113&gt;0,"Route listed; review status/completeness",IF(C113="T0","Raw entry feed; no production route","No production route listed"))</x:f>
        <x:v>No production route listed</x:v>
      </x:c>
      <x:c r="AN113" s="14" t="n">
        <x:f>IF(C113="T0",0,IF(C113="T1",1,IF(C113="T2",2,IF(C113="T3",3,IF(C113="T4",4,IF(C113="Unassigned",98,99))))))</x:f>
        <x:v>99</x:v>
      </x:c>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str">
        <x:v>proposal.gear.chest_armor</x:v>
      </x:c>
      <x:c r="B114" s="9" t="str">
        <x:v>Chest armor</x:v>
      </x:c>
      <x:c r="C114" s="4" t="str">
        <x:v>Not applicable</x:v>
      </x:c>
      <x:c r="D114" s="9" t="str">
        <x:v>Equipment</x:v>
      </x:c>
      <x:c r="E114" s="9" t="str">
        <x:v>Torso plate</x:v>
      </x:c>
      <x:c r="F114" s="9" t="str">
        <x:v>User direction; not implemented</x:v>
      </x:c>
      <x:c r="G114" s="9" t="str">
        <x:v>Torso protection candidate</x:v>
      </x:c>
      <x:c r="H114" s="9" t="str">
        <x:v>Unassigned; loadout extension TBD</x:v>
      </x:c>
      <x:c r="I114" s="9" t="str">
        <x:v>Booter-worn/held concept; permitted spares in Legger cargo TBD</x:v>
      </x:c>
      <x:c r="J114" s="13"/>
      <x:c r="K114" s="15"/>
      <x:c r="L114" s="9" t="str">
        <x:v>Fabrication, trade or salvage candidate; no recipe authored</x:v>
      </x:c>
      <x:c r="M114" s="9" t="str">
        <x:v>Proposed materials: Worked metal; optional shell/mineral-backed design</x:v>
      </x:c>
      <x:c r="N114" s="9" t="str">
        <x:v>Not implemented</x:v>
      </x:c>
      <x:c r="O114" s="9" t="str">
        <x:v>Relationship to chainmail, jacket, cloak and canisters unresolved; no automatic Jacket-slot compatibility</x:v>
      </x:c>
      <x:c r="P114" s="17"/>
      <x:c r="Q114" s="17"/>
      <x:c r="R114" s="17"/>
      <x:c r="S114" s="17"/>
      <x:c r="T114" s="17"/>
      <x:c r="U114" s="9" t="str">
        <x:v>Crude: Single repaired plate and simple retaining hardware. Serviceable: Shaped front/back panels with accessible closures. Elaborate: Fitted articulated chest assembly with replaceable panels</x:v>
      </x:c>
      <x:c r="V114" s="11"/>
      <x:c r="W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4" s="4" t="str">
        <x:v>Armor</x:v>
      </x:c>
      <x:c r="Y114" s="4" t="str">
        <x:v>Finished item</x:v>
      </x:c>
      <x:c r="Z114" s="4" t="str">
        <x:v>Manufactured / unresolved</x:v>
      </x:c>
      <x:c r="AA114" s="4" t="str">
        <x:v>Protection</x:v>
      </x:c>
      <x:c r="AB114" s="4" t="str">
        <x:v>Metal</x:v>
      </x:c>
      <x:c r="AC114" s="4" t="str">
        <x:v>Assembly</x:v>
      </x:c>
      <x:c r="AD114" s="4" t="str">
        <x:v>Author direction</x:v>
      </x:c>
      <x:c r="AE114" s="4" t="str">
        <x:f>LOWER(A114&amp;"; "&amp;B114&amp;"; "&amp;D114&amp;"; "&amp;E114&amp;"; "&amp;X114&amp;"; "&amp;Y114&amp;"; "&amp;Z114&amp;"; "&amp;AA114&amp;"; "&amp;AB114&amp;"; "&amp;AC114&amp;"; "&amp;AD114&amp;"; "&amp;V114&amp;"; "&amp;C114&amp;"; "&amp;AH114&amp;"; "&amp;AI114)</x:f>
        <x:v>proposal.gear.chest_armor; chest armor; equipment; torso plate; armor; finished item; manufactured / unresolved; protection; metal; assembly; author direction; ; not applicable; unassigned; finished item</x:v>
      </x:c>
      <x:c r="AF114" s="4" t="str">
        <x:v>From current item description. Proposed uses retain their existing approval status.</x:v>
      </x:c>
      <x:c r="AG114" s="4" t="str">
        <x:v>Finished endpoint; material tier is not applicable. Input tiers belong to the chosen recipe.</x:v>
      </x:c>
      <x:c r="AH114" s="4" t="str">
        <x:v>Unassigned</x:v>
      </x:c>
      <x:c r="AI114" s="4" t="str">
        <x:v>Finished item</x:v>
      </x:c>
      <x:c r="AJ114" s="4" t="n">
        <x:f>COUNTIFS('Material routes'!$D$6:$D$1005,A114,'Material routes'!$C$6:$C$1005,"Output")</x:f>
        <x:v>1</x:v>
      </x:c>
      <x:c r="AK114" s="4" t="n">
        <x:f>SUM(COUNTIFS('Material routes'!$D$6:$D$1005,A114,'Material routes'!$C$6:$C$1005,"Ingredient candidate"),COUNTIFS('Material routes'!$D$6:$D$1005,A114,'Material routes'!$C$6:$C$1005,"Consumed input"),COUNTIFS('Material routes'!$D$6:$D$1005,A114,'Material routes'!$C$6:$C$1005,"Contained input"),COUNTIFS('Material routes'!$D$6:$D$1005,A114,'Material routes'!$C$6:$C$1005,"Transform input"))</x:f>
        <x:v>0</x:v>
      </x:c>
      <x:c r="AL114" s="4" t="n">
        <x:f>COUNTIFS('Material routes'!$D$6:$D$1005,A114,'Material routes'!$C$6:$C$1005,"Tool candidate")</x:f>
        <x:v>0</x:v>
      </x:c>
      <x:c r="AM114" s="4" t="str">
        <x:f>IF(AJ114&gt;0,"Route listed; review status/completeness",IF(C114="T0","Raw entry feed; no production route","No production route listed"))</x:f>
        <x:v>Route listed; review status/completeness</x:v>
      </x:c>
      <x:c r="AN114" s="14" t="n">
        <x:f>IF(C114="T0",0,IF(C114="T1",1,IF(C114="T2",2,IF(C114="T3",3,IF(C114="T4",4,IF(C114="Unassigned",98,99))))))</x:f>
        <x:v>99</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str">
        <x:v>proposal.gear.helmet</x:v>
      </x:c>
      <x:c r="B115" s="9" t="str">
        <x:v>Helmet</x:v>
      </x:c>
      <x:c r="C115" s="4" t="str">
        <x:v>Not applicable</x:v>
      </x:c>
      <x:c r="D115" s="9" t="str">
        <x:v>Equipment</x:v>
      </x:c>
      <x:c r="E115" s="9" t="str">
        <x:v>Head</x:v>
      </x:c>
      <x:c r="F115" s="9" t="str">
        <x:v>User direction; not implemented</x:v>
      </x:c>
      <x:c r="G115" s="9" t="str">
        <x:v>Head protection with readable sight/hearing tradeoffs</x:v>
      </x:c>
      <x:c r="H115" s="9" t="str">
        <x:v>Unassigned; loadout extension TBD</x:v>
      </x:c>
      <x:c r="I115" s="9" t="str">
        <x:v>Booter-worn/held concept; permitted spares in Legger cargo TBD</x:v>
      </x:c>
      <x:c r="J115" s="13"/>
      <x:c r="K115" s="15"/>
      <x:c r="L115" s="9" t="str">
        <x:v>Fabrication, trade or salvage candidate; no recipe authored</x:v>
      </x:c>
      <x:c r="M115" s="9" t="str">
        <x:v>Proposed materials: Metal; optional shell panels; liner material undecided</x:v>
      </x:c>
      <x:c r="N115" s="9" t="str">
        <x:v>Not implemented</x:v>
      </x:c>
      <x:c r="O115" s="9" t="str">
        <x:v>Visibility, hearing, breathing and worn canister interaction need design; no sealed respiratory protection implied</x:v>
      </x:c>
      <x:c r="P115" s="17"/>
      <x:c r="Q115" s="17"/>
      <x:c r="R115" s="17"/>
      <x:c r="S115" s="17"/>
      <x:c r="T115" s="17"/>
      <x:c r="U115" s="9" t="str">
        <x:v>Crude: Simple open bowl or salvaged cap. Serviceable: Fitted shell with cheek/neck coverage options. Elaborate: Articulated protective helmet with carefully framed sightlines</x:v>
      </x:c>
      <x:c r="V115" s="11"/>
      <x:c r="W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5" s="4" t="str">
        <x:v>Armor</x:v>
      </x:c>
      <x:c r="Y115" s="4" t="str">
        <x:v>Finished item</x:v>
      </x:c>
      <x:c r="Z115" s="4" t="str">
        <x:v>Manufactured / unresolved</x:v>
      </x:c>
      <x:c r="AA115" s="4" t="str">
        <x:v>Protection</x:v>
      </x:c>
      <x:c r="AB115" s="4" t="str">
        <x:v>Metal</x:v>
      </x:c>
      <x:c r="AC115" s="4" t="str">
        <x:v>Assembly</x:v>
      </x:c>
      <x:c r="AD115" s="4" t="str">
        <x:v>Author direction</x:v>
      </x:c>
      <x:c r="AE115" s="4" t="str">
        <x:f>LOWER(A115&amp;"; "&amp;B115&amp;"; "&amp;D115&amp;"; "&amp;E115&amp;"; "&amp;X115&amp;"; "&amp;Y115&amp;"; "&amp;Z115&amp;"; "&amp;AA115&amp;"; "&amp;AB115&amp;"; "&amp;AC115&amp;"; "&amp;AD115&amp;"; "&amp;V115&amp;"; "&amp;C115&amp;"; "&amp;AH115&amp;"; "&amp;AI115)</x:f>
        <x:v>proposal.gear.helmet; helmet; equipment; head; armor; finished item; manufactured / unresolved; protection; metal; assembly; author direction; ; not applicable; unassigned; finished item</x:v>
      </x:c>
      <x:c r="AF115" s="4" t="str">
        <x:v>From current item description. Proposed uses retain their existing approval status.</x:v>
      </x:c>
      <x:c r="AG115" s="4" t="str">
        <x:v>Finished endpoint; material tier is not applicable. Input tiers belong to the chosen recipe.</x:v>
      </x:c>
      <x:c r="AH115" s="4" t="str">
        <x:v>Unassigned</x:v>
      </x:c>
      <x:c r="AI115" s="4" t="str">
        <x:v>Finished item</x:v>
      </x:c>
      <x:c r="AJ115" s="4" t="n">
        <x:f>COUNTIFS('Material routes'!$D$6:$D$1005,A115,'Material routes'!$C$6:$C$1005,"Output")</x:f>
        <x:v>0</x:v>
      </x:c>
      <x:c r="AK115" s="4" t="n">
        <x:f>SUM(COUNTIFS('Material routes'!$D$6:$D$1005,A115,'Material routes'!$C$6:$C$1005,"Ingredient candidate"),COUNTIFS('Material routes'!$D$6:$D$1005,A115,'Material routes'!$C$6:$C$1005,"Consumed input"),COUNTIFS('Material routes'!$D$6:$D$1005,A115,'Material routes'!$C$6:$C$1005,"Contained input"),COUNTIFS('Material routes'!$D$6:$D$1005,A115,'Material routes'!$C$6:$C$1005,"Transform input"))</x:f>
        <x:v>0</x:v>
      </x:c>
      <x:c r="AL115" s="4" t="n">
        <x:f>COUNTIFS('Material routes'!$D$6:$D$1005,A115,'Material routes'!$C$6:$C$1005,"Tool candidate")</x:f>
        <x:v>0</x:v>
      </x:c>
      <x:c r="AM115" s="4" t="str">
        <x:f>IF(AJ115&gt;0,"Route listed; review status/completeness",IF(C115="T0","Raw entry feed; no production route","No production route listed"))</x:f>
        <x:v>No production route listed</x:v>
      </x:c>
      <x:c r="AN115" s="14" t="n">
        <x:f>IF(C115="T0",0,IF(C115="T1",1,IF(C115="T2",2,IF(C115="T3",3,IF(C115="T4",4,IF(C115="Unassigned",98,99))))))</x:f>
        <x:v>99</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str">
        <x:v>proposal.gear.leg_armor</x:v>
      </x:c>
      <x:c r="B116" s="9" t="str">
        <x:v>Leg armor</x:v>
      </x:c>
      <x:c r="C116" s="4" t="str">
        <x:v>Not applicable</x:v>
      </x:c>
      <x:c r="D116" s="9" t="str">
        <x:v>Equipment</x:v>
      </x:c>
      <x:c r="E116" s="9" t="str">
        <x:v>Lower limbs</x:v>
      </x:c>
      <x:c r="F116" s="9" t="str">
        <x:v>User direction; not implemented</x:v>
      </x:c>
      <x:c r="G116" s="9" t="str">
        <x:v>Lower-limb protection candidate</x:v>
      </x:c>
      <x:c r="H116" s="9" t="str">
        <x:v>Unassigned; loadout extension TBD</x:v>
      </x:c>
      <x:c r="I116" s="9" t="str">
        <x:v>Booter-worn/held concept; permitted spares in Legger cargo TBD</x:v>
      </x:c>
      <x:c r="J116" s="13"/>
      <x:c r="K116" s="15"/>
      <x:c r="L116" s="9" t="str">
        <x:v>Fabrication, trade or salvage candidate; no recipe authored</x:v>
      </x:c>
      <x:c r="M116" s="9" t="str">
        <x:v>Proposed materials: Metal plate segments; mechanical/flexible joints TBD</x:v>
      </x:c>
      <x:c r="N116" s="9" t="str">
        <x:v>Not implemented</x:v>
      </x:c>
      <x:c r="O116" s="9" t="str">
        <x:v>Crouch, climb, gait and boots must remain compatible; no movement penalties fixed</x:v>
      </x:c>
      <x:c r="P116" s="17"/>
      <x:c r="Q116" s="17"/>
      <x:c r="R116" s="17"/>
      <x:c r="S116" s="17"/>
      <x:c r="T116" s="17"/>
      <x:c r="U116" s="9" t="str">
        <x:v>Crude: Separate shin plates and exposed joints. Serviceable: Matched shin/knee protection. Elaborate: Articulated thigh/knee/shin assembly</x:v>
      </x:c>
      <x:c r="V116" s="11"/>
      <x:c r="W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6" s="4" t="str">
        <x:v>Armor</x:v>
      </x:c>
      <x:c r="Y116" s="4" t="str">
        <x:v>Finished item</x:v>
      </x:c>
      <x:c r="Z116" s="4" t="str">
        <x:v>Manufactured / unresolved</x:v>
      </x:c>
      <x:c r="AA116" s="4" t="str">
        <x:v>Protection</x:v>
      </x:c>
      <x:c r="AB116" s="4" t="str">
        <x:v>Metal</x:v>
      </x:c>
      <x:c r="AC116" s="4" t="str">
        <x:v>Assembly</x:v>
      </x:c>
      <x:c r="AD116" s="4" t="str">
        <x:v>Author direction</x:v>
      </x:c>
      <x:c r="AE116" s="4" t="str">
        <x:f>LOWER(A116&amp;"; "&amp;B116&amp;"; "&amp;D116&amp;"; "&amp;E116&amp;"; "&amp;X116&amp;"; "&amp;Y116&amp;"; "&amp;Z116&amp;"; "&amp;AA116&amp;"; "&amp;AB116&amp;"; "&amp;AC116&amp;"; "&amp;AD116&amp;"; "&amp;V116&amp;"; "&amp;C116&amp;"; "&amp;AH116&amp;"; "&amp;AI116)</x:f>
        <x:v>proposal.gear.leg_armor; leg armor; equipment; lower limbs; armor; finished item; manufactured / unresolved; protection; metal; assembly; author direction; ; not applicable; unassigned; finished item</x:v>
      </x:c>
      <x:c r="AF116" s="4" t="str">
        <x:v>From current item description. Proposed uses retain their existing approval status.</x:v>
      </x:c>
      <x:c r="AG116" s="4" t="str">
        <x:v>Finished endpoint; material tier is not applicable. Input tiers belong to the chosen recipe.</x:v>
      </x:c>
      <x:c r="AH116" s="4" t="str">
        <x:v>Unassigned</x:v>
      </x:c>
      <x:c r="AI116" s="4" t="str">
        <x:v>Finished item</x:v>
      </x:c>
      <x:c r="AJ116" s="4" t="n">
        <x:f>COUNTIFS('Material routes'!$D$6:$D$1005,A116,'Material routes'!$C$6:$C$1005,"Output")</x:f>
        <x:v>0</x:v>
      </x:c>
      <x:c r="AK116" s="4" t="n">
        <x:f>SUM(COUNTIFS('Material routes'!$D$6:$D$1005,A116,'Material routes'!$C$6:$C$1005,"Ingredient candidate"),COUNTIFS('Material routes'!$D$6:$D$1005,A116,'Material routes'!$C$6:$C$1005,"Consumed input"),COUNTIFS('Material routes'!$D$6:$D$1005,A116,'Material routes'!$C$6:$C$1005,"Contained input"),COUNTIFS('Material routes'!$D$6:$D$1005,A116,'Material routes'!$C$6:$C$1005,"Transform input"))</x:f>
        <x:v>0</x:v>
      </x:c>
      <x:c r="AL116" s="4" t="n">
        <x:f>COUNTIFS('Material routes'!$D$6:$D$1005,A116,'Material routes'!$C$6:$C$1005,"Tool candidate")</x:f>
        <x:v>0</x:v>
      </x:c>
      <x:c r="AM116" s="4" t="str">
        <x:f>IF(AJ116&gt;0,"Route listed; review status/completeness",IF(C116="T0","Raw entry feed; no production route","No production route listed"))</x:f>
        <x:v>No production route listed</x:v>
      </x:c>
      <x:c r="AN116" s="14" t="n">
        <x:f>IF(C116="T0",0,IF(C116="T1",1,IF(C116="T2",2,IF(C116="T3",3,IF(C116="T4",4,IF(C116="Unassigned",98,99))))))</x:f>
        <x:v>99</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str">
        <x:v>Equipment</x:v>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equipment; feet; wearable; finished item; manufactured / unresolved; protection; mixed / unresolved; garment; author direction; traversal; not applicable; unassigned; finished item</x:v>
      </x:c>
      <x:c r="AF117" s="4" t="str">
        <x:v>From current item description. Proposed uses retain their existing approval status.</x:v>
      </x:c>
      <x:c r="AG117" s="4" t="str">
        <x:v>Finished endpoint; material tier is not applicable. Input tiers belong to the chosen recipe.</x:v>
      </x:c>
      <x:c r="AH117" s="4" t="str">
        <x:v>Unassigned</x:v>
      </x:c>
      <x:c r="AI117" s="4" t="str">
        <x:v>Finished item</x:v>
      </x:c>
      <x:c r="AJ117" s="4" t="n">
        <x:f>COUNTIFS('Material routes'!$D$6:$D$1005,A117,'Material routes'!$C$6:$C$1005,"Output")</x:f>
        <x:v>0</x:v>
      </x:c>
      <x:c r="AK117" s="4" t="n">
        <x:f>SUM(COUNTIFS('Material routes'!$D$6:$D$1005,A117,'Material routes'!$C$6:$C$1005,"Ingredient candidate"),COUNTIFS('Material routes'!$D$6:$D$1005,A117,'Material routes'!$C$6:$C$1005,"Consumed input"),COUNTIFS('Material routes'!$D$6:$D$1005,A117,'Material routes'!$C$6:$C$1005,"Contained input"),COUNTIFS('Material routes'!$D$6:$D$1005,A117,'Material routes'!$C$6:$C$1005,"Transform input"))</x:f>
        <x:v>0</x:v>
      </x:c>
      <x:c r="AL117" s="4" t="n">
        <x:f>COUNTIFS('Material routes'!$D$6:$D$1005,A117,'Material routes'!$C$6:$C$1005,"Tool candidate")</x:f>
        <x:v>0</x:v>
      </x:c>
      <x:c r="AM117" s="4" t="str">
        <x:f>IF(AJ117&gt;0,"Route listed; review status/completeness",IF(C117="T0","Raw entry feed; no production route","No production route listed"))</x:f>
        <x:v>No production route listed</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str">
        <x:v>Equipment</x:v>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equipment; hands; wearable; finished item; manufactured / unresolved; protection; mixed / unresolved; garment; author direction; ; not applicable; unassigned; finished item</x:v>
      </x:c>
      <x:c r="AF118" s="4" t="str">
        <x:v>From current item description. Proposed uses retain their existing approval status.</x:v>
      </x:c>
      <x:c r="AG118" s="4" t="str">
        <x:v>Finished endpoint; material tier is not applicable. Input tiers belong to the chosen recipe.</x:v>
      </x:c>
      <x:c r="AH118" s="4" t="str">
        <x:v>Unassigned</x:v>
      </x:c>
      <x:c r="AI118" s="4" t="str">
        <x:v>Finished item</x:v>
      </x:c>
      <x:c r="AJ118" s="4" t="n">
        <x:f>COUNTIFS('Material routes'!$D$6:$D$1005,A118,'Material routes'!$C$6:$C$1005,"Output")</x:f>
        <x:v>0</x:v>
      </x:c>
      <x:c r="AK118" s="4" t="n">
        <x:f>SUM(COUNTIFS('Material routes'!$D$6:$D$1005,A118,'Material routes'!$C$6:$C$1005,"Ingredient candidate"),COUNTIFS('Material routes'!$D$6:$D$1005,A118,'Material routes'!$C$6:$C$1005,"Consumed input"),COUNTIFS('Material routes'!$D$6:$D$1005,A118,'Material routes'!$C$6:$C$1005,"Contained input"),COUNTIFS('Material routes'!$D$6:$D$1005,A118,'Material routes'!$C$6:$C$1005,"Transform input"))</x:f>
        <x:v>0</x:v>
      </x:c>
      <x:c r="AL118" s="4" t="n">
        <x:f>COUNTIFS('Material routes'!$D$6:$D$1005,A118,'Material routes'!$C$6:$C$1005,"Tool candidate")</x:f>
        <x:v>0</x:v>
      </x:c>
      <x:c r="AM118" s="4" t="str">
        <x:f>IF(AJ118&gt;0,"Route listed; review status/completeness",IF(C118="T0","Raw entry feed; no production route","No production route listed"))</x:f>
        <x:v>No production route listed</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str">
        <x:v>Equipment</x:v>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equipment; back-mounted carrier; carrier; finished item; manufactured / unresolved; cargo organization; mixed / unresolved; assembly; author direction; ; not applicable; unassigned; finished item</x:v>
      </x:c>
      <x:c r="AF119" s="4" t="str">
        <x:v>From current item description. Proposed uses retain their existing approval status.</x:v>
      </x:c>
      <x:c r="AG119" s="4" t="str">
        <x:v>Finished endpoint; material tier is not applicable. Input tiers belong to the chosen recipe.</x:v>
      </x:c>
      <x:c r="AH119" s="4" t="str">
        <x:v>Unassigned</x:v>
      </x:c>
      <x:c r="AI119" s="4" t="str">
        <x:v>Finished item</x:v>
      </x:c>
      <x:c r="AJ119" s="4" t="n">
        <x:f>COUNTIFS('Material routes'!$D$6:$D$1005,A119,'Material routes'!$C$6:$C$1005,"Output")</x:f>
        <x:v>0</x:v>
      </x:c>
      <x:c r="AK119" s="4" t="n">
        <x:f>SUM(COUNTIFS('Material routes'!$D$6:$D$1005,A119,'Material routes'!$C$6:$C$1005,"Ingredient candidate"),COUNTIFS('Material routes'!$D$6:$D$1005,A119,'Material routes'!$C$6:$C$1005,"Consumed input"),COUNTIFS('Material routes'!$D$6:$D$1005,A119,'Material routes'!$C$6:$C$1005,"Contained input"),COUNTIFS('Material routes'!$D$6:$D$1005,A119,'Material routes'!$C$6:$C$1005,"Transform input"))</x:f>
        <x:v>0</x:v>
      </x:c>
      <x:c r="AL119" s="4" t="n">
        <x:f>COUNTIFS('Material routes'!$D$6:$D$1005,A119,'Material routes'!$C$6:$C$1005,"Tool candidate")</x:f>
        <x:v>0</x:v>
      </x:c>
      <x:c r="AM119" s="4" t="str">
        <x:f>IF(AJ119&gt;0,"Route listed; review status/completeness",IF(C119="T0","Raw entry feed; no production route","No production route listed"))</x:f>
        <x:v>No production route listed</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str">
        <x:v>Equipment</x:v>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equipment; modular protection; armor; finished item; manufactured / unresolved; protection; metal; assembly; author direction; ; not applicable; unassigned; finished item</x:v>
      </x:c>
      <x:c r="AF120" s="4" t="str">
        <x:v>From current item description. Proposed uses retain their existing approval status.</x:v>
      </x:c>
      <x:c r="AG120" s="4" t="str">
        <x:v>Finished endpoint; material tier is not applicable. Input tiers belong to the chosen recipe.</x:v>
      </x:c>
      <x:c r="AH120" s="4" t="str">
        <x:v>Unassigned</x:v>
      </x:c>
      <x:c r="AI120" s="4" t="str">
        <x:v>Finished item</x:v>
      </x:c>
      <x:c r="AJ120" s="4" t="n">
        <x:f>COUNTIFS('Material routes'!$D$6:$D$1005,A120,'Material routes'!$C$6:$C$1005,"Output")</x:f>
        <x:v>0</x:v>
      </x:c>
      <x:c r="AK120" s="4" t="n">
        <x:f>SUM(COUNTIFS('Material routes'!$D$6:$D$1005,A120,'Material routes'!$C$6:$C$1005,"Ingredient candidate"),COUNTIFS('Material routes'!$D$6:$D$1005,A120,'Material routes'!$C$6:$C$1005,"Consumed input"),COUNTIFS('Material routes'!$D$6:$D$1005,A120,'Material routes'!$C$6:$C$1005,"Contained input"),COUNTIFS('Material routes'!$D$6:$D$1005,A120,'Material routes'!$C$6:$C$1005,"Transform input"))</x:f>
        <x:v>0</x:v>
      </x:c>
      <x:c r="AL120" s="4" t="n">
        <x:f>COUNTIFS('Material routes'!$D$6:$D$1005,A120,'Material routes'!$C$6:$C$1005,"Tool candidate")</x:f>
        <x:v>0</x:v>
      </x:c>
      <x:c r="AM120" s="4" t="str">
        <x:f>IF(AJ120&gt;0,"Route listed; review status/completeness",IF(C120="T0","Raw entry feed; no production route","No production route listed"))</x:f>
        <x:v>No production route listed</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str">
        <x:v>Equipment</x:v>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equipment; held / mounted defensive gear; shield; finished item; manufactured / unresolved; protection; mixed / unresolved; assembly; author direction; ; not applicable; unassigned; finished item</x:v>
      </x:c>
      <x:c r="AF121" s="4" t="str">
        <x:v>From current item description. Proposed uses retain their existing approval status.</x:v>
      </x:c>
      <x:c r="AG121" s="4" t="str">
        <x:v>Finished endpoint; material tier is not applicable. Input tiers belong to the chosen recipe.</x:v>
      </x:c>
      <x:c r="AH121" s="4" t="str">
        <x:v>Unassigned</x:v>
      </x:c>
      <x:c r="AI121" s="4" t="str">
        <x:v>Finished item</x:v>
      </x:c>
      <x:c r="AJ121" s="4" t="n">
        <x:f>COUNTIFS('Material routes'!$D$6:$D$1005,A121,'Material routes'!$C$6:$C$1005,"Output")</x:f>
        <x:v>0</x:v>
      </x:c>
      <x:c r="AK121" s="4" t="n">
        <x:f>SUM(COUNTIFS('Material routes'!$D$6:$D$1005,A121,'Material routes'!$C$6:$C$1005,"Ingredient candidate"),COUNTIFS('Material routes'!$D$6:$D$1005,A121,'Material routes'!$C$6:$C$1005,"Consumed input"),COUNTIFS('Material routes'!$D$6:$D$1005,A121,'Material routes'!$C$6:$C$1005,"Contained input"),COUNTIFS('Material routes'!$D$6:$D$1005,A121,'Material routes'!$C$6:$C$1005,"Transform input"))</x:f>
        <x:v>0</x:v>
      </x:c>
      <x:c r="AL121" s="4" t="n">
        <x:f>COUNTIFS('Material routes'!$D$6:$D$1005,A121,'Material routes'!$C$6:$C$1005,"Tool candidate")</x:f>
        <x:v>0</x:v>
      </x:c>
      <x:c r="AM121" s="4" t="str">
        <x:f>IF(AJ121&gt;0,"Route listed; review status/completeness",IF(C121="T0","Raw entry feed; no production route","No production route listed"))</x:f>
        <x:v>No production route listed</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unassigned; finished item</x:v>
      </x:c>
      <x:c r="AF122" s="4" t="str">
        <x:v>From current item description. Proposed uses retain their existing approval status.</x:v>
      </x:c>
      <x:c r="AG122" s="4" t="str">
        <x:v>Finished endpoint; material tier is not applicable. Input tiers belong to the chosen recipe.</x:v>
      </x:c>
      <x:c r="AH122" s="4" t="str">
        <x:v>Unassigned</x:v>
      </x:c>
      <x:c r="AI122" s="4" t="str">
        <x:v>Finished item</x:v>
      </x:c>
      <x:c r="AJ122" s="4" t="n">
        <x:f>COUNTIFS('Material routes'!$D$6:$D$1005,A122,'Material routes'!$C$6:$C$1005,"Output")</x:f>
        <x:v>0</x:v>
      </x:c>
      <x:c r="AK122" s="4" t="n">
        <x:f>SUM(COUNTIFS('Material routes'!$D$6:$D$1005,A122,'Material routes'!$C$6:$C$1005,"Ingredient candidate"),COUNTIFS('Material routes'!$D$6:$D$1005,A122,'Material routes'!$C$6:$C$1005,"Consumed input"),COUNTIFS('Material routes'!$D$6:$D$1005,A122,'Material routes'!$C$6:$C$1005,"Contained input"),COUNTIFS('Material routes'!$D$6:$D$1005,A122,'Material routes'!$C$6:$C$1005,"Transform input"))</x:f>
        <x:v>0</x:v>
      </x:c>
      <x:c r="AL122" s="4" t="n">
        <x:f>COUNTIFS('Material routes'!$D$6:$D$1005,A122,'Material routes'!$C$6:$C$1005,"Tool candidate")</x:f>
        <x:v>0</x:v>
      </x:c>
      <x:c r="AM122" s="4" t="str">
        <x:f>IF(AJ122&gt;0,"Route listed; review status/completeness",IF(C122="T0","Raw entry feed; no production route","No production route listed"))</x:f>
        <x:v>No production route listed</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80" customHeight="1">
      <x:c r="A123" s="9" t="str">
        <x:v>proposal.ancient.carbon_composite</x:v>
      </x:c>
      <x:c r="B123" s="9" t="str">
        <x:v>Ancient carbon composite</x:v>
      </x:c>
      <x:c r="C123" s="4" t="str">
        <x:v>Unassigned</x:v>
      </x:c>
      <x:c r="D123" s="9" t="str">
        <x:v>Resources</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resources; ancient manufactured material; processed material; ancient manufactured; ancient technology; use unresolved; ancient composite; unresolved; author direction; ; unassigned; unassigned; material</x:v>
      </x:c>
      <x:c r="AF123" s="4" t="str">
        <x:v>From current item description. Proposed uses retain their existing approval status.</x:v>
      </x:c>
      <x:c r="AG123" s="4" t="str">
        <x:v>Tier requires a chosen production route; recovered ancient material is not automatically T4.</x:v>
      </x:c>
      <x:c r="AH123" s="4" t="str">
        <x:v>Unassigned</x:v>
      </x:c>
      <x:c r="AI123" s="4" t="str">
        <x:v>Material</x:v>
      </x:c>
      <x:c r="AJ123" s="4" t="n">
        <x:f>COUNTIFS('Material routes'!$D$6:$D$1005,A123,'Material routes'!$C$6:$C$1005,"Output")</x:f>
        <x:v>0</x:v>
      </x:c>
      <x:c r="AK123" s="4" t="n">
        <x:f>SUM(COUNTIFS('Material routes'!$D$6:$D$1005,A123,'Material routes'!$C$6:$C$1005,"Ingredient candidate"),COUNTIFS('Material routes'!$D$6:$D$1005,A123,'Material routes'!$C$6:$C$1005,"Consumed input"),COUNTIFS('Material routes'!$D$6:$D$1005,A123,'Material routes'!$C$6:$C$1005,"Contained input"),COUNTIFS('Material routes'!$D$6:$D$1005,A123,'Material routes'!$C$6:$C$1005,"Transform input"))</x:f>
        <x:v>0</x:v>
      </x:c>
      <x:c r="AL123" s="4" t="n">
        <x:f>COUNTIFS('Material routes'!$D$6:$D$1005,A123,'Material routes'!$C$6:$C$1005,"Tool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98</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80" customHeight="1">
      <x:c r="A124" s="9" t="str">
        <x:v>proposal.ancient.nanocarbon</x:v>
      </x:c>
      <x:c r="B124" s="9" t="str">
        <x:v>Ancient nanocarbon material</x:v>
      </x:c>
      <x:c r="C124" s="4" t="str">
        <x:v>Unassigned</x:v>
      </x:c>
      <x:c r="D124" s="9" t="str">
        <x:v>Resources</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resources; ancient manufactured material; processed material; ancient manufactured; ancient technology; use unresolved; ancient composite; unresolved; author direction; ; unassigned; unassigned; material</x:v>
      </x:c>
      <x:c r="AF124" s="4" t="str">
        <x:v>From current item description. Proposed uses retain their existing approval status.</x:v>
      </x:c>
      <x:c r="AG124" s="4" t="str">
        <x:v>Tier requires a chosen production route; recovered ancient material is not automatically T4.</x:v>
      </x:c>
      <x:c r="AH124" s="4" t="str">
        <x:v>Unassigned</x:v>
      </x:c>
      <x:c r="AI124" s="4" t="str">
        <x:v>Material</x:v>
      </x:c>
      <x:c r="AJ124" s="4" t="n">
        <x:f>COUNTIFS('Material routes'!$D$6:$D$1005,A124,'Material routes'!$C$6:$C$1005,"Output")</x:f>
        <x:v>0</x:v>
      </x:c>
      <x:c r="AK124" s="4" t="n">
        <x:f>SUM(COUNTIFS('Material routes'!$D$6:$D$1005,A124,'Material routes'!$C$6:$C$1005,"Ingredient candidate"),COUNTIFS('Material routes'!$D$6:$D$1005,A124,'Material routes'!$C$6:$C$1005,"Consumed input"),COUNTIFS('Material routes'!$D$6:$D$1005,A124,'Material routes'!$C$6:$C$1005,"Contained input"),COUNTIFS('Material routes'!$D$6:$D$1005,A124,'Material routes'!$C$6:$C$1005,"Transform input"))</x:f>
        <x:v>0</x:v>
      </x:c>
      <x:c r="AL124" s="4" t="n">
        <x:f>COUNTIFS('Material routes'!$D$6:$D$1005,A124,'Material routes'!$C$6:$C$1005,"Tool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98</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80" customHeight="1">
      <x:c r="A125" s="9" t="str">
        <x:v>proposal.ancient.plasteel</x:v>
      </x:c>
      <x:c r="B125" s="9" t="str">
        <x:v>Ancient plasteel material</x:v>
      </x:c>
      <x:c r="C125" s="4" t="str">
        <x:v>Unassigned</x:v>
      </x:c>
      <x:c r="D125" s="9" t="str">
        <x:v>Resources</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resources; ancient manufactured material; processed material; ancient manufactured; ancient technology; use unresolved; ancient composite; unresolved; author direction; ; unassigned; unassigned; material</x:v>
      </x:c>
      <x:c r="AF125" s="4" t="str">
        <x:v>From current item description. Proposed uses retain their existing approval status.</x:v>
      </x:c>
      <x:c r="AG125" s="4" t="str">
        <x:v>Tier requires a chosen production route; recovered ancient material is not automatically T4.</x:v>
      </x:c>
      <x:c r="AH125" s="4" t="str">
        <x:v>Unassigned</x:v>
      </x:c>
      <x:c r="AI125" s="4" t="str">
        <x:v>Material</x:v>
      </x:c>
      <x:c r="AJ125" s="4" t="n">
        <x:f>COUNTIFS('Material routes'!$D$6:$D$1005,A125,'Material routes'!$C$6:$C$1005,"Output")</x:f>
        <x:v>0</x:v>
      </x:c>
      <x:c r="AK125" s="4" t="n">
        <x:f>SUM(COUNTIFS('Material routes'!$D$6:$D$1005,A125,'Material routes'!$C$6:$C$1005,"Ingredient candidate"),COUNTIFS('Material routes'!$D$6:$D$1005,A125,'Material routes'!$C$6:$C$1005,"Consumed input"),COUNTIFS('Material routes'!$D$6:$D$1005,A125,'Material routes'!$C$6:$C$1005,"Contained input"),COUNTIFS('Material routes'!$D$6:$D$1005,A125,'Material routes'!$C$6:$C$1005,"Transform input"))</x:f>
        <x:v>0</x:v>
      </x:c>
      <x:c r="AL125" s="4" t="n">
        <x:f>COUNTIFS('Material routes'!$D$6:$D$1005,A125,'Material routes'!$C$6:$C$1005,"Tool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98</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str">
        <x:v>Equipment</x:v>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equipment; specialist eyewear; wearable; finished item; manufactured / unresolved; vision; mixed / unresolved; assembly; author direction; ; not applicable; unassigned; finished item</x:v>
      </x:c>
      <x:c r="AF126" s="4" t="str">
        <x:v>From current item description. Proposed uses retain their existing approval status.</x:v>
      </x:c>
      <x:c r="AG126" s="4" t="str">
        <x:v>Finished endpoint; material tier is not applicable. Input tiers belong to the chosen recipe.</x:v>
      </x:c>
      <x:c r="AH126" s="4" t="str">
        <x:v>Unassigned</x:v>
      </x:c>
      <x:c r="AI126" s="4" t="str">
        <x:v>Finished item</x:v>
      </x:c>
      <x:c r="AJ126" s="4" t="n">
        <x:f>COUNTIFS('Material routes'!$D$6:$D$1005,A126,'Material routes'!$C$6:$C$1005,"Output")</x:f>
        <x:v>0</x:v>
      </x:c>
      <x:c r="AK126" s="4" t="n">
        <x:f>SUM(COUNTIFS('Material routes'!$D$6:$D$1005,A126,'Material routes'!$C$6:$C$1005,"Ingredient candidate"),COUNTIFS('Material routes'!$D$6:$D$1005,A126,'Material routes'!$C$6:$C$1005,"Consumed input"),COUNTIFS('Material routes'!$D$6:$D$1005,A126,'Material routes'!$C$6:$C$1005,"Contained input"),COUNTIFS('Material routes'!$D$6:$D$1005,A126,'Material routes'!$C$6:$C$1005,"Transform input"))</x:f>
        <x:v>0</x:v>
      </x:c>
      <x:c r="AL126" s="4" t="n">
        <x:f>COUNTIFS('Material routes'!$D$6:$D$1005,A126,'Material routes'!$C$6:$C$1005,"Tool candidate")</x:f>
        <x:v>0</x:v>
      </x:c>
      <x:c r="AM126" s="4" t="str">
        <x:f>IF(AJ126&gt;0,"Route listed; review status/completeness",IF(C126="T0","Raw entry feed; no production route","No production route listed"))</x:f>
        <x:v>No production route listed</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str">
        <x:v>Equipment</x:v>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equipment; eyewear; wearable; finished item; manufactured / unresolved; vision; mixed / unresolved; assembly; author direction; ; not applicable; unassigned; finished item</x:v>
      </x:c>
      <x:c r="AF127" s="4" t="str">
        <x:v>From current item description. Proposed uses retain their existing approval status.</x:v>
      </x:c>
      <x:c r="AG127" s="4" t="str">
        <x:v>Finished endpoint; material tier is not applicable. Input tiers belong to the chosen recipe.</x:v>
      </x:c>
      <x:c r="AH127" s="4" t="str">
        <x:v>Unassigned</x:v>
      </x:c>
      <x:c r="AI127" s="4" t="str">
        <x:v>Finished item</x:v>
      </x:c>
      <x:c r="AJ127" s="4" t="n">
        <x:f>COUNTIFS('Material routes'!$D$6:$D$1005,A127,'Material routes'!$C$6:$C$1005,"Output")</x:f>
        <x:v>0</x:v>
      </x:c>
      <x:c r="AK127" s="4" t="n">
        <x:f>SUM(COUNTIFS('Material routes'!$D$6:$D$1005,A127,'Material routes'!$C$6:$C$1005,"Ingredient candidate"),COUNTIFS('Material routes'!$D$6:$D$1005,A127,'Material routes'!$C$6:$C$1005,"Consumed input"),COUNTIFS('Material routes'!$D$6:$D$1005,A127,'Material routes'!$C$6:$C$1005,"Contained input"),COUNTIFS('Material routes'!$D$6:$D$1005,A127,'Material routes'!$C$6:$C$1005,"Transform input"))</x:f>
        <x:v>0</x:v>
      </x:c>
      <x:c r="AL127" s="4" t="n">
        <x:f>COUNTIFS('Material routes'!$D$6:$D$1005,A127,'Material routes'!$C$6:$C$1005,"Tool candidate")</x:f>
        <x:v>0</x:v>
      </x:c>
      <x:c r="AM127" s="4" t="str">
        <x:f>IF(AJ127&gt;0,"Route listed; review status/completeness",IF(C127="T0","Raw entry feed; no production route","No production route listed"))</x:f>
        <x:v>No production route listed</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str">
        <x:v>Equipment</x:v>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equipment; headwear; wearable; finished item; manufactured / unresolved; clothing; mixed / unresolved; garment; author direction; fashion; not applicable; unassigned; finished item</x:v>
      </x:c>
      <x:c r="AF128" s="4" t="str">
        <x:v>From current item description. Proposed uses retain their existing approval status.</x:v>
      </x:c>
      <x:c r="AG128" s="4" t="str">
        <x:v>Finished endpoint; material tier is not applicable. Input tiers belong to the chosen recipe.</x:v>
      </x:c>
      <x:c r="AH128" s="4" t="str">
        <x:v>Unassigned</x:v>
      </x:c>
      <x:c r="AI128" s="4" t="str">
        <x:v>Finished item</x:v>
      </x:c>
      <x:c r="AJ128" s="4" t="n">
        <x:f>COUNTIFS('Material routes'!$D$6:$D$1005,A128,'Material routes'!$C$6:$C$1005,"Output")</x:f>
        <x:v>0</x:v>
      </x:c>
      <x:c r="AK128" s="4" t="n">
        <x:f>SUM(COUNTIFS('Material routes'!$D$6:$D$1005,A128,'Material routes'!$C$6:$C$1005,"Ingredient candidate"),COUNTIFS('Material routes'!$D$6:$D$1005,A128,'Material routes'!$C$6:$C$1005,"Consumed input"),COUNTIFS('Material routes'!$D$6:$D$1005,A128,'Material routes'!$C$6:$C$1005,"Contained input"),COUNTIFS('Material routes'!$D$6:$D$1005,A128,'Material routes'!$C$6:$C$1005,"Transform input"))</x:f>
        <x:v>0</x:v>
      </x:c>
      <x:c r="AL128" s="4" t="n">
        <x:f>COUNTIFS('Material routes'!$D$6:$D$1005,A128,'Material routes'!$C$6:$C$1005,"Tool candidate")</x:f>
        <x:v>0</x:v>
      </x:c>
      <x:c r="AM128" s="4" t="str">
        <x:f>IF(AJ128&gt;0,"Route listed; review status/completeness",IF(C128="T0","Raw entry feed; no production route","No production route listed"))</x:f>
        <x:v>No production route listed</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str">
        <x:v>Equipment</x:v>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equipment; fashion garment; wearable; finished item; manufactured / unresolved; fashion; husk fiber; garment; author direction; ; not applicable; unassigned; finished item</x:v>
      </x:c>
      <x:c r="AF129" s="4" t="str">
        <x:v>From current item description. Proposed uses retain their existing approval status.</x:v>
      </x:c>
      <x:c r="AG129" s="4" t="str">
        <x:v>Finished endpoint; material tier is not applicable. Input tiers belong to the chosen recipe.</x:v>
      </x:c>
      <x:c r="AH129" s="4" t="str">
        <x:v>Unassigned</x:v>
      </x:c>
      <x:c r="AI129" s="4" t="str">
        <x:v>Finished item</x:v>
      </x:c>
      <x:c r="AJ129" s="4" t="n">
        <x:f>COUNTIFS('Material routes'!$D$6:$D$1005,A129,'Material routes'!$C$6:$C$1005,"Output")</x:f>
        <x:v>0</x:v>
      </x:c>
      <x:c r="AK129" s="4" t="n">
        <x:f>SUM(COUNTIFS('Material routes'!$D$6:$D$1005,A129,'Material routes'!$C$6:$C$1005,"Ingredient candidate"),COUNTIFS('Material routes'!$D$6:$D$1005,A129,'Material routes'!$C$6:$C$1005,"Consumed input"),COUNTIFS('Material routes'!$D$6:$D$1005,A129,'Material routes'!$C$6:$C$1005,"Contained input"),COUNTIFS('Material routes'!$D$6:$D$1005,A129,'Material routes'!$C$6:$C$1005,"Transform input"))</x:f>
        <x:v>0</x:v>
      </x:c>
      <x:c r="AL129" s="4" t="n">
        <x:f>COUNTIFS('Material routes'!$D$6:$D$1005,A129,'Material routes'!$C$6:$C$1005,"Tool candidate")</x:f>
        <x:v>0</x:v>
      </x:c>
      <x:c r="AM129" s="4" t="str">
        <x:f>IF(AJ129&gt;0,"Route listed; review status/completeness",IF(C129="T0","Raw entry feed; no production route","No production route listed"))</x:f>
        <x:v>No production route listed</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str">
        <x:v>Equipment</x:v>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equipment; fashion garment; wearable; finished item; manufactured / unresolved; fashion; fur; garment; author direction; ; not applicable; unassigned; finished item</x:v>
      </x:c>
      <x:c r="AF130" s="4" t="str">
        <x:v>From current item description. Proposed uses retain their existing approval status.</x:v>
      </x:c>
      <x:c r="AG130" s="4" t="str">
        <x:v>Finished endpoint; material tier is not applicable. Input tiers belong to the chosen recipe.</x:v>
      </x:c>
      <x:c r="AH130" s="4" t="str">
        <x:v>Unassigned</x:v>
      </x:c>
      <x:c r="AI130" s="4" t="str">
        <x:v>Finished item</x:v>
      </x:c>
      <x:c r="AJ130" s="4" t="n">
        <x:f>COUNTIFS('Material routes'!$D$6:$D$1005,A130,'Material routes'!$C$6:$C$1005,"Output")</x:f>
        <x:v>0</x:v>
      </x:c>
      <x:c r="AK130" s="4" t="n">
        <x:f>SUM(COUNTIFS('Material routes'!$D$6:$D$1005,A130,'Material routes'!$C$6:$C$1005,"Ingredient candidate"),COUNTIFS('Material routes'!$D$6:$D$1005,A130,'Material routes'!$C$6:$C$1005,"Consumed input"),COUNTIFS('Material routes'!$D$6:$D$1005,A130,'Material routes'!$C$6:$C$1005,"Contained input"),COUNTIFS('Material routes'!$D$6:$D$1005,A130,'Material routes'!$C$6:$C$1005,"Transform input"))</x:f>
        <x:v>0</x:v>
      </x:c>
      <x:c r="AL130" s="4" t="n">
        <x:f>COUNTIFS('Material routes'!$D$6:$D$1005,A130,'Material routes'!$C$6:$C$1005,"Tool candidate")</x:f>
        <x:v>0</x:v>
      </x:c>
      <x:c r="AM130" s="4" t="str">
        <x:f>IF(AJ130&gt;0,"Route listed; review status/completeness",IF(C130="T0","Raw entry feed; no production route","No production route listed"))</x:f>
        <x:v>No production route listed</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str">
        <x:v>Equipment</x:v>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equipment; fashion garment; wearable; finished item; manufactured / unresolved; fashion; hide; garment; author direction; ; not applicable; unassigned; finished item</x:v>
      </x:c>
      <x:c r="AF131" s="4" t="str">
        <x:v>From current item description. Proposed uses retain their existing approval status.</x:v>
      </x:c>
      <x:c r="AG131" s="4" t="str">
        <x:v>Finished endpoint; material tier is not applicable. Input tiers belong to the chosen recipe.</x:v>
      </x:c>
      <x:c r="AH131" s="4" t="str">
        <x:v>Unassigned</x:v>
      </x:c>
      <x:c r="AI131" s="4" t="str">
        <x:v>Finished item</x:v>
      </x:c>
      <x:c r="AJ131" s="4" t="n">
        <x:f>COUNTIFS('Material routes'!$D$6:$D$1005,A131,'Material routes'!$C$6:$C$1005,"Output")</x:f>
        <x:v>0</x:v>
      </x:c>
      <x:c r="AK131" s="4" t="n">
        <x:f>SUM(COUNTIFS('Material routes'!$D$6:$D$1005,A131,'Material routes'!$C$6:$C$1005,"Ingredient candidate"),COUNTIFS('Material routes'!$D$6:$D$1005,A131,'Material routes'!$C$6:$C$1005,"Consumed input"),COUNTIFS('Material routes'!$D$6:$D$1005,A131,'Material routes'!$C$6:$C$1005,"Contained input"),COUNTIFS('Material routes'!$D$6:$D$1005,A131,'Material routes'!$C$6:$C$1005,"Transform input"))</x:f>
        <x:v>0</x:v>
      </x:c>
      <x:c r="AL131" s="4" t="n">
        <x:f>COUNTIFS('Material routes'!$D$6:$D$1005,A131,'Material routes'!$C$6:$C$1005,"Tool candidate")</x:f>
        <x:v>0</x:v>
      </x:c>
      <x:c r="AM131" s="4" t="str">
        <x:f>IF(AJ131&gt;0,"Route listed; review status/completeness",IF(C131="T0","Raw entry feed; no production route","No production route listed"))</x:f>
        <x:v>No production route listed</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resources; gemstone concept; gem material; unresolved; geological; decoration; gemstone; unresolved; proposal; ; t0; not applicable; material</x:v>
      </x:c>
      <x:c r="AF132" s="4" t="str">
        <x:v>From current item description. Proposed uses retain their existing approval status.</x:v>
      </x:c>
      <x:c r="AG132" s="4" t="str">
        <x:v>Provisional raw-stone input interpretation; existing cut state remains unresolved.</x:v>
      </x:c>
      <x:c r="AH132" s="4" t="str">
        <x:v>Not applicable</x:v>
      </x:c>
      <x:c r="AI132" s="4" t="str">
        <x:v>Material</x:v>
      </x:c>
      <x:c r="AJ132" s="4" t="n">
        <x:f>COUNTIFS('Material routes'!$D$6:$D$1005,A132,'Material routes'!$C$6:$C$1005,"Output")</x:f>
        <x:v>0</x:v>
      </x:c>
      <x:c r="AK132" s="4" t="n">
        <x:f>SUM(COUNTIFS('Material routes'!$D$6:$D$1005,A132,'Material routes'!$C$6:$C$1005,"Ingredient candidate"),COUNTIFS('Material routes'!$D$6:$D$1005,A132,'Material routes'!$C$6:$C$1005,"Consumed input"),COUNTIFS('Material routes'!$D$6:$D$1005,A132,'Material routes'!$C$6:$C$1005,"Contained input"),COUNTIFS('Material routes'!$D$6:$D$1005,A132,'Material routes'!$C$6:$C$1005,"Transform input"))</x:f>
        <x:v>1</x:v>
      </x:c>
      <x:c r="AL132" s="4" t="n">
        <x:f>COUNTIFS('Material routes'!$D$6:$D$1005,A132,'Material routes'!$C$6:$C$1005,"Tool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resources; gemstone concept; gem material; unresolved; geological; decoration; gemstone; unresolved; proposal; ; t0; not applicable; material</x:v>
      </x:c>
      <x:c r="AF133" s="4" t="str">
        <x:v>From current item description. Proposed uses retain their existing approval status.</x:v>
      </x:c>
      <x:c r="AG133" s="4" t="str">
        <x:v>Provisional raw-stone input interpretation; existing cut state remains unresolved.</x:v>
      </x:c>
      <x:c r="AH133" s="4" t="str">
        <x:v>Not applicable</x:v>
      </x:c>
      <x:c r="AI133" s="4" t="str">
        <x:v>Material</x:v>
      </x:c>
      <x:c r="AJ133" s="4" t="n">
        <x:f>COUNTIFS('Material routes'!$D$6:$D$1005,A133,'Material routes'!$C$6:$C$1005,"Output")</x:f>
        <x:v>0</x:v>
      </x:c>
      <x:c r="AK133" s="4" t="n">
        <x:f>SUM(COUNTIFS('Material routes'!$D$6:$D$1005,A133,'Material routes'!$C$6:$C$1005,"Ingredient candidate"),COUNTIFS('Material routes'!$D$6:$D$1005,A133,'Material routes'!$C$6:$C$1005,"Consumed input"),COUNTIFS('Material routes'!$D$6:$D$1005,A133,'Material routes'!$C$6:$C$1005,"Contained input"),COUNTIFS('Material routes'!$D$6:$D$1005,A133,'Material routes'!$C$6:$C$1005,"Transform input"))</x:f>
        <x:v>0</x:v>
      </x:c>
      <x:c r="AL133" s="4" t="n">
        <x:f>COUNTIFS('Material routes'!$D$6:$D$1005,A133,'Material routes'!$C$6:$C$1005,"Tool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resources; gemstone concept; gem material; unresolved; geological; decoration; gemstone; unresolved; proposal; ; t0; not applicable; material</x:v>
      </x:c>
      <x:c r="AF134" s="4" t="str">
        <x:v>From current item description. Proposed uses retain their existing approval status.</x:v>
      </x:c>
      <x:c r="AG134" s="4" t="str">
        <x:v>Provisional raw-stone input interpretation; existing cut state remains unresolved.</x:v>
      </x:c>
      <x:c r="AH134" s="4" t="str">
        <x:v>Not applicable</x:v>
      </x:c>
      <x:c r="AI134" s="4" t="str">
        <x:v>Material</x:v>
      </x:c>
      <x:c r="AJ134" s="4" t="n">
        <x:f>COUNTIFS('Material routes'!$D$6:$D$1005,A134,'Material routes'!$C$6:$C$1005,"Output")</x:f>
        <x:v>0</x:v>
      </x:c>
      <x:c r="AK134" s="4" t="n">
        <x:f>SUM(COUNTIFS('Material routes'!$D$6:$D$1005,A134,'Material routes'!$C$6:$C$1005,"Ingredient candidate"),COUNTIFS('Material routes'!$D$6:$D$1005,A134,'Material routes'!$C$6:$C$1005,"Consumed input"),COUNTIFS('Material routes'!$D$6:$D$1005,A134,'Material routes'!$C$6:$C$1005,"Contained input"),COUNTIFS('Material routes'!$D$6:$D$1005,A134,'Material routes'!$C$6:$C$1005,"Transform input"))</x:f>
        <x:v>1</x:v>
      </x:c>
      <x:c r="AL134" s="4" t="n">
        <x:f>COUNTIFS('Material routes'!$D$6:$D$1005,A134,'Material routes'!$C$6:$C$1005,"Tool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resources; gemstone concept; gem material; unresolved; geological; decoration; gemstone; unresolved; proposal; ; t0; not applicable; material</x:v>
      </x:c>
      <x:c r="AF135" s="4" t="str">
        <x:v>From current item description. Proposed uses retain their existing approval status.</x:v>
      </x:c>
      <x:c r="AG135" s="4" t="str">
        <x:v>Provisional raw-stone input interpretation; existing cut state remains unresolved.</x:v>
      </x:c>
      <x:c r="AH135" s="4" t="str">
        <x:v>Not applicable</x:v>
      </x:c>
      <x:c r="AI135" s="4" t="str">
        <x:v>Material</x:v>
      </x:c>
      <x:c r="AJ135" s="4" t="n">
        <x:f>COUNTIFS('Material routes'!$D$6:$D$1005,A135,'Material routes'!$C$6:$C$1005,"Output")</x:f>
        <x:v>0</x:v>
      </x:c>
      <x:c r="AK135" s="4" t="n">
        <x:f>SUM(COUNTIFS('Material routes'!$D$6:$D$1005,A135,'Material routes'!$C$6:$C$1005,"Ingredient candidate"),COUNTIFS('Material routes'!$D$6:$D$1005,A135,'Material routes'!$C$6:$C$1005,"Consumed input"),COUNTIFS('Material routes'!$D$6:$D$1005,A135,'Material routes'!$C$6:$C$1005,"Contained input"),COUNTIFS('Material routes'!$D$6:$D$1005,A135,'Material routes'!$C$6:$C$1005,"Transform input"))</x:f>
        <x:v>0</x:v>
      </x:c>
      <x:c r="AL135" s="4" t="n">
        <x:f>COUNTIFS('Material routes'!$D$6:$D$1005,A135,'Material routes'!$C$6:$C$1005,"Tool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resources; gemstone concept; gem material; unresolved; geological; decoration; gemstone; unresolved; proposal; ; t0; not applicable; material</x:v>
      </x:c>
      <x:c r="AF136" s="4" t="str">
        <x:v>From current item description. Proposed uses retain their existing approval status.</x:v>
      </x:c>
      <x:c r="AG136" s="4" t="str">
        <x:v>Provisional raw-stone input interpretation; existing cut state remains unresolved.</x:v>
      </x:c>
      <x:c r="AH136" s="4" t="str">
        <x:v>Not applicable</x:v>
      </x:c>
      <x:c r="AI136" s="4" t="str">
        <x:v>Material</x:v>
      </x:c>
      <x:c r="AJ136" s="4" t="n">
        <x:f>COUNTIFS('Material routes'!$D$6:$D$1005,A136,'Material routes'!$C$6:$C$1005,"Output")</x:f>
        <x:v>0</x:v>
      </x:c>
      <x:c r="AK136" s="4" t="n">
        <x:f>SUM(COUNTIFS('Material routes'!$D$6:$D$1005,A136,'Material routes'!$C$6:$C$1005,"Ingredient candidate"),COUNTIFS('Material routes'!$D$6:$D$1005,A136,'Material routes'!$C$6:$C$1005,"Consumed input"),COUNTIFS('Material routes'!$D$6:$D$1005,A136,'Material routes'!$C$6:$C$1005,"Contained input"),COUNTIFS('Material routes'!$D$6:$D$1005,A136,'Material routes'!$C$6:$C$1005,"Transform input"))</x:f>
        <x:v>0</x:v>
      </x:c>
      <x:c r="AL136" s="4" t="n">
        <x:f>COUNTIFS('Material routes'!$D$6:$D$1005,A136,'Material routes'!$C$6:$C$1005,"Tool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resources; gemstone concept; gem material; unresolved; geological; decoration; gemstone; unresolved; proposal; ; t0; not applicable; material</x:v>
      </x:c>
      <x:c r="AF137" s="4" t="str">
        <x:v>From current item description. Proposed uses retain their existing approval status.</x:v>
      </x:c>
      <x:c r="AG137" s="4" t="str">
        <x:v>Provisional raw-stone input interpretation; existing cut state remains unresolved.</x:v>
      </x:c>
      <x:c r="AH137" s="4" t="str">
        <x:v>Not applicable</x:v>
      </x:c>
      <x:c r="AI137" s="4" t="str">
        <x:v>Material</x:v>
      </x:c>
      <x:c r="AJ137" s="4" t="n">
        <x:f>COUNTIFS('Material routes'!$D$6:$D$1005,A137,'Material routes'!$C$6:$C$1005,"Output")</x:f>
        <x:v>0</x:v>
      </x:c>
      <x:c r="AK137" s="4" t="n">
        <x:f>SUM(COUNTIFS('Material routes'!$D$6:$D$1005,A137,'Material routes'!$C$6:$C$1005,"Ingredient candidate"),COUNTIFS('Material routes'!$D$6:$D$1005,A137,'Material routes'!$C$6:$C$1005,"Consumed input"),COUNTIFS('Material routes'!$D$6:$D$1005,A137,'Material routes'!$C$6:$C$1005,"Contained input"),COUNTIFS('Material routes'!$D$6:$D$1005,A137,'Material routes'!$C$6:$C$1005,"Transform input"))</x:f>
        <x:v>0</x:v>
      </x:c>
      <x:c r="AL137" s="4" t="n">
        <x:f>COUNTIFS('Material routes'!$D$6:$D$1005,A137,'Material routes'!$C$6:$C$1005,"Tool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resources; gemstone concept; gem material; unresolved; geological; decoration; gemstone; unresolved; proposal; ; t0; not applicable; material</x:v>
      </x:c>
      <x:c r="AF138" s="4" t="str">
        <x:v>From current item description. Proposed uses retain their existing approval status.</x:v>
      </x:c>
      <x:c r="AG138" s="4" t="str">
        <x:v>Provisional raw-stone input interpretation; existing cut state remains unresolved.</x:v>
      </x:c>
      <x:c r="AH138" s="4" t="str">
        <x:v>Not applicable</x:v>
      </x:c>
      <x:c r="AI138" s="4" t="str">
        <x:v>Material</x:v>
      </x:c>
      <x:c r="AJ138" s="4" t="n">
        <x:f>COUNTIFS('Material routes'!$D$6:$D$1005,A138,'Material routes'!$C$6:$C$1005,"Output")</x:f>
        <x:v>0</x:v>
      </x:c>
      <x:c r="AK138" s="4" t="n">
        <x:f>SUM(COUNTIFS('Material routes'!$D$6:$D$1005,A138,'Material routes'!$C$6:$C$1005,"Ingredient candidate"),COUNTIFS('Material routes'!$D$6:$D$1005,A138,'Material routes'!$C$6:$C$1005,"Consumed input"),COUNTIFS('Material routes'!$D$6:$D$1005,A138,'Material routes'!$C$6:$C$1005,"Contained input"),COUNTIFS('Material routes'!$D$6:$D$1005,A138,'Material routes'!$C$6:$C$1005,"Transform input"))</x:f>
        <x:v>0</x:v>
      </x:c>
      <x:c r="AL138" s="4" t="n">
        <x:f>COUNTIFS('Material routes'!$D$6:$D$1005,A138,'Material routes'!$C$6:$C$1005,"Tool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resources; gemstone concept; gem material; unresolved; geological; decoration; gemstone; unresolved; proposal; ; t0; not applicable; material</x:v>
      </x:c>
      <x:c r="AF139" s="4" t="str">
        <x:v>From current item description. Proposed uses retain their existing approval status.</x:v>
      </x:c>
      <x:c r="AG139" s="4" t="str">
        <x:v>Provisional raw-stone input interpretation; existing cut state remains unresolved.</x:v>
      </x:c>
      <x:c r="AH139" s="4" t="str">
        <x:v>Not applicable</x:v>
      </x:c>
      <x:c r="AI139" s="4" t="str">
        <x:v>Material</x:v>
      </x:c>
      <x:c r="AJ139" s="4" t="n">
        <x:f>COUNTIFS('Material routes'!$D$6:$D$1005,A139,'Material routes'!$C$6:$C$1005,"Output")</x:f>
        <x:v>0</x:v>
      </x:c>
      <x:c r="AK139" s="4" t="n">
        <x:f>SUM(COUNTIFS('Material routes'!$D$6:$D$1005,A139,'Material routes'!$C$6:$C$1005,"Ingredient candidate"),COUNTIFS('Material routes'!$D$6:$D$1005,A139,'Material routes'!$C$6:$C$1005,"Consumed input"),COUNTIFS('Material routes'!$D$6:$D$1005,A139,'Material routes'!$C$6:$C$1005,"Contained input"),COUNTIFS('Material routes'!$D$6:$D$1005,A139,'Material routes'!$C$6:$C$1005,"Transform input"))</x:f>
        <x:v>0</x:v>
      </x:c>
      <x:c r="AL139" s="4" t="n">
        <x:f>COUNTIFS('Material routes'!$D$6:$D$1005,A139,'Material routes'!$C$6:$C$1005,"Tool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str">
        <x:v>Equipment</x:v>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equipment; everyday clothing; wearable; finished item; manufactured / unresolved; clothing; mixed / unresolved; garment; author direction; ; not applicable; unassigned; finished item</x:v>
      </x:c>
      <x:c r="AF140" s="4" t="str">
        <x:v>From current item description. Proposed uses retain their existing approval status.</x:v>
      </x:c>
      <x:c r="AG140" s="4" t="str">
        <x:v>Finished endpoint; material tier is not applicable. Input tiers belong to the chosen recipe.</x:v>
      </x:c>
      <x:c r="AH140" s="4" t="str">
        <x:v>Unassigned</x:v>
      </x:c>
      <x:c r="AI140" s="4" t="str">
        <x:v>Finished item</x:v>
      </x:c>
      <x:c r="AJ140" s="4" t="n">
        <x:f>COUNTIFS('Material routes'!$D$6:$D$1005,A140,'Material routes'!$C$6:$C$1005,"Output")</x:f>
        <x:v>0</x:v>
      </x:c>
      <x:c r="AK140" s="4" t="n">
        <x:f>SUM(COUNTIFS('Material routes'!$D$6:$D$1005,A140,'Material routes'!$C$6:$C$1005,"Ingredient candidate"),COUNTIFS('Material routes'!$D$6:$D$1005,A140,'Material routes'!$C$6:$C$1005,"Consumed input"),COUNTIFS('Material routes'!$D$6:$D$1005,A140,'Material routes'!$C$6:$C$1005,"Contained input"),COUNTIFS('Material routes'!$D$6:$D$1005,A140,'Material routes'!$C$6:$C$1005,"Transform input"))</x:f>
        <x:v>0</x:v>
      </x:c>
      <x:c r="AL140" s="4" t="n">
        <x:f>COUNTIFS('Material routes'!$D$6:$D$1005,A140,'Material routes'!$C$6:$C$1005,"Tool candidate")</x:f>
        <x:v>0</x:v>
      </x:c>
      <x:c r="AM140" s="4" t="str">
        <x:f>IF(AJ140&gt;0,"Route listed; review status/completeness",IF(C140="T0","Raw entry feed; no production route","No production route listed"))</x:f>
        <x:v>No production route listed</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resources; wing material; raw material; raw; fauna; sun shading; wing membrane; membrane; author direction; sail membrane; wind propulsion; t0; not applicable; material</x:v>
      </x:c>
      <x:c r="AF141" s="4" t="str">
        <x:v>From current item description. Proposed uses retain their existing approval status.</x:v>
      </x:c>
      <x:c r="AG141" s="4" t="str">
        <x:v>Raw gathered/recovered craft input under the author T0 framework. This does not imply a naturally occurring pure metal.</x:v>
      </x:c>
      <x:c r="AH141" s="4" t="str">
        <x:v>Not applicable</x:v>
      </x:c>
      <x:c r="AI141" s="4" t="str">
        <x:v>Material</x:v>
      </x:c>
      <x:c r="AJ141" s="4" t="n">
        <x:f>COUNTIFS('Material routes'!$D$6:$D$1005,A141,'Material routes'!$C$6:$C$1005,"Output")</x:f>
        <x:v>0</x:v>
      </x:c>
      <x:c r="AK141" s="4" t="n">
        <x:f>SUM(COUNTIFS('Material routes'!$D$6:$D$1005,A141,'Material routes'!$C$6:$C$1005,"Ingredient candidate"),COUNTIFS('Material routes'!$D$6:$D$1005,A141,'Material routes'!$C$6:$C$1005,"Consumed input"),COUNTIFS('Material routes'!$D$6:$D$1005,A141,'Material routes'!$C$6:$C$1005,"Contained input"),COUNTIFS('Material routes'!$D$6:$D$1005,A141,'Material routes'!$C$6:$C$1005,"Transform input"))</x:f>
        <x:v>2</x:v>
      </x:c>
      <x:c r="AL141" s="4" t="n">
        <x:f>COUNTIFS('Material routes'!$D$6:$D$1005,A141,'Material routes'!$C$6:$C$1005,"Tool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routes'!$D$6:$D$1005,A142,'Material routes'!$C$6:$C$1005,"Output")</x:f>
        <x:v>1</x:v>
      </x:c>
      <x:c r="AK142" s="4" t="n">
        <x:f>SUM(COUNTIFS('Material routes'!$D$6:$D$1005,A142,'Material routes'!$C$6:$C$1005,"Ingredient candidate"),COUNTIFS('Material routes'!$D$6:$D$1005,A142,'Material routes'!$C$6:$C$1005,"Consumed input"),COUNTIFS('Material routes'!$D$6:$D$1005,A142,'Material routes'!$C$6:$C$1005,"Contained input"),COUNTIFS('Material routes'!$D$6:$D$1005,A142,'Material routes'!$C$6:$C$1005,"Transform input"))</x:f>
        <x:v>0</x:v>
      </x:c>
      <x:c r="AL142" s="4" t="n">
        <x:f>COUNTIFS('Material routes'!$D$6:$D$1005,A142,'Material routes'!$C$6:$C$1005,"Tool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95" customHeight="1">
      <x:c r="A143" s="9" t="str">
        <x:v>proposal.canister.body_blank</x:v>
      </x:c>
      <x:c r="B143" s="9" t="str">
        <x:v>Canister body blank</x:v>
      </x:c>
      <x:c r="C143" s="4" t="str">
        <x:v>Unassigned</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unassigned; not applicable; component</x:v>
      </x:c>
      <x:c r="AF143" s="4" t="str">
        <x:v>From current item description. Proposed uses retain their existing approval status.</x:v>
      </x:c>
      <x:c r="AG143" s="4" t="str">
        <x:v>Choose a material/part route before assigning a tier. Processing-stage labels alone do not prove chain depth.</x:v>
      </x:c>
      <x:c r="AH143" s="4" t="str">
        <x:v>Not applicable</x:v>
      </x:c>
      <x:c r="AI143" s="4" t="str">
        <x:v>Component</x:v>
      </x:c>
      <x:c r="AJ143" s="4" t="n">
        <x:f>COUNTIFS('Material routes'!$D$6:$D$1005,A143,'Material routes'!$C$6:$C$1005,"Output")</x:f>
        <x:v>0</x:v>
      </x:c>
      <x:c r="AK143" s="4" t="n">
        <x:f>SUM(COUNTIFS('Material routes'!$D$6:$D$1005,A143,'Material routes'!$C$6:$C$1005,"Ingredient candidate"),COUNTIFS('Material routes'!$D$6:$D$1005,A143,'Material routes'!$C$6:$C$1005,"Consumed input"),COUNTIFS('Material routes'!$D$6:$D$1005,A143,'Material routes'!$C$6:$C$1005,"Contained input"),COUNTIFS('Material routes'!$D$6:$D$1005,A143,'Material routes'!$C$6:$C$1005,"Transform input"))</x:f>
        <x:v>0</x:v>
      </x:c>
      <x:c r="AL143" s="4" t="n">
        <x:f>COUNTIFS('Material routes'!$D$6:$D$1005,A143,'Material routes'!$C$6:$C$1005,"Tool candidate")</x:f>
        <x:v>0</x:v>
      </x:c>
      <x:c r="AM143" s="4" t="str">
        <x:f>IF(AJ143&gt;0,"Route listed; review status/completeness",IF(C143="T0","Raw entry feed; no production route","No production route listed"))</x:f>
        <x:v>No production route listed</x:v>
      </x:c>
      <x:c r="AN143" s="14" t="n">
        <x:f>IF(C143="T0",0,IF(C143="T1",1,IF(C143="T2",2,IF(C143="T3",3,IF(C143="T4",4,IF(C143="Unassigned",98,99))))))</x:f>
        <x:v>98</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95" customHeight="1">
      <x:c r="A144" s="9" t="str">
        <x:v>proposal.canister.seal_ring</x:v>
      </x:c>
      <x:c r="B144" s="9" t="str">
        <x:v>Replacement seal ring</x:v>
      </x:c>
      <x:c r="C144" s="4" t="str">
        <x:v>Unassigned</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unassigned; not applicable; component</x:v>
      </x:c>
      <x:c r="AF144" s="4" t="str">
        <x:v>From current item description. Proposed uses retain their existing approval status.</x:v>
      </x:c>
      <x:c r="AG144" s="4" t="str">
        <x:v>Choose a material/part route before assigning a tier. Processing-stage labels alone do not prove chain depth.</x:v>
      </x:c>
      <x:c r="AH144" s="4" t="str">
        <x:v>Not applicable</x:v>
      </x:c>
      <x:c r="AI144" s="4" t="str">
        <x:v>Component</x:v>
      </x:c>
      <x:c r="AJ144" s="4" t="n">
        <x:f>COUNTIFS('Material routes'!$D$6:$D$1005,A144,'Material routes'!$C$6:$C$1005,"Output")</x:f>
        <x:v>0</x:v>
      </x:c>
      <x:c r="AK144" s="4" t="n">
        <x:f>SUM(COUNTIFS('Material routes'!$D$6:$D$1005,A144,'Material routes'!$C$6:$C$1005,"Ingredient candidate"),COUNTIFS('Material routes'!$D$6:$D$1005,A144,'Material routes'!$C$6:$C$1005,"Consumed input"),COUNTIFS('Material routes'!$D$6:$D$1005,A144,'Material routes'!$C$6:$C$1005,"Contained input"),COUNTIFS('Material routes'!$D$6:$D$1005,A144,'Material routes'!$C$6:$C$1005,"Transform input"))</x:f>
        <x:v>0</x:v>
      </x:c>
      <x:c r="AL144" s="4" t="n">
        <x:f>COUNTIFS('Material routes'!$D$6:$D$1005,A144,'Material routes'!$C$6:$C$1005,"Tool candidate")</x:f>
        <x:v>0</x:v>
      </x:c>
      <x:c r="AM144" s="4" t="str">
        <x:f>IF(AJ144&gt;0,"Route listed; review status/completeness",IF(C144="T0","Raw entry feed; no production route","No production route listed"))</x:f>
        <x:v>No production route listed</x:v>
      </x:c>
      <x:c r="AN144" s="14" t="n">
        <x:f>IF(C144="T0",0,IF(C144="T1",1,IF(C144="T2",2,IF(C144="T3",3,IF(C144="T4",4,IF(C144="Unassigned",98,99))))))</x:f>
        <x:v>98</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95" customHeight="1">
      <x:c r="A145" s="9" t="str">
        <x:v>proposal.canister.seal_seat</x:v>
      </x:c>
      <x:c r="B145" s="9" t="str">
        <x:v>Fitted seal seat</x:v>
      </x:c>
      <x:c r="C145" s="4" t="str">
        <x:v>Unassigned</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unassigned; not applicable; component</x:v>
      </x:c>
      <x:c r="AF145" s="4" t="str">
        <x:v>From current item description. Proposed uses retain their existing approval status.</x:v>
      </x:c>
      <x:c r="AG145" s="4" t="str">
        <x:v>Choose a material/part route before assigning a tier. Processing-stage labels alone do not prove chain depth.</x:v>
      </x:c>
      <x:c r="AH145" s="4" t="str">
        <x:v>Not applicable</x:v>
      </x:c>
      <x:c r="AI145" s="4" t="str">
        <x:v>Component</x:v>
      </x:c>
      <x:c r="AJ145" s="4" t="n">
        <x:f>COUNTIFS('Material routes'!$D$6:$D$1005,A145,'Material routes'!$C$6:$C$1005,"Output")</x:f>
        <x:v>0</x:v>
      </x:c>
      <x:c r="AK145" s="4" t="n">
        <x:f>SUM(COUNTIFS('Material routes'!$D$6:$D$1005,A145,'Material routes'!$C$6:$C$1005,"Ingredient candidate"),COUNTIFS('Material routes'!$D$6:$D$1005,A145,'Material routes'!$C$6:$C$1005,"Consumed input"),COUNTIFS('Material routes'!$D$6:$D$1005,A145,'Material routes'!$C$6:$C$1005,"Contained input"),COUNTIFS('Material routes'!$D$6:$D$1005,A145,'Material routes'!$C$6:$C$1005,"Transform input"))</x:f>
        <x:v>0</x:v>
      </x:c>
      <x:c r="AL145" s="4" t="n">
        <x:f>COUNTIFS('Material routes'!$D$6:$D$1005,A145,'Material routes'!$C$6:$C$1005,"Tool candidate")</x:f>
        <x:v>0</x:v>
      </x:c>
      <x:c r="AM145" s="4" t="str">
        <x:f>IF(AJ145&gt;0,"Route listed; review status/completeness",IF(C145="T0","Raw entry feed; no production route","No production route listed"))</x:f>
        <x:v>No production route listed</x:v>
      </x:c>
      <x:c r="AN145" s="14" t="n">
        <x:f>IF(C145="T0",0,IF(C145="T1",1,IF(C145="T2",2,IF(C145="T3",3,IF(C145="T4",4,IF(C145="Unassigned",98,99))))))</x:f>
        <x:v>98</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routes'!$D$6:$D$1005,A146,'Material routes'!$C$6:$C$1005,"Output")</x:f>
        <x:v>1</x:v>
      </x:c>
      <x:c r="AK146" s="4" t="n">
        <x:f>SUM(COUNTIFS('Material routes'!$D$6:$D$1005,A146,'Material routes'!$C$6:$C$1005,"Ingredient candidate"),COUNTIFS('Material routes'!$D$6:$D$1005,A146,'Material routes'!$C$6:$C$1005,"Consumed input"),COUNTIFS('Material routes'!$D$6:$D$1005,A146,'Material routes'!$C$6:$C$1005,"Contained input"),COUNTIFS('Material routes'!$D$6:$D$1005,A146,'Material routes'!$C$6:$C$1005,"Transform input"))</x:f>
        <x:v>0</x:v>
      </x:c>
      <x:c r="AL146" s="4" t="n">
        <x:f>COUNTIFS('Material routes'!$D$6:$D$1005,A146,'Material routes'!$C$6:$C$1005,"Tool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95" customHeight="1">
      <x:c r="A147" s="9" t="str">
        <x:v>proposal.canister.feed_line</x:v>
      </x:c>
      <x:c r="B147" s="9" t="str">
        <x:v>Feed-line section</x:v>
      </x:c>
      <x:c r="C147" s="4" t="str">
        <x:v>Unassigned</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unassigned; not applicable; component</x:v>
      </x:c>
      <x:c r="AF147" s="4" t="str">
        <x:v>From current item description. Proposed uses retain their existing approval status.</x:v>
      </x:c>
      <x:c r="AG147" s="4" t="str">
        <x:v>Choose a material/part route before assigning a tier. Processing-stage labels alone do not prove chain depth.</x:v>
      </x:c>
      <x:c r="AH147" s="4" t="str">
        <x:v>Not applicable</x:v>
      </x:c>
      <x:c r="AI147" s="4" t="str">
        <x:v>Component</x:v>
      </x:c>
      <x:c r="AJ147" s="4" t="n">
        <x:f>COUNTIFS('Material routes'!$D$6:$D$1005,A147,'Material routes'!$C$6:$C$1005,"Output")</x:f>
        <x:v>0</x:v>
      </x:c>
      <x:c r="AK147" s="4" t="n">
        <x:f>SUM(COUNTIFS('Material routes'!$D$6:$D$1005,A147,'Material routes'!$C$6:$C$1005,"Ingredient candidate"),COUNTIFS('Material routes'!$D$6:$D$1005,A147,'Material routes'!$C$6:$C$1005,"Consumed input"),COUNTIFS('Material routes'!$D$6:$D$1005,A147,'Material routes'!$C$6:$C$1005,"Contained input"),COUNTIFS('Material routes'!$D$6:$D$1005,A147,'Material routes'!$C$6:$C$1005,"Transform input"))</x:f>
        <x:v>0</x:v>
      </x:c>
      <x:c r="AL147" s="4" t="n">
        <x:f>COUNTIFS('Material routes'!$D$6:$D$1005,A147,'Material routes'!$C$6:$C$1005,"Tool candidate")</x:f>
        <x:v>0</x:v>
      </x:c>
      <x:c r="AM147" s="4" t="str">
        <x:f>IF(AJ147&gt;0,"Route listed; review status/completeness",IF(C147="T0","Raw entry feed; no production route","No production route listed"))</x:f>
        <x:v>No production route listed</x:v>
      </x:c>
      <x:c r="AN147" s="14" t="n">
        <x:f>IF(C147="T0",0,IF(C147="T1",1,IF(C147="T2",2,IF(C147="T3",3,IF(C147="T4",4,IF(C147="Unassigned",98,99))))))</x:f>
        <x:v>98</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95" customHeight="1">
      <x:c r="A148" s="9" t="str">
        <x:v>proposal.canister.coupling</x:v>
      </x:c>
      <x:c r="B148" s="9" t="str">
        <x:v>Feed-line coupling</x:v>
      </x:c>
      <x:c r="C148" s="4" t="str">
        <x:v>Unassigned</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unassigned; not applicable; component</x:v>
      </x:c>
      <x:c r="AF148" s="4" t="str">
        <x:v>From current item description. Proposed uses retain their existing approval status.</x:v>
      </x:c>
      <x:c r="AG148" s="4" t="str">
        <x:v>Choose a material/part route before assigning a tier. Processing-stage labels alone do not prove chain depth.</x:v>
      </x:c>
      <x:c r="AH148" s="4" t="str">
        <x:v>Not applicable</x:v>
      </x:c>
      <x:c r="AI148" s="4" t="str">
        <x:v>Component</x:v>
      </x:c>
      <x:c r="AJ148" s="4" t="n">
        <x:f>COUNTIFS('Material routes'!$D$6:$D$1005,A148,'Material routes'!$C$6:$C$1005,"Output")</x:f>
        <x:v>0</x:v>
      </x:c>
      <x:c r="AK148" s="4" t="n">
        <x:f>SUM(COUNTIFS('Material routes'!$D$6:$D$1005,A148,'Material routes'!$C$6:$C$1005,"Ingredient candidate"),COUNTIFS('Material routes'!$D$6:$D$1005,A148,'Material routes'!$C$6:$C$1005,"Consumed input"),COUNTIFS('Material routes'!$D$6:$D$1005,A148,'Material routes'!$C$6:$C$1005,"Contained input"),COUNTIFS('Material routes'!$D$6:$D$1005,A148,'Material routes'!$C$6:$C$1005,"Transform input"))</x:f>
        <x:v>0</x:v>
      </x:c>
      <x:c r="AL148" s="4" t="n">
        <x:f>COUNTIFS('Material routes'!$D$6:$D$1005,A148,'Material routes'!$C$6:$C$1005,"Tool candidate")</x:f>
        <x:v>0</x:v>
      </x:c>
      <x:c r="AM148" s="4" t="str">
        <x:f>IF(AJ148&gt;0,"Route listed; review status/completeness",IF(C148="T0","Raw entry feed; no production route","No production route listed"))</x:f>
        <x:v>No production route listed</x:v>
      </x:c>
      <x:c r="AN148" s="14" t="n">
        <x:f>IF(C148="T0",0,IF(C148="T1",1,IF(C148="T2",2,IF(C148="T3",3,IF(C148="T4",4,IF(C148="Unassigned",98,99))))))</x:f>
        <x:v>98</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95" customHeight="1">
      <x:c r="A149" s="9" t="str">
        <x:v>proposal.canister.mouthpiece</x:v>
      </x:c>
      <x:c r="B149" s="9" t="str">
        <x:v>Canister mouthpiece interface</x:v>
      </x:c>
      <x:c r="C149" s="4" t="str">
        <x:v>Unassigned</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unassigned; not applicable; component</x:v>
      </x:c>
      <x:c r="AF149" s="4" t="str">
        <x:v>From current item description. Proposed uses retain their existing approval status.</x:v>
      </x:c>
      <x:c r="AG149" s="4" t="str">
        <x:v>Choose a material/part route before assigning a tier. Processing-stage labels alone do not prove chain depth.</x:v>
      </x:c>
      <x:c r="AH149" s="4" t="str">
        <x:v>Not applicable</x:v>
      </x:c>
      <x:c r="AI149" s="4" t="str">
        <x:v>Component</x:v>
      </x:c>
      <x:c r="AJ149" s="4" t="n">
        <x:f>COUNTIFS('Material routes'!$D$6:$D$1005,A149,'Material routes'!$C$6:$C$1005,"Output")</x:f>
        <x:v>0</x:v>
      </x:c>
      <x:c r="AK149" s="4" t="n">
        <x:f>SUM(COUNTIFS('Material routes'!$D$6:$D$1005,A149,'Material routes'!$C$6:$C$1005,"Ingredient candidate"),COUNTIFS('Material routes'!$D$6:$D$1005,A149,'Material routes'!$C$6:$C$1005,"Consumed input"),COUNTIFS('Material routes'!$D$6:$D$1005,A149,'Material routes'!$C$6:$C$1005,"Contained input"),COUNTIFS('Material routes'!$D$6:$D$1005,A149,'Material routes'!$C$6:$C$1005,"Transform input"))</x:f>
        <x:v>0</x:v>
      </x:c>
      <x:c r="AL149" s="4" t="n">
        <x:f>COUNTIFS('Material routes'!$D$6:$D$1005,A149,'Material routes'!$C$6:$C$1005,"Tool candidate")</x:f>
        <x:v>0</x:v>
      </x:c>
      <x:c r="AM149" s="4" t="str">
        <x:f>IF(AJ149&gt;0,"Route listed; review status/completeness",IF(C149="T0","Raw entry feed; no production route","No production route listed"))</x:f>
        <x:v>No production route listed</x:v>
      </x:c>
      <x:c r="AN149" s="14" t="n">
        <x:f>IF(C149="T0",0,IF(C149="T1",1,IF(C149="T2",2,IF(C149="T3",3,IF(C149="T4",4,IF(C149="Unassigned",98,99))))))</x:f>
        <x:v>98</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95" customHeight="1">
      <x:c r="A150" s="9" t="str">
        <x:v>proposal.canister.window</x:v>
      </x:c>
      <x:c r="B150" s="9" t="str">
        <x:v>Canister viewing-port insert</x:v>
      </x:c>
      <x:c r="C150" s="4" t="str">
        <x:v>Unassigned</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unassigned; not applicable; component</x:v>
      </x:c>
      <x:c r="AF150" s="4" t="str">
        <x:v>From current item description. Proposed uses retain their existing approval status.</x:v>
      </x:c>
      <x:c r="AG150" s="4" t="str">
        <x:v>Choose a material/part route before assigning a tier. Processing-stage labels alone do not prove chain depth.</x:v>
      </x:c>
      <x:c r="AH150" s="4" t="str">
        <x:v>Not applicable</x:v>
      </x:c>
      <x:c r="AI150" s="4" t="str">
        <x:v>Component</x:v>
      </x:c>
      <x:c r="AJ150" s="4" t="n">
        <x:f>COUNTIFS('Material routes'!$D$6:$D$1005,A150,'Material routes'!$C$6:$C$1005,"Output")</x:f>
        <x:v>0</x:v>
      </x:c>
      <x:c r="AK150" s="4" t="n">
        <x:f>SUM(COUNTIFS('Material routes'!$D$6:$D$1005,A150,'Material routes'!$C$6:$C$1005,"Ingredient candidate"),COUNTIFS('Material routes'!$D$6:$D$1005,A150,'Material routes'!$C$6:$C$1005,"Consumed input"),COUNTIFS('Material routes'!$D$6:$D$1005,A150,'Material routes'!$C$6:$C$1005,"Contained input"),COUNTIFS('Material routes'!$D$6:$D$1005,A150,'Material routes'!$C$6:$C$1005,"Transform input"))</x:f>
        <x:v>0</x:v>
      </x:c>
      <x:c r="AL150" s="4" t="n">
        <x:f>COUNTIFS('Material routes'!$D$6:$D$1005,A150,'Material routes'!$C$6:$C$1005,"Tool candidate")</x:f>
        <x:v>0</x:v>
      </x:c>
      <x:c r="AM150" s="4" t="str">
        <x:f>IF(AJ150&gt;0,"Route listed; review status/completeness",IF(C150="T0","Raw entry feed; no production route","No production route listed"))</x:f>
        <x:v>No production route listed</x:v>
      </x:c>
      <x:c r="AN150" s="14" t="n">
        <x:f>IF(C150="T0",0,IF(C150="T1",1,IF(C150="T2",2,IF(C150="T3",3,IF(C150="T4",4,IF(C150="Unassigned",98,99))))))</x:f>
        <x:v>98</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95" customHeight="1">
      <x:c r="A151" s="9" t="str">
        <x:v>proposal.canister.mount</x:v>
      </x:c>
      <x:c r="B151" s="9" t="str">
        <x:v>Canister mounting bracket</x:v>
      </x:c>
      <x:c r="C151" s="4" t="str">
        <x:v>Unassigned</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unassigned; not applicable; component</x:v>
      </x:c>
      <x:c r="AF151" s="4" t="str">
        <x:v>From current item description. Proposed uses retain their existing approval status.</x:v>
      </x:c>
      <x:c r="AG151" s="4" t="str">
        <x:v>Choose a material/part route before assigning a tier. Processing-stage labels alone do not prove chain depth.</x:v>
      </x:c>
      <x:c r="AH151" s="4" t="str">
        <x:v>Not applicable</x:v>
      </x:c>
      <x:c r="AI151" s="4" t="str">
        <x:v>Component</x:v>
      </x:c>
      <x:c r="AJ151" s="4" t="n">
        <x:f>COUNTIFS('Material routes'!$D$6:$D$1005,A151,'Material routes'!$C$6:$C$1005,"Output")</x:f>
        <x:v>0</x:v>
      </x:c>
      <x:c r="AK151" s="4" t="n">
        <x:f>SUM(COUNTIFS('Material routes'!$D$6:$D$1005,A151,'Material routes'!$C$6:$C$1005,"Ingredient candidate"),COUNTIFS('Material routes'!$D$6:$D$1005,A151,'Material routes'!$C$6:$C$1005,"Consumed input"),COUNTIFS('Material routes'!$D$6:$D$1005,A151,'Material routes'!$C$6:$C$1005,"Contained input"),COUNTIFS('Material routes'!$D$6:$D$1005,A151,'Material routes'!$C$6:$C$1005,"Transform input"))</x:f>
        <x:v>0</x:v>
      </x:c>
      <x:c r="AL151" s="4" t="n">
        <x:f>COUNTIFS('Material routes'!$D$6:$D$1005,A151,'Material routes'!$C$6:$C$1005,"Tool candidate")</x:f>
        <x:v>0</x:v>
      </x:c>
      <x:c r="AM151" s="4" t="str">
        <x:f>IF(AJ151&gt;0,"Route listed; review status/completeness",IF(C151="T0","Raw entry feed; no production route","No production route listed"))</x:f>
        <x:v>No production route listed</x:v>
      </x:c>
      <x:c r="AN151" s="14" t="n">
        <x:f>IF(C151="T0",0,IF(C151="T1",1,IF(C151="T2",2,IF(C151="T3",3,IF(C151="T4",4,IF(C151="Unassigned",98,99))))))</x:f>
        <x:v>98</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str">
        <x:v>Equipment</x:v>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equipment; canister economy concept; carrier; finished item; manufactured / unresolved; equipment mounting; mixed / unresolved; assembly; proposal; ; not applicable; unassigned; finished item</x:v>
      </x:c>
      <x:c r="AF152" s="4" t="str">
        <x:v>From current item description. Proposed uses retain their existing approval status.</x:v>
      </x:c>
      <x:c r="AG152" s="4" t="str">
        <x:v>Finished endpoint; material tier is not applicable. Input tiers belong to the chosen recipe.</x:v>
      </x:c>
      <x:c r="AH152" s="4" t="str">
        <x:v>Unassigned</x:v>
      </x:c>
      <x:c r="AI152" s="4" t="str">
        <x:v>Finished item</x:v>
      </x:c>
      <x:c r="AJ152" s="4" t="n">
        <x:f>COUNTIFS('Material routes'!$D$6:$D$1005,A152,'Material routes'!$C$6:$C$1005,"Output")</x:f>
        <x:v>0</x:v>
      </x:c>
      <x:c r="AK152" s="4" t="n">
        <x:f>SUM(COUNTIFS('Material routes'!$D$6:$D$1005,A152,'Material routes'!$C$6:$C$1005,"Ingredient candidate"),COUNTIFS('Material routes'!$D$6:$D$1005,A152,'Material routes'!$C$6:$C$1005,"Consumed input"),COUNTIFS('Material routes'!$D$6:$D$1005,A152,'Material routes'!$C$6:$C$1005,"Contained input"),COUNTIFS('Material routes'!$D$6:$D$1005,A152,'Material routes'!$C$6:$C$1005,"Transform input"))</x:f>
        <x:v>0</x:v>
      </x:c>
      <x:c r="AL152" s="4" t="n">
        <x:f>COUNTIFS('Material routes'!$D$6:$D$1005,A152,'Material routes'!$C$6:$C$1005,"Tool candidate")</x:f>
        <x:v>0</x:v>
      </x:c>
      <x:c r="AM152" s="4" t="str">
        <x:f>IF(AJ152&gt;0,"Route listed; review status/completeness",IF(C152="T0","Raw entry feed; no production route","No production route listed"))</x:f>
        <x:v>No production route listed</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str">
        <x:v>Equipment</x:v>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equipment; canister economy concept; tool; finished item; manufactured / unresolved; inspection; mixed / unresolved; assembly; proposal; ; not applicable; unassigned; finished item</x:v>
      </x:c>
      <x:c r="AF153" s="4" t="str">
        <x:v>From current item description. Proposed uses retain their existing approval status.</x:v>
      </x:c>
      <x:c r="AG153" s="4" t="str">
        <x:v>Finished endpoint; material tier is not applicable. Input tiers belong to the chosen recipe.</x:v>
      </x:c>
      <x:c r="AH153" s="4" t="str">
        <x:v>Unassigned</x:v>
      </x:c>
      <x:c r="AI153" s="4" t="str">
        <x:v>Finished item</x:v>
      </x:c>
      <x:c r="AJ153" s="4" t="n">
        <x:f>COUNTIFS('Material routes'!$D$6:$D$1005,A153,'Material routes'!$C$6:$C$1005,"Output")</x:f>
        <x:v>0</x:v>
      </x:c>
      <x:c r="AK153" s="4" t="n">
        <x:f>SUM(COUNTIFS('Material routes'!$D$6:$D$1005,A153,'Material routes'!$C$6:$C$1005,"Ingredient candidate"),COUNTIFS('Material routes'!$D$6:$D$1005,A153,'Material routes'!$C$6:$C$1005,"Consumed input"),COUNTIFS('Material routes'!$D$6:$D$1005,A153,'Material routes'!$C$6:$C$1005,"Contained input"),COUNTIFS('Material routes'!$D$6:$D$1005,A153,'Material routes'!$C$6:$C$1005,"Transform input"))</x:f>
        <x:v>0</x:v>
      </x:c>
      <x:c r="AL153" s="4" t="n">
        <x:f>COUNTIFS('Material routes'!$D$6:$D$1005,A153,'Material routes'!$C$6:$C$1005,"Tool candidate")</x:f>
        <x:v>0</x:v>
      </x:c>
      <x:c r="AM153" s="4" t="str">
        <x:f>IF(AJ153&gt;0,"Route listed; review status/completeness",IF(C153="T0","Raw entry feed; no production route","No production route listed"))</x:f>
        <x:v>No production route listed</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routes'!$D$6:$D$1005,A154,'Material routes'!$C$6:$C$1005,"Output")</x:f>
        <x:v>0</x:v>
      </x:c>
      <x:c r="AK154" s="4" t="n">
        <x:f>SUM(COUNTIFS('Material routes'!$D$6:$D$1005,A154,'Material routes'!$C$6:$C$1005,"Ingredient candidate"),COUNTIFS('Material routes'!$D$6:$D$1005,A154,'Material routes'!$C$6:$C$1005,"Consumed input"),COUNTIFS('Material routes'!$D$6:$D$1005,A154,'Material routes'!$C$6:$C$1005,"Contained input"),COUNTIFS('Material routes'!$D$6:$D$1005,A154,'Material routes'!$C$6:$C$1005,"Transform input"))</x:f>
        <x:v>0</x:v>
      </x:c>
      <x:c r="AL154" s="4" t="n">
        <x:f>COUNTIFS('Material routes'!$D$6:$D$1005,A154,'Material routes'!$C$6:$C$1005,"Tool candidate")</x:f>
        <x:v>0</x:v>
      </x:c>
      <x:c r="AM154" s="4" t="str">
        <x:f>IF(AJ154&gt;0,"Route listed; review status/completeness",IF(C154="T0","Raw entry feed; no production route","No production route listed"))</x:f>
        <x:v>No production route listed</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95" customHeight="1">
      <x:c r="A155" s="9" t="str">
        <x:v>proposal.canister.maker_plate</x:v>
      </x:c>
      <x:c r="B155" s="9" t="str">
        <x:v>Canister maker plate</x:v>
      </x:c>
      <x:c r="C155" s="4" t="str">
        <x:v>Unassigned</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unassigned; not applicable; component</x:v>
      </x:c>
      <x:c r="AF155" s="4" t="str">
        <x:v>From current item description. Proposed uses retain their existing approval status.</x:v>
      </x:c>
      <x:c r="AG155" s="4" t="str">
        <x:v>Choose a material/part route before assigning a tier. Processing-stage labels alone do not prove chain depth.</x:v>
      </x:c>
      <x:c r="AH155" s="4" t="str">
        <x:v>Not applicable</x:v>
      </x:c>
      <x:c r="AI155" s="4" t="str">
        <x:v>Component</x:v>
      </x:c>
      <x:c r="AJ155" s="4" t="n">
        <x:f>COUNTIFS('Material routes'!$D$6:$D$1005,A155,'Material routes'!$C$6:$C$1005,"Output")</x:f>
        <x:v>0</x:v>
      </x:c>
      <x:c r="AK155" s="4" t="n">
        <x:f>SUM(COUNTIFS('Material routes'!$D$6:$D$1005,A155,'Material routes'!$C$6:$C$1005,"Ingredient candidate"),COUNTIFS('Material routes'!$D$6:$D$1005,A155,'Material routes'!$C$6:$C$1005,"Consumed input"),COUNTIFS('Material routes'!$D$6:$D$1005,A155,'Material routes'!$C$6:$C$1005,"Contained input"),COUNTIFS('Material routes'!$D$6:$D$1005,A155,'Material routes'!$C$6:$C$1005,"Transform input"))</x:f>
        <x:v>0</x:v>
      </x:c>
      <x:c r="AL155" s="4" t="n">
        <x:f>COUNTIFS('Material routes'!$D$6:$D$1005,A155,'Material routes'!$C$6:$C$1005,"Tool candidate")</x:f>
        <x:v>0</x:v>
      </x:c>
      <x:c r="AM155" s="4" t="str">
        <x:f>IF(AJ155&gt;0,"Route listed; review status/completeness",IF(C155="T0","Raw entry feed; no production route","No production route listed"))</x:f>
        <x:v>No production route listed</x:v>
      </x:c>
      <x:c r="AN155" s="14" t="n">
        <x:f>IF(C155="T0",0,IF(C155="T1",1,IF(C155="T2",2,IF(C155="T3",3,IF(C155="T4",4,IF(C155="Unassigned",98,99))))))</x:f>
        <x:v>98</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95" customHeight="1">
      <x:c r="A156" s="9" t="str">
        <x:v>proposal.canister.trim</x:v>
      </x:c>
      <x:c r="B156" s="9" t="str">
        <x:v>Decorative canister panel</x:v>
      </x:c>
      <x:c r="C156" s="4" t="str">
        <x:v>Unassigned</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unassigned; not applicable; component</x:v>
      </x:c>
      <x:c r="AF156" s="4" t="str">
        <x:v>From current item description. Proposed uses retain their existing approval status.</x:v>
      </x:c>
      <x:c r="AG156" s="4" t="str">
        <x:v>Choose a material/part route before assigning a tier. Processing-stage labels alone do not prove chain depth.</x:v>
      </x:c>
      <x:c r="AH156" s="4" t="str">
        <x:v>Not applicable</x:v>
      </x:c>
      <x:c r="AI156" s="4" t="str">
        <x:v>Component</x:v>
      </x:c>
      <x:c r="AJ156" s="4" t="n">
        <x:f>COUNTIFS('Material routes'!$D$6:$D$1005,A156,'Material routes'!$C$6:$C$1005,"Output")</x:f>
        <x:v>0</x:v>
      </x:c>
      <x:c r="AK156" s="4" t="n">
        <x:f>SUM(COUNTIFS('Material routes'!$D$6:$D$1005,A156,'Material routes'!$C$6:$C$1005,"Ingredient candidate"),COUNTIFS('Material routes'!$D$6:$D$1005,A156,'Material routes'!$C$6:$C$1005,"Consumed input"),COUNTIFS('Material routes'!$D$6:$D$1005,A156,'Material routes'!$C$6:$C$1005,"Contained input"),COUNTIFS('Material routes'!$D$6:$D$1005,A156,'Material routes'!$C$6:$C$1005,"Transform input"))</x:f>
        <x:v>0</x:v>
      </x:c>
      <x:c r="AL156" s="4" t="n">
        <x:f>COUNTIFS('Material routes'!$D$6:$D$1005,A156,'Material routes'!$C$6:$C$1005,"Tool candidate")</x:f>
        <x:v>0</x:v>
      </x:c>
      <x:c r="AM156" s="4" t="str">
        <x:f>IF(AJ156&gt;0,"Route listed; review status/completeness",IF(C156="T0","Raw entry feed; no production route","No production route listed"))</x:f>
        <x:v>No production route listed</x:v>
      </x:c>
      <x:c r="AN156" s="14" t="n">
        <x:f>IF(C156="T0",0,IF(C156="T1",1,IF(C156="T2",2,IF(C156="T3",3,IF(C156="T4",4,IF(C156="Unassigned",98,99))))))</x:f>
        <x:v>98</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95" customHeight="1">
      <x:c r="A157" s="9" t="str">
        <x:v>proposal.canister.endcap</x:v>
      </x:c>
      <x:c r="B157" s="9" t="str">
        <x:v>Canister protective endcap</x:v>
      </x:c>
      <x:c r="C157" s="4" t="str">
        <x:v>Unassigned</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unassigned; not applicable; component</x:v>
      </x:c>
      <x:c r="AF157" s="4" t="str">
        <x:v>From current item description. Proposed uses retain their existing approval status.</x:v>
      </x:c>
      <x:c r="AG157" s="4" t="str">
        <x:v>Choose a material/part route before assigning a tier. Processing-stage labels alone do not prove chain depth.</x:v>
      </x:c>
      <x:c r="AH157" s="4" t="str">
        <x:v>Not applicable</x:v>
      </x:c>
      <x:c r="AI157" s="4" t="str">
        <x:v>Component</x:v>
      </x:c>
      <x:c r="AJ157" s="4" t="n">
        <x:f>COUNTIFS('Material routes'!$D$6:$D$1005,A157,'Material routes'!$C$6:$C$1005,"Output")</x:f>
        <x:v>0</x:v>
      </x:c>
      <x:c r="AK157" s="4" t="n">
        <x:f>SUM(COUNTIFS('Material routes'!$D$6:$D$1005,A157,'Material routes'!$C$6:$C$1005,"Ingredient candidate"),COUNTIFS('Material routes'!$D$6:$D$1005,A157,'Material routes'!$C$6:$C$1005,"Consumed input"),COUNTIFS('Material routes'!$D$6:$D$1005,A157,'Material routes'!$C$6:$C$1005,"Contained input"),COUNTIFS('Material routes'!$D$6:$D$1005,A157,'Material routes'!$C$6:$C$1005,"Transform input"))</x:f>
        <x:v>0</x:v>
      </x:c>
      <x:c r="AL157" s="4" t="n">
        <x:f>COUNTIFS('Material routes'!$D$6:$D$1005,A157,'Material routes'!$C$6:$C$1005,"Tool candidate")</x:f>
        <x:v>0</x:v>
      </x:c>
      <x:c r="AM157" s="4" t="str">
        <x:f>IF(AJ157&gt;0,"Route listed; review status/completeness",IF(C157="T0","Raw entry feed; no production route","No production route listed"))</x:f>
        <x:v>No production route listed</x:v>
      </x:c>
      <x:c r="AN157" s="14" t="n">
        <x:f>IF(C157="T0",0,IF(C157="T1",1,IF(C157="T2",2,IF(C157="T3",3,IF(C157="T4",4,IF(C157="Unassigned",98,99))))))</x:f>
        <x:v>98</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unassigned; finished item</x:v>
      </x:c>
      <x:c r="AF158" s="4" t="str">
        <x:v>From current item description. Proposed uses retain their existing approval status.</x:v>
      </x:c>
      <x:c r="AG158" s="4" t="str">
        <x:v>Finished endpoint; material tier is not applicable. Input tiers belong to the chosen recipe.</x:v>
      </x:c>
      <x:c r="AH158" s="4" t="str">
        <x:v>Unassigned</x:v>
      </x:c>
      <x:c r="AI158" s="4" t="str">
        <x:v>Finished item</x:v>
      </x:c>
      <x:c r="AJ158" s="4" t="n">
        <x:f>COUNTIFS('Material routes'!$D$6:$D$1005,A158,'Material routes'!$C$6:$C$1005,"Output")</x:f>
        <x:v>0</x:v>
      </x:c>
      <x:c r="AK158" s="4" t="n">
        <x:f>SUM(COUNTIFS('Material routes'!$D$6:$D$1005,A158,'Material routes'!$C$6:$C$1005,"Ingredient candidate"),COUNTIFS('Material routes'!$D$6:$D$1005,A158,'Material routes'!$C$6:$C$1005,"Consumed input"),COUNTIFS('Material routes'!$D$6:$D$1005,A158,'Material routes'!$C$6:$C$1005,"Contained input"),COUNTIFS('Material routes'!$D$6:$D$1005,A158,'Material routes'!$C$6:$C$1005,"Transform input"))</x:f>
        <x:v>0</x:v>
      </x:c>
      <x:c r="AL158" s="4" t="n">
        <x:f>COUNTIFS('Material routes'!$D$6:$D$1005,A158,'Material routes'!$C$6:$C$1005,"Tool candidate")</x:f>
        <x:v>0</x:v>
      </x:c>
      <x:c r="AM158" s="4" t="str">
        <x:f>IF(AJ158&gt;0,"Route listed; review status/completeness",IF(C158="T0","Raw entry feed; no production route","No production route listed"))</x:f>
        <x:v>No production route listed</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unassigned; finished item</x:v>
      </x:c>
      <x:c r="AF159" s="4" t="str">
        <x:v>From current item description. Proposed uses retain their existing approval status.</x:v>
      </x:c>
      <x:c r="AG159" s="4" t="str">
        <x:v>Finished endpoint; material tier is not applicable. Input tiers belong to the chosen recipe.</x:v>
      </x:c>
      <x:c r="AH159" s="4" t="str">
        <x:v>Unassigned</x:v>
      </x:c>
      <x:c r="AI159" s="4" t="str">
        <x:v>Finished item</x:v>
      </x:c>
      <x:c r="AJ159" s="4" t="n">
        <x:f>COUNTIFS('Material routes'!$D$6:$D$1005,A159,'Material routes'!$C$6:$C$1005,"Output")</x:f>
        <x:v>0</x:v>
      </x:c>
      <x:c r="AK159" s="4" t="n">
        <x:f>SUM(COUNTIFS('Material routes'!$D$6:$D$1005,A159,'Material routes'!$C$6:$C$1005,"Ingredient candidate"),COUNTIFS('Material routes'!$D$6:$D$1005,A159,'Material routes'!$C$6:$C$1005,"Consumed input"),COUNTIFS('Material routes'!$D$6:$D$1005,A159,'Material routes'!$C$6:$C$1005,"Contained input"),COUNTIFS('Material routes'!$D$6:$D$1005,A159,'Material routes'!$C$6:$C$1005,"Transform input"))</x:f>
        <x:v>0</x:v>
      </x:c>
      <x:c r="AL159" s="4" t="n">
        <x:f>COUNTIFS('Material routes'!$D$6:$D$1005,A159,'Material routes'!$C$6:$C$1005,"Tool candidate")</x:f>
        <x:v>0</x:v>
      </x:c>
      <x:c r="AM159" s="4" t="str">
        <x:f>IF(AJ159&gt;0,"Route listed; review status/completeness",IF(C159="T0","Raw entry feed; no production route","No production route listed"))</x:f>
        <x:v>No production route listed</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unassigned; finished item</x:v>
      </x:c>
      <x:c r="AF160" s="4" t="str">
        <x:v>From current item description. Proposed uses retain their existing approval status.</x:v>
      </x:c>
      <x:c r="AG160" s="4" t="str">
        <x:v>Finished endpoint; material tier is not applicable. Input tiers belong to the chosen recipe.</x:v>
      </x:c>
      <x:c r="AH160" s="4" t="str">
        <x:v>Unassigned</x:v>
      </x:c>
      <x:c r="AI160" s="4" t="str">
        <x:v>Finished item</x:v>
      </x:c>
      <x:c r="AJ160" s="4" t="n">
        <x:f>COUNTIFS('Material routes'!$D$6:$D$1005,A160,'Material routes'!$C$6:$C$1005,"Output")</x:f>
        <x:v>0</x:v>
      </x:c>
      <x:c r="AK160" s="4" t="n">
        <x:f>SUM(COUNTIFS('Material routes'!$D$6:$D$1005,A160,'Material routes'!$C$6:$C$1005,"Ingredient candidate"),COUNTIFS('Material routes'!$D$6:$D$1005,A160,'Material routes'!$C$6:$C$1005,"Consumed input"),COUNTIFS('Material routes'!$D$6:$D$1005,A160,'Material routes'!$C$6:$C$1005,"Contained input"),COUNTIFS('Material routes'!$D$6:$D$1005,A160,'Material routes'!$C$6:$C$1005,"Transform input"))</x:f>
        <x:v>0</x:v>
      </x:c>
      <x:c r="AL160" s="4" t="n">
        <x:f>COUNTIFS('Material routes'!$D$6:$D$1005,A160,'Material routes'!$C$6:$C$1005,"Tool candidate")</x:f>
        <x:v>0</x:v>
      </x:c>
      <x:c r="AM160" s="4" t="str">
        <x:f>IF(AJ160&gt;0,"Route listed; review status/completeness",IF(C160="T0","Raw entry feed; no production route","No production route listed"))</x:f>
        <x:v>No production route listed</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unassigned; finished item</x:v>
      </x:c>
      <x:c r="AF161" s="4" t="str">
        <x:v>From current item description. Proposed uses retain their existing approval status.</x:v>
      </x:c>
      <x:c r="AG161" s="4" t="str">
        <x:v>Finished endpoint; material tier is not applicable. Input tiers belong to the chosen recipe.</x:v>
      </x:c>
      <x:c r="AH161" s="4" t="str">
        <x:v>Unassigned</x:v>
      </x:c>
      <x:c r="AI161" s="4" t="str">
        <x:v>Finished item</x:v>
      </x:c>
      <x:c r="AJ161" s="4" t="n">
        <x:f>COUNTIFS('Material routes'!$D$6:$D$1005,A161,'Material routes'!$C$6:$C$1005,"Output")</x:f>
        <x:v>0</x:v>
      </x:c>
      <x:c r="AK161" s="4" t="n">
        <x:f>SUM(COUNTIFS('Material routes'!$D$6:$D$1005,A161,'Material routes'!$C$6:$C$1005,"Ingredient candidate"),COUNTIFS('Material routes'!$D$6:$D$1005,A161,'Material routes'!$C$6:$C$1005,"Consumed input"),COUNTIFS('Material routes'!$D$6:$D$1005,A161,'Material routes'!$C$6:$C$1005,"Contained input"),COUNTIFS('Material routes'!$D$6:$D$1005,A161,'Material routes'!$C$6:$C$1005,"Transform input"))</x:f>
        <x:v>0</x:v>
      </x:c>
      <x:c r="AL161" s="4" t="n">
        <x:f>COUNTIFS('Material routes'!$D$6:$D$1005,A161,'Material routes'!$C$6:$C$1005,"Tool candidate")</x:f>
        <x:v>0</x:v>
      </x:c>
      <x:c r="AM161" s="4" t="str">
        <x:f>IF(AJ161&gt;0,"Route listed; review status/completeness",IF(C161="T0","Raw entry feed; no production route","No production route listed"))</x:f>
        <x:v>No production route listed</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unassigned; finished item</x:v>
      </x:c>
      <x:c r="AF162" s="4" t="str">
        <x:v>From current item description. Proposed uses retain their existing approval status.</x:v>
      </x:c>
      <x:c r="AG162" s="4" t="str">
        <x:v>Finished endpoint; material tier is not applicable. Input tiers belong to the chosen recipe.</x:v>
      </x:c>
      <x:c r="AH162" s="4" t="str">
        <x:v>Unassigned</x:v>
      </x:c>
      <x:c r="AI162" s="4" t="str">
        <x:v>Finished item</x:v>
      </x:c>
      <x:c r="AJ162" s="4" t="n">
        <x:f>COUNTIFS('Material routes'!$D$6:$D$1005,A162,'Material routes'!$C$6:$C$1005,"Output")</x:f>
        <x:v>1</x:v>
      </x:c>
      <x:c r="AK162" s="4" t="n">
        <x:f>SUM(COUNTIFS('Material routes'!$D$6:$D$1005,A162,'Material routes'!$C$6:$C$1005,"Ingredient candidate"),COUNTIFS('Material routes'!$D$6:$D$1005,A162,'Material routes'!$C$6:$C$1005,"Consumed input"),COUNTIFS('Material routes'!$D$6:$D$1005,A162,'Material routes'!$C$6:$C$1005,"Contained input"),COUNTIFS('Material routes'!$D$6:$D$1005,A162,'Material routes'!$C$6:$C$1005,"Transform input"))</x:f>
        <x:v>0</x:v>
      </x:c>
      <x:c r="AL162" s="4" t="n">
        <x:f>COUNTIFS('Material routes'!$D$6:$D$1005,A162,'Material routes'!$C$6:$C$1005,"Tool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unassigned; finished item</x:v>
      </x:c>
      <x:c r="AF163" s="4" t="str">
        <x:v>From current item description. Proposed uses retain their existing approval status.</x:v>
      </x:c>
      <x:c r="AG163" s="4" t="str">
        <x:v>Finished endpoint; material tier is not applicable. Input tiers belong to the chosen recipe.</x:v>
      </x:c>
      <x:c r="AH163" s="4" t="str">
        <x:v>Unassigned</x:v>
      </x:c>
      <x:c r="AI163" s="4" t="str">
        <x:v>Finished item</x:v>
      </x:c>
      <x:c r="AJ163" s="4" t="n">
        <x:f>COUNTIFS('Material routes'!$D$6:$D$1005,A163,'Material routes'!$C$6:$C$1005,"Output")</x:f>
        <x:v>0</x:v>
      </x:c>
      <x:c r="AK163" s="4" t="n">
        <x:f>SUM(COUNTIFS('Material routes'!$D$6:$D$1005,A163,'Material routes'!$C$6:$C$1005,"Ingredient candidate"),COUNTIFS('Material routes'!$D$6:$D$1005,A163,'Material routes'!$C$6:$C$1005,"Consumed input"),COUNTIFS('Material routes'!$D$6:$D$1005,A163,'Material routes'!$C$6:$C$1005,"Contained input"),COUNTIFS('Material routes'!$D$6:$D$1005,A163,'Material routes'!$C$6:$C$1005,"Transform input"))</x:f>
        <x:v>0</x:v>
      </x:c>
      <x:c r="AL163" s="4" t="n">
        <x:f>COUNTIFS('Material routes'!$D$6:$D$1005,A163,'Material routes'!$C$6:$C$1005,"Tool candidate")</x:f>
        <x:v>0</x:v>
      </x:c>
      <x:c r="AM163" s="4" t="str">
        <x:f>IF(AJ163&gt;0,"Route listed; review status/completeness",IF(C163="T0","Raw entry feed; no production route","No production route listed"))</x:f>
        <x:v>No production route listed</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unassigned; finished item</x:v>
      </x:c>
      <x:c r="AF164" s="4" t="str">
        <x:v>From current item description. Proposed uses retain their existing approval status.</x:v>
      </x:c>
      <x:c r="AG164" s="4" t="str">
        <x:v>Finished endpoint; material tier is not applicable. Input tiers belong to the chosen recipe.</x:v>
      </x:c>
      <x:c r="AH164" s="4" t="str">
        <x:v>Unassigned</x:v>
      </x:c>
      <x:c r="AI164" s="4" t="str">
        <x:v>Finished item</x:v>
      </x:c>
      <x:c r="AJ164" s="4" t="n">
        <x:f>COUNTIFS('Material routes'!$D$6:$D$1005,A164,'Material routes'!$C$6:$C$1005,"Output")</x:f>
        <x:v>0</x:v>
      </x:c>
      <x:c r="AK164" s="4" t="n">
        <x:f>SUM(COUNTIFS('Material routes'!$D$6:$D$1005,A164,'Material routes'!$C$6:$C$1005,"Ingredient candidate"),COUNTIFS('Material routes'!$D$6:$D$1005,A164,'Material routes'!$C$6:$C$1005,"Consumed input"),COUNTIFS('Material routes'!$D$6:$D$1005,A164,'Material routes'!$C$6:$C$1005,"Contained input"),COUNTIFS('Material routes'!$D$6:$D$1005,A164,'Material routes'!$C$6:$C$1005,"Transform input"))</x:f>
        <x:v>0</x:v>
      </x:c>
      <x:c r="AL164" s="4" t="n">
        <x:f>COUNTIFS('Material routes'!$D$6:$D$1005,A164,'Material routes'!$C$6:$C$1005,"Tool candidate")</x:f>
        <x:v>0</x:v>
      </x:c>
      <x:c r="AM164" s="4" t="str">
        <x:f>IF(AJ164&gt;0,"Route listed; review status/completeness",IF(C164="T0","Raw entry feed; no production route","No production route listed"))</x:f>
        <x:v>No production route listed</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unassigned; finished item</x:v>
      </x:c>
      <x:c r="AF165" s="4" t="str">
        <x:v>From current item description. Proposed uses retain their existing approval status.</x:v>
      </x:c>
      <x:c r="AG165" s="4" t="str">
        <x:v>Finished endpoint; material tier is not applicable. Input tiers belong to the chosen recipe.</x:v>
      </x:c>
      <x:c r="AH165" s="4" t="str">
        <x:v>Unassigned</x:v>
      </x:c>
      <x:c r="AI165" s="4" t="str">
        <x:v>Finished item</x:v>
      </x:c>
      <x:c r="AJ165" s="4" t="n">
        <x:f>COUNTIFS('Material routes'!$D$6:$D$1005,A165,'Material routes'!$C$6:$C$1005,"Output")</x:f>
        <x:v>0</x:v>
      </x:c>
      <x:c r="AK165" s="4" t="n">
        <x:f>SUM(COUNTIFS('Material routes'!$D$6:$D$1005,A165,'Material routes'!$C$6:$C$1005,"Ingredient candidate"),COUNTIFS('Material routes'!$D$6:$D$1005,A165,'Material routes'!$C$6:$C$1005,"Consumed input"),COUNTIFS('Material routes'!$D$6:$D$1005,A165,'Material routes'!$C$6:$C$1005,"Contained input"),COUNTIFS('Material routes'!$D$6:$D$1005,A165,'Material routes'!$C$6:$C$1005,"Transform input"))</x:f>
        <x:v>0</x:v>
      </x:c>
      <x:c r="AL165" s="4" t="n">
        <x:f>COUNTIFS('Material routes'!$D$6:$D$1005,A165,'Material routes'!$C$6:$C$1005,"Tool candidate")</x:f>
        <x:v>0</x:v>
      </x:c>
      <x:c r="AM165" s="4" t="str">
        <x:f>IF(AJ165&gt;0,"Route listed; review status/completeness",IF(C165="T0","Raw entry feed; no production route","No production route listed"))</x:f>
        <x:v>No production route listed</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unassigned; finished item</x:v>
      </x:c>
      <x:c r="AF166" s="4" t="str">
        <x:v>From current item description. Proposed uses retain their existing approval status.</x:v>
      </x:c>
      <x:c r="AG166" s="4" t="str">
        <x:v>Finished endpoint; material tier is not applicable. Input tiers belong to the chosen recipe.</x:v>
      </x:c>
      <x:c r="AH166" s="4" t="str">
        <x:v>Unassigned</x:v>
      </x:c>
      <x:c r="AI166" s="4" t="str">
        <x:v>Finished item</x:v>
      </x:c>
      <x:c r="AJ166" s="4" t="n">
        <x:f>COUNTIFS('Material routes'!$D$6:$D$1005,A166,'Material routes'!$C$6:$C$1005,"Output")</x:f>
        <x:v>0</x:v>
      </x:c>
      <x:c r="AK166" s="4" t="n">
        <x:f>SUM(COUNTIFS('Material routes'!$D$6:$D$1005,A166,'Material routes'!$C$6:$C$1005,"Ingredient candidate"),COUNTIFS('Material routes'!$D$6:$D$1005,A166,'Material routes'!$C$6:$C$1005,"Consumed input"),COUNTIFS('Material routes'!$D$6:$D$1005,A166,'Material routes'!$C$6:$C$1005,"Contained input"),COUNTIFS('Material routes'!$D$6:$D$1005,A166,'Material routes'!$C$6:$C$1005,"Transform input"))</x:f>
        <x:v>0</x:v>
      </x:c>
      <x:c r="AL166" s="4" t="n">
        <x:f>COUNTIFS('Material routes'!$D$6:$D$1005,A166,'Material routes'!$C$6:$C$1005,"Tool candidate")</x:f>
        <x:v>0</x:v>
      </x:c>
      <x:c r="AM166" s="4" t="str">
        <x:f>IF(AJ166&gt;0,"Route listed; review status/completeness",IF(C166="T0","Raw entry feed; no production route","No production route listed"))</x:f>
        <x:v>No production route listed</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unassigned; finished item</x:v>
      </x:c>
      <x:c r="AF167" s="4" t="str">
        <x:v>From current item description. Proposed uses retain their existing approval status.</x:v>
      </x:c>
      <x:c r="AG167" s="4" t="str">
        <x:v>Finished endpoint; material tier is not applicable. Input tiers belong to the chosen recipe.</x:v>
      </x:c>
      <x:c r="AH167" s="4" t="str">
        <x:v>Unassigned</x:v>
      </x:c>
      <x:c r="AI167" s="4" t="str">
        <x:v>Finished item</x:v>
      </x:c>
      <x:c r="AJ167" s="4" t="n">
        <x:f>COUNTIFS('Material routes'!$D$6:$D$1005,A167,'Material routes'!$C$6:$C$1005,"Output")</x:f>
        <x:v>0</x:v>
      </x:c>
      <x:c r="AK167" s="4" t="n">
        <x:f>SUM(COUNTIFS('Material routes'!$D$6:$D$1005,A167,'Material routes'!$C$6:$C$1005,"Ingredient candidate"),COUNTIFS('Material routes'!$D$6:$D$1005,A167,'Material routes'!$C$6:$C$1005,"Consumed input"),COUNTIFS('Material routes'!$D$6:$D$1005,A167,'Material routes'!$C$6:$C$1005,"Contained input"),COUNTIFS('Material routes'!$D$6:$D$1005,A167,'Material routes'!$C$6:$C$1005,"Transform input"))</x:f>
        <x:v>0</x:v>
      </x:c>
      <x:c r="AL167" s="4" t="n">
        <x:f>COUNTIFS('Material routes'!$D$6:$D$1005,A167,'Material routes'!$C$6:$C$1005,"Tool candidate")</x:f>
        <x:v>0</x:v>
      </x:c>
      <x:c r="AM167" s="4" t="str">
        <x:f>IF(AJ167&gt;0,"Route listed; review status/completeness",IF(C167="T0","Raw entry feed; no production route","No production route listed"))</x:f>
        <x:v>No production route listed</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unassigned; finished item</x:v>
      </x:c>
      <x:c r="AF168" s="4" t="str">
        <x:v>From current item description. Proposed uses retain their existing approval status.</x:v>
      </x:c>
      <x:c r="AG168" s="4" t="str">
        <x:v>Finished endpoint; material tier is not applicable. Input tiers belong to the chosen recipe.</x:v>
      </x:c>
      <x:c r="AH168" s="4" t="str">
        <x:v>Unassigned</x:v>
      </x:c>
      <x:c r="AI168" s="4" t="str">
        <x:v>Finished item</x:v>
      </x:c>
      <x:c r="AJ168" s="4" t="n">
        <x:f>COUNTIFS('Material routes'!$D$6:$D$1005,A168,'Material routes'!$C$6:$C$1005,"Output")</x:f>
        <x:v>0</x:v>
      </x:c>
      <x:c r="AK168" s="4" t="n">
        <x:f>SUM(COUNTIFS('Material routes'!$D$6:$D$1005,A168,'Material routes'!$C$6:$C$1005,"Ingredient candidate"),COUNTIFS('Material routes'!$D$6:$D$1005,A168,'Material routes'!$C$6:$C$1005,"Consumed input"),COUNTIFS('Material routes'!$D$6:$D$1005,A168,'Material routes'!$C$6:$C$1005,"Contained input"),COUNTIFS('Material routes'!$D$6:$D$1005,A168,'Material routes'!$C$6:$C$1005,"Transform input"))</x:f>
        <x:v>0</x:v>
      </x:c>
      <x:c r="AL168" s="4" t="n">
        <x:f>COUNTIFS('Material routes'!$D$6:$D$1005,A168,'Material routes'!$C$6:$C$1005,"Tool candidate")</x:f>
        <x:v>0</x:v>
      </x:c>
      <x:c r="AM168" s="4" t="str">
        <x:f>IF(AJ168&gt;0,"Route listed; review status/completeness",IF(C168="T0","Raw entry feed; no production route","No production route listed"))</x:f>
        <x:v>No production route listed</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unassigned; finished item</x:v>
      </x:c>
      <x:c r="AF169" s="4" t="str">
        <x:v>From current item description. Proposed uses retain their existing approval status.</x:v>
      </x:c>
      <x:c r="AG169" s="4" t="str">
        <x:v>Finished endpoint; material tier is not applicable. Input tiers belong to the chosen recipe.</x:v>
      </x:c>
      <x:c r="AH169" s="4" t="str">
        <x:v>Unassigned</x:v>
      </x:c>
      <x:c r="AI169" s="4" t="str">
        <x:v>Finished item</x:v>
      </x:c>
      <x:c r="AJ169" s="4" t="n">
        <x:f>COUNTIFS('Material routes'!$D$6:$D$1005,A169,'Material routes'!$C$6:$C$1005,"Output")</x:f>
        <x:v>0</x:v>
      </x:c>
      <x:c r="AK169" s="4" t="n">
        <x:f>SUM(COUNTIFS('Material routes'!$D$6:$D$1005,A169,'Material routes'!$C$6:$C$1005,"Ingredient candidate"),COUNTIFS('Material routes'!$D$6:$D$1005,A169,'Material routes'!$C$6:$C$1005,"Consumed input"),COUNTIFS('Material routes'!$D$6:$D$1005,A169,'Material routes'!$C$6:$C$1005,"Contained input"),COUNTIFS('Material routes'!$D$6:$D$1005,A169,'Material routes'!$C$6:$C$1005,"Transform input"))</x:f>
        <x:v>0</x:v>
      </x:c>
      <x:c r="AL169" s="4" t="n">
        <x:f>COUNTIFS('Material routes'!$D$6:$D$1005,A169,'Material routes'!$C$6:$C$1005,"Tool candidate")</x:f>
        <x:v>0</x:v>
      </x:c>
      <x:c r="AM169" s="4" t="str">
        <x:f>IF(AJ169&gt;0,"Route listed; review status/completeness",IF(C169="T0","Raw entry feed; no production route","No production route listed"))</x:f>
        <x:v>No production route listed</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unassigned; finished item</x:v>
      </x:c>
      <x:c r="AF170" s="4" t="str">
        <x:v>From current item description. Proposed uses retain their existing approval status.</x:v>
      </x:c>
      <x:c r="AG170" s="4" t="str">
        <x:v>Finished endpoint; material tier is not applicable. Input tiers belong to the chosen recipe.</x:v>
      </x:c>
      <x:c r="AH170" s="4" t="str">
        <x:v>Unassigned</x:v>
      </x:c>
      <x:c r="AI170" s="4" t="str">
        <x:v>Finished item</x:v>
      </x:c>
      <x:c r="AJ170" s="4" t="n">
        <x:f>COUNTIFS('Material routes'!$D$6:$D$1005,A170,'Material routes'!$C$6:$C$1005,"Output")</x:f>
        <x:v>0</x:v>
      </x:c>
      <x:c r="AK170" s="4" t="n">
        <x:f>SUM(COUNTIFS('Material routes'!$D$6:$D$1005,A170,'Material routes'!$C$6:$C$1005,"Ingredient candidate"),COUNTIFS('Material routes'!$D$6:$D$1005,A170,'Material routes'!$C$6:$C$1005,"Consumed input"),COUNTIFS('Material routes'!$D$6:$D$1005,A170,'Material routes'!$C$6:$C$1005,"Contained input"),COUNTIFS('Material routes'!$D$6:$D$1005,A170,'Material routes'!$C$6:$C$1005,"Transform input"))</x:f>
        <x:v>0</x:v>
      </x:c>
      <x:c r="AL170" s="4" t="n">
        <x:f>COUNTIFS('Material routes'!$D$6:$D$1005,A170,'Material routes'!$C$6:$C$1005,"Tool candidate")</x:f>
        <x:v>0</x:v>
      </x:c>
      <x:c r="AM170" s="4" t="str">
        <x:f>IF(AJ170&gt;0,"Route listed; review status/completeness",IF(C170="T0","Raw entry feed; no production route","No production route listed"))</x:f>
        <x:v>No production route listed</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unassigned; finished item</x:v>
      </x:c>
      <x:c r="AF171" s="4" t="str">
        <x:v>From current item description. Proposed uses retain their existing approval status.</x:v>
      </x:c>
      <x:c r="AG171" s="4" t="str">
        <x:v>Finished endpoint; material tier is not applicable. Input tiers belong to the chosen recipe.</x:v>
      </x:c>
      <x:c r="AH171" s="4" t="str">
        <x:v>Unassigned</x:v>
      </x:c>
      <x:c r="AI171" s="4" t="str">
        <x:v>Finished item</x:v>
      </x:c>
      <x:c r="AJ171" s="4" t="n">
        <x:f>COUNTIFS('Material routes'!$D$6:$D$1005,A171,'Material routes'!$C$6:$C$1005,"Output")</x:f>
        <x:v>0</x:v>
      </x:c>
      <x:c r="AK171" s="4" t="n">
        <x:f>SUM(COUNTIFS('Material routes'!$D$6:$D$1005,A171,'Material routes'!$C$6:$C$1005,"Ingredient candidate"),COUNTIFS('Material routes'!$D$6:$D$1005,A171,'Material routes'!$C$6:$C$1005,"Consumed input"),COUNTIFS('Material routes'!$D$6:$D$1005,A171,'Material routes'!$C$6:$C$1005,"Contained input"),COUNTIFS('Material routes'!$D$6:$D$1005,A171,'Material routes'!$C$6:$C$1005,"Transform input"))</x:f>
        <x:v>0</x:v>
      </x:c>
      <x:c r="AL171" s="4" t="n">
        <x:f>COUNTIFS('Material routes'!$D$6:$D$1005,A171,'Material routes'!$C$6:$C$1005,"Tool candidate")</x:f>
        <x:v>0</x:v>
      </x:c>
      <x:c r="AM171" s="4" t="str">
        <x:f>IF(AJ171&gt;0,"Route listed; review status/completeness",IF(C171="T0","Raw entry feed; no production route","No production route listed"))</x:f>
        <x:v>No production route listed</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unassigned; finished item</x:v>
      </x:c>
      <x:c r="AF172" s="4" t="str">
        <x:v>From current item description. Proposed uses retain their existing approval status.</x:v>
      </x:c>
      <x:c r="AG172" s="4" t="str">
        <x:v>Finished endpoint; material tier is not applicable. Input tiers belong to the chosen recipe.</x:v>
      </x:c>
      <x:c r="AH172" s="4" t="str">
        <x:v>Unassigned</x:v>
      </x:c>
      <x:c r="AI172" s="4" t="str">
        <x:v>Finished item</x:v>
      </x:c>
      <x:c r="AJ172" s="4" t="n">
        <x:f>COUNTIFS('Material routes'!$D$6:$D$1005,A172,'Material routes'!$C$6:$C$1005,"Output")</x:f>
        <x:v>0</x:v>
      </x:c>
      <x:c r="AK172" s="4" t="n">
        <x:f>SUM(COUNTIFS('Material routes'!$D$6:$D$1005,A172,'Material routes'!$C$6:$C$1005,"Ingredient candidate"),COUNTIFS('Material routes'!$D$6:$D$1005,A172,'Material routes'!$C$6:$C$1005,"Consumed input"),COUNTIFS('Material routes'!$D$6:$D$1005,A172,'Material routes'!$C$6:$C$1005,"Contained input"),COUNTIFS('Material routes'!$D$6:$D$1005,A172,'Material routes'!$C$6:$C$1005,"Transform input"))</x:f>
        <x:v>0</x:v>
      </x:c>
      <x:c r="AL172" s="4" t="n">
        <x:f>COUNTIFS('Material routes'!$D$6:$D$1005,A172,'Material routes'!$C$6:$C$1005,"Tool candidate")</x:f>
        <x:v>0</x:v>
      </x:c>
      <x:c r="AM172" s="4" t="str">
        <x:f>IF(AJ172&gt;0,"Route listed; review status/completeness",IF(C172="T0","Raw entry feed; no production route","No production route listed"))</x:f>
        <x:v>No production route listed</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unassigned; finished item</x:v>
      </x:c>
      <x:c r="AF173" s="4" t="str">
        <x:v>From current item description. Proposed uses retain their existing approval status.</x:v>
      </x:c>
      <x:c r="AG173" s="4" t="str">
        <x:v>Finished endpoint; material tier is not applicable. Input tiers belong to the chosen recipe.</x:v>
      </x:c>
      <x:c r="AH173" s="4" t="str">
        <x:v>Unassigned</x:v>
      </x:c>
      <x:c r="AI173" s="4" t="str">
        <x:v>Finished item</x:v>
      </x:c>
      <x:c r="AJ173" s="4" t="n">
        <x:f>COUNTIFS('Material routes'!$D$6:$D$1005,A173,'Material routes'!$C$6:$C$1005,"Output")</x:f>
        <x:v>0</x:v>
      </x:c>
      <x:c r="AK173" s="4" t="n">
        <x:f>SUM(COUNTIFS('Material routes'!$D$6:$D$1005,A173,'Material routes'!$C$6:$C$1005,"Ingredient candidate"),COUNTIFS('Material routes'!$D$6:$D$1005,A173,'Material routes'!$C$6:$C$1005,"Consumed input"),COUNTIFS('Material routes'!$D$6:$D$1005,A173,'Material routes'!$C$6:$C$1005,"Contained input"),COUNTIFS('Material routes'!$D$6:$D$1005,A173,'Material routes'!$C$6:$C$1005,"Transform input"))</x:f>
        <x:v>0</x:v>
      </x:c>
      <x:c r="AL173" s="4" t="n">
        <x:f>COUNTIFS('Material routes'!$D$6:$D$1005,A173,'Material routes'!$C$6:$C$1005,"Tool candidate")</x:f>
        <x:v>0</x:v>
      </x:c>
      <x:c r="AM173" s="4" t="str">
        <x:f>IF(AJ173&gt;0,"Route listed; review status/completeness",IF(C173="T0","Raw entry feed; no production route","No production route listed"))</x:f>
        <x:v>No production route listed</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unassigned; finished item</x:v>
      </x:c>
      <x:c r="AF174" s="4" t="str">
        <x:v>From current item description. Proposed uses retain their existing approval status.</x:v>
      </x:c>
      <x:c r="AG174" s="4" t="str">
        <x:v>Finished endpoint; material tier is not applicable. Input tiers belong to the chosen recipe.</x:v>
      </x:c>
      <x:c r="AH174" s="4" t="str">
        <x:v>Unassigned</x:v>
      </x:c>
      <x:c r="AI174" s="4" t="str">
        <x:v>Finished item</x:v>
      </x:c>
      <x:c r="AJ174" s="4" t="n">
        <x:f>COUNTIFS('Material routes'!$D$6:$D$1005,A174,'Material routes'!$C$6:$C$1005,"Output")</x:f>
        <x:v>0</x:v>
      </x:c>
      <x:c r="AK174" s="4" t="n">
        <x:f>SUM(COUNTIFS('Material routes'!$D$6:$D$1005,A174,'Material routes'!$C$6:$C$1005,"Ingredient candidate"),COUNTIFS('Material routes'!$D$6:$D$1005,A174,'Material routes'!$C$6:$C$1005,"Consumed input"),COUNTIFS('Material routes'!$D$6:$D$1005,A174,'Material routes'!$C$6:$C$1005,"Contained input"),COUNTIFS('Material routes'!$D$6:$D$1005,A174,'Material routes'!$C$6:$C$1005,"Transform input"))</x:f>
        <x:v>0</x:v>
      </x:c>
      <x:c r="AL174" s="4" t="n">
        <x:f>COUNTIFS('Material routes'!$D$6:$D$1005,A174,'Material routes'!$C$6:$C$1005,"Tool candidate")</x:f>
        <x:v>0</x:v>
      </x:c>
      <x:c r="AM174" s="4" t="str">
        <x:f>IF(AJ174&gt;0,"Route listed; review status/completeness",IF(C174="T0","Raw entry feed; no production route","No production route listed"))</x:f>
        <x:v>No production route listed</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unassigned; finished item</x:v>
      </x:c>
      <x:c r="AF175" s="4" t="str">
        <x:v>From current item description. Proposed uses retain their existing approval status.</x:v>
      </x:c>
      <x:c r="AG175" s="4" t="str">
        <x:v>Finished endpoint; material tier is not applicable. Input tiers belong to the chosen recipe.</x:v>
      </x:c>
      <x:c r="AH175" s="4" t="str">
        <x:v>Unassigned</x:v>
      </x:c>
      <x:c r="AI175" s="4" t="str">
        <x:v>Finished item</x:v>
      </x:c>
      <x:c r="AJ175" s="4" t="n">
        <x:f>COUNTIFS('Material routes'!$D$6:$D$1005,A175,'Material routes'!$C$6:$C$1005,"Output")</x:f>
        <x:v>0</x:v>
      </x:c>
      <x:c r="AK175" s="4" t="n">
        <x:f>SUM(COUNTIFS('Material routes'!$D$6:$D$1005,A175,'Material routes'!$C$6:$C$1005,"Ingredient candidate"),COUNTIFS('Material routes'!$D$6:$D$1005,A175,'Material routes'!$C$6:$C$1005,"Consumed input"),COUNTIFS('Material routes'!$D$6:$D$1005,A175,'Material routes'!$C$6:$C$1005,"Contained input"),COUNTIFS('Material routes'!$D$6:$D$1005,A175,'Material routes'!$C$6:$C$1005,"Transform input"))</x:f>
        <x:v>0</x:v>
      </x:c>
      <x:c r="AL175" s="4" t="n">
        <x:f>COUNTIFS('Material routes'!$D$6:$D$1005,A175,'Material routes'!$C$6:$C$1005,"Tool candidate")</x:f>
        <x:v>0</x:v>
      </x:c>
      <x:c r="AM175" s="4" t="str">
        <x:f>IF(AJ175&gt;0,"Route listed; review status/completeness",IF(C175="T0","Raw entry feed; no production route","No production route listed"))</x:f>
        <x:v>No production route listed</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unassigned; finished item</x:v>
      </x:c>
      <x:c r="AF176" s="4" t="str">
        <x:v>From current item description. Proposed uses retain their existing approval status.</x:v>
      </x:c>
      <x:c r="AG176" s="4" t="str">
        <x:v>Finished endpoint; material tier is not applicable. Input tiers belong to the chosen recipe.</x:v>
      </x:c>
      <x:c r="AH176" s="4" t="str">
        <x:v>Unassigned</x:v>
      </x:c>
      <x:c r="AI176" s="4" t="str">
        <x:v>Finished item</x:v>
      </x:c>
      <x:c r="AJ176" s="4" t="n">
        <x:f>COUNTIFS('Material routes'!$D$6:$D$1005,A176,'Material routes'!$C$6:$C$1005,"Output")</x:f>
        <x:v>0</x:v>
      </x:c>
      <x:c r="AK176" s="4" t="n">
        <x:f>SUM(COUNTIFS('Material routes'!$D$6:$D$1005,A176,'Material routes'!$C$6:$C$1005,"Ingredient candidate"),COUNTIFS('Material routes'!$D$6:$D$1005,A176,'Material routes'!$C$6:$C$1005,"Consumed input"),COUNTIFS('Material routes'!$D$6:$D$1005,A176,'Material routes'!$C$6:$C$1005,"Contained input"),COUNTIFS('Material routes'!$D$6:$D$1005,A176,'Material routes'!$C$6:$C$1005,"Transform input"))</x:f>
        <x:v>0</x:v>
      </x:c>
      <x:c r="AL176" s="4" t="n">
        <x:f>COUNTIFS('Material routes'!$D$6:$D$1005,A176,'Material routes'!$C$6:$C$1005,"Tool candidate")</x:f>
        <x:v>0</x:v>
      </x:c>
      <x:c r="AM176" s="4" t="str">
        <x:f>IF(AJ176&gt;0,"Route listed; review status/completeness",IF(C176="T0","Raw entry feed; no production route","No production route listed"))</x:f>
        <x:v>No production route listed</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unassigned; finished item</x:v>
      </x:c>
      <x:c r="AF177" s="4" t="str">
        <x:v>From current item description. Proposed uses retain their existing approval status.</x:v>
      </x:c>
      <x:c r="AG177" s="4" t="str">
        <x:v>Finished endpoint; material tier is not applicable. Input tiers belong to the chosen recipe.</x:v>
      </x:c>
      <x:c r="AH177" s="4" t="str">
        <x:v>Unassigned</x:v>
      </x:c>
      <x:c r="AI177" s="4" t="str">
        <x:v>Finished item</x:v>
      </x:c>
      <x:c r="AJ177" s="4" t="n">
        <x:f>COUNTIFS('Material routes'!$D$6:$D$1005,A177,'Material routes'!$C$6:$C$1005,"Output")</x:f>
        <x:v>0</x:v>
      </x:c>
      <x:c r="AK177" s="4" t="n">
        <x:f>SUM(COUNTIFS('Material routes'!$D$6:$D$1005,A177,'Material routes'!$C$6:$C$1005,"Ingredient candidate"),COUNTIFS('Material routes'!$D$6:$D$1005,A177,'Material routes'!$C$6:$C$1005,"Consumed input"),COUNTIFS('Material routes'!$D$6:$D$1005,A177,'Material routes'!$C$6:$C$1005,"Contained input"),COUNTIFS('Material routes'!$D$6:$D$1005,A177,'Material routes'!$C$6:$C$1005,"Transform input"))</x:f>
        <x:v>0</x:v>
      </x:c>
      <x:c r="AL177" s="4" t="n">
        <x:f>COUNTIFS('Material routes'!$D$6:$D$1005,A177,'Material routes'!$C$6:$C$1005,"Tool candidate")</x:f>
        <x:v>0</x:v>
      </x:c>
      <x:c r="AM177" s="4" t="str">
        <x:f>IF(AJ177&gt;0,"Route listed; review status/completeness",IF(C177="T0","Raw entry feed; no production route","No production route listed"))</x:f>
        <x:v>No production route listed</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unassigned; finished item</x:v>
      </x:c>
      <x:c r="AF178" s="4" t="str">
        <x:v>From current item description. Proposed uses retain their existing approval status.</x:v>
      </x:c>
      <x:c r="AG178" s="4" t="str">
        <x:v>Finished endpoint; material tier is not applicable. Input tiers belong to the chosen recipe.</x:v>
      </x:c>
      <x:c r="AH178" s="4" t="str">
        <x:v>Unassigned</x:v>
      </x:c>
      <x:c r="AI178" s="4" t="str">
        <x:v>Finished item</x:v>
      </x:c>
      <x:c r="AJ178" s="4" t="n">
        <x:f>COUNTIFS('Material routes'!$D$6:$D$1005,A178,'Material routes'!$C$6:$C$1005,"Output")</x:f>
        <x:v>0</x:v>
      </x:c>
      <x:c r="AK178" s="4" t="n">
        <x:f>SUM(COUNTIFS('Material routes'!$D$6:$D$1005,A178,'Material routes'!$C$6:$C$1005,"Ingredient candidate"),COUNTIFS('Material routes'!$D$6:$D$1005,A178,'Material routes'!$C$6:$C$1005,"Consumed input"),COUNTIFS('Material routes'!$D$6:$D$1005,A178,'Material routes'!$C$6:$C$1005,"Contained input"),COUNTIFS('Material routes'!$D$6:$D$1005,A178,'Material routes'!$C$6:$C$1005,"Transform input"))</x:f>
        <x:v>0</x:v>
      </x:c>
      <x:c r="AL178" s="4" t="n">
        <x:f>COUNTIFS('Material routes'!$D$6:$D$1005,A178,'Material routes'!$C$6:$C$1005,"Tool candidate")</x:f>
        <x:v>0</x:v>
      </x:c>
      <x:c r="AM178" s="4" t="str">
        <x:f>IF(AJ178&gt;0,"Route listed; review status/completeness",IF(C178="T0","Raw entry feed; no production route","No production route listed"))</x:f>
        <x:v>No production route listed</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unassigned; finished item</x:v>
      </x:c>
      <x:c r="AF179" s="4" t="str">
        <x:v>From current item description. Proposed uses retain their existing approval status.</x:v>
      </x:c>
      <x:c r="AG179" s="4" t="str">
        <x:v>Finished endpoint; material tier is not applicable. Input tiers belong to the chosen recipe.</x:v>
      </x:c>
      <x:c r="AH179" s="4" t="str">
        <x:v>Unassigned</x:v>
      </x:c>
      <x:c r="AI179" s="4" t="str">
        <x:v>Finished item</x:v>
      </x:c>
      <x:c r="AJ179" s="4" t="n">
        <x:f>COUNTIFS('Material routes'!$D$6:$D$1005,A179,'Material routes'!$C$6:$C$1005,"Output")</x:f>
        <x:v>0</x:v>
      </x:c>
      <x:c r="AK179" s="4" t="n">
        <x:f>SUM(COUNTIFS('Material routes'!$D$6:$D$1005,A179,'Material routes'!$C$6:$C$1005,"Ingredient candidate"),COUNTIFS('Material routes'!$D$6:$D$1005,A179,'Material routes'!$C$6:$C$1005,"Consumed input"),COUNTIFS('Material routes'!$D$6:$D$1005,A179,'Material routes'!$C$6:$C$1005,"Contained input"),COUNTIFS('Material routes'!$D$6:$D$1005,A179,'Material routes'!$C$6:$C$1005,"Transform input"))</x:f>
        <x:v>0</x:v>
      </x:c>
      <x:c r="AL179" s="4" t="n">
        <x:f>COUNTIFS('Material routes'!$D$6:$D$1005,A179,'Material routes'!$C$6:$C$1005,"Tool candidate")</x:f>
        <x:v>0</x:v>
      </x:c>
      <x:c r="AM179" s="4" t="str">
        <x:f>IF(AJ179&gt;0,"Route listed; review status/completeness",IF(C179="T0","Raw entry feed; no production route","No production route listed"))</x:f>
        <x:v>No production route listed</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unassigned; finished item</x:v>
      </x:c>
      <x:c r="AF180" s="4" t="str">
        <x:v>From current item description. Proposed uses retain their existing approval status.</x:v>
      </x:c>
      <x:c r="AG180" s="4" t="str">
        <x:v>Finished endpoint; material tier is not applicable. Input tiers belong to the chosen recipe.</x:v>
      </x:c>
      <x:c r="AH180" s="4" t="str">
        <x:v>Unassigned</x:v>
      </x:c>
      <x:c r="AI180" s="4" t="str">
        <x:v>Finished item</x:v>
      </x:c>
      <x:c r="AJ180" s="4" t="n">
        <x:f>COUNTIFS('Material routes'!$D$6:$D$1005,A180,'Material routes'!$C$6:$C$1005,"Output")</x:f>
        <x:v>0</x:v>
      </x:c>
      <x:c r="AK180" s="4" t="n">
        <x:f>SUM(COUNTIFS('Material routes'!$D$6:$D$1005,A180,'Material routes'!$C$6:$C$1005,"Ingredient candidate"),COUNTIFS('Material routes'!$D$6:$D$1005,A180,'Material routes'!$C$6:$C$1005,"Consumed input"),COUNTIFS('Material routes'!$D$6:$D$1005,A180,'Material routes'!$C$6:$C$1005,"Contained input"),COUNTIFS('Material routes'!$D$6:$D$1005,A180,'Material routes'!$C$6:$C$1005,"Transform input"))</x:f>
        <x:v>0</x:v>
      </x:c>
      <x:c r="AL180" s="4" t="n">
        <x:f>COUNTIFS('Material routes'!$D$6:$D$1005,A180,'Material routes'!$C$6:$C$1005,"Tool candidate")</x:f>
        <x:v>0</x:v>
      </x:c>
      <x:c r="AM180" s="4" t="str">
        <x:f>IF(AJ180&gt;0,"Route listed; review status/completeness",IF(C180="T0","Raw entry feed; no production route","No production route listed"))</x:f>
        <x:v>No production route listed</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unassigned; finished item</x:v>
      </x:c>
      <x:c r="AF181" s="4" t="str">
        <x:v>From current item description. Proposed uses retain their existing approval status.</x:v>
      </x:c>
      <x:c r="AG181" s="4" t="str">
        <x:v>Finished endpoint; material tier is not applicable. Input tiers belong to the chosen recipe.</x:v>
      </x:c>
      <x:c r="AH181" s="4" t="str">
        <x:v>Unassigned</x:v>
      </x:c>
      <x:c r="AI181" s="4" t="str">
        <x:v>Finished item</x:v>
      </x:c>
      <x:c r="AJ181" s="4" t="n">
        <x:f>COUNTIFS('Material routes'!$D$6:$D$1005,A181,'Material routes'!$C$6:$C$1005,"Output")</x:f>
        <x:v>0</x:v>
      </x:c>
      <x:c r="AK181" s="4" t="n">
        <x:f>SUM(COUNTIFS('Material routes'!$D$6:$D$1005,A181,'Material routes'!$C$6:$C$1005,"Ingredient candidate"),COUNTIFS('Material routes'!$D$6:$D$1005,A181,'Material routes'!$C$6:$C$1005,"Consumed input"),COUNTIFS('Material routes'!$D$6:$D$1005,A181,'Material routes'!$C$6:$C$1005,"Contained input"),COUNTIFS('Material routes'!$D$6:$D$1005,A181,'Material routes'!$C$6:$C$1005,"Transform input"))</x:f>
        <x:v>0</x:v>
      </x:c>
      <x:c r="AL181" s="4" t="n">
        <x:f>COUNTIFS('Material routes'!$D$6:$D$1005,A181,'Material routes'!$C$6:$C$1005,"Tool candidate")</x:f>
        <x:v>0</x:v>
      </x:c>
      <x:c r="AM181" s="4" t="str">
        <x:f>IF(AJ181&gt;0,"Route listed; review status/completeness",IF(C181="T0","Raw entry feed; no production route","No production route listed"))</x:f>
        <x:v>No production route listed</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Resources</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resources;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x:v>
      </x:c>
      <x:c r="AG182" s="4" t="str">
        <x:v>Proposed game manufacturing tier from the candidate routes. Integrated operations may contain many work steps.</x:v>
      </x:c>
      <x:c r="AH182" s="4" t="str">
        <x:v>Not applicable</x:v>
      </x:c>
      <x:c r="AI182" s="4" t="str">
        <x:v>Material</x:v>
      </x:c>
      <x:c r="AJ182" s="4" t="n">
        <x:f>COUNTIFS('Material routes'!$D$6:$D$1005,A182,'Material routes'!$C$6:$C$1005,"Output")</x:f>
        <x:v>1</x:v>
      </x:c>
      <x:c r="AK182" s="4" t="n">
        <x:f>SUM(COUNTIFS('Material routes'!$D$6:$D$1005,A182,'Material routes'!$C$6:$C$1005,"Ingredient candidate"),COUNTIFS('Material routes'!$D$6:$D$1005,A182,'Material routes'!$C$6:$C$1005,"Consumed input"),COUNTIFS('Material routes'!$D$6:$D$1005,A182,'Material routes'!$C$6:$C$1005,"Contained input"),COUNTIFS('Material routes'!$D$6:$D$1005,A182,'Material routes'!$C$6:$C$1005,"Transform input"))</x:f>
        <x:v>1</x:v>
      </x:c>
      <x:c r="AL182" s="4" t="n">
        <x:f>COUNTIFS('Material routes'!$D$6:$D$1005,A182,'Material routes'!$C$6:$C$1005,"Tool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Resources</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resources;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x:v>
      </x:c>
      <x:c r="AG183" s="4" t="str">
        <x:v>Proposed game manufacturing tier from the candidate routes. Integrated operations may contain many work steps.</x:v>
      </x:c>
      <x:c r="AH183" s="4" t="str">
        <x:v>Not applicable</x:v>
      </x:c>
      <x:c r="AI183" s="4" t="str">
        <x:v>Material</x:v>
      </x:c>
      <x:c r="AJ183" s="4" t="n">
        <x:f>COUNTIFS('Material routes'!$D$6:$D$1005,A183,'Material routes'!$C$6:$C$1005,"Output")</x:f>
        <x:v>1</x:v>
      </x:c>
      <x:c r="AK183" s="4" t="n">
        <x:f>SUM(COUNTIFS('Material routes'!$D$6:$D$1005,A183,'Material routes'!$C$6:$C$1005,"Ingredient candidate"),COUNTIFS('Material routes'!$D$6:$D$1005,A183,'Material routes'!$C$6:$C$1005,"Consumed input"),COUNTIFS('Material routes'!$D$6:$D$1005,A183,'Material routes'!$C$6:$C$1005,"Contained input"),COUNTIFS('Material routes'!$D$6:$D$1005,A183,'Material routes'!$C$6:$C$1005,"Transform input"))</x:f>
        <x:v>2</x:v>
      </x:c>
      <x:c r="AL183" s="4" t="n">
        <x:f>COUNTIFS('Material routes'!$D$6:$D$1005,A183,'Material routes'!$C$6:$C$1005,"Tool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Resources</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resources;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x:v>
      </x:c>
      <x:c r="AG184" s="4" t="str">
        <x:v>Proposed game manufacturing tier from the candidate routes. Integrated operations may contain many work steps.</x:v>
      </x:c>
      <x:c r="AH184" s="4" t="str">
        <x:v>Not applicable</x:v>
      </x:c>
      <x:c r="AI184" s="4" t="str">
        <x:v>Material</x:v>
      </x:c>
      <x:c r="AJ184" s="4" t="n">
        <x:f>COUNTIFS('Material routes'!$D$6:$D$1005,A184,'Material routes'!$C$6:$C$1005,"Output")</x:f>
        <x:v>1</x:v>
      </x:c>
      <x:c r="AK184" s="4" t="n">
        <x:f>SUM(COUNTIFS('Material routes'!$D$6:$D$1005,A184,'Material routes'!$C$6:$C$1005,"Ingredient candidate"),COUNTIFS('Material routes'!$D$6:$D$1005,A184,'Material routes'!$C$6:$C$1005,"Consumed input"),COUNTIFS('Material routes'!$D$6:$D$1005,A184,'Material routes'!$C$6:$C$1005,"Contained input"),COUNTIFS('Material routes'!$D$6:$D$1005,A184,'Material routes'!$C$6:$C$1005,"Transform input"))</x:f>
        <x:v>1</x:v>
      </x:c>
      <x:c r="AL184" s="4" t="n">
        <x:f>COUNTIFS('Material routes'!$D$6:$D$1005,A184,'Material routes'!$C$6:$C$1005,"Tool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05" customHeight="1">
      <x:c r="A185" s="9" t="str">
        <x:v>proposal.ceramic.unfired_blank</x:v>
      </x:c>
      <x:c r="B185" s="9" t="str">
        <x:v>Unfired shaped ceramic blank</x:v>
      </x:c>
      <x:c r="C185" s="4" t="str">
        <x:v>Unassigned</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unassigned; not applicable; component</x:v>
      </x:c>
      <x:c r="AF185" s="4" t="str">
        <x:v>Specific item proposed from author ceramics direction; functional and material limits remain unresolved.</x:v>
      </x:c>
      <x:c r="AG185" s="4" t="str">
        <x:v>Choose a material/part route before assigning a tier. Processing-stage labels alone do not prove chain depth.</x:v>
      </x:c>
      <x:c r="AH185" s="4" t="str">
        <x:v>Not applicable</x:v>
      </x:c>
      <x:c r="AI185" s="4" t="str">
        <x:v>Component</x:v>
      </x:c>
      <x:c r="AJ185" s="4" t="n">
        <x:f>COUNTIFS('Material routes'!$D$6:$D$1005,A185,'Material routes'!$C$6:$C$1005,"Output")</x:f>
        <x:v>0</x:v>
      </x:c>
      <x:c r="AK185" s="4" t="n">
        <x:f>SUM(COUNTIFS('Material routes'!$D$6:$D$1005,A185,'Material routes'!$C$6:$C$1005,"Ingredient candidate"),COUNTIFS('Material routes'!$D$6:$D$1005,A185,'Material routes'!$C$6:$C$1005,"Consumed input"),COUNTIFS('Material routes'!$D$6:$D$1005,A185,'Material routes'!$C$6:$C$1005,"Contained input"),COUNTIFS('Material routes'!$D$6:$D$1005,A185,'Material routes'!$C$6:$C$1005,"Transform input"))</x:f>
        <x:v>0</x:v>
      </x:c>
      <x:c r="AL185" s="4" t="n">
        <x:f>COUNTIFS('Material routes'!$D$6:$D$1005,A185,'Material routes'!$C$6:$C$1005,"Tool candidate")</x:f>
        <x:v>0</x:v>
      </x:c>
      <x:c r="AM185" s="4" t="str">
        <x:f>IF(AJ185&gt;0,"Route listed; review status/completeness",IF(C185="T0","Raw entry feed; no production route","No production route listed"))</x:f>
        <x:v>No production route listed</x:v>
      </x:c>
      <x:c r="AN185" s="14" t="n">
        <x:f>IF(C185="T0",0,IF(C185="T1",1,IF(C185="T2",2,IF(C185="T3",3,IF(C185="T4",4,IF(C185="Unassigned",98,99))))))</x:f>
        <x:v>98</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unassigned;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Unassigned</x:v>
      </x:c>
      <x:c r="AI186" s="4" t="str">
        <x:v>Finished item</x:v>
      </x:c>
      <x:c r="AJ186" s="4" t="n">
        <x:f>COUNTIFS('Material routes'!$D$6:$D$1005,A186,'Material routes'!$C$6:$C$1005,"Output")</x:f>
        <x:v>1</x:v>
      </x:c>
      <x:c r="AK186" s="4" t="n">
        <x:f>SUM(COUNTIFS('Material routes'!$D$6:$D$1005,A186,'Material routes'!$C$6:$C$1005,"Ingredient candidate"),COUNTIFS('Material routes'!$D$6:$D$1005,A186,'Material routes'!$C$6:$C$1005,"Consumed input"),COUNTIFS('Material routes'!$D$6:$D$1005,A186,'Material routes'!$C$6:$C$1005,"Contained input"),COUNTIFS('Material routes'!$D$6:$D$1005,A186,'Material routes'!$C$6:$C$1005,"Transform input"))</x:f>
        <x:v>0</x:v>
      </x:c>
      <x:c r="AL186" s="4" t="n">
        <x:f>COUNTIFS('Material routes'!$D$6:$D$1005,A186,'Material routes'!$C$6:$C$1005,"Tool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unassigned;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Unassigned</x:v>
      </x:c>
      <x:c r="AI187" s="4" t="str">
        <x:v>Finished item</x:v>
      </x:c>
      <x:c r="AJ187" s="4" t="n">
        <x:f>COUNTIFS('Material routes'!$D$6:$D$1005,A187,'Material routes'!$C$6:$C$1005,"Output")</x:f>
        <x:v>0</x:v>
      </x:c>
      <x:c r="AK187" s="4" t="n">
        <x:f>SUM(COUNTIFS('Material routes'!$D$6:$D$1005,A187,'Material routes'!$C$6:$C$1005,"Ingredient candidate"),COUNTIFS('Material routes'!$D$6:$D$1005,A187,'Material routes'!$C$6:$C$1005,"Consumed input"),COUNTIFS('Material routes'!$D$6:$D$1005,A187,'Material routes'!$C$6:$C$1005,"Contained input"),COUNTIFS('Material routes'!$D$6:$D$1005,A187,'Material routes'!$C$6:$C$1005,"Transform input"))</x:f>
        <x:v>0</x:v>
      </x:c>
      <x:c r="AL187" s="4" t="n">
        <x:f>COUNTIFS('Material routes'!$D$6:$D$1005,A187,'Material routes'!$C$6:$C$1005,"Tool candidate")</x:f>
        <x:v>0</x:v>
      </x:c>
      <x:c r="AM187" s="4" t="str">
        <x:f>IF(AJ187&gt;0,"Route listed; review status/completeness",IF(C187="T0","Raw entry feed; no production route","No production route listed"))</x:f>
        <x:v>No production route listed</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unassigned;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Unassigned</x:v>
      </x:c>
      <x:c r="AI188" s="4" t="str">
        <x:v>Finished item</x:v>
      </x:c>
      <x:c r="AJ188" s="4" t="n">
        <x:f>COUNTIFS('Material routes'!$D$6:$D$1005,A188,'Material routes'!$C$6:$C$1005,"Output")</x:f>
        <x:v>0</x:v>
      </x:c>
      <x:c r="AK188" s="4" t="n">
        <x:f>SUM(COUNTIFS('Material routes'!$D$6:$D$1005,A188,'Material routes'!$C$6:$C$1005,"Ingredient candidate"),COUNTIFS('Material routes'!$D$6:$D$1005,A188,'Material routes'!$C$6:$C$1005,"Consumed input"),COUNTIFS('Material routes'!$D$6:$D$1005,A188,'Material routes'!$C$6:$C$1005,"Contained input"),COUNTIFS('Material routes'!$D$6:$D$1005,A188,'Material routes'!$C$6:$C$1005,"Transform input"))</x:f>
        <x:v>0</x:v>
      </x:c>
      <x:c r="AL188" s="4" t="n">
        <x:f>COUNTIFS('Material routes'!$D$6:$D$1005,A188,'Material routes'!$C$6:$C$1005,"Tool candidate")</x:f>
        <x:v>0</x:v>
      </x:c>
      <x:c r="AM188" s="4" t="str">
        <x:f>IF(AJ188&gt;0,"Route listed; review status/completeness",IF(C188="T0","Raw entry feed; no production route","No production route listed"))</x:f>
        <x:v>No production route listed</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unassigned;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Unassigned</x:v>
      </x:c>
      <x:c r="AI189" s="4" t="str">
        <x:v>Finished item</x:v>
      </x:c>
      <x:c r="AJ189" s="4" t="n">
        <x:f>COUNTIFS('Material routes'!$D$6:$D$1005,A189,'Material routes'!$C$6:$C$1005,"Output")</x:f>
        <x:v>0</x:v>
      </x:c>
      <x:c r="AK189" s="4" t="n">
        <x:f>SUM(COUNTIFS('Material routes'!$D$6:$D$1005,A189,'Material routes'!$C$6:$C$1005,"Ingredient candidate"),COUNTIFS('Material routes'!$D$6:$D$1005,A189,'Material routes'!$C$6:$C$1005,"Consumed input"),COUNTIFS('Material routes'!$D$6:$D$1005,A189,'Material routes'!$C$6:$C$1005,"Contained input"),COUNTIFS('Material routes'!$D$6:$D$1005,A189,'Material routes'!$C$6:$C$1005,"Transform input"))</x:f>
        <x:v>0</x:v>
      </x:c>
      <x:c r="AL189" s="4" t="n">
        <x:f>COUNTIFS('Material routes'!$D$6:$D$1005,A189,'Material routes'!$C$6:$C$1005,"Tool candidate")</x:f>
        <x:v>0</x:v>
      </x:c>
      <x:c r="AM189" s="4" t="str">
        <x:f>IF(AJ189&gt;0,"Route listed; review status/completeness",IF(C189="T0","Raw entry feed; no production route","No production route listed"))</x:f>
        <x:v>No production route listed</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str">
        <x:v>Equipment</x:v>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equipment; ceramic workshop; tool; finished item; manufactured / unresolved; metal refining; ceramic; solid part; proposal; glass and ceramics; pottery; not applicable; unassigned; finished item</x:v>
      </x:c>
      <x:c r="AF190" s="4" t="str">
        <x:v>Specific item proposed from author ceramics direction; functional and material limits remain unresolved.</x:v>
      </x:c>
      <x:c r="AG190" s="4" t="str">
        <x:v>Finished endpoint; material tier is not applicable. Input tiers belong to the chosen recipe.</x:v>
      </x:c>
      <x:c r="AH190" s="4" t="str">
        <x:v>Unassigned</x:v>
      </x:c>
      <x:c r="AI190" s="4" t="str">
        <x:v>Finished item</x:v>
      </x:c>
      <x:c r="AJ190" s="4" t="n">
        <x:f>COUNTIFS('Material routes'!$D$6:$D$1005,A190,'Material routes'!$C$6:$C$1005,"Output")</x:f>
        <x:v>1</x:v>
      </x:c>
      <x:c r="AK190" s="4" t="n">
        <x:f>SUM(COUNTIFS('Material routes'!$D$6:$D$1005,A190,'Material routes'!$C$6:$C$1005,"Ingredient candidate"),COUNTIFS('Material routes'!$D$6:$D$1005,A190,'Material routes'!$C$6:$C$1005,"Consumed input"),COUNTIFS('Material routes'!$D$6:$D$1005,A190,'Material routes'!$C$6:$C$1005,"Contained input"),COUNTIFS('Material routes'!$D$6:$D$1005,A190,'Material routes'!$C$6:$C$1005,"Transform input"))</x:f>
        <x:v>0</x:v>
      </x:c>
      <x:c r="AL190" s="4" t="n">
        <x:f>COUNTIFS('Material routes'!$D$6:$D$1005,A190,'Material routes'!$C$6:$C$1005,"Tool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str">
        <x:v>Equipment</x:v>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equipment; ceramic workshop; tool; finished item; manufactured / unresolved; fabrication; ceramic; solid part; proposal; metal refining; pottery; not applicable; unassigned; finished item</x:v>
      </x:c>
      <x:c r="AF191" s="4" t="str">
        <x:v>Specific item proposed from author ceramics direction; functional and material limits remain unresolved.</x:v>
      </x:c>
      <x:c r="AG191" s="4" t="str">
        <x:v>Finished endpoint; material tier is not applicable. Input tiers belong to the chosen recipe.</x:v>
      </x:c>
      <x:c r="AH191" s="4" t="str">
        <x:v>Unassigned</x:v>
      </x:c>
      <x:c r="AI191" s="4" t="str">
        <x:v>Finished item</x:v>
      </x:c>
      <x:c r="AJ191" s="4" t="n">
        <x:f>COUNTIFS('Material routes'!$D$6:$D$1005,A191,'Material routes'!$C$6:$C$1005,"Output")</x:f>
        <x:v>0</x:v>
      </x:c>
      <x:c r="AK191" s="4" t="n">
        <x:f>SUM(COUNTIFS('Material routes'!$D$6:$D$1005,A191,'Material routes'!$C$6:$C$1005,"Ingredient candidate"),COUNTIFS('Material routes'!$D$6:$D$1005,A191,'Material routes'!$C$6:$C$1005,"Consumed input"),COUNTIFS('Material routes'!$D$6:$D$1005,A191,'Material routes'!$C$6:$C$1005,"Contained input"),COUNTIFS('Material routes'!$D$6:$D$1005,A191,'Material routes'!$C$6:$C$1005,"Transform input"))</x:f>
        <x:v>0</x:v>
      </x:c>
      <x:c r="AL191" s="4" t="n">
        <x:f>COUNTIFS('Material routes'!$D$6:$D$1005,A191,'Material routes'!$C$6:$C$1005,"Tool candidate")</x:f>
        <x:v>0</x:v>
      </x:c>
      <x:c r="AM191" s="4" t="str">
        <x:f>IF(AJ191&gt;0,"Route listed; review status/completeness",IF(C191="T0","Raw entry feed; no production route","No production route listed"))</x:f>
        <x:v>No production route listed</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str">
        <x:v>Equipment</x:v>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equipment; ceramic workshop; tool; finished item; manufactured / unresolved; chemical processing; ceramic; solid part; proposal; glass and ceramics; pottery; not applicable; unassigned; finished item</x:v>
      </x:c>
      <x:c r="AF192" s="4" t="str">
        <x:v>Specific item proposed from author ceramics direction; functional and material limits remain unresolved.</x:v>
      </x:c>
      <x:c r="AG192" s="4" t="str">
        <x:v>Finished endpoint; material tier is not applicable. Input tiers belong to the chosen recipe.</x:v>
      </x:c>
      <x:c r="AH192" s="4" t="str">
        <x:v>Unassigned</x:v>
      </x:c>
      <x:c r="AI192" s="4" t="str">
        <x:v>Finished item</x:v>
      </x:c>
      <x:c r="AJ192" s="4" t="n">
        <x:f>COUNTIFS('Material routes'!$D$6:$D$1005,A192,'Material routes'!$C$6:$C$1005,"Output")</x:f>
        <x:v>0</x:v>
      </x:c>
      <x:c r="AK192" s="4" t="n">
        <x:f>SUM(COUNTIFS('Material routes'!$D$6:$D$1005,A192,'Material routes'!$C$6:$C$1005,"Ingredient candidate"),COUNTIFS('Material routes'!$D$6:$D$1005,A192,'Material routes'!$C$6:$C$1005,"Consumed input"),COUNTIFS('Material routes'!$D$6:$D$1005,A192,'Material routes'!$C$6:$C$1005,"Contained input"),COUNTIFS('Material routes'!$D$6:$D$1005,A192,'Material routes'!$C$6:$C$1005,"Transform input"))</x:f>
        <x:v>0</x:v>
      </x:c>
      <x:c r="AL192" s="4" t="n">
        <x:f>COUNTIFS('Material routes'!$D$6:$D$1005,A192,'Material routes'!$C$6:$C$1005,"Tool candidate")</x:f>
        <x:v>0</x:v>
      </x:c>
      <x:c r="AM192" s="4" t="str">
        <x:f>IF(AJ192&gt;0,"Route listed; review status/completeness",IF(C192="T0","Raw entry feed; no production route","No production route listed"))</x:f>
        <x:v>No production route listed</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str">
        <x:v>Equipment</x:v>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equipment; ceramic workshop; tool; finished item; manufactured / unresolved; chemical processing; ceramic; solid part; proposal; glass and ceramics; pottery; not applicable; unassigned; finished item</x:v>
      </x:c>
      <x:c r="AF193" s="4" t="str">
        <x:v>Specific item proposed from author ceramics direction; functional and material limits remain unresolved.</x:v>
      </x:c>
      <x:c r="AG193" s="4" t="str">
        <x:v>Finished endpoint; material tier is not applicable. Input tiers belong to the chosen recipe.</x:v>
      </x:c>
      <x:c r="AH193" s="4" t="str">
        <x:v>Unassigned</x:v>
      </x:c>
      <x:c r="AI193" s="4" t="str">
        <x:v>Finished item</x:v>
      </x:c>
      <x:c r="AJ193" s="4" t="n">
        <x:f>COUNTIFS('Material routes'!$D$6:$D$1005,A193,'Material routes'!$C$6:$C$1005,"Output")</x:f>
        <x:v>0</x:v>
      </x:c>
      <x:c r="AK193" s="4" t="n">
        <x:f>SUM(COUNTIFS('Material routes'!$D$6:$D$1005,A193,'Material routes'!$C$6:$C$1005,"Ingredient candidate"),COUNTIFS('Material routes'!$D$6:$D$1005,A193,'Material routes'!$C$6:$C$1005,"Consumed input"),COUNTIFS('Material routes'!$D$6:$D$1005,A193,'Material routes'!$C$6:$C$1005,"Contained input"),COUNTIFS('Material routes'!$D$6:$D$1005,A193,'Material routes'!$C$6:$C$1005,"Transform input"))</x:f>
        <x:v>0</x:v>
      </x:c>
      <x:c r="AL193" s="4" t="n">
        <x:f>COUNTIFS('Material routes'!$D$6:$D$1005,A193,'Material routes'!$C$6:$C$1005,"Tool candidate")</x:f>
        <x:v>0</x:v>
      </x:c>
      <x:c r="AM193" s="4" t="str">
        <x:f>IF(AJ193&gt;0,"Route listed; review status/completeness",IF(C193="T0","Raw entry feed; no production route","No production route listed"))</x:f>
        <x:v>No production route listed</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str">
        <x:v>Equipment</x:v>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equipment; ceramic workshop; tool; finished item; manufactured / unresolved; glass and ceramics; ceramic; panel; proposal; pottery; not applicable; unassigned; finished item</x:v>
      </x:c>
      <x:c r="AF194" s="4" t="str">
        <x:v>Specific item proposed from author ceramics direction; functional and material limits remain unresolved.</x:v>
      </x:c>
      <x:c r="AG194" s="4" t="str">
        <x:v>Finished endpoint; material tier is not applicable. Input tiers belong to the chosen recipe.</x:v>
      </x:c>
      <x:c r="AH194" s="4" t="str">
        <x:v>Unassigned</x:v>
      </x:c>
      <x:c r="AI194" s="4" t="str">
        <x:v>Finished item</x:v>
      </x:c>
      <x:c r="AJ194" s="4" t="n">
        <x:f>COUNTIFS('Material routes'!$D$6:$D$1005,A194,'Material routes'!$C$6:$C$1005,"Output")</x:f>
        <x:v>0</x:v>
      </x:c>
      <x:c r="AK194" s="4" t="n">
        <x:f>SUM(COUNTIFS('Material routes'!$D$6:$D$1005,A194,'Material routes'!$C$6:$C$1005,"Ingredient candidate"),COUNTIFS('Material routes'!$D$6:$D$1005,A194,'Material routes'!$C$6:$C$1005,"Consumed input"),COUNTIFS('Material routes'!$D$6:$D$1005,A194,'Material routes'!$C$6:$C$1005,"Contained input"),COUNTIFS('Material routes'!$D$6:$D$1005,A194,'Material routes'!$C$6:$C$1005,"Transform input"))</x:f>
        <x:v>0</x:v>
      </x:c>
      <x:c r="AL194" s="4" t="n">
        <x:f>COUNTIFS('Material routes'!$D$6:$D$1005,A194,'Material routes'!$C$6:$C$1005,"Tool candidate")</x:f>
        <x:v>0</x:v>
      </x:c>
      <x:c r="AM194" s="4" t="str">
        <x:f>IF(AJ194&gt;0,"Route listed; review status/completeness",IF(C194="T0","Raw entry feed; no production route","No production route listed"))</x:f>
        <x:v>No production route listed</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05" customHeight="1">
      <x:c r="A195" s="9" t="str">
        <x:v>proposal.ceramic.refractory_brick</x:v>
      </x:c>
      <x:c r="B195" s="9" t="str">
        <x:v>Refractory ceramic brick</x:v>
      </x:c>
      <x:c r="C195" s="4" t="str">
        <x:v>Unassigned</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unassigned; not applicable; component</x:v>
      </x:c>
      <x:c r="AF195" s="4" t="str">
        <x:v>Specific item proposed from author ceramics direction; functional and material limits remain unresolved.</x:v>
      </x:c>
      <x:c r="AG195" s="4" t="str">
        <x:v>Choose a material/part route before assigning a tier. Processing-stage labels alone do not prove chain depth.</x:v>
      </x:c>
      <x:c r="AH195" s="4" t="str">
        <x:v>Not applicable</x:v>
      </x:c>
      <x:c r="AI195" s="4" t="str">
        <x:v>Component</x:v>
      </x:c>
      <x:c r="AJ195" s="4" t="n">
        <x:f>COUNTIFS('Material routes'!$D$6:$D$1005,A195,'Material routes'!$C$6:$C$1005,"Output")</x:f>
        <x:v>0</x:v>
      </x:c>
      <x:c r="AK195" s="4" t="n">
        <x:f>SUM(COUNTIFS('Material routes'!$D$6:$D$1005,A195,'Material routes'!$C$6:$C$1005,"Ingredient candidate"),COUNTIFS('Material routes'!$D$6:$D$1005,A195,'Material routes'!$C$6:$C$1005,"Consumed input"),COUNTIFS('Material routes'!$D$6:$D$1005,A195,'Material routes'!$C$6:$C$1005,"Contained input"),COUNTIFS('Material routes'!$D$6:$D$1005,A195,'Material routes'!$C$6:$C$1005,"Transform input"))</x:f>
        <x:v>0</x:v>
      </x:c>
      <x:c r="AL195" s="4" t="n">
        <x:f>COUNTIFS('Material routes'!$D$6:$D$1005,A195,'Material routes'!$C$6:$C$1005,"Tool candidate")</x:f>
        <x:v>0</x:v>
      </x:c>
      <x:c r="AM195" s="4" t="str">
        <x:f>IF(AJ195&gt;0,"Route listed; review status/completeness",IF(C195="T0","Raw entry feed; no production route","No production route listed"))</x:f>
        <x:v>No production route listed</x:v>
      </x:c>
      <x:c r="AN195" s="14" t="n">
        <x:f>IF(C195="T0",0,IF(C195="T1",1,IF(C195="T2",2,IF(C195="T3",3,IF(C195="T4",4,IF(C195="Unassigned",98,99))))))</x:f>
        <x:v>98</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05" customHeight="1">
      <x:c r="A196" s="9" t="str">
        <x:v>proposal.ceramic.kiln_liner</x:v>
      </x:c>
      <x:c r="B196" s="9" t="str">
        <x:v>Ceramic kiln lining panel</x:v>
      </x:c>
      <x:c r="C196" s="4" t="str">
        <x:v>Unassigned</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unassigned; not applicable; component</x:v>
      </x:c>
      <x:c r="AF196" s="4" t="str">
        <x:v>Specific item proposed from author ceramics direction; functional and material limits remain unresolved.</x:v>
      </x:c>
      <x:c r="AG196" s="4" t="str">
        <x:v>Choose a material/part route before assigning a tier. Processing-stage labels alone do not prove chain depth.</x:v>
      </x:c>
      <x:c r="AH196" s="4" t="str">
        <x:v>Not applicable</x:v>
      </x:c>
      <x:c r="AI196" s="4" t="str">
        <x:v>Component</x:v>
      </x:c>
      <x:c r="AJ196" s="4" t="n">
        <x:f>COUNTIFS('Material routes'!$D$6:$D$1005,A196,'Material routes'!$C$6:$C$1005,"Output")</x:f>
        <x:v>0</x:v>
      </x:c>
      <x:c r="AK196" s="4" t="n">
        <x:f>SUM(COUNTIFS('Material routes'!$D$6:$D$1005,A196,'Material routes'!$C$6:$C$1005,"Ingredient candidate"),COUNTIFS('Material routes'!$D$6:$D$1005,A196,'Material routes'!$C$6:$C$1005,"Consumed input"),COUNTIFS('Material routes'!$D$6:$D$1005,A196,'Material routes'!$C$6:$C$1005,"Contained input"),COUNTIFS('Material routes'!$D$6:$D$1005,A196,'Material routes'!$C$6:$C$1005,"Transform input"))</x:f>
        <x:v>0</x:v>
      </x:c>
      <x:c r="AL196" s="4" t="n">
        <x:f>COUNTIFS('Material routes'!$D$6:$D$1005,A196,'Material routes'!$C$6:$C$1005,"Tool candidate")</x:f>
        <x:v>0</x:v>
      </x:c>
      <x:c r="AM196" s="4" t="str">
        <x:f>IF(AJ196&gt;0,"Route listed; review status/completeness",IF(C196="T0","Raw entry feed; no production route","No production route listed"))</x:f>
        <x:v>No production route listed</x:v>
      </x:c>
      <x:c r="AN196" s="14" t="n">
        <x:f>IF(C196="T0",0,IF(C196="T1",1,IF(C196="T2",2,IF(C196="T3",3,IF(C196="T4",4,IF(C196="Unassigned",98,99))))))</x:f>
        <x:v>98</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05" customHeight="1">
      <x:c r="A197" s="9" t="str">
        <x:v>proposal.ceramic.bead</x:v>
      </x:c>
      <x:c r="B197" s="9" t="str">
        <x:v>Ceramic insulating bead</x:v>
      </x:c>
      <x:c r="C197" s="4" t="str">
        <x:v>Unassigned</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unassigned; not applicable; component</x:v>
      </x:c>
      <x:c r="AF197" s="4" t="str">
        <x:v>Specific item proposed from author ceramics direction; functional and material limits remain unresolved.</x:v>
      </x:c>
      <x:c r="AG197" s="4" t="str">
        <x:v>Choose a material/part route before assigning a tier. Processing-stage labels alone do not prove chain depth.</x:v>
      </x:c>
      <x:c r="AH197" s="4" t="str">
        <x:v>Not applicable</x:v>
      </x:c>
      <x:c r="AI197" s="4" t="str">
        <x:v>Component</x:v>
      </x:c>
      <x:c r="AJ197" s="4" t="n">
        <x:f>COUNTIFS('Material routes'!$D$6:$D$1005,A197,'Material routes'!$C$6:$C$1005,"Output")</x:f>
        <x:v>0</x:v>
      </x:c>
      <x:c r="AK197" s="4" t="n">
        <x:f>SUM(COUNTIFS('Material routes'!$D$6:$D$1005,A197,'Material routes'!$C$6:$C$1005,"Ingredient candidate"),COUNTIFS('Material routes'!$D$6:$D$1005,A197,'Material routes'!$C$6:$C$1005,"Consumed input"),COUNTIFS('Material routes'!$D$6:$D$1005,A197,'Material routes'!$C$6:$C$1005,"Contained input"),COUNTIFS('Material routes'!$D$6:$D$1005,A197,'Material routes'!$C$6:$C$1005,"Transform input"))</x:f>
        <x:v>0</x:v>
      </x:c>
      <x:c r="AL197" s="4" t="n">
        <x:f>COUNTIFS('Material routes'!$D$6:$D$1005,A197,'Material routes'!$C$6:$C$1005,"Tool candidate")</x:f>
        <x:v>0</x:v>
      </x:c>
      <x:c r="AM197" s="4" t="str">
        <x:f>IF(AJ197&gt;0,"Route listed; review status/completeness",IF(C197="T0","Raw entry feed; no production route","No production route listed"))</x:f>
        <x:v>No production route listed</x:v>
      </x:c>
      <x:c r="AN197" s="14" t="n">
        <x:f>IF(C197="T0",0,IF(C197="T1",1,IF(C197="T2",2,IF(C197="T3",3,IF(C197="T4",4,IF(C197="Unassigned",98,99))))))</x:f>
        <x:v>98</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05" customHeight="1">
      <x:c r="A198" s="9" t="str">
        <x:v>proposal.ceramic.spacer</x:v>
      </x:c>
      <x:c r="B198" s="9" t="str">
        <x:v>Ceramic insulating spacer</x:v>
      </x:c>
      <x:c r="C198" s="4" t="str">
        <x:v>Unassigned</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unassigned; not applicable; component</x:v>
      </x:c>
      <x:c r="AF198" s="4" t="str">
        <x:v>Specific item proposed from author ceramics direction; functional and material limits remain unresolved.</x:v>
      </x:c>
      <x:c r="AG198" s="4" t="str">
        <x:v>Choose a material/part route before assigning a tier. Processing-stage labels alone do not prove chain depth.</x:v>
      </x:c>
      <x:c r="AH198" s="4" t="str">
        <x:v>Not applicable</x:v>
      </x:c>
      <x:c r="AI198" s="4" t="str">
        <x:v>Component</x:v>
      </x:c>
      <x:c r="AJ198" s="4" t="n">
        <x:f>COUNTIFS('Material routes'!$D$6:$D$1005,A198,'Material routes'!$C$6:$C$1005,"Output")</x:f>
        <x:v>0</x:v>
      </x:c>
      <x:c r="AK198" s="4" t="n">
        <x:f>SUM(COUNTIFS('Material routes'!$D$6:$D$1005,A198,'Material routes'!$C$6:$C$1005,"Ingredient candidate"),COUNTIFS('Material routes'!$D$6:$D$1005,A198,'Material routes'!$C$6:$C$1005,"Consumed input"),COUNTIFS('Material routes'!$D$6:$D$1005,A198,'Material routes'!$C$6:$C$1005,"Contained input"),COUNTIFS('Material routes'!$D$6:$D$1005,A198,'Material routes'!$C$6:$C$1005,"Transform input"))</x:f>
        <x:v>0</x:v>
      </x:c>
      <x:c r="AL198" s="4" t="n">
        <x:f>COUNTIFS('Material routes'!$D$6:$D$1005,A198,'Material routes'!$C$6:$C$1005,"Tool candidate")</x:f>
        <x:v>0</x:v>
      </x:c>
      <x:c r="AM198" s="4" t="str">
        <x:f>IF(AJ198&gt;0,"Route listed; review status/completeness",IF(C198="T0","Raw entry feed; no production route","No production route listed"))</x:f>
        <x:v>No production route listed</x:v>
      </x:c>
      <x:c r="AN198" s="14" t="n">
        <x:f>IF(C198="T0",0,IF(C198="T1",1,IF(C198="T2",2,IF(C198="T3",3,IF(C198="T4",4,IF(C198="Unassigned",98,99))))))</x:f>
        <x:v>98</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05" customHeight="1">
      <x:c r="A199" s="9" t="str">
        <x:v>proposal.ceramic.feedthrough</x:v>
      </x:c>
      <x:c r="B199" s="9" t="str">
        <x:v>Ceramic electrical feedthrough</x:v>
      </x:c>
      <x:c r="C199" s="4" t="str">
        <x:v>Unassigned</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unassigned; not applicable; component</x:v>
      </x:c>
      <x:c r="AF199" s="4" t="str">
        <x:v>Specific item proposed from author ceramics direction; functional and material limits remain unresolved.</x:v>
      </x:c>
      <x:c r="AG199" s="4" t="str">
        <x:v>Choose a material/part route before assigning a tier. Processing-stage labels alone do not prove chain depth.</x:v>
      </x:c>
      <x:c r="AH199" s="4" t="str">
        <x:v>Not applicable</x:v>
      </x:c>
      <x:c r="AI199" s="4" t="str">
        <x:v>Component</x:v>
      </x:c>
      <x:c r="AJ199" s="4" t="n">
        <x:f>COUNTIFS('Material routes'!$D$6:$D$1005,A199,'Material routes'!$C$6:$C$1005,"Output")</x:f>
        <x:v>0</x:v>
      </x:c>
      <x:c r="AK199" s="4" t="n">
        <x:f>SUM(COUNTIFS('Material routes'!$D$6:$D$1005,A199,'Material routes'!$C$6:$C$1005,"Ingredient candidate"),COUNTIFS('Material routes'!$D$6:$D$1005,A199,'Material routes'!$C$6:$C$1005,"Consumed input"),COUNTIFS('Material routes'!$D$6:$D$1005,A199,'Material routes'!$C$6:$C$1005,"Contained input"),COUNTIFS('Material routes'!$D$6:$D$1005,A199,'Material routes'!$C$6:$C$1005,"Transform input"))</x:f>
        <x:v>0</x:v>
      </x:c>
      <x:c r="AL199" s="4" t="n">
        <x:f>COUNTIFS('Material routes'!$D$6:$D$1005,A199,'Material routes'!$C$6:$C$1005,"Tool candidate")</x:f>
        <x:v>0</x:v>
      </x:c>
      <x:c r="AM199" s="4" t="str">
        <x:f>IF(AJ199&gt;0,"Route listed; review status/completeness",IF(C199="T0","Raw entry feed; no production route","No production route listed"))</x:f>
        <x:v>No production route listed</x:v>
      </x:c>
      <x:c r="AN199" s="14" t="n">
        <x:f>IF(C199="T0",0,IF(C199="T1",1,IF(C199="T2",2,IF(C199="T3",3,IF(C199="T4",4,IF(C199="Unassigned",98,99))))))</x:f>
        <x:v>98</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05" customHeight="1">
      <x:c r="A200" s="9" t="str">
        <x:v>proposal.ceramic.stopper</x:v>
      </x:c>
      <x:c r="B200" s="9" t="str">
        <x:v>Fitted ceramic stopper</x:v>
      </x:c>
      <x:c r="C200" s="4" t="str">
        <x:v>Unassigned</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unassigned; not applicable; component</x:v>
      </x:c>
      <x:c r="AF200" s="4" t="str">
        <x:v>Specific item proposed from author ceramics direction; functional and material limits remain unresolved.</x:v>
      </x:c>
      <x:c r="AG200" s="4" t="str">
        <x:v>Choose a material/part route before assigning a tier. Processing-stage labels alone do not prove chain depth.</x:v>
      </x:c>
      <x:c r="AH200" s="4" t="str">
        <x:v>Not applicable</x:v>
      </x:c>
      <x:c r="AI200" s="4" t="str">
        <x:v>Component</x:v>
      </x:c>
      <x:c r="AJ200" s="4" t="n">
        <x:f>COUNTIFS('Material routes'!$D$6:$D$1005,A200,'Material routes'!$C$6:$C$1005,"Output")</x:f>
        <x:v>0</x:v>
      </x:c>
      <x:c r="AK200" s="4" t="n">
        <x:f>SUM(COUNTIFS('Material routes'!$D$6:$D$1005,A200,'Material routes'!$C$6:$C$1005,"Ingredient candidate"),COUNTIFS('Material routes'!$D$6:$D$1005,A200,'Material routes'!$C$6:$C$1005,"Consumed input"),COUNTIFS('Material routes'!$D$6:$D$1005,A200,'Material routes'!$C$6:$C$1005,"Contained input"),COUNTIFS('Material routes'!$D$6:$D$1005,A200,'Material routes'!$C$6:$C$1005,"Transform input"))</x:f>
        <x:v>0</x:v>
      </x:c>
      <x:c r="AL200" s="4" t="n">
        <x:f>COUNTIFS('Material routes'!$D$6:$D$1005,A200,'Material routes'!$C$6:$C$1005,"Tool candidate")</x:f>
        <x:v>0</x:v>
      </x:c>
      <x:c r="AM200" s="4" t="str">
        <x:f>IF(AJ200&gt;0,"Route listed; review status/completeness",IF(C200="T0","Raw entry feed; no production route","No production route listed"))</x:f>
        <x:v>No production route listed</x:v>
      </x:c>
      <x:c r="AN200" s="14" t="n">
        <x:f>IF(C200="T0",0,IF(C200="T1",1,IF(C200="T2",2,IF(C200="T3",3,IF(C200="T4",4,IF(C200="Unassigned",98,99))))))</x:f>
        <x:v>98</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05" customHeight="1">
      <x:c r="A201" s="9" t="str">
        <x:v>proposal.ceramic.lid</x:v>
      </x:c>
      <x:c r="B201" s="9" t="str">
        <x:v>Ceramic vessel lid</x:v>
      </x:c>
      <x:c r="C201" s="4" t="str">
        <x:v>Unassigned</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unassigned; not applicable; component</x:v>
      </x:c>
      <x:c r="AF201" s="4" t="str">
        <x:v>Specific item proposed from author ceramics direction; functional and material limits remain unresolved.</x:v>
      </x:c>
      <x:c r="AG201" s="4" t="str">
        <x:v>Choose a material/part route before assigning a tier. Processing-stage labels alone do not prove chain depth.</x:v>
      </x:c>
      <x:c r="AH201" s="4" t="str">
        <x:v>Not applicable</x:v>
      </x:c>
      <x:c r="AI201" s="4" t="str">
        <x:v>Component</x:v>
      </x:c>
      <x:c r="AJ201" s="4" t="n">
        <x:f>COUNTIFS('Material routes'!$D$6:$D$1005,A201,'Material routes'!$C$6:$C$1005,"Output")</x:f>
        <x:v>0</x:v>
      </x:c>
      <x:c r="AK201" s="4" t="n">
        <x:f>SUM(COUNTIFS('Material routes'!$D$6:$D$1005,A201,'Material routes'!$C$6:$C$1005,"Ingredient candidate"),COUNTIFS('Material routes'!$D$6:$D$1005,A201,'Material routes'!$C$6:$C$1005,"Consumed input"),COUNTIFS('Material routes'!$D$6:$D$1005,A201,'Material routes'!$C$6:$C$1005,"Contained input"),COUNTIFS('Material routes'!$D$6:$D$1005,A201,'Material routes'!$C$6:$C$1005,"Transform input"))</x:f>
        <x:v>0</x:v>
      </x:c>
      <x:c r="AL201" s="4" t="n">
        <x:f>COUNTIFS('Material routes'!$D$6:$D$1005,A201,'Material routes'!$C$6:$C$1005,"Tool candidate")</x:f>
        <x:v>0</x:v>
      </x:c>
      <x:c r="AM201" s="4" t="str">
        <x:f>IF(AJ201&gt;0,"Route listed; review status/completeness",IF(C201="T0","Raw entry feed; no production route","No production route listed"))</x:f>
        <x:v>No production route listed</x:v>
      </x:c>
      <x:c r="AN201" s="14" t="n">
        <x:f>IF(C201="T0",0,IF(C201="T1",1,IF(C201="T2",2,IF(C201="T3",3,IF(C201="T4",4,IF(C201="Unassigned",98,99))))))</x:f>
        <x:v>98</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05" customHeight="1">
      <x:c r="A202" s="9" t="str">
        <x:v>proposal.ceramic.pour_spout</x:v>
      </x:c>
      <x:c r="B202" s="9" t="str">
        <x:v>Ceramic pouring spout</x:v>
      </x:c>
      <x:c r="C202" s="4" t="str">
        <x:v>Unassigned</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unassigned; not applicable; component</x:v>
      </x:c>
      <x:c r="AF202" s="4" t="str">
        <x:v>Specific item proposed from author ceramics direction; functional and material limits remain unresolved.</x:v>
      </x:c>
      <x:c r="AG202" s="4" t="str">
        <x:v>Choose a material/part route before assigning a tier. Processing-stage labels alone do not prove chain depth.</x:v>
      </x:c>
      <x:c r="AH202" s="4" t="str">
        <x:v>Not applicable</x:v>
      </x:c>
      <x:c r="AI202" s="4" t="str">
        <x:v>Component</x:v>
      </x:c>
      <x:c r="AJ202" s="4" t="n">
        <x:f>COUNTIFS('Material routes'!$D$6:$D$1005,A202,'Material routes'!$C$6:$C$1005,"Output")</x:f>
        <x:v>0</x:v>
      </x:c>
      <x:c r="AK202" s="4" t="n">
        <x:f>SUM(COUNTIFS('Material routes'!$D$6:$D$1005,A202,'Material routes'!$C$6:$C$1005,"Ingredient candidate"),COUNTIFS('Material routes'!$D$6:$D$1005,A202,'Material routes'!$C$6:$C$1005,"Consumed input"),COUNTIFS('Material routes'!$D$6:$D$1005,A202,'Material routes'!$C$6:$C$1005,"Contained input"),COUNTIFS('Material routes'!$D$6:$D$1005,A202,'Material routes'!$C$6:$C$1005,"Transform input"))</x:f>
        <x:v>0</x:v>
      </x:c>
      <x:c r="AL202" s="4" t="n">
        <x:f>COUNTIFS('Material routes'!$D$6:$D$1005,A202,'Material routes'!$C$6:$C$1005,"Tool candidate")</x:f>
        <x:v>0</x:v>
      </x:c>
      <x:c r="AM202" s="4" t="str">
        <x:f>IF(AJ202&gt;0,"Route listed; review status/completeness",IF(C202="T0","Raw entry feed; no production route","No production route listed"))</x:f>
        <x:v>No production route listed</x:v>
      </x:c>
      <x:c r="AN202" s="14" t="n">
        <x:f>IF(C202="T0",0,IF(C202="T1",1,IF(C202="T2",2,IF(C202="T3",3,IF(C202="T4",4,IF(C202="Unassigned",98,99))))))</x:f>
        <x:v>98</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05" customHeight="1">
      <x:c r="A203" s="9" t="str">
        <x:v>proposal.ceramic.conduit</x:v>
      </x:c>
      <x:c r="B203" s="9" t="str">
        <x:v>Ceramic conduit section</x:v>
      </x:c>
      <x:c r="C203" s="4" t="str">
        <x:v>Unassigned</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unassigned; not applicable; component</x:v>
      </x:c>
      <x:c r="AF203" s="4" t="str">
        <x:v>Specific item proposed from author ceramics direction; functional and material limits remain unresolved.</x:v>
      </x:c>
      <x:c r="AG203" s="4" t="str">
        <x:v>Choose a material/part route before assigning a tier. Processing-stage labels alone do not prove chain depth.</x:v>
      </x:c>
      <x:c r="AH203" s="4" t="str">
        <x:v>Not applicable</x:v>
      </x:c>
      <x:c r="AI203" s="4" t="str">
        <x:v>Component</x:v>
      </x:c>
      <x:c r="AJ203" s="4" t="n">
        <x:f>COUNTIFS('Material routes'!$D$6:$D$1005,A203,'Material routes'!$C$6:$C$1005,"Output")</x:f>
        <x:v>0</x:v>
      </x:c>
      <x:c r="AK203" s="4" t="n">
        <x:f>SUM(COUNTIFS('Material routes'!$D$6:$D$1005,A203,'Material routes'!$C$6:$C$1005,"Ingredient candidate"),COUNTIFS('Material routes'!$D$6:$D$1005,A203,'Material routes'!$C$6:$C$1005,"Consumed input"),COUNTIFS('Material routes'!$D$6:$D$1005,A203,'Material routes'!$C$6:$C$1005,"Contained input"),COUNTIFS('Material routes'!$D$6:$D$1005,A203,'Material routes'!$C$6:$C$1005,"Transform input"))</x:f>
        <x:v>0</x:v>
      </x:c>
      <x:c r="AL203" s="4" t="n">
        <x:f>COUNTIFS('Material routes'!$D$6:$D$1005,A203,'Material routes'!$C$6:$C$1005,"Tool candidate")</x:f>
        <x:v>0</x:v>
      </x:c>
      <x:c r="AM203" s="4" t="str">
        <x:f>IF(AJ203&gt;0,"Route listed; review status/completeness",IF(C203="T0","Raw entry feed; no production route","No production route listed"))</x:f>
        <x:v>No production route listed</x:v>
      </x:c>
      <x:c r="AN203" s="14" t="n">
        <x:f>IF(C203="T0",0,IF(C203="T1",1,IF(C203="T2",2,IF(C203="T3",3,IF(C203="T4",4,IF(C203="Unassigned",98,99))))))</x:f>
        <x:v>98</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unassigned;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Unassigned</x:v>
      </x:c>
      <x:c r="AI204" s="4" t="str">
        <x:v>Finished item</x:v>
      </x:c>
      <x:c r="AJ204" s="4" t="n">
        <x:f>COUNTIFS('Material routes'!$D$6:$D$1005,A204,'Material routes'!$C$6:$C$1005,"Output")</x:f>
        <x:v>0</x:v>
      </x:c>
      <x:c r="AK204" s="4" t="n">
        <x:f>SUM(COUNTIFS('Material routes'!$D$6:$D$1005,A204,'Material routes'!$C$6:$C$1005,"Ingredient candidate"),COUNTIFS('Material routes'!$D$6:$D$1005,A204,'Material routes'!$C$6:$C$1005,"Consumed input"),COUNTIFS('Material routes'!$D$6:$D$1005,A204,'Material routes'!$C$6:$C$1005,"Contained input"),COUNTIFS('Material routes'!$D$6:$D$1005,A204,'Material routes'!$C$6:$C$1005,"Transform input"))</x:f>
        <x:v>0</x:v>
      </x:c>
      <x:c r="AL204" s="4" t="n">
        <x:f>COUNTIFS('Material routes'!$D$6:$D$1005,A204,'Material routes'!$C$6:$C$1005,"Tool candidate")</x:f>
        <x:v>0</x:v>
      </x:c>
      <x:c r="AM204" s="4" t="str">
        <x:f>IF(AJ204&gt;0,"Route listed; review status/completeness",IF(C204="T0","Raw entry feed; no production route","No production route listed"))</x:f>
        <x:v>No production route listed</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unassigned;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Unassigned</x:v>
      </x:c>
      <x:c r="AI205" s="4" t="str">
        <x:v>Finished item</x:v>
      </x:c>
      <x:c r="AJ205" s="4" t="n">
        <x:f>COUNTIFS('Material routes'!$D$6:$D$1005,A205,'Material routes'!$C$6:$C$1005,"Output")</x:f>
        <x:v>0</x:v>
      </x:c>
      <x:c r="AK205" s="4" t="n">
        <x:f>SUM(COUNTIFS('Material routes'!$D$6:$D$1005,A205,'Material routes'!$C$6:$C$1005,"Ingredient candidate"),COUNTIFS('Material routes'!$D$6:$D$1005,A205,'Material routes'!$C$6:$C$1005,"Consumed input"),COUNTIFS('Material routes'!$D$6:$D$1005,A205,'Material routes'!$C$6:$C$1005,"Contained input"),COUNTIFS('Material routes'!$D$6:$D$1005,A205,'Material routes'!$C$6:$C$1005,"Transform input"))</x:f>
        <x:v>0</x:v>
      </x:c>
      <x:c r="AL205" s="4" t="n">
        <x:f>COUNTIFS('Material routes'!$D$6:$D$1005,A205,'Material routes'!$C$6:$C$1005,"Tool candidate")</x:f>
        <x:v>0</x:v>
      </x:c>
      <x:c r="AM205" s="4" t="str">
        <x:f>IF(AJ205&gt;0,"Route listed; review status/completeness",IF(C205="T0","Raw entry feed; no production route","No production route listed"))</x:f>
        <x:v>No production route listed</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unassigned;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Unassigned</x:v>
      </x:c>
      <x:c r="AI206" s="4" t="str">
        <x:v>Finished item</x:v>
      </x:c>
      <x:c r="AJ206" s="4" t="n">
        <x:f>COUNTIFS('Material routes'!$D$6:$D$1005,A206,'Material routes'!$C$6:$C$1005,"Output")</x:f>
        <x:v>0</x:v>
      </x:c>
      <x:c r="AK206" s="4" t="n">
        <x:f>SUM(COUNTIFS('Material routes'!$D$6:$D$1005,A206,'Material routes'!$C$6:$C$1005,"Ingredient candidate"),COUNTIFS('Material routes'!$D$6:$D$1005,A206,'Material routes'!$C$6:$C$1005,"Consumed input"),COUNTIFS('Material routes'!$D$6:$D$1005,A206,'Material routes'!$C$6:$C$1005,"Contained input"),COUNTIFS('Material routes'!$D$6:$D$1005,A206,'Material routes'!$C$6:$C$1005,"Transform input"))</x:f>
        <x:v>0</x:v>
      </x:c>
      <x:c r="AL206" s="4" t="n">
        <x:f>COUNTIFS('Material routes'!$D$6:$D$1005,A206,'Material routes'!$C$6:$C$1005,"Tool candidate")</x:f>
        <x:v>0</x:v>
      </x:c>
      <x:c r="AM206" s="4" t="str">
        <x:f>IF(AJ206&gt;0,"Route listed; review status/completeness",IF(C206="T0","Raw entry feed; no production route","No production route listed"))</x:f>
        <x:v>No production route listed</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str">
        <x:v>Equipment</x:v>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equipment; ceramic protection; armor; finished item; manufactured / unresolved; protection; ceramic; panel; proposal; pottery; not applicable; unassigned; finished item</x:v>
      </x:c>
      <x:c r="AF207" s="4" t="str">
        <x:v>Specific item proposed from author ceramics direction; functional and material limits remain unresolved.</x:v>
      </x:c>
      <x:c r="AG207" s="4" t="str">
        <x:v>Finished endpoint; material tier is not applicable. Input tiers belong to the chosen recipe.</x:v>
      </x:c>
      <x:c r="AH207" s="4" t="str">
        <x:v>Unassigned</x:v>
      </x:c>
      <x:c r="AI207" s="4" t="str">
        <x:v>Finished item</x:v>
      </x:c>
      <x:c r="AJ207" s="4" t="n">
        <x:f>COUNTIFS('Material routes'!$D$6:$D$1005,A207,'Material routes'!$C$6:$C$1005,"Output")</x:f>
        <x:v>0</x:v>
      </x:c>
      <x:c r="AK207" s="4" t="n">
        <x:f>SUM(COUNTIFS('Material routes'!$D$6:$D$1005,A207,'Material routes'!$C$6:$C$1005,"Ingredient candidate"),COUNTIFS('Material routes'!$D$6:$D$1005,A207,'Material routes'!$C$6:$C$1005,"Consumed input"),COUNTIFS('Material routes'!$D$6:$D$1005,A207,'Material routes'!$C$6:$C$1005,"Contained input"),COUNTIFS('Material routes'!$D$6:$D$1005,A207,'Material routes'!$C$6:$C$1005,"Transform input"))</x:f>
        <x:v>0</x:v>
      </x:c>
      <x:c r="AL207" s="4" t="n">
        <x:f>COUNTIFS('Material routes'!$D$6:$D$1005,A207,'Material routes'!$C$6:$C$1005,"Tool candidate")</x:f>
        <x:v>0</x:v>
      </x:c>
      <x:c r="AM207" s="4" t="str">
        <x:f>IF(AJ207&gt;0,"Route listed; review status/completeness",IF(C207="T0","Raw entry feed; no production route","No production route listed"))</x:f>
        <x:v>No production route listed</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05" customHeight="1">
      <x:c r="A208" s="9" t="str">
        <x:v>proposal.ceramic.fastener</x:v>
      </x:c>
      <x:c r="B208" s="9" t="str">
        <x:v>Ceramic toggle fastener</x:v>
      </x:c>
      <x:c r="C208" s="4" t="str">
        <x:v>Unassigned</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unassigned; not applicable; component</x:v>
      </x:c>
      <x:c r="AF208" s="4" t="str">
        <x:v>Specific item proposed from author ceramics direction; functional and material limits remain unresolved.</x:v>
      </x:c>
      <x:c r="AG208" s="4" t="str">
        <x:v>Choose a material/part route before assigning a tier. Processing-stage labels alone do not prove chain depth.</x:v>
      </x:c>
      <x:c r="AH208" s="4" t="str">
        <x:v>Not applicable</x:v>
      </x:c>
      <x:c r="AI208" s="4" t="str">
        <x:v>Component</x:v>
      </x:c>
      <x:c r="AJ208" s="4" t="n">
        <x:f>COUNTIFS('Material routes'!$D$6:$D$1005,A208,'Material routes'!$C$6:$C$1005,"Output")</x:f>
        <x:v>0</x:v>
      </x:c>
      <x:c r="AK208" s="4" t="n">
        <x:f>SUM(COUNTIFS('Material routes'!$D$6:$D$1005,A208,'Material routes'!$C$6:$C$1005,"Ingredient candidate"),COUNTIFS('Material routes'!$D$6:$D$1005,A208,'Material routes'!$C$6:$C$1005,"Consumed input"),COUNTIFS('Material routes'!$D$6:$D$1005,A208,'Material routes'!$C$6:$C$1005,"Contained input"),COUNTIFS('Material routes'!$D$6:$D$1005,A208,'Material routes'!$C$6:$C$1005,"Transform input"))</x:f>
        <x:v>0</x:v>
      </x:c>
      <x:c r="AL208" s="4" t="n">
        <x:f>COUNTIFS('Material routes'!$D$6:$D$1005,A208,'Material routes'!$C$6:$C$1005,"Tool candidate")</x:f>
        <x:v>0</x:v>
      </x:c>
      <x:c r="AM208" s="4" t="str">
        <x:f>IF(AJ208&gt;0,"Route listed; review status/completeness",IF(C208="T0","Raw entry feed; no production route","No production route listed"))</x:f>
        <x:v>No production route listed</x:v>
      </x:c>
      <x:c r="AN208" s="14" t="n">
        <x:f>IF(C208="T0",0,IF(C208="T1",1,IF(C208="T2",2,IF(C208="T3",3,IF(C208="T4",4,IF(C208="Unassigned",98,99))))))</x:f>
        <x:v>98</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str">
        <x:v>Equipment</x:v>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equipment; ceramic workshop; tool; finished item; manufactured / unresolved; surface finishing; ceramic; solid part; proposal; pottery; not applicable; unassigned; finished item</x:v>
      </x:c>
      <x:c r="AF209" s="4" t="str">
        <x:v>Specific item proposed from author ceramics direction; functional and material limits remain unresolved.</x:v>
      </x:c>
      <x:c r="AG209" s="4" t="str">
        <x:v>Finished endpoint; material tier is not applicable. Input tiers belong to the chosen recipe.</x:v>
      </x:c>
      <x:c r="AH209" s="4" t="str">
        <x:v>Unassigned</x:v>
      </x:c>
      <x:c r="AI209" s="4" t="str">
        <x:v>Finished item</x:v>
      </x:c>
      <x:c r="AJ209" s="4" t="n">
        <x:f>COUNTIFS('Material routes'!$D$6:$D$1005,A209,'Material routes'!$C$6:$C$1005,"Output")</x:f>
        <x:v>0</x:v>
      </x:c>
      <x:c r="AK209" s="4" t="n">
        <x:f>SUM(COUNTIFS('Material routes'!$D$6:$D$1005,A209,'Material routes'!$C$6:$C$1005,"Ingredient candidate"),COUNTIFS('Material routes'!$D$6:$D$1005,A209,'Material routes'!$C$6:$C$1005,"Consumed input"),COUNTIFS('Material routes'!$D$6:$D$1005,A209,'Material routes'!$C$6:$C$1005,"Contained input"),COUNTIFS('Material routes'!$D$6:$D$1005,A209,'Material routes'!$C$6:$C$1005,"Transform input"))</x:f>
        <x:v>0</x:v>
      </x:c>
      <x:c r="AL209" s="4" t="n">
        <x:f>COUNTIFS('Material routes'!$D$6:$D$1005,A209,'Material routes'!$C$6:$C$1005,"Tool candidate")</x:f>
        <x:v>0</x:v>
      </x:c>
      <x:c r="AM209" s="4" t="str">
        <x:f>IF(AJ209&gt;0,"Route listed; review status/completeness",IF(C209="T0","Raw entry feed; no production route","No production route listed"))</x:f>
        <x:v>No production route listed</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15" customHeight="1">
      <x:c r="A210" s="9" t="str">
        <x:v>source.currency.imperial_commons</x:v>
      </x:c>
      <x:c r="B210" s="9" t="str">
        <x:v>Imperial Commons</x:v>
      </x:c>
      <x:c r="C210" s="4" t="str">
        <x:v>Unassigned</x:v>
      </x:c>
      <x:c r="D210" s="9" t="str">
        <x:v>Currency</x:v>
      </x:c>
      <x:c r="E210" s="9" t="str">
        <x:v>Currency family; denominations unspecified</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denominations unspecified; currency; unresolved; manufactured / unresolved; trade; unresolved; unresolved; source proposal; commons; marks; money; exchange; denomination unspecified; unassigned; unassigned; currency</x:v>
      </x:c>
      <x:c r="AF210" s="4" t="str">
        <x:v>Source record explicitly names the currency and aliases; no physical denomination item inferred.</x:v>
      </x:c>
      <x:c r="AG210" s="4" t="str">
        <x:v>Tier requires a chosen production route; recovered ancient material is not automatically T4.</x:v>
      </x:c>
      <x:c r="AH210" s="4" t="str">
        <x:v>Unassigned</x:v>
      </x:c>
      <x:c r="AI210" s="4" t="str">
        <x:v>Currency</x:v>
      </x:c>
      <x:c r="AJ210" s="4" t="n">
        <x:f>COUNTIFS('Material routes'!$D$6:$D$1005,A210,'Material routes'!$C$6:$C$1005,"Output")</x:f>
        <x:v>0</x:v>
      </x:c>
      <x:c r="AK210" s="4" t="n">
        <x:f>SUM(COUNTIFS('Material routes'!$D$6:$D$1005,A210,'Material routes'!$C$6:$C$1005,"Ingredient candidate"),COUNTIFS('Material routes'!$D$6:$D$1005,A210,'Material routes'!$C$6:$C$1005,"Consumed input"),COUNTIFS('Material routes'!$D$6:$D$1005,A210,'Material routes'!$C$6:$C$1005,"Contained input"),COUNTIFS('Material routes'!$D$6:$D$1005,A210,'Material routes'!$C$6:$C$1005,"Transform input"))</x:f>
        <x:v>0</x:v>
      </x:c>
      <x:c r="AL210" s="4" t="n">
        <x:f>COUNTIFS('Material routes'!$D$6:$D$1005,A210,'Material routes'!$C$6:$C$1005,"Tool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98</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x:v>
      </x:c>
      <x:c r="AG211" s="4" t="str">
        <x:v>Raw gathered/recovered craft input under the author T0 framework. This does not imply a naturally occurring pure metal.</x:v>
      </x:c>
      <x:c r="AH211" s="4" t="str">
        <x:v>Not applicable</x:v>
      </x:c>
      <x:c r="AI211" s="4" t="str">
        <x:v>Material</x:v>
      </x:c>
      <x:c r="AJ211" s="4" t="n">
        <x:f>COUNTIFS('Material routes'!$D$6:$D$1005,A211,'Material routes'!$C$6:$C$1005,"Output")</x:f>
        <x:v>0</x:v>
      </x:c>
      <x:c r="AK211" s="4" t="n">
        <x:f>SUM(COUNTIFS('Material routes'!$D$6:$D$1005,A211,'Material routes'!$C$6:$C$1005,"Ingredient candidate"),COUNTIFS('Material routes'!$D$6:$D$1005,A211,'Material routes'!$C$6:$C$1005,"Consumed input"),COUNTIFS('Material routes'!$D$6:$D$1005,A211,'Material routes'!$C$6:$C$1005,"Contained input"),COUNTIFS('Material routes'!$D$6:$D$1005,A211,'Material routes'!$C$6:$C$1005,"Transform input"))</x:f>
        <x:v>0</x:v>
      </x:c>
      <x:c r="AL211" s="4" t="n">
        <x:f>COUNTIFS('Material routes'!$D$6:$D$1005,A211,'Material routes'!$C$6:$C$1005,"Tool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resources; special stone; raw material; raw; geological; illumination; mineral; rock; author direction; ; t0; not applicable; material</x:v>
      </x:c>
      <x:c r="AF212" s="4" t="str">
        <x:v>Author direction establishes stone families. Source mechanisms remain proposal-stage; specific equipment functions are proposals.</x:v>
      </x:c>
      <x:c r="AG212" s="4" t="str">
        <x:v>Raw gathered/recovered craft input under the author T0 framework. This does not imply a naturally occurring pure metal.</x:v>
      </x:c>
      <x:c r="AH212" s="4" t="str">
        <x:v>Not applicable</x:v>
      </x:c>
      <x:c r="AI212" s="4" t="str">
        <x:v>Material</x:v>
      </x:c>
      <x:c r="AJ212" s="4" t="n">
        <x:f>COUNTIFS('Material routes'!$D$6:$D$1005,A212,'Material routes'!$C$6:$C$1005,"Output")</x:f>
        <x:v>0</x:v>
      </x:c>
      <x:c r="AK212" s="4" t="n">
        <x:f>SUM(COUNTIFS('Material routes'!$D$6:$D$1005,A212,'Material routes'!$C$6:$C$1005,"Ingredient candidate"),COUNTIFS('Material routes'!$D$6:$D$1005,A212,'Material routes'!$C$6:$C$1005,"Consumed input"),COUNTIFS('Material routes'!$D$6:$D$1005,A212,'Material routes'!$C$6:$C$1005,"Contained input"),COUNTIFS('Material routes'!$D$6:$D$1005,A212,'Material routes'!$C$6:$C$1005,"Transform input"))</x:f>
        <x:v>0</x:v>
      </x:c>
      <x:c r="AL212" s="4" t="n">
        <x:f>COUNTIFS('Material routes'!$D$6:$D$1005,A212,'Material routes'!$C$6:$C$1005,"Tool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x:v>
      </x:c>
      <x:c r="AG213" s="4" t="str">
        <x:v>Raw gathered/recovered craft input under the author T0 framework. This does not imply a naturally occurring pure metal.</x:v>
      </x:c>
      <x:c r="AH213" s="4" t="str">
        <x:v>Not applicable</x:v>
      </x:c>
      <x:c r="AI213" s="4" t="str">
        <x:v>Material</x:v>
      </x:c>
      <x:c r="AJ213" s="4" t="n">
        <x:f>COUNTIFS('Material routes'!$D$6:$D$1005,A213,'Material routes'!$C$6:$C$1005,"Output")</x:f>
        <x:v>0</x:v>
      </x:c>
      <x:c r="AK213" s="4" t="n">
        <x:f>SUM(COUNTIFS('Material routes'!$D$6:$D$1005,A213,'Material routes'!$C$6:$C$1005,"Ingredient candidate"),COUNTIFS('Material routes'!$D$6:$D$1005,A213,'Material routes'!$C$6:$C$1005,"Consumed input"),COUNTIFS('Material routes'!$D$6:$D$1005,A213,'Material routes'!$C$6:$C$1005,"Contained input"),COUNTIFS('Material routes'!$D$6:$D$1005,A213,'Material routes'!$C$6:$C$1005,"Transform input"))</x:f>
        <x:v>0</x:v>
      </x:c>
      <x:c r="AL213" s="4" t="n">
        <x:f>COUNTIFS('Material routes'!$D$6:$D$1005,A213,'Material routes'!$C$6:$C$1005,"Tool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str">
        <x:v>Equipment</x:v>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equipment; ignition tool; tool; finished item; manufactured / unresolved; ignition; metal or shell; assembly; proposal; ; not applicable; unassigned; finished item</x:v>
      </x:c>
      <x:c r="AF214" s="4" t="str">
        <x:v>Author direction establishes stone families. Source mechanisms remain proposal-stage; specific equipment functions are proposals.</x:v>
      </x:c>
      <x:c r="AG214" s="4" t="str">
        <x:v>Finished endpoint; material tier is not applicable. Input tiers belong to the chosen recipe.</x:v>
      </x:c>
      <x:c r="AH214" s="4" t="str">
        <x:v>Unassigned</x:v>
      </x:c>
      <x:c r="AI214" s="4" t="str">
        <x:v>Finished item</x:v>
      </x:c>
      <x:c r="AJ214" s="4" t="n">
        <x:f>COUNTIFS('Material routes'!$D$6:$D$1005,A214,'Material routes'!$C$6:$C$1005,"Output")</x:f>
        <x:v>0</x:v>
      </x:c>
      <x:c r="AK214" s="4" t="n">
        <x:f>SUM(COUNTIFS('Material routes'!$D$6:$D$1005,A214,'Material routes'!$C$6:$C$1005,"Ingredient candidate"),COUNTIFS('Material routes'!$D$6:$D$1005,A214,'Material routes'!$C$6:$C$1005,"Consumed input"),COUNTIFS('Material routes'!$D$6:$D$1005,A214,'Material routes'!$C$6:$C$1005,"Contained input"),COUNTIFS('Material routes'!$D$6:$D$1005,A214,'Material routes'!$C$6:$C$1005,"Transform input"))</x:f>
        <x:v>0</x:v>
      </x:c>
      <x:c r="AL214" s="4" t="n">
        <x:f>COUNTIFS('Material routes'!$D$6:$D$1005,A214,'Material routes'!$C$6:$C$1005,"Tool candidate")</x:f>
        <x:v>0</x:v>
      </x:c>
      <x:c r="AM214" s="4" t="str">
        <x:f>IF(AJ214&gt;0,"Route listed; review status/completeness",IF(C214="T0","Raw entry feed; no production route","No production route listed"))</x:f>
        <x:v>No production route listed</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15" customHeight="1">
      <x:c r="A215" s="9" t="str">
        <x:v>proposal.fire.chitin_char</x:v>
      </x:c>
      <x:c r="B215" s="9" t="str">
        <x:v>Chitin-char</x:v>
      </x:c>
      <x:c r="C215" s="4" t="str">
        <x:v>Unassigned</x:v>
      </x:c>
      <x:c r="D215" s="9" t="str">
        <x:v>Resources</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resources; fire fuel; processed material; processed intermediate; fauna; fuel; carbonaceous material; solid piece; source proposal; ; unassigned; not applicable; material</x:v>
      </x:c>
      <x:c r="AF215" s="4" t="str">
        <x:v>Author direction establishes stone families. Source mechanisms remain proposal-stage; specific equipment functions are proposals.</x:v>
      </x:c>
      <x:c r="AG215" s="4" t="str">
        <x:v>Choose a material/part route before assigning a tier. Processing-stage labels alone do not prove chain depth.</x:v>
      </x:c>
      <x:c r="AH215" s="4" t="str">
        <x:v>Not applicable</x:v>
      </x:c>
      <x:c r="AI215" s="4" t="str">
        <x:v>Material</x:v>
      </x:c>
      <x:c r="AJ215" s="4" t="n">
        <x:f>COUNTIFS('Material routes'!$D$6:$D$1005,A215,'Material routes'!$C$6:$C$1005,"Output")</x:f>
        <x:v>0</x:v>
      </x:c>
      <x:c r="AK215" s="4" t="n">
        <x:f>SUM(COUNTIFS('Material routes'!$D$6:$D$1005,A215,'Material routes'!$C$6:$C$1005,"Ingredient candidate"),COUNTIFS('Material routes'!$D$6:$D$1005,A215,'Material routes'!$C$6:$C$1005,"Consumed input"),COUNTIFS('Material routes'!$D$6:$D$1005,A215,'Material routes'!$C$6:$C$1005,"Contained input"),COUNTIFS('Material routes'!$D$6:$D$1005,A215,'Material routes'!$C$6:$C$1005,"Transform input"))</x:f>
        <x:v>0</x:v>
      </x:c>
      <x:c r="AL215" s="4" t="n">
        <x:f>COUNTIFS('Material routes'!$D$6:$D$1005,A215,'Material routes'!$C$6:$C$1005,"Tool candidate")</x:f>
        <x:v>0</x:v>
      </x:c>
      <x:c r="AM215" s="4" t="str">
        <x:f>IF(AJ215&gt;0,"Route listed; review status/completeness",IF(C215="T0","Raw entry feed; no production route","No production route listed"))</x:f>
        <x:v>No production route listed</x:v>
      </x:c>
      <x:c r="AN215" s="14" t="n">
        <x:f>IF(C215="T0",0,IF(C215="T1",1,IF(C215="T2",2,IF(C215="T3",3,IF(C215="T4",4,IF(C215="Unassigned",98,99))))))</x:f>
        <x:v>98</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str">
        <x:v>Equipment</x:v>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equipment; cooking vessel; tool; finished item; manufactured / unresolved; cooking; ceramic; solid part; proposal; ; not applicable; unassigned; finished item</x:v>
      </x:c>
      <x:c r="AF216" s="4" t="str">
        <x:v>Author direction establishes stone families. Source mechanisms remain proposal-stage; specific equipment functions are proposals.</x:v>
      </x:c>
      <x:c r="AG216" s="4" t="str">
        <x:v>Finished endpoint; material tier is not applicable. Input tiers belong to the chosen recipe.</x:v>
      </x:c>
      <x:c r="AH216" s="4" t="str">
        <x:v>Unassigned</x:v>
      </x:c>
      <x:c r="AI216" s="4" t="str">
        <x:v>Finished item</x:v>
      </x:c>
      <x:c r="AJ216" s="4" t="n">
        <x:f>COUNTIFS('Material routes'!$D$6:$D$1005,A216,'Material routes'!$C$6:$C$1005,"Output")</x:f>
        <x:v>0</x:v>
      </x:c>
      <x:c r="AK216" s="4" t="n">
        <x:f>SUM(COUNTIFS('Material routes'!$D$6:$D$1005,A216,'Material routes'!$C$6:$C$1005,"Ingredient candidate"),COUNTIFS('Material routes'!$D$6:$D$1005,A216,'Material routes'!$C$6:$C$1005,"Consumed input"),COUNTIFS('Material routes'!$D$6:$D$1005,A216,'Material routes'!$C$6:$C$1005,"Contained input"),COUNTIFS('Material routes'!$D$6:$D$1005,A216,'Material routes'!$C$6:$C$1005,"Transform input"))</x:f>
        <x:v>0</x:v>
      </x:c>
      <x:c r="AL216" s="4" t="n">
        <x:f>COUNTIFS('Material routes'!$D$6:$D$1005,A216,'Material routes'!$C$6:$C$1005,"Tool candidate")</x:f>
        <x:v>0</x:v>
      </x:c>
      <x:c r="AM216" s="4" t="str">
        <x:f>IF(AJ216&gt;0,"Route listed; review status/completeness",IF(C216="T0","Raw entry feed; no production route","No production route listed"))</x:f>
        <x:v>No production route listed</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t="str">
        <x:v>proposal.fire.cooking_slab</x:v>
      </x:c>
      <x:c r="B217" s="9" t="str">
        <x:v>Cooking stone slab</x:v>
      </x:c>
      <x:c r="C217" s="4" t="str">
        <x:v>Not applicable</x:v>
      </x:c>
      <x:c r="D217" s="9" t="str">
        <x:v>Equipment</x:v>
      </x:c>
      <x:c r="E217" s="9" t="str">
        <x:v>Cooking tool</x:v>
      </x:c>
      <x:c r="F217" s="9" t="str">
        <x:v>New proposal</x:v>
      </x:c>
      <x:c r="G217" s="9" t="str">
        <x:v>Selected worked stone surface candidate for food heating.</x:v>
      </x:c>
      <x:c r="H217" s="9" t="str">
        <x:v>Unassigned; no new slot approved</x:v>
      </x:c>
      <x:c r="I217" s="9" t="str">
        <x:v>Carrier / placement policy TBD</x:v>
      </x:c>
      <x:c r="J217" s="13"/>
      <x:c r="K217" s="15"/>
      <x:c r="L217" s="9" t="str">
        <x:v>Gathering, specialist craft or trade; exact acquisition TBD</x:v>
      </x:c>
      <x:c r="M217" s="9" t="str">
        <x:v>No cooking, ignition or oxygen-release recipe authored</x:v>
      </x:c>
      <x:c r="N217" s="9" t="str">
        <x:v>Not implemented</x:v>
      </x:c>
      <x:c r="O217" s="9" t="str">
        <x:v>Stone selection and thermal behavior undefined; oxygen/glow stones are not automatically suitable cooking surfaces.</x:v>
      </x:c>
      <x:c r="P217" s="17"/>
      <x:c r="Q217" s="17"/>
      <x:c r="R217" s="17"/>
      <x:c r="S217" s="17"/>
      <x:c r="T217" s="17"/>
      <x:c r="U217" s="9" t="str">
        <x:v>Names are descriptive working labels. Fire-dependent uses are constrained by source atmosphere proposals; no oxygen/flame simulation, nutrition bonus or automatic detoxification.</x:v>
      </x:c>
      <x:c r="V217" s="11"/>
      <x:c r="W217" s="9" t="str">
        <x:v>New game proposal from author cooking direction</x:v>
      </x:c>
      <x:c r="X217" s="4" t="str">
        <x:v>Tool</x:v>
      </x:c>
      <x:c r="Y217" s="4" t="str">
        <x:v>Processed intermediate</x:v>
      </x:c>
      <x:c r="Z217" s="4" t="str">
        <x:v>Geological</x:v>
      </x:c>
      <x:c r="AA217" s="4" t="str">
        <x:v>Cooking</x:v>
      </x:c>
      <x:c r="AB217" s="4" t="str">
        <x:v>Mineral</x:v>
      </x:c>
      <x:c r="AC217" s="4" t="str">
        <x:v>Panel</x:v>
      </x:c>
      <x:c r="AD217" s="4" t="str">
        <x:v>Proposal</x:v>
      </x:c>
      <x:c r="AE217" s="4" t="str">
        <x:f>LOWER(A217&amp;"; "&amp;B217&amp;"; "&amp;D217&amp;"; "&amp;E217&amp;"; "&amp;X217&amp;"; "&amp;Y217&amp;"; "&amp;Z217&amp;"; "&amp;AA217&amp;"; "&amp;AB217&amp;"; "&amp;AC217&amp;"; "&amp;AD217&amp;"; "&amp;V217&amp;"; "&amp;C217&amp;"; "&amp;AH217&amp;"; "&amp;AI217)</x:f>
        <x:v>proposal.fire.cooking_slab; cooking stone slab; equipment; cooking tool; tool; processed intermediate; geological; cooking; mineral; panel; proposal; ; not applicable; unassigned; finished item</x:v>
      </x:c>
      <x:c r="AF217" s="4" t="str">
        <x:v>Author direction establishes stone families. Source mechanisms remain proposal-stage; specific equipment functions are proposals.</x:v>
      </x:c>
      <x:c r="AG217" s="4" t="str">
        <x:v>Finished endpoint; material tier is not applicable. Input tiers belong to the chosen recipe.</x:v>
      </x:c>
      <x:c r="AH217" s="4" t="str">
        <x:v>Unassigned</x:v>
      </x:c>
      <x:c r="AI217" s="4" t="str">
        <x:v>Finished item</x:v>
      </x:c>
      <x:c r="AJ217" s="4" t="n">
        <x:f>COUNTIFS('Material routes'!$D$6:$D$1005,A217,'Material routes'!$C$6:$C$1005,"Output")</x:f>
        <x:v>0</x:v>
      </x:c>
      <x:c r="AK217" s="4" t="n">
        <x:f>SUM(COUNTIFS('Material routes'!$D$6:$D$1005,A217,'Material routes'!$C$6:$C$1005,"Ingredient candidate"),COUNTIFS('Material routes'!$D$6:$D$1005,A217,'Material routes'!$C$6:$C$1005,"Consumed input"),COUNTIFS('Material routes'!$D$6:$D$1005,A217,'Material routes'!$C$6:$C$1005,"Contained input"),COUNTIFS('Material routes'!$D$6:$D$1005,A217,'Material routes'!$C$6:$C$1005,"Transform input"))</x:f>
        <x:v>0</x:v>
      </x:c>
      <x:c r="AL217" s="4" t="n">
        <x:f>COUNTIFS('Material routes'!$D$6:$D$1005,A217,'Material routes'!$C$6:$C$1005,"Tool candidate")</x:f>
        <x:v>0</x:v>
      </x:c>
      <x:c r="AM217" s="4" t="str">
        <x:f>IF(AJ217&gt;0,"Route listed; review status/completeness",IF(C217="T0","Raw entry feed; no production route","No production route listed"))</x:f>
        <x:v>No production route listed</x:v>
      </x:c>
      <x:c r="AN217" s="14" t="n">
        <x:f>IF(C217="T0",0,IF(C217="T1",1,IF(C217="T2",2,IF(C217="T3",3,IF(C217="T4",4,IF(C217="Unassigned",98,99))))))</x:f>
        <x:v>99</x:v>
      </x:c>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str">
        <x:v>Equipment</x:v>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equipment; cooking vessel; tool; finished item; manufactured / unresolved; cooking; metal; assembly; proposal; ; not applicable; unassigned; finished item</x:v>
      </x:c>
      <x:c r="AF218" s="4" t="str">
        <x:v>Author direction establishes stone families. Source mechanisms remain proposal-stage; specific equipment functions are proposals.</x:v>
      </x:c>
      <x:c r="AG218" s="4" t="str">
        <x:v>Finished endpoint; material tier is not applicable. Input tiers belong to the chosen recipe.</x:v>
      </x:c>
      <x:c r="AH218" s="4" t="str">
        <x:v>Unassigned</x:v>
      </x:c>
      <x:c r="AI218" s="4" t="str">
        <x:v>Finished item</x:v>
      </x:c>
      <x:c r="AJ218" s="4" t="n">
        <x:f>COUNTIFS('Material routes'!$D$6:$D$1005,A218,'Material routes'!$C$6:$C$1005,"Output")</x:f>
        <x:v>0</x:v>
      </x:c>
      <x:c r="AK218" s="4" t="n">
        <x:f>SUM(COUNTIFS('Material routes'!$D$6:$D$1005,A218,'Material routes'!$C$6:$C$1005,"Ingredient candidate"),COUNTIFS('Material routes'!$D$6:$D$1005,A218,'Material routes'!$C$6:$C$1005,"Consumed input"),COUNTIFS('Material routes'!$D$6:$D$1005,A218,'Material routes'!$C$6:$C$1005,"Contained input"),COUNTIFS('Material routes'!$D$6:$D$1005,A218,'Material routes'!$C$6:$C$1005,"Transform input"))</x:f>
        <x:v>0</x:v>
      </x:c>
      <x:c r="AL218" s="4" t="n">
        <x:f>COUNTIFS('Material routes'!$D$6:$D$1005,A218,'Material routes'!$C$6:$C$1005,"Tool candidate")</x:f>
        <x:v>0</x:v>
      </x:c>
      <x:c r="AM218" s="4" t="str">
        <x:f>IF(AJ218&gt;0,"Route listed; review status/completeness",IF(C218="T0","Raw entry feed; no production route","No production route listed"))</x:f>
        <x:v>No production route listed</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str">
        <x:v>Equipment</x:v>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equipment; cooking tool; tool; finished item; manufactured / unresolved; cooking; metal; assembly; proposal; ; not applicable; unassigned; finished item</x:v>
      </x:c>
      <x:c r="AF219" s="4" t="str">
        <x:v>Author direction establishes stone families. Source mechanisms remain proposal-stage; specific equipment functions are proposals.</x:v>
      </x:c>
      <x:c r="AG219" s="4" t="str">
        <x:v>Finished endpoint; material tier is not applicable. Input tiers belong to the chosen recipe.</x:v>
      </x:c>
      <x:c r="AH219" s="4" t="str">
        <x:v>Unassigned</x:v>
      </x:c>
      <x:c r="AI219" s="4" t="str">
        <x:v>Finished item</x:v>
      </x:c>
      <x:c r="AJ219" s="4" t="n">
        <x:f>COUNTIFS('Material routes'!$D$6:$D$1005,A219,'Material routes'!$C$6:$C$1005,"Output")</x:f>
        <x:v>0</x:v>
      </x:c>
      <x:c r="AK219" s="4" t="n">
        <x:f>SUM(COUNTIFS('Material routes'!$D$6:$D$1005,A219,'Material routes'!$C$6:$C$1005,"Ingredient candidate"),COUNTIFS('Material routes'!$D$6:$D$1005,A219,'Material routes'!$C$6:$C$1005,"Consumed input"),COUNTIFS('Material routes'!$D$6:$D$1005,A219,'Material routes'!$C$6:$C$1005,"Contained input"),COUNTIFS('Material routes'!$D$6:$D$1005,A219,'Material routes'!$C$6:$C$1005,"Transform input"))</x:f>
        <x:v>0</x:v>
      </x:c>
      <x:c r="AL219" s="4" t="n">
        <x:f>COUNTIFS('Material routes'!$D$6:$D$1005,A219,'Material routes'!$C$6:$C$1005,"Tool candidate")</x:f>
        <x:v>0</x:v>
      </x:c>
      <x:c r="AM219" s="4" t="str">
        <x:f>IF(AJ219&gt;0,"Route listed; review status/completeness",IF(C219="T0","Raw entry feed; no production route","No production route listed"))</x:f>
        <x:v>No production route listed</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str">
        <x:v>Equipment</x:v>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equipment; cooking tool; tool; finished item; manufactured / unresolved; cooking; metal; assembly; proposal; ; not applicable; unassigned; finished item</x:v>
      </x:c>
      <x:c r="AF220" s="4" t="str">
        <x:v>Author direction establishes stone families. Source mechanisms remain proposal-stage; specific equipment functions are proposals.</x:v>
      </x:c>
      <x:c r="AG220" s="4" t="str">
        <x:v>Finished endpoint; material tier is not applicable. Input tiers belong to the chosen recipe.</x:v>
      </x:c>
      <x:c r="AH220" s="4" t="str">
        <x:v>Unassigned</x:v>
      </x:c>
      <x:c r="AI220" s="4" t="str">
        <x:v>Finished item</x:v>
      </x:c>
      <x:c r="AJ220" s="4" t="n">
        <x:f>COUNTIFS('Material routes'!$D$6:$D$1005,A220,'Material routes'!$C$6:$C$1005,"Output")</x:f>
        <x:v>0</x:v>
      </x:c>
      <x:c r="AK220" s="4" t="n">
        <x:f>SUM(COUNTIFS('Material routes'!$D$6:$D$1005,A220,'Material routes'!$C$6:$C$1005,"Ingredient candidate"),COUNTIFS('Material routes'!$D$6:$D$1005,A220,'Material routes'!$C$6:$C$1005,"Consumed input"),COUNTIFS('Material routes'!$D$6:$D$1005,A220,'Material routes'!$C$6:$C$1005,"Contained input"),COUNTIFS('Material routes'!$D$6:$D$1005,A220,'Material routes'!$C$6:$C$1005,"Transform input"))</x:f>
        <x:v>0</x:v>
      </x:c>
      <x:c r="AL220" s="4" t="n">
        <x:f>COUNTIFS('Material routes'!$D$6:$D$1005,A220,'Material routes'!$C$6:$C$1005,"Tool candidate")</x:f>
        <x:v>0</x:v>
      </x:c>
      <x:c r="AM220" s="4" t="str">
        <x:f>IF(AJ220&gt;0,"Route listed; review status/completeness",IF(C220="T0","Raw entry feed; no production route","No production route listed"))</x:f>
        <x:v>No production route listed</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str">
        <x:v>Equipment</x:v>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equipment; cooking tool; tool; finished item; manufactured / unresolved; cooking; metal; assembly; proposal; ; not applicable; unassigned; finished item</x:v>
      </x:c>
      <x:c r="AF221" s="4" t="str">
        <x:v>Author direction establishes stone families. Source mechanisms remain proposal-stage; specific equipment functions are proposals.</x:v>
      </x:c>
      <x:c r="AG221" s="4" t="str">
        <x:v>Finished endpoint; material tier is not applicable. Input tiers belong to the chosen recipe.</x:v>
      </x:c>
      <x:c r="AH221" s="4" t="str">
        <x:v>Unassigned</x:v>
      </x:c>
      <x:c r="AI221" s="4" t="str">
        <x:v>Finished item</x:v>
      </x:c>
      <x:c r="AJ221" s="4" t="n">
        <x:f>COUNTIFS('Material routes'!$D$6:$D$1005,A221,'Material routes'!$C$6:$C$1005,"Output")</x:f>
        <x:v>0</x:v>
      </x:c>
      <x:c r="AK221" s="4" t="n">
        <x:f>SUM(COUNTIFS('Material routes'!$D$6:$D$1005,A221,'Material routes'!$C$6:$C$1005,"Ingredient candidate"),COUNTIFS('Material routes'!$D$6:$D$1005,A221,'Material routes'!$C$6:$C$1005,"Consumed input"),COUNTIFS('Material routes'!$D$6:$D$1005,A221,'Material routes'!$C$6:$C$1005,"Contained input"),COUNTIFS('Material routes'!$D$6:$D$1005,A221,'Material routes'!$C$6:$C$1005,"Transform input"))</x:f>
        <x:v>0</x:v>
      </x:c>
      <x:c r="AL221" s="4" t="n">
        <x:f>COUNTIFS('Material routes'!$D$6:$D$1005,A221,'Material routes'!$C$6:$C$1005,"Tool candidate")</x:f>
        <x:v>0</x:v>
      </x:c>
      <x:c r="AM221" s="4" t="str">
        <x:f>IF(AJ221&gt;0,"Route listed; review status/completeness",IF(C221="T0","Raw entry feed; no production route","No production route listed"))</x:f>
        <x:v>No production route listed</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str">
        <x:v>Managed cooking firebox</x:v>
      </x:c>
      <x:c r="C222" s="4" t="str">
        <x:v>Not applicable</x:v>
      </x:c>
      <x:c r="D222" s="9" t="str">
        <x:v>Equipment</x:v>
      </x:c>
      <x:c r="E222" s="9" t="str">
        <x:v>Fire management</x:v>
      </x:c>
      <x:c r="F222" s="9" t="str">
        <x:v>New proposal</x:v>
      </x:c>
      <x:c r="G222" s="9" t="str">
        <x:v>Contained fire-bed assembly candidate for a chosen low-oxygen cooking setup.</x:v>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str">
        <x:v>Fuel, intake, exhaust and usable surroundings need design. A box does not create oxygen or make a sealed camp safe.</x:v>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str">
        <x:v>fire management</x:v>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str">
        <x:v>Proposal</x:v>
      </x:c>
      <x:c r="AE222" s="4" t="str">
        <x:f>LOWER(A222&amp;"; "&amp;B222&amp;"; "&amp;D222&amp;"; "&amp;E222&amp;"; "&amp;X222&amp;"; "&amp;Y222&amp;"; "&amp;Z222&amp;"; "&amp;AA222&amp;"; "&amp;AB222&amp;"; "&amp;AC222&amp;"; "&amp;AD222&amp;"; "&amp;V222&amp;"; "&amp;C222&amp;"; "&amp;AH222&amp;"; "&amp;AI222)</x:f>
        <x:v>proposal.fire.firebox; managed cooking firebox; equipment; fire management; tool; finished item; manufactured / unresolved; cooking; mixed / unresolved; assembly; proposal; fire management; not applicable; unassigned; finished item</x:v>
      </x:c>
      <x:c r="AF222" s="4" t="str">
        <x:v>Author direction establishes stone families. Source mechanisms remain proposal-stage; specific equipment functions are proposals.</x:v>
      </x:c>
      <x:c r="AG222" s="4" t="str">
        <x:v>Finished endpoint; material tier is not applicable. Input tiers belong to the chosen recipe.</x:v>
      </x:c>
      <x:c r="AH222" s="4" t="str">
        <x:v>Unassigned</x:v>
      </x:c>
      <x:c r="AI222" s="4" t="str">
        <x:v>Finished item</x:v>
      </x:c>
      <x:c r="AJ222" s="4" t="n">
        <x:f>COUNTIFS('Material routes'!$D$6:$D$1005,A222,'Material routes'!$C$6:$C$1005,"Output")</x:f>
        <x:v>0</x:v>
      </x:c>
      <x:c r="AK222" s="4" t="n">
        <x:f>SUM(COUNTIFS('Material routes'!$D$6:$D$1005,A222,'Material routes'!$C$6:$C$1005,"Ingredient candidate"),COUNTIFS('Material routes'!$D$6:$D$1005,A222,'Material routes'!$C$6:$C$1005,"Consumed input"),COUNTIFS('Material routes'!$D$6:$D$1005,A222,'Material routes'!$C$6:$C$1005,"Contained input"),COUNTIFS('Material routes'!$D$6:$D$1005,A222,'Material routes'!$C$6:$C$1005,"Transform input"))</x:f>
        <x:v>0</x:v>
      </x:c>
      <x:c r="AL222" s="4" t="n">
        <x:f>COUNTIFS('Material routes'!$D$6:$D$1005,A222,'Material routes'!$C$6:$C$1005,"Tool candidate")</x:f>
        <x:v>0</x:v>
      </x:c>
      <x:c r="AM222" s="4" t="str">
        <x:f>IF(AJ222&gt;0,"Route listed; review status/completeness",IF(C222="T0","Raw entry feed; no production route","No production route listed"))</x:f>
        <x:v>No production route listed</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15" customHeight="1">
      <x:c r="A223" s="9" t="str">
        <x:v>proposal.fire.wind_baffle</x:v>
      </x:c>
      <x:c r="B223" s="9" t="str">
        <x:v>Cooking wind baffle</x:v>
      </x:c>
      <x:c r="C223" s="4" t="str">
        <x:v>Unassigned</x:v>
      </x:c>
      <x:c r="D223" s="9" t="str">
        <x:v>Crafting components</x:v>
      </x:c>
      <x:c r="E223" s="9" t="str">
        <x:v>Fire management</x:v>
      </x:c>
      <x:c r="F223" s="9" t="str">
        <x:v>New proposal</x:v>
      </x:c>
      <x:c r="G223" s="9" t="str">
        <x:v>Shaped screen candidate to reduce disruptive crosswind around a cooking setup.</x:v>
      </x:c>
      <x:c r="H223" s="9" t="str">
        <x:v>Unassigned; no new slot approved</x:v>
      </x:c>
      <x:c r="I223" s="9" t="str">
        <x:v>Carrier / placement policy TBD</x:v>
      </x:c>
      <x:c r="J223" s="13"/>
      <x:c r="K223" s="15"/>
      <x:c r="L223" s="9" t="str">
        <x:v>Gathering, specialist craft or trade; exact acquisition TBD</x:v>
      </x:c>
      <x:c r="M223" s="9" t="str">
        <x:v>No cooking, ignition or oxygen-release recipe authored</x:v>
      </x:c>
      <x:c r="N223" s="9" t="str">
        <x:v>Not implemented</x:v>
      </x:c>
      <x:c r="O223" s="9" t="str">
        <x:v>Airflow and exhaust must remain part of design; wind protection must not be treated as airtight enclosure.</x:v>
      </x:c>
      <x:c r="P223" s="17"/>
      <x:c r="Q223" s="17"/>
      <x:c r="R223" s="17"/>
      <x:c r="S223" s="17"/>
      <x:c r="T223" s="17"/>
      <x:c r="U223" s="9" t="str">
        <x:v>Names are descriptive working labels. Fire-dependent uses are constrained by source atmosphere proposals; no oxygen/flame simulation, nutrition bonus or automatic detoxification.</x:v>
      </x:c>
      <x:c r="V223" s="11" t="str">
        <x:v>cooking</x:v>
      </x:c>
      <x:c r="W223" s="9" t="str">
        <x:v>https://github.com/sleepyseamonster/Arc-Dust/blob/f6f98515c005dc3c73cccd9cbc031691745740c6/02-Arc-Dust-Worldbuilding/world/geography/atmosphere.md</x:v>
      </x:c>
      <x:c r="X223" s="4" t="str">
        <x:v>Crafting component</x:v>
      </x:c>
      <x:c r="Y223" s="4" t="str">
        <x:v>Processed intermediate</x:v>
      </x:c>
      <x:c r="Z223" s="4" t="str">
        <x:v>Manufactured / unresolved</x:v>
      </x:c>
      <x:c r="AA223" s="4" t="str">
        <x:v>Fire management</x:v>
      </x:c>
      <x:c r="AB223" s="4" t="str">
        <x:v>Metal</x:v>
      </x:c>
      <x:c r="AC223" s="4" t="str">
        <x:v>Panel</x:v>
      </x:c>
      <x:c r="AD223" s="4" t="str">
        <x:v>Proposal</x:v>
      </x:c>
      <x:c r="AE223" s="4" t="str">
        <x:f>LOWER(A223&amp;"; "&amp;B223&amp;"; "&amp;D223&amp;"; "&amp;E223&amp;"; "&amp;X223&amp;"; "&amp;Y223&amp;"; "&amp;Z223&amp;"; "&amp;AA223&amp;"; "&amp;AB223&amp;"; "&amp;AC223&amp;"; "&amp;AD223&amp;"; "&amp;V223&amp;"; "&amp;C223&amp;"; "&amp;AH223&amp;"; "&amp;AI223)</x:f>
        <x:v>proposal.fire.wind_baffle; cooking wind baffle; crafting components; fire management; crafting component; processed intermediate; manufactured / unresolved; fire management; metal; panel; proposal; cooking; unassigned; not applicable; component</x:v>
      </x:c>
      <x:c r="AF223" s="4" t="str">
        <x:v>Author direction establishes stone families. Source mechanisms remain proposal-stage; specific equipment functions are proposals.</x:v>
      </x:c>
      <x:c r="AG223" s="4" t="str">
        <x:v>Choose a material/part route before assigning a tier. Processing-stage labels alone do not prove chain depth.</x:v>
      </x:c>
      <x:c r="AH223" s="4" t="str">
        <x:v>Not applicable</x:v>
      </x:c>
      <x:c r="AI223" s="4" t="str">
        <x:v>Component</x:v>
      </x:c>
      <x:c r="AJ223" s="4" t="n">
        <x:f>COUNTIFS('Material routes'!$D$6:$D$1005,A223,'Material routes'!$C$6:$C$1005,"Output")</x:f>
        <x:v>0</x:v>
      </x:c>
      <x:c r="AK223" s="4" t="n">
        <x:f>SUM(COUNTIFS('Material routes'!$D$6:$D$1005,A223,'Material routes'!$C$6:$C$1005,"Ingredient candidate"),COUNTIFS('Material routes'!$D$6:$D$1005,A223,'Material routes'!$C$6:$C$1005,"Consumed input"),COUNTIFS('Material routes'!$D$6:$D$1005,A223,'Material routes'!$C$6:$C$1005,"Contained input"),COUNTIFS('Material routes'!$D$6:$D$1005,A223,'Material routes'!$C$6:$C$1005,"Transform input"))</x:f>
        <x:v>0</x:v>
      </x:c>
      <x:c r="AL223" s="4" t="n">
        <x:f>COUNTIFS('Material routes'!$D$6:$D$1005,A223,'Material routes'!$C$6:$C$1005,"Tool candidate")</x:f>
        <x:v>0</x:v>
      </x:c>
      <x:c r="AM223" s="4" t="str">
        <x:f>IF(AJ223&gt;0,"Route listed; review status/completeness",IF(C223="T0","Raw entry feed; no production route","No production route listed"))</x:f>
        <x:v>No production route listed</x:v>
      </x:c>
      <x:c r="AN223" s="14" t="n">
        <x:f>IF(C223="T0",0,IF(C223="T1",1,IF(C223="T2",2,IF(C223="T3",3,IF(C223="T4",4,IF(C223="Unassigned",98,99))))))</x:f>
        <x:v>98</x:v>
      </x:c>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15" customHeight="1">
      <x:c r="A224" s="9" t="str">
        <x:v>proposal.fire.draft_collar</x:v>
      </x:c>
      <x:c r="B224" s="9" t="str">
        <x:v>Cooking draft collar</x:v>
      </x:c>
      <x:c r="C224" s="4" t="str">
        <x:v>Unassigned</x:v>
      </x:c>
      <x:c r="D224" s="9" t="str">
        <x:v>Crafting components</x:v>
      </x:c>
      <x:c r="E224" s="9" t="str">
        <x:v>Fire management</x:v>
      </x:c>
      <x:c r="F224" s="9" t="str">
        <x:v>New proposal</x:v>
      </x:c>
      <x:c r="G224" s="9" t="str">
        <x:v>Fitted intake/draft part candidate for a compatible cooking firebox.</x:v>
      </x:c>
      <x:c r="H224" s="9" t="str">
        <x:v>Unassigned; no new slot approved</x:v>
      </x:c>
      <x:c r="I224" s="9" t="str">
        <x:v>Carrier / placement policy TBD</x:v>
      </x:c>
      <x:c r="J224" s="13"/>
      <x:c r="K224" s="15"/>
      <x:c r="L224" s="9" t="str">
        <x:v>Gathering, specialist craft or trade; exact acquisition TBD</x:v>
      </x:c>
      <x:c r="M224" s="9" t="str">
        <x:v>No cooking, ignition or oxygen-release recipe authored</x:v>
      </x:c>
      <x:c r="N224" s="9" t="str">
        <x:v>Not implemented</x:v>
      </x:c>
      <x:c r="O224" s="9" t="str">
        <x:v>Proposed small-cooker adaptation of source draft engineering, not a proven design or oxygen-generating device.</x:v>
      </x:c>
      <x:c r="P224" s="17"/>
      <x:c r="Q224" s="17"/>
      <x:c r="R224" s="17"/>
      <x:c r="S224" s="17"/>
      <x:c r="T224" s="17"/>
      <x:c r="U224" s="9" t="str">
        <x:v>Names are descriptive working labels. Fire-dependent uses are constrained by source atmosphere proposals; no oxygen/flame simulation, nutrition bonus or automatic detoxification.</x:v>
      </x:c>
      <x:c r="V224" s="11" t="str">
        <x:v>cooking</x:v>
      </x:c>
      <x:c r="W224" s="9" t="str">
        <x:v>https://github.com/sleepyseamonster/Arc-Dust/blob/f6f98515c005dc3c73cccd9cbc031691745740c6/02-Arc-Dust-Worldbuilding/world/geography/atmosphere.md</x:v>
      </x:c>
      <x:c r="X224" s="4" t="str">
        <x:v>Crafting component</x:v>
      </x:c>
      <x:c r="Y224" s="4" t="str">
        <x:v>Processed intermediate</x:v>
      </x:c>
      <x:c r="Z224" s="4" t="str">
        <x:v>Manufactured / unresolved</x:v>
      </x:c>
      <x:c r="AA224" s="4" t="str">
        <x:v>Fire management</x:v>
      </x:c>
      <x:c r="AB224" s="4" t="str">
        <x:v>Ceramic</x:v>
      </x:c>
      <x:c r="AC224" s="4" t="str">
        <x:v>Solid part</x:v>
      </x:c>
      <x:c r="AD224" s="4" t="str">
        <x:v>Proposal</x:v>
      </x:c>
      <x:c r="AE224" s="4" t="str">
        <x:f>LOWER(A224&amp;"; "&amp;B224&amp;"; "&amp;D224&amp;"; "&amp;E224&amp;"; "&amp;X224&amp;"; "&amp;Y224&amp;"; "&amp;Z224&amp;"; "&amp;AA224&amp;"; "&amp;AB224&amp;"; "&amp;AC224&amp;"; "&amp;AD224&amp;"; "&amp;V224&amp;"; "&amp;C224&amp;"; "&amp;AH224&amp;"; "&amp;AI224)</x:f>
        <x:v>proposal.fire.draft_collar; cooking draft collar; crafting components; fire management; crafting component; processed intermediate; manufactured / unresolved; fire management; ceramic; solid part; proposal; cooking; unassigned; not applicable; component</x:v>
      </x:c>
      <x:c r="AF224" s="4" t="str">
        <x:v>Author direction establishes stone families. Source mechanisms remain proposal-stage; specific equipment functions are proposals.</x:v>
      </x:c>
      <x:c r="AG224" s="4" t="str">
        <x:v>Choose a material/part route before assigning a tier. Processing-stage labels alone do not prove chain depth.</x:v>
      </x:c>
      <x:c r="AH224" s="4" t="str">
        <x:v>Not applicable</x:v>
      </x:c>
      <x:c r="AI224" s="4" t="str">
        <x:v>Component</x:v>
      </x:c>
      <x:c r="AJ224" s="4" t="n">
        <x:f>COUNTIFS('Material routes'!$D$6:$D$1005,A224,'Material routes'!$C$6:$C$1005,"Output")</x:f>
        <x:v>0</x:v>
      </x:c>
      <x:c r="AK224" s="4" t="n">
        <x:f>SUM(COUNTIFS('Material routes'!$D$6:$D$1005,A224,'Material routes'!$C$6:$C$1005,"Ingredient candidate"),COUNTIFS('Material routes'!$D$6:$D$1005,A224,'Material routes'!$C$6:$C$1005,"Consumed input"),COUNTIFS('Material routes'!$D$6:$D$1005,A224,'Material routes'!$C$6:$C$1005,"Contained input"),COUNTIFS('Material routes'!$D$6:$D$1005,A224,'Material routes'!$C$6:$C$1005,"Transform input"))</x:f>
        <x:v>0</x:v>
      </x:c>
      <x:c r="AL224" s="4" t="n">
        <x:f>COUNTIFS('Material routes'!$D$6:$D$1005,A224,'Material routes'!$C$6:$C$1005,"Tool candidate")</x:f>
        <x:v>0</x:v>
      </x:c>
      <x:c r="AM224" s="4" t="str">
        <x:f>IF(AJ224&gt;0,"Route listed; review status/completeness",IF(C224="T0","Raw entry feed; no production route","No production route listed"))</x:f>
        <x:v>No production route listed</x:v>
      </x:c>
      <x:c r="AN224" s="14" t="n">
        <x:f>IF(C224="T0",0,IF(C224="T1",1,IF(C224="T2",2,IF(C224="T3",3,IF(C224="T4",4,IF(C224="Unassigned",98,99))))))</x:f>
        <x:v>98</x:v>
      </x:c>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15" customHeight="1">
      <x:c r="A225" s="9" t="str">
        <x:v>proposal.fire.heat_shroud</x:v>
      </x:c>
      <x:c r="B225" s="9" t="str">
        <x:v>Cooking heat shroud</x:v>
      </x:c>
      <x:c r="C225" s="4" t="str">
        <x:v>Unassigned</x:v>
      </x:c>
      <x:c r="D225" s="9" t="str">
        <x:v>Crafting components</x:v>
      </x:c>
      <x:c r="E225" s="9" t="str">
        <x:v>Fire management</x:v>
      </x:c>
      <x:c r="F225" s="9" t="str">
        <x:v>New proposal</x:v>
      </x:c>
      <x:c r="G225" s="9" t="str">
        <x:v>Shaped ceramic panel candidate around a selected heat path.</x:v>
      </x:c>
      <x:c r="H225" s="9" t="str">
        <x:v>Unassigned; no new slot approved</x:v>
      </x:c>
      <x:c r="I225" s="9" t="str">
        <x:v>Carrier / placement policy TBD</x:v>
      </x:c>
      <x:c r="J225" s="13"/>
      <x:c r="K225" s="15"/>
      <x:c r="L225" s="9" t="str">
        <x:v>Gathering, specialist craft or trade; exact acquisition TBD</x:v>
      </x:c>
      <x:c r="M225" s="9" t="str">
        <x:v>No cooking, ignition or oxygen-release recipe authored</x:v>
      </x:c>
      <x:c r="N225" s="9" t="str">
        <x:v>Not implemented</x:v>
      </x:c>
      <x:c r="O225" s="9" t="str">
        <x:v>Service grade, mounting and actual heat performance undefined; reuse ceramic lining craft family where possible.</x:v>
      </x:c>
      <x:c r="P225" s="17"/>
      <x:c r="Q225" s="17"/>
      <x:c r="R225" s="17"/>
      <x:c r="S225" s="17"/>
      <x:c r="T225" s="17"/>
      <x:c r="U225" s="9" t="str">
        <x:v>Names are descriptive working labels. Fire-dependent uses are constrained by source atmosphere proposals; no oxygen/flame simulation, nutrition bonus or automatic detoxification.</x:v>
      </x:c>
      <x:c r="V225" s="11" t="str">
        <x:v>protective fabrication</x:v>
      </x:c>
      <x:c r="W225" s="9" t="str">
        <x:v>https://github.com/sleepyseamonster/Arc-Dust/blob/f6f98515c005dc3c73cccd9cbc031691745740c6/02-Arc-Dust-Worldbuilding/world/geography/atmosphere.md</x:v>
      </x:c>
      <x:c r="X225" s="4" t="str">
        <x:v>Crafting component</x:v>
      </x:c>
      <x:c r="Y225" s="4" t="str">
        <x:v>Processed intermediate</x:v>
      </x:c>
      <x:c r="Z225" s="4" t="str">
        <x:v>Manufactured / unresolved</x:v>
      </x:c>
      <x:c r="AA225" s="4" t="str">
        <x:v>Cooking</x:v>
      </x:c>
      <x:c r="AB225" s="4" t="str">
        <x:v>Ceramic</x:v>
      </x:c>
      <x:c r="AC225" s="4" t="str">
        <x:v>Panel</x:v>
      </x:c>
      <x:c r="AD225" s="4" t="str">
        <x:v>Proposal</x:v>
      </x:c>
      <x:c r="AE225" s="4" t="str">
        <x:f>LOWER(A225&amp;"; "&amp;B225&amp;"; "&amp;D225&amp;"; "&amp;E225&amp;"; "&amp;X225&amp;"; "&amp;Y225&amp;"; "&amp;Z225&amp;"; "&amp;AA225&amp;"; "&amp;AB225&amp;"; "&amp;AC225&amp;"; "&amp;AD225&amp;"; "&amp;V225&amp;"; "&amp;C225&amp;"; "&amp;AH225&amp;"; "&amp;AI225)</x:f>
        <x:v>proposal.fire.heat_shroud; cooking heat shroud; crafting components; fire management; crafting component; processed intermediate; manufactured / unresolved; cooking; ceramic; panel; proposal; protective fabrication; unassigned; not applicable; component</x:v>
      </x:c>
      <x:c r="AF225" s="4" t="str">
        <x:v>Author direction establishes stone families. Source mechanisms remain proposal-stage; specific equipment functions are proposals.</x:v>
      </x:c>
      <x:c r="AG225" s="4" t="str">
        <x:v>Choose a material/part route before assigning a tier. Processing-stage labels alone do not prove chain depth.</x:v>
      </x:c>
      <x:c r="AH225" s="4" t="str">
        <x:v>Not applicable</x:v>
      </x:c>
      <x:c r="AI225" s="4" t="str">
        <x:v>Component</x:v>
      </x:c>
      <x:c r="AJ225" s="4" t="n">
        <x:f>COUNTIFS('Material routes'!$D$6:$D$1005,A225,'Material routes'!$C$6:$C$1005,"Output")</x:f>
        <x:v>0</x:v>
      </x:c>
      <x:c r="AK225" s="4" t="n">
        <x:f>SUM(COUNTIFS('Material routes'!$D$6:$D$1005,A225,'Material routes'!$C$6:$C$1005,"Ingredient candidate"),COUNTIFS('Material routes'!$D$6:$D$1005,A225,'Material routes'!$C$6:$C$1005,"Consumed input"),COUNTIFS('Material routes'!$D$6:$D$1005,A225,'Material routes'!$C$6:$C$1005,"Contained input"),COUNTIFS('Material routes'!$D$6:$D$1005,A225,'Material routes'!$C$6:$C$1005,"Transform input"))</x:f>
        <x:v>0</x:v>
      </x:c>
      <x:c r="AL225" s="4" t="n">
        <x:f>COUNTIFS('Material routes'!$D$6:$D$1005,A225,'Material routes'!$C$6:$C$1005,"Tool candidate")</x:f>
        <x:v>0</x:v>
      </x:c>
      <x:c r="AM225" s="4" t="str">
        <x:f>IF(AJ225&gt;0,"Route listed; review status/completeness",IF(C225="T0","Raw entry feed; no production route","No production route listed"))</x:f>
        <x:v>No production route listed</x:v>
      </x:c>
      <x:c r="AN225" s="14" t="n">
        <x:f>IF(C225="T0",0,IF(C225="T1",1,IF(C225="T2",2,IF(C225="T3",3,IF(C225="T4",4,IF(C225="Unassigned",98,99))))))</x:f>
        <x:v>98</x:v>
      </x:c>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str">
        <x:v>Equipment</x:v>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equipment; mineral light; tool; finished item; manufactured / unresolved; illumination; mixed / unresolved; assembly; proposal; ; not applicable; unassigned; finished item</x:v>
      </x:c>
      <x:c r="AF226" s="4" t="str">
        <x:v>Author direction establishes stone families. Source mechanisms remain proposal-stage; specific equipment functions are proposals.</x:v>
      </x:c>
      <x:c r="AG226" s="4" t="str">
        <x:v>Finished endpoint; material tier is not applicable. Input tiers belong to the chosen recipe.</x:v>
      </x:c>
      <x:c r="AH226" s="4" t="str">
        <x:v>Unassigned</x:v>
      </x:c>
      <x:c r="AI226" s="4" t="str">
        <x:v>Finished item</x:v>
      </x:c>
      <x:c r="AJ226" s="4" t="n">
        <x:f>COUNTIFS('Material routes'!$D$6:$D$1005,A226,'Material routes'!$C$6:$C$1005,"Output")</x:f>
        <x:v>0</x:v>
      </x:c>
      <x:c r="AK226" s="4" t="n">
        <x:f>SUM(COUNTIFS('Material routes'!$D$6:$D$1005,A226,'Material routes'!$C$6:$C$1005,"Ingredient candidate"),COUNTIFS('Material routes'!$D$6:$D$1005,A226,'Material routes'!$C$6:$C$1005,"Consumed input"),COUNTIFS('Material routes'!$D$6:$D$1005,A226,'Material routes'!$C$6:$C$1005,"Contained input"),COUNTIFS('Material routes'!$D$6:$D$1005,A226,'Material routes'!$C$6:$C$1005,"Transform input"))</x:f>
        <x:v>0</x:v>
      </x:c>
      <x:c r="AL226" s="4" t="n">
        <x:f>COUNTIFS('Material routes'!$D$6:$D$1005,A226,'Material routes'!$C$6:$C$1005,"Tool candidate")</x:f>
        <x:v>0</x:v>
      </x:c>
      <x:c r="AM226" s="4" t="str">
        <x:f>IF(AJ226&gt;0,"Route listed; review status/completeness",IF(C226="T0","Raw entry feed; no production route","No production route listed"))</x:f>
        <x:v>No production route listed</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Resources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resources;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x:v>
      </x:c>
      <x:c r="AG227" s="4" t="str">
        <x:v>Proposed game manufacturing tier from the candidate routes. Integrated operations may contain many work steps.</x:v>
      </x:c>
      <x:c r="AH227" s="4" t="str">
        <x:v>Not applicable</x:v>
      </x:c>
      <x:c r="AI227" s="4" t="str">
        <x:v>Material</x:v>
      </x:c>
      <x:c r="AJ227" s="4" t="n">
        <x:f>COUNTIFS('Material routes'!$D$6:$D$1005,A227,'Material routes'!$C$6:$C$1005,"Output")</x:f>
        <x:v>1</x:v>
      </x:c>
      <x:c r="AK227" s="4" t="n">
        <x:f>SUM(COUNTIFS('Material routes'!$D$6:$D$1005,A227,'Material routes'!$C$6:$C$1005,"Ingredient candidate"),COUNTIFS('Material routes'!$D$6:$D$1005,A227,'Material routes'!$C$6:$C$1005,"Consumed input"),COUNTIFS('Material routes'!$D$6:$D$1005,A227,'Material routes'!$C$6:$C$1005,"Contained input"),COUNTIFS('Material routes'!$D$6:$D$1005,A227,'Material routes'!$C$6:$C$1005,"Transform input"))</x:f>
        <x:v>3</x:v>
      </x:c>
      <x:c r="AL227" s="4" t="n">
        <x:f>COUNTIFS('Material routes'!$D$6:$D$1005,A227,'Material routes'!$C$6:$C$1005,"Tool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Resources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resources;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x:v>
      </x:c>
      <x:c r="AG228" s="4" t="str">
        <x:v>Proposed game manufacturing tier from the candidate routes. Integrated operations may contain many work steps.</x:v>
      </x:c>
      <x:c r="AH228" s="4" t="str">
        <x:v>Not applicable</x:v>
      </x:c>
      <x:c r="AI228" s="4" t="str">
        <x:v>Material</x:v>
      </x:c>
      <x:c r="AJ228" s="4" t="n">
        <x:f>COUNTIFS('Material routes'!$D$6:$D$1005,A228,'Material routes'!$C$6:$C$1005,"Output")</x:f>
        <x:v>1</x:v>
      </x:c>
      <x:c r="AK228" s="4" t="n">
        <x:f>SUM(COUNTIFS('Material routes'!$D$6:$D$1005,A228,'Material routes'!$C$6:$C$1005,"Ingredient candidate"),COUNTIFS('Material routes'!$D$6:$D$1005,A228,'Material routes'!$C$6:$C$1005,"Consumed input"),COUNTIFS('Material routes'!$D$6:$D$1005,A228,'Material routes'!$C$6:$C$1005,"Contained input"),COUNTIFS('Material routes'!$D$6:$D$1005,A228,'Material routes'!$C$6:$C$1005,"Transform input"))</x:f>
        <x:v>2</x:v>
      </x:c>
      <x:c r="AL228" s="4" t="n">
        <x:f>COUNTIFS('Material routes'!$D$6:$D$1005,A228,'Material routes'!$C$6:$C$1005,"Tool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Resources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resources;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x:v>
      </x:c>
      <x:c r="AG229" s="4" t="str">
        <x:v>Proposed game manufacturing tier from the candidate routes. Integrated operations may contain many work steps.</x:v>
      </x:c>
      <x:c r="AH229" s="4" t="str">
        <x:v>Not applicable</x:v>
      </x:c>
      <x:c r="AI229" s="4" t="str">
        <x:v>Material</x:v>
      </x:c>
      <x:c r="AJ229" s="4" t="n">
        <x:f>COUNTIFS('Material routes'!$D$6:$D$1005,A229,'Material routes'!$C$6:$C$1005,"Output")</x:f>
        <x:v>1</x:v>
      </x:c>
      <x:c r="AK229" s="4" t="n">
        <x:f>SUM(COUNTIFS('Material routes'!$D$6:$D$1005,A229,'Material routes'!$C$6:$C$1005,"Ingredient candidate"),COUNTIFS('Material routes'!$D$6:$D$1005,A229,'Material routes'!$C$6:$C$1005,"Consumed input"),COUNTIFS('Material routes'!$D$6:$D$1005,A229,'Material routes'!$C$6:$C$1005,"Contained input"),COUNTIFS('Material routes'!$D$6:$D$1005,A229,'Material routes'!$C$6:$C$1005,"Transform input"))</x:f>
        <x:v>1</x:v>
      </x:c>
      <x:c r="AL229" s="4" t="n">
        <x:f>COUNTIFS('Material routes'!$D$6:$D$1005,A229,'Material routes'!$C$6:$C$1005,"Tool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15" customHeight="1">
      <x:c r="A230" s="9" t="str">
        <x:v>proposal.lubricant.dust_film</x:v>
      </x:c>
      <x:c r="B230" s="9" t="str">
        <x:v>Dust-shedding lubricant film</x:v>
      </x:c>
      <x:c r="C230" s="4" t="str">
        <x:v>Unassigned</x:v>
      </x:c>
      <x:c r="D230" s="9" t="str">
        <x:v>Resources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resources; finished lubricant; chemical material; finished item; fauna; lubrication; biological chemical; unresolved; proposal; grease; lubricant; fauna chemistry; dust exclusion; unassigned; not applicable; material</x:v>
      </x:c>
      <x:c r="AF230" s="4" t="str">
        <x:v>Specific formulation is proposed; source oils and existing joint secretion are references, not validated recipes.</x:v>
      </x:c>
      <x:c r="AG230" s="4" t="str">
        <x:v>Choose a material/part route before assigning a tier. Processing-stage labels alone do not prove chain depth.</x:v>
      </x:c>
      <x:c r="AH230" s="4" t="str">
        <x:v>Not applicable</x:v>
      </x:c>
      <x:c r="AI230" s="4" t="str">
        <x:v>Material</x:v>
      </x:c>
      <x:c r="AJ230" s="4" t="n">
        <x:f>COUNTIFS('Material routes'!$D$6:$D$1005,A230,'Material routes'!$C$6:$C$1005,"Output")</x:f>
        <x:v>0</x:v>
      </x:c>
      <x:c r="AK230" s="4" t="n">
        <x:f>SUM(COUNTIFS('Material routes'!$D$6:$D$1005,A230,'Material routes'!$C$6:$C$1005,"Ingredient candidate"),COUNTIFS('Material routes'!$D$6:$D$1005,A230,'Material routes'!$C$6:$C$1005,"Consumed input"),COUNTIFS('Material routes'!$D$6:$D$1005,A230,'Material routes'!$C$6:$C$1005,"Contained input"),COUNTIFS('Material routes'!$D$6:$D$1005,A230,'Material routes'!$C$6:$C$1005,"Transform input"))</x:f>
        <x:v>0</x:v>
      </x:c>
      <x:c r="AL230" s="4" t="n">
        <x:f>COUNTIFS('Material routes'!$D$6:$D$1005,A230,'Material routes'!$C$6:$C$1005,"Tool candidate")</x:f>
        <x:v>0</x:v>
      </x:c>
      <x:c r="AM230" s="4" t="str">
        <x:f>IF(AJ230&gt;0,"Route listed; review status/completeness",IF(C230="T0","Raw entry feed; no production route","No production route listed"))</x:f>
        <x:v>No production route listed</x:v>
      </x:c>
      <x:c r="AN230" s="14" t="n">
        <x:f>IF(C230="T0",0,IF(C230="T1",1,IF(C230="T2",2,IF(C230="T3",3,IF(C230="T4",4,IF(C230="Unassigned",98,99))))))</x:f>
        <x:v>98</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15" customHeight="1">
      <x:c r="A231" s="9" t="str">
        <x:v>proposal.lubricant.seal_paste</x:v>
      </x:c>
      <x:c r="B231" s="9" t="str">
        <x:v>Seal-conditioning paste</x:v>
      </x:c>
      <x:c r="C231" s="4" t="str">
        <x:v>Unassigned</x:v>
      </x:c>
      <x:c r="D231" s="9" t="str">
        <x:v>Resources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resources; finished lubricant; chemical material; finished item; fauna; lubrication; biological chemical; paste; proposal; grease; lubricant; fauna chemistry; sealing; unassigned; not applicable; material</x:v>
      </x:c>
      <x:c r="AF231" s="4" t="str">
        <x:v>Specific formulation is proposed; source oils and existing joint secretion are references, not validated recipes.</x:v>
      </x:c>
      <x:c r="AG231" s="4" t="str">
        <x:v>Choose a material/part route before assigning a tier. Processing-stage labels alone do not prove chain depth.</x:v>
      </x:c>
      <x:c r="AH231" s="4" t="str">
        <x:v>Not applicable</x:v>
      </x:c>
      <x:c r="AI231" s="4" t="str">
        <x:v>Material</x:v>
      </x:c>
      <x:c r="AJ231" s="4" t="n">
        <x:f>COUNTIFS('Material routes'!$D$6:$D$1005,A231,'Material routes'!$C$6:$C$1005,"Output")</x:f>
        <x:v>0</x:v>
      </x:c>
      <x:c r="AK231" s="4" t="n">
        <x:f>SUM(COUNTIFS('Material routes'!$D$6:$D$1005,A231,'Material routes'!$C$6:$C$1005,"Ingredient candidate"),COUNTIFS('Material routes'!$D$6:$D$1005,A231,'Material routes'!$C$6:$C$1005,"Consumed input"),COUNTIFS('Material routes'!$D$6:$D$1005,A231,'Material routes'!$C$6:$C$1005,"Contained input"),COUNTIFS('Material routes'!$D$6:$D$1005,A231,'Material routes'!$C$6:$C$1005,"Transform input"))</x:f>
        <x:v>0</x:v>
      </x:c>
      <x:c r="AL231" s="4" t="n">
        <x:f>COUNTIFS('Material routes'!$D$6:$D$1005,A231,'Material routes'!$C$6:$C$1005,"Tool candidate")</x:f>
        <x:v>0</x:v>
      </x:c>
      <x:c r="AM231" s="4" t="str">
        <x:f>IF(AJ231&gt;0,"Route listed; review status/completeness",IF(C231="T0","Raw entry feed; no production route","No production route listed"))</x:f>
        <x:v>No production route listed</x:v>
      </x:c>
      <x:c r="AN231" s="14" t="n">
        <x:f>IF(C231="T0",0,IF(C231="T1",1,IF(C231="T2",2,IF(C231="T3",3,IF(C231="T4",4,IF(C231="Unassigned",98,99))))))</x:f>
        <x:v>98</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Resources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resources;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routes'!$D$6:$D$1005,A232,'Material routes'!$C$6:$C$1005,"Output")</x:f>
        <x:v>1</x:v>
      </x:c>
      <x:c r="AK232" s="4" t="n">
        <x:f>SUM(COUNTIFS('Material routes'!$D$6:$D$1005,A232,'Material routes'!$C$6:$C$1005,"Ingredient candidate"),COUNTIFS('Material routes'!$D$6:$D$1005,A232,'Material routes'!$C$6:$C$1005,"Consumed input"),COUNTIFS('Material routes'!$D$6:$D$1005,A232,'Material routes'!$C$6:$C$1005,"Contained input"),COUNTIFS('Material routes'!$D$6:$D$1005,A232,'Material routes'!$C$6:$C$1005,"Transform input"))</x:f>
        <x:v>0</x:v>
      </x:c>
      <x:c r="AL232" s="4" t="n">
        <x:f>COUNTIFS('Material routes'!$D$6:$D$1005,A232,'Material routes'!$C$6:$C$1005,"Tool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15" customHeight="1">
      <x:c r="A233" s="9" t="str">
        <x:v>proposal.lubricant.insulating_grease</x:v>
      </x:c>
      <x:c r="B233" s="9" t="str">
        <x:v>Electrically insulating grease</x:v>
      </x:c>
      <x:c r="C233" s="4" t="str">
        <x:v>Unassigned</x:v>
      </x:c>
      <x:c r="D233" s="9" t="str">
        <x:v>Resources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resources; finished lubricant; chemical material; finished item; fauna; lubrication; biological chemical; paste; proposal; grease; lubricant; fauna chemistry; electrical insulation; unassigned; not applicable; material</x:v>
      </x:c>
      <x:c r="AF233" s="4" t="str">
        <x:v>Specific formulation is proposed; source oils and existing joint secretion are references, not validated recipes.</x:v>
      </x:c>
      <x:c r="AG233" s="4" t="str">
        <x:v>Choose a material/part route before assigning a tier. Processing-stage labels alone do not prove chain depth.</x:v>
      </x:c>
      <x:c r="AH233" s="4" t="str">
        <x:v>Not applicable</x:v>
      </x:c>
      <x:c r="AI233" s="4" t="str">
        <x:v>Material</x:v>
      </x:c>
      <x:c r="AJ233" s="4" t="n">
        <x:f>COUNTIFS('Material routes'!$D$6:$D$1005,A233,'Material routes'!$C$6:$C$1005,"Output")</x:f>
        <x:v>0</x:v>
      </x:c>
      <x:c r="AK233" s="4" t="n">
        <x:f>SUM(COUNTIFS('Material routes'!$D$6:$D$1005,A233,'Material routes'!$C$6:$C$1005,"Ingredient candidate"),COUNTIFS('Material routes'!$D$6:$D$1005,A233,'Material routes'!$C$6:$C$1005,"Consumed input"),COUNTIFS('Material routes'!$D$6:$D$1005,A233,'Material routes'!$C$6:$C$1005,"Contained input"),COUNTIFS('Material routes'!$D$6:$D$1005,A233,'Material routes'!$C$6:$C$1005,"Transform input"))</x:f>
        <x:v>0</x:v>
      </x:c>
      <x:c r="AL233" s="4" t="n">
        <x:f>COUNTIFS('Material routes'!$D$6:$D$1005,A233,'Material routes'!$C$6:$C$1005,"Tool candidate")</x:f>
        <x:v>0</x:v>
      </x:c>
      <x:c r="AM233" s="4" t="str">
        <x:f>IF(AJ233&gt;0,"Route listed; review status/completeness",IF(C233="T0","Raw entry feed; no production route","No production route listed"))</x:f>
        <x:v>No production route listed</x:v>
      </x:c>
      <x:c r="AN233" s="14" t="n">
        <x:f>IF(C233="T0",0,IF(C233="T1",1,IF(C233="T2",2,IF(C233="T3",3,IF(C233="T4",4,IF(C233="Unassigned",98,99))))))</x:f>
        <x:v>98</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Resources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resources;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routes'!$D$6:$D$1005,A234,'Material routes'!$C$6:$C$1005,"Output")</x:f>
        <x:v>1</x:v>
      </x:c>
      <x:c r="AK234" s="4" t="n">
        <x:f>SUM(COUNTIFS('Material routes'!$D$6:$D$1005,A234,'Material routes'!$C$6:$C$1005,"Ingredient candidate"),COUNTIFS('Material routes'!$D$6:$D$1005,A234,'Material routes'!$C$6:$C$1005,"Consumed input"),COUNTIFS('Material routes'!$D$6:$D$1005,A234,'Material routes'!$C$6:$C$1005,"Contained input"),COUNTIFS('Material routes'!$D$6:$D$1005,A234,'Material routes'!$C$6:$C$1005,"Transform input"))</x:f>
        <x:v>3</x:v>
      </x:c>
      <x:c r="AL234" s="4" t="n">
        <x:f>COUNTIFS('Material routes'!$D$6:$D$1005,A234,'Material routes'!$C$6:$C$1005,"Tool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str">
        <x:v>Equipment</x:v>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equipment; wind machine; machine; finished item; recovered machinery; wind power; mixed / unresolved; assembly; author direction; machinery drive; wind; sail; not applicable; unassigned; finished item</x:v>
      </x:c>
      <x:c r="AF235" s="4" t="str">
        <x:v>Author direction for equipment families; proposed components and unimplemented behavior remain explicitly separate.</x:v>
      </x:c>
      <x:c r="AG235" s="4" t="str">
        <x:v>Finished endpoint; material tier is not applicable. Input tiers belong to the chosen recipe.</x:v>
      </x:c>
      <x:c r="AH235" s="4" t="str">
        <x:v>Unassigned</x:v>
      </x:c>
      <x:c r="AI235" s="4" t="str">
        <x:v>Finished item</x:v>
      </x:c>
      <x:c r="AJ235" s="4" t="n">
        <x:f>COUNTIFS('Material routes'!$D$6:$D$1005,A235,'Material routes'!$C$6:$C$1005,"Output")</x:f>
        <x:v>0</x:v>
      </x:c>
      <x:c r="AK235" s="4" t="n">
        <x:f>SUM(COUNTIFS('Material routes'!$D$6:$D$1005,A235,'Material routes'!$C$6:$C$1005,"Ingredient candidate"),COUNTIFS('Material routes'!$D$6:$D$1005,A235,'Material routes'!$C$6:$C$1005,"Consumed input"),COUNTIFS('Material routes'!$D$6:$D$1005,A235,'Material routes'!$C$6:$C$1005,"Contained input"),COUNTIFS('Material routes'!$D$6:$D$1005,A235,'Material routes'!$C$6:$C$1005,"Transform input"))</x:f>
        <x:v>0</x:v>
      </x:c>
      <x:c r="AL235" s="4" t="n">
        <x:f>COUNTIFS('Material routes'!$D$6:$D$1005,A235,'Material routes'!$C$6:$C$1005,"Tool candidate")</x:f>
        <x:v>0</x:v>
      </x:c>
      <x:c r="AM235" s="4" t="str">
        <x:f>IF(AJ235&gt;0,"Route listed; review status/completeness",IF(C235="T0","Raw entry feed; no production route","No production route listed"))</x:f>
        <x:v>No production route listed</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str">
        <x:v>Crafting components</x:v>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crafting components; wind sail material; crafting component; processed intermediate; manufactured / unresolved; wind propulsion; wing membrane; panel; author direction; wind; sail; t1; not applicable; component</x:v>
      </x:c>
      <x:c r="AF236" s="4" t="str">
        <x:v>Author direction for equipment families; proposed components and unimplemented behavior remain explicitly separate.</x:v>
      </x:c>
      <x:c r="AG236" s="4" t="str">
        <x:v>Proposed game manufacturing tier from the candidate routes. Integrated operations may contain many work steps.</x:v>
      </x:c>
      <x:c r="AH236" s="4" t="str">
        <x:v>Not applicable</x:v>
      </x:c>
      <x:c r="AI236" s="4" t="str">
        <x:v>Component</x:v>
      </x:c>
      <x:c r="AJ236" s="4" t="n">
        <x:f>COUNTIFS('Material routes'!$D$6:$D$1005,A236,'Material routes'!$C$6:$C$1005,"Output")</x:f>
        <x:v>1</x:v>
      </x:c>
      <x:c r="AK236" s="4" t="n">
        <x:f>SUM(COUNTIFS('Material routes'!$D$6:$D$1005,A236,'Material routes'!$C$6:$C$1005,"Ingredient candidate"),COUNTIFS('Material routes'!$D$6:$D$1005,A236,'Material routes'!$C$6:$C$1005,"Consumed input"),COUNTIFS('Material routes'!$D$6:$D$1005,A236,'Material routes'!$C$6:$C$1005,"Contained input"),COUNTIFS('Material routes'!$D$6:$D$1005,A236,'Material routes'!$C$6:$C$1005,"Transform input"))</x:f>
        <x:v>1</x:v>
      </x:c>
      <x:c r="AL236" s="4" t="n">
        <x:f>COUNTIFS('Material routes'!$D$6:$D$1005,A236,'Material routes'!$C$6:$C$1005,"Tool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str">
        <x:v>Equipment</x:v>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equipment; wind traversal gear; traversal device; finished item; manufactured / unresolved; wind propulsion; wing membrane and frame; assembly; author direction; traversal; wind; sail; not applicable; unassigned; finished item</x:v>
      </x:c>
      <x:c r="AF237" s="4" t="str">
        <x:v>Author direction for equipment families; proposed components and unimplemented behavior remain explicitly separate.</x:v>
      </x:c>
      <x:c r="AG237" s="4" t="str">
        <x:v>Finished endpoint; material tier is not applicable. Input tiers belong to the chosen recipe.</x:v>
      </x:c>
      <x:c r="AH237" s="4" t="str">
        <x:v>Unassigned</x:v>
      </x:c>
      <x:c r="AI237" s="4" t="str">
        <x:v>Finished item</x:v>
      </x:c>
      <x:c r="AJ237" s="4" t="n">
        <x:f>COUNTIFS('Material routes'!$D$6:$D$1005,A237,'Material routes'!$C$6:$C$1005,"Output")</x:f>
        <x:v>0</x:v>
      </x:c>
      <x:c r="AK237" s="4" t="n">
        <x:f>SUM(COUNTIFS('Material routes'!$D$6:$D$1005,A237,'Material routes'!$C$6:$C$1005,"Ingredient candidate"),COUNTIFS('Material routes'!$D$6:$D$1005,A237,'Material routes'!$C$6:$C$1005,"Consumed input"),COUNTIFS('Material routes'!$D$6:$D$1005,A237,'Material routes'!$C$6:$C$1005,"Contained input"),COUNTIFS('Material routes'!$D$6:$D$1005,A237,'Material routes'!$C$6:$C$1005,"Transform input"))</x:f>
        <x:v>0</x:v>
      </x:c>
      <x:c r="AL237" s="4" t="n">
        <x:f>COUNTIFS('Material routes'!$D$6:$D$1005,A237,'Material routes'!$C$6:$C$1005,"Tool candidate")</x:f>
        <x:v>0</x:v>
      </x:c>
      <x:c r="AM237" s="4" t="str">
        <x:f>IF(AJ237&gt;0,"Route listed; review status/completeness",IF(C237="T0","Raw entry feed; no production route","No production route listed"))</x:f>
        <x:v>No production route listed</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str">
        <x:v>Equipment</x:v>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equipment; wind traversal gear; traversal device; finished item; manufactured / unresolved; traversal; mixed / unresolved; assembly; author direction; wind propulsion; wind; sail; skateboard mountainboard four wheel dirt board; not applicable; unassigned; finished item</x:v>
      </x:c>
      <x:c r="AF238" s="4" t="str">
        <x:v>Author direction for equipment families; proposed components and unimplemented behavior remain explicitly separate.</x:v>
      </x:c>
      <x:c r="AG238" s="4" t="str">
        <x:v>Finished endpoint; material tier is not applicable. Input tiers belong to the chosen recipe.</x:v>
      </x:c>
      <x:c r="AH238" s="4" t="str">
        <x:v>Unassigned</x:v>
      </x:c>
      <x:c r="AI238" s="4" t="str">
        <x:v>Finished item</x:v>
      </x:c>
      <x:c r="AJ238" s="4" t="n">
        <x:f>COUNTIFS('Material routes'!$D$6:$D$1005,A238,'Material routes'!$C$6:$C$1005,"Output")</x:f>
        <x:v>0</x:v>
      </x:c>
      <x:c r="AK238" s="4" t="n">
        <x:f>SUM(COUNTIFS('Material routes'!$D$6:$D$1005,A238,'Material routes'!$C$6:$C$1005,"Ingredient candidate"),COUNTIFS('Material routes'!$D$6:$D$1005,A238,'Material routes'!$C$6:$C$1005,"Consumed input"),COUNTIFS('Material routes'!$D$6:$D$1005,A238,'Material routes'!$C$6:$C$1005,"Contained input"),COUNTIFS('Material routes'!$D$6:$D$1005,A238,'Material routes'!$C$6:$C$1005,"Transform input"))</x:f>
        <x:v>0</x:v>
      </x:c>
      <x:c r="AL238" s="4" t="n">
        <x:f>COUNTIFS('Material routes'!$D$6:$D$1005,A238,'Material routes'!$C$6:$C$1005,"Tool candidate")</x:f>
        <x:v>0</x:v>
      </x:c>
      <x:c r="AM238" s="4" t="str">
        <x:f>IF(AJ238&gt;0,"Route listed; review status/completeness",IF(C238="T0","Raw entry feed; no production route","No production route listed"))</x:f>
        <x:v>No production route listed</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15" customHeight="1">
      <x:c r="A239" s="9" t="str">
        <x:v>proposal.wind.folding_frame</x:v>
      </x:c>
      <x:c r="B239" s="9" t="str">
        <x:v>Collapsible sail frame</x:v>
      </x:c>
      <x:c r="C239" s="4" t="str">
        <x:v>Unassigned</x:v>
      </x:c>
      <x:c r="D239" s="9" t="str">
        <x:v>Crafting components</x:v>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crafting components; wind sail component; crafting component; processed intermediate; manufactured / unresolved; equipment fabrication; metal; assembly; proposal; wind; sail; unassigned; not applicable; component</x:v>
      </x:c>
      <x:c r="AF239" s="4" t="str">
        <x:v>Author direction for equipment families; proposed components and unimplemented behavior remain explicitly separate.</x:v>
      </x:c>
      <x:c r="AG239" s="4" t="str">
        <x:v>Choose a material/part route before assigning a tier. Processing-stage labels alone do not prove chain depth.</x:v>
      </x:c>
      <x:c r="AH239" s="4" t="str">
        <x:v>Not applicable</x:v>
      </x:c>
      <x:c r="AI239" s="4" t="str">
        <x:v>Component</x:v>
      </x:c>
      <x:c r="AJ239" s="4" t="n">
        <x:f>COUNTIFS('Material routes'!$D$6:$D$1005,A239,'Material routes'!$C$6:$C$1005,"Output")</x:f>
        <x:v>0</x:v>
      </x:c>
      <x:c r="AK239" s="4" t="n">
        <x:f>SUM(COUNTIFS('Material routes'!$D$6:$D$1005,A239,'Material routes'!$C$6:$C$1005,"Ingredient candidate"),COUNTIFS('Material routes'!$D$6:$D$1005,A239,'Material routes'!$C$6:$C$1005,"Consumed input"),COUNTIFS('Material routes'!$D$6:$D$1005,A239,'Material routes'!$C$6:$C$1005,"Contained input"),COUNTIFS('Material routes'!$D$6:$D$1005,A239,'Material routes'!$C$6:$C$1005,"Transform input"))</x:f>
        <x:v>0</x:v>
      </x:c>
      <x:c r="AL239" s="4" t="n">
        <x:f>COUNTIFS('Material routes'!$D$6:$D$1005,A239,'Material routes'!$C$6:$C$1005,"Tool candidate")</x:f>
        <x:v>0</x:v>
      </x:c>
      <x:c r="AM239" s="4" t="str">
        <x:f>IF(AJ239&gt;0,"Route listed; review status/completeness",IF(C239="T0","Raw entry feed; no production route","No production route listed"))</x:f>
        <x:v>No production route listed</x:v>
      </x:c>
      <x:c r="AN239" s="14" t="n">
        <x:f>IF(C239="T0",0,IF(C239="T1",1,IF(C239="T2",2,IF(C239="T3",3,IF(C239="T4",4,IF(C239="Unassigned",98,99))))))</x:f>
        <x:v>98</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15" customHeight="1">
      <x:c r="A240" s="9" t="str">
        <x:v>proposal.wind.sail_grip</x:v>
      </x:c>
      <x:c r="B240" s="9" t="str">
        <x:v>Hand-sail grip assembly</x:v>
      </x:c>
      <x:c r="C240" s="4" t="str">
        <x:v>Unassigned</x:v>
      </x:c>
      <x:c r="D240" s="9" t="str">
        <x:v>Crafting components</x:v>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crafting components; wind sail component; crafting component; processed intermediate; manufactured / unresolved; equipment fabrication; mixed / unresolved; assembly; proposal; equipment mounting; wind; sail; unassigned; not applicable; component</x:v>
      </x:c>
      <x:c r="AF240" s="4" t="str">
        <x:v>Author direction for equipment families; proposed components and unimplemented behavior remain explicitly separate.</x:v>
      </x:c>
      <x:c r="AG240" s="4" t="str">
        <x:v>Choose a material/part route before assigning a tier. Processing-stage labels alone do not prove chain depth.</x:v>
      </x:c>
      <x:c r="AH240" s="4" t="str">
        <x:v>Not applicable</x:v>
      </x:c>
      <x:c r="AI240" s="4" t="str">
        <x:v>Component</x:v>
      </x:c>
      <x:c r="AJ240" s="4" t="n">
        <x:f>COUNTIFS('Material routes'!$D$6:$D$1005,A240,'Material routes'!$C$6:$C$1005,"Output")</x:f>
        <x:v>0</x:v>
      </x:c>
      <x:c r="AK240" s="4" t="n">
        <x:f>SUM(COUNTIFS('Material routes'!$D$6:$D$1005,A240,'Material routes'!$C$6:$C$1005,"Ingredient candidate"),COUNTIFS('Material routes'!$D$6:$D$1005,A240,'Material routes'!$C$6:$C$1005,"Consumed input"),COUNTIFS('Material routes'!$D$6:$D$1005,A240,'Material routes'!$C$6:$C$1005,"Contained input"),COUNTIFS('Material routes'!$D$6:$D$1005,A240,'Material routes'!$C$6:$C$1005,"Transform input"))</x:f>
        <x:v>0</x:v>
      </x:c>
      <x:c r="AL240" s="4" t="n">
        <x:f>COUNTIFS('Material routes'!$D$6:$D$1005,A240,'Material routes'!$C$6:$C$1005,"Tool candidate")</x:f>
        <x:v>0</x:v>
      </x:c>
      <x:c r="AM240" s="4" t="str">
        <x:f>IF(AJ240&gt;0,"Route listed; review status/completeness",IF(C240="T0","Raw entry feed; no production route","No production route listed"))</x:f>
        <x:v>No production route listed</x:v>
      </x:c>
      <x:c r="AN240" s="14" t="n">
        <x:f>IF(C240="T0",0,IF(C240="T1",1,IF(C240="T2",2,IF(C240="T3",3,IF(C240="T4",4,IF(C240="Unassigned",98,99))))))</x:f>
        <x:v>98</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15" customHeight="1">
      <x:c r="A241" s="9" t="str">
        <x:v>proposal.wind.wheel</x:v>
      </x:c>
      <x:c r="B241" s="9" t="str">
        <x:v>Dirtboard wheel assembly</x:v>
      </x:c>
      <x:c r="C241" s="4" t="str">
        <x:v>Unassigned</x:v>
      </x:c>
      <x:c r="D241" s="9" t="str">
        <x:v>Crafting components</x:v>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crafting components; dirtboard component; crafting component; processed intermediate; manufactured / unresolved; equipment fabrication; mixed / unresolved; assembly; proposal; equipment repair; wind; sail; unassigned; not applicable; component</x:v>
      </x:c>
      <x:c r="AF241" s="4" t="str">
        <x:v>Author direction for equipment families; proposed components and unimplemented behavior remain explicitly separate.</x:v>
      </x:c>
      <x:c r="AG241" s="4" t="str">
        <x:v>Choose a material/part route before assigning a tier. Processing-stage labels alone do not prove chain depth.</x:v>
      </x:c>
      <x:c r="AH241" s="4" t="str">
        <x:v>Not applicable</x:v>
      </x:c>
      <x:c r="AI241" s="4" t="str">
        <x:v>Component</x:v>
      </x:c>
      <x:c r="AJ241" s="4" t="n">
        <x:f>COUNTIFS('Material routes'!$D$6:$D$1005,A241,'Material routes'!$C$6:$C$1005,"Output")</x:f>
        <x:v>0</x:v>
      </x:c>
      <x:c r="AK241" s="4" t="n">
        <x:f>SUM(COUNTIFS('Material routes'!$D$6:$D$1005,A241,'Material routes'!$C$6:$C$1005,"Ingredient candidate"),COUNTIFS('Material routes'!$D$6:$D$1005,A241,'Material routes'!$C$6:$C$1005,"Consumed input"),COUNTIFS('Material routes'!$D$6:$D$1005,A241,'Material routes'!$C$6:$C$1005,"Contained input"),COUNTIFS('Material routes'!$D$6:$D$1005,A241,'Material routes'!$C$6:$C$1005,"Transform input"))</x:f>
        <x:v>0</x:v>
      </x:c>
      <x:c r="AL241" s="4" t="n">
        <x:f>COUNTIFS('Material routes'!$D$6:$D$1005,A241,'Material routes'!$C$6:$C$1005,"Tool candidate")</x:f>
        <x:v>0</x:v>
      </x:c>
      <x:c r="AM241" s="4" t="str">
        <x:f>IF(AJ241&gt;0,"Route listed; review status/completeness",IF(C241="T0","Raw entry feed; no production route","No production route listed"))</x:f>
        <x:v>No production route listed</x:v>
      </x:c>
      <x:c r="AN241" s="14" t="n">
        <x:f>IF(C241="T0",0,IF(C241="T1",1,IF(C241="T2",2,IF(C241="T3",3,IF(C241="T4",4,IF(C241="Unassigned",98,99))))))</x:f>
        <x:v>98</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15" customHeight="1">
      <x:c r="A242" s="9" t="str">
        <x:v>proposal.wind.truck</x:v>
      </x:c>
      <x:c r="B242" s="9" t="str">
        <x:v>Dirtboard axle / steering assembly</x:v>
      </x:c>
      <x:c r="C242" s="4" t="str">
        <x:v>Unassigned</x:v>
      </x:c>
      <x:c r="D242" s="9" t="str">
        <x:v>Crafting components</x:v>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crafting components; dirtboard component; crafting component; processed intermediate; manufactured / unresolved; equipment fabrication; metal; assembly; proposal; equipment repair; wind; sail; unassigned; not applicable; component</x:v>
      </x:c>
      <x:c r="AF242" s="4" t="str">
        <x:v>Author direction for equipment families; proposed components and unimplemented behavior remain explicitly separate.</x:v>
      </x:c>
      <x:c r="AG242" s="4" t="str">
        <x:v>Choose a material/part route before assigning a tier. Processing-stage labels alone do not prove chain depth.</x:v>
      </x:c>
      <x:c r="AH242" s="4" t="str">
        <x:v>Not applicable</x:v>
      </x:c>
      <x:c r="AI242" s="4" t="str">
        <x:v>Component</x:v>
      </x:c>
      <x:c r="AJ242" s="4" t="n">
        <x:f>COUNTIFS('Material routes'!$D$6:$D$1005,A242,'Material routes'!$C$6:$C$1005,"Output")</x:f>
        <x:v>0</x:v>
      </x:c>
      <x:c r="AK242" s="4" t="n">
        <x:f>SUM(COUNTIFS('Material routes'!$D$6:$D$1005,A242,'Material routes'!$C$6:$C$1005,"Ingredient candidate"),COUNTIFS('Material routes'!$D$6:$D$1005,A242,'Material routes'!$C$6:$C$1005,"Consumed input"),COUNTIFS('Material routes'!$D$6:$D$1005,A242,'Material routes'!$C$6:$C$1005,"Contained input"),COUNTIFS('Material routes'!$D$6:$D$1005,A242,'Material routes'!$C$6:$C$1005,"Transform input"))</x:f>
        <x:v>0</x:v>
      </x:c>
      <x:c r="AL242" s="4" t="n">
        <x:f>COUNTIFS('Material routes'!$D$6:$D$1005,A242,'Material routes'!$C$6:$C$1005,"Tool candidate")</x:f>
        <x:v>0</x:v>
      </x:c>
      <x:c r="AM242" s="4" t="str">
        <x:f>IF(AJ242&gt;0,"Route listed; review status/completeness",IF(C242="T0","Raw entry feed; no production route","No production route listed"))</x:f>
        <x:v>No production route listed</x:v>
      </x:c>
      <x:c r="AN242" s="14" t="n">
        <x:f>IF(C242="T0",0,IF(C242="T1",1,IF(C242="T2",2,IF(C242="T3",3,IF(C242="T4",4,IF(C242="Unassigned",98,99))))))</x:f>
        <x:v>98</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15" customHeight="1">
      <x:c r="A243" s="9" t="str">
        <x:v>proposal.wind.rotor</x:v>
      </x:c>
      <x:c r="B243" s="9" t="str">
        <x:v>Salvaged turbine rotor assembly</x:v>
      </x:c>
      <x:c r="C243" s="4" t="str">
        <x:v>Unassigned</x:v>
      </x:c>
      <x:c r="D243" s="9" t="str">
        <x:v>Crafting components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crafting components; wind machine component; crafting component; processed intermediate; recovered machinery; equipment fabrication; mixed / unresolved; assembly; proposal; wind power; wind; sail; unassigned; not applicable; component</x:v>
      </x:c>
      <x:c r="AF243" s="4" t="str">
        <x:v>Author direction for equipment families; proposed components and unimplemented behavior remain explicitly separate.</x:v>
      </x:c>
      <x:c r="AG243" s="4" t="str">
        <x:v>Choose a material/part route before assigning a tier. Processing-stage labels alone do not prove chain depth.</x:v>
      </x:c>
      <x:c r="AH243" s="4" t="str">
        <x:v>Not applicable</x:v>
      </x:c>
      <x:c r="AI243" s="4" t="str">
        <x:v>Component</x:v>
      </x:c>
      <x:c r="AJ243" s="4" t="n">
        <x:f>COUNTIFS('Material routes'!$D$6:$D$1005,A243,'Material routes'!$C$6:$C$1005,"Output")</x:f>
        <x:v>0</x:v>
      </x:c>
      <x:c r="AK243" s="4" t="n">
        <x:f>SUM(COUNTIFS('Material routes'!$D$6:$D$1005,A243,'Material routes'!$C$6:$C$1005,"Ingredient candidate"),COUNTIFS('Material routes'!$D$6:$D$1005,A243,'Material routes'!$C$6:$C$1005,"Consumed input"),COUNTIFS('Material routes'!$D$6:$D$1005,A243,'Material routes'!$C$6:$C$1005,"Contained input"),COUNTIFS('Material routes'!$D$6:$D$1005,A243,'Material routes'!$C$6:$C$1005,"Transform input"))</x:f>
        <x:v>0</x:v>
      </x:c>
      <x:c r="AL243" s="4" t="n">
        <x:f>COUNTIFS('Material routes'!$D$6:$D$1005,A243,'Material routes'!$C$6:$C$1005,"Tool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98</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15" customHeight="1">
      <x:c r="A244" s="9" t="str">
        <x:v>proposal.wind.generator</x:v>
      </x:c>
      <x:c r="B244" s="9" t="str">
        <x:v>Salvaged generator assembly</x:v>
      </x:c>
      <x:c r="C244" s="4" t="str">
        <x:v>Unassigned</x:v>
      </x:c>
      <x:c r="D244" s="9" t="str">
        <x:v>Crafting components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crafting components; wind machine component; crafting component; processed intermediate; recovered machinery; energy processing; mixed / unresolved; assembly; proposal; wind power; wind; sail; unassigned; not applicable; component</x:v>
      </x:c>
      <x:c r="AF244" s="4" t="str">
        <x:v>Author direction for equipment families; proposed components and unimplemented behavior remain explicitly separate.</x:v>
      </x:c>
      <x:c r="AG244" s="4" t="str">
        <x:v>Choose a material/part route before assigning a tier. Processing-stage labels alone do not prove chain depth.</x:v>
      </x:c>
      <x:c r="AH244" s="4" t="str">
        <x:v>Not applicable</x:v>
      </x:c>
      <x:c r="AI244" s="4" t="str">
        <x:v>Component</x:v>
      </x:c>
      <x:c r="AJ244" s="4" t="n">
        <x:f>COUNTIFS('Material routes'!$D$6:$D$1005,A244,'Material routes'!$C$6:$C$1005,"Output")</x:f>
        <x:v>0</x:v>
      </x:c>
      <x:c r="AK244" s="4" t="n">
        <x:f>SUM(COUNTIFS('Material routes'!$D$6:$D$1005,A244,'Material routes'!$C$6:$C$1005,"Ingredient candidate"),COUNTIFS('Material routes'!$D$6:$D$1005,A244,'Material routes'!$C$6:$C$1005,"Consumed input"),COUNTIFS('Material routes'!$D$6:$D$1005,A244,'Material routes'!$C$6:$C$1005,"Contained input"),COUNTIFS('Material routes'!$D$6:$D$1005,A244,'Material routes'!$C$6:$C$1005,"Transform input"))</x:f>
        <x:v>0</x:v>
      </x:c>
      <x:c r="AL244" s="4" t="n">
        <x:f>COUNTIFS('Material routes'!$D$6:$D$1005,A244,'Material routes'!$C$6:$C$1005,"Tool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98</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str">
        <x:v>Equipment</x:v>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equipment; legger cargo rigging; carrier; finished item; manufactured / unresolved; cargo organization; mixed / unresolved; assembly; proposal; equipment mounting; legger; leger; companion replacement part; not applicable; unassigned; finished item</x:v>
      </x:c>
      <x:c r="AF245" s="4" t="str">
        <x:v>Specific parts and protective properties remain proposals; ancient-material scarcity is established author direction.</x:v>
      </x:c>
      <x:c r="AG245" s="4" t="str">
        <x:v>Finished endpoint; material tier is not applicable. Input tiers belong to the chosen recipe.</x:v>
      </x:c>
      <x:c r="AH245" s="4" t="str">
        <x:v>Unassigned</x:v>
      </x:c>
      <x:c r="AI245" s="4" t="str">
        <x:v>Finished item</x:v>
      </x:c>
      <x:c r="AJ245" s="4" t="n">
        <x:f>COUNTIFS('Material routes'!$D$6:$D$1005,A245,'Material routes'!$C$6:$C$1005,"Output")</x:f>
        <x:v>0</x:v>
      </x:c>
      <x:c r="AK245" s="4" t="n">
        <x:f>SUM(COUNTIFS('Material routes'!$D$6:$D$1005,A245,'Material routes'!$C$6:$C$1005,"Ingredient candidate"),COUNTIFS('Material routes'!$D$6:$D$1005,A245,'Material routes'!$C$6:$C$1005,"Consumed input"),COUNTIFS('Material routes'!$D$6:$D$1005,A245,'Material routes'!$C$6:$C$1005,"Contained input"),COUNTIFS('Material routes'!$D$6:$D$1005,A245,'Material routes'!$C$6:$C$1005,"Transform input"))</x:f>
        <x:v>0</x:v>
      </x:c>
      <x:c r="AL245" s="4" t="n">
        <x:f>COUNTIFS('Material routes'!$D$6:$D$1005,A245,'Material routes'!$C$6:$C$1005,"Tool candidate")</x:f>
        <x:v>0</x:v>
      </x:c>
      <x:c r="AM245" s="4" t="str">
        <x:f>IF(AJ245&gt;0,"Route listed; review status/completeness",IF(C245="T0","Raw entry feed; no production route","No production route listed"))</x:f>
        <x:v>No production route listed</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str">
        <x:v>Equipment</x:v>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equipment; legger cargo rigging; carrier; finished item; manufactured / unresolved; cargo organization; metal; assembly; proposal; equipment mounting; legger; leger; companion replacement part; not applicable; unassigned; finished item</x:v>
      </x:c>
      <x:c r="AF246" s="4" t="str">
        <x:v>Specific parts and protective properties remain proposals; ancient-material scarcity is established author direction.</x:v>
      </x:c>
      <x:c r="AG246" s="4" t="str">
        <x:v>Finished endpoint; material tier is not applicable. Input tiers belong to the chosen recipe.</x:v>
      </x:c>
      <x:c r="AH246" s="4" t="str">
        <x:v>Unassigned</x:v>
      </x:c>
      <x:c r="AI246" s="4" t="str">
        <x:v>Finished item</x:v>
      </x:c>
      <x:c r="AJ246" s="4" t="n">
        <x:f>COUNTIFS('Material routes'!$D$6:$D$1005,A246,'Material routes'!$C$6:$C$1005,"Output")</x:f>
        <x:v>0</x:v>
      </x:c>
      <x:c r="AK246" s="4" t="n">
        <x:f>SUM(COUNTIFS('Material routes'!$D$6:$D$1005,A246,'Material routes'!$C$6:$C$1005,"Ingredient candidate"),COUNTIFS('Material routes'!$D$6:$D$1005,A246,'Material routes'!$C$6:$C$1005,"Consumed input"),COUNTIFS('Material routes'!$D$6:$D$1005,A246,'Material routes'!$C$6:$C$1005,"Contained input"),COUNTIFS('Material routes'!$D$6:$D$1005,A246,'Material routes'!$C$6:$C$1005,"Transform input"))</x:f>
        <x:v>0</x:v>
      </x:c>
      <x:c r="AL246" s="4" t="n">
        <x:f>COUNTIFS('Material routes'!$D$6:$D$1005,A246,'Material routes'!$C$6:$C$1005,"Tool candidate")</x:f>
        <x:v>0</x:v>
      </x:c>
      <x:c r="AM246" s="4" t="str">
        <x:f>IF(AJ246&gt;0,"Route listed; review status/completeness",IF(C246="T0","Raw entry feed; no production route","No production route listed"))</x:f>
        <x:v>No production route listed</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15" customHeight="1">
      <x:c r="A247" s="9" t="str">
        <x:v>proposal.legger.anchors</x:v>
      </x:c>
      <x:c r="B247" s="9" t="str">
        <x:v>Legger lashing-anchor set</x:v>
      </x:c>
      <x:c r="C247" s="4" t="str">
        <x:v>Unassigned</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unassigned; not applicable; component</x:v>
      </x:c>
      <x:c r="AF247" s="4" t="str">
        <x:v>Specific parts and protective properties remain proposals; ancient-material scarcity is established author direction.</x:v>
      </x:c>
      <x:c r="AG247" s="4" t="str">
        <x:v>Choose a material/part route before assigning a tier. Processing-stage labels alone do not prove chain depth.</x:v>
      </x:c>
      <x:c r="AH247" s="4" t="str">
        <x:v>Not applicable</x:v>
      </x:c>
      <x:c r="AI247" s="4" t="str">
        <x:v>Component</x:v>
      </x:c>
      <x:c r="AJ247" s="4" t="n">
        <x:f>COUNTIFS('Material routes'!$D$6:$D$1005,A247,'Material routes'!$C$6:$C$1005,"Output")</x:f>
        <x:v>0</x:v>
      </x:c>
      <x:c r="AK247" s="4" t="n">
        <x:f>SUM(COUNTIFS('Material routes'!$D$6:$D$1005,A247,'Material routes'!$C$6:$C$1005,"Ingredient candidate"),COUNTIFS('Material routes'!$D$6:$D$1005,A247,'Material routes'!$C$6:$C$1005,"Consumed input"),COUNTIFS('Material routes'!$D$6:$D$1005,A247,'Material routes'!$C$6:$C$1005,"Contained input"),COUNTIFS('Material routes'!$D$6:$D$1005,A247,'Material routes'!$C$6:$C$1005,"Transform input"))</x:f>
        <x:v>0</x:v>
      </x:c>
      <x:c r="AL247" s="4" t="n">
        <x:f>COUNTIFS('Material routes'!$D$6:$D$1005,A247,'Material routes'!$C$6:$C$1005,"Tool candidate")</x:f>
        <x:v>0</x:v>
      </x:c>
      <x:c r="AM247" s="4" t="str">
        <x:f>IF(AJ247&gt;0,"Route listed; review status/completeness",IF(C247="T0","Raw entry feed; no production route","No production route listed"))</x:f>
        <x:v>No production route listed</x:v>
      </x:c>
      <x:c r="AN247" s="14" t="n">
        <x:f>IF(C247="T0",0,IF(C247="T1",1,IF(C247="T2",2,IF(C247="T3",3,IF(C247="T4",4,IF(C247="Unassigned",98,99))))))</x:f>
        <x:v>98</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15" customHeight="1">
      <x:c r="A248" s="9" t="str">
        <x:v>proposal.legger.balance_link</x:v>
      </x:c>
      <x:c r="B248" s="9" t="str">
        <x:v>Legger load-balance linkage</x:v>
      </x:c>
      <x:c r="C248" s="4" t="str">
        <x:v>Unassigned</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unassigned; not applicable; component</x:v>
      </x:c>
      <x:c r="AF248" s="4" t="str">
        <x:v>Specific parts and protective properties remain proposals; ancient-material scarcity is established author direction.</x:v>
      </x:c>
      <x:c r="AG248" s="4" t="str">
        <x:v>Choose a material/part route before assigning a tier. Processing-stage labels alone do not prove chain depth.</x:v>
      </x:c>
      <x:c r="AH248" s="4" t="str">
        <x:v>Not applicable</x:v>
      </x:c>
      <x:c r="AI248" s="4" t="str">
        <x:v>Component</x:v>
      </x:c>
      <x:c r="AJ248" s="4" t="n">
        <x:f>COUNTIFS('Material routes'!$D$6:$D$1005,A248,'Material routes'!$C$6:$C$1005,"Output")</x:f>
        <x:v>0</x:v>
      </x:c>
      <x:c r="AK248" s="4" t="n">
        <x:f>SUM(COUNTIFS('Material routes'!$D$6:$D$1005,A248,'Material routes'!$C$6:$C$1005,"Ingredient candidate"),COUNTIFS('Material routes'!$D$6:$D$1005,A248,'Material routes'!$C$6:$C$1005,"Consumed input"),COUNTIFS('Material routes'!$D$6:$D$1005,A248,'Material routes'!$C$6:$C$1005,"Contained input"),COUNTIFS('Material routes'!$D$6:$D$1005,A248,'Material routes'!$C$6:$C$1005,"Transform input"))</x:f>
        <x:v>0</x:v>
      </x:c>
      <x:c r="AL248" s="4" t="n">
        <x:f>COUNTIFS('Material routes'!$D$6:$D$1005,A248,'Material routes'!$C$6:$C$1005,"Tool candidate")</x:f>
        <x:v>0</x:v>
      </x:c>
      <x:c r="AM248" s="4" t="str">
        <x:f>IF(AJ248&gt;0,"Route listed; review status/completeness",IF(C248="T0","Raw entry feed; no production route","No production route listed"))</x:f>
        <x:v>No production route listed</x:v>
      </x:c>
      <x:c r="AN248" s="14" t="n">
        <x:f>IF(C248="T0",0,IF(C248="T1",1,IF(C248="T2",2,IF(C248="T3",3,IF(C248="T4",4,IF(C248="Unassigned",98,99))))))</x:f>
        <x:v>98</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15" customHeight="1">
      <x:c r="A249" s="9" t="str">
        <x:v>proposal.legger.iron_rib</x:v>
      </x:c>
      <x:c r="B249" s="9" t="str">
        <x:v>Iron chassis replacement rib</x:v>
      </x:c>
      <x:c r="C249" s="4" t="str">
        <x:v>Unassigned</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unassigned; not applicable; component</x:v>
      </x:c>
      <x:c r="AF249" s="4" t="str">
        <x:v>Specific parts and protective properties remain proposals; ancient-material scarcity is established author direction.</x:v>
      </x:c>
      <x:c r="AG249" s="4" t="str">
        <x:v>Choose a material/part route before assigning a tier. Processing-stage labels alone do not prove chain depth.</x:v>
      </x:c>
      <x:c r="AH249" s="4" t="str">
        <x:v>Not applicable</x:v>
      </x:c>
      <x:c r="AI249" s="4" t="str">
        <x:v>Component</x:v>
      </x:c>
      <x:c r="AJ249" s="4" t="n">
        <x:f>COUNTIFS('Material routes'!$D$6:$D$1005,A249,'Material routes'!$C$6:$C$1005,"Output")</x:f>
        <x:v>0</x:v>
      </x:c>
      <x:c r="AK249" s="4" t="n">
        <x:f>SUM(COUNTIFS('Material routes'!$D$6:$D$1005,A249,'Material routes'!$C$6:$C$1005,"Ingredient candidate"),COUNTIFS('Material routes'!$D$6:$D$1005,A249,'Material routes'!$C$6:$C$1005,"Consumed input"),COUNTIFS('Material routes'!$D$6:$D$1005,A249,'Material routes'!$C$6:$C$1005,"Contained input"),COUNTIFS('Material routes'!$D$6:$D$1005,A249,'Material routes'!$C$6:$C$1005,"Transform input"))</x:f>
        <x:v>0</x:v>
      </x:c>
      <x:c r="AL249" s="4" t="n">
        <x:f>COUNTIFS('Material routes'!$D$6:$D$1005,A249,'Material routes'!$C$6:$C$1005,"Tool candidate")</x:f>
        <x:v>0</x:v>
      </x:c>
      <x:c r="AM249" s="4" t="str">
        <x:f>IF(AJ249&gt;0,"Route listed; review status/completeness",IF(C249="T0","Raw entry feed; no production route","No production route listed"))</x:f>
        <x:v>No production route listed</x:v>
      </x:c>
      <x:c r="AN249" s="14" t="n">
        <x:f>IF(C249="T0",0,IF(C249="T1",1,IF(C249="T2",2,IF(C249="T3",3,IF(C249="T4",4,IF(C249="Unassigned",98,99))))))</x:f>
        <x:v>98</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15" customHeight="1">
      <x:c r="A250" s="9" t="str">
        <x:v>proposal.legger.crossbrace</x:v>
      </x:c>
      <x:c r="B250" s="9" t="str">
        <x:v>Chassis crossbrace</x:v>
      </x:c>
      <x:c r="C250" s="4" t="str">
        <x:v>Unassigned</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unassigned; not applicable; component</x:v>
      </x:c>
      <x:c r="AF250" s="4" t="str">
        <x:v>Specific parts and protective properties remain proposals; ancient-material scarcity is established author direction.</x:v>
      </x:c>
      <x:c r="AG250" s="4" t="str">
        <x:v>Choose a material/part route before assigning a tier. Processing-stage labels alone do not prove chain depth.</x:v>
      </x:c>
      <x:c r="AH250" s="4" t="str">
        <x:v>Not applicable</x:v>
      </x:c>
      <x:c r="AI250" s="4" t="str">
        <x:v>Component</x:v>
      </x:c>
      <x:c r="AJ250" s="4" t="n">
        <x:f>COUNTIFS('Material routes'!$D$6:$D$1005,A250,'Material routes'!$C$6:$C$1005,"Output")</x:f>
        <x:v>0</x:v>
      </x:c>
      <x:c r="AK250" s="4" t="n">
        <x:f>SUM(COUNTIFS('Material routes'!$D$6:$D$1005,A250,'Material routes'!$C$6:$C$1005,"Ingredient candidate"),COUNTIFS('Material routes'!$D$6:$D$1005,A250,'Material routes'!$C$6:$C$1005,"Consumed input"),COUNTIFS('Material routes'!$D$6:$D$1005,A250,'Material routes'!$C$6:$C$1005,"Contained input"),COUNTIFS('Material routes'!$D$6:$D$1005,A250,'Material routes'!$C$6:$C$1005,"Transform input"))</x:f>
        <x:v>0</x:v>
      </x:c>
      <x:c r="AL250" s="4" t="n">
        <x:f>COUNTIFS('Material routes'!$D$6:$D$1005,A250,'Material routes'!$C$6:$C$1005,"Tool candidate")</x:f>
        <x:v>0</x:v>
      </x:c>
      <x:c r="AM250" s="4" t="str">
        <x:f>IF(AJ250&gt;0,"Route listed; review status/completeness",IF(C250="T0","Raw entry feed; no production route","No production route listed"))</x:f>
        <x:v>No production route listed</x:v>
      </x:c>
      <x:c r="AN250" s="14" t="n">
        <x:f>IF(C250="T0",0,IF(C250="T1",1,IF(C250="T2",2,IF(C250="T3",3,IF(C250="T4",4,IF(C250="Unassigned",98,99))))))</x:f>
        <x:v>98</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str">
        <x:v>Equipment</x:v>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equipment; legger chassis; armor; finished item; manufactured / unresolved; protection; metal; assembly; proposal; dust exclusion; legger; leger; companion replacement part; not applicable; unassigned; finished item</x:v>
      </x:c>
      <x:c r="AF251" s="4" t="str">
        <x:v>Specific parts and protective properties remain proposals; ancient-material scarcity is established author direction.</x:v>
      </x:c>
      <x:c r="AG251" s="4" t="str">
        <x:v>Finished endpoint; material tier is not applicable. Input tiers belong to the chosen recipe.</x:v>
      </x:c>
      <x:c r="AH251" s="4" t="str">
        <x:v>Unassigned</x:v>
      </x:c>
      <x:c r="AI251" s="4" t="str">
        <x:v>Finished item</x:v>
      </x:c>
      <x:c r="AJ251" s="4" t="n">
        <x:f>COUNTIFS('Material routes'!$D$6:$D$1005,A251,'Material routes'!$C$6:$C$1005,"Output")</x:f>
        <x:v>0</x:v>
      </x:c>
      <x:c r="AK251" s="4" t="n">
        <x:f>SUM(COUNTIFS('Material routes'!$D$6:$D$1005,A251,'Material routes'!$C$6:$C$1005,"Ingredient candidate"),COUNTIFS('Material routes'!$D$6:$D$1005,A251,'Material routes'!$C$6:$C$1005,"Consumed input"),COUNTIFS('Material routes'!$D$6:$D$1005,A251,'Material routes'!$C$6:$C$1005,"Contained input"),COUNTIFS('Material routes'!$D$6:$D$1005,A251,'Material routes'!$C$6:$C$1005,"Transform input"))</x:f>
        <x:v>0</x:v>
      </x:c>
      <x:c r="AL251" s="4" t="n">
        <x:f>COUNTIFS('Material routes'!$D$6:$D$1005,A251,'Material routes'!$C$6:$C$1005,"Tool candidate")</x:f>
        <x:v>0</x:v>
      </x:c>
      <x:c r="AM251" s="4" t="str">
        <x:f>IF(AJ251&gt;0,"Route listed; review status/completeness",IF(C251="T0","Raw entry feed; no production route","No production route listed"))</x:f>
        <x:v>No production route listed</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15" customHeight="1">
      <x:c r="A252" s="9" t="str">
        <x:v>proposal.legger.mount_rail</x:v>
      </x:c>
      <x:c r="B252" s="9" t="str">
        <x:v>Legger attachment rail</x:v>
      </x:c>
      <x:c r="C252" s="4" t="str">
        <x:v>Unassigned</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unassigned; not applicable; component</x:v>
      </x:c>
      <x:c r="AF252" s="4" t="str">
        <x:v>Specific parts and protective properties remain proposals; ancient-material scarcity is established author direction.</x:v>
      </x:c>
      <x:c r="AG252" s="4" t="str">
        <x:v>Choose a material/part route before assigning a tier. Processing-stage labels alone do not prove chain depth.</x:v>
      </x:c>
      <x:c r="AH252" s="4" t="str">
        <x:v>Not applicable</x:v>
      </x:c>
      <x:c r="AI252" s="4" t="str">
        <x:v>Component</x:v>
      </x:c>
      <x:c r="AJ252" s="4" t="n">
        <x:f>COUNTIFS('Material routes'!$D$6:$D$1005,A252,'Material routes'!$C$6:$C$1005,"Output")</x:f>
        <x:v>0</x:v>
      </x:c>
      <x:c r="AK252" s="4" t="n">
        <x:f>SUM(COUNTIFS('Material routes'!$D$6:$D$1005,A252,'Material routes'!$C$6:$C$1005,"Ingredient candidate"),COUNTIFS('Material routes'!$D$6:$D$1005,A252,'Material routes'!$C$6:$C$1005,"Consumed input"),COUNTIFS('Material routes'!$D$6:$D$1005,A252,'Material routes'!$C$6:$C$1005,"Contained input"),COUNTIFS('Material routes'!$D$6:$D$1005,A252,'Material routes'!$C$6:$C$1005,"Transform input"))</x:f>
        <x:v>0</x:v>
      </x:c>
      <x:c r="AL252" s="4" t="n">
        <x:f>COUNTIFS('Material routes'!$D$6:$D$1005,A252,'Material routes'!$C$6:$C$1005,"Tool candidate")</x:f>
        <x:v>0</x:v>
      </x:c>
      <x:c r="AM252" s="4" t="str">
        <x:f>IF(AJ252&gt;0,"Route listed; review status/completeness",IF(C252="T0","Raw entry feed; no production route","No production route listed"))</x:f>
        <x:v>No production route listed</x:v>
      </x:c>
      <x:c r="AN252" s="14" t="n">
        <x:f>IF(C252="T0",0,IF(C252="T1",1,IF(C252="T2",2,IF(C252="T3",3,IF(C252="T4",4,IF(C252="Unassigned",98,99))))))</x:f>
        <x:v>98</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15" customHeight="1">
      <x:c r="A253" s="9" t="str">
        <x:v>proposal.legger.joint_bush</x:v>
      </x:c>
      <x:c r="B253" s="9" t="str">
        <x:v>Iron joint bushing</x:v>
      </x:c>
      <x:c r="C253" s="4" t="str">
        <x:v>Unassigned</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unassigned; not applicable; component</x:v>
      </x:c>
      <x:c r="AF253" s="4" t="str">
        <x:v>Specific parts and protective properties remain proposals; ancient-material scarcity is established author direction.</x:v>
      </x:c>
      <x:c r="AG253" s="4" t="str">
        <x:v>Choose a material/part route before assigning a tier. Processing-stage labels alone do not prove chain depth.</x:v>
      </x:c>
      <x:c r="AH253" s="4" t="str">
        <x:v>Not applicable</x:v>
      </x:c>
      <x:c r="AI253" s="4" t="str">
        <x:v>Component</x:v>
      </x:c>
      <x:c r="AJ253" s="4" t="n">
        <x:f>COUNTIFS('Material routes'!$D$6:$D$1005,A253,'Material routes'!$C$6:$C$1005,"Output")</x:f>
        <x:v>0</x:v>
      </x:c>
      <x:c r="AK253" s="4" t="n">
        <x:f>SUM(COUNTIFS('Material routes'!$D$6:$D$1005,A253,'Material routes'!$C$6:$C$1005,"Ingredient candidate"),COUNTIFS('Material routes'!$D$6:$D$1005,A253,'Material routes'!$C$6:$C$1005,"Consumed input"),COUNTIFS('Material routes'!$D$6:$D$1005,A253,'Material routes'!$C$6:$C$1005,"Contained input"),COUNTIFS('Material routes'!$D$6:$D$1005,A253,'Material routes'!$C$6:$C$1005,"Transform input"))</x:f>
        <x:v>0</x:v>
      </x:c>
      <x:c r="AL253" s="4" t="n">
        <x:f>COUNTIFS('Material routes'!$D$6:$D$1005,A253,'Material routes'!$C$6:$C$1005,"Tool candidate")</x:f>
        <x:v>0</x:v>
      </x:c>
      <x:c r="AM253" s="4" t="str">
        <x:f>IF(AJ253&gt;0,"Route listed; review status/completeness",IF(C253="T0","Raw entry feed; no production route","No production route listed"))</x:f>
        <x:v>No production route listed</x:v>
      </x:c>
      <x:c r="AN253" s="14" t="n">
        <x:f>IF(C253="T0",0,IF(C253="T1",1,IF(C253="T2",2,IF(C253="T3",3,IF(C253="T4",4,IF(C253="Unassigned",98,99))))))</x:f>
        <x:v>98</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15" customHeight="1">
      <x:c r="A254" s="9" t="str">
        <x:v>proposal.legger.bearing</x:v>
      </x:c>
      <x:c r="B254" s="9" t="str">
        <x:v>Replacement bearing assembly</x:v>
      </x:c>
      <x:c r="C254" s="4" t="str">
        <x:v>Unassigned</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unassigned; not applicable; component</x:v>
      </x:c>
      <x:c r="AF254" s="4" t="str">
        <x:v>Specific parts and protective properties remain proposals; ancient-material scarcity is established author direction.</x:v>
      </x:c>
      <x:c r="AG254" s="4" t="str">
        <x:v>Choose a material/part route before assigning a tier. Processing-stage labels alone do not prove chain depth.</x:v>
      </x:c>
      <x:c r="AH254" s="4" t="str">
        <x:v>Not applicable</x:v>
      </x:c>
      <x:c r="AI254" s="4" t="str">
        <x:v>Component</x:v>
      </x:c>
      <x:c r="AJ254" s="4" t="n">
        <x:f>COUNTIFS('Material routes'!$D$6:$D$1005,A254,'Material routes'!$C$6:$C$1005,"Output")</x:f>
        <x:v>0</x:v>
      </x:c>
      <x:c r="AK254" s="4" t="n">
        <x:f>SUM(COUNTIFS('Material routes'!$D$6:$D$1005,A254,'Material routes'!$C$6:$C$1005,"Ingredient candidate"),COUNTIFS('Material routes'!$D$6:$D$1005,A254,'Material routes'!$C$6:$C$1005,"Consumed input"),COUNTIFS('Material routes'!$D$6:$D$1005,A254,'Material routes'!$C$6:$C$1005,"Contained input"),COUNTIFS('Material routes'!$D$6:$D$1005,A254,'Material routes'!$C$6:$C$1005,"Transform input"))</x:f>
        <x:v>0</x:v>
      </x:c>
      <x:c r="AL254" s="4" t="n">
        <x:f>COUNTIFS('Material routes'!$D$6:$D$1005,A254,'Material routes'!$C$6:$C$1005,"Tool candidate")</x:f>
        <x:v>0</x:v>
      </x:c>
      <x:c r="AM254" s="4" t="str">
        <x:f>IF(AJ254&gt;0,"Route listed; review status/completeness",IF(C254="T0","Raw entry feed; no production route","No production route listed"))</x:f>
        <x:v>No production route listed</x:v>
      </x:c>
      <x:c r="AN254" s="14" t="n">
        <x:f>IF(C254="T0",0,IF(C254="T1",1,IF(C254="T2",2,IF(C254="T3",3,IF(C254="T4",4,IF(C254="Unassigned",98,99))))))</x:f>
        <x:v>98</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15" customHeight="1">
      <x:c r="A255" s="9" t="str">
        <x:v>proposal.legger.foot_plate</x:v>
      </x:c>
      <x:c r="B255" s="9" t="str">
        <x:v>Replaceable foot contact plate</x:v>
      </x:c>
      <x:c r="C255" s="4" t="str">
        <x:v>Unassigned</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unassigned; not applicable; component</x:v>
      </x:c>
      <x:c r="AF255" s="4" t="str">
        <x:v>Specific parts and protective properties remain proposals; ancient-material scarcity is established author direction.</x:v>
      </x:c>
      <x:c r="AG255" s="4" t="str">
        <x:v>Choose a material/part route before assigning a tier. Processing-stage labels alone do not prove chain depth.</x:v>
      </x:c>
      <x:c r="AH255" s="4" t="str">
        <x:v>Not applicable</x:v>
      </x:c>
      <x:c r="AI255" s="4" t="str">
        <x:v>Component</x:v>
      </x:c>
      <x:c r="AJ255" s="4" t="n">
        <x:f>COUNTIFS('Material routes'!$D$6:$D$1005,A255,'Material routes'!$C$6:$C$1005,"Output")</x:f>
        <x:v>0</x:v>
      </x:c>
      <x:c r="AK255" s="4" t="n">
        <x:f>SUM(COUNTIFS('Material routes'!$D$6:$D$1005,A255,'Material routes'!$C$6:$C$1005,"Ingredient candidate"),COUNTIFS('Material routes'!$D$6:$D$1005,A255,'Material routes'!$C$6:$C$1005,"Consumed input"),COUNTIFS('Material routes'!$D$6:$D$1005,A255,'Material routes'!$C$6:$C$1005,"Contained input"),COUNTIFS('Material routes'!$D$6:$D$1005,A255,'Material routes'!$C$6:$C$1005,"Transform input"))</x:f>
        <x:v>0</x:v>
      </x:c>
      <x:c r="AL255" s="4" t="n">
        <x:f>COUNTIFS('Material routes'!$D$6:$D$1005,A255,'Material routes'!$C$6:$C$1005,"Tool candidate")</x:f>
        <x:v>0</x:v>
      </x:c>
      <x:c r="AM255" s="4" t="str">
        <x:f>IF(AJ255&gt;0,"Route listed; review status/completeness",IF(C255="T0","Raw entry feed; no production route","No production route listed"))</x:f>
        <x:v>No production route listed</x:v>
      </x:c>
      <x:c r="AN255" s="14" t="n">
        <x:f>IF(C255="T0",0,IF(C255="T1",1,IF(C255="T2",2,IF(C255="T3",3,IF(C255="T4",4,IF(C255="Unassigned",98,99))))))</x:f>
        <x:v>98</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15" customHeight="1">
      <x:c r="A256" s="9" t="str">
        <x:v>proposal.legger.actuator_rod</x:v>
      </x:c>
      <x:c r="B256" s="9" t="str">
        <x:v>Replacement actuator link</x:v>
      </x:c>
      <x:c r="C256" s="4" t="str">
        <x:v>Unassigned</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unassigned; not applicable; component</x:v>
      </x:c>
      <x:c r="AF256" s="4" t="str">
        <x:v>Specific parts and protective properties remain proposals; ancient-material scarcity is established author direction.</x:v>
      </x:c>
      <x:c r="AG256" s="4" t="str">
        <x:v>Choose a material/part route before assigning a tier. Processing-stage labels alone do not prove chain depth.</x:v>
      </x:c>
      <x:c r="AH256" s="4" t="str">
        <x:v>Not applicable</x:v>
      </x:c>
      <x:c r="AI256" s="4" t="str">
        <x:v>Component</x:v>
      </x:c>
      <x:c r="AJ256" s="4" t="n">
        <x:f>COUNTIFS('Material routes'!$D$6:$D$1005,A256,'Material routes'!$C$6:$C$1005,"Output")</x:f>
        <x:v>0</x:v>
      </x:c>
      <x:c r="AK256" s="4" t="n">
        <x:f>SUM(COUNTIFS('Material routes'!$D$6:$D$1005,A256,'Material routes'!$C$6:$C$1005,"Ingredient candidate"),COUNTIFS('Material routes'!$D$6:$D$1005,A256,'Material routes'!$C$6:$C$1005,"Consumed input"),COUNTIFS('Material routes'!$D$6:$D$1005,A256,'Material routes'!$C$6:$C$1005,"Contained input"),COUNTIFS('Material routes'!$D$6:$D$1005,A256,'Material routes'!$C$6:$C$1005,"Transform input"))</x:f>
        <x:v>0</x:v>
      </x:c>
      <x:c r="AL256" s="4" t="n">
        <x:f>COUNTIFS('Material routes'!$D$6:$D$1005,A256,'Material routes'!$C$6:$C$1005,"Tool candidate")</x:f>
        <x:v>0</x:v>
      </x:c>
      <x:c r="AM256" s="4" t="str">
        <x:f>IF(AJ256&gt;0,"Route listed; review status/completeness",IF(C256="T0","Raw entry feed; no production route","No production route listed"))</x:f>
        <x:v>No production route listed</x:v>
      </x:c>
      <x:c r="AN256" s="14" t="n">
        <x:f>IF(C256="T0",0,IF(C256="T1",1,IF(C256="T2",2,IF(C256="T3",3,IF(C256="T4",4,IF(C256="Unassigned",98,99))))))</x:f>
        <x:v>98</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15" customHeight="1">
      <x:c r="A257" s="9" t="str">
        <x:v>proposal.legger.joint_shroud</x:v>
      </x:c>
      <x:c r="B257" s="9" t="str">
        <x:v>Joint dust shroud</x:v>
      </x:c>
      <x:c r="C257" s="4" t="str">
        <x:v>Unassigned</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unassigned; not applicable; component</x:v>
      </x:c>
      <x:c r="AF257" s="4" t="str">
        <x:v>Specific parts and protective properties remain proposals; ancient-material scarcity is established author direction.</x:v>
      </x:c>
      <x:c r="AG257" s="4" t="str">
        <x:v>Choose a material/part route before assigning a tier. Processing-stage labels alone do not prove chain depth.</x:v>
      </x:c>
      <x:c r="AH257" s="4" t="str">
        <x:v>Not applicable</x:v>
      </x:c>
      <x:c r="AI257" s="4" t="str">
        <x:v>Component</x:v>
      </x:c>
      <x:c r="AJ257" s="4" t="n">
        <x:f>COUNTIFS('Material routes'!$D$6:$D$1005,A257,'Material routes'!$C$6:$C$1005,"Output")</x:f>
        <x:v>0</x:v>
      </x:c>
      <x:c r="AK257" s="4" t="n">
        <x:f>SUM(COUNTIFS('Material routes'!$D$6:$D$1005,A257,'Material routes'!$C$6:$C$1005,"Ingredient candidate"),COUNTIFS('Material routes'!$D$6:$D$1005,A257,'Material routes'!$C$6:$C$1005,"Consumed input"),COUNTIFS('Material routes'!$D$6:$D$1005,A257,'Material routes'!$C$6:$C$1005,"Contained input"),COUNTIFS('Material routes'!$D$6:$D$1005,A257,'Material routes'!$C$6:$C$1005,"Transform input"))</x:f>
        <x:v>0</x:v>
      </x:c>
      <x:c r="AL257" s="4" t="n">
        <x:f>COUNTIFS('Material routes'!$D$6:$D$1005,A257,'Material routes'!$C$6:$C$1005,"Tool candidate")</x:f>
        <x:v>0</x:v>
      </x:c>
      <x:c r="AM257" s="4" t="str">
        <x:f>IF(AJ257&gt;0,"Route listed; review status/completeness",IF(C257="T0","Raw entry feed; no production route","No production route listed"))</x:f>
        <x:v>No production route listed</x:v>
      </x:c>
      <x:c r="AN257" s="14" t="n">
        <x:f>IF(C257="T0",0,IF(C257="T1",1,IF(C257="T2",2,IF(C257="T3",3,IF(C257="T4",4,IF(C257="Unassigned",98,99))))))</x:f>
        <x:v>98</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15" customHeight="1">
      <x:c r="A258" s="9" t="str">
        <x:v>proposal.legger.grease_cup</x:v>
      </x:c>
      <x:c r="B258" s="9" t="str">
        <x:v>Fitted joint lubricant cup</x:v>
      </x:c>
      <x:c r="C258" s="4" t="str">
        <x:v>Unassigned</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unassigned; not applicable; component</x:v>
      </x:c>
      <x:c r="AF258" s="4" t="str">
        <x:v>Specific parts and protective properties remain proposals; ancient-material scarcity is established author direction.</x:v>
      </x:c>
      <x:c r="AG258" s="4" t="str">
        <x:v>Choose a material/part route before assigning a tier. Processing-stage labels alone do not prove chain depth.</x:v>
      </x:c>
      <x:c r="AH258" s="4" t="str">
        <x:v>Not applicable</x:v>
      </x:c>
      <x:c r="AI258" s="4" t="str">
        <x:v>Component</x:v>
      </x:c>
      <x:c r="AJ258" s="4" t="n">
        <x:f>COUNTIFS('Material routes'!$D$6:$D$1005,A258,'Material routes'!$C$6:$C$1005,"Output")</x:f>
        <x:v>0</x:v>
      </x:c>
      <x:c r="AK258" s="4" t="n">
        <x:f>SUM(COUNTIFS('Material routes'!$D$6:$D$1005,A258,'Material routes'!$C$6:$C$1005,"Ingredient candidate"),COUNTIFS('Material routes'!$D$6:$D$1005,A258,'Material routes'!$C$6:$C$1005,"Consumed input"),COUNTIFS('Material routes'!$D$6:$D$1005,A258,'Material routes'!$C$6:$C$1005,"Contained input"),COUNTIFS('Material routes'!$D$6:$D$1005,A258,'Material routes'!$C$6:$C$1005,"Transform input"))</x:f>
        <x:v>0</x:v>
      </x:c>
      <x:c r="AL258" s="4" t="n">
        <x:f>COUNTIFS('Material routes'!$D$6:$D$1005,A258,'Material routes'!$C$6:$C$1005,"Tool candidate")</x:f>
        <x:v>0</x:v>
      </x:c>
      <x:c r="AM258" s="4" t="str">
        <x:f>IF(AJ258&gt;0,"Route listed; review status/completeness",IF(C258="T0","Raw entry feed; no production route","No production route listed"))</x:f>
        <x:v>No production route listed</x:v>
      </x:c>
      <x:c r="AN258" s="14" t="n">
        <x:f>IF(C258="T0",0,IF(C258="T1",1,IF(C258="T2",2,IF(C258="T3",3,IF(C258="T4",4,IF(C258="Unassigned",98,99))))))</x:f>
        <x:v>98</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15" customHeight="1">
      <x:c r="A259" s="9" t="str">
        <x:v>proposal.legger.seal_cartridge</x:v>
      </x:c>
      <x:c r="B259" s="9" t="str">
        <x:v>Replaceable joint-seal cartridge</x:v>
      </x:c>
      <x:c r="C259" s="4" t="str">
        <x:v>Unassigned</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unassigned; not applicable; component</x:v>
      </x:c>
      <x:c r="AF259" s="4" t="str">
        <x:v>Specific parts and protective properties remain proposals; ancient-material scarcity is established author direction.</x:v>
      </x:c>
      <x:c r="AG259" s="4" t="str">
        <x:v>Choose a material/part route before assigning a tier. Processing-stage labels alone do not prove chain depth.</x:v>
      </x:c>
      <x:c r="AH259" s="4" t="str">
        <x:v>Not applicable</x:v>
      </x:c>
      <x:c r="AI259" s="4" t="str">
        <x:v>Component</x:v>
      </x:c>
      <x:c r="AJ259" s="4" t="n">
        <x:f>COUNTIFS('Material routes'!$D$6:$D$1005,A259,'Material routes'!$C$6:$C$1005,"Output")</x:f>
        <x:v>0</x:v>
      </x:c>
      <x:c r="AK259" s="4" t="n">
        <x:f>SUM(COUNTIFS('Material routes'!$D$6:$D$1005,A259,'Material routes'!$C$6:$C$1005,"Ingredient candidate"),COUNTIFS('Material routes'!$D$6:$D$1005,A259,'Material routes'!$C$6:$C$1005,"Consumed input"),COUNTIFS('Material routes'!$D$6:$D$1005,A259,'Material routes'!$C$6:$C$1005,"Contained input"),COUNTIFS('Material routes'!$D$6:$D$1005,A259,'Material routes'!$C$6:$C$1005,"Transform input"))</x:f>
        <x:v>0</x:v>
      </x:c>
      <x:c r="AL259" s="4" t="n">
        <x:f>COUNTIFS('Material routes'!$D$6:$D$1005,A259,'Material routes'!$C$6:$C$1005,"Tool candidate")</x:f>
        <x:v>0</x:v>
      </x:c>
      <x:c r="AM259" s="4" t="str">
        <x:f>IF(AJ259&gt;0,"Route listed; review status/completeness",IF(C259="T0","Raw entry feed; no production route","No production route listed"))</x:f>
        <x:v>No production route listed</x:v>
      </x:c>
      <x:c r="AN259" s="14" t="n">
        <x:f>IF(C259="T0",0,IF(C259="T1",1,IF(C259="T2",2,IF(C259="T3",3,IF(C259="T4",4,IF(C259="Unassigned",98,99))))))</x:f>
        <x:v>98</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unassigned;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Unassigned</x:v>
      </x:c>
      <x:c r="AI260" s="4" t="str">
        <x:v>Finished item</x:v>
      </x:c>
      <x:c r="AJ260" s="4" t="n">
        <x:f>COUNTIFS('Material routes'!$D$6:$D$1005,A260,'Material routes'!$C$6:$C$1005,"Output")</x:f>
        <x:v>0</x:v>
      </x:c>
      <x:c r="AK260" s="4" t="n">
        <x:f>SUM(COUNTIFS('Material routes'!$D$6:$D$1005,A260,'Material routes'!$C$6:$C$1005,"Ingredient candidate"),COUNTIFS('Material routes'!$D$6:$D$1005,A260,'Material routes'!$C$6:$C$1005,"Consumed input"),COUNTIFS('Material routes'!$D$6:$D$1005,A260,'Material routes'!$C$6:$C$1005,"Contained input"),COUNTIFS('Material routes'!$D$6:$D$1005,A260,'Material routes'!$C$6:$C$1005,"Transform input"))</x:f>
        <x:v>0</x:v>
      </x:c>
      <x:c r="AL260" s="4" t="n">
        <x:f>COUNTIFS('Material routes'!$D$6:$D$1005,A260,'Material routes'!$C$6:$C$1005,"Tool candidate")</x:f>
        <x:v>0</x:v>
      </x:c>
      <x:c r="AM260" s="4" t="str">
        <x:f>IF(AJ260&gt;0,"Route listed; review status/completeness",IF(C260="T0","Raw entry feed; no production route","No production route listed"))</x:f>
        <x:v>No production route listed</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str">
        <x:v>Equipment</x:v>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equipment; legger armor; armor; finished item; manufactured / unresolved; protection; shell / chitin; panel; proposal; legger; leger; companion replacement part; not applicable; unassigned; finished item</x:v>
      </x:c>
      <x:c r="AF261" s="4" t="str">
        <x:v>Specific parts and protective properties remain proposals; ancient-material scarcity is established author direction.</x:v>
      </x:c>
      <x:c r="AG261" s="4" t="str">
        <x:v>Finished endpoint; material tier is not applicable. Input tiers belong to the chosen recipe.</x:v>
      </x:c>
      <x:c r="AH261" s="4" t="str">
        <x:v>Unassigned</x:v>
      </x:c>
      <x:c r="AI261" s="4" t="str">
        <x:v>Finished item</x:v>
      </x:c>
      <x:c r="AJ261" s="4" t="n">
        <x:f>COUNTIFS('Material routes'!$D$6:$D$1005,A261,'Material routes'!$C$6:$C$1005,"Output")</x:f>
        <x:v>0</x:v>
      </x:c>
      <x:c r="AK261" s="4" t="n">
        <x:f>SUM(COUNTIFS('Material routes'!$D$6:$D$1005,A261,'Material routes'!$C$6:$C$1005,"Ingredient candidate"),COUNTIFS('Material routes'!$D$6:$D$1005,A261,'Material routes'!$C$6:$C$1005,"Consumed input"),COUNTIFS('Material routes'!$D$6:$D$1005,A261,'Material routes'!$C$6:$C$1005,"Contained input"),COUNTIFS('Material routes'!$D$6:$D$1005,A261,'Material routes'!$C$6:$C$1005,"Transform input"))</x:f>
        <x:v>0</x:v>
      </x:c>
      <x:c r="AL261" s="4" t="n">
        <x:f>COUNTIFS('Material routes'!$D$6:$D$1005,A261,'Material routes'!$C$6:$C$1005,"Tool candidate")</x:f>
        <x:v>0</x:v>
      </x:c>
      <x:c r="AM261" s="4" t="str">
        <x:f>IF(AJ261&gt;0,"Route listed; review status/completeness",IF(C261="T0","Raw entry feed; no production route","No production route listed"))</x:f>
        <x:v>No production route listed</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str">
        <x:v>Equipment</x:v>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equipment; legger armor; armor; finished item; manufactured / unresolved; protection; metal; panel; proposal; legger; leger; companion replacement part; not applicable; unassigned; finished item</x:v>
      </x:c>
      <x:c r="AF262" s="4" t="str">
        <x:v>Specific parts and protective properties remain proposals; ancient-material scarcity is established author direction.</x:v>
      </x:c>
      <x:c r="AG262" s="4" t="str">
        <x:v>Finished endpoint; material tier is not applicable. Input tiers belong to the chosen recipe.</x:v>
      </x:c>
      <x:c r="AH262" s="4" t="str">
        <x:v>Unassigned</x:v>
      </x:c>
      <x:c r="AI262" s="4" t="str">
        <x:v>Finished item</x:v>
      </x:c>
      <x:c r="AJ262" s="4" t="n">
        <x:f>COUNTIFS('Material routes'!$D$6:$D$1005,A262,'Material routes'!$C$6:$C$1005,"Output")</x:f>
        <x:v>0</x:v>
      </x:c>
      <x:c r="AK262" s="4" t="n">
        <x:f>SUM(COUNTIFS('Material routes'!$D$6:$D$1005,A262,'Material routes'!$C$6:$C$1005,"Ingredient candidate"),COUNTIFS('Material routes'!$D$6:$D$1005,A262,'Material routes'!$C$6:$C$1005,"Consumed input"),COUNTIFS('Material routes'!$D$6:$D$1005,A262,'Material routes'!$C$6:$C$1005,"Contained input"),COUNTIFS('Material routes'!$D$6:$D$1005,A262,'Material routes'!$C$6:$C$1005,"Transform input"))</x:f>
        <x:v>0</x:v>
      </x:c>
      <x:c r="AL262" s="4" t="n">
        <x:f>COUNTIFS('Material routes'!$D$6:$D$1005,A262,'Material routes'!$C$6:$C$1005,"Tool candidate")</x:f>
        <x:v>0</x:v>
      </x:c>
      <x:c r="AM262" s="4" t="str">
        <x:f>IF(AJ262&gt;0,"Route listed; review status/completeness",IF(C262="T0","Raw entry feed; no production route","No production route listed"))</x:f>
        <x:v>No production route listed</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t="str">
        <x:v>proposal.legger.joint_guard</x:v>
      </x:c>
      <x:c r="B263" s="9" t="str">
        <x:v>Articulated joint guard</x:v>
      </x:c>
      <x:c r="C263" s="4" t="str">
        <x:v>Not applicable</x:v>
      </x:c>
      <x:c r="D263" s="9" t="str">
        <x:v>Equipment</x:v>
      </x:c>
      <x:c r="E263" s="9" t="str">
        <x:v>Legger armor</x:v>
      </x:c>
      <x:c r="F263" s="9" t="str">
        <x:v>New proposal</x:v>
      </x:c>
      <x:c r="G263" s="9" t="str">
        <x:v>Overlapping or articulated cover candidate around a moving joint.</x:v>
      </x:c>
      <x:c r="H263" s="9" t="str">
        <x:v>Legger fitment unresolved</x:v>
      </x:c>
      <x:c r="I263" s="9" t="str">
        <x:v>Legger attachment / replacement intended; physical cargo policy unchanged</x:v>
      </x:c>
      <x:c r="J263" s="13"/>
      <x:c r="K263" s="15"/>
      <x:c r="L263" s="9" t="str">
        <x:v>Local craft, salvage or specialist trade; exact route TBD</x:v>
      </x:c>
      <x:c r="M263" s="9" t="str">
        <x:v>No recipe authored. Reuse existing iron stock, biological materials, ceramic craft, lubricant and ancient-material families where appropriate.</x:v>
      </x:c>
      <x:c r="N263" s="9" t="str">
        <x:v>Not implemented</x:v>
      </x:c>
      <x:c r="O263" s="9" t="str">
        <x:v>Geometry must preserve movement and maintenance access; no proven protective effect.</x:v>
      </x:c>
      <x:c r="P263" s="17"/>
      <x:c r="Q263" s="17"/>
      <x:c r="R263" s="17"/>
      <x:c r="S263" s="17"/>
      <x:c r="T263" s="17"/>
      <x:c r="U263" s="9" t="str">
        <x:v>Brainstorming candidate. Geometry, cost, mass, mounting, carrying and replacement behavior remain open. Part belongs to a finite physical companion.</x:v>
      </x:c>
      <x:c r="V263" s="11" t="str">
        <x:v>legger; leger; companion replacement part</x:v>
      </x:c>
      <x:c r="W263" s="9" t="str">
        <x:v>Author Legger slings/chassis/replacement/iron/ancient-armor brainstorming October 14, 2026; Docs/WORLD_BASIS.md#the-legger; specific item proposal.</x:v>
      </x:c>
      <x:c r="X263" s="4" t="str">
        <x:v>Armor</x:v>
      </x:c>
      <x:c r="Y263" s="4" t="str">
        <x:v>Finished item</x:v>
      </x:c>
      <x:c r="Z263" s="4" t="str">
        <x:v>Manufactured / unresolved</x:v>
      </x:c>
      <x:c r="AA263" s="4" t="str">
        <x:v>Protection</x:v>
      </x:c>
      <x:c r="AB263" s="4" t="str">
        <x:v>Mixed / unresolved</x:v>
      </x:c>
      <x:c r="AC263" s="4" t="str">
        <x:v>Assembly</x:v>
      </x:c>
      <x:c r="AD263" s="4" t="str">
        <x:v>Proposal</x:v>
      </x:c>
      <x:c r="AE263" s="4" t="str">
        <x:f>LOWER(A263&amp;"; "&amp;B263&amp;"; "&amp;D263&amp;"; "&amp;E263&amp;"; "&amp;X263&amp;"; "&amp;Y263&amp;"; "&amp;Z263&amp;"; "&amp;AA263&amp;"; "&amp;AB263&amp;"; "&amp;AC263&amp;"; "&amp;AD263&amp;"; "&amp;V263&amp;"; "&amp;C263&amp;"; "&amp;AH263&amp;"; "&amp;AI263)</x:f>
        <x:v>proposal.legger.joint_guard; articulated joint guard; equipment; legger armor; armor; finished item; manufactured / unresolved; protection; mixed / unresolved; assembly; proposal; legger; leger; companion replacement part; not applicable; unassigned; finished item</x:v>
      </x:c>
      <x:c r="AF263" s="4" t="str">
        <x:v>Specific parts and protective properties remain proposals; ancient-material scarcity is established author direction.</x:v>
      </x:c>
      <x:c r="AG263" s="4" t="str">
        <x:v>Finished endpoint; material tier is not applicable. Input tiers belong to the chosen recipe.</x:v>
      </x:c>
      <x:c r="AH263" s="4" t="str">
        <x:v>Unassigned</x:v>
      </x:c>
      <x:c r="AI263" s="4" t="str">
        <x:v>Finished item</x:v>
      </x:c>
      <x:c r="AJ263" s="4" t="n">
        <x:f>COUNTIFS('Material routes'!$D$6:$D$1005,A263,'Material routes'!$C$6:$C$1005,"Output")</x:f>
        <x:v>0</x:v>
      </x:c>
      <x:c r="AK263" s="4" t="n">
        <x:f>SUM(COUNTIFS('Material routes'!$D$6:$D$1005,A263,'Material routes'!$C$6:$C$1005,"Ingredient candidate"),COUNTIFS('Material routes'!$D$6:$D$1005,A263,'Material routes'!$C$6:$C$1005,"Consumed input"),COUNTIFS('Material routes'!$D$6:$D$1005,A263,'Material routes'!$C$6:$C$1005,"Contained input"),COUNTIFS('Material routes'!$D$6:$D$1005,A263,'Material routes'!$C$6:$C$1005,"Transform input"))</x:f>
        <x:v>0</x:v>
      </x:c>
      <x:c r="AL263" s="4" t="n">
        <x:f>COUNTIFS('Material routes'!$D$6:$D$1005,A263,'Material routes'!$C$6:$C$1005,"Tool candidate")</x:f>
        <x:v>0</x:v>
      </x:c>
      <x:c r="AM263" s="4" t="str">
        <x:f>IF(AJ263&gt;0,"Route listed; review status/completeness",IF(C263="T0","Raw entry feed; no production route","No production route listed"))</x:f>
        <x:v>No production route listed</x:v>
      </x:c>
      <x:c r="AN263" s="14" t="n">
        <x:f>IF(C263="T0",0,IF(C263="T1",1,IF(C263="T2",2,IF(C263="T3",3,IF(C263="T4",4,IF(C263="Unassigned",98,99))))))</x:f>
        <x:v>99</x:v>
      </x:c>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str">
        <x:v>Equipment</x:v>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equipment; legger armor; armor; finished item; manufactured / unresolved; protection; ceramic; panel; proposal; legger; leger; companion replacement part; not applicable; unassigned; finished item</x:v>
      </x:c>
      <x:c r="AF264" s="4" t="str">
        <x:v>Specific parts and protective properties remain proposals; ancient-material scarcity is established author direction.</x:v>
      </x:c>
      <x:c r="AG264" s="4" t="str">
        <x:v>Finished endpoint; material tier is not applicable. Input tiers belong to the chosen recipe.</x:v>
      </x:c>
      <x:c r="AH264" s="4" t="str">
        <x:v>Unassigned</x:v>
      </x:c>
      <x:c r="AI264" s="4" t="str">
        <x:v>Finished item</x:v>
      </x:c>
      <x:c r="AJ264" s="4" t="n">
        <x:f>COUNTIFS('Material routes'!$D$6:$D$1005,A264,'Material routes'!$C$6:$C$1005,"Output")</x:f>
        <x:v>0</x:v>
      </x:c>
      <x:c r="AK264" s="4" t="n">
        <x:f>SUM(COUNTIFS('Material routes'!$D$6:$D$1005,A264,'Material routes'!$C$6:$C$1005,"Ingredient candidate"),COUNTIFS('Material routes'!$D$6:$D$1005,A264,'Material routes'!$C$6:$C$1005,"Consumed input"),COUNTIFS('Material routes'!$D$6:$D$1005,A264,'Material routes'!$C$6:$C$1005,"Contained input"),COUNTIFS('Material routes'!$D$6:$D$1005,A264,'Material routes'!$C$6:$C$1005,"Transform input"))</x:f>
        <x:v>0</x:v>
      </x:c>
      <x:c r="AL264" s="4" t="n">
        <x:f>COUNTIFS('Material routes'!$D$6:$D$1005,A264,'Material routes'!$C$6:$C$1005,"Tool candidate")</x:f>
        <x:v>0</x:v>
      </x:c>
      <x:c r="AM264" s="4" t="str">
        <x:f>IF(AJ264&gt;0,"Route listed; review status/completeness",IF(C264="T0","Raw entry feed; no production route","No production route listed"))</x:f>
        <x:v>No production route listed</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15" customHeight="1">
      <x:c r="A265" s="9" t="str">
        <x:v>proposal.legger.plasteel_rib</x:v>
      </x:c>
      <x:c r="B265" s="9" t="str">
        <x:v>Ancient plasteel replacement member</x:v>
      </x:c>
      <x:c r="C265" s="4" t="str">
        <x:v>Unassigned</x:v>
      </x:c>
      <x:c r="D265" s="9" t="str">
        <x:v>Crafting components</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F265" s="4" t="str">
        <x:v>Specific parts and protective properties remain proposals; ancient-material scarcity is established author direction.</x:v>
      </x:c>
      <x:c r="AG265" s="4" t="str">
        <x:v>Tier requires a chosen production route; recovered ancient material is not automatically T4.</x:v>
      </x:c>
      <x:c r="AH265" s="4" t="str">
        <x:v>Unassigned</x:v>
      </x:c>
      <x:c r="AI265" s="4" t="str">
        <x:v>Component</x:v>
      </x:c>
      <x:c r="AJ265" s="4" t="n">
        <x:f>COUNTIFS('Material routes'!$D$6:$D$1005,A265,'Material routes'!$C$6:$C$1005,"Output")</x:f>
        <x:v>0</x:v>
      </x:c>
      <x:c r="AK265" s="4" t="n">
        <x:f>SUM(COUNTIFS('Material routes'!$D$6:$D$1005,A265,'Material routes'!$C$6:$C$1005,"Ingredient candidate"),COUNTIFS('Material routes'!$D$6:$D$1005,A265,'Material routes'!$C$6:$C$1005,"Consumed input"),COUNTIFS('Material routes'!$D$6:$D$1005,A265,'Material routes'!$C$6:$C$1005,"Contained input"),COUNTIFS('Material routes'!$D$6:$D$1005,A265,'Material routes'!$C$6:$C$1005,"Transform input"))</x:f>
        <x:v>0</x:v>
      </x:c>
      <x:c r="AL265" s="4" t="n">
        <x:f>COUNTIFS('Material routes'!$D$6:$D$1005,A265,'Material routes'!$C$6:$C$1005,"Tool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98</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str">
        <x:v>Equipment</x:v>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equipment; legger ancient replacement; armor; finished item; ancient technology; protection; ancient composite; panel; proposal; legger; leger; companion replacement part; ancient salvage plasteel nanotube ballistic; not applicable; unassigned; finished item</x:v>
      </x:c>
      <x:c r="AF266" s="4" t="str">
        <x:v>Specific parts and protective properties remain proposals; ancient-material scarcity is established author direction.</x:v>
      </x:c>
      <x:c r="AG266" s="4" t="str">
        <x:v>Finished endpoint; material tier is not applicable. Input tiers belong to the chosen recipe.</x:v>
      </x:c>
      <x:c r="AH266" s="4" t="str">
        <x:v>Unassigned</x:v>
      </x:c>
      <x:c r="AI266" s="4" t="str">
        <x:v>Finished item</x:v>
      </x:c>
      <x:c r="AJ266" s="4" t="n">
        <x:f>COUNTIFS('Material routes'!$D$6:$D$1005,A266,'Material routes'!$C$6:$C$1005,"Output")</x:f>
        <x:v>0</x:v>
      </x:c>
      <x:c r="AK266" s="4" t="n">
        <x:f>SUM(COUNTIFS('Material routes'!$D$6:$D$1005,A266,'Material routes'!$C$6:$C$1005,"Ingredient candidate"),COUNTIFS('Material routes'!$D$6:$D$1005,A266,'Material routes'!$C$6:$C$1005,"Consumed input"),COUNTIFS('Material routes'!$D$6:$D$1005,A266,'Material routes'!$C$6:$C$1005,"Contained input"),COUNTIFS('Material routes'!$D$6:$D$1005,A266,'Material routes'!$C$6:$C$1005,"Transform input"))</x:f>
        <x:v>0</x:v>
      </x:c>
      <x:c r="AL266" s="4" t="n">
        <x:f>COUNTIFS('Material routes'!$D$6:$D$1005,A266,'Material routes'!$C$6:$C$1005,"Tool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15" customHeight="1">
      <x:c r="A267" s="9" t="str">
        <x:v>proposal.legger.ancient_bearing</x:v>
      </x:c>
      <x:c r="B267" s="9" t="str">
        <x:v>Ancient bearing cassette</x:v>
      </x:c>
      <x:c r="C267" s="4" t="str">
        <x:v>Unassigned</x:v>
      </x:c>
      <x:c r="D267" s="9" t="str">
        <x:v>Crafting components</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 unassigned; unassigned; component</x:v>
      </x:c>
      <x:c r="AF267" s="4" t="str">
        <x:v>Specific parts and protective properties remain proposals; ancient-material scarcity is established author direction.</x:v>
      </x:c>
      <x:c r="AG267" s="4" t="str">
        <x:v>Tier requires a chosen production route; recovered ancient material is not automatically T4.</x:v>
      </x:c>
      <x:c r="AH267" s="4" t="str">
        <x:v>Unassigned</x:v>
      </x:c>
      <x:c r="AI267" s="4" t="str">
        <x:v>Component</x:v>
      </x:c>
      <x:c r="AJ267" s="4" t="n">
        <x:f>COUNTIFS('Material routes'!$D$6:$D$1005,A267,'Material routes'!$C$6:$C$1005,"Output")</x:f>
        <x:v>0</x:v>
      </x:c>
      <x:c r="AK267" s="4" t="n">
        <x:f>SUM(COUNTIFS('Material routes'!$D$6:$D$1005,A267,'Material routes'!$C$6:$C$1005,"Ingredient candidate"),COUNTIFS('Material routes'!$D$6:$D$1005,A267,'Material routes'!$C$6:$C$1005,"Consumed input"),COUNTIFS('Material routes'!$D$6:$D$1005,A267,'Material routes'!$C$6:$C$1005,"Contained input"),COUNTIFS('Material routes'!$D$6:$D$1005,A267,'Material routes'!$C$6:$C$1005,"Transform input"))</x:f>
        <x:v>0</x:v>
      </x:c>
      <x:c r="AL267" s="4" t="n">
        <x:f>COUNTIFS('Material routes'!$D$6:$D$1005,A267,'Material routes'!$C$6:$C$1005,"Tool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98</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str">
        <x:v>Equipment</x:v>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equipment; legger ancient replacement; armor; finished item; ancient technology; protection; ancient composite; panel; proposal; legger; leger; companion replacement part; ancient salvage plasteel nanotube ballistic; not applicable; unassigned; finished item</x:v>
      </x:c>
      <x:c r="AF268" s="4" t="str">
        <x:v>Specific parts and protective properties remain proposals; ancient-material scarcity is established author direction.</x:v>
      </x:c>
      <x:c r="AG268" s="4" t="str">
        <x:v>Finished endpoint; material tier is not applicable. Input tiers belong to the chosen recipe.</x:v>
      </x:c>
      <x:c r="AH268" s="4" t="str">
        <x:v>Unassigned</x:v>
      </x:c>
      <x:c r="AI268" s="4" t="str">
        <x:v>Finished item</x:v>
      </x:c>
      <x:c r="AJ268" s="4" t="n">
        <x:f>COUNTIFS('Material routes'!$D$6:$D$1005,A268,'Material routes'!$C$6:$C$1005,"Output")</x:f>
        <x:v>0</x:v>
      </x:c>
      <x:c r="AK268" s="4" t="n">
        <x:f>SUM(COUNTIFS('Material routes'!$D$6:$D$1005,A268,'Material routes'!$C$6:$C$1005,"Ingredient candidate"),COUNTIFS('Material routes'!$D$6:$D$1005,A268,'Material routes'!$C$6:$C$1005,"Consumed input"),COUNTIFS('Material routes'!$D$6:$D$1005,A268,'Material routes'!$C$6:$C$1005,"Contained input"),COUNTIFS('Material routes'!$D$6:$D$1005,A268,'Material routes'!$C$6:$C$1005,"Transform input"))</x:f>
        <x:v>0</x:v>
      </x:c>
      <x:c r="AL268" s="4" t="n">
        <x:f>COUNTIFS('Material routes'!$D$6:$D$1005,A268,'Material routes'!$C$6:$C$1005,"Tool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str">
        <x:v>Equipment</x:v>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equipment; legger cargo rigging; carrier; finished item; manufactured / unresolved; cargo organization; metal; assembly; proposal; equipment mounting; legger; leger; companion replacement part; not applicable; unassigned; finished item</x:v>
      </x:c>
      <x:c r="AF269" s="4" t="str">
        <x:v>Specific parts and protective properties remain proposals; ancient-material scarcity is established author direction.</x:v>
      </x:c>
      <x:c r="AG269" s="4" t="str">
        <x:v>Finished endpoint; material tier is not applicable. Input tiers belong to the chosen recipe.</x:v>
      </x:c>
      <x:c r="AH269" s="4" t="str">
        <x:v>Unassigned</x:v>
      </x:c>
      <x:c r="AI269" s="4" t="str">
        <x:v>Finished item</x:v>
      </x:c>
      <x:c r="AJ269" s="4" t="n">
        <x:f>COUNTIFS('Material routes'!$D$6:$D$1005,A269,'Material routes'!$C$6:$C$1005,"Output")</x:f>
        <x:v>0</x:v>
      </x:c>
      <x:c r="AK269" s="4" t="n">
        <x:f>SUM(COUNTIFS('Material routes'!$D$6:$D$1005,A269,'Material routes'!$C$6:$C$1005,"Ingredient candidate"),COUNTIFS('Material routes'!$D$6:$D$1005,A269,'Material routes'!$C$6:$C$1005,"Consumed input"),COUNTIFS('Material routes'!$D$6:$D$1005,A269,'Material routes'!$C$6:$C$1005,"Contained input"),COUNTIFS('Material routes'!$D$6:$D$1005,A269,'Material routes'!$C$6:$C$1005,"Transform input"))</x:f>
        <x:v>0</x:v>
      </x:c>
      <x:c r="AL269" s="4" t="n">
        <x:f>COUNTIFS('Material routes'!$D$6:$D$1005,A269,'Material routes'!$C$6:$C$1005,"Tool candidate")</x:f>
        <x:v>0</x:v>
      </x:c>
      <x:c r="AM269" s="4" t="str">
        <x:f>IF(AJ269&gt;0,"Route listed; review status/completeness",IF(C269="T0","Raw entry feed; no production route","No production route listed"))</x:f>
        <x:v>No production route listed</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str">
        <x:v>Equipment</x:v>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equipment; legger cargo rigging; carrier; finished item; manufactured / unresolved; cargo organization; mixed / unresolved; assembly; proposal; legger; leger; companion replacement part; not applicable; unassigned; finished item</x:v>
      </x:c>
      <x:c r="AF270" s="4" t="str">
        <x:v>Specific parts and protective properties remain proposals; ancient-material scarcity is established author direction.</x:v>
      </x:c>
      <x:c r="AG270" s="4" t="str">
        <x:v>Finished endpoint; material tier is not applicable. Input tiers belong to the chosen recipe.</x:v>
      </x:c>
      <x:c r="AH270" s="4" t="str">
        <x:v>Unassigned</x:v>
      </x:c>
      <x:c r="AI270" s="4" t="str">
        <x:v>Finished item</x:v>
      </x:c>
      <x:c r="AJ270" s="4" t="n">
        <x:f>COUNTIFS('Material routes'!$D$6:$D$1005,A270,'Material routes'!$C$6:$C$1005,"Output")</x:f>
        <x:v>0</x:v>
      </x:c>
      <x:c r="AK270" s="4" t="n">
        <x:f>SUM(COUNTIFS('Material routes'!$D$6:$D$1005,A270,'Material routes'!$C$6:$C$1005,"Ingredient candidate"),COUNTIFS('Material routes'!$D$6:$D$1005,A270,'Material routes'!$C$6:$C$1005,"Consumed input"),COUNTIFS('Material routes'!$D$6:$D$1005,A270,'Material routes'!$C$6:$C$1005,"Contained input"),COUNTIFS('Material routes'!$D$6:$D$1005,A270,'Material routes'!$C$6:$C$1005,"Transform input"))</x:f>
        <x:v>0</x:v>
      </x:c>
      <x:c r="AL270" s="4" t="n">
        <x:f>COUNTIFS('Material routes'!$D$6:$D$1005,A270,'Material routes'!$C$6:$C$1005,"Tool candidate")</x:f>
        <x:v>0</x:v>
      </x:c>
      <x:c r="AM270" s="4" t="str">
        <x:f>IF(AJ270&gt;0,"Route listed; review status/completeness",IF(C270="T0","Raw entry feed; no production route","No production route listed"))</x:f>
        <x:v>No production route listed</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str">
        <x:v>Equipment</x:v>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equipment; legger cargo rigging; container; finished item; manufactured / unresolved; cargo organization; metal; assembly; proposal; legger; leger; companion replacement part; not applicable; unassigned; finished item</x:v>
      </x:c>
      <x:c r="AF271" s="4" t="str">
        <x:v>Specific parts and protective properties remain proposals; ancient-material scarcity is established author direction.</x:v>
      </x:c>
      <x:c r="AG271" s="4" t="str">
        <x:v>Finished endpoint; material tier is not applicable. Input tiers belong to the chosen recipe.</x:v>
      </x:c>
      <x:c r="AH271" s="4" t="str">
        <x:v>Unassigned</x:v>
      </x:c>
      <x:c r="AI271" s="4" t="str">
        <x:v>Finished item</x:v>
      </x:c>
      <x:c r="AJ271" s="4" t="n">
        <x:f>COUNTIFS('Material routes'!$D$6:$D$1005,A271,'Material routes'!$C$6:$C$1005,"Output")</x:f>
        <x:v>0</x:v>
      </x:c>
      <x:c r="AK271" s="4" t="n">
        <x:f>SUM(COUNTIFS('Material routes'!$D$6:$D$1005,A271,'Material routes'!$C$6:$C$1005,"Ingredient candidate"),COUNTIFS('Material routes'!$D$6:$D$1005,A271,'Material routes'!$C$6:$C$1005,"Consumed input"),COUNTIFS('Material routes'!$D$6:$D$1005,A271,'Material routes'!$C$6:$C$1005,"Contained input"),COUNTIFS('Material routes'!$D$6:$D$1005,A271,'Material routes'!$C$6:$C$1005,"Transform input"))</x:f>
        <x:v>0</x:v>
      </x:c>
      <x:c r="AL271" s="4" t="n">
        <x:f>COUNTIFS('Material routes'!$D$6:$D$1005,A271,'Material routes'!$C$6:$C$1005,"Tool candidate")</x:f>
        <x:v>0</x:v>
      </x:c>
      <x:c r="AM271" s="4" t="str">
        <x:f>IF(AJ271&gt;0,"Route listed; review status/completeness",IF(C271="T0","Raw entry feed; no production route","No production route listed"))</x:f>
        <x:v>No production route listed</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15" customHeight="1">
      <x:c r="A272" s="9" t="str">
        <x:v>proposal.legger.long_load_clamp</x:v>
      </x:c>
      <x:c r="B272" s="9" t="str">
        <x:v>Legger long-load clamp</x:v>
      </x:c>
      <x:c r="C272" s="4" t="str">
        <x:v>Unassigned</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unassigned; not applicable; component</x:v>
      </x:c>
      <x:c r="AF272" s="4" t="str">
        <x:v>Specific parts and protective properties remain proposals; ancient-material scarcity is established author direction.</x:v>
      </x:c>
      <x:c r="AG272" s="4" t="str">
        <x:v>Choose a material/part route before assigning a tier. Processing-stage labels alone do not prove chain depth.</x:v>
      </x:c>
      <x:c r="AH272" s="4" t="str">
        <x:v>Not applicable</x:v>
      </x:c>
      <x:c r="AI272" s="4" t="str">
        <x:v>Component</x:v>
      </x:c>
      <x:c r="AJ272" s="4" t="n">
        <x:f>COUNTIFS('Material routes'!$D$6:$D$1005,A272,'Material routes'!$C$6:$C$1005,"Output")</x:f>
        <x:v>0</x:v>
      </x:c>
      <x:c r="AK272" s="4" t="n">
        <x:f>SUM(COUNTIFS('Material routes'!$D$6:$D$1005,A272,'Material routes'!$C$6:$C$1005,"Ingredient candidate"),COUNTIFS('Material routes'!$D$6:$D$1005,A272,'Material routes'!$C$6:$C$1005,"Consumed input"),COUNTIFS('Material routes'!$D$6:$D$1005,A272,'Material routes'!$C$6:$C$1005,"Contained input"),COUNTIFS('Material routes'!$D$6:$D$1005,A272,'Material routes'!$C$6:$C$1005,"Transform input"))</x:f>
        <x:v>0</x:v>
      </x:c>
      <x:c r="AL272" s="4" t="n">
        <x:f>COUNTIFS('Material routes'!$D$6:$D$1005,A272,'Material routes'!$C$6:$C$1005,"Tool candidate")</x:f>
        <x:v>0</x:v>
      </x:c>
      <x:c r="AM272" s="4" t="str">
        <x:f>IF(AJ272&gt;0,"Route listed; review status/completeness",IF(C272="T0","Raw entry feed; no production route","No production route listed"))</x:f>
        <x:v>No production route listed</x:v>
      </x:c>
      <x:c r="AN272" s="14" t="n">
        <x:f>IF(C272="T0",0,IF(C272="T1",1,IF(C272="T2",2,IF(C272="T3",3,IF(C272="T4",4,IF(C272="Unassigned",98,99))))))</x:f>
        <x:v>98</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15" customHeight="1">
      <x:c r="A273" s="9" t="str">
        <x:v>proposal.legger.release_latch</x:v>
      </x:c>
      <x:c r="B273" s="9" t="str">
        <x:v>Cargo quick-release latch</x:v>
      </x:c>
      <x:c r="C273" s="4" t="str">
        <x:v>Unassigned</x:v>
      </x:c>
      <x:c r="D273" s="9" t="str">
        <x:v>Crafting components</x:v>
      </x:c>
      <x:c r="E273" s="9" t="str">
        <x:v>Legger cargo rigging</x:v>
      </x:c>
      <x:c r="F273" s="9" t="str">
        <x:v>New proposal</x:v>
      </x:c>
      <x:c r="G273" s="9" t="str">
        <x:v>Serviceable latch securing one compatible cargo carrier.</x:v>
      </x:c>
      <x:c r="H273" s="9" t="str">
        <x:v>Legger fitment unresolved</x:v>
      </x:c>
      <x:c r="I273" s="9" t="str">
        <x:v>Legger attachment / replacement intended; physical cargo policy unchanged</x:v>
      </x:c>
      <x:c r="J273" s="13"/>
      <x:c r="K273" s="15"/>
      <x:c r="L273" s="9" t="str">
        <x:v>Local craft, salvage or specialist trade; exact route TBD</x:v>
      </x:c>
      <x:c r="M273" s="9" t="str">
        <x:v>No recipe authored. Reuse existing iron stock, biological materials, ceramic craft, lubricant and ancient-material families where appropriate.</x:v>
      </x:c>
      <x:c r="N273" s="9" t="str">
        <x:v>Not implemented</x:v>
      </x:c>
      <x:c r="O273" s="9" t="str">
        <x:v>Release action, retention and failure behavior TBD; distinguish from mounting eyes and lashings.</x:v>
      </x:c>
      <x:c r="P273" s="17"/>
      <x:c r="Q273" s="17"/>
      <x:c r="R273" s="17"/>
      <x:c r="S273" s="17"/>
      <x:c r="T273" s="17"/>
      <x:c r="U273" s="9" t="str">
        <x:v>Brainstorming candidate. Geometry, cost, mass, mounting, carrying and replacement behavior remain open. Part belongs to a finite physical companion.</x:v>
      </x:c>
      <x:c r="V273" s="11" t="str">
        <x:v>legger; leger; companion replacement part</x:v>
      </x:c>
      <x:c r="W273" s="9" t="str">
        <x:v>Author Legger slings/chassis/replacement/iron/ancient-armor brainstorming October 14, 2026; Docs/WORLD_BASIS.md#the-legger; specific item proposal.</x:v>
      </x:c>
      <x:c r="X273" s="4" t="str">
        <x:v>Crafting component</x:v>
      </x:c>
      <x:c r="Y273" s="4" t="str">
        <x:v>Processed intermediate</x:v>
      </x:c>
      <x:c r="Z273" s="4" t="str">
        <x:v>Manufactured / unresolved</x:v>
      </x:c>
      <x:c r="AA273" s="4" t="str">
        <x:v>Equipment mounting</x:v>
      </x:c>
      <x:c r="AB273" s="4" t="str">
        <x:v>Metal</x:v>
      </x:c>
      <x:c r="AC273" s="4" t="str">
        <x:v>Solid part</x:v>
      </x:c>
      <x:c r="AD273" s="4" t="str">
        <x:v>Proposal</x:v>
      </x:c>
      <x:c r="AE273" s="4" t="str">
        <x:f>LOWER(A273&amp;"; "&amp;B273&amp;"; "&amp;D273&amp;"; "&amp;E273&amp;"; "&amp;X273&amp;"; "&amp;Y273&amp;"; "&amp;Z273&amp;"; "&amp;AA273&amp;"; "&amp;AB273&amp;"; "&amp;AC273&amp;"; "&amp;AD273&amp;"; "&amp;V273&amp;"; "&amp;C273&amp;"; "&amp;AH273&amp;"; "&amp;AI273)</x:f>
        <x:v>proposal.legger.release_latch; cargo quick-release latch; crafting components; legger cargo rigging; crafting component; processed intermediate; manufactured / unresolved; equipment mounting; metal; solid part; proposal; legger; leger; companion replacement part; unassigned; not applicable; component</x:v>
      </x:c>
      <x:c r="AF273" s="4" t="str">
        <x:v>Specific parts and protective properties remain proposals; ancient-material scarcity is established author direction.</x:v>
      </x:c>
      <x:c r="AG273" s="4" t="str">
        <x:v>Choose a material/part route before assigning a tier. Processing-stage labels alone do not prove chain depth.</x:v>
      </x:c>
      <x:c r="AH273" s="4" t="str">
        <x:v>Not applicable</x:v>
      </x:c>
      <x:c r="AI273" s="4" t="str">
        <x:v>Component</x:v>
      </x:c>
      <x:c r="AJ273" s="4" t="n">
        <x:f>COUNTIFS('Material routes'!$D$6:$D$1005,A273,'Material routes'!$C$6:$C$1005,"Output")</x:f>
        <x:v>0</x:v>
      </x:c>
      <x:c r="AK273" s="4" t="n">
        <x:f>SUM(COUNTIFS('Material routes'!$D$6:$D$1005,A273,'Material routes'!$C$6:$C$1005,"Ingredient candidate"),COUNTIFS('Material routes'!$D$6:$D$1005,A273,'Material routes'!$C$6:$C$1005,"Consumed input"),COUNTIFS('Material routes'!$D$6:$D$1005,A273,'Material routes'!$C$6:$C$1005,"Contained input"),COUNTIFS('Material routes'!$D$6:$D$1005,A273,'Material routes'!$C$6:$C$1005,"Transform input"))</x:f>
        <x:v>0</x:v>
      </x:c>
      <x:c r="AL273" s="4" t="n">
        <x:f>COUNTIFS('Material routes'!$D$6:$D$1005,A273,'Material routes'!$C$6:$C$1005,"Tool candidate")</x:f>
        <x:v>0</x:v>
      </x:c>
      <x:c r="AM273" s="4" t="str">
        <x:f>IF(AJ273&gt;0,"Route listed; review status/completeness",IF(C273="T0","Raw entry feed; no production route","No production route listed"))</x:f>
        <x:v>No production route listed</x:v>
      </x:c>
      <x:c r="AN273" s="14" t="n">
        <x:f>IF(C273="T0",0,IF(C273="T1",1,IF(C273="T2",2,IF(C273="T3",3,IF(C273="T4",4,IF(C273="Unassigned",98,99))))))</x:f>
        <x:v>98</x:v>
      </x:c>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str">
        <x:v>Equipment</x:v>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equipment; legger cargo rigging; carrier; finished item; manufactured / unresolved; cargo organization; metal; assembly; proposal; equipment mounting; legger; leger; companion replacement part; not applicable; unassigned; finished item</x:v>
      </x:c>
      <x:c r="AF274" s="4" t="str">
        <x:v>Specific parts and protective properties remain proposals; ancient-material scarcity is established author direction.</x:v>
      </x:c>
      <x:c r="AG274" s="4" t="str">
        <x:v>Finished endpoint; material tier is not applicable. Input tiers belong to the chosen recipe.</x:v>
      </x:c>
      <x:c r="AH274" s="4" t="str">
        <x:v>Unassigned</x:v>
      </x:c>
      <x:c r="AI274" s="4" t="str">
        <x:v>Finished item</x:v>
      </x:c>
      <x:c r="AJ274" s="4" t="n">
        <x:f>COUNTIFS('Material routes'!$D$6:$D$1005,A274,'Material routes'!$C$6:$C$1005,"Output")</x:f>
        <x:v>0</x:v>
      </x:c>
      <x:c r="AK274" s="4" t="n">
        <x:f>SUM(COUNTIFS('Material routes'!$D$6:$D$1005,A274,'Material routes'!$C$6:$C$1005,"Ingredient candidate"),COUNTIFS('Material routes'!$D$6:$D$1005,A274,'Material routes'!$C$6:$C$1005,"Consumed input"),COUNTIFS('Material routes'!$D$6:$D$1005,A274,'Material routes'!$C$6:$C$1005,"Contained input"),COUNTIFS('Material routes'!$D$6:$D$1005,A274,'Material routes'!$C$6:$C$1005,"Transform input"))</x:f>
        <x:v>0</x:v>
      </x:c>
      <x:c r="AL274" s="4" t="n">
        <x:f>COUNTIFS('Material routes'!$D$6:$D$1005,A274,'Material routes'!$C$6:$C$1005,"Tool candidate")</x:f>
        <x:v>0</x:v>
      </x:c>
      <x:c r="AM274" s="4" t="str">
        <x:f>IF(AJ274&gt;0,"Route listed; review status/completeness",IF(C274="T0","Raw entry feed; no production route","No production route listed"))</x:f>
        <x:v>No production route listed</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15" customHeight="1">
      <x:c r="A275" s="9" t="str">
        <x:v>proposal.legger.hinge_plate</x:v>
      </x:c>
      <x:c r="B275" s="9" t="str">
        <x:v>Chassis hinge-mount plate</x:v>
      </x:c>
      <x:c r="C275" s="4" t="str">
        <x:v>Unassigned</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unassigned; not applicable; component</x:v>
      </x:c>
      <x:c r="AF275" s="4" t="str">
        <x:v>Specific parts and protective properties remain proposals; ancient-material scarcity is established author direction.</x:v>
      </x:c>
      <x:c r="AG275" s="4" t="str">
        <x:v>Choose a material/part route before assigning a tier. Processing-stage labels alone do not prove chain depth.</x:v>
      </x:c>
      <x:c r="AH275" s="4" t="str">
        <x:v>Not applicable</x:v>
      </x:c>
      <x:c r="AI275" s="4" t="str">
        <x:v>Component</x:v>
      </x:c>
      <x:c r="AJ275" s="4" t="n">
        <x:f>COUNTIFS('Material routes'!$D$6:$D$1005,A275,'Material routes'!$C$6:$C$1005,"Output")</x:f>
        <x:v>0</x:v>
      </x:c>
      <x:c r="AK275" s="4" t="n">
        <x:f>SUM(COUNTIFS('Material routes'!$D$6:$D$1005,A275,'Material routes'!$C$6:$C$1005,"Ingredient candidate"),COUNTIFS('Material routes'!$D$6:$D$1005,A275,'Material routes'!$C$6:$C$1005,"Consumed input"),COUNTIFS('Material routes'!$D$6:$D$1005,A275,'Material routes'!$C$6:$C$1005,"Contained input"),COUNTIFS('Material routes'!$D$6:$D$1005,A275,'Material routes'!$C$6:$C$1005,"Transform input"))</x:f>
        <x:v>0</x:v>
      </x:c>
      <x:c r="AL275" s="4" t="n">
        <x:f>COUNTIFS('Material routes'!$D$6:$D$1005,A275,'Material routes'!$C$6:$C$1005,"Tool candidate")</x:f>
        <x:v>0</x:v>
      </x:c>
      <x:c r="AM275" s="4" t="str">
        <x:f>IF(AJ275&gt;0,"Route listed; review status/completeness",IF(C275="T0","Raw entry feed; no production route","No production route listed"))</x:f>
        <x:v>No production route listed</x:v>
      </x:c>
      <x:c r="AN275" s="14" t="n">
        <x:f>IF(C275="T0",0,IF(C275="T1",1,IF(C275="T2",2,IF(C275="T3",3,IF(C275="T4",4,IF(C275="Unassigned",98,99))))))</x:f>
        <x:v>98</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15" customHeight="1">
      <x:c r="A276" s="9" t="str">
        <x:v>proposal.legger.inspection_hatch</x:v>
      </x:c>
      <x:c r="B276" s="9" t="str">
        <x:v>Legger inspection hatch</x:v>
      </x:c>
      <x:c r="C276" s="4" t="str">
        <x:v>Unassigned</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unassigned; not applicable; component</x:v>
      </x:c>
      <x:c r="AF276" s="4" t="str">
        <x:v>Specific parts and protective properties remain proposals; ancient-material scarcity is established author direction.</x:v>
      </x:c>
      <x:c r="AG276" s="4" t="str">
        <x:v>Choose a material/part route before assigning a tier. Processing-stage labels alone do not prove chain depth.</x:v>
      </x:c>
      <x:c r="AH276" s="4" t="str">
        <x:v>Not applicable</x:v>
      </x:c>
      <x:c r="AI276" s="4" t="str">
        <x:v>Component</x:v>
      </x:c>
      <x:c r="AJ276" s="4" t="n">
        <x:f>COUNTIFS('Material routes'!$D$6:$D$1005,A276,'Material routes'!$C$6:$C$1005,"Output")</x:f>
        <x:v>0</x:v>
      </x:c>
      <x:c r="AK276" s="4" t="n">
        <x:f>SUM(COUNTIFS('Material routes'!$D$6:$D$1005,A276,'Material routes'!$C$6:$C$1005,"Ingredient candidate"),COUNTIFS('Material routes'!$D$6:$D$1005,A276,'Material routes'!$C$6:$C$1005,"Consumed input"),COUNTIFS('Material routes'!$D$6:$D$1005,A276,'Material routes'!$C$6:$C$1005,"Contained input"),COUNTIFS('Material routes'!$D$6:$D$1005,A276,'Material routes'!$C$6:$C$1005,"Transform input"))</x:f>
        <x:v>0</x:v>
      </x:c>
      <x:c r="AL276" s="4" t="n">
        <x:f>COUNTIFS('Material routes'!$D$6:$D$1005,A276,'Material routes'!$C$6:$C$1005,"Tool candidate")</x:f>
        <x:v>0</x:v>
      </x:c>
      <x:c r="AM276" s="4" t="str">
        <x:f>IF(AJ276&gt;0,"Route listed; review status/completeness",IF(C276="T0","Raw entry feed; no production route","No production route listed"))</x:f>
        <x:v>No production route listed</x:v>
      </x:c>
      <x:c r="AN276" s="14" t="n">
        <x:f>IF(C276="T0",0,IF(C276="T1",1,IF(C276="T2",2,IF(C276="T3",3,IF(C276="T4",4,IF(C276="Unassigned",98,99))))))</x:f>
        <x:v>98</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15" customHeight="1">
      <x:c r="A277" s="9" t="str">
        <x:v>proposal.legger.fracture_patch</x:v>
      </x:c>
      <x:c r="B277" s="9" t="str">
        <x:v>Iron chassis fracture patch</x:v>
      </x:c>
      <x:c r="C277" s="4" t="str">
        <x:v>Unassigned</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unassigned; not applicable; component</x:v>
      </x:c>
      <x:c r="AF277" s="4" t="str">
        <x:v>Specific parts and protective properties remain proposals; ancient-material scarcity is established author direction.</x:v>
      </x:c>
      <x:c r="AG277" s="4" t="str">
        <x:v>Choose a material/part route before assigning a tier. Processing-stage labels alone do not prove chain depth.</x:v>
      </x:c>
      <x:c r="AH277" s="4" t="str">
        <x:v>Not applicable</x:v>
      </x:c>
      <x:c r="AI277" s="4" t="str">
        <x:v>Component</x:v>
      </x:c>
      <x:c r="AJ277" s="4" t="n">
        <x:f>COUNTIFS('Material routes'!$D$6:$D$1005,A277,'Material routes'!$C$6:$C$1005,"Output")</x:f>
        <x:v>0</x:v>
      </x:c>
      <x:c r="AK277" s="4" t="n">
        <x:f>SUM(COUNTIFS('Material routes'!$D$6:$D$1005,A277,'Material routes'!$C$6:$C$1005,"Ingredient candidate"),COUNTIFS('Material routes'!$D$6:$D$1005,A277,'Material routes'!$C$6:$C$1005,"Consumed input"),COUNTIFS('Material routes'!$D$6:$D$1005,A277,'Material routes'!$C$6:$C$1005,"Contained input"),COUNTIFS('Material routes'!$D$6:$D$1005,A277,'Material routes'!$C$6:$C$1005,"Transform input"))</x:f>
        <x:v>0</x:v>
      </x:c>
      <x:c r="AL277" s="4" t="n">
        <x:f>COUNTIFS('Material routes'!$D$6:$D$1005,A277,'Material routes'!$C$6:$C$1005,"Tool candidate")</x:f>
        <x:v>0</x:v>
      </x:c>
      <x:c r="AM277" s="4" t="str">
        <x:f>IF(AJ277&gt;0,"Route listed; review status/completeness",IF(C277="T0","Raw entry feed; no production route","No production route listed"))</x:f>
        <x:v>No production route listed</x:v>
      </x:c>
      <x:c r="AN277" s="14" t="n">
        <x:f>IF(C277="T0",0,IF(C277="T1",1,IF(C277="T2",2,IF(C277="T3",3,IF(C277="T4",4,IF(C277="Unassigned",98,99))))))</x:f>
        <x:v>98</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15" customHeight="1">
      <x:c r="A278" s="9" t="str">
        <x:v>proposal.legger.crush_mount</x:v>
      </x:c>
      <x:c r="B278" s="9" t="str">
        <x:v>Sacrificial attachment mount</x:v>
      </x:c>
      <x:c r="C278" s="4" t="str">
        <x:v>Unassigned</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unassigned; not applicable; component</x:v>
      </x:c>
      <x:c r="AF278" s="4" t="str">
        <x:v>Specific parts and protective properties remain proposals; ancient-material scarcity is established author direction.</x:v>
      </x:c>
      <x:c r="AG278" s="4" t="str">
        <x:v>Choose a material/part route before assigning a tier. Processing-stage labels alone do not prove chain depth.</x:v>
      </x:c>
      <x:c r="AH278" s="4" t="str">
        <x:v>Not applicable</x:v>
      </x:c>
      <x:c r="AI278" s="4" t="str">
        <x:v>Component</x:v>
      </x:c>
      <x:c r="AJ278" s="4" t="n">
        <x:f>COUNTIFS('Material routes'!$D$6:$D$1005,A278,'Material routes'!$C$6:$C$1005,"Output")</x:f>
        <x:v>0</x:v>
      </x:c>
      <x:c r="AK278" s="4" t="n">
        <x:f>SUM(COUNTIFS('Material routes'!$D$6:$D$1005,A278,'Material routes'!$C$6:$C$1005,"Ingredient candidate"),COUNTIFS('Material routes'!$D$6:$D$1005,A278,'Material routes'!$C$6:$C$1005,"Consumed input"),COUNTIFS('Material routes'!$D$6:$D$1005,A278,'Material routes'!$C$6:$C$1005,"Contained input"),COUNTIFS('Material routes'!$D$6:$D$1005,A278,'Material routes'!$C$6:$C$1005,"Transform input"))</x:f>
        <x:v>0</x:v>
      </x:c>
      <x:c r="AL278" s="4" t="n">
        <x:f>COUNTIFS('Material routes'!$D$6:$D$1005,A278,'Material routes'!$C$6:$C$1005,"Tool candidate")</x:f>
        <x:v>0</x:v>
      </x:c>
      <x:c r="AM278" s="4" t="str">
        <x:f>IF(AJ278&gt;0,"Route listed; review status/completeness",IF(C278="T0","Raw entry feed; no production route","No production route listed"))</x:f>
        <x:v>No production route listed</x:v>
      </x:c>
      <x:c r="AN278" s="14" t="n">
        <x:f>IF(C278="T0",0,IF(C278="T1",1,IF(C278="T2",2,IF(C278="T3",3,IF(C278="T4",4,IF(C278="Unassigned",98,99))))))</x:f>
        <x:v>98</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15" customHeight="1">
      <x:c r="A279" s="9" t="str">
        <x:v>proposal.legger.bulkhead_ring</x:v>
      </x:c>
      <x:c r="B279" s="9" t="str">
        <x:v>Chassis reinforcing ring</x:v>
      </x:c>
      <x:c r="C279" s="4" t="str">
        <x:v>Unassigned</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unassigned; not applicable; component</x:v>
      </x:c>
      <x:c r="AF279" s="4" t="str">
        <x:v>Specific parts and protective properties remain proposals; ancient-material scarcity is established author direction.</x:v>
      </x:c>
      <x:c r="AG279" s="4" t="str">
        <x:v>Choose a material/part route before assigning a tier. Processing-stage labels alone do not prove chain depth.</x:v>
      </x:c>
      <x:c r="AH279" s="4" t="str">
        <x:v>Not applicable</x:v>
      </x:c>
      <x:c r="AI279" s="4" t="str">
        <x:v>Component</x:v>
      </x:c>
      <x:c r="AJ279" s="4" t="n">
        <x:f>COUNTIFS('Material routes'!$D$6:$D$1005,A279,'Material routes'!$C$6:$C$1005,"Output")</x:f>
        <x:v>0</x:v>
      </x:c>
      <x:c r="AK279" s="4" t="n">
        <x:f>SUM(COUNTIFS('Material routes'!$D$6:$D$1005,A279,'Material routes'!$C$6:$C$1005,"Ingredient candidate"),COUNTIFS('Material routes'!$D$6:$D$1005,A279,'Material routes'!$C$6:$C$1005,"Consumed input"),COUNTIFS('Material routes'!$D$6:$D$1005,A279,'Material routes'!$C$6:$C$1005,"Contained input"),COUNTIFS('Material routes'!$D$6:$D$1005,A279,'Material routes'!$C$6:$C$1005,"Transform input"))</x:f>
        <x:v>0</x:v>
      </x:c>
      <x:c r="AL279" s="4" t="n">
        <x:f>COUNTIFS('Material routes'!$D$6:$D$1005,A279,'Material routes'!$C$6:$C$1005,"Tool candidate")</x:f>
        <x:v>0</x:v>
      </x:c>
      <x:c r="AM279" s="4" t="str">
        <x:f>IF(AJ279&gt;0,"Route listed; review status/completeness",IF(C279="T0","Raw entry feed; no production route","No production route listed"))</x:f>
        <x:v>No production route listed</x:v>
      </x:c>
      <x:c r="AN279" s="14" t="n">
        <x:f>IF(C279="T0",0,IF(C279="T1",1,IF(C279="T2",2,IF(C279="T3",3,IF(C279="T4",4,IF(C279="Unassigned",98,99))))))</x:f>
        <x:v>98</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15" customHeight="1">
      <x:c r="A280" s="9" t="str">
        <x:v>proposal.legger.alignment_shims</x:v>
      </x:c>
      <x:c r="B280" s="9" t="str">
        <x:v>Chassis alignment-shim set</x:v>
      </x:c>
      <x:c r="C280" s="4" t="str">
        <x:v>Unassigned</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unassigned; not applicable; component</x:v>
      </x:c>
      <x:c r="AF280" s="4" t="str">
        <x:v>Specific parts and protective properties remain proposals; ancient-material scarcity is established author direction.</x:v>
      </x:c>
      <x:c r="AG280" s="4" t="str">
        <x:v>Choose a material/part route before assigning a tier. Processing-stage labels alone do not prove chain depth.</x:v>
      </x:c>
      <x:c r="AH280" s="4" t="str">
        <x:v>Not applicable</x:v>
      </x:c>
      <x:c r="AI280" s="4" t="str">
        <x:v>Component</x:v>
      </x:c>
      <x:c r="AJ280" s="4" t="n">
        <x:f>COUNTIFS('Material routes'!$D$6:$D$1005,A280,'Material routes'!$C$6:$C$1005,"Output")</x:f>
        <x:v>0</x:v>
      </x:c>
      <x:c r="AK280" s="4" t="n">
        <x:f>SUM(COUNTIFS('Material routes'!$D$6:$D$1005,A280,'Material routes'!$C$6:$C$1005,"Ingredient candidate"),COUNTIFS('Material routes'!$D$6:$D$1005,A280,'Material routes'!$C$6:$C$1005,"Consumed input"),COUNTIFS('Material routes'!$D$6:$D$1005,A280,'Material routes'!$C$6:$C$1005,"Contained input"),COUNTIFS('Material routes'!$D$6:$D$1005,A280,'Material routes'!$C$6:$C$1005,"Transform input"))</x:f>
        <x:v>0</x:v>
      </x:c>
      <x:c r="AL280" s="4" t="n">
        <x:f>COUNTIFS('Material routes'!$D$6:$D$1005,A280,'Material routes'!$C$6:$C$1005,"Tool candidate")</x:f>
        <x:v>0</x:v>
      </x:c>
      <x:c r="AM280" s="4" t="str">
        <x:f>IF(AJ280&gt;0,"Route listed; review status/completeness",IF(C280="T0","Raw entry feed; no production route","No production route listed"))</x:f>
        <x:v>No production route listed</x:v>
      </x:c>
      <x:c r="AN280" s="14" t="n">
        <x:f>IF(C280="T0",0,IF(C280="T1",1,IF(C280="T2",2,IF(C280="T3",3,IF(C280="T4",4,IF(C280="Unassigned",98,99))))))</x:f>
        <x:v>98</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15" customHeight="1">
      <x:c r="A281" s="9" t="str">
        <x:v>proposal.legger.joint_pin</x:v>
      </x:c>
      <x:c r="B281" s="9" t="str">
        <x:v>Replaceable joint pin</x:v>
      </x:c>
      <x:c r="C281" s="4" t="str">
        <x:v>Unassigned</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unassigned; not applicable; component</x:v>
      </x:c>
      <x:c r="AF281" s="4" t="str">
        <x:v>Specific parts and protective properties remain proposals; ancient-material scarcity is established author direction.</x:v>
      </x:c>
      <x:c r="AG281" s="4" t="str">
        <x:v>Choose a material/part route before assigning a tier. Processing-stage labels alone do not prove chain depth.</x:v>
      </x:c>
      <x:c r="AH281" s="4" t="str">
        <x:v>Not applicable</x:v>
      </x:c>
      <x:c r="AI281" s="4" t="str">
        <x:v>Component</x:v>
      </x:c>
      <x:c r="AJ281" s="4" t="n">
        <x:f>COUNTIFS('Material routes'!$D$6:$D$1005,A281,'Material routes'!$C$6:$C$1005,"Output")</x:f>
        <x:v>0</x:v>
      </x:c>
      <x:c r="AK281" s="4" t="n">
        <x:f>SUM(COUNTIFS('Material routes'!$D$6:$D$1005,A281,'Material routes'!$C$6:$C$1005,"Ingredient candidate"),COUNTIFS('Material routes'!$D$6:$D$1005,A281,'Material routes'!$C$6:$C$1005,"Consumed input"),COUNTIFS('Material routes'!$D$6:$D$1005,A281,'Material routes'!$C$6:$C$1005,"Contained input"),COUNTIFS('Material routes'!$D$6:$D$1005,A281,'Material routes'!$C$6:$C$1005,"Transform input"))</x:f>
        <x:v>0</x:v>
      </x:c>
      <x:c r="AL281" s="4" t="n">
        <x:f>COUNTIFS('Material routes'!$D$6:$D$1005,A281,'Material routes'!$C$6:$C$1005,"Tool candidate")</x:f>
        <x:v>0</x:v>
      </x:c>
      <x:c r="AM281" s="4" t="str">
        <x:f>IF(AJ281&gt;0,"Route listed; review status/completeness",IF(C281="T0","Raw entry feed; no production route","No production route listed"))</x:f>
        <x:v>No production route listed</x:v>
      </x:c>
      <x:c r="AN281" s="14" t="n">
        <x:f>IF(C281="T0",0,IF(C281="T1",1,IF(C281="T2",2,IF(C281="T3",3,IF(C281="T4",4,IF(C281="Unassigned",98,99))))))</x:f>
        <x:v>98</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15" customHeight="1">
      <x:c r="A282" s="9" t="str">
        <x:v>proposal.legger.thrust_washer</x:v>
      </x:c>
      <x:c r="B282" s="9" t="str">
        <x:v>Joint thrust washer</x:v>
      </x:c>
      <x:c r="C282" s="4" t="str">
        <x:v>Unassigned</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unassigned; not applicable; component</x:v>
      </x:c>
      <x:c r="AF282" s="4" t="str">
        <x:v>Specific parts and protective properties remain proposals; ancient-material scarcity is established author direction.</x:v>
      </x:c>
      <x:c r="AG282" s="4" t="str">
        <x:v>Choose a material/part route before assigning a tier. Processing-stage labels alone do not prove chain depth.</x:v>
      </x:c>
      <x:c r="AH282" s="4" t="str">
        <x:v>Not applicable</x:v>
      </x:c>
      <x:c r="AI282" s="4" t="str">
        <x:v>Component</x:v>
      </x:c>
      <x:c r="AJ282" s="4" t="n">
        <x:f>COUNTIFS('Material routes'!$D$6:$D$1005,A282,'Material routes'!$C$6:$C$1005,"Output")</x:f>
        <x:v>0</x:v>
      </x:c>
      <x:c r="AK282" s="4" t="n">
        <x:f>SUM(COUNTIFS('Material routes'!$D$6:$D$1005,A282,'Material routes'!$C$6:$C$1005,"Ingredient candidate"),COUNTIFS('Material routes'!$D$6:$D$1005,A282,'Material routes'!$C$6:$C$1005,"Consumed input"),COUNTIFS('Material routes'!$D$6:$D$1005,A282,'Material routes'!$C$6:$C$1005,"Contained input"),COUNTIFS('Material routes'!$D$6:$D$1005,A282,'Material routes'!$C$6:$C$1005,"Transform input"))</x:f>
        <x:v>0</x:v>
      </x:c>
      <x:c r="AL282" s="4" t="n">
        <x:f>COUNTIFS('Material routes'!$D$6:$D$1005,A282,'Material routes'!$C$6:$C$1005,"Tool candidate")</x:f>
        <x:v>0</x:v>
      </x:c>
      <x:c r="AM282" s="4" t="str">
        <x:f>IF(AJ282&gt;0,"Route listed; review status/completeness",IF(C282="T0","Raw entry feed; no production route","No production route listed"))</x:f>
        <x:v>No production route listed</x:v>
      </x:c>
      <x:c r="AN282" s="14" t="n">
        <x:f>IF(C282="T0",0,IF(C282="T1",1,IF(C282="T2",2,IF(C282="T3",3,IF(C282="T4",4,IF(C282="Unassigned",98,99))))))</x:f>
        <x:v>98</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15" customHeight="1">
      <x:c r="A283" s="9" t="str">
        <x:v>proposal.legger.gear_cluster</x:v>
      </x:c>
      <x:c r="B283" s="9" t="str">
        <x:v>Replacement gear cluster</x:v>
      </x:c>
      <x:c r="C283" s="4" t="str">
        <x:v>Unassigned</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unassigned; not applicable; component</x:v>
      </x:c>
      <x:c r="AF283" s="4" t="str">
        <x:v>Specific parts and protective properties remain proposals; ancient-material scarcity is established author direction.</x:v>
      </x:c>
      <x:c r="AG283" s="4" t="str">
        <x:v>Choose a material/part route before assigning a tier. Processing-stage labels alone do not prove chain depth.</x:v>
      </x:c>
      <x:c r="AH283" s="4" t="str">
        <x:v>Not applicable</x:v>
      </x:c>
      <x:c r="AI283" s="4" t="str">
        <x:v>Component</x:v>
      </x:c>
      <x:c r="AJ283" s="4" t="n">
        <x:f>COUNTIFS('Material routes'!$D$6:$D$1005,A283,'Material routes'!$C$6:$C$1005,"Output")</x:f>
        <x:v>0</x:v>
      </x:c>
      <x:c r="AK283" s="4" t="n">
        <x:f>SUM(COUNTIFS('Material routes'!$D$6:$D$1005,A283,'Material routes'!$C$6:$C$1005,"Ingredient candidate"),COUNTIFS('Material routes'!$D$6:$D$1005,A283,'Material routes'!$C$6:$C$1005,"Consumed input"),COUNTIFS('Material routes'!$D$6:$D$1005,A283,'Material routes'!$C$6:$C$1005,"Contained input"),COUNTIFS('Material routes'!$D$6:$D$1005,A283,'Material routes'!$C$6:$C$1005,"Transform input"))</x:f>
        <x:v>0</x:v>
      </x:c>
      <x:c r="AL283" s="4" t="n">
        <x:f>COUNTIFS('Material routes'!$D$6:$D$1005,A283,'Material routes'!$C$6:$C$1005,"Tool candidate")</x:f>
        <x:v>0</x:v>
      </x:c>
      <x:c r="AM283" s="4" t="str">
        <x:f>IF(AJ283&gt;0,"Route listed; review status/completeness",IF(C283="T0","Raw entry feed; no production route","No production route listed"))</x:f>
        <x:v>No production route listed</x:v>
      </x:c>
      <x:c r="AN283" s="14" t="n">
        <x:f>IF(C283="T0",0,IF(C283="T1",1,IF(C283="T2",2,IF(C283="T3",3,IF(C283="T4",4,IF(C283="Unassigned",98,99))))))</x:f>
        <x:v>98</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15" customHeight="1">
      <x:c r="A284" s="9" t="str">
        <x:v>proposal.legger.linkage_end</x:v>
      </x:c>
      <x:c r="B284" s="9" t="str">
        <x:v>Replacement linkage-end joint</x:v>
      </x:c>
      <x:c r="C284" s="4" t="str">
        <x:v>Unassigned</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unassigned; not applicable; component</x:v>
      </x:c>
      <x:c r="AF284" s="4" t="str">
        <x:v>Specific parts and protective properties remain proposals; ancient-material scarcity is established author direction.</x:v>
      </x:c>
      <x:c r="AG284" s="4" t="str">
        <x:v>Choose a material/part route before assigning a tier. Processing-stage labels alone do not prove chain depth.</x:v>
      </x:c>
      <x:c r="AH284" s="4" t="str">
        <x:v>Not applicable</x:v>
      </x:c>
      <x:c r="AI284" s="4" t="str">
        <x:v>Component</x:v>
      </x:c>
      <x:c r="AJ284" s="4" t="n">
        <x:f>COUNTIFS('Material routes'!$D$6:$D$1005,A284,'Material routes'!$C$6:$C$1005,"Output")</x:f>
        <x:v>0</x:v>
      </x:c>
      <x:c r="AK284" s="4" t="n">
        <x:f>SUM(COUNTIFS('Material routes'!$D$6:$D$1005,A284,'Material routes'!$C$6:$C$1005,"Ingredient candidate"),COUNTIFS('Material routes'!$D$6:$D$1005,A284,'Material routes'!$C$6:$C$1005,"Consumed input"),COUNTIFS('Material routes'!$D$6:$D$1005,A284,'Material routes'!$C$6:$C$1005,"Contained input"),COUNTIFS('Material routes'!$D$6:$D$1005,A284,'Material routes'!$C$6:$C$1005,"Transform input"))</x:f>
        <x:v>0</x:v>
      </x:c>
      <x:c r="AL284" s="4" t="n">
        <x:f>COUNTIFS('Material routes'!$D$6:$D$1005,A284,'Material routes'!$C$6:$C$1005,"Tool candidate")</x:f>
        <x:v>0</x:v>
      </x:c>
      <x:c r="AM284" s="4" t="str">
        <x:f>IF(AJ284&gt;0,"Route listed; review status/completeness",IF(C284="T0","Raw entry feed; no production route","No production route listed"))</x:f>
        <x:v>No production route listed</x:v>
      </x:c>
      <x:c r="AN284" s="14" t="n">
        <x:f>IF(C284="T0",0,IF(C284="T1",1,IF(C284="T2",2,IF(C284="T3",3,IF(C284="T4",4,IF(C284="Unassigned",98,99))))))</x:f>
        <x:v>98</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15" customHeight="1">
      <x:c r="A285" s="9" t="str">
        <x:v>proposal.legger.tensioner</x:v>
      </x:c>
      <x:c r="B285" s="9" t="str">
        <x:v>Drive tensioner assembly</x:v>
      </x:c>
      <x:c r="C285" s="4" t="str">
        <x:v>Unassigned</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unassigned; not applicable; component</x:v>
      </x:c>
      <x:c r="AF285" s="4" t="str">
        <x:v>Specific parts and protective properties remain proposals; ancient-material scarcity is established author direction.</x:v>
      </x:c>
      <x:c r="AG285" s="4" t="str">
        <x:v>Choose a material/part route before assigning a tier. Processing-stage labels alone do not prove chain depth.</x:v>
      </x:c>
      <x:c r="AH285" s="4" t="str">
        <x:v>Not applicable</x:v>
      </x:c>
      <x:c r="AI285" s="4" t="str">
        <x:v>Component</x:v>
      </x:c>
      <x:c r="AJ285" s="4" t="n">
        <x:f>COUNTIFS('Material routes'!$D$6:$D$1005,A285,'Material routes'!$C$6:$C$1005,"Output")</x:f>
        <x:v>0</x:v>
      </x:c>
      <x:c r="AK285" s="4" t="n">
        <x:f>SUM(COUNTIFS('Material routes'!$D$6:$D$1005,A285,'Material routes'!$C$6:$C$1005,"Ingredient candidate"),COUNTIFS('Material routes'!$D$6:$D$1005,A285,'Material routes'!$C$6:$C$1005,"Consumed input"),COUNTIFS('Material routes'!$D$6:$D$1005,A285,'Material routes'!$C$6:$C$1005,"Contained input"),COUNTIFS('Material routes'!$D$6:$D$1005,A285,'Material routes'!$C$6:$C$1005,"Transform input"))</x:f>
        <x:v>0</x:v>
      </x:c>
      <x:c r="AL285" s="4" t="n">
        <x:f>COUNTIFS('Material routes'!$D$6:$D$1005,A285,'Material routes'!$C$6:$C$1005,"Tool candidate")</x:f>
        <x:v>0</x:v>
      </x:c>
      <x:c r="AM285" s="4" t="str">
        <x:f>IF(AJ285&gt;0,"Route listed; review status/completeness",IF(C285="T0","Raw entry feed; no production route","No production route listed"))</x:f>
        <x:v>No production route listed</x:v>
      </x:c>
      <x:c r="AN285" s="14" t="n">
        <x:f>IF(C285="T0",0,IF(C285="T1",1,IF(C285="T2",2,IF(C285="T3",3,IF(C285="T4",4,IF(C285="Unassigned",98,99))))))</x:f>
        <x:v>98</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15" customHeight="1">
      <x:c r="A286" s="9" t="str">
        <x:v>proposal.legger.scraper_ring</x:v>
      </x:c>
      <x:c r="B286" s="9" t="str">
        <x:v>Joint grit-scraper ring</x:v>
      </x:c>
      <x:c r="C286" s="4" t="str">
        <x:v>Unassigned</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unassigned; not applicable; component</x:v>
      </x:c>
      <x:c r="AF286" s="4" t="str">
        <x:v>Specific parts and protective properties remain proposals; ancient-material scarcity is established author direction.</x:v>
      </x:c>
      <x:c r="AG286" s="4" t="str">
        <x:v>Choose a material/part route before assigning a tier. Processing-stage labels alone do not prove chain depth.</x:v>
      </x:c>
      <x:c r="AH286" s="4" t="str">
        <x:v>Not applicable</x:v>
      </x:c>
      <x:c r="AI286" s="4" t="str">
        <x:v>Component</x:v>
      </x:c>
      <x:c r="AJ286" s="4" t="n">
        <x:f>COUNTIFS('Material routes'!$D$6:$D$1005,A286,'Material routes'!$C$6:$C$1005,"Output")</x:f>
        <x:v>0</x:v>
      </x:c>
      <x:c r="AK286" s="4" t="n">
        <x:f>SUM(COUNTIFS('Material routes'!$D$6:$D$1005,A286,'Material routes'!$C$6:$C$1005,"Ingredient candidate"),COUNTIFS('Material routes'!$D$6:$D$1005,A286,'Material routes'!$C$6:$C$1005,"Consumed input"),COUNTIFS('Material routes'!$D$6:$D$1005,A286,'Material routes'!$C$6:$C$1005,"Contained input"),COUNTIFS('Material routes'!$D$6:$D$1005,A286,'Material routes'!$C$6:$C$1005,"Transform input"))</x:f>
        <x:v>0</x:v>
      </x:c>
      <x:c r="AL286" s="4" t="n">
        <x:f>COUNTIFS('Material routes'!$D$6:$D$1005,A286,'Material routes'!$C$6:$C$1005,"Tool candidate")</x:f>
        <x:v>0</x:v>
      </x:c>
      <x:c r="AM286" s="4" t="str">
        <x:f>IF(AJ286&gt;0,"Route listed; review status/completeness",IF(C286="T0","Raw entry feed; no production route","No production route listed"))</x:f>
        <x:v>No production route listed</x:v>
      </x:c>
      <x:c r="AN286" s="14" t="n">
        <x:f>IF(C286="T0",0,IF(C286="T1",1,IF(C286="T2",2,IF(C286="T3",3,IF(C286="T4",4,IF(C286="Unassigned",98,99))))))</x:f>
        <x:v>98</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str">
        <x:v>Equipment</x:v>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equipment; legger service parts; tool; finished item; manufactured / unresolved; lubrication; metal; assembly; proposal; equipment repair; legger; leger; companion replacement part; not applicable; unassigned; finished item</x:v>
      </x:c>
      <x:c r="AF287" s="4" t="str">
        <x:v>Specific parts and protective properties remain proposals; ancient-material scarcity is established author direction.</x:v>
      </x:c>
      <x:c r="AG287" s="4" t="str">
        <x:v>Finished endpoint; material tier is not applicable. Input tiers belong to the chosen recipe.</x:v>
      </x:c>
      <x:c r="AH287" s="4" t="str">
        <x:v>Unassigned</x:v>
      </x:c>
      <x:c r="AI287" s="4" t="str">
        <x:v>Finished item</x:v>
      </x:c>
      <x:c r="AJ287" s="4" t="n">
        <x:f>COUNTIFS('Material routes'!$D$6:$D$1005,A287,'Material routes'!$C$6:$C$1005,"Output")</x:f>
        <x:v>0</x:v>
      </x:c>
      <x:c r="AK287" s="4" t="n">
        <x:f>SUM(COUNTIFS('Material routes'!$D$6:$D$1005,A287,'Material routes'!$C$6:$C$1005,"Ingredient candidate"),COUNTIFS('Material routes'!$D$6:$D$1005,A287,'Material routes'!$C$6:$C$1005,"Consumed input"),COUNTIFS('Material routes'!$D$6:$D$1005,A287,'Material routes'!$C$6:$C$1005,"Contained input"),COUNTIFS('Material routes'!$D$6:$D$1005,A287,'Material routes'!$C$6:$C$1005,"Transform input"))</x:f>
        <x:v>0</x:v>
      </x:c>
      <x:c r="AL287" s="4" t="n">
        <x:f>COUNTIFS('Material routes'!$D$6:$D$1005,A287,'Material routes'!$C$6:$C$1005,"Tool candidate")</x:f>
        <x:v>0</x:v>
      </x:c>
      <x:c r="AM287" s="4" t="str">
        <x:f>IF(AJ287&gt;0,"Route listed; review status/completeness",IF(C287="T0","Raw entry feed; no production route","No production route listed"))</x:f>
        <x:v>No production route listed</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15" customHeight="1">
      <x:c r="A288" s="9" t="str">
        <x:v>proposal.legger.service_adapter</x:v>
      </x:c>
      <x:c r="B288" s="9" t="str">
        <x:v>Lubricant service-port adapter</x:v>
      </x:c>
      <x:c r="C288" s="4" t="str">
        <x:v>Unassigned</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unassigned; not applicable; component</x:v>
      </x:c>
      <x:c r="AF288" s="4" t="str">
        <x:v>Specific parts and protective properties remain proposals; ancient-material scarcity is established author direction.</x:v>
      </x:c>
      <x:c r="AG288" s="4" t="str">
        <x:v>Choose a material/part route before assigning a tier. Processing-stage labels alone do not prove chain depth.</x:v>
      </x:c>
      <x:c r="AH288" s="4" t="str">
        <x:v>Not applicable</x:v>
      </x:c>
      <x:c r="AI288" s="4" t="str">
        <x:v>Component</x:v>
      </x:c>
      <x:c r="AJ288" s="4" t="n">
        <x:f>COUNTIFS('Material routes'!$D$6:$D$1005,A288,'Material routes'!$C$6:$C$1005,"Output")</x:f>
        <x:v>0</x:v>
      </x:c>
      <x:c r="AK288" s="4" t="n">
        <x:f>SUM(COUNTIFS('Material routes'!$D$6:$D$1005,A288,'Material routes'!$C$6:$C$1005,"Ingredient candidate"),COUNTIFS('Material routes'!$D$6:$D$1005,A288,'Material routes'!$C$6:$C$1005,"Consumed input"),COUNTIFS('Material routes'!$D$6:$D$1005,A288,'Material routes'!$C$6:$C$1005,"Contained input"),COUNTIFS('Material routes'!$D$6:$D$1005,A288,'Material routes'!$C$6:$C$1005,"Transform input"))</x:f>
        <x:v>0</x:v>
      </x:c>
      <x:c r="AL288" s="4" t="n">
        <x:f>COUNTIFS('Material routes'!$D$6:$D$1005,A288,'Material routes'!$C$6:$C$1005,"Tool candidate")</x:f>
        <x:v>0</x:v>
      </x:c>
      <x:c r="AM288" s="4" t="str">
        <x:f>IF(AJ288&gt;0,"Route listed; review status/completeness",IF(C288="T0","Raw entry feed; no production route","No production route listed"))</x:f>
        <x:v>No production route listed</x:v>
      </x:c>
      <x:c r="AN288" s="14" t="n">
        <x:f>IF(C288="T0",0,IF(C288="T1",1,IF(C288="T2",2,IF(C288="T3",3,IF(C288="T4",4,IF(C288="Unassigned",98,99))))))</x:f>
        <x:v>98</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str">
        <x:v>Equipment</x:v>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equipment; legger service parts; tool; finished item; manufactured / unresolved; cleaning; metal; solid part; proposal; equipment repair; legger; leger; companion replacement part; not applicable; unassigned; finished item</x:v>
      </x:c>
      <x:c r="AF289" s="4" t="str">
        <x:v>Specific parts and protective properties remain proposals; ancient-material scarcity is established author direction.</x:v>
      </x:c>
      <x:c r="AG289" s="4" t="str">
        <x:v>Finished endpoint; material tier is not applicable. Input tiers belong to the chosen recipe.</x:v>
      </x:c>
      <x:c r="AH289" s="4" t="str">
        <x:v>Unassigned</x:v>
      </x:c>
      <x:c r="AI289" s="4" t="str">
        <x:v>Finished item</x:v>
      </x:c>
      <x:c r="AJ289" s="4" t="n">
        <x:f>COUNTIFS('Material routes'!$D$6:$D$1005,A289,'Material routes'!$C$6:$C$1005,"Output")</x:f>
        <x:v>0</x:v>
      </x:c>
      <x:c r="AK289" s="4" t="n">
        <x:f>SUM(COUNTIFS('Material routes'!$D$6:$D$1005,A289,'Material routes'!$C$6:$C$1005,"Ingredient candidate"),COUNTIFS('Material routes'!$D$6:$D$1005,A289,'Material routes'!$C$6:$C$1005,"Consumed input"),COUNTIFS('Material routes'!$D$6:$D$1005,A289,'Material routes'!$C$6:$C$1005,"Contained input"),COUNTIFS('Material routes'!$D$6:$D$1005,A289,'Material routes'!$C$6:$C$1005,"Transform input"))</x:f>
        <x:v>0</x:v>
      </x:c>
      <x:c r="AL289" s="4" t="n">
        <x:f>COUNTIFS('Material routes'!$D$6:$D$1005,A289,'Material routes'!$C$6:$C$1005,"Tool candidate")</x:f>
        <x:v>0</x:v>
      </x:c>
      <x:c r="AM289" s="4" t="str">
        <x:f>IF(AJ289&gt;0,"Route listed; review status/completeness",IF(C289="T0","Raw entry feed; no production route","No production route listed"))</x:f>
        <x:v>No production route listed</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str">
        <x:v>Equipment</x:v>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equipment; legger service parts; tool; finished item; manufactured / unresolved; equipment repair; metal; assembly; proposal; legger; leger; companion replacement part; not applicable; unassigned; finished item</x:v>
      </x:c>
      <x:c r="AF290" s="4" t="str">
        <x:v>Specific parts and protective properties remain proposals; ancient-material scarcity is established author direction.</x:v>
      </x:c>
      <x:c r="AG290" s="4" t="str">
        <x:v>Finished endpoint; material tier is not applicable. Input tiers belong to the chosen recipe.</x:v>
      </x:c>
      <x:c r="AH290" s="4" t="str">
        <x:v>Unassigned</x:v>
      </x:c>
      <x:c r="AI290" s="4" t="str">
        <x:v>Finished item</x:v>
      </x:c>
      <x:c r="AJ290" s="4" t="n">
        <x:f>COUNTIFS('Material routes'!$D$6:$D$1005,A290,'Material routes'!$C$6:$C$1005,"Output")</x:f>
        <x:v>0</x:v>
      </x:c>
      <x:c r="AK290" s="4" t="n">
        <x:f>SUM(COUNTIFS('Material routes'!$D$6:$D$1005,A290,'Material routes'!$C$6:$C$1005,"Ingredient candidate"),COUNTIFS('Material routes'!$D$6:$D$1005,A290,'Material routes'!$C$6:$C$1005,"Consumed input"),COUNTIFS('Material routes'!$D$6:$D$1005,A290,'Material routes'!$C$6:$C$1005,"Contained input"),COUNTIFS('Material routes'!$D$6:$D$1005,A290,'Material routes'!$C$6:$C$1005,"Transform input"))</x:f>
        <x:v>0</x:v>
      </x:c>
      <x:c r="AL290" s="4" t="n">
        <x:f>COUNTIFS('Material routes'!$D$6:$D$1005,A290,'Material routes'!$C$6:$C$1005,"Tool candidate")</x:f>
        <x:v>0</x:v>
      </x:c>
      <x:c r="AM290" s="4" t="str">
        <x:f>IF(AJ290&gt;0,"Route listed; review status/completeness",IF(C290="T0","Raw entry feed; no production route","No production route listed"))</x:f>
        <x:v>No production route listed</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str">
        <x:v>Equipment</x:v>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equipment; legger service parts; tool; finished item; manufactured / unresolved; inspection; metal; solid part; proposal; equipment repair; legger; leger; companion replacement part; not applicable; unassigned; finished item</x:v>
      </x:c>
      <x:c r="AF291" s="4" t="str">
        <x:v>Specific parts and protective properties remain proposals; ancient-material scarcity is established author direction.</x:v>
      </x:c>
      <x:c r="AG291" s="4" t="str">
        <x:v>Finished endpoint; material tier is not applicable. Input tiers belong to the chosen recipe.</x:v>
      </x:c>
      <x:c r="AH291" s="4" t="str">
        <x:v>Unassigned</x:v>
      </x:c>
      <x:c r="AI291" s="4" t="str">
        <x:v>Finished item</x:v>
      </x:c>
      <x:c r="AJ291" s="4" t="n">
        <x:f>COUNTIFS('Material routes'!$D$6:$D$1005,A291,'Material routes'!$C$6:$C$1005,"Output")</x:f>
        <x:v>0</x:v>
      </x:c>
      <x:c r="AK291" s="4" t="n">
        <x:f>SUM(COUNTIFS('Material routes'!$D$6:$D$1005,A291,'Material routes'!$C$6:$C$1005,"Ingredient candidate"),COUNTIFS('Material routes'!$D$6:$D$1005,A291,'Material routes'!$C$6:$C$1005,"Consumed input"),COUNTIFS('Material routes'!$D$6:$D$1005,A291,'Material routes'!$C$6:$C$1005,"Contained input"),COUNTIFS('Material routes'!$D$6:$D$1005,A291,'Material routes'!$C$6:$C$1005,"Transform input"))</x:f>
        <x:v>0</x:v>
      </x:c>
      <x:c r="AL291" s="4" t="n">
        <x:f>COUNTIFS('Material routes'!$D$6:$D$1005,A291,'Material routes'!$C$6:$C$1005,"Tool candidate")</x:f>
        <x:v>0</x:v>
      </x:c>
      <x:c r="AM291" s="4" t="str">
        <x:f>IF(AJ291&gt;0,"Route listed; review status/completeness",IF(C291="T0","Raw entry feed; no production route","No production route listed"))</x:f>
        <x:v>No production route listed</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str">
        <x:v>Equipment</x:v>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equipment; legger service parts; container; finished item; manufactured / unresolved; cargo organization; metal or shell; assembly; proposal; legger; leger; companion replacement part; not applicable; unassigned; finished item</x:v>
      </x:c>
      <x:c r="AF292" s="4" t="str">
        <x:v>Specific parts and protective properties remain proposals; ancient-material scarcity is established author direction.</x:v>
      </x:c>
      <x:c r="AG292" s="4" t="str">
        <x:v>Finished endpoint; material tier is not applicable. Input tiers belong to the chosen recipe.</x:v>
      </x:c>
      <x:c r="AH292" s="4" t="str">
        <x:v>Unassigned</x:v>
      </x:c>
      <x:c r="AI292" s="4" t="str">
        <x:v>Finished item</x:v>
      </x:c>
      <x:c r="AJ292" s="4" t="n">
        <x:f>COUNTIFS('Material routes'!$D$6:$D$1005,A292,'Material routes'!$C$6:$C$1005,"Output")</x:f>
        <x:v>0</x:v>
      </x:c>
      <x:c r="AK292" s="4" t="n">
        <x:f>SUM(COUNTIFS('Material routes'!$D$6:$D$1005,A292,'Material routes'!$C$6:$C$1005,"Ingredient candidate"),COUNTIFS('Material routes'!$D$6:$D$1005,A292,'Material routes'!$C$6:$C$1005,"Consumed input"),COUNTIFS('Material routes'!$D$6:$D$1005,A292,'Material routes'!$C$6:$C$1005,"Contained input"),COUNTIFS('Material routes'!$D$6:$D$1005,A292,'Material routes'!$C$6:$C$1005,"Transform input"))</x:f>
        <x:v>0</x:v>
      </x:c>
      <x:c r="AL292" s="4" t="n">
        <x:f>COUNTIFS('Material routes'!$D$6:$D$1005,A292,'Material routes'!$C$6:$C$1005,"Tool candidate")</x:f>
        <x:v>0</x:v>
      </x:c>
      <x:c r="AM292" s="4" t="str">
        <x:f>IF(AJ292&gt;0,"Route listed; review status/completeness",IF(C292="T0","Raw entry feed; no production route","No production route listed"))</x:f>
        <x:v>No production route listed</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str">
        <x:v>Equipment</x:v>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equipment; legger armor; armor; finished item; manufactured / unresolved; protection; metal; panel; proposal; legger; leger; companion replacement part; not applicable; unassigned; finished item</x:v>
      </x:c>
      <x:c r="AF293" s="4" t="str">
        <x:v>Specific parts and protective properties remain proposals; ancient-material scarcity is established author direction.</x:v>
      </x:c>
      <x:c r="AG293" s="4" t="str">
        <x:v>Finished endpoint; material tier is not applicable. Input tiers belong to the chosen recipe.</x:v>
      </x:c>
      <x:c r="AH293" s="4" t="str">
        <x:v>Unassigned</x:v>
      </x:c>
      <x:c r="AI293" s="4" t="str">
        <x:v>Finished item</x:v>
      </x:c>
      <x:c r="AJ293" s="4" t="n">
        <x:f>COUNTIFS('Material routes'!$D$6:$D$1005,A293,'Material routes'!$C$6:$C$1005,"Output")</x:f>
        <x:v>0</x:v>
      </x:c>
      <x:c r="AK293" s="4" t="n">
        <x:f>SUM(COUNTIFS('Material routes'!$D$6:$D$1005,A293,'Material routes'!$C$6:$C$1005,"Ingredient candidate"),COUNTIFS('Material routes'!$D$6:$D$1005,A293,'Material routes'!$C$6:$C$1005,"Consumed input"),COUNTIFS('Material routes'!$D$6:$D$1005,A293,'Material routes'!$C$6:$C$1005,"Contained input"),COUNTIFS('Material routes'!$D$6:$D$1005,A293,'Material routes'!$C$6:$C$1005,"Transform input"))</x:f>
        <x:v>0</x:v>
      </x:c>
      <x:c r="AL293" s="4" t="n">
        <x:f>COUNTIFS('Material routes'!$D$6:$D$1005,A293,'Material routes'!$C$6:$C$1005,"Tool candidate")</x:f>
        <x:v>0</x:v>
      </x:c>
      <x:c r="AM293" s="4" t="str">
        <x:f>IF(AJ293&gt;0,"Route listed; review status/completeness",IF(C293="T0","Raw entry feed; no production route","No production route listed"))</x:f>
        <x:v>No production route listed</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str">
        <x:v>Equipment</x:v>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equipment; legger armor; armor; finished item; manufactured / unresolved; protection; mixed / unresolved; assembly; proposal; legger; leger; companion replacement part; not applicable; unassigned; finished item</x:v>
      </x:c>
      <x:c r="AF294" s="4" t="str">
        <x:v>Specific parts and protective properties remain proposals; ancient-material scarcity is established author direction.</x:v>
      </x:c>
      <x:c r="AG294" s="4" t="str">
        <x:v>Finished endpoint; material tier is not applicable. Input tiers belong to the chosen recipe.</x:v>
      </x:c>
      <x:c r="AH294" s="4" t="str">
        <x:v>Unassigned</x:v>
      </x:c>
      <x:c r="AI294" s="4" t="str">
        <x:v>Finished item</x:v>
      </x:c>
      <x:c r="AJ294" s="4" t="n">
        <x:f>COUNTIFS('Material routes'!$D$6:$D$1005,A294,'Material routes'!$C$6:$C$1005,"Output")</x:f>
        <x:v>0</x:v>
      </x:c>
      <x:c r="AK294" s="4" t="n">
        <x:f>SUM(COUNTIFS('Material routes'!$D$6:$D$1005,A294,'Material routes'!$C$6:$C$1005,"Ingredient candidate"),COUNTIFS('Material routes'!$D$6:$D$1005,A294,'Material routes'!$C$6:$C$1005,"Consumed input"),COUNTIFS('Material routes'!$D$6:$D$1005,A294,'Material routes'!$C$6:$C$1005,"Contained input"),COUNTIFS('Material routes'!$D$6:$D$1005,A294,'Material routes'!$C$6:$C$1005,"Transform input"))</x:f>
        <x:v>0</x:v>
      </x:c>
      <x:c r="AL294" s="4" t="n">
        <x:f>COUNTIFS('Material routes'!$D$6:$D$1005,A294,'Material routes'!$C$6:$C$1005,"Tool candidate")</x:f>
        <x:v>0</x:v>
      </x:c>
      <x:c r="AM294" s="4" t="str">
        <x:f>IF(AJ294&gt;0,"Route listed; review status/completeness",IF(C294="T0","Raw entry feed; no production route","No production route listed"))</x:f>
        <x:v>No production route listed</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str">
        <x:v>Equipment</x:v>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equipment; legger armor; armor; finished item; manufactured / unresolved; protection; metal; panel; proposal; legger; leger; companion replacement part; not applicable; unassigned; finished item</x:v>
      </x:c>
      <x:c r="AF295" s="4" t="str">
        <x:v>Specific parts and protective properties remain proposals; ancient-material scarcity is established author direction.</x:v>
      </x:c>
      <x:c r="AG295" s="4" t="str">
        <x:v>Finished endpoint; material tier is not applicable. Input tiers belong to the chosen recipe.</x:v>
      </x:c>
      <x:c r="AH295" s="4" t="str">
        <x:v>Unassigned</x:v>
      </x:c>
      <x:c r="AI295" s="4" t="str">
        <x:v>Finished item</x:v>
      </x:c>
      <x:c r="AJ295" s="4" t="n">
        <x:f>COUNTIFS('Material routes'!$D$6:$D$1005,A295,'Material routes'!$C$6:$C$1005,"Output")</x:f>
        <x:v>0</x:v>
      </x:c>
      <x:c r="AK295" s="4" t="n">
        <x:f>SUM(COUNTIFS('Material routes'!$D$6:$D$1005,A295,'Material routes'!$C$6:$C$1005,"Ingredient candidate"),COUNTIFS('Material routes'!$D$6:$D$1005,A295,'Material routes'!$C$6:$C$1005,"Consumed input"),COUNTIFS('Material routes'!$D$6:$D$1005,A295,'Material routes'!$C$6:$C$1005,"Contained input"),COUNTIFS('Material routes'!$D$6:$D$1005,A295,'Material routes'!$C$6:$C$1005,"Transform input"))</x:f>
        <x:v>0</x:v>
      </x:c>
      <x:c r="AL295" s="4" t="n">
        <x:f>COUNTIFS('Material routes'!$D$6:$D$1005,A295,'Material routes'!$C$6:$C$1005,"Tool candidate")</x:f>
        <x:v>0</x:v>
      </x:c>
      <x:c r="AM295" s="4" t="str">
        <x:f>IF(AJ295&gt;0,"Route listed; review status/completeness",IF(C295="T0","Raw entry feed; no production route","No production route listed"))</x:f>
        <x:v>No production route listed</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str">
        <x:v>Equipment</x:v>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equipment; legger armor; armor; finished item; manufactured / unresolved; protection; shell / chitin; solid part; proposal; legger; leger; companion replacement part; not applicable; unassigned; finished item</x:v>
      </x:c>
      <x:c r="AF296" s="4" t="str">
        <x:v>Specific parts and protective properties remain proposals; ancient-material scarcity is established author direction.</x:v>
      </x:c>
      <x:c r="AG296" s="4" t="str">
        <x:v>Finished endpoint; material tier is not applicable. Input tiers belong to the chosen recipe.</x:v>
      </x:c>
      <x:c r="AH296" s="4" t="str">
        <x:v>Unassigned</x:v>
      </x:c>
      <x:c r="AI296" s="4" t="str">
        <x:v>Finished item</x:v>
      </x:c>
      <x:c r="AJ296" s="4" t="n">
        <x:f>COUNTIFS('Material routes'!$D$6:$D$1005,A296,'Material routes'!$C$6:$C$1005,"Output")</x:f>
        <x:v>0</x:v>
      </x:c>
      <x:c r="AK296" s="4" t="n">
        <x:f>SUM(COUNTIFS('Material routes'!$D$6:$D$1005,A296,'Material routes'!$C$6:$C$1005,"Ingredient candidate"),COUNTIFS('Material routes'!$D$6:$D$1005,A296,'Material routes'!$C$6:$C$1005,"Consumed input"),COUNTIFS('Material routes'!$D$6:$D$1005,A296,'Material routes'!$C$6:$C$1005,"Contained input"),COUNTIFS('Material routes'!$D$6:$D$1005,A296,'Material routes'!$C$6:$C$1005,"Transform input"))</x:f>
        <x:v>0</x:v>
      </x:c>
      <x:c r="AL296" s="4" t="n">
        <x:f>COUNTIFS('Material routes'!$D$6:$D$1005,A296,'Material routes'!$C$6:$C$1005,"Tool candidate")</x:f>
        <x:v>0</x:v>
      </x:c>
      <x:c r="AM296" s="4" t="str">
        <x:f>IF(AJ296&gt;0,"Route listed; review status/completeness",IF(C296="T0","Raw entry feed; no production route","No production route listed"))</x:f>
        <x:v>No production route listed</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str">
        <x:v>Equipment</x:v>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equipment; legger armor; armor; finished item; manufactured / unresolved; protection; husk fiber; panel; proposal; legger; leger; companion replacement part; not applicable; unassigned; finished item</x:v>
      </x:c>
      <x:c r="AF297" s="4" t="str">
        <x:v>Specific parts and protective properties remain proposals; ancient-material scarcity is established author direction.</x:v>
      </x:c>
      <x:c r="AG297" s="4" t="str">
        <x:v>Finished endpoint; material tier is not applicable. Input tiers belong to the chosen recipe.</x:v>
      </x:c>
      <x:c r="AH297" s="4" t="str">
        <x:v>Unassigned</x:v>
      </x:c>
      <x:c r="AI297" s="4" t="str">
        <x:v>Finished item</x:v>
      </x:c>
      <x:c r="AJ297" s="4" t="n">
        <x:f>COUNTIFS('Material routes'!$D$6:$D$1005,A297,'Material routes'!$C$6:$C$1005,"Output")</x:f>
        <x:v>0</x:v>
      </x:c>
      <x:c r="AK297" s="4" t="n">
        <x:f>SUM(COUNTIFS('Material routes'!$D$6:$D$1005,A297,'Material routes'!$C$6:$C$1005,"Ingredient candidate"),COUNTIFS('Material routes'!$D$6:$D$1005,A297,'Material routes'!$C$6:$C$1005,"Consumed input"),COUNTIFS('Material routes'!$D$6:$D$1005,A297,'Material routes'!$C$6:$C$1005,"Contained input"),COUNTIFS('Material routes'!$D$6:$D$1005,A297,'Material routes'!$C$6:$C$1005,"Transform input"))</x:f>
        <x:v>0</x:v>
      </x:c>
      <x:c r="AL297" s="4" t="n">
        <x:f>COUNTIFS('Material routes'!$D$6:$D$1005,A297,'Material routes'!$C$6:$C$1005,"Tool candidate")</x:f>
        <x:v>0</x:v>
      </x:c>
      <x:c r="AM297" s="4" t="str">
        <x:f>IF(AJ297&gt;0,"Route listed; review status/completeness",IF(C297="T0","Raw entry feed; no production route","No production route listed"))</x:f>
        <x:v>No production route listed</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15" customHeight="1">
      <x:c r="A298" s="9" t="str">
        <x:v>proposal.legger.guard_hinge</x:v>
      </x:c>
      <x:c r="B298" s="9" t="str">
        <x:v>Armor-guard hinge assembly</x:v>
      </x:c>
      <x:c r="C298" s="4" t="str">
        <x:v>Unassigned</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unassigned; not applicable; component</x:v>
      </x:c>
      <x:c r="AF298" s="4" t="str">
        <x:v>Specific parts and protective properties remain proposals; ancient-material scarcity is established author direction.</x:v>
      </x:c>
      <x:c r="AG298" s="4" t="str">
        <x:v>Choose a material/part route before assigning a tier. Processing-stage labels alone do not prove chain depth.</x:v>
      </x:c>
      <x:c r="AH298" s="4" t="str">
        <x:v>Not applicable</x:v>
      </x:c>
      <x:c r="AI298" s="4" t="str">
        <x:v>Component</x:v>
      </x:c>
      <x:c r="AJ298" s="4" t="n">
        <x:f>COUNTIFS('Material routes'!$D$6:$D$1005,A298,'Material routes'!$C$6:$C$1005,"Output")</x:f>
        <x:v>0</x:v>
      </x:c>
      <x:c r="AK298" s="4" t="n">
        <x:f>SUM(COUNTIFS('Material routes'!$D$6:$D$1005,A298,'Material routes'!$C$6:$C$1005,"Ingredient candidate"),COUNTIFS('Material routes'!$D$6:$D$1005,A298,'Material routes'!$C$6:$C$1005,"Consumed input"),COUNTIFS('Material routes'!$D$6:$D$1005,A298,'Material routes'!$C$6:$C$1005,"Contained input"),COUNTIFS('Material routes'!$D$6:$D$1005,A298,'Material routes'!$C$6:$C$1005,"Transform input"))</x:f>
        <x:v>0</x:v>
      </x:c>
      <x:c r="AL298" s="4" t="n">
        <x:f>COUNTIFS('Material routes'!$D$6:$D$1005,A298,'Material routes'!$C$6:$C$1005,"Tool candidate")</x:f>
        <x:v>0</x:v>
      </x:c>
      <x:c r="AM298" s="4" t="str">
        <x:f>IF(AJ298&gt;0,"Route listed; review status/completeness",IF(C298="T0","Raw entry feed; no production route","No production route listed"))</x:f>
        <x:v>No production route listed</x:v>
      </x:c>
      <x:c r="AN298" s="14" t="n">
        <x:f>IF(C298="T0",0,IF(C298="T1",1,IF(C298="T2",2,IF(C298="T3",3,IF(C298="T4",4,IF(C298="Unassigned",98,99))))))</x:f>
        <x:v>98</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15" customHeight="1">
      <x:c r="A299" s="9" t="str">
        <x:v>proposal.legger.plasteel_collar</x:v>
      </x:c>
      <x:c r="B299" s="9" t="str">
        <x:v>Ancient plasteel joint collar</x:v>
      </x:c>
      <x:c r="C299" s="4" t="str">
        <x:v>Unassigned</x:v>
      </x:c>
      <x:c r="D299" s="9" t="str">
        <x:v>Crafting components</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F299" s="4" t="str">
        <x:v>Specific parts and protective properties remain proposals; ancient-material scarcity is established author direction.</x:v>
      </x:c>
      <x:c r="AG299" s="4" t="str">
        <x:v>Tier requires a chosen production route; recovered ancient material is not automatically T4.</x:v>
      </x:c>
      <x:c r="AH299" s="4" t="str">
        <x:v>Unassigned</x:v>
      </x:c>
      <x:c r="AI299" s="4" t="str">
        <x:v>Component</x:v>
      </x:c>
      <x:c r="AJ299" s="4" t="n">
        <x:f>COUNTIFS('Material routes'!$D$6:$D$1005,A299,'Material routes'!$C$6:$C$1005,"Output")</x:f>
        <x:v>0</x:v>
      </x:c>
      <x:c r="AK299" s="4" t="n">
        <x:f>SUM(COUNTIFS('Material routes'!$D$6:$D$1005,A299,'Material routes'!$C$6:$C$1005,"Ingredient candidate"),COUNTIFS('Material routes'!$D$6:$D$1005,A299,'Material routes'!$C$6:$C$1005,"Consumed input"),COUNTIFS('Material routes'!$D$6:$D$1005,A299,'Material routes'!$C$6:$C$1005,"Contained input"),COUNTIFS('Material routes'!$D$6:$D$1005,A299,'Material routes'!$C$6:$C$1005,"Transform input"))</x:f>
        <x:v>0</x:v>
      </x:c>
      <x:c r="AL299" s="4" t="n">
        <x:f>COUNTIFS('Material routes'!$D$6:$D$1005,A299,'Material routes'!$C$6:$C$1005,"Tool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98</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15" customHeight="1">
      <x:c r="A300" s="9" t="str">
        <x:v>proposal.legger.tension_member</x:v>
      </x:c>
      <x:c r="B300" s="9" t="str">
        <x:v>Ancient nanocarbon tension member</x:v>
      </x:c>
      <x:c r="C300" s="4" t="str">
        <x:v>Unassigned</x:v>
      </x:c>
      <x:c r="D300" s="9" t="str">
        <x:v>Crafting components</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 unassigned; unassigned; component</x:v>
      </x:c>
      <x:c r="AF300" s="4" t="str">
        <x:v>Specific parts and protective properties remain proposals; ancient-material scarcity is established author direction.</x:v>
      </x:c>
      <x:c r="AG300" s="4" t="str">
        <x:v>Tier requires a chosen production route; recovered ancient material is not automatically T4.</x:v>
      </x:c>
      <x:c r="AH300" s="4" t="str">
        <x:v>Unassigned</x:v>
      </x:c>
      <x:c r="AI300" s="4" t="str">
        <x:v>Component</x:v>
      </x:c>
      <x:c r="AJ300" s="4" t="n">
        <x:f>COUNTIFS('Material routes'!$D$6:$D$1005,A300,'Material routes'!$C$6:$C$1005,"Output")</x:f>
        <x:v>0</x:v>
      </x:c>
      <x:c r="AK300" s="4" t="n">
        <x:f>SUM(COUNTIFS('Material routes'!$D$6:$D$1005,A300,'Material routes'!$C$6:$C$1005,"Ingredient candidate"),COUNTIFS('Material routes'!$D$6:$D$1005,A300,'Material routes'!$C$6:$C$1005,"Consumed input"),COUNTIFS('Material routes'!$D$6:$D$1005,A300,'Material routes'!$C$6:$C$1005,"Contained input"),COUNTIFS('Material routes'!$D$6:$D$1005,A300,'Material routes'!$C$6:$C$1005,"Transform input"))</x:f>
        <x:v>0</x:v>
      </x:c>
      <x:c r="AL300" s="4" t="n">
        <x:f>COUNTIFS('Material routes'!$D$6:$D$1005,A300,'Material routes'!$C$6:$C$1005,"Tool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98</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15" customHeight="1">
      <x:c r="A301" s="9" t="str">
        <x:v>proposal.legger.friction_insert</x:v>
      </x:c>
      <x:c r="B301" s="9" t="str">
        <x:v>Ancient friction-interface insert</x:v>
      </x:c>
      <x:c r="C301" s="4" t="str">
        <x:v>Unassigned</x:v>
      </x:c>
      <x:c r="D301" s="9" t="str">
        <x:v>Crafting components</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 unassigned; unassigned; component</x:v>
      </x:c>
      <x:c r="AF301" s="4" t="str">
        <x:v>Specific parts and protective properties remain proposals; ancient-material scarcity is established author direction.</x:v>
      </x:c>
      <x:c r="AG301" s="4" t="str">
        <x:v>Tier requires a chosen production route; recovered ancient material is not automatically T4.</x:v>
      </x:c>
      <x:c r="AH301" s="4" t="str">
        <x:v>Unassigned</x:v>
      </x:c>
      <x:c r="AI301" s="4" t="str">
        <x:v>Component</x:v>
      </x:c>
      <x:c r="AJ301" s="4" t="n">
        <x:f>COUNTIFS('Material routes'!$D$6:$D$1005,A301,'Material routes'!$C$6:$C$1005,"Output")</x:f>
        <x:v>0</x:v>
      </x:c>
      <x:c r="AK301" s="4" t="n">
        <x:f>SUM(COUNTIFS('Material routes'!$D$6:$D$1005,A301,'Material routes'!$C$6:$C$1005,"Ingredient candidate"),COUNTIFS('Material routes'!$D$6:$D$1005,A301,'Material routes'!$C$6:$C$1005,"Consumed input"),COUNTIFS('Material routes'!$D$6:$D$1005,A301,'Material routes'!$C$6:$C$1005,"Contained input"),COUNTIFS('Material routes'!$D$6:$D$1005,A301,'Material routes'!$C$6:$C$1005,"Transform input"))</x:f>
        <x:v>0</x:v>
      </x:c>
      <x:c r="AL301" s="4" t="n">
        <x:f>COUNTIFS('Material routes'!$D$6:$D$1005,A301,'Material routes'!$C$6:$C$1005,"Tool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98</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15" customHeight="1">
      <x:c r="A302" s="9" t="str">
        <x:v>proposal.legger.ceramic_race</x:v>
      </x:c>
      <x:c r="B302" s="9" t="str">
        <x:v>Ancient precision ceramic bearing race</x:v>
      </x:c>
      <x:c r="C302" s="4" t="str">
        <x:v>Unassigned</x:v>
      </x:c>
      <x:c r="D302" s="9" t="str">
        <x:v>Crafting components</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 unassigned; unassigned; component</x:v>
      </x:c>
      <x:c r="AF302" s="4" t="str">
        <x:v>Specific parts and protective properties remain proposals; ancient-material scarcity is established author direction.</x:v>
      </x:c>
      <x:c r="AG302" s="4" t="str">
        <x:v>Tier requires a chosen production route; recovered ancient material is not automatically T4.</x:v>
      </x:c>
      <x:c r="AH302" s="4" t="str">
        <x:v>Unassigned</x:v>
      </x:c>
      <x:c r="AI302" s="4" t="str">
        <x:v>Component</x:v>
      </x:c>
      <x:c r="AJ302" s="4" t="n">
        <x:f>COUNTIFS('Material routes'!$D$6:$D$1005,A302,'Material routes'!$C$6:$C$1005,"Output")</x:f>
        <x:v>0</x:v>
      </x:c>
      <x:c r="AK302" s="4" t="n">
        <x:f>SUM(COUNTIFS('Material routes'!$D$6:$D$1005,A302,'Material routes'!$C$6:$C$1005,"Ingredient candidate"),COUNTIFS('Material routes'!$D$6:$D$1005,A302,'Material routes'!$C$6:$C$1005,"Consumed input"),COUNTIFS('Material routes'!$D$6:$D$1005,A302,'Material routes'!$C$6:$C$1005,"Contained input"),COUNTIFS('Material routes'!$D$6:$D$1005,A302,'Material routes'!$C$6:$C$1005,"Transform input"))</x:f>
        <x:v>0</x:v>
      </x:c>
      <x:c r="AL302" s="4" t="n">
        <x:f>COUNTIFS('Material routes'!$D$6:$D$1005,A302,'Material routes'!$C$6:$C$1005,"Tool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98</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str">
        <x:v>Equipment</x:v>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equipment; legger ancient replacement; armor; finished item; ancient technology; protection; ancient composite; panel; proposal; legger; leger; companion replacement part; ancient salvage plasteel nanotube ballistic; not applicable; unassigned; finished item</x:v>
      </x:c>
      <x:c r="AF303" s="4" t="str">
        <x:v>Specific parts and protective properties remain proposals; ancient-material scarcity is established author direction.</x:v>
      </x:c>
      <x:c r="AG303" s="4" t="str">
        <x:v>Finished endpoint; material tier is not applicable. Input tiers belong to the chosen recipe.</x:v>
      </x:c>
      <x:c r="AH303" s="4" t="str">
        <x:v>Unassigned</x:v>
      </x:c>
      <x:c r="AI303" s="4" t="str">
        <x:v>Finished item</x:v>
      </x:c>
      <x:c r="AJ303" s="4" t="n">
        <x:f>COUNTIFS('Material routes'!$D$6:$D$1005,A303,'Material routes'!$C$6:$C$1005,"Output")</x:f>
        <x:v>0</x:v>
      </x:c>
      <x:c r="AK303" s="4" t="n">
        <x:f>SUM(COUNTIFS('Material routes'!$D$6:$D$1005,A303,'Material routes'!$C$6:$C$1005,"Ingredient candidate"),COUNTIFS('Material routes'!$D$6:$D$1005,A303,'Material routes'!$C$6:$C$1005,"Consumed input"),COUNTIFS('Material routes'!$D$6:$D$1005,A303,'Material routes'!$C$6:$C$1005,"Contained input"),COUNTIFS('Material routes'!$D$6:$D$1005,A303,'Material routes'!$C$6:$C$1005,"Transform input"))</x:f>
        <x:v>0</x:v>
      </x:c>
      <x:c r="AL303" s="4" t="n">
        <x:f>COUNTIFS('Material routes'!$D$6:$D$1005,A303,'Material routes'!$C$6:$C$1005,"Tool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15" customHeight="1">
      <x:c r="A304" s="9" t="str">
        <x:v>proposal.legger.interface_adapter</x:v>
      </x:c>
      <x:c r="B304" s="9" t="str">
        <x:v>Ancient module interface adapter</x:v>
      </x:c>
      <x:c r="C304" s="4" t="str">
        <x:v>Unassigned</x:v>
      </x:c>
      <x:c r="D304" s="9" t="str">
        <x:v>Crafting components</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 unassigned; unassigned; component</x:v>
      </x:c>
      <x:c r="AF304" s="4" t="str">
        <x:v>Specific parts and protective properties remain proposals; ancient-material scarcity is established author direction.</x:v>
      </x:c>
      <x:c r="AG304" s="4" t="str">
        <x:v>Tier requires a chosen production route; recovered ancient material is not automatically T4.</x:v>
      </x:c>
      <x:c r="AH304" s="4" t="str">
        <x:v>Unassigned</x:v>
      </x:c>
      <x:c r="AI304" s="4" t="str">
        <x:v>Component</x:v>
      </x:c>
      <x:c r="AJ304" s="4" t="n">
        <x:f>COUNTIFS('Material routes'!$D$6:$D$1005,A304,'Material routes'!$C$6:$C$1005,"Output")</x:f>
        <x:v>0</x:v>
      </x:c>
      <x:c r="AK304" s="4" t="n">
        <x:f>SUM(COUNTIFS('Material routes'!$D$6:$D$1005,A304,'Material routes'!$C$6:$C$1005,"Ingredient candidate"),COUNTIFS('Material routes'!$D$6:$D$1005,A304,'Material routes'!$C$6:$C$1005,"Consumed input"),COUNTIFS('Material routes'!$D$6:$D$1005,A304,'Material routes'!$C$6:$C$1005,"Contained input"),COUNTIFS('Material routes'!$D$6:$D$1005,A304,'Material routes'!$C$6:$C$1005,"Transform input"))</x:f>
        <x:v>0</x:v>
      </x:c>
      <x:c r="AL304" s="4" t="n">
        <x:f>COUNTIFS('Material routes'!$D$6:$D$1005,A304,'Material routes'!$C$6:$C$1005,"Tool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98</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t="str">
        <x:v>proposal.food.drink_portion</x:v>
      </x:c>
      <x:c r="B305" s="9" t="str">
        <x:v>Prepared Phagia drink portion</x:v>
      </x:c>
      <x:c r="C305" s="4" t="str">
        <x:v>Not applicable</x:v>
      </x:c>
      <x:c r="D305" s="9" t="str">
        <x:v>Consumables</x:v>
      </x:c>
      <x:c r="E305" s="9" t="str">
        <x:v>Phagia drink</x:v>
      </x:c>
      <x:c r="F305" s="9" t="str">
        <x:v>User direction; not implemented</x:v>
      </x:c>
      <x:c r="G305" s="9" t="str">
        <x:v>Prepared algae drink in a food-service vessel, intended to improve on an unprocessed baseline portion.</x:v>
      </x:c>
      <x:c r="H305" s="9" t="str">
        <x:v>None</x:v>
      </x:c>
      <x:c r="I305" s="9" t="str">
        <x:v>Prepared portions / vessels; Booter eligibility and capacity TBD</x:v>
      </x:c>
      <x:c r="J305" s="13"/>
      <x:c r="K305" s="15"/>
      <x:c r="L305" s="9" t="str">
        <x:v>Specialist Phagia processing, provisioning or trade; exact route TBD</x:v>
      </x:c>
      <x:c r="M305" s="9" t="str">
        <x:v>No recipe, ratio or serving quantity authored. Food processing and any heating need setting-compatible design.</x:v>
      </x:c>
      <x:c r="N305" s="9" t="str">
        <x:v>Not implemented</x:v>
      </x:c>
      <x:c r="O305" s="9" t="str">
        <x:v>Serving size, preparation, performance and live-culture requirements TBD. Drinkable biological preparation is not a free-water resource.</x:v>
      </x:c>
      <x:c r="P305" s="17"/>
      <x:c r="Q305" s="17"/>
      <x:c r="R305" s="17"/>
      <x:c r="S305" s="17"/>
      <x:c r="T305" s="17"/>
      <x:c r="U305" s="9" t="str">
        <x:v>Higher-performing processed Phagia consumables and high-quality fauna-mixed delicacies are author direction. Specific performance, supply costs, value, shelf life and consumption behavior remain unresolved.</x:v>
      </x:c>
      <x:c r="V305" s="11" t="str">
        <x:v>nutrition; phagea; algae</x:v>
      </x:c>
      <x:c r="W305" s="9" t="str">
        <x:v>Direct author Phagia food/drink processing and fauna-delicacy direction October 14, 2026; Docs/WORLD_BASIS.md#survival-rules. Specific named dishes and packaging are proposals.</x:v>
      </x:c>
      <x:c r="X305" s="4" t="str">
        <x:v>Drink consumable</x:v>
      </x:c>
      <x:c r="Y305" s="4" t="str">
        <x:v>Finished item</x:v>
      </x:c>
      <x:c r="Z305" s="4" t="str">
        <x:v>Living culture</x:v>
      </x:c>
      <x:c r="AA305" s="4" t="str">
        <x:v>Hydration</x:v>
      </x:c>
      <x:c r="AB305" s="4" t="str">
        <x:v>Phagia preparation</x:v>
      </x:c>
      <x:c r="AC305" s="4" t="str">
        <x:v>Liquid</x:v>
      </x:c>
      <x:c r="AD305" s="4" t="str">
        <x:v>Author direction</x:v>
      </x:c>
      <x:c r="AE305" s="4" t="str">
        <x:f>LOWER(A305&amp;"; "&amp;B305&amp;"; "&amp;D305&amp;"; "&amp;E305&amp;"; "&amp;X305&amp;"; "&amp;Y305&amp;"; "&amp;Z305&amp;"; "&amp;AA305&amp;"; "&amp;AB305&amp;"; "&amp;AC305&amp;"; "&amp;AD305&amp;"; "&amp;V305&amp;"; "&amp;C305&amp;"; "&amp;AH305&amp;"; "&amp;AI305)</x:f>
        <x:v>proposal.food.drink_portion; prepared phagia drink portion; consumables; phagia drink; drink consumable; finished item; living culture; hydration; phagia preparation; liquid; author direction; nutrition; phagea; algae; not applicable; unassigned; finished item</x:v>
      </x:c>
      <x:c r="AF305" s="4" t="str">
        <x:v>Accepted direction for processed-food families; individual recipes, ingredient qualification and effects remain design proposals.</x:v>
      </x:c>
      <x:c r="AG305" s="4" t="str">
        <x:v>Finished endpoint; material tier is not applicable. Input tiers belong to the chosen recipe.</x:v>
      </x:c>
      <x:c r="AH305" s="4" t="str">
        <x:v>Unassigned</x:v>
      </x:c>
      <x:c r="AI305" s="4" t="str">
        <x:v>Finished item</x:v>
      </x:c>
      <x:c r="AJ305" s="4" t="n">
        <x:f>COUNTIFS('Material routes'!$D$6:$D$1005,A305,'Material routes'!$C$6:$C$1005,"Output")</x:f>
        <x:v>0</x:v>
      </x:c>
      <x:c r="AK305" s="4" t="n">
        <x:f>SUM(COUNTIFS('Material routes'!$D$6:$D$1005,A305,'Material routes'!$C$6:$C$1005,"Ingredient candidate"),COUNTIFS('Material routes'!$D$6:$D$1005,A305,'Material routes'!$C$6:$C$1005,"Consumed input"),COUNTIFS('Material routes'!$D$6:$D$1005,A305,'Material routes'!$C$6:$C$1005,"Contained input"),COUNTIFS('Material routes'!$D$6:$D$1005,A305,'Material routes'!$C$6:$C$1005,"Transform input"))</x:f>
        <x:v>0</x:v>
      </x:c>
      <x:c r="AL305" s="4" t="n">
        <x:f>COUNTIFS('Material routes'!$D$6:$D$1005,A305,'Material routes'!$C$6:$C$1005,"Tool candidate")</x:f>
        <x:v>0</x:v>
      </x:c>
      <x:c r="AM305" s="4" t="str">
        <x:f>IF(AJ305&gt;0,"Route listed; review status/completeness",IF(C305="T0","Raw entry feed; no production route","No production route listed"))</x:f>
        <x:v>No production route listed</x:v>
      </x:c>
      <x:c r="AN305" s="14" t="n">
        <x:f>IF(C305="T0",0,IF(C305="T1",1,IF(C305="T2",2,IF(C305="T3",3,IF(C305="T4",4,IF(C305="Unassigned",98,99))))))</x:f>
        <x:v>99</x:v>
      </x:c>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unassigned;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Unassigned</x:v>
      </x:c>
      <x:c r="AI306" s="4" t="str">
        <x:v>Finished item</x:v>
      </x:c>
      <x:c r="AJ306" s="4" t="n">
        <x:f>COUNTIFS('Material routes'!$D$6:$D$1005,A306,'Material routes'!$C$6:$C$1005,"Output")</x:f>
        <x:v>0</x:v>
      </x:c>
      <x:c r="AK306" s="4" t="n">
        <x:f>SUM(COUNTIFS('Material routes'!$D$6:$D$1005,A306,'Material routes'!$C$6:$C$1005,"Ingredient candidate"),COUNTIFS('Material routes'!$D$6:$D$1005,A306,'Material routes'!$C$6:$C$1005,"Consumed input"),COUNTIFS('Material routes'!$D$6:$D$1005,A306,'Material routes'!$C$6:$C$1005,"Contained input"),COUNTIFS('Material routes'!$D$6:$D$1005,A306,'Material routes'!$C$6:$C$1005,"Transform input"))</x:f>
        <x:v>0</x:v>
      </x:c>
      <x:c r="AL306" s="4" t="n">
        <x:f>COUNTIFS('Material routes'!$D$6:$D$1005,A306,'Material routes'!$C$6:$C$1005,"Tool candidate")</x:f>
        <x:v>0</x:v>
      </x:c>
      <x:c r="AM306" s="4" t="str">
        <x:f>IF(AJ306&gt;0,"Route listed; review status/completeness",IF(C306="T0","Raw entry feed; no production route","No production route listed"))</x:f>
        <x:v>No production route listed</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unassigned;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Unassigned</x:v>
      </x:c>
      <x:c r="AI307" s="4" t="str">
        <x:v>Finished item</x:v>
      </x:c>
      <x:c r="AJ307" s="4" t="n">
        <x:f>COUNTIFS('Material routes'!$D$6:$D$1005,A307,'Material routes'!$C$6:$C$1005,"Output")</x:f>
        <x:v>0</x:v>
      </x:c>
      <x:c r="AK307" s="4" t="n">
        <x:f>SUM(COUNTIFS('Material routes'!$D$6:$D$1005,A307,'Material routes'!$C$6:$C$1005,"Ingredient candidate"),COUNTIFS('Material routes'!$D$6:$D$1005,A307,'Material routes'!$C$6:$C$1005,"Consumed input"),COUNTIFS('Material routes'!$D$6:$D$1005,A307,'Material routes'!$C$6:$C$1005,"Contained input"),COUNTIFS('Material routes'!$D$6:$D$1005,A307,'Material routes'!$C$6:$C$1005,"Transform input"))</x:f>
        <x:v>0</x:v>
      </x:c>
      <x:c r="AL307" s="4" t="n">
        <x:f>COUNTIFS('Material routes'!$D$6:$D$1005,A307,'Material routes'!$C$6:$C$1005,"Tool candidate")</x:f>
        <x:v>0</x:v>
      </x:c>
      <x:c r="AM307" s="4" t="str">
        <x:f>IF(AJ307&gt;0,"Route listed; review status/completeness",IF(C307="T0","Raw entry feed; no production route","No production route listed"))</x:f>
        <x:v>No production route listed</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unassigned;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Unassigned</x:v>
      </x:c>
      <x:c r="AI308" s="4" t="str">
        <x:v>Finished item</x:v>
      </x:c>
      <x:c r="AJ308" s="4" t="n">
        <x:f>COUNTIFS('Material routes'!$D$6:$D$1005,A308,'Material routes'!$C$6:$C$1005,"Output")</x:f>
        <x:v>0</x:v>
      </x:c>
      <x:c r="AK308" s="4" t="n">
        <x:f>SUM(COUNTIFS('Material routes'!$D$6:$D$1005,A308,'Material routes'!$C$6:$C$1005,"Ingredient candidate"),COUNTIFS('Material routes'!$D$6:$D$1005,A308,'Material routes'!$C$6:$C$1005,"Consumed input"),COUNTIFS('Material routes'!$D$6:$D$1005,A308,'Material routes'!$C$6:$C$1005,"Contained input"),COUNTIFS('Material routes'!$D$6:$D$1005,A308,'Material routes'!$C$6:$C$1005,"Transform input"))</x:f>
        <x:v>0</x:v>
      </x:c>
      <x:c r="AL308" s="4" t="n">
        <x:f>COUNTIFS('Material routes'!$D$6:$D$1005,A308,'Material routes'!$C$6:$C$1005,"Tool candidate")</x:f>
        <x:v>0</x:v>
      </x:c>
      <x:c r="AM308" s="4" t="str">
        <x:f>IF(AJ308&gt;0,"Route listed; review status/completeness",IF(C308="T0","Raw entry feed; no production route","No production route listed"))</x:f>
        <x:v>No production route listed</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unassigned;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Unassigned</x:v>
      </x:c>
      <x:c r="AI309" s="4" t="str">
        <x:v>Finished item</x:v>
      </x:c>
      <x:c r="AJ309" s="4" t="n">
        <x:f>COUNTIFS('Material routes'!$D$6:$D$1005,A309,'Material routes'!$C$6:$C$1005,"Output")</x:f>
        <x:v>0</x:v>
      </x:c>
      <x:c r="AK309" s="4" t="n">
        <x:f>SUM(COUNTIFS('Material routes'!$D$6:$D$1005,A309,'Material routes'!$C$6:$C$1005,"Ingredient candidate"),COUNTIFS('Material routes'!$D$6:$D$1005,A309,'Material routes'!$C$6:$C$1005,"Consumed input"),COUNTIFS('Material routes'!$D$6:$D$1005,A309,'Material routes'!$C$6:$C$1005,"Contained input"),COUNTIFS('Material routes'!$D$6:$D$1005,A309,'Material routes'!$C$6:$C$1005,"Transform input"))</x:f>
        <x:v>0</x:v>
      </x:c>
      <x:c r="AL309" s="4" t="n">
        <x:f>COUNTIFS('Material routes'!$D$6:$D$1005,A309,'Material routes'!$C$6:$C$1005,"Tool candidate")</x:f>
        <x:v>0</x:v>
      </x:c>
      <x:c r="AM309" s="4" t="str">
        <x:f>IF(AJ309&gt;0,"Route listed; review status/completeness",IF(C309="T0","Raw entry feed; no production route","No production route listed"))</x:f>
        <x:v>No production route listed</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unassigned;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Unassigned</x:v>
      </x:c>
      <x:c r="AI310" s="4" t="str">
        <x:v>Finished item</x:v>
      </x:c>
      <x:c r="AJ310" s="4" t="n">
        <x:f>COUNTIFS('Material routes'!$D$6:$D$1005,A310,'Material routes'!$C$6:$C$1005,"Output")</x:f>
        <x:v>0</x:v>
      </x:c>
      <x:c r="AK310" s="4" t="n">
        <x:f>SUM(COUNTIFS('Material routes'!$D$6:$D$1005,A310,'Material routes'!$C$6:$C$1005,"Ingredient candidate"),COUNTIFS('Material routes'!$D$6:$D$1005,A310,'Material routes'!$C$6:$C$1005,"Consumed input"),COUNTIFS('Material routes'!$D$6:$D$1005,A310,'Material routes'!$C$6:$C$1005,"Contained input"),COUNTIFS('Material routes'!$D$6:$D$1005,A310,'Material routes'!$C$6:$C$1005,"Transform input"))</x:f>
        <x:v>0</x:v>
      </x:c>
      <x:c r="AL310" s="4" t="n">
        <x:f>COUNTIFS('Material routes'!$D$6:$D$1005,A310,'Material routes'!$C$6:$C$1005,"Tool candidate")</x:f>
        <x:v>0</x:v>
      </x:c>
      <x:c r="AM310" s="4" t="str">
        <x:f>IF(AJ310&gt;0,"Route listed; review status/completeness",IF(C310="T0","Raw entry feed; no production route","No production route listed"))</x:f>
        <x:v>No production route listed</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unassigned;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Unassigned</x:v>
      </x:c>
      <x:c r="AI311" s="4" t="str">
        <x:v>Finished item</x:v>
      </x:c>
      <x:c r="AJ311" s="4" t="n">
        <x:f>COUNTIFS('Material routes'!$D$6:$D$1005,A311,'Material routes'!$C$6:$C$1005,"Output")</x:f>
        <x:v>0</x:v>
      </x:c>
      <x:c r="AK311" s="4" t="n">
        <x:f>SUM(COUNTIFS('Material routes'!$D$6:$D$1005,A311,'Material routes'!$C$6:$C$1005,"Ingredient candidate"),COUNTIFS('Material routes'!$D$6:$D$1005,A311,'Material routes'!$C$6:$C$1005,"Consumed input"),COUNTIFS('Material routes'!$D$6:$D$1005,A311,'Material routes'!$C$6:$C$1005,"Contained input"),COUNTIFS('Material routes'!$D$6:$D$1005,A311,'Material routes'!$C$6:$C$1005,"Transform input"))</x:f>
        <x:v>0</x:v>
      </x:c>
      <x:c r="AL311" s="4" t="n">
        <x:f>COUNTIFS('Material routes'!$D$6:$D$1005,A311,'Material routes'!$C$6:$C$1005,"Tool candidate")</x:f>
        <x:v>0</x:v>
      </x:c>
      <x:c r="AM311" s="4" t="str">
        <x:f>IF(AJ311&gt;0,"Route listed; review status/completeness",IF(C311="T0","Raw entry feed; no production route","No production route listed"))</x:f>
        <x:v>No production route listed</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unassigned;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Unassigned</x:v>
      </x:c>
      <x:c r="AI312" s="4" t="str">
        <x:v>Finished item</x:v>
      </x:c>
      <x:c r="AJ312" s="4" t="n">
        <x:f>COUNTIFS('Material routes'!$D$6:$D$1005,A312,'Material routes'!$C$6:$C$1005,"Output")</x:f>
        <x:v>0</x:v>
      </x:c>
      <x:c r="AK312" s="4" t="n">
        <x:f>SUM(COUNTIFS('Material routes'!$D$6:$D$1005,A312,'Material routes'!$C$6:$C$1005,"Ingredient candidate"),COUNTIFS('Material routes'!$D$6:$D$1005,A312,'Material routes'!$C$6:$C$1005,"Consumed input"),COUNTIFS('Material routes'!$D$6:$D$1005,A312,'Material routes'!$C$6:$C$1005,"Contained input"),COUNTIFS('Material routes'!$D$6:$D$1005,A312,'Material routes'!$C$6:$C$1005,"Transform input"))</x:f>
        <x:v>0</x:v>
      </x:c>
      <x:c r="AL312" s="4" t="n">
        <x:f>COUNTIFS('Material routes'!$D$6:$D$1005,A312,'Material routes'!$C$6:$C$1005,"Tool candidate")</x:f>
        <x:v>0</x:v>
      </x:c>
      <x:c r="AM312" s="4" t="str">
        <x:f>IF(AJ312&gt;0,"Route listed; review status/completeness",IF(C312="T0","Raw entry feed; no production route","No production route listed"))</x:f>
        <x:v>No production route listed</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unassigned;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Unassigned</x:v>
      </x:c>
      <x:c r="AI313" s="4" t="str">
        <x:v>Finished item</x:v>
      </x:c>
      <x:c r="AJ313" s="4" t="n">
        <x:f>COUNTIFS('Material routes'!$D$6:$D$1005,A313,'Material routes'!$C$6:$C$1005,"Output")</x:f>
        <x:v>0</x:v>
      </x:c>
      <x:c r="AK313" s="4" t="n">
        <x:f>SUM(COUNTIFS('Material routes'!$D$6:$D$1005,A313,'Material routes'!$C$6:$C$1005,"Ingredient candidate"),COUNTIFS('Material routes'!$D$6:$D$1005,A313,'Material routes'!$C$6:$C$1005,"Consumed input"),COUNTIFS('Material routes'!$D$6:$D$1005,A313,'Material routes'!$C$6:$C$1005,"Contained input"),COUNTIFS('Material routes'!$D$6:$D$1005,A313,'Material routes'!$C$6:$C$1005,"Transform input"))</x:f>
        <x:v>0</x:v>
      </x:c>
      <x:c r="AL313" s="4" t="n">
        <x:f>COUNTIFS('Material routes'!$D$6:$D$1005,A313,'Material routes'!$C$6:$C$1005,"Tool candidate")</x:f>
        <x:v>0</x:v>
      </x:c>
      <x:c r="AM313" s="4" t="str">
        <x:f>IF(AJ313&gt;0,"Route listed; review status/completeness",IF(C313="T0","Raw entry feed; no production route","No production route listed"))</x:f>
        <x:v>No production route listed</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15" customHeight="1">
      <x:c r="A314" s="9" t="str">
        <x:v>proposal.food.edible_flakes</x:v>
      </x:c>
      <x:c r="B314" s="9" t="str">
        <x:v>Prepared edible-fauna flakes</x:v>
      </x:c>
      <x:c r="C314" s="4" t="str">
        <x:v>Unassigned</x:v>
      </x:c>
      <x:c r="D314" s="9" t="str">
        <x:v>Resources</x:v>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resources; prepared fauna food ingredient; food material; processed intermediate; fauna; food preparation; faunal tissue; particles; proposal; phagea; algae; unassigned; not applicable; material</x:v>
      </x:c>
      <x:c r="AF314" s="4" t="str">
        <x:v>Accepted direction for processed-food families; individual recipes, ingredient qualification and effects remain design proposals.</x:v>
      </x:c>
      <x:c r="AG314" s="4" t="str">
        <x:v>Choose a material/part route before assigning a tier. Processing-stage labels alone do not prove chain depth.</x:v>
      </x:c>
      <x:c r="AH314" s="4" t="str">
        <x:v>Not applicable</x:v>
      </x:c>
      <x:c r="AI314" s="4" t="str">
        <x:v>Material</x:v>
      </x:c>
      <x:c r="AJ314" s="4" t="n">
        <x:f>COUNTIFS('Material routes'!$D$6:$D$1005,A314,'Material routes'!$C$6:$C$1005,"Output")</x:f>
        <x:v>0</x:v>
      </x:c>
      <x:c r="AK314" s="4" t="n">
        <x:f>SUM(COUNTIFS('Material routes'!$D$6:$D$1005,A314,'Material routes'!$C$6:$C$1005,"Ingredient candidate"),COUNTIFS('Material routes'!$D$6:$D$1005,A314,'Material routes'!$C$6:$C$1005,"Consumed input"),COUNTIFS('Material routes'!$D$6:$D$1005,A314,'Material routes'!$C$6:$C$1005,"Contained input"),COUNTIFS('Material routes'!$D$6:$D$1005,A314,'Material routes'!$C$6:$C$1005,"Transform input"))</x:f>
        <x:v>0</x:v>
      </x:c>
      <x:c r="AL314" s="4" t="n">
        <x:f>COUNTIFS('Material routes'!$D$6:$D$1005,A314,'Material routes'!$C$6:$C$1005,"Tool candidate")</x:f>
        <x:v>0</x:v>
      </x:c>
      <x:c r="AM314" s="4" t="str">
        <x:f>IF(AJ314&gt;0,"Route listed; review status/completeness",IF(C314="T0","Raw entry feed; no production route","No production route listed"))</x:f>
        <x:v>No production route listed</x:v>
      </x:c>
      <x:c r="AN314" s="14" t="n">
        <x:f>IF(C314="T0",0,IF(C314="T1",1,IF(C314="T2",2,IF(C314="T3",3,IF(C314="T4",4,IF(C314="Unassigned",98,99))))))</x:f>
        <x:v>98</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15" customHeight="1">
      <x:c r="A315" s="9" t="str">
        <x:v>proposal.food.edible_paste</x:v>
      </x:c>
      <x:c r="B315" s="9" t="str">
        <x:v>Prepared edible-fauna paste</x:v>
      </x:c>
      <x:c r="C315" s="4" t="str">
        <x:v>Unassigned</x:v>
      </x:c>
      <x:c r="D315" s="9" t="str">
        <x:v>Resources</x:v>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resources; prepared fauna food ingredient; food material; processed intermediate; fauna; food preparation; faunal tissue; paste; proposal; phagea; algae; unassigned; not applicable; material</x:v>
      </x:c>
      <x:c r="AF315" s="4" t="str">
        <x:v>Accepted direction for processed-food families; individual recipes, ingredient qualification and effects remain design proposals.</x:v>
      </x:c>
      <x:c r="AG315" s="4" t="str">
        <x:v>Choose a material/part route before assigning a tier. Processing-stage labels alone do not prove chain depth.</x:v>
      </x:c>
      <x:c r="AH315" s="4" t="str">
        <x:v>Not applicable</x:v>
      </x:c>
      <x:c r="AI315" s="4" t="str">
        <x:v>Material</x:v>
      </x:c>
      <x:c r="AJ315" s="4" t="n">
        <x:f>COUNTIFS('Material routes'!$D$6:$D$1005,A315,'Material routes'!$C$6:$C$1005,"Output")</x:f>
        <x:v>0</x:v>
      </x:c>
      <x:c r="AK315" s="4" t="n">
        <x:f>SUM(COUNTIFS('Material routes'!$D$6:$D$1005,A315,'Material routes'!$C$6:$C$1005,"Ingredient candidate"),COUNTIFS('Material routes'!$D$6:$D$1005,A315,'Material routes'!$C$6:$C$1005,"Consumed input"),COUNTIFS('Material routes'!$D$6:$D$1005,A315,'Material routes'!$C$6:$C$1005,"Contained input"),COUNTIFS('Material routes'!$D$6:$D$1005,A315,'Material routes'!$C$6:$C$1005,"Transform input"))</x:f>
        <x:v>0</x:v>
      </x:c>
      <x:c r="AL315" s="4" t="n">
        <x:f>COUNTIFS('Material routes'!$D$6:$D$1005,A315,'Material routes'!$C$6:$C$1005,"Tool candidate")</x:f>
        <x:v>0</x:v>
      </x:c>
      <x:c r="AM315" s="4" t="str">
        <x:f>IF(AJ315&gt;0,"Route listed; review status/completeness",IF(C315="T0","Raw entry feed; no production route","No production route listed"))</x:f>
        <x:v>No production route listed</x:v>
      </x:c>
      <x:c r="AN315" s="14" t="n">
        <x:f>IF(C315="T0",0,IF(C315="T1",1,IF(C315="T2",2,IF(C315="T3",3,IF(C315="T4",4,IF(C315="Unassigned",98,99))))))</x:f>
        <x:v>98</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unassigned;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Unassigned</x:v>
      </x:c>
      <x:c r="AI316" s="4" t="str">
        <x:v>Finished item</x:v>
      </x:c>
      <x:c r="AJ316" s="4" t="n">
        <x:f>COUNTIFS('Material routes'!$D$6:$D$1005,A316,'Material routes'!$C$6:$C$1005,"Output")</x:f>
        <x:v>0</x:v>
      </x:c>
      <x:c r="AK316" s="4" t="n">
        <x:f>SUM(COUNTIFS('Material routes'!$D$6:$D$1005,A316,'Material routes'!$C$6:$C$1005,"Ingredient candidate"),COUNTIFS('Material routes'!$D$6:$D$1005,A316,'Material routes'!$C$6:$C$1005,"Consumed input"),COUNTIFS('Material routes'!$D$6:$D$1005,A316,'Material routes'!$C$6:$C$1005,"Contained input"),COUNTIFS('Material routes'!$D$6:$D$1005,A316,'Material routes'!$C$6:$C$1005,"Transform input"))</x:f>
        <x:v>0</x:v>
      </x:c>
      <x:c r="AL316" s="4" t="n">
        <x:f>COUNTIFS('Material routes'!$D$6:$D$1005,A316,'Material routes'!$C$6:$C$1005,"Tool candidate")</x:f>
        <x:v>0</x:v>
      </x:c>
      <x:c r="AM316" s="4" t="str">
        <x:f>IF(AJ316&gt;0,"Route listed; review status/completeness",IF(C316="T0","Raw entry feed; no production route","No production route listed"))</x:f>
        <x:v>No production route listed</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unassigned;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Unassigned</x:v>
      </x:c>
      <x:c r="AI317" s="4" t="str">
        <x:v>Finished item</x:v>
      </x:c>
      <x:c r="AJ317" s="4" t="n">
        <x:f>COUNTIFS('Material routes'!$D$6:$D$1005,A317,'Material routes'!$C$6:$C$1005,"Output")</x:f>
        <x:v>0</x:v>
      </x:c>
      <x:c r="AK317" s="4" t="n">
        <x:f>SUM(COUNTIFS('Material routes'!$D$6:$D$1005,A317,'Material routes'!$C$6:$C$1005,"Ingredient candidate"),COUNTIFS('Material routes'!$D$6:$D$1005,A317,'Material routes'!$C$6:$C$1005,"Consumed input"),COUNTIFS('Material routes'!$D$6:$D$1005,A317,'Material routes'!$C$6:$C$1005,"Contained input"),COUNTIFS('Material routes'!$D$6:$D$1005,A317,'Material routes'!$C$6:$C$1005,"Transform input"))</x:f>
        <x:v>0</x:v>
      </x:c>
      <x:c r="AL317" s="4" t="n">
        <x:f>COUNTIFS('Material routes'!$D$6:$D$1005,A317,'Material routes'!$C$6:$C$1005,"Tool candidate")</x:f>
        <x:v>0</x:v>
      </x:c>
      <x:c r="AM317" s="4" t="str">
        <x:f>IF(AJ317&gt;0,"Route listed; review status/completeness",IF(C317="T0","Raw entry feed; no production route","No production route listed"))</x:f>
        <x:v>No production route listed</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t="str">
        <x:v>proposal.food.meal_carrier</x:v>
      </x:c>
      <x:c r="B318" s="9" t="str">
        <x:v>Prepared-meal carrier</x:v>
      </x:c>
      <x:c r="C318" s="4" t="str">
        <x:v>Not applicable</x:v>
      </x:c>
      <x:c r="D318" s="9" t="str">
        <x:v>Containers</x:v>
      </x:c>
      <x:c r="E318" s="9" t="str">
        <x:v>Food packaging</x:v>
      </x:c>
      <x:c r="F318" s="9" t="str">
        <x:v>New proposal</x:v>
      </x:c>
      <x:c r="G318" s="9" t="str">
        <x:v>Lidded food-service carrier for a prepared algae meal portion.</x:v>
      </x:c>
      <x:c r="H318" s="9" t="str">
        <x:v>None</x:v>
      </x:c>
      <x:c r="I318" s="9" t="str">
        <x:v>Prepared portions / vessels; Booter eligibility and capacity TBD</x:v>
      </x:c>
      <x:c r="J318" s="13"/>
      <x:c r="K318" s="15"/>
      <x:c r="L318" s="9" t="str">
        <x:v>Food-service craft or trade; exact route TBD</x:v>
      </x:c>
      <x:c r="M318" s="9" t="str">
        <x:v>No recipe, ratio or serving quantity authored. Food processing and any heating need setting-compatible design.</x:v>
      </x:c>
      <x:c r="N318" s="9" t="str">
        <x:v>Not implemented</x:v>
      </x:c>
      <x:c r="O318" s="9" t="str">
        <x:v>Build on existing ceramic lid/vessel craft. It is distinct from meal contents, a cooking pot and an industrial chemical jar.</x:v>
      </x:c>
      <x:c r="P318" s="17"/>
      <x:c r="Q318" s="17"/>
      <x:c r="R318" s="17"/>
      <x:c r="S318" s="17"/>
      <x:c r="T318" s="17"/>
      <x:c r="U318" s="9" t="str">
        <x:v>Higher-performing processed Phagia consumables and high-quality fauna-mixed delicacies are author direction. Specific performance, supply costs, value, shelf life and consumption behavior remain unresolved.</x:v>
      </x:c>
      <x:c r="V318" s="11" t="str">
        <x:v>cargo organization; phagea; algae</x:v>
      </x:c>
      <x:c r="W318" s="9" t="str">
        <x:v>Direct author Phagia food/drink processing and fauna-delicacy direction October 14, 2026; Docs/WORLD_BASIS.md#survival-rules. Specific named dishes and packaging are proposals.</x:v>
      </x:c>
      <x:c r="X318" s="4" t="str">
        <x:v>Container</x:v>
      </x:c>
      <x:c r="Y318" s="4" t="str">
        <x:v>Finished item</x:v>
      </x:c>
      <x:c r="Z318" s="4" t="str">
        <x:v>Manufactured / unresolved</x:v>
      </x:c>
      <x:c r="AA318" s="4" t="str">
        <x:v>Food service</x:v>
      </x:c>
      <x:c r="AB318" s="4" t="str">
        <x:v>Ceramic</x:v>
      </x:c>
      <x:c r="AC318" s="4" t="str">
        <x:v>Assembly</x:v>
      </x:c>
      <x:c r="AD318" s="4" t="str">
        <x:v>Proposal</x:v>
      </x:c>
      <x:c r="AE318" s="4" t="str">
        <x:f>LOWER(A318&amp;"; "&amp;B318&amp;"; "&amp;D318&amp;"; "&amp;E318&amp;"; "&amp;X318&amp;"; "&amp;Y318&amp;"; "&amp;Z318&amp;"; "&amp;AA318&amp;"; "&amp;AB318&amp;"; "&amp;AC318&amp;"; "&amp;AD318&amp;"; "&amp;V318&amp;"; "&amp;C318&amp;"; "&amp;AH318&amp;"; "&amp;AI318)</x:f>
        <x:v>proposal.food.meal_carrier; prepared-meal carrier; containers; food packaging; container; finished item; manufactured / unresolved; food service; ceramic; assembly; proposal; cargo organization; phagea; algae; not applicable; unassigned; finished item</x:v>
      </x:c>
      <x:c r="AF318" s="4" t="str">
        <x:v>Accepted direction for processed-food families; individual recipes, ingredient qualification and effects remain design proposals.</x:v>
      </x:c>
      <x:c r="AG318" s="4" t="str">
        <x:v>Finished endpoint; material tier is not applicable. Input tiers belong to the chosen recipe.</x:v>
      </x:c>
      <x:c r="AH318" s="4" t="str">
        <x:v>Unassigned</x:v>
      </x:c>
      <x:c r="AI318" s="4" t="str">
        <x:v>Finished item</x:v>
      </x:c>
      <x:c r="AJ318" s="4" t="n">
        <x:f>COUNTIFS('Material routes'!$D$6:$D$1005,A318,'Material routes'!$C$6:$C$1005,"Output")</x:f>
        <x:v>0</x:v>
      </x:c>
      <x:c r="AK318" s="4" t="n">
        <x:f>SUM(COUNTIFS('Material routes'!$D$6:$D$1005,A318,'Material routes'!$C$6:$C$1005,"Ingredient candidate"),COUNTIFS('Material routes'!$D$6:$D$1005,A318,'Material routes'!$C$6:$C$1005,"Consumed input"),COUNTIFS('Material routes'!$D$6:$D$1005,A318,'Material routes'!$C$6:$C$1005,"Contained input"),COUNTIFS('Material routes'!$D$6:$D$1005,A318,'Material routes'!$C$6:$C$1005,"Transform input"))</x:f>
        <x:v>0</x:v>
      </x:c>
      <x:c r="AL318" s="4" t="n">
        <x:f>COUNTIFS('Material routes'!$D$6:$D$1005,A318,'Material routes'!$C$6:$C$1005,"Tool candidate")</x:f>
        <x:v>0</x:v>
      </x:c>
      <x:c r="AM318" s="4" t="str">
        <x:f>IF(AJ318&gt;0,"Route listed; review status/completeness",IF(C318="T0","Raw entry feed; no production route","No production route listed"))</x:f>
        <x:v>No production route listed</x:v>
      </x:c>
      <x:c r="AN318" s="14" t="n">
        <x:f>IF(C318="T0",0,IF(C318="T1",1,IF(C318="T2",2,IF(C318="T3",3,IF(C318="T4",4,IF(C318="Unassigned",98,99))))))</x:f>
        <x:v>99</x:v>
      </x:c>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resources; stone feedstock; raw material; raw; geological; binding and construction; mineral; rock; proposal; ; t0; not applicable; material</x:v>
      </x:c>
      <x:c r="AF319" s="4" t="str">
        <x:v>Specific raw form and candidate uses are proposals; no automatic biological function, chemistry, deposit or crafting capability.</x:v>
      </x:c>
      <x:c r="AG319" s="4" t="str">
        <x:v>Raw gathered/recovered craft input under the author T0 framework. This does not imply a naturally occurring pure metal.</x:v>
      </x:c>
      <x:c r="AH319" s="4" t="str">
        <x:v>Not applicable</x:v>
      </x:c>
      <x:c r="AI319" s="4" t="str">
        <x:v>Material</x:v>
      </x:c>
      <x:c r="AJ319" s="4" t="n">
        <x:f>COUNTIFS('Material routes'!$D$6:$D$1005,A319,'Material routes'!$C$6:$C$1005,"Output")</x:f>
        <x:v>0</x:v>
      </x:c>
      <x:c r="AK319" s="4" t="n">
        <x:f>SUM(COUNTIFS('Material routes'!$D$6:$D$1005,A319,'Material routes'!$C$6:$C$1005,"Ingredient candidate"),COUNTIFS('Material routes'!$D$6:$D$1005,A319,'Material routes'!$C$6:$C$1005,"Consumed input"),COUNTIFS('Material routes'!$D$6:$D$1005,A319,'Material routes'!$C$6:$C$1005,"Contained input"),COUNTIFS('Material routes'!$D$6:$D$1005,A319,'Material routes'!$C$6:$C$1005,"Transform input"))</x:f>
        <x:v>1</x:v>
      </x:c>
      <x:c r="AL319" s="4" t="n">
        <x:f>COUNTIFS('Material routes'!$D$6:$D$1005,A319,'Material routes'!$C$6:$C$1005,"Tool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x:v>
      </x:c>
      <x:c r="AG320" s="4" t="str">
        <x:v>Raw gathered/recovered craft input under the author T0 framework. This does not imply a naturally occurring pure metal.</x:v>
      </x:c>
      <x:c r="AH320" s="4" t="str">
        <x:v>Not applicable</x:v>
      </x:c>
      <x:c r="AI320" s="4" t="str">
        <x:v>Material</x:v>
      </x:c>
      <x:c r="AJ320" s="4" t="n">
        <x:f>COUNTIFS('Material routes'!$D$6:$D$1005,A320,'Material routes'!$C$6:$C$1005,"Output")</x:f>
        <x:v>0</x:v>
      </x:c>
      <x:c r="AK320" s="4" t="n">
        <x:f>SUM(COUNTIFS('Material routes'!$D$6:$D$1005,A320,'Material routes'!$C$6:$C$1005,"Ingredient candidate"),COUNTIFS('Material routes'!$D$6:$D$1005,A320,'Material routes'!$C$6:$C$1005,"Consumed input"),COUNTIFS('Material routes'!$D$6:$D$1005,A320,'Material routes'!$C$6:$C$1005,"Contained input"),COUNTIFS('Material routes'!$D$6:$D$1005,A320,'Material routes'!$C$6:$C$1005,"Transform input"))</x:f>
        <x:v>1</x:v>
      </x:c>
      <x:c r="AL320" s="4" t="n">
        <x:f>COUNTIFS('Material routes'!$D$6:$D$1005,A320,'Material routes'!$C$6:$C$1005,"Tool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resources; stone feedstock; raw material; raw; geological; surface finishing; mineral; rock; proposal; ; t0; not applicable; material</x:v>
      </x:c>
      <x:c r="AF321" s="4" t="str">
        <x:v>Specific raw form and candidate uses are proposals; no automatic biological function, chemistry, deposit or crafting capability.</x:v>
      </x:c>
      <x:c r="AG321" s="4" t="str">
        <x:v>Raw gathered/recovered craft input under the author T0 framework. This does not imply a naturally occurring pure metal.</x:v>
      </x:c>
      <x:c r="AH321" s="4" t="str">
        <x:v>Not applicable</x:v>
      </x:c>
      <x:c r="AI321" s="4" t="str">
        <x:v>Material</x:v>
      </x:c>
      <x:c r="AJ321" s="4" t="n">
        <x:f>COUNTIFS('Material routes'!$D$6:$D$1005,A321,'Material routes'!$C$6:$C$1005,"Output")</x:f>
        <x:v>0</x:v>
      </x:c>
      <x:c r="AK321" s="4" t="n">
        <x:f>SUM(COUNTIFS('Material routes'!$D$6:$D$1005,A321,'Material routes'!$C$6:$C$1005,"Ingredient candidate"),COUNTIFS('Material routes'!$D$6:$D$1005,A321,'Material routes'!$C$6:$C$1005,"Consumed input"),COUNTIFS('Material routes'!$D$6:$D$1005,A321,'Material routes'!$C$6:$C$1005,"Contained input"),COUNTIFS('Material routes'!$D$6:$D$1005,A321,'Material routes'!$C$6:$C$1005,"Transform input"))</x:f>
        <x:v>0</x:v>
      </x:c>
      <x:c r="AL321" s="4" t="n">
        <x:f>COUNTIFS('Material routes'!$D$6:$D$1005,A321,'Material routes'!$C$6:$C$1005,"Tool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resources; stone feedstock; raw material; raw; geological; glass and ceramics; mineral; rock; proposal; ; t0; not applicable; material</x:v>
      </x:c>
      <x:c r="AF322" s="4" t="str">
        <x:v>Specific raw form and candidate uses are proposals; no automatic biological function, chemistry, deposit or crafting capability.</x:v>
      </x:c>
      <x:c r="AG322" s="4" t="str">
        <x:v>Raw gathered/recovered craft input under the author T0 framework. This does not imply a naturally occurring pure metal.</x:v>
      </x:c>
      <x:c r="AH322" s="4" t="str">
        <x:v>Not applicable</x:v>
      </x:c>
      <x:c r="AI322" s="4" t="str">
        <x:v>Material</x:v>
      </x:c>
      <x:c r="AJ322" s="4" t="n">
        <x:f>COUNTIFS('Material routes'!$D$6:$D$1005,A322,'Material routes'!$C$6:$C$1005,"Output")</x:f>
        <x:v>0</x:v>
      </x:c>
      <x:c r="AK322" s="4" t="n">
        <x:f>SUM(COUNTIFS('Material routes'!$D$6:$D$1005,A322,'Material routes'!$C$6:$C$1005,"Ingredient candidate"),COUNTIFS('Material routes'!$D$6:$D$1005,A322,'Material routes'!$C$6:$C$1005,"Consumed input"),COUNTIFS('Material routes'!$D$6:$D$1005,A322,'Material routes'!$C$6:$C$1005,"Contained input"),COUNTIFS('Material routes'!$D$6:$D$1005,A322,'Material routes'!$C$6:$C$1005,"Transform input"))</x:f>
        <x:v>0</x:v>
      </x:c>
      <x:c r="AL322" s="4" t="n">
        <x:f>COUNTIFS('Material routes'!$D$6:$D$1005,A322,'Material routes'!$C$6:$C$1005,"Tool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x:v>
      </x:c>
      <x:c r="AG323" s="4" t="str">
        <x:v>Raw gathered/recovered craft input under the author T0 framework. This does not imply a naturally occurring pure metal.</x:v>
      </x:c>
      <x:c r="AH323" s="4" t="str">
        <x:v>Not applicable</x:v>
      </x:c>
      <x:c r="AI323" s="4" t="str">
        <x:v>Material</x:v>
      </x:c>
      <x:c r="AJ323" s="4" t="n">
        <x:f>COUNTIFS('Material routes'!$D$6:$D$1005,A323,'Material routes'!$C$6:$C$1005,"Output")</x:f>
        <x:v>0</x:v>
      </x:c>
      <x:c r="AK323" s="4" t="n">
        <x:f>SUM(COUNTIFS('Material routes'!$D$6:$D$1005,A323,'Material routes'!$C$6:$C$1005,"Ingredient candidate"),COUNTIFS('Material routes'!$D$6:$D$1005,A323,'Material routes'!$C$6:$C$1005,"Consumed input"),COUNTIFS('Material routes'!$D$6:$D$1005,A323,'Material routes'!$C$6:$C$1005,"Contained input"),COUNTIFS('Material routes'!$D$6:$D$1005,A323,'Material routes'!$C$6:$C$1005,"Transform input"))</x:f>
        <x:v>0</x:v>
      </x:c>
      <x:c r="AL323" s="4" t="n">
        <x:f>COUNTIFS('Material routes'!$D$6:$D$1005,A323,'Material routes'!$C$6:$C$1005,"Tool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x:v>
      </x:c>
      <x:c r="AG324" s="4" t="str">
        <x:v>Raw gathered/recovered craft input under the author T0 framework. This does not imply a naturally occurring pure metal.</x:v>
      </x:c>
      <x:c r="AH324" s="4" t="str">
        <x:v>Not applicable</x:v>
      </x:c>
      <x:c r="AI324" s="4" t="str">
        <x:v>Material</x:v>
      </x:c>
      <x:c r="AJ324" s="4" t="n">
        <x:f>COUNTIFS('Material routes'!$D$6:$D$1005,A324,'Material routes'!$C$6:$C$1005,"Output")</x:f>
        <x:v>0</x:v>
      </x:c>
      <x:c r="AK324" s="4" t="n">
        <x:f>SUM(COUNTIFS('Material routes'!$D$6:$D$1005,A324,'Material routes'!$C$6:$C$1005,"Ingredient candidate"),COUNTIFS('Material routes'!$D$6:$D$1005,A324,'Material routes'!$C$6:$C$1005,"Consumed input"),COUNTIFS('Material routes'!$D$6:$D$1005,A324,'Material routes'!$C$6:$C$1005,"Contained input"),COUNTIFS('Material routes'!$D$6:$D$1005,A324,'Material routes'!$C$6:$C$1005,"Transform input"))</x:f>
        <x:v>0</x:v>
      </x:c>
      <x:c r="AL324" s="4" t="n">
        <x:f>COUNTIFS('Material routes'!$D$6:$D$1005,A324,'Material routes'!$C$6:$C$1005,"Tool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x:v>
      </x:c>
      <x:c r="AG325" s="4" t="str">
        <x:v>Raw gathered/recovered craft input under the author T0 framework. This does not imply a naturally occurring pure metal.</x:v>
      </x:c>
      <x:c r="AH325" s="4" t="str">
        <x:v>Not applicable</x:v>
      </x:c>
      <x:c r="AI325" s="4" t="str">
        <x:v>Material</x:v>
      </x:c>
      <x:c r="AJ325" s="4" t="n">
        <x:f>COUNTIFS('Material routes'!$D$6:$D$1005,A325,'Material routes'!$C$6:$C$1005,"Output")</x:f>
        <x:v>0</x:v>
      </x:c>
      <x:c r="AK325" s="4" t="n">
        <x:f>SUM(COUNTIFS('Material routes'!$D$6:$D$1005,A325,'Material routes'!$C$6:$C$1005,"Ingredient candidate"),COUNTIFS('Material routes'!$D$6:$D$1005,A325,'Material routes'!$C$6:$C$1005,"Consumed input"),COUNTIFS('Material routes'!$D$6:$D$1005,A325,'Material routes'!$C$6:$C$1005,"Contained input"),COUNTIFS('Material routes'!$D$6:$D$1005,A325,'Material routes'!$C$6:$C$1005,"Transform input"))</x:f>
        <x:v>0</x:v>
      </x:c>
      <x:c r="AL325" s="4" t="n">
        <x:f>COUNTIFS('Material routes'!$D$6:$D$1005,A325,'Material routes'!$C$6:$C$1005,"Tool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x:v>
      </x:c>
      <x:c r="AG326" s="4" t="str">
        <x:v>Raw gathered/recovered craft input under the author T0 framework. This does not imply a naturally occurring pure metal.</x:v>
      </x:c>
      <x:c r="AH326" s="4" t="str">
        <x:v>Not applicable</x:v>
      </x:c>
      <x:c r="AI326" s="4" t="str">
        <x:v>Material</x:v>
      </x:c>
      <x:c r="AJ326" s="4" t="n">
        <x:f>COUNTIFS('Material routes'!$D$6:$D$1005,A326,'Material routes'!$C$6:$C$1005,"Output")</x:f>
        <x:v>0</x:v>
      </x:c>
      <x:c r="AK326" s="4" t="n">
        <x:f>SUM(COUNTIFS('Material routes'!$D$6:$D$1005,A326,'Material routes'!$C$6:$C$1005,"Ingredient candidate"),COUNTIFS('Material routes'!$D$6:$D$1005,A326,'Material routes'!$C$6:$C$1005,"Consumed input"),COUNTIFS('Material routes'!$D$6:$D$1005,A326,'Material routes'!$C$6:$C$1005,"Contained input"),COUNTIFS('Material routes'!$D$6:$D$1005,A326,'Material routes'!$C$6:$C$1005,"Transform input"))</x:f>
        <x:v>0</x:v>
      </x:c>
      <x:c r="AL326" s="4" t="n">
        <x:f>COUNTIFS('Material routes'!$D$6:$D$1005,A326,'Material routes'!$C$6:$C$1005,"Tool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x:v>
      </x:c>
      <x:c r="AG327" s="4" t="str">
        <x:v>Raw gathered/recovered craft input under the author T0 framework. This does not imply a naturally occurring pure metal.</x:v>
      </x:c>
      <x:c r="AH327" s="4" t="str">
        <x:v>Not applicable</x:v>
      </x:c>
      <x:c r="AI327" s="4" t="str">
        <x:v>Material</x:v>
      </x:c>
      <x:c r="AJ327" s="4" t="n">
        <x:f>COUNTIFS('Material routes'!$D$6:$D$1005,A327,'Material routes'!$C$6:$C$1005,"Output")</x:f>
        <x:v>0</x:v>
      </x:c>
      <x:c r="AK327" s="4" t="n">
        <x:f>SUM(COUNTIFS('Material routes'!$D$6:$D$1005,A327,'Material routes'!$C$6:$C$1005,"Ingredient candidate"),COUNTIFS('Material routes'!$D$6:$D$1005,A327,'Material routes'!$C$6:$C$1005,"Consumed input"),COUNTIFS('Material routes'!$D$6:$D$1005,A327,'Material routes'!$C$6:$C$1005,"Contained input"),COUNTIFS('Material routes'!$D$6:$D$1005,A327,'Material routes'!$C$6:$C$1005,"Transform input"))</x:f>
        <x:v>0</x:v>
      </x:c>
      <x:c r="AL327" s="4" t="n">
        <x:f>COUNTIFS('Material routes'!$D$6:$D$1005,A327,'Material routes'!$C$6:$C$1005,"Tool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str">
        <x:v>Resources</x:v>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resources;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x:v>
      </x:c>
      <x:c r="AG328" s="4" t="str">
        <x:v>Raw gathered/recovered craft input under the author T0 framework. This does not imply a naturally occurring pure metal.</x:v>
      </x:c>
      <x:c r="AH328" s="4" t="str">
        <x:v>Not applicable</x:v>
      </x:c>
      <x:c r="AI328" s="4" t="str">
        <x:v>Material</x:v>
      </x:c>
      <x:c r="AJ328" s="4" t="n">
        <x:f>COUNTIFS('Material routes'!$D$6:$D$1005,A328,'Material routes'!$C$6:$C$1005,"Output")</x:f>
        <x:v>0</x:v>
      </x:c>
      <x:c r="AK328" s="4" t="n">
        <x:f>SUM(COUNTIFS('Material routes'!$D$6:$D$1005,A328,'Material routes'!$C$6:$C$1005,"Ingredient candidate"),COUNTIFS('Material routes'!$D$6:$D$1005,A328,'Material routes'!$C$6:$C$1005,"Consumed input"),COUNTIFS('Material routes'!$D$6:$D$1005,A328,'Material routes'!$C$6:$C$1005,"Contained input"),COUNTIFS('Material routes'!$D$6:$D$1005,A328,'Material routes'!$C$6:$C$1005,"Transform input"))</x:f>
        <x:v>1</x:v>
      </x:c>
      <x:c r="AL328" s="4" t="n">
        <x:f>COUNTIFS('Material routes'!$D$6:$D$1005,A328,'Material routes'!$C$6:$C$1005,"Tool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str">
        <x:v>Resources</x:v>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resources;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x:v>
      </x:c>
      <x:c r="AG329" s="4" t="str">
        <x:v>Raw gathered/recovered craft input under the author T0 framework. This does not imply a naturally occurring pure metal.</x:v>
      </x:c>
      <x:c r="AH329" s="4" t="str">
        <x:v>Not applicable</x:v>
      </x:c>
      <x:c r="AI329" s="4" t="str">
        <x:v>Material</x:v>
      </x:c>
      <x:c r="AJ329" s="4" t="n">
        <x:f>COUNTIFS('Material routes'!$D$6:$D$1005,A329,'Material routes'!$C$6:$C$1005,"Output")</x:f>
        <x:v>0</x:v>
      </x:c>
      <x:c r="AK329" s="4" t="n">
        <x:f>SUM(COUNTIFS('Material routes'!$D$6:$D$1005,A329,'Material routes'!$C$6:$C$1005,"Ingredient candidate"),COUNTIFS('Material routes'!$D$6:$D$1005,A329,'Material routes'!$C$6:$C$1005,"Consumed input"),COUNTIFS('Material routes'!$D$6:$D$1005,A329,'Material routes'!$C$6:$C$1005,"Contained input"),COUNTIFS('Material routes'!$D$6:$D$1005,A329,'Material routes'!$C$6:$C$1005,"Transform input"))</x:f>
        <x:v>1</x:v>
      </x:c>
      <x:c r="AL329" s="4" t="n">
        <x:f>COUNTIFS('Material routes'!$D$6:$D$1005,A329,'Material routes'!$C$6:$C$1005,"Tool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str">
        <x:v>Resources</x:v>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resources;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x:v>
      </x:c>
      <x:c r="AG330" s="4" t="str">
        <x:v>Raw gathered/recovered craft input under the author T0 framework. This does not imply a naturally occurring pure metal.</x:v>
      </x:c>
      <x:c r="AH330" s="4" t="str">
        <x:v>Not applicable</x:v>
      </x:c>
      <x:c r="AI330" s="4" t="str">
        <x:v>Material</x:v>
      </x:c>
      <x:c r="AJ330" s="4" t="n">
        <x:f>COUNTIFS('Material routes'!$D$6:$D$1005,A330,'Material routes'!$C$6:$C$1005,"Output")</x:f>
        <x:v>0</x:v>
      </x:c>
      <x:c r="AK330" s="4" t="n">
        <x:f>SUM(COUNTIFS('Material routes'!$D$6:$D$1005,A330,'Material routes'!$C$6:$C$1005,"Ingredient candidate"),COUNTIFS('Material routes'!$D$6:$D$1005,A330,'Material routes'!$C$6:$C$1005,"Consumed input"),COUNTIFS('Material routes'!$D$6:$D$1005,A330,'Material routes'!$C$6:$C$1005,"Contained input"),COUNTIFS('Material routes'!$D$6:$D$1005,A330,'Material routes'!$C$6:$C$1005,"Transform input"))</x:f>
        <x:v>0</x:v>
      </x:c>
      <x:c r="AL330" s="4" t="n">
        <x:f>COUNTIFS('Material routes'!$D$6:$D$1005,A330,'Material routes'!$C$6:$C$1005,"Tool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str">
        <x:v>Resources</x:v>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resources;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x:v>
      </x:c>
      <x:c r="AG331" s="4" t="str">
        <x:v>Raw gathered/recovered craft input under the author T0 framework. This does not imply a naturally occurring pure metal.</x:v>
      </x:c>
      <x:c r="AH331" s="4" t="str">
        <x:v>Not applicable</x:v>
      </x:c>
      <x:c r="AI331" s="4" t="str">
        <x:v>Material</x:v>
      </x:c>
      <x:c r="AJ331" s="4" t="n">
        <x:f>COUNTIFS('Material routes'!$D$6:$D$1005,A331,'Material routes'!$C$6:$C$1005,"Output")</x:f>
        <x:v>0</x:v>
      </x:c>
      <x:c r="AK331" s="4" t="n">
        <x:f>SUM(COUNTIFS('Material routes'!$D$6:$D$1005,A331,'Material routes'!$C$6:$C$1005,"Ingredient candidate"),COUNTIFS('Material routes'!$D$6:$D$1005,A331,'Material routes'!$C$6:$C$1005,"Consumed input"),COUNTIFS('Material routes'!$D$6:$D$1005,A331,'Material routes'!$C$6:$C$1005,"Contained input"),COUNTIFS('Material routes'!$D$6:$D$1005,A331,'Material routes'!$C$6:$C$1005,"Transform input"))</x:f>
        <x:v>0</x:v>
      </x:c>
      <x:c r="AL331" s="4" t="n">
        <x:f>COUNTIFS('Material routes'!$D$6:$D$1005,A331,'Material routes'!$C$6:$C$1005,"Tool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str">
        <x:v>Resources</x:v>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resources;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x:v>
      </x:c>
      <x:c r="AG332" s="4" t="str">
        <x:v>Raw gathered/recovered craft input under the author T0 framework. This does not imply a naturally occurring pure metal.</x:v>
      </x:c>
      <x:c r="AH332" s="4" t="str">
        <x:v>Not applicable</x:v>
      </x:c>
      <x:c r="AI332" s="4" t="str">
        <x:v>Material</x:v>
      </x:c>
      <x:c r="AJ332" s="4" t="n">
        <x:f>COUNTIFS('Material routes'!$D$6:$D$1005,A332,'Material routes'!$C$6:$C$1005,"Output")</x:f>
        <x:v>0</x:v>
      </x:c>
      <x:c r="AK332" s="4" t="n">
        <x:f>SUM(COUNTIFS('Material routes'!$D$6:$D$1005,A332,'Material routes'!$C$6:$C$1005,"Ingredient candidate"),COUNTIFS('Material routes'!$D$6:$D$1005,A332,'Material routes'!$C$6:$C$1005,"Consumed input"),COUNTIFS('Material routes'!$D$6:$D$1005,A332,'Material routes'!$C$6:$C$1005,"Contained input"),COUNTIFS('Material routes'!$D$6:$D$1005,A332,'Material routes'!$C$6:$C$1005,"Transform input"))</x:f>
        <x:v>0</x:v>
      </x:c>
      <x:c r="AL332" s="4" t="n">
        <x:f>COUNTIFS('Material routes'!$D$6:$D$1005,A332,'Material routes'!$C$6:$C$1005,"Tool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str">
        <x:v>Resources</x:v>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resources;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x:v>
      </x:c>
      <x:c r="AG333" s="4" t="str">
        <x:v>Raw gathered/recovered craft input under the author T0 framework. This does not imply a naturally occurring pure metal.</x:v>
      </x:c>
      <x:c r="AH333" s="4" t="str">
        <x:v>Not applicable</x:v>
      </x:c>
      <x:c r="AI333" s="4" t="str">
        <x:v>Material</x:v>
      </x:c>
      <x:c r="AJ333" s="4" t="n">
        <x:f>COUNTIFS('Material routes'!$D$6:$D$1005,A333,'Material routes'!$C$6:$C$1005,"Output")</x:f>
        <x:v>0</x:v>
      </x:c>
      <x:c r="AK333" s="4" t="n">
        <x:f>SUM(COUNTIFS('Material routes'!$D$6:$D$1005,A333,'Material routes'!$C$6:$C$1005,"Ingredient candidate"),COUNTIFS('Material routes'!$D$6:$D$1005,A333,'Material routes'!$C$6:$C$1005,"Consumed input"),COUNTIFS('Material routes'!$D$6:$D$1005,A333,'Material routes'!$C$6:$C$1005,"Contained input"),COUNTIFS('Material routes'!$D$6:$D$1005,A333,'Material routes'!$C$6:$C$1005,"Transform input"))</x:f>
        <x:v>0</x:v>
      </x:c>
      <x:c r="AL333" s="4" t="n">
        <x:f>COUNTIFS('Material routes'!$D$6:$D$1005,A333,'Material routes'!$C$6:$C$1005,"Tool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str">
        <x:v>Resources</x:v>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resources;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x:v>
      </x:c>
      <x:c r="AG334" s="4" t="str">
        <x:v>Raw gathered/recovered craft input under the author T0 framework. This does not imply a naturally occurring pure metal.</x:v>
      </x:c>
      <x:c r="AH334" s="4" t="str">
        <x:v>Not applicable</x:v>
      </x:c>
      <x:c r="AI334" s="4" t="str">
        <x:v>Material</x:v>
      </x:c>
      <x:c r="AJ334" s="4" t="n">
        <x:f>COUNTIFS('Material routes'!$D$6:$D$1005,A334,'Material routes'!$C$6:$C$1005,"Output")</x:f>
        <x:v>0</x:v>
      </x:c>
      <x:c r="AK334" s="4" t="n">
        <x:f>SUM(COUNTIFS('Material routes'!$D$6:$D$1005,A334,'Material routes'!$C$6:$C$1005,"Ingredient candidate"),COUNTIFS('Material routes'!$D$6:$D$1005,A334,'Material routes'!$C$6:$C$1005,"Consumed input"),COUNTIFS('Material routes'!$D$6:$D$1005,A334,'Material routes'!$C$6:$C$1005,"Contained input"),COUNTIFS('Material routes'!$D$6:$D$1005,A334,'Material routes'!$C$6:$C$1005,"Transform input"))</x:f>
        <x:v>0</x:v>
      </x:c>
      <x:c r="AL334" s="4" t="n">
        <x:f>COUNTIFS('Material routes'!$D$6:$D$1005,A334,'Material routes'!$C$6:$C$1005,"Tool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resources; stone feedstock; raw material; raw; geological; binding and construction; mineral; rock; proposal; ; t0; not applicable; material</x:v>
      </x:c>
      <x:c r="AF335" s="4" t="str">
        <x:v>Specific raw form and candidate uses are proposals; no automatic biological function, chemistry, deposit or crafting capability.</x:v>
      </x:c>
      <x:c r="AG335" s="4" t="str">
        <x:v>Raw gathered/recovered craft input under the author T0 framework. This does not imply a naturally occurring pure metal.</x:v>
      </x:c>
      <x:c r="AH335" s="4" t="str">
        <x:v>Not applicable</x:v>
      </x:c>
      <x:c r="AI335" s="4" t="str">
        <x:v>Material</x:v>
      </x:c>
      <x:c r="AJ335" s="4" t="n">
        <x:f>COUNTIFS('Material routes'!$D$6:$D$1005,A335,'Material routes'!$C$6:$C$1005,"Output")</x:f>
        <x:v>0</x:v>
      </x:c>
      <x:c r="AK335" s="4" t="n">
        <x:f>SUM(COUNTIFS('Material routes'!$D$6:$D$1005,A335,'Material routes'!$C$6:$C$1005,"Ingredient candidate"),COUNTIFS('Material routes'!$D$6:$D$1005,A335,'Material routes'!$C$6:$C$1005,"Consumed input"),COUNTIFS('Material routes'!$D$6:$D$1005,A335,'Material routes'!$C$6:$C$1005,"Contained input"),COUNTIFS('Material routes'!$D$6:$D$1005,A335,'Material routes'!$C$6:$C$1005,"Transform input"))</x:f>
        <x:v>0</x:v>
      </x:c>
      <x:c r="AL335" s="4" t="n">
        <x:f>COUNTIFS('Material routes'!$D$6:$D$1005,A335,'Material routes'!$C$6:$C$1005,"Tool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resources; stone feedstock; raw material; raw; geological; tool fabrication; mineral; rock; proposal; ; t0; not applicable; material</x:v>
      </x:c>
      <x:c r="AF336" s="4" t="str">
        <x:v>Specific raw form and candidate uses are proposals; no automatic biological function, chemistry, deposit or crafting capability.</x:v>
      </x:c>
      <x:c r="AG336" s="4" t="str">
        <x:v>Raw gathered/recovered craft input under the author T0 framework. This does not imply a naturally occurring pure metal.</x:v>
      </x:c>
      <x:c r="AH336" s="4" t="str">
        <x:v>Not applicable</x:v>
      </x:c>
      <x:c r="AI336" s="4" t="str">
        <x:v>Material</x:v>
      </x:c>
      <x:c r="AJ336" s="4" t="n">
        <x:f>COUNTIFS('Material routes'!$D$6:$D$1005,A336,'Material routes'!$C$6:$C$1005,"Output")</x:f>
        <x:v>0</x:v>
      </x:c>
      <x:c r="AK336" s="4" t="n">
        <x:f>SUM(COUNTIFS('Material routes'!$D$6:$D$1005,A336,'Material routes'!$C$6:$C$1005,"Ingredient candidate"),COUNTIFS('Material routes'!$D$6:$D$1005,A336,'Material routes'!$C$6:$C$1005,"Consumed input"),COUNTIFS('Material routes'!$D$6:$D$1005,A336,'Material routes'!$C$6:$C$1005,"Contained input"),COUNTIFS('Material routes'!$D$6:$D$1005,A336,'Material routes'!$C$6:$C$1005,"Transform input"))</x:f>
        <x:v>0</x:v>
      </x:c>
      <x:c r="AL336" s="4" t="n">
        <x:f>COUNTIFS('Material routes'!$D$6:$D$1005,A336,'Material routes'!$C$6:$C$1005,"Tool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resources; stone feedstock; raw material; raw; geological; surface finishing; mineral; rock; proposal; ; t0; not applicable; material</x:v>
      </x:c>
      <x:c r="AF337" s="4" t="str">
        <x:v>Specific raw form and candidate uses are proposals; no automatic biological function, chemistry, deposit or crafting capability.</x:v>
      </x:c>
      <x:c r="AG337" s="4" t="str">
        <x:v>Raw gathered/recovered craft input under the author T0 framework. This does not imply a naturally occurring pure metal.</x:v>
      </x:c>
      <x:c r="AH337" s="4" t="str">
        <x:v>Not applicable</x:v>
      </x:c>
      <x:c r="AI337" s="4" t="str">
        <x:v>Material</x:v>
      </x:c>
      <x:c r="AJ337" s="4" t="n">
        <x:f>COUNTIFS('Material routes'!$D$6:$D$1005,A337,'Material routes'!$C$6:$C$1005,"Output")</x:f>
        <x:v>0</x:v>
      </x:c>
      <x:c r="AK337" s="4" t="n">
        <x:f>SUM(COUNTIFS('Material routes'!$D$6:$D$1005,A337,'Material routes'!$C$6:$C$1005,"Ingredient candidate"),COUNTIFS('Material routes'!$D$6:$D$1005,A337,'Material routes'!$C$6:$C$1005,"Consumed input"),COUNTIFS('Material routes'!$D$6:$D$1005,A337,'Material routes'!$C$6:$C$1005,"Contained input"),COUNTIFS('Material routes'!$D$6:$D$1005,A337,'Material routes'!$C$6:$C$1005,"Transform input"))</x:f>
        <x:v>1</x:v>
      </x:c>
      <x:c r="AL337" s="4" t="n">
        <x:f>COUNTIFS('Material routes'!$D$6:$D$1005,A337,'Material routes'!$C$6:$C$1005,"Tool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resources; stone feedstock; raw material; raw; geological; fabrication; mineral; rock; proposal; ; t0; not applicable; material</x:v>
      </x:c>
      <x:c r="AF338" s="4" t="str">
        <x:v>Specific raw form and candidate uses are proposals; no automatic biological function, chemistry, deposit or crafting capability.</x:v>
      </x:c>
      <x:c r="AG338" s="4" t="str">
        <x:v>Raw gathered/recovered craft input under the author T0 framework. This does not imply a naturally occurring pure metal.</x:v>
      </x:c>
      <x:c r="AH338" s="4" t="str">
        <x:v>Not applicable</x:v>
      </x:c>
      <x:c r="AI338" s="4" t="str">
        <x:v>Material</x:v>
      </x:c>
      <x:c r="AJ338" s="4" t="n">
        <x:f>COUNTIFS('Material routes'!$D$6:$D$1005,A338,'Material routes'!$C$6:$C$1005,"Output")</x:f>
        <x:v>0</x:v>
      </x:c>
      <x:c r="AK338" s="4" t="n">
        <x:f>SUM(COUNTIFS('Material routes'!$D$6:$D$1005,A338,'Material routes'!$C$6:$C$1005,"Ingredient candidate"),COUNTIFS('Material routes'!$D$6:$D$1005,A338,'Material routes'!$C$6:$C$1005,"Consumed input"),COUNTIFS('Material routes'!$D$6:$D$1005,A338,'Material routes'!$C$6:$C$1005,"Contained input"),COUNTIFS('Material routes'!$D$6:$D$1005,A338,'Material routes'!$C$6:$C$1005,"Transform input"))</x:f>
        <x:v>1</x:v>
      </x:c>
      <x:c r="AL338" s="4" t="n">
        <x:f>COUNTIFS('Material routes'!$D$6:$D$1005,A338,'Material routes'!$C$6:$C$1005,"Tool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x:v>
      </x:c>
      <x:c r="AG339" s="4" t="str">
        <x:v>Raw gathered/recovered craft input under the author T0 framework. This does not imply a naturally occurring pure metal.</x:v>
      </x:c>
      <x:c r="AH339" s="4" t="str">
        <x:v>Not applicable</x:v>
      </x:c>
      <x:c r="AI339" s="4" t="str">
        <x:v>Material</x:v>
      </x:c>
      <x:c r="AJ339" s="4" t="n">
        <x:f>COUNTIFS('Material routes'!$D$6:$D$1005,A339,'Material routes'!$C$6:$C$1005,"Output")</x:f>
        <x:v>0</x:v>
      </x:c>
      <x:c r="AK339" s="4" t="n">
        <x:f>SUM(COUNTIFS('Material routes'!$D$6:$D$1005,A339,'Material routes'!$C$6:$C$1005,"Ingredient candidate"),COUNTIFS('Material routes'!$D$6:$D$1005,A339,'Material routes'!$C$6:$C$1005,"Consumed input"),COUNTIFS('Material routes'!$D$6:$D$1005,A339,'Material routes'!$C$6:$C$1005,"Contained input"),COUNTIFS('Material routes'!$D$6:$D$1005,A339,'Material routes'!$C$6:$C$1005,"Transform input"))</x:f>
        <x:v>0</x:v>
      </x:c>
      <x:c r="AL339" s="4" t="n">
        <x:f>COUNTIFS('Material routes'!$D$6:$D$1005,A339,'Material routes'!$C$6:$C$1005,"Tool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x:v>
      </x:c>
      <x:c r="AG340" s="4" t="str">
        <x:v>Raw gathered/recovered craft input under the author T0 framework. This does not imply a naturally occurring pure metal.</x:v>
      </x:c>
      <x:c r="AH340" s="4" t="str">
        <x:v>Not applicable</x:v>
      </x:c>
      <x:c r="AI340" s="4" t="str">
        <x:v>Material</x:v>
      </x:c>
      <x:c r="AJ340" s="4" t="n">
        <x:f>COUNTIFS('Material routes'!$D$6:$D$1005,A340,'Material routes'!$C$6:$C$1005,"Output")</x:f>
        <x:v>0</x:v>
      </x:c>
      <x:c r="AK340" s="4" t="n">
        <x:f>SUM(COUNTIFS('Material routes'!$D$6:$D$1005,A340,'Material routes'!$C$6:$C$1005,"Ingredient candidate"),COUNTIFS('Material routes'!$D$6:$D$1005,A340,'Material routes'!$C$6:$C$1005,"Consumed input"),COUNTIFS('Material routes'!$D$6:$D$1005,A340,'Material routes'!$C$6:$C$1005,"Contained input"),COUNTIFS('Material routes'!$D$6:$D$1005,A340,'Material routes'!$C$6:$C$1005,"Transform input"))</x:f>
        <x:v>1</x:v>
      </x:c>
      <x:c r="AL340" s="4" t="n">
        <x:f>COUNTIFS('Material routes'!$D$6:$D$1005,A340,'Material routes'!$C$6:$C$1005,"Tool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x:v>
      </x:c>
      <x:c r="AG341" s="4" t="str">
        <x:v>Raw gathered/recovered craft input under the author T0 framework. This does not imply a naturally occurring pure metal.</x:v>
      </x:c>
      <x:c r="AH341" s="4" t="str">
        <x:v>Not applicable</x:v>
      </x:c>
      <x:c r="AI341" s="4" t="str">
        <x:v>Material</x:v>
      </x:c>
      <x:c r="AJ341" s="4" t="n">
        <x:f>COUNTIFS('Material routes'!$D$6:$D$1005,A341,'Material routes'!$C$6:$C$1005,"Output")</x:f>
        <x:v>0</x:v>
      </x:c>
      <x:c r="AK341" s="4" t="n">
        <x:f>SUM(COUNTIFS('Material routes'!$D$6:$D$1005,A341,'Material routes'!$C$6:$C$1005,"Ingredient candidate"),COUNTIFS('Material routes'!$D$6:$D$1005,A341,'Material routes'!$C$6:$C$1005,"Consumed input"),COUNTIFS('Material routes'!$D$6:$D$1005,A341,'Material routes'!$C$6:$C$1005,"Contained input"),COUNTIFS('Material routes'!$D$6:$D$1005,A341,'Material routes'!$C$6:$C$1005,"Transform input"))</x:f>
        <x:v>1</x:v>
      </x:c>
      <x:c r="AL341" s="4" t="n">
        <x:f>COUNTIFS('Material routes'!$D$6:$D$1005,A341,'Material routes'!$C$6:$C$1005,"Tool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x:v>
      </x:c>
      <x:c r="AG342" s="4" t="str">
        <x:v>Raw gathered/recovered craft input under the author T0 framework. This does not imply a naturally occurring pure metal.</x:v>
      </x:c>
      <x:c r="AH342" s="4" t="str">
        <x:v>Not applicable</x:v>
      </x:c>
      <x:c r="AI342" s="4" t="str">
        <x:v>Material</x:v>
      </x:c>
      <x:c r="AJ342" s="4" t="n">
        <x:f>COUNTIFS('Material routes'!$D$6:$D$1005,A342,'Material routes'!$C$6:$C$1005,"Output")</x:f>
        <x:v>0</x:v>
      </x:c>
      <x:c r="AK342" s="4" t="n">
        <x:f>SUM(COUNTIFS('Material routes'!$D$6:$D$1005,A342,'Material routes'!$C$6:$C$1005,"Ingredient candidate"),COUNTIFS('Material routes'!$D$6:$D$1005,A342,'Material routes'!$C$6:$C$1005,"Consumed input"),COUNTIFS('Material routes'!$D$6:$D$1005,A342,'Material routes'!$C$6:$C$1005,"Contained input"),COUNTIFS('Material routes'!$D$6:$D$1005,A342,'Material routes'!$C$6:$C$1005,"Transform input"))</x:f>
        <x:v>0</x:v>
      </x:c>
      <x:c r="AL342" s="4" t="n">
        <x:f>COUNTIFS('Material routes'!$D$6:$D$1005,A342,'Material routes'!$C$6:$C$1005,"Tool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x:v>
      </x:c>
      <x:c r="AG343" s="4" t="str">
        <x:v>Raw gathered/recovered craft input under the author T0 framework. This does not imply a naturally occurring pure metal.</x:v>
      </x:c>
      <x:c r="AH343" s="4" t="str">
        <x:v>Not applicable</x:v>
      </x:c>
      <x:c r="AI343" s="4" t="str">
        <x:v>Material</x:v>
      </x:c>
      <x:c r="AJ343" s="4" t="n">
        <x:f>COUNTIFS('Material routes'!$D$6:$D$1005,A343,'Material routes'!$C$6:$C$1005,"Output")</x:f>
        <x:v>0</x:v>
      </x:c>
      <x:c r="AK343" s="4" t="n">
        <x:f>SUM(COUNTIFS('Material routes'!$D$6:$D$1005,A343,'Material routes'!$C$6:$C$1005,"Ingredient candidate"),COUNTIFS('Material routes'!$D$6:$D$1005,A343,'Material routes'!$C$6:$C$1005,"Consumed input"),COUNTIFS('Material routes'!$D$6:$D$1005,A343,'Material routes'!$C$6:$C$1005,"Contained input"),COUNTIFS('Material routes'!$D$6:$D$1005,A343,'Material routes'!$C$6:$C$1005,"Transform input"))</x:f>
        <x:v>0</x:v>
      </x:c>
      <x:c r="AL343" s="4" t="n">
        <x:f>COUNTIFS('Material routes'!$D$6:$D$1005,A343,'Material routes'!$C$6:$C$1005,"Tool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resources; faunal hard-part feedstock; raw material; raw; fauna; vision; faunal tissue; solid piece; proposal; ; t0; not applicable; material</x:v>
      </x:c>
      <x:c r="AF344" s="4" t="str">
        <x:v>Specific raw form and candidate uses are proposals; no automatic biological function, chemistry, deposit or crafting capability.</x:v>
      </x:c>
      <x:c r="AG344" s="4" t="str">
        <x:v>Raw gathered/recovered craft input under the author T0 framework. This does not imply a naturally occurring pure metal.</x:v>
      </x:c>
      <x:c r="AH344" s="4" t="str">
        <x:v>Not applicable</x:v>
      </x:c>
      <x:c r="AI344" s="4" t="str">
        <x:v>Material</x:v>
      </x:c>
      <x:c r="AJ344" s="4" t="n">
        <x:f>COUNTIFS('Material routes'!$D$6:$D$1005,A344,'Material routes'!$C$6:$C$1005,"Output")</x:f>
        <x:v>0</x:v>
      </x:c>
      <x:c r="AK344" s="4" t="n">
        <x:f>SUM(COUNTIFS('Material routes'!$D$6:$D$1005,A344,'Material routes'!$C$6:$C$1005,"Ingredient candidate"),COUNTIFS('Material routes'!$D$6:$D$1005,A344,'Material routes'!$C$6:$C$1005,"Consumed input"),COUNTIFS('Material routes'!$D$6:$D$1005,A344,'Material routes'!$C$6:$C$1005,"Contained input"),COUNTIFS('Material routes'!$D$6:$D$1005,A344,'Material routes'!$C$6:$C$1005,"Transform input"))</x:f>
        <x:v>0</x:v>
      </x:c>
      <x:c r="AL344" s="4" t="n">
        <x:f>COUNTIFS('Material routes'!$D$6:$D$1005,A344,'Material routes'!$C$6:$C$1005,"Tool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x:v>
      </x:c>
      <x:c r="AG345" s="4" t="str">
        <x:v>Raw gathered/recovered craft input under the author T0 framework. This does not imply a naturally occurring pure metal.</x:v>
      </x:c>
      <x:c r="AH345" s="4" t="str">
        <x:v>Not applicable</x:v>
      </x:c>
      <x:c r="AI345" s="4" t="str">
        <x:v>Material</x:v>
      </x:c>
      <x:c r="AJ345" s="4" t="n">
        <x:f>COUNTIFS('Material routes'!$D$6:$D$1005,A345,'Material routes'!$C$6:$C$1005,"Output")</x:f>
        <x:v>0</x:v>
      </x:c>
      <x:c r="AK345" s="4" t="n">
        <x:f>SUM(COUNTIFS('Material routes'!$D$6:$D$1005,A345,'Material routes'!$C$6:$C$1005,"Ingredient candidate"),COUNTIFS('Material routes'!$D$6:$D$1005,A345,'Material routes'!$C$6:$C$1005,"Consumed input"),COUNTIFS('Material routes'!$D$6:$D$1005,A345,'Material routes'!$C$6:$C$1005,"Contained input"),COUNTIFS('Material routes'!$D$6:$D$1005,A345,'Material routes'!$C$6:$C$1005,"Transform input"))</x:f>
        <x:v>0</x:v>
      </x:c>
      <x:c r="AL345" s="4" t="n">
        <x:f>COUNTIFS('Material routes'!$D$6:$D$1005,A345,'Material routes'!$C$6:$C$1005,"Tool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x:v>
      </x:c>
      <x:c r="AG346" s="4" t="str">
        <x:v>Raw gathered/recovered craft input under the author T0 framework. This does not imply a naturally occurring pure metal.</x:v>
      </x:c>
      <x:c r="AH346" s="4" t="str">
        <x:v>Not applicable</x:v>
      </x:c>
      <x:c r="AI346" s="4" t="str">
        <x:v>Material</x:v>
      </x:c>
      <x:c r="AJ346" s="4" t="n">
        <x:f>COUNTIFS('Material routes'!$D$6:$D$1005,A346,'Material routes'!$C$6:$C$1005,"Output")</x:f>
        <x:v>0</x:v>
      </x:c>
      <x:c r="AK346" s="4" t="n">
        <x:f>SUM(COUNTIFS('Material routes'!$D$6:$D$1005,A346,'Material routes'!$C$6:$C$1005,"Ingredient candidate"),COUNTIFS('Material routes'!$D$6:$D$1005,A346,'Material routes'!$C$6:$C$1005,"Consumed input"),COUNTIFS('Material routes'!$D$6:$D$1005,A346,'Material routes'!$C$6:$C$1005,"Contained input"),COUNTIFS('Material routes'!$D$6:$D$1005,A346,'Material routes'!$C$6:$C$1005,"Transform input"))</x:f>
        <x:v>0</x:v>
      </x:c>
      <x:c r="AL346" s="4" t="n">
        <x:f>COUNTIFS('Material routes'!$D$6:$D$1005,A346,'Material routes'!$C$6:$C$1005,"Tool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str">
        <x:v>Resources</x:v>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resources;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x:v>
      </x:c>
      <x:c r="AG347" s="4" t="str">
        <x:v>Raw gathered/recovered craft input under the author T0 framework. This does not imply a naturally occurring pure metal.</x:v>
      </x:c>
      <x:c r="AH347" s="4" t="str">
        <x:v>Not applicable</x:v>
      </x:c>
      <x:c r="AI347" s="4" t="str">
        <x:v>Material</x:v>
      </x:c>
      <x:c r="AJ347" s="4" t="n">
        <x:f>COUNTIFS('Material routes'!$D$6:$D$1005,A347,'Material routes'!$C$6:$C$1005,"Output")</x:f>
        <x:v>0</x:v>
      </x:c>
      <x:c r="AK347" s="4" t="n">
        <x:f>SUM(COUNTIFS('Material routes'!$D$6:$D$1005,A347,'Material routes'!$C$6:$C$1005,"Ingredient candidate"),COUNTIFS('Material routes'!$D$6:$D$1005,A347,'Material routes'!$C$6:$C$1005,"Consumed input"),COUNTIFS('Material routes'!$D$6:$D$1005,A347,'Material routes'!$C$6:$C$1005,"Contained input"),COUNTIFS('Material routes'!$D$6:$D$1005,A347,'Material routes'!$C$6:$C$1005,"Transform input"))</x:f>
        <x:v>0</x:v>
      </x:c>
      <x:c r="AL347" s="4" t="n">
        <x:f>COUNTIFS('Material routes'!$D$6:$D$1005,A347,'Material routes'!$C$6:$C$1005,"Tool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str">
        <x:v>Resources</x:v>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resources;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x:v>
      </x:c>
      <x:c r="AG348" s="4" t="str">
        <x:v>Raw gathered/recovered craft input under the author T0 framework. This does not imply a naturally occurring pure metal.</x:v>
      </x:c>
      <x:c r="AH348" s="4" t="str">
        <x:v>Not applicable</x:v>
      </x:c>
      <x:c r="AI348" s="4" t="str">
        <x:v>Material</x:v>
      </x:c>
      <x:c r="AJ348" s="4" t="n">
        <x:f>COUNTIFS('Material routes'!$D$6:$D$1005,A348,'Material routes'!$C$6:$C$1005,"Output")</x:f>
        <x:v>0</x:v>
      </x:c>
      <x:c r="AK348" s="4" t="n">
        <x:f>SUM(COUNTIFS('Material routes'!$D$6:$D$1005,A348,'Material routes'!$C$6:$C$1005,"Ingredient candidate"),COUNTIFS('Material routes'!$D$6:$D$1005,A348,'Material routes'!$C$6:$C$1005,"Consumed input"),COUNTIFS('Material routes'!$D$6:$D$1005,A348,'Material routes'!$C$6:$C$1005,"Contained input"),COUNTIFS('Material routes'!$D$6:$D$1005,A348,'Material routes'!$C$6:$C$1005,"Transform input"))</x:f>
        <x:v>1</x:v>
      </x:c>
      <x:c r="AL348" s="4" t="n">
        <x:f>COUNTIFS('Material routes'!$D$6:$D$1005,A348,'Material routes'!$C$6:$C$1005,"Tool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str">
        <x:v>Resources</x:v>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resources;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x:v>
      </x:c>
      <x:c r="AG349" s="4" t="str">
        <x:v>Raw gathered/recovered craft input under the author T0 framework. This does not imply a naturally occurring pure metal.</x:v>
      </x:c>
      <x:c r="AH349" s="4" t="str">
        <x:v>Not applicable</x:v>
      </x:c>
      <x:c r="AI349" s="4" t="str">
        <x:v>Material</x:v>
      </x:c>
      <x:c r="AJ349" s="4" t="n">
        <x:f>COUNTIFS('Material routes'!$D$6:$D$1005,A349,'Material routes'!$C$6:$C$1005,"Output")</x:f>
        <x:v>0</x:v>
      </x:c>
      <x:c r="AK349" s="4" t="n">
        <x:f>SUM(COUNTIFS('Material routes'!$D$6:$D$1005,A349,'Material routes'!$C$6:$C$1005,"Ingredient candidate"),COUNTIFS('Material routes'!$D$6:$D$1005,A349,'Material routes'!$C$6:$C$1005,"Consumed input"),COUNTIFS('Material routes'!$D$6:$D$1005,A349,'Material routes'!$C$6:$C$1005,"Contained input"),COUNTIFS('Material routes'!$D$6:$D$1005,A349,'Material routes'!$C$6:$C$1005,"Transform input"))</x:f>
        <x:v>1</x:v>
      </x:c>
      <x:c r="AL349" s="4" t="n">
        <x:f>COUNTIFS('Material routes'!$D$6:$D$1005,A349,'Material routes'!$C$6:$C$1005,"Tool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str">
        <x:v>Resources</x:v>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resources;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x:v>
      </x:c>
      <x:c r="AG350" s="4" t="str">
        <x:v>Raw gathered/recovered craft input under the author T0 framework. This does not imply a naturally occurring pure metal.</x:v>
      </x:c>
      <x:c r="AH350" s="4" t="str">
        <x:v>Not applicable</x:v>
      </x:c>
      <x:c r="AI350" s="4" t="str">
        <x:v>Material</x:v>
      </x:c>
      <x:c r="AJ350" s="4" t="n">
        <x:f>COUNTIFS('Material routes'!$D$6:$D$1005,A350,'Material routes'!$C$6:$C$1005,"Output")</x:f>
        <x:v>0</x:v>
      </x:c>
      <x:c r="AK350" s="4" t="n">
        <x:f>SUM(COUNTIFS('Material routes'!$D$6:$D$1005,A350,'Material routes'!$C$6:$C$1005,"Ingredient candidate"),COUNTIFS('Material routes'!$D$6:$D$1005,A350,'Material routes'!$C$6:$C$1005,"Consumed input"),COUNTIFS('Material routes'!$D$6:$D$1005,A350,'Material routes'!$C$6:$C$1005,"Contained input"),COUNTIFS('Material routes'!$D$6:$D$1005,A350,'Material routes'!$C$6:$C$1005,"Transform input"))</x:f>
        <x:v>0</x:v>
      </x:c>
      <x:c r="AL350" s="4" t="n">
        <x:f>COUNTIFS('Material routes'!$D$6:$D$1005,A350,'Material routes'!$C$6:$C$1005,"Tool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str">
        <x:v>Resources</x:v>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resources;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x:v>
      </x:c>
      <x:c r="AG351" s="4" t="str">
        <x:v>Raw gathered/recovered craft input under the author T0 framework. This does not imply a naturally occurring pure metal.</x:v>
      </x:c>
      <x:c r="AH351" s="4" t="str">
        <x:v>Not applicable</x:v>
      </x:c>
      <x:c r="AI351" s="4" t="str">
        <x:v>Material</x:v>
      </x:c>
      <x:c r="AJ351" s="4" t="n">
        <x:f>COUNTIFS('Material routes'!$D$6:$D$1005,A351,'Material routes'!$C$6:$C$1005,"Output")</x:f>
        <x:v>0</x:v>
      </x:c>
      <x:c r="AK351" s="4" t="n">
        <x:f>SUM(COUNTIFS('Material routes'!$D$6:$D$1005,A351,'Material routes'!$C$6:$C$1005,"Ingredient candidate"),COUNTIFS('Material routes'!$D$6:$D$1005,A351,'Material routes'!$C$6:$C$1005,"Consumed input"),COUNTIFS('Material routes'!$D$6:$D$1005,A351,'Material routes'!$C$6:$C$1005,"Contained input"),COUNTIFS('Material routes'!$D$6:$D$1005,A351,'Material routes'!$C$6:$C$1005,"Transform input"))</x:f>
        <x:v>0</x:v>
      </x:c>
      <x:c r="AL351" s="4" t="n">
        <x:f>COUNTIFS('Material routes'!$D$6:$D$1005,A351,'Material routes'!$C$6:$C$1005,"Tool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str">
        <x:v>Resources</x:v>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resources;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x:v>
      </x:c>
      <x:c r="AG352" s="4" t="str">
        <x:v>Raw gathered/recovered craft input under the author T0 framework. This does not imply a naturally occurring pure metal.</x:v>
      </x:c>
      <x:c r="AH352" s="4" t="str">
        <x:v>Not applicable</x:v>
      </x:c>
      <x:c r="AI352" s="4" t="str">
        <x:v>Material</x:v>
      </x:c>
      <x:c r="AJ352" s="4" t="n">
        <x:f>COUNTIFS('Material routes'!$D$6:$D$1005,A352,'Material routes'!$C$6:$C$1005,"Output")</x:f>
        <x:v>0</x:v>
      </x:c>
      <x:c r="AK352" s="4" t="n">
        <x:f>SUM(COUNTIFS('Material routes'!$D$6:$D$1005,A352,'Material routes'!$C$6:$C$1005,"Ingredient candidate"),COUNTIFS('Material routes'!$D$6:$D$1005,A352,'Material routes'!$C$6:$C$1005,"Consumed input"),COUNTIFS('Material routes'!$D$6:$D$1005,A352,'Material routes'!$C$6:$C$1005,"Contained input"),COUNTIFS('Material routes'!$D$6:$D$1005,A352,'Material routes'!$C$6:$C$1005,"Transform input"))</x:f>
        <x:v>0</x:v>
      </x:c>
      <x:c r="AL352" s="4" t="n">
        <x:f>COUNTIFS('Material routes'!$D$6:$D$1005,A352,'Material routes'!$C$6:$C$1005,"Tool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str">
        <x:v>Resources</x:v>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resources;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x:v>
      </x:c>
      <x:c r="AG353" s="4" t="str">
        <x:v>Raw gathered/recovered craft input under the author T0 framework. This does not imply a naturally occurring pure metal.</x:v>
      </x:c>
      <x:c r="AH353" s="4" t="str">
        <x:v>Not applicable</x:v>
      </x:c>
      <x:c r="AI353" s="4" t="str">
        <x:v>Material</x:v>
      </x:c>
      <x:c r="AJ353" s="4" t="n">
        <x:f>COUNTIFS('Material routes'!$D$6:$D$1005,A353,'Material routes'!$C$6:$C$1005,"Output")</x:f>
        <x:v>0</x:v>
      </x:c>
      <x:c r="AK353" s="4" t="n">
        <x:f>SUM(COUNTIFS('Material routes'!$D$6:$D$1005,A353,'Material routes'!$C$6:$C$1005,"Ingredient candidate"),COUNTIFS('Material routes'!$D$6:$D$1005,A353,'Material routes'!$C$6:$C$1005,"Consumed input"),COUNTIFS('Material routes'!$D$6:$D$1005,A353,'Material routes'!$C$6:$C$1005,"Contained input"),COUNTIFS('Material routes'!$D$6:$D$1005,A353,'Material routes'!$C$6:$C$1005,"Transform input"))</x:f>
        <x:v>0</x:v>
      </x:c>
      <x:c r="AL353" s="4" t="n">
        <x:f>COUNTIFS('Material routes'!$D$6:$D$1005,A353,'Material routes'!$C$6:$C$1005,"Tool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str">
        <x:v>Resources</x:v>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resources;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x:v>
      </x:c>
      <x:c r="AG354" s="4" t="str">
        <x:v>Raw gathered/recovered craft input under the author T0 framework. This does not imply a naturally occurring pure metal.</x:v>
      </x:c>
      <x:c r="AH354" s="4" t="str">
        <x:v>Not applicable</x:v>
      </x:c>
      <x:c r="AI354" s="4" t="str">
        <x:v>Material</x:v>
      </x:c>
      <x:c r="AJ354" s="4" t="n">
        <x:f>COUNTIFS('Material routes'!$D$6:$D$1005,A354,'Material routes'!$C$6:$C$1005,"Output")</x:f>
        <x:v>0</x:v>
      </x:c>
      <x:c r="AK354" s="4" t="n">
        <x:f>SUM(COUNTIFS('Material routes'!$D$6:$D$1005,A354,'Material routes'!$C$6:$C$1005,"Ingredient candidate"),COUNTIFS('Material routes'!$D$6:$D$1005,A354,'Material routes'!$C$6:$C$1005,"Consumed input"),COUNTIFS('Material routes'!$D$6:$D$1005,A354,'Material routes'!$C$6:$C$1005,"Contained input"),COUNTIFS('Material routes'!$D$6:$D$1005,A354,'Material routes'!$C$6:$C$1005,"Transform input"))</x:f>
        <x:v>0</x:v>
      </x:c>
      <x:c r="AL354" s="4" t="n">
        <x:f>COUNTIFS('Material routes'!$D$6:$D$1005,A354,'Material routes'!$C$6:$C$1005,"Tool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str">
        <x:v>Resources</x:v>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resources;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x:v>
      </x:c>
      <x:c r="AG355" s="4" t="str">
        <x:v>Raw gathered/recovered craft input under the author T0 framework. This does not imply a naturally occurring pure metal.</x:v>
      </x:c>
      <x:c r="AH355" s="4" t="str">
        <x:v>Not applicable</x:v>
      </x:c>
      <x:c r="AI355" s="4" t="str">
        <x:v>Material</x:v>
      </x:c>
      <x:c r="AJ355" s="4" t="n">
        <x:f>COUNTIFS('Material routes'!$D$6:$D$1005,A355,'Material routes'!$C$6:$C$1005,"Output")</x:f>
        <x:v>0</x:v>
      </x:c>
      <x:c r="AK355" s="4" t="n">
        <x:f>SUM(COUNTIFS('Material routes'!$D$6:$D$1005,A355,'Material routes'!$C$6:$C$1005,"Ingredient candidate"),COUNTIFS('Material routes'!$D$6:$D$1005,A355,'Material routes'!$C$6:$C$1005,"Consumed input"),COUNTIFS('Material routes'!$D$6:$D$1005,A355,'Material routes'!$C$6:$C$1005,"Contained input"),COUNTIFS('Material routes'!$D$6:$D$1005,A355,'Material routes'!$C$6:$C$1005,"Transform input"))</x:f>
        <x:v>0</x:v>
      </x:c>
      <x:c r="AL355" s="4" t="n">
        <x:f>COUNTIFS('Material routes'!$D$6:$D$1005,A355,'Material routes'!$C$6:$C$1005,"Tool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str">
        <x:v>Resources</x:v>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resources;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x:v>
      </x:c>
      <x:c r="AG356" s="4" t="str">
        <x:v>Raw gathered/recovered craft input under the author T0 framework. This does not imply a naturally occurring pure metal.</x:v>
      </x:c>
      <x:c r="AH356" s="4" t="str">
        <x:v>Not applicable</x:v>
      </x:c>
      <x:c r="AI356" s="4" t="str">
        <x:v>Material</x:v>
      </x:c>
      <x:c r="AJ356" s="4" t="n">
        <x:f>COUNTIFS('Material routes'!$D$6:$D$1005,A356,'Material routes'!$C$6:$C$1005,"Output")</x:f>
        <x:v>0</x:v>
      </x:c>
      <x:c r="AK356" s="4" t="n">
        <x:f>SUM(COUNTIFS('Material routes'!$D$6:$D$1005,A356,'Material routes'!$C$6:$C$1005,"Ingredient candidate"),COUNTIFS('Material routes'!$D$6:$D$1005,A356,'Material routes'!$C$6:$C$1005,"Consumed input"),COUNTIFS('Material routes'!$D$6:$D$1005,A356,'Material routes'!$C$6:$C$1005,"Contained input"),COUNTIFS('Material routes'!$D$6:$D$1005,A356,'Material routes'!$C$6:$C$1005,"Transform input"))</x:f>
        <x:v>0</x:v>
      </x:c>
      <x:c r="AL356" s="4" t="n">
        <x:f>COUNTIFS('Material routes'!$D$6:$D$1005,A356,'Material routes'!$C$6:$C$1005,"Tool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str">
        <x:v>Resources</x:v>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resources;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x:v>
      </x:c>
      <x:c r="AG357" s="4" t="str">
        <x:v>Raw gathered/recovered craft input under the author T0 framework. This does not imply a naturally occurring pure metal.</x:v>
      </x:c>
      <x:c r="AH357" s="4" t="str">
        <x:v>Not applicable</x:v>
      </x:c>
      <x:c r="AI357" s="4" t="str">
        <x:v>Material</x:v>
      </x:c>
      <x:c r="AJ357" s="4" t="n">
        <x:f>COUNTIFS('Material routes'!$D$6:$D$1005,A357,'Material routes'!$C$6:$C$1005,"Output")</x:f>
        <x:v>0</x:v>
      </x:c>
      <x:c r="AK357" s="4" t="n">
        <x:f>SUM(COUNTIFS('Material routes'!$D$6:$D$1005,A357,'Material routes'!$C$6:$C$1005,"Ingredient candidate"),COUNTIFS('Material routes'!$D$6:$D$1005,A357,'Material routes'!$C$6:$C$1005,"Consumed input"),COUNTIFS('Material routes'!$D$6:$D$1005,A357,'Material routes'!$C$6:$C$1005,"Contained input"),COUNTIFS('Material routes'!$D$6:$D$1005,A357,'Material routes'!$C$6:$C$1005,"Transform input"))</x:f>
        <x:v>0</x:v>
      </x:c>
      <x:c r="AL357" s="4" t="n">
        <x:f>COUNTIFS('Material routes'!$D$6:$D$1005,A357,'Material routes'!$C$6:$C$1005,"Tool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str">
        <x:v>Resources</x:v>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resources;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x:v>
      </x:c>
      <x:c r="AG358" s="4" t="str">
        <x:v>Raw gathered/recovered craft input under the author T0 framework. This does not imply a naturally occurring pure metal.</x:v>
      </x:c>
      <x:c r="AH358" s="4" t="str">
        <x:v>Not applicable</x:v>
      </x:c>
      <x:c r="AI358" s="4" t="str">
        <x:v>Material</x:v>
      </x:c>
      <x:c r="AJ358" s="4" t="n">
        <x:f>COUNTIFS('Material routes'!$D$6:$D$1005,A358,'Material routes'!$C$6:$C$1005,"Output")</x:f>
        <x:v>0</x:v>
      </x:c>
      <x:c r="AK358" s="4" t="n">
        <x:f>SUM(COUNTIFS('Material routes'!$D$6:$D$1005,A358,'Material routes'!$C$6:$C$1005,"Ingredient candidate"),COUNTIFS('Material routes'!$D$6:$D$1005,A358,'Material routes'!$C$6:$C$1005,"Consumed input"),COUNTIFS('Material routes'!$D$6:$D$1005,A358,'Material routes'!$C$6:$C$1005,"Contained input"),COUNTIFS('Material routes'!$D$6:$D$1005,A358,'Material routes'!$C$6:$C$1005,"Transform input"))</x:f>
        <x:v>0</x:v>
      </x:c>
      <x:c r="AL358" s="4" t="n">
        <x:f>COUNTIFS('Material routes'!$D$6:$D$1005,A358,'Material routes'!$C$6:$C$1005,"Tool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Resources</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resources; tier 1 material concept; processed material; processed intermediate; geological; metal refining; metal; solid piece; proposal; fabrication; t1; not applicable; material</x:v>
      </x:c>
      <x:c r="AF359" s="4" t="str">
        <x:v>First-stage refinement proposal. Source material/cultural records remain proposal-stage.</x:v>
      </x:c>
      <x:c r="AG359" s="4" t="str">
        <x:v>Proposed game manufacturing tier from the candidate routes. Integrated operations may contain many work steps.</x:v>
      </x:c>
      <x:c r="AH359" s="4" t="str">
        <x:v>Not applicable</x:v>
      </x:c>
      <x:c r="AI359" s="4" t="str">
        <x:v>Material</x:v>
      </x:c>
      <x:c r="AJ359" s="4" t="n">
        <x:f>COUNTIFS('Material routes'!$D$6:$D$1005,A359,'Material routes'!$C$6:$C$1005,"Output")</x:f>
        <x:v>1</x:v>
      </x:c>
      <x:c r="AK359" s="4" t="n">
        <x:f>SUM(COUNTIFS('Material routes'!$D$6:$D$1005,A359,'Material routes'!$C$6:$C$1005,"Ingredient candidate"),COUNTIFS('Material routes'!$D$6:$D$1005,A359,'Material routes'!$C$6:$C$1005,"Consumed input"),COUNTIFS('Material routes'!$D$6:$D$1005,A359,'Material routes'!$C$6:$C$1005,"Contained input"),COUNTIFS('Material routes'!$D$6:$D$1005,A359,'Material routes'!$C$6:$C$1005,"Transform input"))</x:f>
        <x:v>2</x:v>
      </x:c>
      <x:c r="AL359" s="4" t="n">
        <x:f>COUNTIFS('Material routes'!$D$6:$D$1005,A359,'Material routes'!$C$6:$C$1005,"Tool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Resources</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resources; tier 1 material concept; processed material; processed intermediate; geological; electrical conduction; metal; solid piece; proposal; fabrication; t1; not applicable; material</x:v>
      </x:c>
      <x:c r="AF360" s="4" t="str">
        <x:v>First-stage refinement proposal. Source material/cultural records remain proposal-stage.</x:v>
      </x:c>
      <x:c r="AG360" s="4" t="str">
        <x:v>Proposed game manufacturing tier from the candidate routes. Integrated operations may contain many work steps.</x:v>
      </x:c>
      <x:c r="AH360" s="4" t="str">
        <x:v>Not applicable</x:v>
      </x:c>
      <x:c r="AI360" s="4" t="str">
        <x:v>Material</x:v>
      </x:c>
      <x:c r="AJ360" s="4" t="n">
        <x:f>COUNTIFS('Material routes'!$D$6:$D$1005,A360,'Material routes'!$C$6:$C$1005,"Output")</x:f>
        <x:v>1</x:v>
      </x:c>
      <x:c r="AK360" s="4" t="n">
        <x:f>SUM(COUNTIFS('Material routes'!$D$6:$D$1005,A360,'Material routes'!$C$6:$C$1005,"Ingredient candidate"),COUNTIFS('Material routes'!$D$6:$D$1005,A360,'Material routes'!$C$6:$C$1005,"Consumed input"),COUNTIFS('Material routes'!$D$6:$D$1005,A360,'Material routes'!$C$6:$C$1005,"Contained input"),COUNTIFS('Material routes'!$D$6:$D$1005,A360,'Material routes'!$C$6:$C$1005,"Transform input"))</x:f>
        <x:v>1</x:v>
      </x:c>
      <x:c r="AL360" s="4" t="n">
        <x:f>COUNTIFS('Material routes'!$D$6:$D$1005,A360,'Material routes'!$C$6:$C$1005,"Tool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Resources</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resources; tier 1 material concept; processed material; processed intermediate; industrial salvage; fabrication; metal; solid piece; proposal; ; t1; not applicable; material</x:v>
      </x:c>
      <x:c r="AF361" s="4" t="str">
        <x:v>First-stage refinement proposal. Source material/cultural records remain proposal-stage.</x:v>
      </x:c>
      <x:c r="AG361" s="4" t="str">
        <x:v>Proposed game manufacturing tier from the candidate routes. Integrated operations may contain many work steps.</x:v>
      </x:c>
      <x:c r="AH361" s="4" t="str">
        <x:v>Not applicable</x:v>
      </x:c>
      <x:c r="AI361" s="4" t="str">
        <x:v>Material</x:v>
      </x:c>
      <x:c r="AJ361" s="4" t="n">
        <x:f>COUNTIFS('Material routes'!$D$6:$D$1005,A361,'Material routes'!$C$6:$C$1005,"Output")</x:f>
        <x:v>1</x:v>
      </x:c>
      <x:c r="AK361" s="4" t="n">
        <x:f>SUM(COUNTIFS('Material routes'!$D$6:$D$1005,A361,'Material routes'!$C$6:$C$1005,"Ingredient candidate"),COUNTIFS('Material routes'!$D$6:$D$1005,A361,'Material routes'!$C$6:$C$1005,"Consumed input"),COUNTIFS('Material routes'!$D$6:$D$1005,A361,'Material routes'!$C$6:$C$1005,"Contained input"),COUNTIFS('Material routes'!$D$6:$D$1005,A361,'Material routes'!$C$6:$C$1005,"Transform input"))</x:f>
        <x:v>0</x:v>
      </x:c>
      <x:c r="AL361" s="4" t="n">
        <x:f>COUNTIFS('Material routes'!$D$6:$D$1005,A361,'Material routes'!$C$6:$C$1005,"Tool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Resources</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resources; tier 1 material concept; processed material; processed intermediate; industrial salvage; fabrication; metal; solid piece; proposal; ; t1; not applicable; material</x:v>
      </x:c>
      <x:c r="AF362" s="4" t="str">
        <x:v>First-stage refinement proposal. Source material/cultural records remain proposal-stage.</x:v>
      </x:c>
      <x:c r="AG362" s="4" t="str">
        <x:v>Proposed game manufacturing tier from the candidate routes. Integrated operations may contain many work steps.</x:v>
      </x:c>
      <x:c r="AH362" s="4" t="str">
        <x:v>Not applicable</x:v>
      </x:c>
      <x:c r="AI362" s="4" t="str">
        <x:v>Material</x:v>
      </x:c>
      <x:c r="AJ362" s="4" t="n">
        <x:f>COUNTIFS('Material routes'!$D$6:$D$1005,A362,'Material routes'!$C$6:$C$1005,"Output")</x:f>
        <x:v>1</x:v>
      </x:c>
      <x:c r="AK362" s="4" t="n">
        <x:f>SUM(COUNTIFS('Material routes'!$D$6:$D$1005,A362,'Material routes'!$C$6:$C$1005,"Ingredient candidate"),COUNTIFS('Material routes'!$D$6:$D$1005,A362,'Material routes'!$C$6:$C$1005,"Consumed input"),COUNTIFS('Material routes'!$D$6:$D$1005,A362,'Material routes'!$C$6:$C$1005,"Contained input"),COUNTIFS('Material routes'!$D$6:$D$1005,A362,'Material routes'!$C$6:$C$1005,"Transform input"))</x:f>
        <x:v>1</x:v>
      </x:c>
      <x:c r="AL362" s="4" t="n">
        <x:f>COUNTIFS('Material routes'!$D$6:$D$1005,A362,'Material routes'!$C$6:$C$1005,"Tool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Resources</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resources; tier 1 material concept; processed material; processed intermediate; geological; glass and ceramics; glass; solid piece; proposal; fabrication; t1; not applicable; material</x:v>
      </x:c>
      <x:c r="AF363" s="4" t="str">
        <x:v>First-stage refinement proposal. Source material/cultural records remain proposal-stage.</x:v>
      </x:c>
      <x:c r="AG363" s="4" t="str">
        <x:v>Proposed game manufacturing tier from the candidate routes. Integrated operations may contain many work steps.</x:v>
      </x:c>
      <x:c r="AH363" s="4" t="str">
        <x:v>Not applicable</x:v>
      </x:c>
      <x:c r="AI363" s="4" t="str">
        <x:v>Material</x:v>
      </x:c>
      <x:c r="AJ363" s="4" t="n">
        <x:f>COUNTIFS('Material routes'!$D$6:$D$1005,A363,'Material routes'!$C$6:$C$1005,"Output")</x:f>
        <x:v>1</x:v>
      </x:c>
      <x:c r="AK363" s="4" t="n">
        <x:f>SUM(COUNTIFS('Material routes'!$D$6:$D$1005,A363,'Material routes'!$C$6:$C$1005,"Ingredient candidate"),COUNTIFS('Material routes'!$D$6:$D$1005,A363,'Material routes'!$C$6:$C$1005,"Consumed input"),COUNTIFS('Material routes'!$D$6:$D$1005,A363,'Material routes'!$C$6:$C$1005,"Contained input"),COUNTIFS('Material routes'!$D$6:$D$1005,A363,'Material routes'!$C$6:$C$1005,"Transform input"))</x:f>
        <x:v>1</x:v>
      </x:c>
      <x:c r="AL363" s="4" t="n">
        <x:f>COUNTIFS('Material routes'!$D$6:$D$1005,A363,'Material routes'!$C$6:$C$1005,"Tool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Resources</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resources; tier 1 material concept; processed material; processed intermediate; geological; inspection; glass; solid piece; proposal; glass and ceramics; t1; not applicable; material</x:v>
      </x:c>
      <x:c r="AF364" s="4" t="str">
        <x:v>First-stage refinement proposal. Source material/cultural records remain proposal-stage.</x:v>
      </x:c>
      <x:c r="AG364" s="4" t="str">
        <x:v>Proposed game manufacturing tier from the candidate routes. Integrated operations may contain many work steps.</x:v>
      </x:c>
      <x:c r="AH364" s="4" t="str">
        <x:v>Not applicable</x:v>
      </x:c>
      <x:c r="AI364" s="4" t="str">
        <x:v>Material</x:v>
      </x:c>
      <x:c r="AJ364" s="4" t="n">
        <x:f>COUNTIFS('Material routes'!$D$6:$D$1005,A364,'Material routes'!$C$6:$C$1005,"Output")</x:f>
        <x:v>1</x:v>
      </x:c>
      <x:c r="AK364" s="4" t="n">
        <x:f>SUM(COUNTIFS('Material routes'!$D$6:$D$1005,A364,'Material routes'!$C$6:$C$1005,"Ingredient candidate"),COUNTIFS('Material routes'!$D$6:$D$1005,A364,'Material routes'!$C$6:$C$1005,"Consumed input"),COUNTIFS('Material routes'!$D$6:$D$1005,A364,'Material routes'!$C$6:$C$1005,"Contained input"),COUNTIFS('Material routes'!$D$6:$D$1005,A364,'Material routes'!$C$6:$C$1005,"Transform input"))</x:f>
        <x:v>1</x:v>
      </x:c>
      <x:c r="AL364" s="4" t="n">
        <x:f>COUNTIFS('Material routes'!$D$6:$D$1005,A364,'Material routes'!$C$6:$C$1005,"Tool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Resources</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resources; tier 1 material concept; processed material; processed intermediate; geological; binding and construction; mineral; solid piece; proposal; fabrication; t1; not applicable; material</x:v>
      </x:c>
      <x:c r="AF365" s="4" t="str">
        <x:v>First-stage refinement proposal. Source material/cultural records remain proposal-stage.</x:v>
      </x:c>
      <x:c r="AG365" s="4" t="str">
        <x:v>Proposed game manufacturing tier from the candidate routes. Integrated operations may contain many work steps.</x:v>
      </x:c>
      <x:c r="AH365" s="4" t="str">
        <x:v>Not applicable</x:v>
      </x:c>
      <x:c r="AI365" s="4" t="str">
        <x:v>Material</x:v>
      </x:c>
      <x:c r="AJ365" s="4" t="n">
        <x:f>COUNTIFS('Material routes'!$D$6:$D$1005,A365,'Material routes'!$C$6:$C$1005,"Output")</x:f>
        <x:v>1</x:v>
      </x:c>
      <x:c r="AK365" s="4" t="n">
        <x:f>SUM(COUNTIFS('Material routes'!$D$6:$D$1005,A365,'Material routes'!$C$6:$C$1005,"Ingredient candidate"),COUNTIFS('Material routes'!$D$6:$D$1005,A365,'Material routes'!$C$6:$C$1005,"Consumed input"),COUNTIFS('Material routes'!$D$6:$D$1005,A365,'Material routes'!$C$6:$C$1005,"Contained input"),COUNTIFS('Material routes'!$D$6:$D$1005,A365,'Material routes'!$C$6:$C$1005,"Transform input"))</x:f>
        <x:v>0</x:v>
      </x:c>
      <x:c r="AL365" s="4" t="n">
        <x:f>COUNTIFS('Material routes'!$D$6:$D$1005,A365,'Material routes'!$C$6:$C$1005,"Tool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Resources</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resources; tier 1 material concept; processed material; processed intermediate; geological; music; mineral; solid piece; proposal; fabrication; t1; not applicable; material</x:v>
      </x:c>
      <x:c r="AF366" s="4" t="str">
        <x:v>First-stage refinement proposal. Source material/cultural records remain proposal-stage.</x:v>
      </x:c>
      <x:c r="AG366" s="4" t="str">
        <x:v>Proposed game manufacturing tier from the candidate routes. Integrated operations may contain many work steps.</x:v>
      </x:c>
      <x:c r="AH366" s="4" t="str">
        <x:v>Not applicable</x:v>
      </x:c>
      <x:c r="AI366" s="4" t="str">
        <x:v>Material</x:v>
      </x:c>
      <x:c r="AJ366" s="4" t="n">
        <x:f>COUNTIFS('Material routes'!$D$6:$D$1005,A366,'Material routes'!$C$6:$C$1005,"Output")</x:f>
        <x:v>1</x:v>
      </x:c>
      <x:c r="AK366" s="4" t="n">
        <x:f>SUM(COUNTIFS('Material routes'!$D$6:$D$1005,A366,'Material routes'!$C$6:$C$1005,"Ingredient candidate"),COUNTIFS('Material routes'!$D$6:$D$1005,A366,'Material routes'!$C$6:$C$1005,"Consumed input"),COUNTIFS('Material routes'!$D$6:$D$1005,A366,'Material routes'!$C$6:$C$1005,"Contained input"),COUNTIFS('Material routes'!$D$6:$D$1005,A366,'Material routes'!$C$6:$C$1005,"Transform input"))</x:f>
        <x:v>1</x:v>
      </x:c>
      <x:c r="AL366" s="4" t="n">
        <x:f>COUNTIFS('Material routes'!$D$6:$D$1005,A366,'Material routes'!$C$6:$C$1005,"Tool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Resources</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resources; tier 1 material concept; processed material; processed intermediate; geological; decoration; mineral; particles; proposal; writing and records; t1; not applicable; material</x:v>
      </x:c>
      <x:c r="AF367" s="4" t="str">
        <x:v>First-stage refinement proposal. Source material/cultural records remain proposal-stage.</x:v>
      </x:c>
      <x:c r="AG367" s="4" t="str">
        <x:v>Proposed game manufacturing tier from the candidate routes. Integrated operations may contain many work steps.</x:v>
      </x:c>
      <x:c r="AH367" s="4" t="str">
        <x:v>Not applicable</x:v>
      </x:c>
      <x:c r="AI367" s="4" t="str">
        <x:v>Material</x:v>
      </x:c>
      <x:c r="AJ367" s="4" t="n">
        <x:f>COUNTIFS('Material routes'!$D$6:$D$1005,A367,'Material routes'!$C$6:$C$1005,"Output")</x:f>
        <x:v>1</x:v>
      </x:c>
      <x:c r="AK367" s="4" t="n">
        <x:f>SUM(COUNTIFS('Material routes'!$D$6:$D$1005,A367,'Material routes'!$C$6:$C$1005,"Ingredient candidate"),COUNTIFS('Material routes'!$D$6:$D$1005,A367,'Material routes'!$C$6:$C$1005,"Consumed input"),COUNTIFS('Material routes'!$D$6:$D$1005,A367,'Material routes'!$C$6:$C$1005,"Contained input"),COUNTIFS('Material routes'!$D$6:$D$1005,A367,'Material routes'!$C$6:$C$1005,"Transform input"))</x:f>
        <x:v>1</x:v>
      </x:c>
      <x:c r="AL367" s="4" t="n">
        <x:f>COUNTIFS('Material routes'!$D$6:$D$1005,A367,'Material routes'!$C$6:$C$1005,"Tool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Resources</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resources; tier 1 material concept; processed material; processed intermediate; geological; binding and construction; mineral; particles; proposal; fabrication; t1; not applicable; material</x:v>
      </x:c>
      <x:c r="AF368" s="4" t="str">
        <x:v>First-stage refinement proposal. Source material/cultural records remain proposal-stage.</x:v>
      </x:c>
      <x:c r="AG368" s="4" t="str">
        <x:v>Proposed game manufacturing tier from the candidate routes. Integrated operations may contain many work steps.</x:v>
      </x:c>
      <x:c r="AH368" s="4" t="str">
        <x:v>Not applicable</x:v>
      </x:c>
      <x:c r="AI368" s="4" t="str">
        <x:v>Material</x:v>
      </x:c>
      <x:c r="AJ368" s="4" t="n">
        <x:f>COUNTIFS('Material routes'!$D$6:$D$1005,A368,'Material routes'!$C$6:$C$1005,"Output")</x:f>
        <x:v>1</x:v>
      </x:c>
      <x:c r="AK368" s="4" t="n">
        <x:f>SUM(COUNTIFS('Material routes'!$D$6:$D$1005,A368,'Material routes'!$C$6:$C$1005,"Ingredient candidate"),COUNTIFS('Material routes'!$D$6:$D$1005,A368,'Material routes'!$C$6:$C$1005,"Consumed input"),COUNTIFS('Material routes'!$D$6:$D$1005,A368,'Material routes'!$C$6:$C$1005,"Contained input"),COUNTIFS('Material routes'!$D$6:$D$1005,A368,'Material routes'!$C$6:$C$1005,"Transform input"))</x:f>
        <x:v>2</x:v>
      </x:c>
      <x:c r="AL368" s="4" t="n">
        <x:f>COUNTIFS('Material routes'!$D$6:$D$1005,A368,'Material routes'!$C$6:$C$1005,"Tool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Resources</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resources; tier 1 material concept; processed material; processed intermediate; industrial salvage; glass and ceramics; glass; particles; proposal; ; t1; not applicable; material</x:v>
      </x:c>
      <x:c r="AF369" s="4" t="str">
        <x:v>First-stage refinement proposal. Source material/cultural records remain proposal-stage.</x:v>
      </x:c>
      <x:c r="AG369" s="4" t="str">
        <x:v>Proposed game manufacturing tier from the candidate routes. Integrated operations may contain many work steps.</x:v>
      </x:c>
      <x:c r="AH369" s="4" t="str">
        <x:v>Not applicable</x:v>
      </x:c>
      <x:c r="AI369" s="4" t="str">
        <x:v>Material</x:v>
      </x:c>
      <x:c r="AJ369" s="4" t="n">
        <x:f>COUNTIFS('Material routes'!$D$6:$D$1005,A369,'Material routes'!$C$6:$C$1005,"Output")</x:f>
        <x:v>1</x:v>
      </x:c>
      <x:c r="AK369" s="4" t="n">
        <x:f>SUM(COUNTIFS('Material routes'!$D$6:$D$1005,A369,'Material routes'!$C$6:$C$1005,"Ingredient candidate"),COUNTIFS('Material routes'!$D$6:$D$1005,A369,'Material routes'!$C$6:$C$1005,"Consumed input"),COUNTIFS('Material routes'!$D$6:$D$1005,A369,'Material routes'!$C$6:$C$1005,"Contained input"),COUNTIFS('Material routes'!$D$6:$D$1005,A369,'Material routes'!$C$6:$C$1005,"Transform input"))</x:f>
        <x:v>0</x:v>
      </x:c>
      <x:c r="AL369" s="4" t="n">
        <x:f>COUNTIFS('Material routes'!$D$6:$D$1005,A369,'Material routes'!$C$6:$C$1005,"Tool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Resources</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resources; tier 1 material concept; processed material; processed intermediate; geological; fabrication; mineral; particles; proposal; decoration; t1; not applicable; material</x:v>
      </x:c>
      <x:c r="AF370" s="4" t="str">
        <x:v>First-stage refinement proposal. Source material/cultural records remain proposal-stage.</x:v>
      </x:c>
      <x:c r="AG370" s="4" t="str">
        <x:v>Proposed game manufacturing tier from the candidate routes. Integrated operations may contain many work steps.</x:v>
      </x:c>
      <x:c r="AH370" s="4" t="str">
        <x:v>Not applicable</x:v>
      </x:c>
      <x:c r="AI370" s="4" t="str">
        <x:v>Material</x:v>
      </x:c>
      <x:c r="AJ370" s="4" t="n">
        <x:f>COUNTIFS('Material routes'!$D$6:$D$1005,A370,'Material routes'!$C$6:$C$1005,"Output")</x:f>
        <x:v>1</x:v>
      </x:c>
      <x:c r="AK370" s="4" t="n">
        <x:f>SUM(COUNTIFS('Material routes'!$D$6:$D$1005,A370,'Material routes'!$C$6:$C$1005,"Ingredient candidate"),COUNTIFS('Material routes'!$D$6:$D$1005,A370,'Material routes'!$C$6:$C$1005,"Consumed input"),COUNTIFS('Material routes'!$D$6:$D$1005,A370,'Material routes'!$C$6:$C$1005,"Contained input"),COUNTIFS('Material routes'!$D$6:$D$1005,A370,'Material routes'!$C$6:$C$1005,"Transform input"))</x:f>
        <x:v>1</x:v>
      </x:c>
      <x:c r="AL370" s="4" t="n">
        <x:f>COUNTIFS('Material routes'!$D$6:$D$1005,A370,'Material routes'!$C$6:$C$1005,"Tool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Resources</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resources; tier 1 material concept; processed material; processed intermediate; fauna; paper making; husk fiber; unresolved; proposal; textile processing; t1; not applicable; material</x:v>
      </x:c>
      <x:c r="AF371" s="4" t="str">
        <x:v>First-stage refinement proposal. Source material/cultural records remain proposal-stage.</x:v>
      </x:c>
      <x:c r="AG371" s="4" t="str">
        <x:v>Proposed game manufacturing tier from the candidate routes. Integrated operations may contain many work steps.</x:v>
      </x:c>
      <x:c r="AH371" s="4" t="str">
        <x:v>Not applicable</x:v>
      </x:c>
      <x:c r="AI371" s="4" t="str">
        <x:v>Material</x:v>
      </x:c>
      <x:c r="AJ371" s="4" t="n">
        <x:f>COUNTIFS('Material routes'!$D$6:$D$1005,A371,'Material routes'!$C$6:$C$1005,"Output")</x:f>
        <x:v>1</x:v>
      </x:c>
      <x:c r="AK371" s="4" t="n">
        <x:f>SUM(COUNTIFS('Material routes'!$D$6:$D$1005,A371,'Material routes'!$C$6:$C$1005,"Ingredient candidate"),COUNTIFS('Material routes'!$D$6:$D$1005,A371,'Material routes'!$C$6:$C$1005,"Consumed input"),COUNTIFS('Material routes'!$D$6:$D$1005,A371,'Material routes'!$C$6:$C$1005,"Contained input"),COUNTIFS('Material routes'!$D$6:$D$1005,A371,'Material routes'!$C$6:$C$1005,"Transform input"))</x:f>
        <x:v>1</x:v>
      </x:c>
      <x:c r="AL371" s="4" t="n">
        <x:f>COUNTIFS('Material routes'!$D$6:$D$1005,A371,'Material routes'!$C$6:$C$1005,"Tool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Resources</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resources; tier 1 material concept; processed material; processed intermediate; fauna; dust exclusion; faunal fiber; bundle; proposal; ; t1; not applicable; material</x:v>
      </x:c>
      <x:c r="AF372" s="4" t="str">
        <x:v>First-stage refinement proposal. Source material/cultural records remain proposal-stage.</x:v>
      </x:c>
      <x:c r="AG372" s="4" t="str">
        <x:v>Proposed game manufacturing tier from the candidate routes. Integrated operations may contain many work steps.</x:v>
      </x:c>
      <x:c r="AH372" s="4" t="str">
        <x:v>Not applicable</x:v>
      </x:c>
      <x:c r="AI372" s="4" t="str">
        <x:v>Material</x:v>
      </x:c>
      <x:c r="AJ372" s="4" t="n">
        <x:f>COUNTIFS('Material routes'!$D$6:$D$1005,A372,'Material routes'!$C$6:$C$1005,"Output")</x:f>
        <x:v>1</x:v>
      </x:c>
      <x:c r="AK372" s="4" t="n">
        <x:f>SUM(COUNTIFS('Material routes'!$D$6:$D$1005,A372,'Material routes'!$C$6:$C$1005,"Ingredient candidate"),COUNTIFS('Material routes'!$D$6:$D$1005,A372,'Material routes'!$C$6:$C$1005,"Consumed input"),COUNTIFS('Material routes'!$D$6:$D$1005,A372,'Material routes'!$C$6:$C$1005,"Contained input"),COUNTIFS('Material routes'!$D$6:$D$1005,A372,'Material routes'!$C$6:$C$1005,"Transform input"))</x:f>
        <x:v>0</x:v>
      </x:c>
      <x:c r="AL372" s="4" t="n">
        <x:f>COUNTIFS('Material routes'!$D$6:$D$1005,A372,'Material routes'!$C$6:$C$1005,"Tool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Resources</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resources; tier 1 material concept; processed material; processed intermediate; fauna; protective fabrication; shell / chitin; sheet; proposal; fabrication; t1; not applicable; material</x:v>
      </x:c>
      <x:c r="AF373" s="4" t="str">
        <x:v>First-stage refinement proposal. Source material/cultural records remain proposal-stage.</x:v>
      </x:c>
      <x:c r="AG373" s="4" t="str">
        <x:v>Proposed game manufacturing tier from the candidate routes. Integrated operations may contain many work steps.</x:v>
      </x:c>
      <x:c r="AH373" s="4" t="str">
        <x:v>Not applicable</x:v>
      </x:c>
      <x:c r="AI373" s="4" t="str">
        <x:v>Material</x:v>
      </x:c>
      <x:c r="AJ373" s="4" t="n">
        <x:f>COUNTIFS('Material routes'!$D$6:$D$1005,A373,'Material routes'!$C$6:$C$1005,"Output")</x:f>
        <x:v>1</x:v>
      </x:c>
      <x:c r="AK373" s="4" t="n">
        <x:f>SUM(COUNTIFS('Material routes'!$D$6:$D$1005,A373,'Material routes'!$C$6:$C$1005,"Ingredient candidate"),COUNTIFS('Material routes'!$D$6:$D$1005,A373,'Material routes'!$C$6:$C$1005,"Consumed input"),COUNTIFS('Material routes'!$D$6:$D$1005,A373,'Material routes'!$C$6:$C$1005,"Contained input"),COUNTIFS('Material routes'!$D$6:$D$1005,A373,'Material routes'!$C$6:$C$1005,"Transform input"))</x:f>
        <x:v>1</x:v>
      </x:c>
      <x:c r="AL373" s="4" t="n">
        <x:f>COUNTIFS('Material routes'!$D$6:$D$1005,A373,'Material routes'!$C$6:$C$1005,"Tool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Resources</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resources; tier 1 material concept; processed material; processed intermediate; fauna; tool fabrication; faunal hard tissue; solid piece; proposal; ; t1; not applicable; material</x:v>
      </x:c>
      <x:c r="AF374" s="4" t="str">
        <x:v>First-stage refinement proposal. Source material/cultural records remain proposal-stage.</x:v>
      </x:c>
      <x:c r="AG374" s="4" t="str">
        <x:v>Proposed game manufacturing tier from the candidate routes. Integrated operations may contain many work steps.</x:v>
      </x:c>
      <x:c r="AH374" s="4" t="str">
        <x:v>Not applicable</x:v>
      </x:c>
      <x:c r="AI374" s="4" t="str">
        <x:v>Material</x:v>
      </x:c>
      <x:c r="AJ374" s="4" t="n">
        <x:f>COUNTIFS('Material routes'!$D$6:$D$1005,A374,'Material routes'!$C$6:$C$1005,"Output")</x:f>
        <x:v>1</x:v>
      </x:c>
      <x:c r="AK374" s="4" t="n">
        <x:f>SUM(COUNTIFS('Material routes'!$D$6:$D$1005,A374,'Material routes'!$C$6:$C$1005,"Ingredient candidate"),COUNTIFS('Material routes'!$D$6:$D$1005,A374,'Material routes'!$C$6:$C$1005,"Consumed input"),COUNTIFS('Material routes'!$D$6:$D$1005,A374,'Material routes'!$C$6:$C$1005,"Contained input"),COUNTIFS('Material routes'!$D$6:$D$1005,A374,'Material routes'!$C$6:$C$1005,"Transform input"))</x:f>
        <x:v>0</x:v>
      </x:c>
      <x:c r="AL374" s="4" t="n">
        <x:f>COUNTIFS('Material routes'!$D$6:$D$1005,A374,'Material routes'!$C$6:$C$1005,"Tool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Resources</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resources; tier 1 material concept; processed material; processed intermediate; geological; chemical processing; mineral; particles; proposal; ; t1; not applicable; material</x:v>
      </x:c>
      <x:c r="AF375" s="4" t="str">
        <x:v>First-stage refinement proposal. Source material/cultural records remain proposal-stage.</x:v>
      </x:c>
      <x:c r="AG375" s="4" t="str">
        <x:v>Proposed game manufacturing tier from the candidate routes. Integrated operations may contain many work steps.</x:v>
      </x:c>
      <x:c r="AH375" s="4" t="str">
        <x:v>Not applicable</x:v>
      </x:c>
      <x:c r="AI375" s="4" t="str">
        <x:v>Material</x:v>
      </x:c>
      <x:c r="AJ375" s="4" t="n">
        <x:f>COUNTIFS('Material routes'!$D$6:$D$1005,A375,'Material routes'!$C$6:$C$1005,"Output")</x:f>
        <x:v>1</x:v>
      </x:c>
      <x:c r="AK375" s="4" t="n">
        <x:f>SUM(COUNTIFS('Material routes'!$D$6:$D$1005,A375,'Material routes'!$C$6:$C$1005,"Ingredient candidate"),COUNTIFS('Material routes'!$D$6:$D$1005,A375,'Material routes'!$C$6:$C$1005,"Consumed input"),COUNTIFS('Material routes'!$D$6:$D$1005,A375,'Material routes'!$C$6:$C$1005,"Contained input"),COUNTIFS('Material routes'!$D$6:$D$1005,A375,'Material routes'!$C$6:$C$1005,"Transform input"))</x:f>
        <x:v>1</x:v>
      </x:c>
      <x:c r="AL375" s="4" t="n">
        <x:f>COUNTIFS('Material routes'!$D$6:$D$1005,A375,'Material routes'!$C$6:$C$1005,"Tool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Resources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resources;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x:v>
      </x:c>
      <x:c r="AG376" s="4" t="str">
        <x:v>Proposed game manufacturing tier from the candidate routes. Integrated operations may contain many work steps.</x:v>
      </x:c>
      <x:c r="AH376" s="4" t="str">
        <x:v>Not applicable</x:v>
      </x:c>
      <x:c r="AI376" s="4" t="str">
        <x:v>Material</x:v>
      </x:c>
      <x:c r="AJ376" s="4" t="n">
        <x:f>COUNTIFS('Material routes'!$D$6:$D$1005,A376,'Material routes'!$C$6:$C$1005,"Output")</x:f>
        <x:v>1</x:v>
      </x:c>
      <x:c r="AK376" s="4" t="n">
        <x:f>SUM(COUNTIFS('Material routes'!$D$6:$D$1005,A376,'Material routes'!$C$6:$C$1005,"Ingredient candidate"),COUNTIFS('Material routes'!$D$6:$D$1005,A376,'Material routes'!$C$6:$C$1005,"Consumed input"),COUNTIFS('Material routes'!$D$6:$D$1005,A376,'Material routes'!$C$6:$C$1005,"Contained input"),COUNTIFS('Material routes'!$D$6:$D$1005,A376,'Material routes'!$C$6:$C$1005,"Transform input"))</x:f>
        <x:v>4</x:v>
      </x:c>
      <x:c r="AL376" s="4" t="n">
        <x:f>COUNTIFS('Material routes'!$D$6:$D$1005,A376,'Material routes'!$C$6:$C$1005,"Tool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Resources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resources;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x:v>
      </x:c>
      <x:c r="AG377" s="4" t="str">
        <x:v>Proposed game manufacturing tier from the candidate routes. Integrated operations may contain many work steps.</x:v>
      </x:c>
      <x:c r="AH377" s="4" t="str">
        <x:v>Not applicable</x:v>
      </x:c>
      <x:c r="AI377" s="4" t="str">
        <x:v>Material</x:v>
      </x:c>
      <x:c r="AJ377" s="4" t="n">
        <x:f>COUNTIFS('Material routes'!$D$6:$D$1005,A377,'Material routes'!$C$6:$C$1005,"Output")</x:f>
        <x:v>1</x:v>
      </x:c>
      <x:c r="AK377" s="4" t="n">
        <x:f>SUM(COUNTIFS('Material routes'!$D$6:$D$1005,A377,'Material routes'!$C$6:$C$1005,"Ingredient candidate"),COUNTIFS('Material routes'!$D$6:$D$1005,A377,'Material routes'!$C$6:$C$1005,"Consumed input"),COUNTIFS('Material routes'!$D$6:$D$1005,A377,'Material routes'!$C$6:$C$1005,"Contained input"),COUNTIFS('Material routes'!$D$6:$D$1005,A377,'Material routes'!$C$6:$C$1005,"Transform input"))</x:f>
        <x:v>4</x:v>
      </x:c>
      <x:c r="AL377" s="4" t="n">
        <x:f>COUNTIFS('Material routes'!$D$6:$D$1005,A377,'Material routes'!$C$6:$C$1005,"Tool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Resources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resources; tier 1 material concept; chemical material; processed intermediate; fauna; equipment repair; biological chemical; unresolved; proposal; sealing; t1; not applicable; material</x:v>
      </x:c>
      <x:c r="AF378" s="4" t="str">
        <x:v>First-stage refinement proposal. Source material/cultural records remain proposal-stage.</x:v>
      </x:c>
      <x:c r="AG378" s="4" t="str">
        <x:v>Proposed game manufacturing tier from the candidate routes. Integrated operations may contain many work steps.</x:v>
      </x:c>
      <x:c r="AH378" s="4" t="str">
        <x:v>Not applicable</x:v>
      </x:c>
      <x:c r="AI378" s="4" t="str">
        <x:v>Material</x:v>
      </x:c>
      <x:c r="AJ378" s="4" t="n">
        <x:f>COUNTIFS('Material routes'!$D$6:$D$1005,A378,'Material routes'!$C$6:$C$1005,"Output")</x:f>
        <x:v>1</x:v>
      </x:c>
      <x:c r="AK378" s="4" t="n">
        <x:f>SUM(COUNTIFS('Material routes'!$D$6:$D$1005,A378,'Material routes'!$C$6:$C$1005,"Ingredient candidate"),COUNTIFS('Material routes'!$D$6:$D$1005,A378,'Material routes'!$C$6:$C$1005,"Consumed input"),COUNTIFS('Material routes'!$D$6:$D$1005,A378,'Material routes'!$C$6:$C$1005,"Contained input"),COUNTIFS('Material routes'!$D$6:$D$1005,A378,'Material routes'!$C$6:$C$1005,"Transform input"))</x:f>
        <x:v>1</x:v>
      </x:c>
      <x:c r="AL378" s="4" t="n">
        <x:f>COUNTIFS('Material routes'!$D$6:$D$1005,A378,'Material routes'!$C$6:$C$1005,"Tool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Resources</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resources; tier 1 material concept; processed material; processed intermediate; geological; decoration; gemstone; solid piece; proposal; ; t1; not applicable; material</x:v>
      </x:c>
      <x:c r="AF379" s="4" t="str">
        <x:v>First-stage refinement proposal. Source material/cultural records remain proposal-stage.</x:v>
      </x:c>
      <x:c r="AG379" s="4" t="str">
        <x:v>Proposed game manufacturing tier from the candidate routes. Integrated operations may contain many work steps.</x:v>
      </x:c>
      <x:c r="AH379" s="4" t="str">
        <x:v>Not applicable</x:v>
      </x:c>
      <x:c r="AI379" s="4" t="str">
        <x:v>Material</x:v>
      </x:c>
      <x:c r="AJ379" s="4" t="n">
        <x:f>COUNTIFS('Material routes'!$D$6:$D$1005,A379,'Material routes'!$C$6:$C$1005,"Output")</x:f>
        <x:v>1</x:v>
      </x:c>
      <x:c r="AK379" s="4" t="n">
        <x:f>SUM(COUNTIFS('Material routes'!$D$6:$D$1005,A379,'Material routes'!$C$6:$C$1005,"Ingredient candidate"),COUNTIFS('Material routes'!$D$6:$D$1005,A379,'Material routes'!$C$6:$C$1005,"Consumed input"),COUNTIFS('Material routes'!$D$6:$D$1005,A379,'Material routes'!$C$6:$C$1005,"Contained input"),COUNTIFS('Material routes'!$D$6:$D$1005,A379,'Material routes'!$C$6:$C$1005,"Transform input"))</x:f>
        <x:v>1</x:v>
      </x:c>
      <x:c r="AL379" s="4" t="n">
        <x:f>COUNTIFS('Material routes'!$D$6:$D$1005,A379,'Material routes'!$C$6:$C$1005,"Tool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Resources</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resources; tier 1 material concept; processed material; processed intermediate; geological; decoration; gemstone; particles; proposal; ; t1; not applicable; material</x:v>
      </x:c>
      <x:c r="AF380" s="4" t="str">
        <x:v>First-stage refinement proposal. Source material/cultural records remain proposal-stage.</x:v>
      </x:c>
      <x:c r="AG380" s="4" t="str">
        <x:v>Proposed game manufacturing tier from the candidate routes. Integrated operations may contain many work steps.</x:v>
      </x:c>
      <x:c r="AH380" s="4" t="str">
        <x:v>Not applicable</x:v>
      </x:c>
      <x:c r="AI380" s="4" t="str">
        <x:v>Material</x:v>
      </x:c>
      <x:c r="AJ380" s="4" t="n">
        <x:f>COUNTIFS('Material routes'!$D$6:$D$1005,A380,'Material routes'!$C$6:$C$1005,"Output")</x:f>
        <x:v>1</x:v>
      </x:c>
      <x:c r="AK380" s="4" t="n">
        <x:f>SUM(COUNTIFS('Material routes'!$D$6:$D$1005,A380,'Material routes'!$C$6:$C$1005,"Ingredient candidate"),COUNTIFS('Material routes'!$D$6:$D$1005,A380,'Material routes'!$C$6:$C$1005,"Consumed input"),COUNTIFS('Material routes'!$D$6:$D$1005,A380,'Material routes'!$C$6:$C$1005,"Contained input"),COUNTIFS('Material routes'!$D$6:$D$1005,A380,'Material routes'!$C$6:$C$1005,"Transform input"))</x:f>
        <x:v>0</x:v>
      </x:c>
      <x:c r="AL380" s="4" t="n">
        <x:f>COUNTIFS('Material routes'!$D$6:$D$1005,A380,'Material routes'!$C$6:$C$1005,"Tool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Resources</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resources; tier 1 material concept; processed material; processed intermediate; fauna; decoration; shell / chitin; sheet; proposal; ; t1; not applicable; material</x:v>
      </x:c>
      <x:c r="AF381" s="4" t="str">
        <x:v>First-stage refinement proposal. Source material/cultural records remain proposal-stage.</x:v>
      </x:c>
      <x:c r="AG381" s="4" t="str">
        <x:v>Proposed game manufacturing tier from the candidate routes. Integrated operations may contain many work steps.</x:v>
      </x:c>
      <x:c r="AH381" s="4" t="str">
        <x:v>Not applicable</x:v>
      </x:c>
      <x:c r="AI381" s="4" t="str">
        <x:v>Material</x:v>
      </x:c>
      <x:c r="AJ381" s="4" t="n">
        <x:f>COUNTIFS('Material routes'!$D$6:$D$1005,A381,'Material routes'!$C$6:$C$1005,"Output")</x:f>
        <x:v>1</x:v>
      </x:c>
      <x:c r="AK381" s="4" t="n">
        <x:f>SUM(COUNTIFS('Material routes'!$D$6:$D$1005,A381,'Material routes'!$C$6:$C$1005,"Ingredient candidate"),COUNTIFS('Material routes'!$D$6:$D$1005,A381,'Material routes'!$C$6:$C$1005,"Consumed input"),COUNTIFS('Material routes'!$D$6:$D$1005,A381,'Material routes'!$C$6:$C$1005,"Contained input"),COUNTIFS('Material routes'!$D$6:$D$1005,A381,'Material routes'!$C$6:$C$1005,"Transform input"))</x:f>
        <x:v>0</x:v>
      </x:c>
      <x:c r="AL381" s="4" t="n">
        <x:f>COUNTIFS('Material routes'!$D$6:$D$1005,A381,'Material routes'!$C$6:$C$1005,"Tool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Resources</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resources; tier 1 material concept; processed material; processed intermediate; geological; inspection; mineral; sheet; proposal; fabrication; t1; not applicable; material</x:v>
      </x:c>
      <x:c r="AF382" s="4" t="str">
        <x:v>First-stage refinement proposal. Source material/cultural records remain proposal-stage.</x:v>
      </x:c>
      <x:c r="AG382" s="4" t="str">
        <x:v>Proposed game manufacturing tier from the candidate routes. Integrated operations may contain many work steps.</x:v>
      </x:c>
      <x:c r="AH382" s="4" t="str">
        <x:v>Not applicable</x:v>
      </x:c>
      <x:c r="AI382" s="4" t="str">
        <x:v>Material</x:v>
      </x:c>
      <x:c r="AJ382" s="4" t="n">
        <x:f>COUNTIFS('Material routes'!$D$6:$D$1005,A382,'Material routes'!$C$6:$C$1005,"Output")</x:f>
        <x:v>1</x:v>
      </x:c>
      <x:c r="AK382" s="4" t="n">
        <x:f>SUM(COUNTIFS('Material routes'!$D$6:$D$1005,A382,'Material routes'!$C$6:$C$1005,"Ingredient candidate"),COUNTIFS('Material routes'!$D$6:$D$1005,A382,'Material routes'!$C$6:$C$1005,"Consumed input"),COUNTIFS('Material routes'!$D$6:$D$1005,A382,'Material routes'!$C$6:$C$1005,"Contained input"),COUNTIFS('Material routes'!$D$6:$D$1005,A382,'Material routes'!$C$6:$C$1005,"Transform input"))</x:f>
        <x:v>0</x:v>
      </x:c>
      <x:c r="AL382" s="4" t="n">
        <x:f>COUNTIFS('Material routes'!$D$6:$D$1005,A382,'Material routes'!$C$6:$C$1005,"Tool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str">
        <x:v>Equipment</x:v>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equipment; communication equipment; tool; finished item; manufactured / unresolved; radio communication; mixed / unresolved; assembly; author direction; radio; transceiver; two way; machine-tech communications; not applicable; unassigned; finished item</x:v>
      </x:c>
      <x:c r="AF383" s="4" t="str">
        <x:v>Existence and machine-tech reverse-engineering origin are author direction. Physical construction and performance remain undefined.</x:v>
      </x:c>
      <x:c r="AG383" s="4" t="str">
        <x:v>Finished endpoint; material tier is not applicable. Input tiers belong to the chosen recipe.</x:v>
      </x:c>
      <x:c r="AH383" s="4" t="str">
        <x:v>Unassigned</x:v>
      </x:c>
      <x:c r="AI383" s="4" t="str">
        <x:v>Finished item</x:v>
      </x:c>
      <x:c r="AJ383" s="4" t="n">
        <x:f>COUNTIFS('Material routes'!$D$6:$D$1005,A383,'Material routes'!$C$6:$C$1005,"Output")</x:f>
        <x:v>0</x:v>
      </x:c>
      <x:c r="AK383" s="4" t="n">
        <x:f>SUM(COUNTIFS('Material routes'!$D$6:$D$1005,A383,'Material routes'!$C$6:$C$1005,"Ingredient candidate"),COUNTIFS('Material routes'!$D$6:$D$1005,A383,'Material routes'!$C$6:$C$1005,"Consumed input"),COUNTIFS('Material routes'!$D$6:$D$1005,A383,'Material routes'!$C$6:$C$1005,"Contained input"),COUNTIFS('Material routes'!$D$6:$D$1005,A383,'Material routes'!$C$6:$C$1005,"Transform input"))</x:f>
        <x:v>0</x:v>
      </x:c>
      <x:c r="AL383" s="4" t="n">
        <x:f>COUNTIFS('Material routes'!$D$6:$D$1005,A383,'Material routes'!$C$6:$C$1005,"Tool candidate")</x:f>
        <x:v>0</x:v>
      </x:c>
      <x:c r="AM383" s="4" t="str">
        <x:f>IF(AJ383&gt;0,"Route listed; review status/completeness",IF(C383="T0","Raw entry feed; no production route","No production route listed"))</x:f>
        <x:v>No production route listed</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routes'!$D$6:$D$1005,A384,'Material routes'!$C$6:$C$1005,"Output")</x:f>
        <x:v>0</x:v>
      </x:c>
      <x:c r="AK384" s="4" t="n">
        <x:f>SUM(COUNTIFS('Material routes'!$D$6:$D$1005,A384,'Material routes'!$C$6:$C$1005,"Ingredient candidate"),COUNTIFS('Material routes'!$D$6:$D$1005,A384,'Material routes'!$C$6:$C$1005,"Consumed input"),COUNTIFS('Material routes'!$D$6:$D$1005,A384,'Material routes'!$C$6:$C$1005,"Contained input"),COUNTIFS('Material routes'!$D$6:$D$1005,A384,'Material routes'!$C$6:$C$1005,"Transform input"))</x:f>
        <x:v>0</x:v>
      </x:c>
      <x:c r="AL384" s="4" t="n">
        <x:f>COUNTIFS('Material routes'!$D$6:$D$1005,A384,'Material routes'!$C$6:$C$1005,"Tool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routes'!$D$6:$D$1005,A385,'Material routes'!$C$6:$C$1005,"Output")</x:f>
        <x:v>0</x:v>
      </x:c>
      <x:c r="AK385" s="4" t="n">
        <x:f>SUM(COUNTIFS('Material routes'!$D$6:$D$1005,A385,'Material routes'!$C$6:$C$1005,"Ingredient candidate"),COUNTIFS('Material routes'!$D$6:$D$1005,A385,'Material routes'!$C$6:$C$1005,"Consumed input"),COUNTIFS('Material routes'!$D$6:$D$1005,A385,'Material routes'!$C$6:$C$1005,"Contained input"),COUNTIFS('Material routes'!$D$6:$D$1005,A385,'Material routes'!$C$6:$C$1005,"Transform input"))</x:f>
        <x:v>0</x:v>
      </x:c>
      <x:c r="AL385" s="4" t="n">
        <x:f>COUNTIFS('Material routes'!$D$6:$D$1005,A385,'Material routes'!$C$6:$C$1005,"Tool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routes'!$D$6:$D$1005,A386,'Material routes'!$C$6:$C$1005,"Output")</x:f>
        <x:v>0</x:v>
      </x:c>
      <x:c r="AK386" s="4" t="n">
        <x:f>SUM(COUNTIFS('Material routes'!$D$6:$D$1005,A386,'Material routes'!$C$6:$C$1005,"Ingredient candidate"),COUNTIFS('Material routes'!$D$6:$D$1005,A386,'Material routes'!$C$6:$C$1005,"Consumed input"),COUNTIFS('Material routes'!$D$6:$D$1005,A386,'Material routes'!$C$6:$C$1005,"Contained input"),COUNTIFS('Material routes'!$D$6:$D$1005,A386,'Material routes'!$C$6:$C$1005,"Transform input"))</x:f>
        <x:v>0</x:v>
      </x:c>
      <x:c r="AL386" s="4" t="n">
        <x:f>COUNTIFS('Material routes'!$D$6:$D$1005,A386,'Material routes'!$C$6:$C$1005,"Tool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routes'!$D$6:$D$1005,A387,'Material routes'!$C$6:$C$1005,"Output")</x:f>
        <x:v>0</x:v>
      </x:c>
      <x:c r="AK387" s="4" t="n">
        <x:f>SUM(COUNTIFS('Material routes'!$D$6:$D$1005,A387,'Material routes'!$C$6:$C$1005,"Ingredient candidate"),COUNTIFS('Material routes'!$D$6:$D$1005,A387,'Material routes'!$C$6:$C$1005,"Consumed input"),COUNTIFS('Material routes'!$D$6:$D$1005,A387,'Material routes'!$C$6:$C$1005,"Contained input"),COUNTIFS('Material routes'!$D$6:$D$1005,A387,'Material routes'!$C$6:$C$1005,"Transform input"))</x:f>
        <x:v>0</x:v>
      </x:c>
      <x:c r="AL387" s="4" t="n">
        <x:f>COUNTIFS('Material routes'!$D$6:$D$1005,A387,'Material routes'!$C$6:$C$1005,"Tool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str">
        <x:v>Equipment</x:v>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equipment; magnetic field-control device; tool; finished item; manufactured / unresolved; magnetic field control; mixed / unresolved; assembly; author direction; magnetic disruptor; magnetic interference; not applicable; unassigned; finished item</x:v>
      </x:c>
      <x:c r="AF388" s="4" t="str">
        <x:v>Existence and intended function are author direction; construction and technical origin remain unassigned.</x:v>
      </x:c>
      <x:c r="AG388" s="4" t="str">
        <x:v>Finished endpoint; material tier is not applicable. Input tiers belong to the chosen recipe.</x:v>
      </x:c>
      <x:c r="AH388" s="4" t="str">
        <x:v>Unassigned</x:v>
      </x:c>
      <x:c r="AI388" s="4" t="str">
        <x:v>Finished item</x:v>
      </x:c>
      <x:c r="AJ388" s="4" t="n">
        <x:f>COUNTIFS('Material routes'!$D$6:$D$1005,A388,'Material routes'!$C$6:$C$1005,"Output")</x:f>
        <x:v>0</x:v>
      </x:c>
      <x:c r="AK388" s="4" t="n">
        <x:f>SUM(COUNTIFS('Material routes'!$D$6:$D$1005,A388,'Material routes'!$C$6:$C$1005,"Ingredient candidate"),COUNTIFS('Material routes'!$D$6:$D$1005,A388,'Material routes'!$C$6:$C$1005,"Consumed input"),COUNTIFS('Material routes'!$D$6:$D$1005,A388,'Material routes'!$C$6:$C$1005,"Contained input"),COUNTIFS('Material routes'!$D$6:$D$1005,A388,'Material routes'!$C$6:$C$1005,"Transform input"))</x:f>
        <x:v>0</x:v>
      </x:c>
      <x:c r="AL388" s="4" t="n">
        <x:f>COUNTIFS('Material routes'!$D$6:$D$1005,A388,'Material routes'!$C$6:$C$1005,"Tool candidate")</x:f>
        <x:v>0</x:v>
      </x:c>
      <x:c r="AM388" s="4" t="str">
        <x:f>IF(AJ388&gt;0,"Route listed; review status/completeness",IF(C388="T0","Raw entry feed; no production route","No production route listed"))</x:f>
        <x:v>No production route listed</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str">
        <x:v>Equipment</x:v>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equipment; magnetic field-control device; tool; finished item; manufactured / unresolved; magnetic field control; mixed / unresolved; assembly; author direction; magnetic inhibitor; magnetic suppression; not applicable; unassigned; finished item</x:v>
      </x:c>
      <x:c r="AF389" s="4" t="str">
        <x:v>Existence and intended function are author direction; construction and technical origin remain unassigned.</x:v>
      </x:c>
      <x:c r="AG389" s="4" t="str">
        <x:v>Finished endpoint; material tier is not applicable. Input tiers belong to the chosen recipe.</x:v>
      </x:c>
      <x:c r="AH389" s="4" t="str">
        <x:v>Unassigned</x:v>
      </x:c>
      <x:c r="AI389" s="4" t="str">
        <x:v>Finished item</x:v>
      </x:c>
      <x:c r="AJ389" s="4" t="n">
        <x:f>COUNTIFS('Material routes'!$D$6:$D$1005,A389,'Material routes'!$C$6:$C$1005,"Output")</x:f>
        <x:v>0</x:v>
      </x:c>
      <x:c r="AK389" s="4" t="n">
        <x:f>SUM(COUNTIFS('Material routes'!$D$6:$D$1005,A389,'Material routes'!$C$6:$C$1005,"Ingredient candidate"),COUNTIFS('Material routes'!$D$6:$D$1005,A389,'Material routes'!$C$6:$C$1005,"Consumed input"),COUNTIFS('Material routes'!$D$6:$D$1005,A389,'Material routes'!$C$6:$C$1005,"Contained input"),COUNTIFS('Material routes'!$D$6:$D$1005,A389,'Material routes'!$C$6:$C$1005,"Transform input"))</x:f>
        <x:v>0</x:v>
      </x:c>
      <x:c r="AL389" s="4" t="n">
        <x:f>COUNTIFS('Material routes'!$D$6:$D$1005,A389,'Material routes'!$C$6:$C$1005,"Tool candidate")</x:f>
        <x:v>0</x:v>
      </x:c>
      <x:c r="AM389" s="4" t="str">
        <x:f>IF(AJ389&gt;0,"Route listed; review status/completeness",IF(C389="T0","Raw entry feed; no production route","No production route listed"))</x:f>
        <x:v>No production route listed</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str">
        <x:v>Equipment</x:v>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equipment; magnetic field-control device; tool; finished item; manufactured / unresolved; magnetic field control; mixed / unresolved; assembly; author direction; magnetic enhancer; field amplification; not applicable; unassigned; finished item</x:v>
      </x:c>
      <x:c r="AF390" s="4" t="str">
        <x:v>Existence and intended function are author direction; construction and technical origin remain unassigned.</x:v>
      </x:c>
      <x:c r="AG390" s="4" t="str">
        <x:v>Finished endpoint; material tier is not applicable. Input tiers belong to the chosen recipe.</x:v>
      </x:c>
      <x:c r="AH390" s="4" t="str">
        <x:v>Unassigned</x:v>
      </x:c>
      <x:c r="AI390" s="4" t="str">
        <x:v>Finished item</x:v>
      </x:c>
      <x:c r="AJ390" s="4" t="n">
        <x:f>COUNTIFS('Material routes'!$D$6:$D$1005,A390,'Material routes'!$C$6:$C$1005,"Output")</x:f>
        <x:v>0</x:v>
      </x:c>
      <x:c r="AK390" s="4" t="n">
        <x:f>SUM(COUNTIFS('Material routes'!$D$6:$D$1005,A390,'Material routes'!$C$6:$C$1005,"Ingredient candidate"),COUNTIFS('Material routes'!$D$6:$D$1005,A390,'Material routes'!$C$6:$C$1005,"Consumed input"),COUNTIFS('Material routes'!$D$6:$D$1005,A390,'Material routes'!$C$6:$C$1005,"Contained input"),COUNTIFS('Material routes'!$D$6:$D$1005,A390,'Material routes'!$C$6:$C$1005,"Transform input"))</x:f>
        <x:v>0</x:v>
      </x:c>
      <x:c r="AL390" s="4" t="n">
        <x:f>COUNTIFS('Material routes'!$D$6:$D$1005,A390,'Material routes'!$C$6:$C$1005,"Tool candidate")</x:f>
        <x:v>0</x:v>
      </x:c>
      <x:c r="AM390" s="4" t="str">
        <x:f>IF(AJ390&gt;0,"Route listed; review status/completeness",IF(C390="T0","Raw entry feed; no production route","No production route listed"))</x:f>
        <x:v>No production route listed</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str">
        <x:v>Equipment</x:v>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equipment; static field-control device; tool; finished item; manufactured / unresolved; static management; mixed / unresolved; assembly; author direction; static field enhancer; electrostatic enhancer; not applicable; unassigned; finished item</x:v>
      </x:c>
      <x:c r="AF391" s="4" t="str">
        <x:v>Existence and intended function are author direction; construction and technical origin remain unassigned.</x:v>
      </x:c>
      <x:c r="AG391" s="4" t="str">
        <x:v>Finished endpoint; material tier is not applicable. Input tiers belong to the chosen recipe.</x:v>
      </x:c>
      <x:c r="AH391" s="4" t="str">
        <x:v>Unassigned</x:v>
      </x:c>
      <x:c r="AI391" s="4" t="str">
        <x:v>Finished item</x:v>
      </x:c>
      <x:c r="AJ391" s="4" t="n">
        <x:f>COUNTIFS('Material routes'!$D$6:$D$1005,A391,'Material routes'!$C$6:$C$1005,"Output")</x:f>
        <x:v>0</x:v>
      </x:c>
      <x:c r="AK391" s="4" t="n">
        <x:f>SUM(COUNTIFS('Material routes'!$D$6:$D$1005,A391,'Material routes'!$C$6:$C$1005,"Ingredient candidate"),COUNTIFS('Material routes'!$D$6:$D$1005,A391,'Material routes'!$C$6:$C$1005,"Consumed input"),COUNTIFS('Material routes'!$D$6:$D$1005,A391,'Material routes'!$C$6:$C$1005,"Contained input"),COUNTIFS('Material routes'!$D$6:$D$1005,A391,'Material routes'!$C$6:$C$1005,"Transform input"))</x:f>
        <x:v>0</x:v>
      </x:c>
      <x:c r="AL391" s="4" t="n">
        <x:f>COUNTIFS('Material routes'!$D$6:$D$1005,A391,'Material routes'!$C$6:$C$1005,"Tool candidate")</x:f>
        <x:v>0</x:v>
      </x:c>
      <x:c r="AM391" s="4" t="str">
        <x:f>IF(AJ391&gt;0,"Route listed; review status/completeness",IF(C391="T0","Raw entry feed; no production route","No production route listed"))</x:f>
        <x:v>No production route listed</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str">
        <x:v>Equipment</x:v>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equipment; static field-control device; tool; finished item; manufactured / unresolved; static management; mixed / unresolved; assembly; author direction; static field disruptor; electrostatic disruption; not applicable; unassigned; finished item</x:v>
      </x:c>
      <x:c r="AF392" s="4" t="str">
        <x:v>Existence and intended function are author direction; construction and technical origin remain unassigned.</x:v>
      </x:c>
      <x:c r="AG392" s="4" t="str">
        <x:v>Finished endpoint; material tier is not applicable. Input tiers belong to the chosen recipe.</x:v>
      </x:c>
      <x:c r="AH392" s="4" t="str">
        <x:v>Unassigned</x:v>
      </x:c>
      <x:c r="AI392" s="4" t="str">
        <x:v>Finished item</x:v>
      </x:c>
      <x:c r="AJ392" s="4" t="n">
        <x:f>COUNTIFS('Material routes'!$D$6:$D$1005,A392,'Material routes'!$C$6:$C$1005,"Output")</x:f>
        <x:v>0</x:v>
      </x:c>
      <x:c r="AK392" s="4" t="n">
        <x:f>SUM(COUNTIFS('Material routes'!$D$6:$D$1005,A392,'Material routes'!$C$6:$C$1005,"Ingredient candidate"),COUNTIFS('Material routes'!$D$6:$D$1005,A392,'Material routes'!$C$6:$C$1005,"Consumed input"),COUNTIFS('Material routes'!$D$6:$D$1005,A392,'Material routes'!$C$6:$C$1005,"Contained input"),COUNTIFS('Material routes'!$D$6:$D$1005,A392,'Material routes'!$C$6:$C$1005,"Transform input"))</x:f>
        <x:v>0</x:v>
      </x:c>
      <x:c r="AL392" s="4" t="n">
        <x:f>COUNTIFS('Material routes'!$D$6:$D$1005,A392,'Material routes'!$C$6:$C$1005,"Tool candidate")</x:f>
        <x:v>0</x:v>
      </x:c>
      <x:c r="AM392" s="4" t="str">
        <x:f>IF(AJ392&gt;0,"Route listed; review status/completeness",IF(C392="T0","Raw entry feed; no production route","No production route listed"))</x:f>
        <x:v>No production route listed</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routes'!$D$6:$D$1005,A393,'Material routes'!$C$6:$C$1005,"Output")</x:f>
        <x:v>0</x:v>
      </x:c>
      <x:c r="AK393" s="4" t="n">
        <x:f>SUM(COUNTIFS('Material routes'!$D$6:$D$1005,A393,'Material routes'!$C$6:$C$1005,"Ingredient candidate"),COUNTIFS('Material routes'!$D$6:$D$1005,A393,'Material routes'!$C$6:$C$1005,"Consumed input"),COUNTIFS('Material routes'!$D$6:$D$1005,A393,'Material routes'!$C$6:$C$1005,"Contained input"),COUNTIFS('Material routes'!$D$6:$D$1005,A393,'Material routes'!$C$6:$C$1005,"Transform input"))</x:f>
        <x:v>0</x:v>
      </x:c>
      <x:c r="AL393" s="4" t="n">
        <x:f>COUNTIFS('Material routes'!$D$6:$D$1005,A393,'Material routes'!$C$6:$C$1005,"Tool candidate")</x:f>
        <x:v>0</x:v>
      </x:c>
      <x:c r="AM393" s="4" t="str">
        <x:f>IF(AJ393&gt;0,"Route listed; review status/completeness",IF(C393="T0","Raw entry feed; no production route","No production route listed"))</x:f>
        <x:v>No production route listed</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15" customHeight="1">
      <x:c r="A394" s="9" t="str">
        <x:v>author.electrical.insulation_stock</x:v>
      </x:c>
      <x:c r="B394" s="9" t="str">
        <x:v>Prepared electrical insulation stock</x:v>
      </x:c>
      <x:c r="C394" s="4" t="str">
        <x:v>Unassigned</x:v>
      </x:c>
      <x:c r="D394" s="9" t="str">
        <x:v>Resources</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 unassigned; not applicable; material</x:v>
      </x:c>
      <x:c r="AF394" s="4" t="str">
        <x:v>Existence and intended function are author direction; construction and technical origin remain unassigned.</x:v>
      </x:c>
      <x:c r="AG394" s="4" t="str">
        <x:v>No chosen refinement route establishes a material tier.</x:v>
      </x:c>
      <x:c r="AH394" s="4" t="str">
        <x:v>Not applicable</x:v>
      </x:c>
      <x:c r="AI394" s="4" t="str">
        <x:v>Material</x:v>
      </x:c>
      <x:c r="AJ394" s="4" t="n">
        <x:f>COUNTIFS('Material routes'!$D$6:$D$1005,A394,'Material routes'!$C$6:$C$1005,"Output")</x:f>
        <x:v>0</x:v>
      </x:c>
      <x:c r="AK394" s="4" t="n">
        <x:f>SUM(COUNTIFS('Material routes'!$D$6:$D$1005,A394,'Material routes'!$C$6:$C$1005,"Ingredient candidate"),COUNTIFS('Material routes'!$D$6:$D$1005,A394,'Material routes'!$C$6:$C$1005,"Consumed input"),COUNTIFS('Material routes'!$D$6:$D$1005,A394,'Material routes'!$C$6:$C$1005,"Contained input"),COUNTIFS('Material routes'!$D$6:$D$1005,A394,'Material routes'!$C$6:$C$1005,"Transform input"))</x:f>
        <x:v>0</x:v>
      </x:c>
      <x:c r="AL394" s="4" t="n">
        <x:f>COUNTIFS('Material routes'!$D$6:$D$1005,A394,'Material routes'!$C$6:$C$1005,"Tool candidate")</x:f>
        <x:v>0</x:v>
      </x:c>
      <x:c r="AM394" s="4" t="str">
        <x:f>IF(AJ394&gt;0,"Route listed; review status/completeness",IF(C394="T0","Raw entry feed; no production route","No production route listed"))</x:f>
        <x:v>No production route listed</x:v>
      </x:c>
      <x:c r="AN394" s="14" t="n">
        <x:f>IF(C394="T0",0,IF(C394="T1",1,IF(C394="T2",2,IF(C394="T3",3,IF(C394="T4",4,IF(C394="Unassigned",98,99))))))</x:f>
        <x:v>98</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str">
        <x:v>Equipment</x:v>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equipment; electrical protective wear; wearable; finished item; manufactured / unresolved; electrical insulation; mixed / unresolved; garment; author direction; insulated suit; high voltage suit; electrical protective suit; not applicable; unassigned; finished item</x:v>
      </x:c>
      <x:c r="AF395" s="4" t="str">
        <x:v>Existence and intended function are author direction; construction and technical origin remain unassigned.</x:v>
      </x:c>
      <x:c r="AG395" s="4" t="str">
        <x:v>Finished endpoint; material tier is not applicable. Input tiers belong to the chosen recipe.</x:v>
      </x:c>
      <x:c r="AH395" s="4" t="str">
        <x:v>Unassigned</x:v>
      </x:c>
      <x:c r="AI395" s="4" t="str">
        <x:v>Finished item</x:v>
      </x:c>
      <x:c r="AJ395" s="4" t="n">
        <x:f>COUNTIFS('Material routes'!$D$6:$D$1005,A395,'Material routes'!$C$6:$C$1005,"Output")</x:f>
        <x:v>0</x:v>
      </x:c>
      <x:c r="AK395" s="4" t="n">
        <x:f>SUM(COUNTIFS('Material routes'!$D$6:$D$1005,A395,'Material routes'!$C$6:$C$1005,"Ingredient candidate"),COUNTIFS('Material routes'!$D$6:$D$1005,A395,'Material routes'!$C$6:$C$1005,"Consumed input"),COUNTIFS('Material routes'!$D$6:$D$1005,A395,'Material routes'!$C$6:$C$1005,"Contained input"),COUNTIFS('Material routes'!$D$6:$D$1005,A395,'Material routes'!$C$6:$C$1005,"Transform input"))</x:f>
        <x:v>0</x:v>
      </x:c>
      <x:c r="AL395" s="4" t="n">
        <x:f>COUNTIFS('Material routes'!$D$6:$D$1005,A395,'Material routes'!$C$6:$C$1005,"Tool candidate")</x:f>
        <x:v>0</x:v>
      </x:c>
      <x:c r="AM395" s="4" t="str">
        <x:f>IF(AJ395&gt;0,"Route listed; review status/completeness",IF(C395="T0","Raw entry feed; no production route","No production route listed"))</x:f>
        <x:v>No production route listed</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str">
        <x:v>Equipment</x:v>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equipment; electrical protective wear; wearable; finished item; manufactured / unresolved; electrical insulation; mixed / unresolved; garment; author direction; insulated gloves; high voltage gloves; electrical work gloves; not applicable; unassigned; finished item</x:v>
      </x:c>
      <x:c r="AF396" s="4" t="str">
        <x:v>Existence and intended function are author direction; construction and technical origin remain unassigned.</x:v>
      </x:c>
      <x:c r="AG396" s="4" t="str">
        <x:v>Finished endpoint; material tier is not applicable. Input tiers belong to the chosen recipe.</x:v>
      </x:c>
      <x:c r="AH396" s="4" t="str">
        <x:v>Unassigned</x:v>
      </x:c>
      <x:c r="AI396" s="4" t="str">
        <x:v>Finished item</x:v>
      </x:c>
      <x:c r="AJ396" s="4" t="n">
        <x:f>COUNTIFS('Material routes'!$D$6:$D$1005,A396,'Material routes'!$C$6:$C$1005,"Output")</x:f>
        <x:v>1</x:v>
      </x:c>
      <x:c r="AK396" s="4" t="n">
        <x:f>SUM(COUNTIFS('Material routes'!$D$6:$D$1005,A396,'Material routes'!$C$6:$C$1005,"Ingredient candidate"),COUNTIFS('Material routes'!$D$6:$D$1005,A396,'Material routes'!$C$6:$C$1005,"Consumed input"),COUNTIFS('Material routes'!$D$6:$D$1005,A396,'Material routes'!$C$6:$C$1005,"Contained input"),COUNTIFS('Material routes'!$D$6:$D$1005,A396,'Material routes'!$C$6:$C$1005,"Transform input"))</x:f>
        <x:v>0</x:v>
      </x:c>
      <x:c r="AL396" s="4" t="n">
        <x:f>COUNTIFS('Material routes'!$D$6:$D$1005,A396,'Material routes'!$C$6:$C$1005,"Tool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str">
        <x:v>Equipment</x:v>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equipment; electrical protective wear; wearable; finished item; manufactured / unresolved; electrical insulation; mixed / unresolved; garment; author direction; insulated boots; high voltage boots; electrical work boots; not applicable; unassigned; finished item</x:v>
      </x:c>
      <x:c r="AF397" s="4" t="str">
        <x:v>Existence and intended function are author direction; construction and technical origin remain unassigned.</x:v>
      </x:c>
      <x:c r="AG397" s="4" t="str">
        <x:v>Finished endpoint; material tier is not applicable. Input tiers belong to the chosen recipe.</x:v>
      </x:c>
      <x:c r="AH397" s="4" t="str">
        <x:v>Unassigned</x:v>
      </x:c>
      <x:c r="AI397" s="4" t="str">
        <x:v>Finished item</x:v>
      </x:c>
      <x:c r="AJ397" s="4" t="n">
        <x:f>COUNTIFS('Material routes'!$D$6:$D$1005,A397,'Material routes'!$C$6:$C$1005,"Output")</x:f>
        <x:v>0</x:v>
      </x:c>
      <x:c r="AK397" s="4" t="n">
        <x:f>SUM(COUNTIFS('Material routes'!$D$6:$D$1005,A397,'Material routes'!$C$6:$C$1005,"Ingredient candidate"),COUNTIFS('Material routes'!$D$6:$D$1005,A397,'Material routes'!$C$6:$C$1005,"Consumed input"),COUNTIFS('Material routes'!$D$6:$D$1005,A397,'Material routes'!$C$6:$C$1005,"Contained input"),COUNTIFS('Material routes'!$D$6:$D$1005,A397,'Material routes'!$C$6:$C$1005,"Transform input"))</x:f>
        <x:v>0</x:v>
      </x:c>
      <x:c r="AL397" s="4" t="n">
        <x:f>COUNTIFS('Material routes'!$D$6:$D$1005,A397,'Material routes'!$C$6:$C$1005,"Tool candidate")</x:f>
        <x:v>0</x:v>
      </x:c>
      <x:c r="AM397" s="4" t="str">
        <x:f>IF(AJ397&gt;0,"Route listed; review status/completeness",IF(C397="T0","Raw entry feed; no production route","No production route listed"))</x:f>
        <x:v>No production route listed</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str">
        <x:v>Equipment</x:v>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equipment; hand forging tool; tool; finished item; manufactured / unresolved; metal forging; mixed / unresolved; assembly; author direction; smithing hammer; blacksmith hammer; forge hammer; not applicable; unassigned; finished item</x:v>
      </x:c>
      <x:c r="AF398" s="4" t="str">
        <x:v>Forging hammers and anvils explicitly requested by the author; detailed construction unresolved.</x:v>
      </x:c>
      <x:c r="AG398" s="4" t="str">
        <x:v>Finished endpoint; material tier is not applicable. Input tiers belong to the chosen recipe.</x:v>
      </x:c>
      <x:c r="AH398" s="4" t="str">
        <x:v>Unassigned</x:v>
      </x:c>
      <x:c r="AI398" s="4" t="str">
        <x:v>Finished item</x:v>
      </x:c>
      <x:c r="AJ398" s="4" t="n">
        <x:f>COUNTIFS('Material routes'!$D$6:$D$1005,A398,'Material routes'!$C$6:$C$1005,"Output")</x:f>
        <x:v>1</x:v>
      </x:c>
      <x:c r="AK398" s="4" t="n">
        <x:f>SUM(COUNTIFS('Material routes'!$D$6:$D$1005,A398,'Material routes'!$C$6:$C$1005,"Ingredient candidate"),COUNTIFS('Material routes'!$D$6:$D$1005,A398,'Material routes'!$C$6:$C$1005,"Consumed input"),COUNTIFS('Material routes'!$D$6:$D$1005,A398,'Material routes'!$C$6:$C$1005,"Contained input"),COUNTIFS('Material routes'!$D$6:$D$1005,A398,'Material routes'!$C$6:$C$1005,"Transform input"))</x:f>
        <x:v>0</x:v>
      </x:c>
      <x:c r="AL398" s="4" t="n">
        <x:f>COUNTIFS('Material routes'!$D$6:$D$1005,A398,'Material routes'!$C$6:$C$1005,"Tool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t="str">
        <x:v>author.forging.anvil</x:v>
      </x:c>
      <x:c r="B399" s="9" t="str">
        <x:v>Anvil</x:v>
      </x:c>
      <x:c r="C399" s="4" t="str">
        <x:v>Not applicable</x:v>
      </x:c>
      <x:c r="D399" s="9" t="str">
        <x:v>Equipment</x:v>
      </x:c>
      <x:c r="E399" s="9" t="str">
        <x:v>Workshop forging fixture</x:v>
      </x:c>
      <x:c r="F399" s="9" t="str">
        <x:v>Author-directed concept</x:v>
      </x:c>
      <x:c r="G399" s="9" t="str">
        <x:v>Working support surface for hammer forging.</x:v>
      </x:c>
      <x:c r="H399" s="9" t="str">
        <x:v>None / workshop tool</x:v>
      </x:c>
      <x:c r="I399" s="9" t="str">
        <x:v>Transport, placement and workshop handling unresolved</x:v>
      </x:c>
      <x:c r="J399" s="13"/>
      <x:c r="K399" s="15"/>
      <x:c r="L399" s="9" t="str">
        <x:v>Manufacture or workshop acquisition unresolved</x:v>
      </x:c>
      <x:c r="M399" s="9" t="str">
        <x:v>Tool materials, construction and ingredient tiers unresolved</x:v>
      </x:c>
      <x:c r="N399" s="9" t="str">
        <x:v>Design item concept; not implemented</x:v>
      </x:c>
      <x:c r="O399" s="9" t="str">
        <x:v>Working material, service temperature, wear and suitability remain undefined; no wood handles or cloth accessories assumed.</x:v>
      </x:c>
      <x:c r="P399" s="17"/>
      <x:c r="Q399" s="17"/>
      <x:c r="R399" s="17"/>
      <x:c r="S399" s="17"/>
      <x:c r="T399" s="17"/>
      <x:c r="U399" s="9" t="str">
        <x:v>No stats, recipe, cost, dimensions or station requirement established. Fixed/mobile workshop use remains open.</x:v>
      </x:c>
      <x:c r="V399" s="11" t="str">
        <x:v>smithing anvil; forging anvil</x:v>
      </x:c>
      <x:c r="W399" s="9" t="str">
        <x:v>Direct author direction, October 14, 2026; Docs/WORLD_BASIS.md#forging-and-workshop-tooling</x:v>
      </x:c>
      <x:c r="X399" s="4" t="str">
        <x:v>Tool</x:v>
      </x:c>
      <x:c r="Y399" s="4" t="str">
        <x:v>Finished item</x:v>
      </x:c>
      <x:c r="Z399" s="4" t="str">
        <x:v>Manufactured / unresolved</x:v>
      </x:c>
      <x:c r="AA399" s="4" t="str">
        <x:v>Metal forging</x:v>
      </x:c>
      <x:c r="AB399" s="4" t="str">
        <x:v>Mixed / unresolved</x:v>
      </x:c>
      <x:c r="AC399" s="4" t="str">
        <x:v>Assembly</x:v>
      </x:c>
      <x:c r="AD399" s="4" t="str">
        <x:v>Author direction</x:v>
      </x:c>
      <x:c r="AE399" s="4" t="str">
        <x:f>LOWER(A399&amp;"; "&amp;B399&amp;"; "&amp;D399&amp;"; "&amp;E399&amp;"; "&amp;X399&amp;"; "&amp;Y399&amp;"; "&amp;Z399&amp;"; "&amp;AA399&amp;"; "&amp;AB399&amp;"; "&amp;AC399&amp;"; "&amp;AD399&amp;"; "&amp;V399&amp;"; "&amp;C399&amp;"; "&amp;AH399&amp;"; "&amp;AI399)</x:f>
        <x:v>author.forging.anvil; anvil; equipment; workshop forging fixture; tool; finished item; manufactured / unresolved; metal forging; mixed / unresolved; assembly; author direction; smithing anvil; forging anvil; not applicable; unassigned; finished item</x:v>
      </x:c>
      <x:c r="AF399" s="4" t="str">
        <x:v>Forging hammers and anvils explicitly requested by the author; detailed construction unresolved.</x:v>
      </x:c>
      <x:c r="AG399" s="4" t="str">
        <x:v>Finished endpoint; material tier is not applicable. Input tiers belong to the chosen recipe.</x:v>
      </x:c>
      <x:c r="AH399" s="4" t="str">
        <x:v>Unassigned</x:v>
      </x:c>
      <x:c r="AI399" s="4" t="str">
        <x:v>Finished item</x:v>
      </x:c>
      <x:c r="AJ399" s="4" t="n">
        <x:f>COUNTIFS('Material routes'!$D$6:$D$1005,A399,'Material routes'!$C$6:$C$1005,"Output")</x:f>
        <x:v>0</x:v>
      </x:c>
      <x:c r="AK399" s="4" t="n">
        <x:f>SUM(COUNTIFS('Material routes'!$D$6:$D$1005,A399,'Material routes'!$C$6:$C$1005,"Ingredient candidate"),COUNTIFS('Material routes'!$D$6:$D$1005,A399,'Material routes'!$C$6:$C$1005,"Consumed input"),COUNTIFS('Material routes'!$D$6:$D$1005,A399,'Material routes'!$C$6:$C$1005,"Contained input"),COUNTIFS('Material routes'!$D$6:$D$1005,A399,'Material routes'!$C$6:$C$1005,"Transform input"))</x:f>
        <x:v>0</x:v>
      </x:c>
      <x:c r="AL399" s="4" t="n">
        <x:f>COUNTIFS('Material routes'!$D$6:$D$1005,A399,'Material routes'!$C$6:$C$1005,"Tool candidate")</x:f>
        <x:v>1</x:v>
      </x:c>
      <x:c r="AM399" s="4" t="str">
        <x:f>IF(AJ399&gt;0,"Route listed; review status/completeness",IF(C399="T0","Raw entry feed; no production route","No production route listed"))</x:f>
        <x:v>No production route listed</x:v>
      </x:c>
      <x:c r="AN399" s="14" t="n">
        <x:f>IF(C399="T0",0,IF(C399="T1",1,IF(C399="T2",2,IF(C399="T3",3,IF(C399="T4",4,IF(C399="Unassigned",98,99))))))</x:f>
        <x:v>99</x:v>
      </x:c>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str">
        <x:v>Equipment</x:v>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equipment; hot-work holding tool; tool; finished item; manufactured / unresolved; work holding; mixed / unresolved; assembly; proposal; forge tongs; blacksmith tongs; hot-work tongs; not applicable; unassigned; finished item</x:v>
      </x:c>
      <x:c r="AF400" s="4" t="str">
        <x:v>Supporting smithing tool proposed for review; not separately established game canon.</x:v>
      </x:c>
      <x:c r="AG400" s="4" t="str">
        <x:v>Finished endpoint; material tier is not applicable. Input tiers belong to the chosen recipe.</x:v>
      </x:c>
      <x:c r="AH400" s="4" t="str">
        <x:v>Unassigned</x:v>
      </x:c>
      <x:c r="AI400" s="4" t="str">
        <x:v>Finished item</x:v>
      </x:c>
      <x:c r="AJ400" s="4" t="n">
        <x:f>COUNTIFS('Material routes'!$D$6:$D$1005,A400,'Material routes'!$C$6:$C$1005,"Output")</x:f>
        <x:v>0</x:v>
      </x:c>
      <x:c r="AK400" s="4" t="n">
        <x:f>SUM(COUNTIFS('Material routes'!$D$6:$D$1005,A400,'Material routes'!$C$6:$C$1005,"Ingredient candidate"),COUNTIFS('Material routes'!$D$6:$D$1005,A400,'Material routes'!$C$6:$C$1005,"Consumed input"),COUNTIFS('Material routes'!$D$6:$D$1005,A400,'Material routes'!$C$6:$C$1005,"Contained input"),COUNTIFS('Material routes'!$D$6:$D$1005,A400,'Material routes'!$C$6:$C$1005,"Transform input"))</x:f>
        <x:v>0</x:v>
      </x:c>
      <x:c r="AL400" s="4" t="n">
        <x:f>COUNTIFS('Material routes'!$D$6:$D$1005,A400,'Material routes'!$C$6:$C$1005,"Tool candidate")</x:f>
        <x:v>0</x:v>
      </x:c>
      <x:c r="AM400" s="4" t="str">
        <x:f>IF(AJ400&gt;0,"Route listed; review status/completeness",IF(C400="T0","Raw entry feed; no production route","No production route listed"))</x:f>
        <x:v>No production route listed</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str">
        <x:v>Equipment</x:v>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equipment; hand forging tool; tool; finished item; manufactured / unresolved; metal forging; mixed / unresolved; assembly; proposal; sledgehammer; striking hammer; forging sledge; not applicable; unassigned; finished item</x:v>
      </x:c>
      <x:c r="AF401" s="4" t="str">
        <x:v>Supporting smithing tool proposed for review; not separately established game canon.</x:v>
      </x:c>
      <x:c r="AG401" s="4" t="str">
        <x:v>Finished endpoint; material tier is not applicable. Input tiers belong to the chosen recipe.</x:v>
      </x:c>
      <x:c r="AH401" s="4" t="str">
        <x:v>Unassigned</x:v>
      </x:c>
      <x:c r="AI401" s="4" t="str">
        <x:v>Finished item</x:v>
      </x:c>
      <x:c r="AJ401" s="4" t="n">
        <x:f>COUNTIFS('Material routes'!$D$6:$D$1005,A401,'Material routes'!$C$6:$C$1005,"Output")</x:f>
        <x:v>0</x:v>
      </x:c>
      <x:c r="AK401" s="4" t="n">
        <x:f>SUM(COUNTIFS('Material routes'!$D$6:$D$1005,A401,'Material routes'!$C$6:$C$1005,"Ingredient candidate"),COUNTIFS('Material routes'!$D$6:$D$1005,A401,'Material routes'!$C$6:$C$1005,"Consumed input"),COUNTIFS('Material routes'!$D$6:$D$1005,A401,'Material routes'!$C$6:$C$1005,"Contained input"),COUNTIFS('Material routes'!$D$6:$D$1005,A401,'Material routes'!$C$6:$C$1005,"Transform input"))</x:f>
        <x:v>0</x:v>
      </x:c>
      <x:c r="AL401" s="4" t="n">
        <x:f>COUNTIFS('Material routes'!$D$6:$D$1005,A401,'Material routes'!$C$6:$C$1005,"Tool candidate")</x:f>
        <x:v>0</x:v>
      </x:c>
      <x:c r="AM401" s="4" t="str">
        <x:f>IF(AJ401&gt;0,"Route listed; review status/completeness",IF(C401="T0","Raw entry feed; no production route","No production route listed"))</x:f>
        <x:v>No production route listed</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str">
        <x:v>Equipment</x:v>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equipment; metal cutting tool; tool; finished item; manufactured / unresolved; metal forging; mixed / unresolved; assembly; proposal; hot chisel; hot cut; forging chisel; not applicable; unassigned; finished item</x:v>
      </x:c>
      <x:c r="AF402" s="4" t="str">
        <x:v>Supporting smithing tool proposed for review; not separately established game canon.</x:v>
      </x:c>
      <x:c r="AG402" s="4" t="str">
        <x:v>Finished endpoint; material tier is not applicable. Input tiers belong to the chosen recipe.</x:v>
      </x:c>
      <x:c r="AH402" s="4" t="str">
        <x:v>Unassigned</x:v>
      </x:c>
      <x:c r="AI402" s="4" t="str">
        <x:v>Finished item</x:v>
      </x:c>
      <x:c r="AJ402" s="4" t="n">
        <x:f>COUNTIFS('Material routes'!$D$6:$D$1005,A402,'Material routes'!$C$6:$C$1005,"Output")</x:f>
        <x:v>0</x:v>
      </x:c>
      <x:c r="AK402" s="4" t="n">
        <x:f>SUM(COUNTIFS('Material routes'!$D$6:$D$1005,A402,'Material routes'!$C$6:$C$1005,"Ingredient candidate"),COUNTIFS('Material routes'!$D$6:$D$1005,A402,'Material routes'!$C$6:$C$1005,"Consumed input"),COUNTIFS('Material routes'!$D$6:$D$1005,A402,'Material routes'!$C$6:$C$1005,"Contained input"),COUNTIFS('Material routes'!$D$6:$D$1005,A402,'Material routes'!$C$6:$C$1005,"Transform input"))</x:f>
        <x:v>0</x:v>
      </x:c>
      <x:c r="AL402" s="4" t="n">
        <x:f>COUNTIFS('Material routes'!$D$6:$D$1005,A402,'Material routes'!$C$6:$C$1005,"Tool candidate")</x:f>
        <x:v>0</x:v>
      </x:c>
      <x:c r="AM402" s="4" t="str">
        <x:f>IF(AJ402&gt;0,"Route listed; review status/completeness",IF(C402="T0","Raw entry feed; no production route","No production route listed"))</x:f>
        <x:v>No production route listed</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str">
        <x:v>Equipment</x:v>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equipment; metal piercing tool; tool; finished item; manufactured / unresolved; metal forging; mixed / unresolved; assembly; proposal; smithing punch; hot punch; metal punch; not applicable; unassigned; finished item</x:v>
      </x:c>
      <x:c r="AF403" s="4" t="str">
        <x:v>Supporting smithing tool proposed for review; not separately established game canon.</x:v>
      </x:c>
      <x:c r="AG403" s="4" t="str">
        <x:v>Finished endpoint; material tier is not applicable. Input tiers belong to the chosen recipe.</x:v>
      </x:c>
      <x:c r="AH403" s="4" t="str">
        <x:v>Unassigned</x:v>
      </x:c>
      <x:c r="AI403" s="4" t="str">
        <x:v>Finished item</x:v>
      </x:c>
      <x:c r="AJ403" s="4" t="n">
        <x:f>COUNTIFS('Material routes'!$D$6:$D$1005,A403,'Material routes'!$C$6:$C$1005,"Output")</x:f>
        <x:v>0</x:v>
      </x:c>
      <x:c r="AK403" s="4" t="n">
        <x:f>SUM(COUNTIFS('Material routes'!$D$6:$D$1005,A403,'Material routes'!$C$6:$C$1005,"Ingredient candidate"),COUNTIFS('Material routes'!$D$6:$D$1005,A403,'Material routes'!$C$6:$C$1005,"Consumed input"),COUNTIFS('Material routes'!$D$6:$D$1005,A403,'Material routes'!$C$6:$C$1005,"Contained input"),COUNTIFS('Material routes'!$D$6:$D$1005,A403,'Material routes'!$C$6:$C$1005,"Transform input"))</x:f>
        <x:v>0</x:v>
      </x:c>
      <x:c r="AL403" s="4" t="n">
        <x:f>COUNTIFS('Material routes'!$D$6:$D$1005,A403,'Material routes'!$C$6:$C$1005,"Tool candidate")</x:f>
        <x:v>0</x:v>
      </x:c>
      <x:c r="AM403" s="4" t="str">
        <x:f>IF(AJ403&gt;0,"Route listed; review status/completeness",IF(C403="T0","Raw entry feed; no production route","No production route listed"))</x:f>
        <x:v>No production route listed</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str">
        <x:v>Equipment</x:v>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equipment; metal shaping tool; tool; finished item; manufactured / unresolved; metal forging; mixed / unresolved; assembly; proposal; smithing drift; forging drift; hole forming tool; not applicable; unassigned; finished item</x:v>
      </x:c>
      <x:c r="AF404" s="4" t="str">
        <x:v>Supporting smithing tool proposed for review; not separately established game canon.</x:v>
      </x:c>
      <x:c r="AG404" s="4" t="str">
        <x:v>Finished endpoint; material tier is not applicable. Input tiers belong to the chosen recipe.</x:v>
      </x:c>
      <x:c r="AH404" s="4" t="str">
        <x:v>Unassigned</x:v>
      </x:c>
      <x:c r="AI404" s="4" t="str">
        <x:v>Finished item</x:v>
      </x:c>
      <x:c r="AJ404" s="4" t="n">
        <x:f>COUNTIFS('Material routes'!$D$6:$D$1005,A404,'Material routes'!$C$6:$C$1005,"Output")</x:f>
        <x:v>0</x:v>
      </x:c>
      <x:c r="AK404" s="4" t="n">
        <x:f>SUM(COUNTIFS('Material routes'!$D$6:$D$1005,A404,'Material routes'!$C$6:$C$1005,"Ingredient candidate"),COUNTIFS('Material routes'!$D$6:$D$1005,A404,'Material routes'!$C$6:$C$1005,"Consumed input"),COUNTIFS('Material routes'!$D$6:$D$1005,A404,'Material routes'!$C$6:$C$1005,"Contained input"),COUNTIFS('Material routes'!$D$6:$D$1005,A404,'Material routes'!$C$6:$C$1005,"Transform input"))</x:f>
        <x:v>0</x:v>
      </x:c>
      <x:c r="AL404" s="4" t="n">
        <x:f>COUNTIFS('Material routes'!$D$6:$D$1005,A404,'Material routes'!$C$6:$C$1005,"Tool candidate")</x:f>
        <x:v>0</x:v>
      </x:c>
      <x:c r="AM404" s="4" t="str">
        <x:f>IF(AJ404&gt;0,"Route listed; review status/completeness",IF(C404="T0","Raw entry feed; no production route","No production route listed"))</x:f>
        <x:v>No production route listed</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str">
        <x:v>Equipment</x:v>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equipment; workshop forming fixture; tool; finished item; manufactured / unresolved; metal forging; mixed / unresolved; assembly; proposal; forming block; smithing swage; swage block; not applicable; unassigned; finished item</x:v>
      </x:c>
      <x:c r="AF405" s="4" t="str">
        <x:v>Supporting smithing tool proposed for review; not separately established game canon.</x:v>
      </x:c>
      <x:c r="AG405" s="4" t="str">
        <x:v>Finished endpoint; material tier is not applicable. Input tiers belong to the chosen recipe.</x:v>
      </x:c>
      <x:c r="AH405" s="4" t="str">
        <x:v>Unassigned</x:v>
      </x:c>
      <x:c r="AI405" s="4" t="str">
        <x:v>Finished item</x:v>
      </x:c>
      <x:c r="AJ405" s="4" t="n">
        <x:f>COUNTIFS('Material routes'!$D$6:$D$1005,A405,'Material routes'!$C$6:$C$1005,"Output")</x:f>
        <x:v>0</x:v>
      </x:c>
      <x:c r="AK405" s="4" t="n">
        <x:f>SUM(COUNTIFS('Material routes'!$D$6:$D$1005,A405,'Material routes'!$C$6:$C$1005,"Ingredient candidate"),COUNTIFS('Material routes'!$D$6:$D$1005,A405,'Material routes'!$C$6:$C$1005,"Consumed input"),COUNTIFS('Material routes'!$D$6:$D$1005,A405,'Material routes'!$C$6:$C$1005,"Contained input"),COUNTIFS('Material routes'!$D$6:$D$1005,A405,'Material routes'!$C$6:$C$1005,"Transform input"))</x:f>
        <x:v>0</x:v>
      </x:c>
      <x:c r="AL405" s="4" t="n">
        <x:f>COUNTIFS('Material routes'!$D$6:$D$1005,A405,'Material routes'!$C$6:$C$1005,"Tool candidate")</x:f>
        <x:v>0</x:v>
      </x:c>
      <x:c r="AM405" s="4" t="str">
        <x:f>IF(AJ405&gt;0,"Route listed; review status/completeness",IF(C405="T0","Raw entry feed; no production route","No production route listed"))</x:f>
        <x:v>No production route listed</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str">
        <x:v>Equipment</x:v>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equipment; metal finishing tool; tool; finished item; manufactured / unresolved; surface finishing; mixed / unresolved; assembly; proposal; metal file; smithing file; finishing file; not applicable; unassigned; finished item</x:v>
      </x:c>
      <x:c r="AF406" s="4" t="str">
        <x:v>Supporting smithing tool proposed for review; not separately established game canon.</x:v>
      </x:c>
      <x:c r="AG406" s="4" t="str">
        <x:v>Finished endpoint; material tier is not applicable. Input tiers belong to the chosen recipe.</x:v>
      </x:c>
      <x:c r="AH406" s="4" t="str">
        <x:v>Unassigned</x:v>
      </x:c>
      <x:c r="AI406" s="4" t="str">
        <x:v>Finished item</x:v>
      </x:c>
      <x:c r="AJ406" s="4" t="n">
        <x:f>COUNTIFS('Material routes'!$D$6:$D$1005,A406,'Material routes'!$C$6:$C$1005,"Output")</x:f>
        <x:v>0</x:v>
      </x:c>
      <x:c r="AK406" s="4" t="n">
        <x:f>SUM(COUNTIFS('Material routes'!$D$6:$D$1005,A406,'Material routes'!$C$6:$C$1005,"Ingredient candidate"),COUNTIFS('Material routes'!$D$6:$D$1005,A406,'Material routes'!$C$6:$C$1005,"Consumed input"),COUNTIFS('Material routes'!$D$6:$D$1005,A406,'Material routes'!$C$6:$C$1005,"Contained input"),COUNTIFS('Material routes'!$D$6:$D$1005,A406,'Material routes'!$C$6:$C$1005,"Transform input"))</x:f>
        <x:v>0</x:v>
      </x:c>
      <x:c r="AL406" s="4" t="n">
        <x:f>COUNTIFS('Material routes'!$D$6:$D$1005,A406,'Material routes'!$C$6:$C$1005,"Tool candidate")</x:f>
        <x:v>0</x:v>
      </x:c>
      <x:c r="AM406" s="4" t="str">
        <x:f>IF(AJ406&gt;0,"Route listed; review status/completeness",IF(C406="T0","Raw entry feed; no production route","No production route listed"))</x:f>
        <x:v>No production route listed</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str">
        <x:v>Equipment</x:v>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equipment; workshop heating equipment; machine; finished item; manufactured / unresolved; metal forging; mixed / unresolved; assembly; proposal; smithing forge; forge hearth; forging furnace; not applicable; unassigned; finished item</x:v>
      </x:c>
      <x:c r="AF407" s="4" t="str">
        <x:v>Supporting smithing tool proposed for review; not separately established game canon.</x:v>
      </x:c>
      <x:c r="AG407" s="4" t="str">
        <x:v>Finished endpoint; material tier is not applicable. Input tiers belong to the chosen recipe.</x:v>
      </x:c>
      <x:c r="AH407" s="4" t="str">
        <x:v>Unassigned</x:v>
      </x:c>
      <x:c r="AI407" s="4" t="str">
        <x:v>Finished item</x:v>
      </x:c>
      <x:c r="AJ407" s="4" t="n">
        <x:f>COUNTIFS('Material routes'!$D$6:$D$1005,A407,'Material routes'!$C$6:$C$1005,"Output")</x:f>
        <x:v>0</x:v>
      </x:c>
      <x:c r="AK407" s="4" t="n">
        <x:f>SUM(COUNTIFS('Material routes'!$D$6:$D$1005,A407,'Material routes'!$C$6:$C$1005,"Ingredient candidate"),COUNTIFS('Material routes'!$D$6:$D$1005,A407,'Material routes'!$C$6:$C$1005,"Consumed input"),COUNTIFS('Material routes'!$D$6:$D$1005,A407,'Material routes'!$C$6:$C$1005,"Contained input"),COUNTIFS('Material routes'!$D$6:$D$1005,A407,'Material routes'!$C$6:$C$1005,"Transform input"))</x:f>
        <x:v>0</x:v>
      </x:c>
      <x:c r="AL407" s="4" t="n">
        <x:f>COUNTIFS('Material routes'!$D$6:$D$1005,A407,'Material routes'!$C$6:$C$1005,"Tool candidate")</x:f>
        <x:v>0</x:v>
      </x:c>
      <x:c r="AM407" s="4" t="str">
        <x:f>IF(AJ407&gt;0,"Route listed; review status/completeness",IF(C407="T0","Raw entry feed; no production route","No production route listed"))</x:f>
        <x:v>No production route listed</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Resources</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resources;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routes'!$D$6:$D$1005,A408,'Material routes'!$C$6:$C$1005,"Output")</x:f>
        <x:v>1</x:v>
      </x:c>
      <x:c r="AK408" s="4" t="n">
        <x:f>SUM(COUNTIFS('Material routes'!$D$6:$D$1005,A408,'Material routes'!$C$6:$C$1005,"Ingredient candidate"),COUNTIFS('Material routes'!$D$6:$D$1005,A408,'Material routes'!$C$6:$C$1005,"Consumed input"),COUNTIFS('Material routes'!$D$6:$D$1005,A408,'Material routes'!$C$6:$C$1005,"Contained input"),COUNTIFS('Material routes'!$D$6:$D$1005,A408,'Material routes'!$C$6:$C$1005,"Transform input"))</x:f>
        <x:v>9</x:v>
      </x:c>
      <x:c r="AL408" s="4" t="n">
        <x:f>COUNTIFS('Material routes'!$D$6:$D$1005,A408,'Material routes'!$C$6:$C$1005,"Tool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t="str">
        <x:v>author.city_transport.carriage</x:v>
      </x:c>
      <x:c r="B409" s="9" t="str">
        <x:v>Inner-city carriage</x:v>
      </x:c>
      <x:c r="C409" s="4" t="str">
        <x:v>Not applicable</x:v>
      </x:c>
      <x:c r="D409" s="9" t="str">
        <x:v>Equipment</x:v>
      </x:c>
      <x:c r="E409" s="9" t="str">
        <x:v>Inner-city transport machine</x:v>
      </x:c>
      <x:c r="F409" s="9" t="str">
        <x:v>Author-directed concept</x:v>
      </x:c>
      <x:c r="G409" s="9" t="str">
        <x:v>Transport in the inner cities.</x:v>
      </x:c>
      <x:c r="H409" s="9" t="str">
        <x:v>None / vehicle</x:v>
      </x:c>
      <x:c r="I409" s="9" t="str">
        <x:v>Vehicle placement, storage and handling unresolved</x:v>
      </x:c>
      <x:c r="J409" s="13"/>
      <x:c r="K409" s="15"/>
      <x:c r="L409" s="9" t="str">
        <x:v>Inner-city transport; acquisition and ownership unresolved</x:v>
      </x:c>
      <x:c r="M409" s="9" t="str">
        <x:v>Construction, power source, materials and input tiers unresolved</x:v>
      </x:c>
      <x:c r="N409" s="9" t="str">
        <x:v>Lore item family; not implemented</x:v>
      </x:c>
      <x:c r="O409" s="9" t="str">
        <x:v>Most inner-city transport machinery is bipedal. Exact locomotion of this family remains open; wheels, draft animals and combustion engines are not established.</x:v>
      </x:c>
      <x:c r="P409" s="17"/>
      <x:c r="Q409" s="17"/>
      <x:c r="R409" s="17"/>
      <x:c r="S409" s="17"/>
      <x:c r="T409" s="17"/>
      <x:c r="U409" s="9" t="str">
        <x:v>Capacity, operation, ownership, availability outside cities and exact relation of cars/carriages to bipedal designs remain open.</x:v>
      </x:c>
      <x:c r="V409" s="11" t="str">
        <x:v>carriage; urban transport; inner city carriage</x:v>
      </x:c>
      <x:c r="W409" s="9" t="str">
        <x:v>Direct author direction, October 14, 2026; Docs/WORLD_BASIS.md#inner-city-transport</x:v>
      </x:c>
      <x:c r="X409" s="4" t="str">
        <x:v>Machine</x:v>
      </x:c>
      <x:c r="Y409" s="4" t="str">
        <x:v>Finished item</x:v>
      </x:c>
      <x:c r="Z409" s="4" t="str">
        <x:v>Manufactured / unresolved</x:v>
      </x:c>
      <x:c r="AA409" s="4" t="str">
        <x:v>Traversal</x:v>
      </x:c>
      <x:c r="AB409" s="4" t="str">
        <x:v>Mixed / unresolved</x:v>
      </x:c>
      <x:c r="AC409" s="4" t="str">
        <x:v>Assembly</x:v>
      </x:c>
      <x:c r="AD409" s="4" t="str">
        <x:v>Author direction</x:v>
      </x:c>
      <x:c r="AE409" s="4" t="str">
        <x:f>LOWER(A409&amp;"; "&amp;B409&amp;"; "&amp;D409&amp;"; "&amp;E409&amp;"; "&amp;X409&amp;"; "&amp;Y409&amp;"; "&amp;Z409&amp;"; "&amp;AA409&amp;"; "&amp;AB409&amp;"; "&amp;AC409&amp;"; "&amp;AD409&amp;"; "&amp;V409&amp;"; "&amp;C409&amp;"; "&amp;AH409&amp;"; "&amp;AI409)</x:f>
        <x:v>author.city_transport.carriage; inner-city carriage; equipment; inner-city transport machine; machine; finished item; manufactured / unresolved; traversal; mixed / unresolved; assembly; author direction; carriage; urban transport; inner city carriage; not applicable; unassigned; finished item</x:v>
      </x:c>
      <x:c r="AF409" s="4" t="str">
        <x:v>Inner-city carriage/car families and a dominant bipedal machinery context are author direction; their individual construction remains undefined.</x:v>
      </x:c>
      <x:c r="AG409" s="4" t="str">
        <x:v>Finished endpoint; material tier is not applicable. Input tiers belong to the chosen recipe.</x:v>
      </x:c>
      <x:c r="AH409" s="4" t="str">
        <x:v>Unassigned</x:v>
      </x:c>
      <x:c r="AI409" s="4" t="str">
        <x:v>Finished item</x:v>
      </x:c>
      <x:c r="AJ409" s="4" t="n">
        <x:f>COUNTIFS('Material routes'!$D$6:$D$1005,A409,'Material routes'!$C$6:$C$1005,"Output")</x:f>
        <x:v>0</x:v>
      </x:c>
      <x:c r="AK409" s="4" t="n">
        <x:f>SUM(COUNTIFS('Material routes'!$D$6:$D$1005,A409,'Material routes'!$C$6:$C$1005,"Ingredient candidate"),COUNTIFS('Material routes'!$D$6:$D$1005,A409,'Material routes'!$C$6:$C$1005,"Consumed input"),COUNTIFS('Material routes'!$D$6:$D$1005,A409,'Material routes'!$C$6:$C$1005,"Contained input"),COUNTIFS('Material routes'!$D$6:$D$1005,A409,'Material routes'!$C$6:$C$1005,"Transform input"))</x:f>
        <x:v>0</x:v>
      </x:c>
      <x:c r="AL409" s="4" t="n">
        <x:f>COUNTIFS('Material routes'!$D$6:$D$1005,A409,'Material routes'!$C$6:$C$1005,"Tool candidate")</x:f>
        <x:v>0</x:v>
      </x:c>
      <x:c r="AM409" s="4" t="str">
        <x:f>IF(AJ409&gt;0,"Route listed; review status/completeness",IF(C409="T0","Raw entry feed; no production route","No production route listed"))</x:f>
        <x:v>No production route listed</x:v>
      </x:c>
      <x:c r="AN409" s="14" t="n">
        <x:f>IF(C409="T0",0,IF(C409="T1",1,IF(C409="T2",2,IF(C409="T3",3,IF(C409="T4",4,IF(C409="Unassigned",98,99))))))</x:f>
        <x:v>99</x:v>
      </x:c>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t="str">
        <x:v>author.city_transport.car</x:v>
      </x:c>
      <x:c r="B410" s="9" t="str">
        <x:v>Inner-city car</x:v>
      </x:c>
      <x:c r="C410" s="4" t="str">
        <x:v>Not applicable</x:v>
      </x:c>
      <x:c r="D410" s="9" t="str">
        <x:v>Equipment</x:v>
      </x:c>
      <x:c r="E410" s="9" t="str">
        <x:v>Inner-city transport machine</x:v>
      </x:c>
      <x:c r="F410" s="9" t="str">
        <x:v>Author-directed concept</x:v>
      </x:c>
      <x:c r="G410" s="9" t="str">
        <x:v>Transport in the inner cities.</x:v>
      </x:c>
      <x:c r="H410" s="9" t="str">
        <x:v>None / vehicle</x:v>
      </x:c>
      <x:c r="I410" s="9" t="str">
        <x:v>Vehicle placement, storage and handling unresolved</x:v>
      </x:c>
      <x:c r="J410" s="13"/>
      <x:c r="K410" s="15"/>
      <x:c r="L410" s="9" t="str">
        <x:v>Inner-city transport; acquisition and ownership unresolved</x:v>
      </x:c>
      <x:c r="M410" s="9" t="str">
        <x:v>Construction, power source, materials and input tiers unresolved</x:v>
      </x:c>
      <x:c r="N410" s="9" t="str">
        <x:v>Lore item family; not implemented</x:v>
      </x:c>
      <x:c r="O410" s="9" t="str">
        <x:v>Most inner-city transport machinery is bipedal. Exact locomotion of this family remains open; wheels, draft animals and combustion engines are not established.</x:v>
      </x:c>
      <x:c r="P410" s="17"/>
      <x:c r="Q410" s="17"/>
      <x:c r="R410" s="17"/>
      <x:c r="S410" s="17"/>
      <x:c r="T410" s="17"/>
      <x:c r="U410" s="9" t="str">
        <x:v>Capacity, operation, ownership, availability outside cities and exact relation of cars/carriages to bipedal designs remain open.</x:v>
      </x:c>
      <x:c r="V410" s="11" t="str">
        <x:v>car; urban transport; inner city car</x:v>
      </x:c>
      <x:c r="W410" s="9" t="str">
        <x:v>Direct author direction, October 14, 2026; Docs/WORLD_BASIS.md#inner-city-transport</x:v>
      </x:c>
      <x:c r="X410" s="4" t="str">
        <x:v>Machine</x:v>
      </x:c>
      <x:c r="Y410" s="4" t="str">
        <x:v>Finished item</x:v>
      </x:c>
      <x:c r="Z410" s="4" t="str">
        <x:v>Manufactured / unresolved</x:v>
      </x:c>
      <x:c r="AA410" s="4" t="str">
        <x:v>Traversal</x:v>
      </x:c>
      <x:c r="AB410" s="4" t="str">
        <x:v>Mixed / unresolved</x:v>
      </x:c>
      <x:c r="AC410" s="4" t="str">
        <x:v>Assembly</x:v>
      </x:c>
      <x:c r="AD410" s="4" t="str">
        <x:v>Author direction</x:v>
      </x:c>
      <x:c r="AE410" s="4" t="str">
        <x:f>LOWER(A410&amp;"; "&amp;B410&amp;"; "&amp;D410&amp;"; "&amp;E410&amp;"; "&amp;X410&amp;"; "&amp;Y410&amp;"; "&amp;Z410&amp;"; "&amp;AA410&amp;"; "&amp;AB410&amp;"; "&amp;AC410&amp;"; "&amp;AD410&amp;"; "&amp;V410&amp;"; "&amp;C410&amp;"; "&amp;AH410&amp;"; "&amp;AI410)</x:f>
        <x:v>author.city_transport.car; inner-city car; equipment; inner-city transport machine; machine; finished item; manufactured / unresolved; traversal; mixed / unresolved; assembly; author direction; car; urban transport; inner city car; not applicable; unassigned; finished item</x:v>
      </x:c>
      <x:c r="AF410" s="4" t="str">
        <x:v>Inner-city carriage/car families and a dominant bipedal machinery context are author direction; their individual construction remains undefined.</x:v>
      </x:c>
      <x:c r="AG410" s="4" t="str">
        <x:v>Finished endpoint; material tier is not applicable. Input tiers belong to the chosen recipe.</x:v>
      </x:c>
      <x:c r="AH410" s="4" t="str">
        <x:v>Unassigned</x:v>
      </x:c>
      <x:c r="AI410" s="4" t="str">
        <x:v>Finished item</x:v>
      </x:c>
      <x:c r="AJ410" s="4" t="n">
        <x:f>COUNTIFS('Material routes'!$D$6:$D$1005,A410,'Material routes'!$C$6:$C$1005,"Output")</x:f>
        <x:v>0</x:v>
      </x:c>
      <x:c r="AK410" s="4" t="n">
        <x:f>SUM(COUNTIFS('Material routes'!$D$6:$D$1005,A410,'Material routes'!$C$6:$C$1005,"Ingredient candidate"),COUNTIFS('Material routes'!$D$6:$D$1005,A410,'Material routes'!$C$6:$C$1005,"Consumed input"),COUNTIFS('Material routes'!$D$6:$D$1005,A410,'Material routes'!$C$6:$C$1005,"Contained input"),COUNTIFS('Material routes'!$D$6:$D$1005,A410,'Material routes'!$C$6:$C$1005,"Transform input"))</x:f>
        <x:v>0</x:v>
      </x:c>
      <x:c r="AL410" s="4" t="n">
        <x:f>COUNTIFS('Material routes'!$D$6:$D$1005,A410,'Material routes'!$C$6:$C$1005,"Tool candidate")</x:f>
        <x:v>0</x:v>
      </x:c>
      <x:c r="AM410" s="4" t="str">
        <x:f>IF(AJ410&gt;0,"Route listed; review status/completeness",IF(C410="T0","Raw entry feed; no production route","No production route listed"))</x:f>
        <x:v>No production route listed</x:v>
      </x:c>
      <x:c r="AN410" s="14" t="n">
        <x:f>IF(C410="T0",0,IF(C410="T1",1,IF(C410="T2",2,IF(C410="T3",3,IF(C410="T4",4,IF(C410="Unassigned",98,99))))))</x:f>
        <x:v>99</x:v>
      </x:c>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Resources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resources;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routes'!$D$6:$D$1005,A411,'Material routes'!$C$6:$C$1005,"Output")</x:f>
        <x:v>1</x:v>
      </x:c>
      <x:c r="AK411" s="4" t="n">
        <x:f>SUM(COUNTIFS('Material routes'!$D$6:$D$1005,A411,'Material routes'!$C$6:$C$1005,"Ingredient candidate"),COUNTIFS('Material routes'!$D$6:$D$1005,A411,'Material routes'!$C$6:$C$1005,"Consumed input"),COUNTIFS('Material routes'!$D$6:$D$1005,A411,'Material routes'!$C$6:$C$1005,"Contained input"),COUNTIFS('Material routes'!$D$6:$D$1005,A411,'Material routes'!$C$6:$C$1005,"Transform input"))</x:f>
        <x:v>0</x:v>
      </x:c>
      <x:c r="AL411" s="4" t="n">
        <x:f>COUNTIFS('Material routes'!$D$6:$D$1005,A411,'Material routes'!$C$6:$C$1005,"Tool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15" customHeight="1">
      <x:c r="A412" s="9" t="str">
        <x:v>proposal.corrosion.converter</x:v>
      </x:c>
      <x:c r="B412" s="9" t="str">
        <x:v>Rust-conversion treatment</x:v>
      </x:c>
      <x:c r="C412" s="4" t="str">
        <x:v>Unassigned</x:v>
      </x:c>
      <x:c r="D412" s="9" t="str">
        <x:v>Resources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resources; metal surface-treatment material; chemical material; processed intermediate; manufactured / unresolved; surface finishing; mixed / unresolved; unresolved; proposal; rust converter; conversion treatment; oxide conversion; unassigned; not applicable; material</x:v>
      </x:c>
      <x:c r="AF412" s="4" t="str">
        <x:v>Supporting surface-treatment proposal informed by real-world distinctions; not separately accepted game canon.</x:v>
      </x:c>
      <x:c r="AG412" s="4" t="str">
        <x:v>Choose a material production route before assigning a numeric refinement tier.</x:v>
      </x:c>
      <x:c r="AH412" s="4" t="str">
        <x:v>Not applicable</x:v>
      </x:c>
      <x:c r="AI412" s="4" t="str">
        <x:v>Material</x:v>
      </x:c>
      <x:c r="AJ412" s="4" t="n">
        <x:f>COUNTIFS('Material routes'!$D$6:$D$1005,A412,'Material routes'!$C$6:$C$1005,"Output")</x:f>
        <x:v>0</x:v>
      </x:c>
      <x:c r="AK412" s="4" t="n">
        <x:f>SUM(COUNTIFS('Material routes'!$D$6:$D$1005,A412,'Material routes'!$C$6:$C$1005,"Ingredient candidate"),COUNTIFS('Material routes'!$D$6:$D$1005,A412,'Material routes'!$C$6:$C$1005,"Consumed input"),COUNTIFS('Material routes'!$D$6:$D$1005,A412,'Material routes'!$C$6:$C$1005,"Contained input"),COUNTIFS('Material routes'!$D$6:$D$1005,A412,'Material routes'!$C$6:$C$1005,"Transform input"))</x:f>
        <x:v>0</x:v>
      </x:c>
      <x:c r="AL412" s="4" t="n">
        <x:f>COUNTIFS('Material routes'!$D$6:$D$1005,A412,'Material routes'!$C$6:$C$1005,"Tool candidate")</x:f>
        <x:v>0</x:v>
      </x:c>
      <x:c r="AM412" s="4" t="str">
        <x:f>IF(AJ412&gt;0,"Route listed; review status/completeness",IF(C412="T0","Raw entry feed; no production route","No production route listed"))</x:f>
        <x:v>No production route listed</x:v>
      </x:c>
      <x:c r="AN412" s="14" t="n">
        <x:f>IF(C412="T0",0,IF(C412="T1",1,IF(C412="T2",2,IF(C412="T3",3,IF(C412="T4",4,IF(C412="Unassigned",98,99))))))</x:f>
        <x:v>98</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15" customHeight="1">
      <x:c r="A413" s="9" t="str">
        <x:v>proposal.corrosion.inhibitor</x:v>
      </x:c>
      <x:c r="B413" s="9" t="str">
        <x:v>Corrosion-inhibiting finish</x:v>
      </x:c>
      <x:c r="C413" s="4" t="str">
        <x:v>Unassigned</x:v>
      </x:c>
      <x:c r="D413" s="9" t="str">
        <x:v>Resources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resources; metal surface-treatment material; chemical material; processed intermediate; manufactured / unresolved; surface finishing; mixed / unresolved; unresolved; proposal; rust prevention; corrosion inhibitor; protective finish; unassigned; not applicable; material</x:v>
      </x:c>
      <x:c r="AF413" s="4" t="str">
        <x:v>Supporting surface-treatment proposal informed by real-world distinctions; not separately accepted game canon.</x:v>
      </x:c>
      <x:c r="AG413" s="4" t="str">
        <x:v>Choose a material production route before assigning a numeric refinement tier.</x:v>
      </x:c>
      <x:c r="AH413" s="4" t="str">
        <x:v>Not applicable</x:v>
      </x:c>
      <x:c r="AI413" s="4" t="str">
        <x:v>Material</x:v>
      </x:c>
      <x:c r="AJ413" s="4" t="n">
        <x:f>COUNTIFS('Material routes'!$D$6:$D$1005,A413,'Material routes'!$C$6:$C$1005,"Output")</x:f>
        <x:v>0</x:v>
      </x:c>
      <x:c r="AK413" s="4" t="n">
        <x:f>SUM(COUNTIFS('Material routes'!$D$6:$D$1005,A413,'Material routes'!$C$6:$C$1005,"Ingredient candidate"),COUNTIFS('Material routes'!$D$6:$D$1005,A413,'Material routes'!$C$6:$C$1005,"Consumed input"),COUNTIFS('Material routes'!$D$6:$D$1005,A413,'Material routes'!$C$6:$C$1005,"Contained input"),COUNTIFS('Material routes'!$D$6:$D$1005,A413,'Material routes'!$C$6:$C$1005,"Transform input"))</x:f>
        <x:v>0</x:v>
      </x:c>
      <x:c r="AL413" s="4" t="n">
        <x:f>COUNTIFS('Material routes'!$D$6:$D$1005,A413,'Material routes'!$C$6:$C$1005,"Tool candidate")</x:f>
        <x:v>0</x:v>
      </x:c>
      <x:c r="AM413" s="4" t="str">
        <x:f>IF(AJ413&gt;0,"Route listed; review status/completeness",IF(C413="T0","Raw entry feed; no production route","No production route listed"))</x:f>
        <x:v>No production route listed</x:v>
      </x:c>
      <x:c r="AN413" s="14" t="n">
        <x:f>IF(C413="T0",0,IF(C413="T1",1,IF(C413="T2",2,IF(C413="T3",3,IF(C413="T4",4,IF(C413="Unassigned",98,99))))))</x:f>
        <x:v>98</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x:v>
      </x:c>
      <x:c r="AG414" s="4" t="str">
        <x:v>Proposed tier: new raw entry feed.</x:v>
      </x:c>
      <x:c r="AH414" s="4" t="str">
        <x:v>Not applicable</x:v>
      </x:c>
      <x:c r="AI414" s="4" t="str">
        <x:v>Material</x:v>
      </x:c>
      <x:c r="AJ414" s="4" t="n">
        <x:f>COUNTIFS('Material routes'!$D$6:$D$1005,A414,'Material routes'!$C$6:$C$1005,"Output")</x:f>
        <x:v>0</x:v>
      </x:c>
      <x:c r="AK414" s="4" t="n">
        <x:f>SUM(COUNTIFS('Material routes'!$D$6:$D$1005,A414,'Material routes'!$C$6:$C$1005,"Ingredient candidate"),COUNTIFS('Material routes'!$D$6:$D$1005,A414,'Material routes'!$C$6:$C$1005,"Consumed input"),COUNTIFS('Material routes'!$D$6:$D$1005,A414,'Material routes'!$C$6:$C$1005,"Contained input"),COUNTIFS('Material routes'!$D$6:$D$1005,A414,'Material routes'!$C$6:$C$1005,"Transform input"))</x:f>
        <x:v>1</x:v>
      </x:c>
      <x:c r="AL414" s="4" t="n">
        <x:f>COUNTIFS('Material routes'!$D$6:$D$1005,A414,'Material routes'!$C$6:$C$1005,"Tool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Resources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resources;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x:v>
      </x:c>
      <x:c r="AG415" s="4" t="str">
        <x:v>Proposed tier: one above the highest listed material input; further ingredients may change the tier.</x:v>
      </x:c>
      <x:c r="AH415" s="4" t="str">
        <x:v>Not applicable</x:v>
      </x:c>
      <x:c r="AI415" s="4" t="str">
        <x:v>Material</x:v>
      </x:c>
      <x:c r="AJ415" s="4" t="n">
        <x:f>COUNTIFS('Material routes'!$D$6:$D$1005,A415,'Material routes'!$C$6:$C$1005,"Output")</x:f>
        <x:v>1</x:v>
      </x:c>
      <x:c r="AK415" s="4" t="n">
        <x:f>SUM(COUNTIFS('Material routes'!$D$6:$D$1005,A415,'Material routes'!$C$6:$C$1005,"Ingredient candidate"),COUNTIFS('Material routes'!$D$6:$D$1005,A415,'Material routes'!$C$6:$C$1005,"Consumed input"),COUNTIFS('Material routes'!$D$6:$D$1005,A415,'Material routes'!$C$6:$C$1005,"Contained input"),COUNTIFS('Material routes'!$D$6:$D$1005,A415,'Material routes'!$C$6:$C$1005,"Transform input"))</x:f>
        <x:v>3</x:v>
      </x:c>
      <x:c r="AL415" s="4" t="n">
        <x:f>COUNTIFS('Material routes'!$D$6:$D$1005,A415,'Material routes'!$C$6:$C$1005,"Tool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Resources</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resources;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x:v>
      </x:c>
      <x:c r="AG416" s="4" t="str">
        <x:v>Proposed tier: one above the highest listed material input; further ingredients may change the tier.</x:v>
      </x:c>
      <x:c r="AH416" s="4" t="str">
        <x:v>Not applicable</x:v>
      </x:c>
      <x:c r="AI416" s="4" t="str">
        <x:v>Material</x:v>
      </x:c>
      <x:c r="AJ416" s="4" t="n">
        <x:f>COUNTIFS('Material routes'!$D$6:$D$1005,A416,'Material routes'!$C$6:$C$1005,"Output")</x:f>
        <x:v>1</x:v>
      </x:c>
      <x:c r="AK416" s="4" t="n">
        <x:f>SUM(COUNTIFS('Material routes'!$D$6:$D$1005,A416,'Material routes'!$C$6:$C$1005,"Ingredient candidate"),COUNTIFS('Material routes'!$D$6:$D$1005,A416,'Material routes'!$C$6:$C$1005,"Consumed input"),COUNTIFS('Material routes'!$D$6:$D$1005,A416,'Material routes'!$C$6:$C$1005,"Contained input"),COUNTIFS('Material routes'!$D$6:$D$1005,A416,'Material routes'!$C$6:$C$1005,"Transform input"))</x:f>
        <x:v>1</x:v>
      </x:c>
      <x:c r="AL416" s="4" t="n">
        <x:f>COUNTIFS('Material routes'!$D$6:$D$1005,A416,'Material routes'!$C$6:$C$1005,"Tool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Resources</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resources;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x:v>
      </x:c>
      <x:c r="AG417" s="4" t="str">
        <x:v>Proposed tier: one above the highest listed material input; further ingredients may change the tier.</x:v>
      </x:c>
      <x:c r="AH417" s="4" t="str">
        <x:v>Not applicable</x:v>
      </x:c>
      <x:c r="AI417" s="4" t="str">
        <x:v>Material</x:v>
      </x:c>
      <x:c r="AJ417" s="4" t="n">
        <x:f>COUNTIFS('Material routes'!$D$6:$D$1005,A417,'Material routes'!$C$6:$C$1005,"Output")</x:f>
        <x:v>1</x:v>
      </x:c>
      <x:c r="AK417" s="4" t="n">
        <x:f>SUM(COUNTIFS('Material routes'!$D$6:$D$1005,A417,'Material routes'!$C$6:$C$1005,"Ingredient candidate"),COUNTIFS('Material routes'!$D$6:$D$1005,A417,'Material routes'!$C$6:$C$1005,"Consumed input"),COUNTIFS('Material routes'!$D$6:$D$1005,A417,'Material routes'!$C$6:$C$1005,"Contained input"),COUNTIFS('Material routes'!$D$6:$D$1005,A417,'Material routes'!$C$6:$C$1005,"Transform input"))</x:f>
        <x:v>1</x:v>
      </x:c>
      <x:c r="AL417" s="4" t="n">
        <x:f>COUNTIFS('Material routes'!$D$6:$D$1005,A417,'Material routes'!$C$6:$C$1005,"Tool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Resources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resources;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x:v>
      </x:c>
      <x:c r="AG418" s="4" t="str">
        <x:v>Proposed tier: one above the highest listed material input; further ingredients may change the tier.</x:v>
      </x:c>
      <x:c r="AH418" s="4" t="str">
        <x:v>Not applicable</x:v>
      </x:c>
      <x:c r="AI418" s="4" t="str">
        <x:v>Material</x:v>
      </x:c>
      <x:c r="AJ418" s="4" t="n">
        <x:f>COUNTIFS('Material routes'!$D$6:$D$1005,A418,'Material routes'!$C$6:$C$1005,"Output")</x:f>
        <x:v>1</x:v>
      </x:c>
      <x:c r="AK418" s="4" t="n">
        <x:f>SUM(COUNTIFS('Material routes'!$D$6:$D$1005,A418,'Material routes'!$C$6:$C$1005,"Ingredient candidate"),COUNTIFS('Material routes'!$D$6:$D$1005,A418,'Material routes'!$C$6:$C$1005,"Consumed input"),COUNTIFS('Material routes'!$D$6:$D$1005,A418,'Material routes'!$C$6:$C$1005,"Contained input"),COUNTIFS('Material routes'!$D$6:$D$1005,A418,'Material routes'!$C$6:$C$1005,"Transform input"))</x:f>
        <x:v>2</x:v>
      </x:c>
      <x:c r="AL418" s="4" t="n">
        <x:f>COUNTIFS('Material routes'!$D$6:$D$1005,A418,'Material routes'!$C$6:$C$1005,"Tool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Resources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resources;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x:v>
      </x:c>
      <x:c r="AG419" s="4" t="str">
        <x:v>Proposed tier: one above the highest listed material input; further ingredients may change the tier.</x:v>
      </x:c>
      <x:c r="AH419" s="4" t="str">
        <x:v>Not applicable</x:v>
      </x:c>
      <x:c r="AI419" s="4" t="str">
        <x:v>Material</x:v>
      </x:c>
      <x:c r="AJ419" s="4" t="n">
        <x:f>COUNTIFS('Material routes'!$D$6:$D$1005,A419,'Material routes'!$C$6:$C$1005,"Output")</x:f>
        <x:v>1</x:v>
      </x:c>
      <x:c r="AK419" s="4" t="n">
        <x:f>SUM(COUNTIFS('Material routes'!$D$6:$D$1005,A419,'Material routes'!$C$6:$C$1005,"Ingredient candidate"),COUNTIFS('Material routes'!$D$6:$D$1005,A419,'Material routes'!$C$6:$C$1005,"Consumed input"),COUNTIFS('Material routes'!$D$6:$D$1005,A419,'Material routes'!$C$6:$C$1005,"Contained input"),COUNTIFS('Material routes'!$D$6:$D$1005,A419,'Material routes'!$C$6:$C$1005,"Transform input"))</x:f>
        <x:v>1</x:v>
      </x:c>
      <x:c r="AL419" s="4" t="n">
        <x:f>COUNTIFS('Material routes'!$D$6:$D$1005,A419,'Material routes'!$C$6:$C$1005,"Tool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Resources</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resources;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x:v>
      </x:c>
      <x:c r="AG420" s="4" t="str">
        <x:v>Proposed tier: one above the highest listed material input; further ingredients may change the tier.</x:v>
      </x:c>
      <x:c r="AH420" s="4" t="str">
        <x:v>Not applicable</x:v>
      </x:c>
      <x:c r="AI420" s="4" t="str">
        <x:v>Material</x:v>
      </x:c>
      <x:c r="AJ420" s="4" t="n">
        <x:f>COUNTIFS('Material routes'!$D$6:$D$1005,A420,'Material routes'!$C$6:$C$1005,"Output")</x:f>
        <x:v>1</x:v>
      </x:c>
      <x:c r="AK420" s="4" t="n">
        <x:f>SUM(COUNTIFS('Material routes'!$D$6:$D$1005,A420,'Material routes'!$C$6:$C$1005,"Ingredient candidate"),COUNTIFS('Material routes'!$D$6:$D$1005,A420,'Material routes'!$C$6:$C$1005,"Consumed input"),COUNTIFS('Material routes'!$D$6:$D$1005,A420,'Material routes'!$C$6:$C$1005,"Contained input"),COUNTIFS('Material routes'!$D$6:$D$1005,A420,'Material routes'!$C$6:$C$1005,"Transform input"))</x:f>
        <x:v>2</x:v>
      </x:c>
      <x:c r="AL420" s="4" t="n">
        <x:f>COUNTIFS('Material routes'!$D$6:$D$1005,A420,'Material routes'!$C$6:$C$1005,"Tool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Resources</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resources;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x:v>
      </x:c>
      <x:c r="AG421" s="4" t="str">
        <x:v>Proposed tier: one above the highest listed material input; further ingredients may change the tier.</x:v>
      </x:c>
      <x:c r="AH421" s="4" t="str">
        <x:v>Not applicable</x:v>
      </x:c>
      <x:c r="AI421" s="4" t="str">
        <x:v>Material</x:v>
      </x:c>
      <x:c r="AJ421" s="4" t="n">
        <x:f>COUNTIFS('Material routes'!$D$6:$D$1005,A421,'Material routes'!$C$6:$C$1005,"Output")</x:f>
        <x:v>1</x:v>
      </x:c>
      <x:c r="AK421" s="4" t="n">
        <x:f>SUM(COUNTIFS('Material routes'!$D$6:$D$1005,A421,'Material routes'!$C$6:$C$1005,"Ingredient candidate"),COUNTIFS('Material routes'!$D$6:$D$1005,A421,'Material routes'!$C$6:$C$1005,"Consumed input"),COUNTIFS('Material routes'!$D$6:$D$1005,A421,'Material routes'!$C$6:$C$1005,"Contained input"),COUNTIFS('Material routes'!$D$6:$D$1005,A421,'Material routes'!$C$6:$C$1005,"Transform input"))</x:f>
        <x:v>7</x:v>
      </x:c>
      <x:c r="AL421" s="4" t="n">
        <x:f>COUNTIFS('Material routes'!$D$6:$D$1005,A421,'Material routes'!$C$6:$C$1005,"Tool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Resources</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resources;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x:v>
      </x:c>
      <x:c r="AG422" s="4" t="str">
        <x:v>Proposed tier: one above the highest listed material input; further ingredients may change the tier.</x:v>
      </x:c>
      <x:c r="AH422" s="4" t="str">
        <x:v>Not applicable</x:v>
      </x:c>
      <x:c r="AI422" s="4" t="str">
        <x:v>Material</x:v>
      </x:c>
      <x:c r="AJ422" s="4" t="n">
        <x:f>COUNTIFS('Material routes'!$D$6:$D$1005,A422,'Material routes'!$C$6:$C$1005,"Output")</x:f>
        <x:v>1</x:v>
      </x:c>
      <x:c r="AK422" s="4" t="n">
        <x:f>SUM(COUNTIFS('Material routes'!$D$6:$D$1005,A422,'Material routes'!$C$6:$C$1005,"Ingredient candidate"),COUNTIFS('Material routes'!$D$6:$D$1005,A422,'Material routes'!$C$6:$C$1005,"Consumed input"),COUNTIFS('Material routes'!$D$6:$D$1005,A422,'Material routes'!$C$6:$C$1005,"Contained input"),COUNTIFS('Material routes'!$D$6:$D$1005,A422,'Material routes'!$C$6:$C$1005,"Transform input"))</x:f>
        <x:v>4</x:v>
      </x:c>
      <x:c r="AL422" s="4" t="n">
        <x:f>COUNTIFS('Material routes'!$D$6:$D$1005,A422,'Material routes'!$C$6:$C$1005,"Tool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Resources</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resources;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x:v>
      </x:c>
      <x:c r="AG423" s="4" t="str">
        <x:v>Proposed tier: one above the highest listed material input; further ingredients may change the tier.</x:v>
      </x:c>
      <x:c r="AH423" s="4" t="str">
        <x:v>Not applicable</x:v>
      </x:c>
      <x:c r="AI423" s="4" t="str">
        <x:v>Material</x:v>
      </x:c>
      <x:c r="AJ423" s="4" t="n">
        <x:f>COUNTIFS('Material routes'!$D$6:$D$1005,A423,'Material routes'!$C$6:$C$1005,"Output")</x:f>
        <x:v>1</x:v>
      </x:c>
      <x:c r="AK423" s="4" t="n">
        <x:f>SUM(COUNTIFS('Material routes'!$D$6:$D$1005,A423,'Material routes'!$C$6:$C$1005,"Ingredient candidate"),COUNTIFS('Material routes'!$D$6:$D$1005,A423,'Material routes'!$C$6:$C$1005,"Consumed input"),COUNTIFS('Material routes'!$D$6:$D$1005,A423,'Material routes'!$C$6:$C$1005,"Contained input"),COUNTIFS('Material routes'!$D$6:$D$1005,A423,'Material routes'!$C$6:$C$1005,"Transform input"))</x:f>
        <x:v>1</x:v>
      </x:c>
      <x:c r="AL423" s="4" t="n">
        <x:f>COUNTIFS('Material routes'!$D$6:$D$1005,A423,'Material routes'!$C$6:$C$1005,"Tool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Resources</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resources;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x:v>
      </x:c>
      <x:c r="AG424" s="4" t="str">
        <x:v>Proposed tier: one above the highest listed material input; further ingredients may change the tier.</x:v>
      </x:c>
      <x:c r="AH424" s="4" t="str">
        <x:v>Not applicable</x:v>
      </x:c>
      <x:c r="AI424" s="4" t="str">
        <x:v>Material</x:v>
      </x:c>
      <x:c r="AJ424" s="4" t="n">
        <x:f>COUNTIFS('Material routes'!$D$6:$D$1005,A424,'Material routes'!$C$6:$C$1005,"Output")</x:f>
        <x:v>1</x:v>
      </x:c>
      <x:c r="AK424" s="4" t="n">
        <x:f>SUM(COUNTIFS('Material routes'!$D$6:$D$1005,A424,'Material routes'!$C$6:$C$1005,"Ingredient candidate"),COUNTIFS('Material routes'!$D$6:$D$1005,A424,'Material routes'!$C$6:$C$1005,"Consumed input"),COUNTIFS('Material routes'!$D$6:$D$1005,A424,'Material routes'!$C$6:$C$1005,"Contained input"),COUNTIFS('Material routes'!$D$6:$D$1005,A424,'Material routes'!$C$6:$C$1005,"Transform input"))</x:f>
        <x:v>1</x:v>
      </x:c>
      <x:c r="AL424" s="4" t="n">
        <x:f>COUNTIFS('Material routes'!$D$6:$D$1005,A424,'Material routes'!$C$6:$C$1005,"Tool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Resources</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resources;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x:v>
      </x:c>
      <x:c r="AG425" s="4" t="str">
        <x:v>Proposed tier: one above the highest listed material input; further ingredients may change the tier.</x:v>
      </x:c>
      <x:c r="AH425" s="4" t="str">
        <x:v>Not applicable</x:v>
      </x:c>
      <x:c r="AI425" s="4" t="str">
        <x:v>Material</x:v>
      </x:c>
      <x:c r="AJ425" s="4" t="n">
        <x:f>COUNTIFS('Material routes'!$D$6:$D$1005,A425,'Material routes'!$C$6:$C$1005,"Output")</x:f>
        <x:v>1</x:v>
      </x:c>
      <x:c r="AK425" s="4" t="n">
        <x:f>SUM(COUNTIFS('Material routes'!$D$6:$D$1005,A425,'Material routes'!$C$6:$C$1005,"Ingredient candidate"),COUNTIFS('Material routes'!$D$6:$D$1005,A425,'Material routes'!$C$6:$C$1005,"Consumed input"),COUNTIFS('Material routes'!$D$6:$D$1005,A425,'Material routes'!$C$6:$C$1005,"Contained input"),COUNTIFS('Material routes'!$D$6:$D$1005,A425,'Material routes'!$C$6:$C$1005,"Transform input"))</x:f>
        <x:v>1</x:v>
      </x:c>
      <x:c r="AL425" s="4" t="n">
        <x:f>COUNTIFS('Material routes'!$D$6:$D$1005,A425,'Material routes'!$C$6:$C$1005,"Tool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Resources</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resources;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x:v>
      </x:c>
      <x:c r="AG426" s="4" t="str">
        <x:v>Proposed tier: one above the highest listed material input; further ingredients may change the tier.</x:v>
      </x:c>
      <x:c r="AH426" s="4" t="str">
        <x:v>Not applicable</x:v>
      </x:c>
      <x:c r="AI426" s="4" t="str">
        <x:v>Material</x:v>
      </x:c>
      <x:c r="AJ426" s="4" t="n">
        <x:f>COUNTIFS('Material routes'!$D$6:$D$1005,A426,'Material routes'!$C$6:$C$1005,"Output")</x:f>
        <x:v>1</x:v>
      </x:c>
      <x:c r="AK426" s="4" t="n">
        <x:f>SUM(COUNTIFS('Material routes'!$D$6:$D$1005,A426,'Material routes'!$C$6:$C$1005,"Ingredient candidate"),COUNTIFS('Material routes'!$D$6:$D$1005,A426,'Material routes'!$C$6:$C$1005,"Consumed input"),COUNTIFS('Material routes'!$D$6:$D$1005,A426,'Material routes'!$C$6:$C$1005,"Contained input"),COUNTIFS('Material routes'!$D$6:$D$1005,A426,'Material routes'!$C$6:$C$1005,"Transform input"))</x:f>
        <x:v>4</x:v>
      </x:c>
      <x:c r="AL426" s="4" t="n">
        <x:f>COUNTIFS('Material routes'!$D$6:$D$1005,A426,'Material routes'!$C$6:$C$1005,"Tool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Resources</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resources;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x:v>
      </x:c>
      <x:c r="AG427" s="4" t="str">
        <x:v>Proposed tier: one above the highest listed material input; further ingredients may change the tier.</x:v>
      </x:c>
      <x:c r="AH427" s="4" t="str">
        <x:v>Not applicable</x:v>
      </x:c>
      <x:c r="AI427" s="4" t="str">
        <x:v>Material</x:v>
      </x:c>
      <x:c r="AJ427" s="4" t="n">
        <x:f>COUNTIFS('Material routes'!$D$6:$D$1005,A427,'Material routes'!$C$6:$C$1005,"Output")</x:f>
        <x:v>1</x:v>
      </x:c>
      <x:c r="AK427" s="4" t="n">
        <x:f>SUM(COUNTIFS('Material routes'!$D$6:$D$1005,A427,'Material routes'!$C$6:$C$1005,"Ingredient candidate"),COUNTIFS('Material routes'!$D$6:$D$1005,A427,'Material routes'!$C$6:$C$1005,"Consumed input"),COUNTIFS('Material routes'!$D$6:$D$1005,A427,'Material routes'!$C$6:$C$1005,"Contained input"),COUNTIFS('Material routes'!$D$6:$D$1005,A427,'Material routes'!$C$6:$C$1005,"Transform input"))</x:f>
        <x:v>2</x:v>
      </x:c>
      <x:c r="AL427" s="4" t="n">
        <x:f>COUNTIFS('Material routes'!$D$6:$D$1005,A427,'Material routes'!$C$6:$C$1005,"Tool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Resources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resources;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x:v>
      </x:c>
      <x:c r="AG428" s="4" t="str">
        <x:v>Proposed tier: one above the highest listed material input; further ingredients may change the tier.</x:v>
      </x:c>
      <x:c r="AH428" s="4" t="str">
        <x:v>Not applicable</x:v>
      </x:c>
      <x:c r="AI428" s="4" t="str">
        <x:v>Material</x:v>
      </x:c>
      <x:c r="AJ428" s="4" t="n">
        <x:f>COUNTIFS('Material routes'!$D$6:$D$1005,A428,'Material routes'!$C$6:$C$1005,"Output")</x:f>
        <x:v>1</x:v>
      </x:c>
      <x:c r="AK428" s="4" t="n">
        <x:f>SUM(COUNTIFS('Material routes'!$D$6:$D$1005,A428,'Material routes'!$C$6:$C$1005,"Ingredient candidate"),COUNTIFS('Material routes'!$D$6:$D$1005,A428,'Material routes'!$C$6:$C$1005,"Consumed input"),COUNTIFS('Material routes'!$D$6:$D$1005,A428,'Material routes'!$C$6:$C$1005,"Contained input"),COUNTIFS('Material routes'!$D$6:$D$1005,A428,'Material routes'!$C$6:$C$1005,"Transform input"))</x:f>
        <x:v>4</x:v>
      </x:c>
      <x:c r="AL428" s="4" t="n">
        <x:f>COUNTIFS('Material routes'!$D$6:$D$1005,A428,'Material routes'!$C$6:$C$1005,"Tool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Resources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resources;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x:v>
      </x:c>
      <x:c r="AG429" s="4" t="str">
        <x:v>Proposed tier: one above the highest listed material input; further ingredients may change the tier.</x:v>
      </x:c>
      <x:c r="AH429" s="4" t="str">
        <x:v>Not applicable</x:v>
      </x:c>
      <x:c r="AI429" s="4" t="str">
        <x:v>Material</x:v>
      </x:c>
      <x:c r="AJ429" s="4" t="n">
        <x:f>COUNTIFS('Material routes'!$D$6:$D$1005,A429,'Material routes'!$C$6:$C$1005,"Output")</x:f>
        <x:v>1</x:v>
      </x:c>
      <x:c r="AK429" s="4" t="n">
        <x:f>SUM(COUNTIFS('Material routes'!$D$6:$D$1005,A429,'Material routes'!$C$6:$C$1005,"Ingredient candidate"),COUNTIFS('Material routes'!$D$6:$D$1005,A429,'Material routes'!$C$6:$C$1005,"Consumed input"),COUNTIFS('Material routes'!$D$6:$D$1005,A429,'Material routes'!$C$6:$C$1005,"Contained input"),COUNTIFS('Material routes'!$D$6:$D$1005,A429,'Material routes'!$C$6:$C$1005,"Transform input"))</x:f>
        <x:v>8</x:v>
      </x:c>
      <x:c r="AL429" s="4" t="n">
        <x:f>COUNTIFS('Material routes'!$D$6:$D$1005,A429,'Material routes'!$C$6:$C$1005,"Tool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Resources</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resources;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x:v>
      </x:c>
      <x:c r="AG430" s="4" t="str">
        <x:v>Proposed tier: one above the highest listed material input; further ingredients may change the tier.</x:v>
      </x:c>
      <x:c r="AH430" s="4" t="str">
        <x:v>Not applicable</x:v>
      </x:c>
      <x:c r="AI430" s="4" t="str">
        <x:v>Material</x:v>
      </x:c>
      <x:c r="AJ430" s="4" t="n">
        <x:f>COUNTIFS('Material routes'!$D$6:$D$1005,A430,'Material routes'!$C$6:$C$1005,"Output")</x:f>
        <x:v>1</x:v>
      </x:c>
      <x:c r="AK430" s="4" t="n">
        <x:f>SUM(COUNTIFS('Material routes'!$D$6:$D$1005,A430,'Material routes'!$C$6:$C$1005,"Ingredient candidate"),COUNTIFS('Material routes'!$D$6:$D$1005,A430,'Material routes'!$C$6:$C$1005,"Consumed input"),COUNTIFS('Material routes'!$D$6:$D$1005,A430,'Material routes'!$C$6:$C$1005,"Contained input"),COUNTIFS('Material routes'!$D$6:$D$1005,A430,'Material routes'!$C$6:$C$1005,"Transform input"))</x:f>
        <x:v>1</x:v>
      </x:c>
      <x:c r="AL430" s="4" t="n">
        <x:f>COUNTIFS('Material routes'!$D$6:$D$1005,A430,'Material routes'!$C$6:$C$1005,"Tool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Resources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resources;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x:v>
      </x:c>
      <x:c r="AG431" s="4" t="str">
        <x:v>Proposed tier: one above the highest listed material input; further ingredients may change the tier.</x:v>
      </x:c>
      <x:c r="AH431" s="4" t="str">
        <x:v>Not applicable</x:v>
      </x:c>
      <x:c r="AI431" s="4" t="str">
        <x:v>Material</x:v>
      </x:c>
      <x:c r="AJ431" s="4" t="n">
        <x:f>COUNTIFS('Material routes'!$D$6:$D$1005,A431,'Material routes'!$C$6:$C$1005,"Output")</x:f>
        <x:v>1</x:v>
      </x:c>
      <x:c r="AK431" s="4" t="n">
        <x:f>SUM(COUNTIFS('Material routes'!$D$6:$D$1005,A431,'Material routes'!$C$6:$C$1005,"Ingredient candidate"),COUNTIFS('Material routes'!$D$6:$D$1005,A431,'Material routes'!$C$6:$C$1005,"Consumed input"),COUNTIFS('Material routes'!$D$6:$D$1005,A431,'Material routes'!$C$6:$C$1005,"Contained input"),COUNTIFS('Material routes'!$D$6:$D$1005,A431,'Material routes'!$C$6:$C$1005,"Transform input"))</x:f>
        <x:v>8</x:v>
      </x:c>
      <x:c r="AL431" s="4" t="n">
        <x:f>COUNTIFS('Material routes'!$D$6:$D$1005,A431,'Material routes'!$C$6:$C$1005,"Tool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Resources</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resources;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x:v>
      </x:c>
      <x:c r="AG432" s="4" t="str">
        <x:v>Proposed tier: one above the highest listed material input; further ingredients may change the tier.</x:v>
      </x:c>
      <x:c r="AH432" s="4" t="str">
        <x:v>Not applicable</x:v>
      </x:c>
      <x:c r="AI432" s="4" t="str">
        <x:v>Material</x:v>
      </x:c>
      <x:c r="AJ432" s="4" t="n">
        <x:f>COUNTIFS('Material routes'!$D$6:$D$1005,A432,'Material routes'!$C$6:$C$1005,"Output")</x:f>
        <x:v>1</x:v>
      </x:c>
      <x:c r="AK432" s="4" t="n">
        <x:f>SUM(COUNTIFS('Material routes'!$D$6:$D$1005,A432,'Material routes'!$C$6:$C$1005,"Ingredient candidate"),COUNTIFS('Material routes'!$D$6:$D$1005,A432,'Material routes'!$C$6:$C$1005,"Consumed input"),COUNTIFS('Material routes'!$D$6:$D$1005,A432,'Material routes'!$C$6:$C$1005,"Contained input"),COUNTIFS('Material routes'!$D$6:$D$1005,A432,'Material routes'!$C$6:$C$1005,"Transform input"))</x:f>
        <x:v>3</x:v>
      </x:c>
      <x:c r="AL432" s="4" t="n">
        <x:f>COUNTIFS('Material routes'!$D$6:$D$1005,A432,'Material routes'!$C$6:$C$1005,"Tool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Resources</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resources;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x:v>
      </x:c>
      <x:c r="AG433" s="4" t="str">
        <x:v>Proposed tier: one above the highest listed material input; further ingredients may change the tier.</x:v>
      </x:c>
      <x:c r="AH433" s="4" t="str">
        <x:v>Not applicable</x:v>
      </x:c>
      <x:c r="AI433" s="4" t="str">
        <x:v>Material</x:v>
      </x:c>
      <x:c r="AJ433" s="4" t="n">
        <x:f>COUNTIFS('Material routes'!$D$6:$D$1005,A433,'Material routes'!$C$6:$C$1005,"Output")</x:f>
        <x:v>1</x:v>
      </x:c>
      <x:c r="AK433" s="4" t="n">
        <x:f>SUM(COUNTIFS('Material routes'!$D$6:$D$1005,A433,'Material routes'!$C$6:$C$1005,"Ingredient candidate"),COUNTIFS('Material routes'!$D$6:$D$1005,A433,'Material routes'!$C$6:$C$1005,"Consumed input"),COUNTIFS('Material routes'!$D$6:$D$1005,A433,'Material routes'!$C$6:$C$1005,"Contained input"),COUNTIFS('Material routes'!$D$6:$D$1005,A433,'Material routes'!$C$6:$C$1005,"Transform input"))</x:f>
        <x:v>1</x:v>
      </x:c>
      <x:c r="AL433" s="4" t="n">
        <x:f>COUNTIFS('Material routes'!$D$6:$D$1005,A433,'Material routes'!$C$6:$C$1005,"Tool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Resources</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resources;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x:v>
      </x:c>
      <x:c r="AG434" s="4" t="str">
        <x:v>Proposed tier: one above the highest listed material input; further ingredients may change the tier.</x:v>
      </x:c>
      <x:c r="AH434" s="4" t="str">
        <x:v>Not applicable</x:v>
      </x:c>
      <x:c r="AI434" s="4" t="str">
        <x:v>Material</x:v>
      </x:c>
      <x:c r="AJ434" s="4" t="n">
        <x:f>COUNTIFS('Material routes'!$D$6:$D$1005,A434,'Material routes'!$C$6:$C$1005,"Output")</x:f>
        <x:v>1</x:v>
      </x:c>
      <x:c r="AK434" s="4" t="n">
        <x:f>SUM(COUNTIFS('Material routes'!$D$6:$D$1005,A434,'Material routes'!$C$6:$C$1005,"Ingredient candidate"),COUNTIFS('Material routes'!$D$6:$D$1005,A434,'Material routes'!$C$6:$C$1005,"Consumed input"),COUNTIFS('Material routes'!$D$6:$D$1005,A434,'Material routes'!$C$6:$C$1005,"Contained input"),COUNTIFS('Material routes'!$D$6:$D$1005,A434,'Material routes'!$C$6:$C$1005,"Transform input"))</x:f>
        <x:v>1</x:v>
      </x:c>
      <x:c r="AL434" s="4" t="n">
        <x:f>COUNTIFS('Material routes'!$D$6:$D$1005,A434,'Material routes'!$C$6:$C$1005,"Tool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Resources</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resources;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x:v>
      </x:c>
      <x:c r="AG435" s="4" t="str">
        <x:v>Proposed tier: one above the highest listed material input; further ingredients may change the tier.</x:v>
      </x:c>
      <x:c r="AH435" s="4" t="str">
        <x:v>Not applicable</x:v>
      </x:c>
      <x:c r="AI435" s="4" t="str">
        <x:v>Material</x:v>
      </x:c>
      <x:c r="AJ435" s="4" t="n">
        <x:f>COUNTIFS('Material routes'!$D$6:$D$1005,A435,'Material routes'!$C$6:$C$1005,"Output")</x:f>
        <x:v>1</x:v>
      </x:c>
      <x:c r="AK435" s="4" t="n">
        <x:f>SUM(COUNTIFS('Material routes'!$D$6:$D$1005,A435,'Material routes'!$C$6:$C$1005,"Ingredient candidate"),COUNTIFS('Material routes'!$D$6:$D$1005,A435,'Material routes'!$C$6:$C$1005,"Consumed input"),COUNTIFS('Material routes'!$D$6:$D$1005,A435,'Material routes'!$C$6:$C$1005,"Contained input"),COUNTIFS('Material routes'!$D$6:$D$1005,A435,'Material routes'!$C$6:$C$1005,"Transform input"))</x:f>
        <x:v>1</x:v>
      </x:c>
      <x:c r="AL435" s="4" t="n">
        <x:f>COUNTIFS('Material routes'!$D$6:$D$1005,A435,'Material routes'!$C$6:$C$1005,"Tool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Resources</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resources;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x:v>
      </x:c>
      <x:c r="AG436" s="4" t="str">
        <x:v>Proposed tier: one above the highest listed material input; further ingredients may change the tier.</x:v>
      </x:c>
      <x:c r="AH436" s="4" t="str">
        <x:v>Not applicable</x:v>
      </x:c>
      <x:c r="AI436" s="4" t="str">
        <x:v>Material</x:v>
      </x:c>
      <x:c r="AJ436" s="4" t="n">
        <x:f>COUNTIFS('Material routes'!$D$6:$D$1005,A436,'Material routes'!$C$6:$C$1005,"Output")</x:f>
        <x:v>1</x:v>
      </x:c>
      <x:c r="AK436" s="4" t="n">
        <x:f>SUM(COUNTIFS('Material routes'!$D$6:$D$1005,A436,'Material routes'!$C$6:$C$1005,"Ingredient candidate"),COUNTIFS('Material routes'!$D$6:$D$1005,A436,'Material routes'!$C$6:$C$1005,"Consumed input"),COUNTIFS('Material routes'!$D$6:$D$1005,A436,'Material routes'!$C$6:$C$1005,"Contained input"),COUNTIFS('Material routes'!$D$6:$D$1005,A436,'Material routes'!$C$6:$C$1005,"Transform input"))</x:f>
        <x:v>2</x:v>
      </x:c>
      <x:c r="AL436" s="4" t="n">
        <x:f>COUNTIFS('Material routes'!$D$6:$D$1005,A436,'Material routes'!$C$6:$C$1005,"Tool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Resources</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resources;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x:v>
      </x:c>
      <x:c r="AG437" s="4" t="str">
        <x:v>Proposed tier: one above the highest listed material input; further ingredients may change the tier.</x:v>
      </x:c>
      <x:c r="AH437" s="4" t="str">
        <x:v>Not applicable</x:v>
      </x:c>
      <x:c r="AI437" s="4" t="str">
        <x:v>Material</x:v>
      </x:c>
      <x:c r="AJ437" s="4" t="n">
        <x:f>COUNTIFS('Material routes'!$D$6:$D$1005,A437,'Material routes'!$C$6:$C$1005,"Output")</x:f>
        <x:v>1</x:v>
      </x:c>
      <x:c r="AK437" s="4" t="n">
        <x:f>SUM(COUNTIFS('Material routes'!$D$6:$D$1005,A437,'Material routes'!$C$6:$C$1005,"Ingredient candidate"),COUNTIFS('Material routes'!$D$6:$D$1005,A437,'Material routes'!$C$6:$C$1005,"Consumed input"),COUNTIFS('Material routes'!$D$6:$D$1005,A437,'Material routes'!$C$6:$C$1005,"Contained input"),COUNTIFS('Material routes'!$D$6:$D$1005,A437,'Material routes'!$C$6:$C$1005,"Transform input"))</x:f>
        <x:v>1</x:v>
      </x:c>
      <x:c r="AL437" s="4" t="n">
        <x:f>COUNTIFS('Material routes'!$D$6:$D$1005,A437,'Material routes'!$C$6:$C$1005,"Tool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Resources</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resources;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x:v>
      </x:c>
      <x:c r="AG438" s="4" t="str">
        <x:v>Proposed tier: one above the highest listed material input; further ingredients may change the tier.</x:v>
      </x:c>
      <x:c r="AH438" s="4" t="str">
        <x:v>Not applicable</x:v>
      </x:c>
      <x:c r="AI438" s="4" t="str">
        <x:v>Material</x:v>
      </x:c>
      <x:c r="AJ438" s="4" t="n">
        <x:f>COUNTIFS('Material routes'!$D$6:$D$1005,A438,'Material routes'!$C$6:$C$1005,"Output")</x:f>
        <x:v>1</x:v>
      </x:c>
      <x:c r="AK438" s="4" t="n">
        <x:f>SUM(COUNTIFS('Material routes'!$D$6:$D$1005,A438,'Material routes'!$C$6:$C$1005,"Ingredient candidate"),COUNTIFS('Material routes'!$D$6:$D$1005,A438,'Material routes'!$C$6:$C$1005,"Consumed input"),COUNTIFS('Material routes'!$D$6:$D$1005,A438,'Material routes'!$C$6:$C$1005,"Contained input"),COUNTIFS('Material routes'!$D$6:$D$1005,A438,'Material routes'!$C$6:$C$1005,"Transform input"))</x:f>
        <x:v>1</x:v>
      </x:c>
      <x:c r="AL438" s="4" t="n">
        <x:f>COUNTIFS('Material routes'!$D$6:$D$1005,A438,'Material routes'!$C$6:$C$1005,"Tool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Resources</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resources;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x:v>
      </x:c>
      <x:c r="AG439" s="4" t="str">
        <x:v>Proposed tier: one above the highest listed material input; further ingredients may change the tier.</x:v>
      </x:c>
      <x:c r="AH439" s="4" t="str">
        <x:v>Not applicable</x:v>
      </x:c>
      <x:c r="AI439" s="4" t="str">
        <x:v>Material</x:v>
      </x:c>
      <x:c r="AJ439" s="4" t="n">
        <x:f>COUNTIFS('Material routes'!$D$6:$D$1005,A439,'Material routes'!$C$6:$C$1005,"Output")</x:f>
        <x:v>1</x:v>
      </x:c>
      <x:c r="AK439" s="4" t="n">
        <x:f>SUM(COUNTIFS('Material routes'!$D$6:$D$1005,A439,'Material routes'!$C$6:$C$1005,"Ingredient candidate"),COUNTIFS('Material routes'!$D$6:$D$1005,A439,'Material routes'!$C$6:$C$1005,"Consumed input"),COUNTIFS('Material routes'!$D$6:$D$1005,A439,'Material routes'!$C$6:$C$1005,"Contained input"),COUNTIFS('Material routes'!$D$6:$D$1005,A439,'Material routes'!$C$6:$C$1005,"Transform input"))</x:f>
        <x:v>1</x:v>
      </x:c>
      <x:c r="AL439" s="4" t="n">
        <x:f>COUNTIFS('Material routes'!$D$6:$D$1005,A439,'Material routes'!$C$6:$C$1005,"Tool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Resources</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resources;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x:v>
      </x:c>
      <x:c r="AG440" s="4" t="str">
        <x:v>Proposed tier: one above the highest listed material input; further ingredients may change the tier.</x:v>
      </x:c>
      <x:c r="AH440" s="4" t="str">
        <x:v>Not applicable</x:v>
      </x:c>
      <x:c r="AI440" s="4" t="str">
        <x:v>Material</x:v>
      </x:c>
      <x:c r="AJ440" s="4" t="n">
        <x:f>COUNTIFS('Material routes'!$D$6:$D$1005,A440,'Material routes'!$C$6:$C$1005,"Output")</x:f>
        <x:v>1</x:v>
      </x:c>
      <x:c r="AK440" s="4" t="n">
        <x:f>SUM(COUNTIFS('Material routes'!$D$6:$D$1005,A440,'Material routes'!$C$6:$C$1005,"Ingredient candidate"),COUNTIFS('Material routes'!$D$6:$D$1005,A440,'Material routes'!$C$6:$C$1005,"Consumed input"),COUNTIFS('Material routes'!$D$6:$D$1005,A440,'Material routes'!$C$6:$C$1005,"Contained input"),COUNTIFS('Material routes'!$D$6:$D$1005,A440,'Material routes'!$C$6:$C$1005,"Transform input"))</x:f>
        <x:v>1</x:v>
      </x:c>
      <x:c r="AL440" s="4" t="n">
        <x:f>COUNTIFS('Material routes'!$D$6:$D$1005,A440,'Material routes'!$C$6:$C$1005,"Tool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Resources</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resources;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x:v>
      </x:c>
      <x:c r="AG441" s="4" t="str">
        <x:v>Proposed tier: one above the highest listed material input; further ingredients may change the tier.</x:v>
      </x:c>
      <x:c r="AH441" s="4" t="str">
        <x:v>Not applicable</x:v>
      </x:c>
      <x:c r="AI441" s="4" t="str">
        <x:v>Material</x:v>
      </x:c>
      <x:c r="AJ441" s="4" t="n">
        <x:f>COUNTIFS('Material routes'!$D$6:$D$1005,A441,'Material routes'!$C$6:$C$1005,"Output")</x:f>
        <x:v>1</x:v>
      </x:c>
      <x:c r="AK441" s="4" t="n">
        <x:f>SUM(COUNTIFS('Material routes'!$D$6:$D$1005,A441,'Material routes'!$C$6:$C$1005,"Ingredient candidate"),COUNTIFS('Material routes'!$D$6:$D$1005,A441,'Material routes'!$C$6:$C$1005,"Consumed input"),COUNTIFS('Material routes'!$D$6:$D$1005,A441,'Material routes'!$C$6:$C$1005,"Contained input"),COUNTIFS('Material routes'!$D$6:$D$1005,A441,'Material routes'!$C$6:$C$1005,"Transform input"))</x:f>
        <x:v>2</x:v>
      </x:c>
      <x:c r="AL441" s="4" t="n">
        <x:f>COUNTIFS('Material routes'!$D$6:$D$1005,A441,'Material routes'!$C$6:$C$1005,"Tool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Resources</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resources;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x:v>
      </x:c>
      <x:c r="AG442" s="4" t="str">
        <x:v>Proposed tier: one above the highest listed material input; further ingredients may change the tier.</x:v>
      </x:c>
      <x:c r="AH442" s="4" t="str">
        <x:v>Not applicable</x:v>
      </x:c>
      <x:c r="AI442" s="4" t="str">
        <x:v>Material</x:v>
      </x:c>
      <x:c r="AJ442" s="4" t="n">
        <x:f>COUNTIFS('Material routes'!$D$6:$D$1005,A442,'Material routes'!$C$6:$C$1005,"Output")</x:f>
        <x:v>1</x:v>
      </x:c>
      <x:c r="AK442" s="4" t="n">
        <x:f>SUM(COUNTIFS('Material routes'!$D$6:$D$1005,A442,'Material routes'!$C$6:$C$1005,"Ingredient candidate"),COUNTIFS('Material routes'!$D$6:$D$1005,A442,'Material routes'!$C$6:$C$1005,"Consumed input"),COUNTIFS('Material routes'!$D$6:$D$1005,A442,'Material routes'!$C$6:$C$1005,"Contained input"),COUNTIFS('Material routes'!$D$6:$D$1005,A442,'Material routes'!$C$6:$C$1005,"Transform input"))</x:f>
        <x:v>0</x:v>
      </x:c>
      <x:c r="AL442" s="4" t="n">
        <x:f>COUNTIFS('Material routes'!$D$6:$D$1005,A442,'Material routes'!$C$6:$C$1005,"Tool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Resources</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resources;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x:v>
      </x:c>
      <x:c r="AG443" s="4" t="str">
        <x:v>Proposed tier: one above the highest listed material input; further ingredients may change the tier.</x:v>
      </x:c>
      <x:c r="AH443" s="4" t="str">
        <x:v>Not applicable</x:v>
      </x:c>
      <x:c r="AI443" s="4" t="str">
        <x:v>Material</x:v>
      </x:c>
      <x:c r="AJ443" s="4" t="n">
        <x:f>COUNTIFS('Material routes'!$D$6:$D$1005,A443,'Material routes'!$C$6:$C$1005,"Output")</x:f>
        <x:v>1</x:v>
      </x:c>
      <x:c r="AK443" s="4" t="n">
        <x:f>SUM(COUNTIFS('Material routes'!$D$6:$D$1005,A443,'Material routes'!$C$6:$C$1005,"Ingredient candidate"),COUNTIFS('Material routes'!$D$6:$D$1005,A443,'Material routes'!$C$6:$C$1005,"Consumed input"),COUNTIFS('Material routes'!$D$6:$D$1005,A443,'Material routes'!$C$6:$C$1005,"Contained input"),COUNTIFS('Material routes'!$D$6:$D$1005,A443,'Material routes'!$C$6:$C$1005,"Transform input"))</x:f>
        <x:v>0</x:v>
      </x:c>
      <x:c r="AL443" s="4" t="n">
        <x:f>COUNTIFS('Material routes'!$D$6:$D$1005,A443,'Material routes'!$C$6:$C$1005,"Tool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Resources</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resources;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x:v>
      </x:c>
      <x:c r="AG444" s="4" t="str">
        <x:v>Proposed tier: one above the highest listed material input; further ingredients may change the tier.</x:v>
      </x:c>
      <x:c r="AH444" s="4" t="str">
        <x:v>Not applicable</x:v>
      </x:c>
      <x:c r="AI444" s="4" t="str">
        <x:v>Material</x:v>
      </x:c>
      <x:c r="AJ444" s="4" t="n">
        <x:f>COUNTIFS('Material routes'!$D$6:$D$1005,A444,'Material routes'!$C$6:$C$1005,"Output")</x:f>
        <x:v>1</x:v>
      </x:c>
      <x:c r="AK444" s="4" t="n">
        <x:f>SUM(COUNTIFS('Material routes'!$D$6:$D$1005,A444,'Material routes'!$C$6:$C$1005,"Ingredient candidate"),COUNTIFS('Material routes'!$D$6:$D$1005,A444,'Material routes'!$C$6:$C$1005,"Consumed input"),COUNTIFS('Material routes'!$D$6:$D$1005,A444,'Material routes'!$C$6:$C$1005,"Contained input"),COUNTIFS('Material routes'!$D$6:$D$1005,A444,'Material routes'!$C$6:$C$1005,"Transform input"))</x:f>
        <x:v>0</x:v>
      </x:c>
      <x:c r="AL444" s="4" t="n">
        <x:f>COUNTIFS('Material routes'!$D$6:$D$1005,A444,'Material routes'!$C$6:$C$1005,"Tool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routes'!$D$6:$D$1005,A445,'Material routes'!$C$6:$C$1005,"Output")</x:f>
        <x:v>1</x:v>
      </x:c>
      <x:c r="AK445" s="4" t="n">
        <x:f>SUM(COUNTIFS('Material routes'!$D$6:$D$1005,A445,'Material routes'!$C$6:$C$1005,"Ingredient candidate"),COUNTIFS('Material routes'!$D$6:$D$1005,A445,'Material routes'!$C$6:$C$1005,"Consumed input"),COUNTIFS('Material routes'!$D$6:$D$1005,A445,'Material routes'!$C$6:$C$1005,"Contained input"),COUNTIFS('Material routes'!$D$6:$D$1005,A445,'Material routes'!$C$6:$C$1005,"Transform input"))</x:f>
        <x:v>0</x:v>
      </x:c>
      <x:c r="AL445" s="4" t="n">
        <x:f>COUNTIFS('Material routes'!$D$6:$D$1005,A445,'Material routes'!$C$6:$C$1005,"Tool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Resources</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resources;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x:v>
      </x:c>
      <x:c r="AG446" s="4" t="str">
        <x:v>Proposed tier: one above the highest listed material input; further ingredients may change the tier.</x:v>
      </x:c>
      <x:c r="AH446" s="4" t="str">
        <x:v>Not applicable</x:v>
      </x:c>
      <x:c r="AI446" s="4" t="str">
        <x:v>Material</x:v>
      </x:c>
      <x:c r="AJ446" s="4" t="n">
        <x:f>COUNTIFS('Material routes'!$D$6:$D$1005,A446,'Material routes'!$C$6:$C$1005,"Output")</x:f>
        <x:v>1</x:v>
      </x:c>
      <x:c r="AK446" s="4" t="n">
        <x:f>SUM(COUNTIFS('Material routes'!$D$6:$D$1005,A446,'Material routes'!$C$6:$C$1005,"Ingredient candidate"),COUNTIFS('Material routes'!$D$6:$D$1005,A446,'Material routes'!$C$6:$C$1005,"Consumed input"),COUNTIFS('Material routes'!$D$6:$D$1005,A446,'Material routes'!$C$6:$C$1005,"Contained input"),COUNTIFS('Material routes'!$D$6:$D$1005,A446,'Material routes'!$C$6:$C$1005,"Transform input"))</x:f>
        <x:v>0</x:v>
      </x:c>
      <x:c r="AL446" s="4" t="n">
        <x:f>COUNTIFS('Material routes'!$D$6:$D$1005,A446,'Material routes'!$C$6:$C$1005,"Tool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routes'!$D$6:$D$1005,A447,'Material routes'!$C$6:$C$1005,"Output")</x:f>
        <x:v>1</x:v>
      </x:c>
      <x:c r="AK447" s="4" t="n">
        <x:f>SUM(COUNTIFS('Material routes'!$D$6:$D$1005,A447,'Material routes'!$C$6:$C$1005,"Ingredient candidate"),COUNTIFS('Material routes'!$D$6:$D$1005,A447,'Material routes'!$C$6:$C$1005,"Consumed input"),COUNTIFS('Material routes'!$D$6:$D$1005,A447,'Material routes'!$C$6:$C$1005,"Contained input"),COUNTIFS('Material routes'!$D$6:$D$1005,A447,'Material routes'!$C$6:$C$1005,"Transform input"))</x:f>
        <x:v>0</x:v>
      </x:c>
      <x:c r="AL447" s="4" t="n">
        <x:f>COUNTIFS('Material routes'!$D$6:$D$1005,A447,'Material routes'!$C$6:$C$1005,"Tool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routes'!$D$6:$D$1005,A448,'Material routes'!$C$6:$C$1005,"Output")</x:f>
        <x:v>1</x:v>
      </x:c>
      <x:c r="AK448" s="4" t="n">
        <x:f>SUM(COUNTIFS('Material routes'!$D$6:$D$1005,A448,'Material routes'!$C$6:$C$1005,"Ingredient candidate"),COUNTIFS('Material routes'!$D$6:$D$1005,A448,'Material routes'!$C$6:$C$1005,"Consumed input"),COUNTIFS('Material routes'!$D$6:$D$1005,A448,'Material routes'!$C$6:$C$1005,"Contained input"),COUNTIFS('Material routes'!$D$6:$D$1005,A448,'Material routes'!$C$6:$C$1005,"Transform input"))</x:f>
        <x:v>0</x:v>
      </x:c>
      <x:c r="AL448" s="4" t="n">
        <x:f>COUNTIFS('Material routes'!$D$6:$D$1005,A448,'Material routes'!$C$6:$C$1005,"Tool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routes'!$D$6:$D$1005,A449,'Material routes'!$C$6:$C$1005,"Output")</x:f>
        <x:v>1</x:v>
      </x:c>
      <x:c r="AK449" s="4" t="n">
        <x:f>SUM(COUNTIFS('Material routes'!$D$6:$D$1005,A449,'Material routes'!$C$6:$C$1005,"Ingredient candidate"),COUNTIFS('Material routes'!$D$6:$D$1005,A449,'Material routes'!$C$6:$C$1005,"Consumed input"),COUNTIFS('Material routes'!$D$6:$D$1005,A449,'Material routes'!$C$6:$C$1005,"Contained input"),COUNTIFS('Material routes'!$D$6:$D$1005,A449,'Material routes'!$C$6:$C$1005,"Transform input"))</x:f>
        <x:v>0</x:v>
      </x:c>
      <x:c r="AL449" s="4" t="n">
        <x:f>COUNTIFS('Material routes'!$D$6:$D$1005,A449,'Material routes'!$C$6:$C$1005,"Tool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Resources</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resources;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x:v>
      </x:c>
      <x:c r="AG450" s="4" t="str">
        <x:v>Proposed T3: one stage above highest listed T2 ingredient; partial recipe may change.</x:v>
      </x:c>
      <x:c r="AH450" s="4" t="str">
        <x:v>Not applicable</x:v>
      </x:c>
      <x:c r="AI450" s="4" t="str">
        <x:v>Material</x:v>
      </x:c>
      <x:c r="AJ450" s="4" t="n">
        <x:f>COUNTIFS('Material routes'!$D$6:$D$1005,A450,'Material routes'!$C$6:$C$1005,"Output")</x:f>
        <x:v>1</x:v>
      </x:c>
      <x:c r="AK450" s="4" t="n">
        <x:f>SUM(COUNTIFS('Material routes'!$D$6:$D$1005,A450,'Material routes'!$C$6:$C$1005,"Ingredient candidate"),COUNTIFS('Material routes'!$D$6:$D$1005,A450,'Material routes'!$C$6:$C$1005,"Consumed input"),COUNTIFS('Material routes'!$D$6:$D$1005,A450,'Material routes'!$C$6:$C$1005,"Contained input"),COUNTIFS('Material routes'!$D$6:$D$1005,A450,'Material routes'!$C$6:$C$1005,"Transform input"))</x:f>
        <x:v>0</x:v>
      </x:c>
      <x:c r="AL450" s="4" t="n">
        <x:f>COUNTIFS('Material routes'!$D$6:$D$1005,A450,'Material routes'!$C$6:$C$1005,"Tool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Resources</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resources;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x:v>
      </x:c>
      <x:c r="AG451" s="4" t="str">
        <x:v>Proposed T3: one stage above highest listed T2 ingredient; partial recipe may change.</x:v>
      </x:c>
      <x:c r="AH451" s="4" t="str">
        <x:v>Not applicable</x:v>
      </x:c>
      <x:c r="AI451" s="4" t="str">
        <x:v>Material</x:v>
      </x:c>
      <x:c r="AJ451" s="4" t="n">
        <x:f>COUNTIFS('Material routes'!$D$6:$D$1005,A451,'Material routes'!$C$6:$C$1005,"Output")</x:f>
        <x:v>1</x:v>
      </x:c>
      <x:c r="AK451" s="4" t="n">
        <x:f>SUM(COUNTIFS('Material routes'!$D$6:$D$1005,A451,'Material routes'!$C$6:$C$1005,"Ingredient candidate"),COUNTIFS('Material routes'!$D$6:$D$1005,A451,'Material routes'!$C$6:$C$1005,"Consumed input"),COUNTIFS('Material routes'!$D$6:$D$1005,A451,'Material routes'!$C$6:$C$1005,"Contained input"),COUNTIFS('Material routes'!$D$6:$D$1005,A451,'Material routes'!$C$6:$C$1005,"Transform input"))</x:f>
        <x:v>0</x:v>
      </x:c>
      <x:c r="AL451" s="4" t="n">
        <x:f>COUNTIFS('Material routes'!$D$6:$D$1005,A451,'Material routes'!$C$6:$C$1005,"Tool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routes'!$D$6:$D$1005,A452,'Material routes'!$C$6:$C$1005,"Output")</x:f>
        <x:v>1</x:v>
      </x:c>
      <x:c r="AK452" s="4" t="n">
        <x:f>SUM(COUNTIFS('Material routes'!$D$6:$D$1005,A452,'Material routes'!$C$6:$C$1005,"Ingredient candidate"),COUNTIFS('Material routes'!$D$6:$D$1005,A452,'Material routes'!$C$6:$C$1005,"Consumed input"),COUNTIFS('Material routes'!$D$6:$D$1005,A452,'Material routes'!$C$6:$C$1005,"Contained input"),COUNTIFS('Material routes'!$D$6:$D$1005,A452,'Material routes'!$C$6:$C$1005,"Transform input"))</x:f>
        <x:v>0</x:v>
      </x:c>
      <x:c r="AL452" s="4" t="n">
        <x:f>COUNTIFS('Material routes'!$D$6:$D$1005,A452,'Material routes'!$C$6:$C$1005,"Tool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Resources</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resources;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x:v>
      </x:c>
      <x:c r="AG453" s="4" t="str">
        <x:v>Proposed T3: one stage above highest listed T2 ingredient; partial recipe may change.</x:v>
      </x:c>
      <x:c r="AH453" s="4" t="str">
        <x:v>Not applicable</x:v>
      </x:c>
      <x:c r="AI453" s="4" t="str">
        <x:v>Material</x:v>
      </x:c>
      <x:c r="AJ453" s="4" t="n">
        <x:f>COUNTIFS('Material routes'!$D$6:$D$1005,A453,'Material routes'!$C$6:$C$1005,"Output")</x:f>
        <x:v>1</x:v>
      </x:c>
      <x:c r="AK453" s="4" t="n">
        <x:f>SUM(COUNTIFS('Material routes'!$D$6:$D$1005,A453,'Material routes'!$C$6:$C$1005,"Ingredient candidate"),COUNTIFS('Material routes'!$D$6:$D$1005,A453,'Material routes'!$C$6:$C$1005,"Consumed input"),COUNTIFS('Material routes'!$D$6:$D$1005,A453,'Material routes'!$C$6:$C$1005,"Contained input"),COUNTIFS('Material routes'!$D$6:$D$1005,A453,'Material routes'!$C$6:$C$1005,"Transform input"))</x:f>
        <x:v>0</x:v>
      </x:c>
      <x:c r="AL453" s="4" t="n">
        <x:f>COUNTIFS('Material routes'!$D$6:$D$1005,A453,'Material routes'!$C$6:$C$1005,"Tool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routes'!$D$6:$D$1005,A454,'Material routes'!$C$6:$C$1005,"Output")</x:f>
        <x:v>1</x:v>
      </x:c>
      <x:c r="AK454" s="4" t="n">
        <x:f>SUM(COUNTIFS('Material routes'!$D$6:$D$1005,A454,'Material routes'!$C$6:$C$1005,"Ingredient candidate"),COUNTIFS('Material routes'!$D$6:$D$1005,A454,'Material routes'!$C$6:$C$1005,"Consumed input"),COUNTIFS('Material routes'!$D$6:$D$1005,A454,'Material routes'!$C$6:$C$1005,"Contained input"),COUNTIFS('Material routes'!$D$6:$D$1005,A454,'Material routes'!$C$6:$C$1005,"Transform input"))</x:f>
        <x:v>0</x:v>
      </x:c>
      <x:c r="AL454" s="4" t="n">
        <x:f>COUNTIFS('Material routes'!$D$6:$D$1005,A454,'Material routes'!$C$6:$C$1005,"Tool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routes'!$D$6:$D$1005,A455,'Material routes'!$C$6:$C$1005,"Output")</x:f>
        <x:v>1</x:v>
      </x:c>
      <x:c r="AK455" s="4" t="n">
        <x:f>SUM(COUNTIFS('Material routes'!$D$6:$D$1005,A455,'Material routes'!$C$6:$C$1005,"Ingredient candidate"),COUNTIFS('Material routes'!$D$6:$D$1005,A455,'Material routes'!$C$6:$C$1005,"Consumed input"),COUNTIFS('Material routes'!$D$6:$D$1005,A455,'Material routes'!$C$6:$C$1005,"Contained input"),COUNTIFS('Material routes'!$D$6:$D$1005,A455,'Material routes'!$C$6:$C$1005,"Transform input"))</x:f>
        <x:v>0</x:v>
      </x:c>
      <x:c r="AL455" s="4" t="n">
        <x:f>COUNTIFS('Material routes'!$D$6:$D$1005,A455,'Material routes'!$C$6:$C$1005,"Tool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routes'!$D$6:$D$1005,A456,'Material routes'!$C$6:$C$1005,"Output")</x:f>
        <x:v>1</x:v>
      </x:c>
      <x:c r="AK456" s="4" t="n">
        <x:f>SUM(COUNTIFS('Material routes'!$D$6:$D$1005,A456,'Material routes'!$C$6:$C$1005,"Ingredient candidate"),COUNTIFS('Material routes'!$D$6:$D$1005,A456,'Material routes'!$C$6:$C$1005,"Consumed input"),COUNTIFS('Material routes'!$D$6:$D$1005,A456,'Material routes'!$C$6:$C$1005,"Contained input"),COUNTIFS('Material routes'!$D$6:$D$1005,A456,'Material routes'!$C$6:$C$1005,"Transform input"))</x:f>
        <x:v>0</x:v>
      </x:c>
      <x:c r="AL456" s="4" t="n">
        <x:f>COUNTIFS('Material routes'!$D$6:$D$1005,A456,'Material routes'!$C$6:$C$1005,"Tool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Resources</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resources;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x:v>
      </x:c>
      <x:c r="AG457" s="4" t="str">
        <x:v>Proposed T3: one stage above highest listed T2 ingredient; partial recipe may change.</x:v>
      </x:c>
      <x:c r="AH457" s="4" t="str">
        <x:v>Not applicable</x:v>
      </x:c>
      <x:c r="AI457" s="4" t="str">
        <x:v>Material</x:v>
      </x:c>
      <x:c r="AJ457" s="4" t="n">
        <x:f>COUNTIFS('Material routes'!$D$6:$D$1005,A457,'Material routes'!$C$6:$C$1005,"Output")</x:f>
        <x:v>1</x:v>
      </x:c>
      <x:c r="AK457" s="4" t="n">
        <x:f>SUM(COUNTIFS('Material routes'!$D$6:$D$1005,A457,'Material routes'!$C$6:$C$1005,"Ingredient candidate"),COUNTIFS('Material routes'!$D$6:$D$1005,A457,'Material routes'!$C$6:$C$1005,"Consumed input"),COUNTIFS('Material routes'!$D$6:$D$1005,A457,'Material routes'!$C$6:$C$1005,"Contained input"),COUNTIFS('Material routes'!$D$6:$D$1005,A457,'Material routes'!$C$6:$C$1005,"Transform input"))</x:f>
        <x:v>0</x:v>
      </x:c>
      <x:c r="AL457" s="4" t="n">
        <x:f>COUNTIFS('Material routes'!$D$6:$D$1005,A457,'Material routes'!$C$6:$C$1005,"Tool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Resources</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resources;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x:v>
      </x:c>
      <x:c r="AG458" s="4" t="str">
        <x:v>Proposed T3: one stage above highest listed T2 ingredient; partial recipe may change.</x:v>
      </x:c>
      <x:c r="AH458" s="4" t="str">
        <x:v>Not applicable</x:v>
      </x:c>
      <x:c r="AI458" s="4" t="str">
        <x:v>Material</x:v>
      </x:c>
      <x:c r="AJ458" s="4" t="n">
        <x:f>COUNTIFS('Material routes'!$D$6:$D$1005,A458,'Material routes'!$C$6:$C$1005,"Output")</x:f>
        <x:v>1</x:v>
      </x:c>
      <x:c r="AK458" s="4" t="n">
        <x:f>SUM(COUNTIFS('Material routes'!$D$6:$D$1005,A458,'Material routes'!$C$6:$C$1005,"Ingredient candidate"),COUNTIFS('Material routes'!$D$6:$D$1005,A458,'Material routes'!$C$6:$C$1005,"Consumed input"),COUNTIFS('Material routes'!$D$6:$D$1005,A458,'Material routes'!$C$6:$C$1005,"Contained input"),COUNTIFS('Material routes'!$D$6:$D$1005,A458,'Material routes'!$C$6:$C$1005,"Transform input"))</x:f>
        <x:v>0</x:v>
      </x:c>
      <x:c r="AL458" s="4" t="n">
        <x:f>COUNTIFS('Material routes'!$D$6:$D$1005,A458,'Material routes'!$C$6:$C$1005,"Tool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Resources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resources;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x:v>
      </x:c>
      <x:c r="AG459" s="4" t="str">
        <x:v>Proposed T3: one stage above highest listed T2 ingredient; partial recipe may change.</x:v>
      </x:c>
      <x:c r="AH459" s="4" t="str">
        <x:v>Not applicable</x:v>
      </x:c>
      <x:c r="AI459" s="4" t="str">
        <x:v>Material</x:v>
      </x:c>
      <x:c r="AJ459" s="4" t="n">
        <x:f>COUNTIFS('Material routes'!$D$6:$D$1005,A459,'Material routes'!$C$6:$C$1005,"Output")</x:f>
        <x:v>1</x:v>
      </x:c>
      <x:c r="AK459" s="4" t="n">
        <x:f>SUM(COUNTIFS('Material routes'!$D$6:$D$1005,A459,'Material routes'!$C$6:$C$1005,"Ingredient candidate"),COUNTIFS('Material routes'!$D$6:$D$1005,A459,'Material routes'!$C$6:$C$1005,"Consumed input"),COUNTIFS('Material routes'!$D$6:$D$1005,A459,'Material routes'!$C$6:$C$1005,"Contained input"),COUNTIFS('Material routes'!$D$6:$D$1005,A459,'Material routes'!$C$6:$C$1005,"Transform input"))</x:f>
        <x:v>0</x:v>
      </x:c>
      <x:c r="AL459" s="4" t="n">
        <x:f>COUNTIFS('Material routes'!$D$6:$D$1005,A459,'Material routes'!$C$6:$C$1005,"Tool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Resources</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resources;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x:v>
      </x:c>
      <x:c r="AG460" s="4" t="str">
        <x:v>Proposed T3: one stage above highest listed T2 ingredient; partial recipe may change.</x:v>
      </x:c>
      <x:c r="AH460" s="4" t="str">
        <x:v>Not applicable</x:v>
      </x:c>
      <x:c r="AI460" s="4" t="str">
        <x:v>Material</x:v>
      </x:c>
      <x:c r="AJ460" s="4" t="n">
        <x:f>COUNTIFS('Material routes'!$D$6:$D$1005,A460,'Material routes'!$C$6:$C$1005,"Output")</x:f>
        <x:v>1</x:v>
      </x:c>
      <x:c r="AK460" s="4" t="n">
        <x:f>SUM(COUNTIFS('Material routes'!$D$6:$D$1005,A460,'Material routes'!$C$6:$C$1005,"Ingredient candidate"),COUNTIFS('Material routes'!$D$6:$D$1005,A460,'Material routes'!$C$6:$C$1005,"Consumed input"),COUNTIFS('Material routes'!$D$6:$D$1005,A460,'Material routes'!$C$6:$C$1005,"Contained input"),COUNTIFS('Material routes'!$D$6:$D$1005,A460,'Material routes'!$C$6:$C$1005,"Transform input"))</x:f>
        <x:v>0</x:v>
      </x:c>
      <x:c r="AL460" s="4" t="n">
        <x:f>COUNTIFS('Material routes'!$D$6:$D$1005,A460,'Material routes'!$C$6:$C$1005,"Tool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routes'!$D$6:$D$1005,A461,'Material routes'!$C$6:$C$1005,"Output")</x:f>
        <x:v>1</x:v>
      </x:c>
      <x:c r="AK461" s="4" t="n">
        <x:f>SUM(COUNTIFS('Material routes'!$D$6:$D$1005,A461,'Material routes'!$C$6:$C$1005,"Ingredient candidate"),COUNTIFS('Material routes'!$D$6:$D$1005,A461,'Material routes'!$C$6:$C$1005,"Consumed input"),COUNTIFS('Material routes'!$D$6:$D$1005,A461,'Material routes'!$C$6:$C$1005,"Contained input"),COUNTIFS('Material routes'!$D$6:$D$1005,A461,'Material routes'!$C$6:$C$1005,"Transform input"))</x:f>
        <x:v>0</x:v>
      </x:c>
      <x:c r="AL461" s="4" t="n">
        <x:f>COUNTIFS('Material routes'!$D$6:$D$1005,A461,'Material routes'!$C$6:$C$1005,"Tool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Resources</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resources;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x:v>
      </x:c>
      <x:c r="AG462" s="4" t="str">
        <x:v>Proposed T3: one stage above highest listed T2 ingredient; partial recipe may change.</x:v>
      </x:c>
      <x:c r="AH462" s="4" t="str">
        <x:v>Not applicable</x:v>
      </x:c>
      <x:c r="AI462" s="4" t="str">
        <x:v>Material</x:v>
      </x:c>
      <x:c r="AJ462" s="4" t="n">
        <x:f>COUNTIFS('Material routes'!$D$6:$D$1005,A462,'Material routes'!$C$6:$C$1005,"Output")</x:f>
        <x:v>1</x:v>
      </x:c>
      <x:c r="AK462" s="4" t="n">
        <x:f>SUM(COUNTIFS('Material routes'!$D$6:$D$1005,A462,'Material routes'!$C$6:$C$1005,"Ingredient candidate"),COUNTIFS('Material routes'!$D$6:$D$1005,A462,'Material routes'!$C$6:$C$1005,"Consumed input"),COUNTIFS('Material routes'!$D$6:$D$1005,A462,'Material routes'!$C$6:$C$1005,"Contained input"),COUNTIFS('Material routes'!$D$6:$D$1005,A462,'Material routes'!$C$6:$C$1005,"Transform input"))</x:f>
        <x:v>0</x:v>
      </x:c>
      <x:c r="AL462" s="4" t="n">
        <x:f>COUNTIFS('Material routes'!$D$6:$D$1005,A462,'Material routes'!$C$6:$C$1005,"Tool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Resources</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resources;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x:v>
      </x:c>
      <x:c r="AG463" s="4" t="str">
        <x:v>Proposed T3: one stage above highest listed T2 ingredient; partial recipe may change.</x:v>
      </x:c>
      <x:c r="AH463" s="4" t="str">
        <x:v>Not applicable</x:v>
      </x:c>
      <x:c r="AI463" s="4" t="str">
        <x:v>Material</x:v>
      </x:c>
      <x:c r="AJ463" s="4" t="n">
        <x:f>COUNTIFS('Material routes'!$D$6:$D$1005,A463,'Material routes'!$C$6:$C$1005,"Output")</x:f>
        <x:v>1</x:v>
      </x:c>
      <x:c r="AK463" s="4" t="n">
        <x:f>SUM(COUNTIFS('Material routes'!$D$6:$D$1005,A463,'Material routes'!$C$6:$C$1005,"Ingredient candidate"),COUNTIFS('Material routes'!$D$6:$D$1005,A463,'Material routes'!$C$6:$C$1005,"Consumed input"),COUNTIFS('Material routes'!$D$6:$D$1005,A463,'Material routes'!$C$6:$C$1005,"Contained input"),COUNTIFS('Material routes'!$D$6:$D$1005,A463,'Material routes'!$C$6:$C$1005,"Transform input"))</x:f>
        <x:v>0</x:v>
      </x:c>
      <x:c r="AL463" s="4" t="n">
        <x:f>COUNTIFS('Material routes'!$D$6:$D$1005,A463,'Material routes'!$C$6:$C$1005,"Tool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Resources</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resources;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x:v>
      </x:c>
      <x:c r="AG464" s="4" t="str">
        <x:v>Proposed T3: one stage above highest listed T2 ingredient; partial recipe may change.</x:v>
      </x:c>
      <x:c r="AH464" s="4" t="str">
        <x:v>Not applicable</x:v>
      </x:c>
      <x:c r="AI464" s="4" t="str">
        <x:v>Material</x:v>
      </x:c>
      <x:c r="AJ464" s="4" t="n">
        <x:f>COUNTIFS('Material routes'!$D$6:$D$1005,A464,'Material routes'!$C$6:$C$1005,"Output")</x:f>
        <x:v>1</x:v>
      </x:c>
      <x:c r="AK464" s="4" t="n">
        <x:f>SUM(COUNTIFS('Material routes'!$D$6:$D$1005,A464,'Material routes'!$C$6:$C$1005,"Ingredient candidate"),COUNTIFS('Material routes'!$D$6:$D$1005,A464,'Material routes'!$C$6:$C$1005,"Consumed input"),COUNTIFS('Material routes'!$D$6:$D$1005,A464,'Material routes'!$C$6:$C$1005,"Contained input"),COUNTIFS('Material routes'!$D$6:$D$1005,A464,'Material routes'!$C$6:$C$1005,"Transform input"))</x:f>
        <x:v>0</x:v>
      </x:c>
      <x:c r="AL464" s="4" t="n">
        <x:f>COUNTIFS('Material routes'!$D$6:$D$1005,A464,'Material routes'!$C$6:$C$1005,"Tool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routes'!$D$6:$D$1005,A465,'Material routes'!$C$6:$C$1005,"Output")</x:f>
        <x:v>1</x:v>
      </x:c>
      <x:c r="AK465" s="4" t="n">
        <x:f>SUM(COUNTIFS('Material routes'!$D$6:$D$1005,A465,'Material routes'!$C$6:$C$1005,"Ingredient candidate"),COUNTIFS('Material routes'!$D$6:$D$1005,A465,'Material routes'!$C$6:$C$1005,"Consumed input"),COUNTIFS('Material routes'!$D$6:$D$1005,A465,'Material routes'!$C$6:$C$1005,"Contained input"),COUNTIFS('Material routes'!$D$6:$D$1005,A465,'Material routes'!$C$6:$C$1005,"Transform input"))</x:f>
        <x:v>0</x:v>
      </x:c>
      <x:c r="AL465" s="4" t="n">
        <x:f>COUNTIFS('Material routes'!$D$6:$D$1005,A465,'Material routes'!$C$6:$C$1005,"Tool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routes'!$D$6:$D$1005,A466,'Material routes'!$C$6:$C$1005,"Output")</x:f>
        <x:v>1</x:v>
      </x:c>
      <x:c r="AK466" s="4" t="n">
        <x:f>SUM(COUNTIFS('Material routes'!$D$6:$D$1005,A466,'Material routes'!$C$6:$C$1005,"Ingredient candidate"),COUNTIFS('Material routes'!$D$6:$D$1005,A466,'Material routes'!$C$6:$C$1005,"Consumed input"),COUNTIFS('Material routes'!$D$6:$D$1005,A466,'Material routes'!$C$6:$C$1005,"Contained input"),COUNTIFS('Material routes'!$D$6:$D$1005,A466,'Material routes'!$C$6:$C$1005,"Transform input"))</x:f>
        <x:v>0</x:v>
      </x:c>
      <x:c r="AL466" s="4" t="n">
        <x:f>COUNTIFS('Material routes'!$D$6:$D$1005,A466,'Material routes'!$C$6:$C$1005,"Tool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Resources</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resources;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x:v>
      </x:c>
      <x:c r="AG467" s="4" t="str">
        <x:v>Proposed T3: one stage above highest listed T2 ingredient; partial recipe may change.</x:v>
      </x:c>
      <x:c r="AH467" s="4" t="str">
        <x:v>Not applicable</x:v>
      </x:c>
      <x:c r="AI467" s="4" t="str">
        <x:v>Material</x:v>
      </x:c>
      <x:c r="AJ467" s="4" t="n">
        <x:f>COUNTIFS('Material routes'!$D$6:$D$1005,A467,'Material routes'!$C$6:$C$1005,"Output")</x:f>
        <x:v>1</x:v>
      </x:c>
      <x:c r="AK467" s="4" t="n">
        <x:f>SUM(COUNTIFS('Material routes'!$D$6:$D$1005,A467,'Material routes'!$C$6:$C$1005,"Ingredient candidate"),COUNTIFS('Material routes'!$D$6:$D$1005,A467,'Material routes'!$C$6:$C$1005,"Consumed input"),COUNTIFS('Material routes'!$D$6:$D$1005,A467,'Material routes'!$C$6:$C$1005,"Contained input"),COUNTIFS('Material routes'!$D$6:$D$1005,A467,'Material routes'!$C$6:$C$1005,"Transform input"))</x:f>
        <x:v>0</x:v>
      </x:c>
      <x:c r="AL467" s="4" t="n">
        <x:f>COUNTIFS('Material routes'!$D$6:$D$1005,A467,'Material routes'!$C$6:$C$1005,"Tool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x:c r="C468"/>
      <x:c r="D468"/>
      <x:c r="E468"/>
      <x:c r="F468"/>
      <x:c r="G468"/>
      <x:c r="H468"/>
      <x:c r="I468"/>
      <x:c r="J468"/>
      <x:c r="K468"/>
      <x:c r="L468"/>
      <x:c r="M468"/>
      <x:c r="N468"/>
      <x:c r="O468"/>
      <x:c r="P468"/>
      <x:c r="Q468"/>
      <x:c r="R468"/>
      <x:c r="S468"/>
      <x:c r="T468"/>
      <x:c r="U468"/>
      <x:c r="V468"/>
      <x:c r="W468"/>
      <x:c r="X468"/>
      <x:c r="Y468"/>
      <x:c r="Z468"/>
      <x:c r="AA468"/>
      <x:c r="AB468"/>
      <x:c r="AC468"/>
      <x:c r="AD468"/>
      <x:c r="AE468"/>
      <x:c r="AF468"/>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x:c r="C469"/>
      <x:c r="D469"/>
      <x:c r="E469"/>
      <x:c r="F469"/>
      <x:c r="G469"/>
      <x:c r="H469"/>
      <x:c r="I469"/>
      <x:c r="J469"/>
      <x:c r="K469"/>
      <x:c r="L469"/>
      <x:c r="M469"/>
      <x:c r="N469"/>
      <x:c r="O469"/>
      <x:c r="P469"/>
      <x:c r="Q469"/>
      <x:c r="R469"/>
      <x:c r="S469"/>
      <x:c r="T469"/>
      <x:c r="U469"/>
      <x:c r="V469"/>
      <x:c r="W469"/>
      <x:c r="X469"/>
      <x:c r="Y469"/>
      <x:c r="Z469"/>
      <x:c r="AA469"/>
      <x:c r="AB469"/>
      <x:c r="AC469"/>
      <x:c r="AD469"/>
      <x:c r="AE469"/>
      <x:c r="AF469"/>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x:c r="C470"/>
      <x:c r="D470"/>
      <x:c r="E470"/>
      <x:c r="F470"/>
      <x:c r="G470"/>
      <x:c r="H470"/>
      <x:c r="I470"/>
      <x:c r="J470"/>
      <x:c r="K470"/>
      <x:c r="L470"/>
      <x:c r="M470"/>
      <x:c r="N470"/>
      <x:c r="O470"/>
      <x:c r="P470"/>
      <x:c r="Q470"/>
      <x:c r="R470"/>
      <x:c r="S470"/>
      <x:c r="T470"/>
      <x:c r="U470"/>
      <x:c r="V470"/>
      <x:c r="W470"/>
      <x:c r="X470"/>
      <x:c r="Y470"/>
      <x:c r="Z470"/>
      <x:c r="AA470"/>
      <x:c r="AB470"/>
      <x:c r="AC470"/>
      <x:c r="AD470"/>
      <x:c r="AE470"/>
      <x:c r="AF470"/>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x:c r="C471"/>
      <x:c r="D471"/>
      <x:c r="E471"/>
      <x:c r="F471"/>
      <x:c r="G471"/>
      <x:c r="H471"/>
      <x:c r="I471"/>
      <x:c r="J471"/>
      <x:c r="K471"/>
      <x:c r="L471"/>
      <x:c r="M471"/>
      <x:c r="N471"/>
      <x:c r="O471"/>
      <x:c r="P471"/>
      <x:c r="Q471"/>
      <x:c r="R471"/>
      <x:c r="S471"/>
      <x:c r="T471"/>
      <x:c r="U471"/>
      <x:c r="V471"/>
      <x:c r="W471"/>
      <x:c r="X471"/>
      <x:c r="Y471"/>
      <x:c r="Z471"/>
      <x:c r="AA471"/>
      <x:c r="AB471"/>
      <x:c r="AC471"/>
      <x:c r="AD471"/>
      <x:c r="AE471"/>
      <x:c r="AF471"/>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x:c r="C472"/>
      <x:c r="D472"/>
      <x:c r="E472"/>
      <x:c r="F472"/>
      <x:c r="G472"/>
      <x:c r="H472"/>
      <x:c r="I472"/>
      <x:c r="J472"/>
      <x:c r="K472"/>
      <x:c r="L472"/>
      <x:c r="M472"/>
      <x:c r="N472"/>
      <x:c r="O472"/>
      <x:c r="P472"/>
      <x:c r="Q472"/>
      <x:c r="R472"/>
      <x:c r="S472"/>
      <x:c r="T472"/>
      <x:c r="U472"/>
      <x:c r="V472"/>
      <x:c r="W472"/>
      <x:c r="X472"/>
      <x:c r="Y472"/>
      <x:c r="Z472"/>
      <x:c r="AA472"/>
      <x:c r="AB472"/>
      <x:c r="AC472"/>
      <x:c r="AD472"/>
      <x:c r="AE472"/>
      <x:c r="AF472"/>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x:c r="C473"/>
      <x:c r="D473"/>
      <x:c r="E473"/>
      <x:c r="F473"/>
      <x:c r="G473"/>
      <x:c r="H473"/>
      <x:c r="I473"/>
      <x:c r="J473"/>
      <x:c r="K473"/>
      <x:c r="L473"/>
      <x:c r="M473"/>
      <x:c r="N473"/>
      <x:c r="O473"/>
      <x:c r="P473"/>
      <x:c r="Q473"/>
      <x:c r="R473"/>
      <x:c r="S473"/>
      <x:c r="T473"/>
      <x:c r="U473"/>
      <x:c r="V473"/>
      <x:c r="W473"/>
      <x:c r="X473"/>
      <x:c r="Y473"/>
      <x:c r="Z473"/>
      <x:c r="AA473"/>
      <x:c r="AB473"/>
      <x:c r="AC473"/>
      <x:c r="AD473"/>
      <x:c r="AE473"/>
      <x:c r="AF473"/>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x:c r="C474"/>
      <x:c r="D474"/>
      <x:c r="E474"/>
      <x:c r="F474"/>
      <x:c r="G474"/>
      <x:c r="H474"/>
      <x:c r="I474"/>
      <x:c r="J474"/>
      <x:c r="K474"/>
      <x:c r="L474"/>
      <x:c r="M474"/>
      <x:c r="N474"/>
      <x:c r="O474"/>
      <x:c r="P474"/>
      <x:c r="Q474"/>
      <x:c r="R474"/>
      <x:c r="S474"/>
      <x:c r="T474"/>
      <x:c r="U474"/>
      <x:c r="V474"/>
      <x:c r="W474"/>
      <x:c r="X474"/>
      <x:c r="Y474"/>
      <x:c r="Z474"/>
      <x:c r="AA474"/>
      <x:c r="AB474"/>
      <x:c r="AC474"/>
      <x:c r="AD474"/>
      <x:c r="AE474"/>
      <x:c r="AF474"/>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x:c r="C475"/>
      <x:c r="D475"/>
      <x:c r="E475"/>
      <x:c r="F475"/>
      <x:c r="G475"/>
      <x:c r="H475"/>
      <x:c r="I475"/>
      <x:c r="J475"/>
      <x:c r="K475"/>
      <x:c r="L475"/>
      <x:c r="M475"/>
      <x:c r="N475"/>
      <x:c r="O475"/>
      <x:c r="P475"/>
      <x:c r="Q475"/>
      <x:c r="R475"/>
      <x:c r="S475"/>
      <x:c r="T475"/>
      <x:c r="U475"/>
      <x:c r="V475"/>
      <x:c r="W475"/>
      <x:c r="X475"/>
      <x:c r="Y475"/>
      <x:c r="Z475"/>
      <x:c r="AA475"/>
      <x:c r="AB475"/>
      <x:c r="AC475"/>
      <x:c r="AD475"/>
      <x:c r="AE475"/>
      <x:c r="AF475"/>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x:c r="C476"/>
      <x:c r="D476"/>
      <x:c r="E476"/>
      <x:c r="F476"/>
      <x:c r="G476"/>
      <x:c r="H476"/>
      <x:c r="I476"/>
      <x:c r="J476"/>
      <x:c r="K476"/>
      <x:c r="L476"/>
      <x:c r="M476"/>
      <x:c r="N476"/>
      <x:c r="O476"/>
      <x:c r="P476"/>
      <x:c r="Q476"/>
      <x:c r="R476"/>
      <x:c r="S476"/>
      <x:c r="T476"/>
      <x:c r="U476"/>
      <x:c r="V476"/>
      <x:c r="W476"/>
      <x:c r="X476"/>
      <x:c r="Y476"/>
      <x:c r="Z476"/>
      <x:c r="AA476"/>
      <x:c r="AB476"/>
      <x:c r="AC476"/>
      <x:c r="AD476"/>
      <x:c r="AE476"/>
      <x:c r="AF476"/>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x:c r="C477"/>
      <x:c r="D477"/>
      <x:c r="E477"/>
      <x:c r="F477"/>
      <x:c r="G477"/>
      <x:c r="H477"/>
      <x:c r="I477"/>
      <x:c r="J477"/>
      <x:c r="K477"/>
      <x:c r="L477"/>
      <x:c r="M477"/>
      <x:c r="N477"/>
      <x:c r="O477"/>
      <x:c r="P477"/>
      <x:c r="Q477"/>
      <x:c r="R477"/>
      <x:c r="S477"/>
      <x:c r="T477"/>
      <x:c r="U477"/>
      <x:c r="V477"/>
      <x:c r="W477"/>
      <x:c r="X477"/>
      <x:c r="Y477"/>
      <x:c r="Z477"/>
      <x:c r="AA477"/>
      <x:c r="AB477"/>
      <x:c r="AC477"/>
      <x:c r="AD477"/>
      <x:c r="AE477"/>
      <x:c r="AF477"/>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x:c r="C478"/>
      <x:c r="D478"/>
      <x:c r="E478"/>
      <x:c r="F478"/>
      <x:c r="G478"/>
      <x:c r="H478"/>
      <x:c r="I478"/>
      <x:c r="J478"/>
      <x:c r="K478"/>
      <x:c r="L478"/>
      <x:c r="M478"/>
      <x:c r="N478"/>
      <x:c r="O478"/>
      <x:c r="P478"/>
      <x:c r="Q478"/>
      <x:c r="R478"/>
      <x:c r="S478"/>
      <x:c r="T478"/>
      <x:c r="U478"/>
      <x:c r="V478"/>
      <x:c r="W478"/>
      <x:c r="X478"/>
      <x:c r="Y478"/>
      <x:c r="Z478"/>
      <x:c r="AA478"/>
      <x:c r="AB478"/>
      <x:c r="AC478"/>
      <x:c r="AD478"/>
      <x:c r="AE478"/>
      <x:c r="AF478"/>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x:c r="C479"/>
      <x:c r="D479"/>
      <x:c r="E479"/>
      <x:c r="F479"/>
      <x:c r="G479"/>
      <x:c r="H479"/>
      <x:c r="I479"/>
      <x:c r="J479"/>
      <x:c r="K479"/>
      <x:c r="L479"/>
      <x:c r="M479"/>
      <x:c r="N479"/>
      <x:c r="O479"/>
      <x:c r="P479"/>
      <x:c r="Q479"/>
      <x:c r="R479"/>
      <x:c r="S479"/>
      <x:c r="T479"/>
      <x:c r="U479"/>
      <x:c r="V479"/>
      <x:c r="W479"/>
      <x:c r="X479"/>
      <x:c r="Y479"/>
      <x:c r="Z479"/>
      <x:c r="AA479"/>
      <x:c r="AB479"/>
      <x:c r="AC479"/>
      <x:c r="AD479"/>
      <x:c r="AE479"/>
      <x:c r="AF479"/>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x:c r="C480"/>
      <x:c r="D480"/>
      <x:c r="E480"/>
      <x:c r="F480"/>
      <x:c r="G480"/>
      <x:c r="H480"/>
      <x:c r="I480"/>
      <x:c r="J480"/>
      <x:c r="K480"/>
      <x:c r="L480"/>
      <x:c r="M480"/>
      <x:c r="N480"/>
      <x:c r="O480"/>
      <x:c r="P480"/>
      <x:c r="Q480"/>
      <x:c r="R480"/>
      <x:c r="S480"/>
      <x:c r="T480"/>
      <x:c r="U480"/>
      <x:c r="V480"/>
      <x:c r="W480"/>
      <x:c r="X480"/>
      <x:c r="Y480"/>
      <x:c r="Z480"/>
      <x:c r="AA480"/>
      <x:c r="AB480"/>
      <x:c r="AC480"/>
      <x:c r="AD480"/>
      <x:c r="AE480"/>
      <x:c r="AF480"/>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x:c r="C481"/>
      <x:c r="D481"/>
      <x:c r="E481"/>
      <x:c r="F481"/>
      <x:c r="G481"/>
      <x:c r="H481"/>
      <x:c r="I481"/>
      <x:c r="J481"/>
      <x:c r="K481"/>
      <x:c r="L481"/>
      <x:c r="M481"/>
      <x:c r="N481"/>
      <x:c r="O481"/>
      <x:c r="P481"/>
      <x:c r="Q481"/>
      <x:c r="R481"/>
      <x:c r="S481"/>
      <x:c r="T481"/>
      <x:c r="U481"/>
      <x:c r="V481"/>
      <x:c r="W481"/>
      <x:c r="X481"/>
      <x:c r="Y481"/>
      <x:c r="Z481"/>
      <x:c r="AA481"/>
      <x:c r="AB481"/>
      <x:c r="AC481"/>
      <x:c r="AD481"/>
      <x:c r="AE481"/>
      <x:c r="AF481"/>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x:c r="C482"/>
      <x:c r="D482"/>
      <x:c r="E482"/>
      <x:c r="F482"/>
      <x:c r="G482"/>
      <x:c r="H482"/>
      <x:c r="I482"/>
      <x:c r="J482"/>
      <x:c r="K482"/>
      <x:c r="L482"/>
      <x:c r="M482"/>
      <x:c r="N482"/>
      <x:c r="O482"/>
      <x:c r="P482"/>
      <x:c r="Q482"/>
      <x:c r="R482"/>
      <x:c r="S482"/>
      <x:c r="T482"/>
      <x:c r="U482"/>
      <x:c r="V482"/>
      <x:c r="W482"/>
      <x:c r="X482"/>
      <x:c r="Y482"/>
      <x:c r="Z482"/>
      <x:c r="AA482"/>
      <x:c r="AB482"/>
      <x:c r="AC482"/>
      <x:c r="AD482"/>
      <x:c r="AE482"/>
      <x:c r="AF482"/>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x:c r="C483"/>
      <x:c r="D483"/>
      <x:c r="E483"/>
      <x:c r="F483"/>
      <x:c r="G483"/>
      <x:c r="H483"/>
      <x:c r="I483"/>
      <x:c r="J483"/>
      <x:c r="K483"/>
      <x:c r="L483"/>
      <x:c r="M483"/>
      <x:c r="N483"/>
      <x:c r="O483"/>
      <x:c r="P483"/>
      <x:c r="Q483"/>
      <x:c r="R483"/>
      <x:c r="S483"/>
      <x:c r="T483"/>
      <x:c r="U483"/>
      <x:c r="V483"/>
      <x:c r="W483"/>
      <x:c r="X483"/>
      <x:c r="Y483"/>
      <x:c r="Z483"/>
      <x:c r="AA483"/>
      <x:c r="AB483"/>
      <x:c r="AC483"/>
      <x:c r="AD483"/>
      <x:c r="AE483"/>
      <x:c r="AF483"/>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x:c r="C484"/>
      <x:c r="D484"/>
      <x:c r="E484"/>
      <x:c r="F484"/>
      <x:c r="G484"/>
      <x:c r="H484"/>
      <x:c r="I484"/>
      <x:c r="J484"/>
      <x:c r="K484"/>
      <x:c r="L484"/>
      <x:c r="M484"/>
      <x:c r="N484"/>
      <x:c r="O484"/>
      <x:c r="P484"/>
      <x:c r="Q484"/>
      <x:c r="R484"/>
      <x:c r="S484"/>
      <x:c r="T484"/>
      <x:c r="U484"/>
      <x:c r="V484"/>
      <x:c r="W484"/>
      <x:c r="X484"/>
      <x:c r="Y484"/>
      <x:c r="Z484"/>
      <x:c r="AA484"/>
      <x:c r="AB484"/>
      <x:c r="AC484"/>
      <x:c r="AD484"/>
      <x:c r="AE484"/>
      <x:c r="AF484"/>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x:c r="C485"/>
      <x:c r="D485"/>
      <x:c r="E485"/>
      <x:c r="F485"/>
      <x:c r="G485"/>
      <x:c r="H485"/>
      <x:c r="I485"/>
      <x:c r="J485"/>
      <x:c r="K485"/>
      <x:c r="L485"/>
      <x:c r="M485"/>
      <x:c r="N485"/>
      <x:c r="O485"/>
      <x:c r="P485"/>
      <x:c r="Q485"/>
      <x:c r="R485"/>
      <x:c r="S485"/>
      <x:c r="T485"/>
      <x:c r="U485"/>
      <x:c r="V485"/>
      <x:c r="W485"/>
      <x:c r="X485"/>
      <x:c r="Y485"/>
      <x:c r="Z485"/>
      <x:c r="AA485"/>
      <x:c r="AB485"/>
      <x:c r="AC485"/>
      <x:c r="AD485"/>
      <x:c r="AE485"/>
      <x:c r="AF485"/>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x:c r="C486"/>
      <x:c r="D486"/>
      <x:c r="E486"/>
      <x:c r="F486"/>
      <x:c r="G486"/>
      <x:c r="H486"/>
      <x:c r="I486"/>
      <x:c r="J486"/>
      <x:c r="K486"/>
      <x:c r="L486"/>
      <x:c r="M486"/>
      <x:c r="N486"/>
      <x:c r="O486"/>
      <x:c r="P486"/>
      <x:c r="Q486"/>
      <x:c r="R486"/>
      <x:c r="S486"/>
      <x:c r="T486"/>
      <x:c r="U486"/>
      <x:c r="V486"/>
      <x:c r="W486"/>
      <x:c r="X486"/>
      <x:c r="Y486"/>
      <x:c r="Z486"/>
      <x:c r="AA486"/>
      <x:c r="AB486"/>
      <x:c r="AC486"/>
      <x:c r="AD486"/>
      <x:c r="AE486"/>
      <x:c r="AF486"/>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x:c r="C487"/>
      <x:c r="D487"/>
      <x:c r="E487"/>
      <x:c r="F487"/>
      <x:c r="G487"/>
      <x:c r="H487"/>
      <x:c r="I487"/>
      <x:c r="J487"/>
      <x:c r="K487"/>
      <x:c r="L487"/>
      <x:c r="M487"/>
      <x:c r="N487"/>
      <x:c r="O487"/>
      <x:c r="P487"/>
      <x:c r="Q487"/>
      <x:c r="R487"/>
      <x:c r="S487"/>
      <x:c r="T487"/>
      <x:c r="U487"/>
      <x:c r="V487"/>
      <x:c r="W487"/>
      <x:c r="X487"/>
      <x:c r="Y487"/>
      <x:c r="Z487"/>
      <x:c r="AA487"/>
      <x:c r="AB487"/>
      <x:c r="AC487"/>
      <x:c r="AD487"/>
      <x:c r="AE487"/>
      <x:c r="AF487"/>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x:c r="C488"/>
      <x:c r="D488"/>
      <x:c r="E488"/>
      <x:c r="F488"/>
      <x:c r="G488"/>
      <x:c r="H488"/>
      <x:c r="I488"/>
      <x:c r="J488"/>
      <x:c r="K488"/>
      <x:c r="L488"/>
      <x:c r="M488"/>
      <x:c r="N488"/>
      <x:c r="O488"/>
      <x:c r="P488"/>
      <x:c r="Q488"/>
      <x:c r="R488"/>
      <x:c r="S488"/>
      <x:c r="T488"/>
      <x:c r="U488"/>
      <x:c r="V488"/>
      <x:c r="W488"/>
      <x:c r="X488"/>
      <x:c r="Y488"/>
      <x:c r="Z488"/>
      <x:c r="AA488"/>
      <x:c r="AB488"/>
      <x:c r="AC488"/>
      <x:c r="AD488"/>
      <x:c r="AE488"/>
      <x:c r="AF488"/>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x:c r="C489"/>
      <x:c r="D489"/>
      <x:c r="E489"/>
      <x:c r="F489"/>
      <x:c r="G489"/>
      <x:c r="H489"/>
      <x:c r="I489"/>
      <x:c r="J489"/>
      <x:c r="K489"/>
      <x:c r="L489"/>
      <x:c r="M489"/>
      <x:c r="N489"/>
      <x:c r="O489"/>
      <x:c r="P489"/>
      <x:c r="Q489"/>
      <x:c r="R489"/>
      <x:c r="S489"/>
      <x:c r="T489"/>
      <x:c r="U489"/>
      <x:c r="V489"/>
      <x:c r="W489"/>
      <x:c r="X489"/>
      <x:c r="Y489"/>
      <x:c r="Z489"/>
      <x:c r="AA489"/>
      <x:c r="AB489"/>
      <x:c r="AC489"/>
      <x:c r="AD489"/>
      <x:c r="AE489"/>
      <x:c r="AF489"/>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x:c r="C490"/>
      <x:c r="D490"/>
      <x:c r="E490"/>
      <x:c r="F490"/>
      <x:c r="G490"/>
      <x:c r="H490"/>
      <x:c r="I490"/>
      <x:c r="J490"/>
      <x:c r="K490"/>
      <x:c r="L490"/>
      <x:c r="M490"/>
      <x:c r="N490"/>
      <x:c r="O490"/>
      <x:c r="P490"/>
      <x:c r="Q490"/>
      <x:c r="R490"/>
      <x:c r="S490"/>
      <x:c r="T490"/>
      <x:c r="U490"/>
      <x:c r="V490"/>
      <x:c r="W490"/>
      <x:c r="X490"/>
      <x:c r="Y490"/>
      <x:c r="Z490"/>
      <x:c r="AA490"/>
      <x:c r="AB490"/>
      <x:c r="AC490"/>
      <x:c r="AD490"/>
      <x:c r="AE490"/>
      <x:c r="AF490"/>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x:c r="C491"/>
      <x:c r="D491"/>
      <x:c r="E491"/>
      <x:c r="F491"/>
      <x:c r="G491"/>
      <x:c r="H491"/>
      <x:c r="I491"/>
      <x:c r="J491"/>
      <x:c r="K491"/>
      <x:c r="L491"/>
      <x:c r="M491"/>
      <x:c r="N491"/>
      <x:c r="O491"/>
      <x:c r="P491"/>
      <x:c r="Q491"/>
      <x:c r="R491"/>
      <x:c r="S491"/>
      <x:c r="T491"/>
      <x:c r="U491"/>
      <x:c r="V491"/>
      <x:c r="W491"/>
      <x:c r="X491"/>
      <x:c r="Y491"/>
      <x:c r="Z491"/>
      <x:c r="AA491"/>
      <x:c r="AB491"/>
      <x:c r="AC491"/>
      <x:c r="AD491"/>
      <x:c r="AE491"/>
      <x:c r="AF491"/>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x:c r="C492"/>
      <x:c r="D492"/>
      <x:c r="E492"/>
      <x:c r="F492"/>
      <x:c r="G492"/>
      <x:c r="H492"/>
      <x:c r="I492"/>
      <x:c r="J492"/>
      <x:c r="K492"/>
      <x:c r="L492"/>
      <x:c r="M492"/>
      <x:c r="N492"/>
      <x:c r="O492"/>
      <x:c r="P492"/>
      <x:c r="Q492"/>
      <x:c r="R492"/>
      <x:c r="S492"/>
      <x:c r="T492"/>
      <x:c r="U492"/>
      <x:c r="V492"/>
      <x:c r="W492"/>
      <x:c r="X492"/>
      <x:c r="Y492"/>
      <x:c r="Z492"/>
      <x:c r="AA492"/>
      <x:c r="AB492"/>
      <x:c r="AC492"/>
      <x:c r="AD492"/>
      <x:c r="AE492"/>
      <x:c r="AF492"/>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x:c r="C493"/>
      <x:c r="D493"/>
      <x:c r="E493"/>
      <x:c r="F493"/>
      <x:c r="G493"/>
      <x:c r="H493"/>
      <x:c r="I493"/>
      <x:c r="J493"/>
      <x:c r="K493"/>
      <x:c r="L493"/>
      <x:c r="M493"/>
      <x:c r="N493"/>
      <x:c r="O493"/>
      <x:c r="P493"/>
      <x:c r="Q493"/>
      <x:c r="R493"/>
      <x:c r="S493"/>
      <x:c r="T493"/>
      <x:c r="U493"/>
      <x:c r="V493"/>
      <x:c r="W493"/>
      <x:c r="X493"/>
      <x:c r="Y493"/>
      <x:c r="Z493"/>
      <x:c r="AA493"/>
      <x:c r="AB493"/>
      <x:c r="AC493"/>
      <x:c r="AD493"/>
      <x:c r="AE493"/>
      <x:c r="AF493"/>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x:c r="C494"/>
      <x:c r="D494"/>
      <x:c r="E494"/>
      <x:c r="F494"/>
      <x:c r="G494"/>
      <x:c r="H494"/>
      <x:c r="I494"/>
      <x:c r="J494"/>
      <x:c r="K494"/>
      <x:c r="L494"/>
      <x:c r="M494"/>
      <x:c r="N494"/>
      <x:c r="O494"/>
      <x:c r="P494"/>
      <x:c r="Q494"/>
      <x:c r="R494"/>
      <x:c r="S494"/>
      <x:c r="T494"/>
      <x:c r="U494"/>
      <x:c r="V494"/>
      <x:c r="W494"/>
      <x:c r="X494"/>
      <x:c r="Y494"/>
      <x:c r="Z494"/>
      <x:c r="AA494"/>
      <x:c r="AB494"/>
      <x:c r="AC494"/>
      <x:c r="AD494"/>
      <x:c r="AE494"/>
      <x:c r="AF494"/>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x:c r="C495"/>
      <x:c r="D495"/>
      <x:c r="E495"/>
      <x:c r="F495"/>
      <x:c r="G495"/>
      <x:c r="H495"/>
      <x:c r="I495"/>
      <x:c r="J495"/>
      <x:c r="K495"/>
      <x:c r="L495"/>
      <x:c r="M495"/>
      <x:c r="N495"/>
      <x:c r="O495"/>
      <x:c r="P495"/>
      <x:c r="Q495"/>
      <x:c r="R495"/>
      <x:c r="S495"/>
      <x:c r="T495"/>
      <x:c r="U495"/>
      <x:c r="V495"/>
      <x:c r="W495"/>
      <x:c r="X495"/>
      <x:c r="Y495"/>
      <x:c r="Z495"/>
      <x:c r="AA495"/>
      <x:c r="AB495"/>
      <x:c r="AC495"/>
      <x:c r="AD495"/>
      <x:c r="AE495"/>
      <x:c r="AF495"/>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x:c r="C496"/>
      <x:c r="D496"/>
      <x:c r="E496"/>
      <x:c r="F496"/>
      <x:c r="G496"/>
      <x:c r="H496"/>
      <x:c r="I496"/>
      <x:c r="J496"/>
      <x:c r="K496"/>
      <x:c r="L496"/>
      <x:c r="M496"/>
      <x:c r="N496"/>
      <x:c r="O496"/>
      <x:c r="P496"/>
      <x:c r="Q496"/>
      <x:c r="R496"/>
      <x:c r="S496"/>
      <x:c r="T496"/>
      <x:c r="U496"/>
      <x:c r="V496"/>
      <x:c r="W496"/>
      <x:c r="X496"/>
      <x:c r="Y496"/>
      <x:c r="Z496"/>
      <x:c r="AA496"/>
      <x:c r="AB496"/>
      <x:c r="AC496"/>
      <x:c r="AD496"/>
      <x:c r="AE496"/>
      <x:c r="AF496"/>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x:c r="C497"/>
      <x:c r="D497"/>
      <x:c r="E497"/>
      <x:c r="F497"/>
      <x:c r="G497"/>
      <x:c r="H497"/>
      <x:c r="I497"/>
      <x:c r="J497"/>
      <x:c r="K497"/>
      <x:c r="L497"/>
      <x:c r="M497"/>
      <x:c r="N497"/>
      <x:c r="O497"/>
      <x:c r="P497"/>
      <x:c r="Q497"/>
      <x:c r="R497"/>
      <x:c r="S497"/>
      <x:c r="T497"/>
      <x:c r="U497"/>
      <x:c r="V497"/>
      <x:c r="W497"/>
      <x:c r="X497"/>
      <x:c r="Y497"/>
      <x:c r="Z497"/>
      <x:c r="AA497"/>
      <x:c r="AB497"/>
      <x:c r="AC497"/>
      <x:c r="AD497"/>
      <x:c r="AE497"/>
      <x:c r="AF497"/>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x:c r="C498"/>
      <x:c r="D498"/>
      <x:c r="E498"/>
      <x:c r="F498"/>
      <x:c r="G498"/>
      <x:c r="H498"/>
      <x:c r="I498"/>
      <x:c r="J498"/>
      <x:c r="K498"/>
      <x:c r="L498"/>
      <x:c r="M498"/>
      <x:c r="N498"/>
      <x:c r="O498"/>
      <x:c r="P498"/>
      <x:c r="Q498"/>
      <x:c r="R498"/>
      <x:c r="S498"/>
      <x:c r="T498"/>
      <x:c r="U498"/>
      <x:c r="V498"/>
      <x:c r="W498"/>
      <x:c r="X498"/>
      <x:c r="Y498"/>
      <x:c r="Z498"/>
      <x:c r="AA498"/>
      <x:c r="AB498"/>
      <x:c r="AC498"/>
      <x:c r="AD498"/>
      <x:c r="AE498"/>
      <x:c r="AF498"/>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x:c r="C499"/>
      <x:c r="D499"/>
      <x:c r="E499"/>
      <x:c r="F499"/>
      <x:c r="G499"/>
      <x:c r="H499"/>
      <x:c r="I499"/>
      <x:c r="J499"/>
      <x:c r="K499"/>
      <x:c r="L499"/>
      <x:c r="M499"/>
      <x:c r="N499"/>
      <x:c r="O499"/>
      <x:c r="P499"/>
      <x:c r="Q499"/>
      <x:c r="R499"/>
      <x:c r="S499"/>
      <x:c r="T499"/>
      <x:c r="U499"/>
      <x:c r="V499"/>
      <x:c r="W499"/>
      <x:c r="X499"/>
      <x:c r="Y499"/>
      <x:c r="Z499"/>
      <x:c r="AA499"/>
      <x:c r="AB499"/>
      <x:c r="AC499"/>
      <x:c r="AD499"/>
      <x:c r="AE499"/>
      <x:c r="AF499"/>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x:c r="C500"/>
      <x:c r="D500"/>
      <x:c r="E500"/>
      <x:c r="F500"/>
      <x:c r="G500"/>
      <x:c r="H500"/>
      <x:c r="I500"/>
      <x:c r="J500"/>
      <x:c r="K500"/>
      <x:c r="L500"/>
      <x:c r="M500"/>
      <x:c r="N500"/>
      <x:c r="O500"/>
      <x:c r="P500"/>
      <x:c r="Q500"/>
      <x:c r="R500"/>
      <x:c r="S500"/>
      <x:c r="T500"/>
      <x:c r="U500"/>
      <x:c r="V500"/>
      <x:c r="W500"/>
      <x:c r="X500"/>
      <x:c r="Y500"/>
      <x:c r="Z500"/>
      <x:c r="AA500"/>
      <x:c r="AB500"/>
      <x:c r="AC500"/>
      <x:c r="AD500"/>
      <x:c r="AE500"/>
      <x:c r="AF500"/>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x:c r="C501"/>
      <x:c r="D501"/>
      <x:c r="E501"/>
      <x:c r="F501"/>
      <x:c r="G501"/>
      <x:c r="H501"/>
      <x:c r="I501"/>
      <x:c r="J501"/>
      <x:c r="K501"/>
      <x:c r="L501"/>
      <x:c r="M501"/>
      <x:c r="N501"/>
      <x:c r="O501"/>
      <x:c r="P501"/>
      <x:c r="Q501"/>
      <x:c r="R501"/>
      <x:c r="S501"/>
      <x:c r="T501"/>
      <x:c r="U501"/>
      <x:c r="V501"/>
      <x:c r="W501"/>
      <x:c r="X501"/>
      <x:c r="Y501"/>
      <x:c r="Z501"/>
      <x:c r="AA501"/>
      <x:c r="AB501"/>
      <x:c r="AC501"/>
      <x:c r="AD501"/>
      <x:c r="AE501"/>
      <x:c r="AF501"/>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x:c r="C502"/>
      <x:c r="D502"/>
      <x:c r="E502"/>
      <x:c r="F502"/>
      <x:c r="G502"/>
      <x:c r="H502"/>
      <x:c r="I502"/>
      <x:c r="J502"/>
      <x:c r="K502"/>
      <x:c r="L502"/>
      <x:c r="M502"/>
      <x:c r="N502"/>
      <x:c r="O502"/>
      <x:c r="P502"/>
      <x:c r="Q502"/>
      <x:c r="R502"/>
      <x:c r="S502"/>
      <x:c r="T502"/>
      <x:c r="U502"/>
      <x:c r="V502"/>
      <x:c r="W502"/>
      <x:c r="X502"/>
      <x:c r="Y502"/>
      <x:c r="Z502"/>
      <x:c r="AA502"/>
      <x:c r="AB502"/>
      <x:c r="AC502"/>
      <x:c r="AD502"/>
      <x:c r="AE502"/>
      <x:c r="AF502"/>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x:c r="C503"/>
      <x:c r="D503"/>
      <x:c r="E503"/>
      <x:c r="F503"/>
      <x:c r="G503"/>
      <x:c r="H503"/>
      <x:c r="I503"/>
      <x:c r="J503"/>
      <x:c r="K503"/>
      <x:c r="L503"/>
      <x:c r="M503"/>
      <x:c r="N503"/>
      <x:c r="O503"/>
      <x:c r="P503"/>
      <x:c r="Q503"/>
      <x:c r="R503"/>
      <x:c r="S503"/>
      <x:c r="T503"/>
      <x:c r="U503"/>
      <x:c r="V503"/>
      <x:c r="W503"/>
      <x:c r="X503"/>
      <x:c r="Y503"/>
      <x:c r="Z503"/>
      <x:c r="AA503"/>
      <x:c r="AB503"/>
      <x:c r="AC503"/>
      <x:c r="AD503"/>
      <x:c r="AE503"/>
      <x:c r="AF503"/>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x:c r="C504"/>
      <x:c r="D504"/>
      <x:c r="E504"/>
      <x:c r="F504"/>
      <x:c r="G504"/>
      <x:c r="H504"/>
      <x:c r="I504"/>
      <x:c r="J504"/>
      <x:c r="K504"/>
      <x:c r="L504"/>
      <x:c r="M504"/>
      <x:c r="N504"/>
      <x:c r="O504"/>
      <x:c r="P504"/>
      <x:c r="Q504"/>
      <x:c r="R504"/>
      <x:c r="S504"/>
      <x:c r="T504"/>
      <x:c r="U504"/>
      <x:c r="V504"/>
      <x:c r="W504"/>
      <x:c r="X504"/>
      <x:c r="Y504"/>
      <x:c r="Z504"/>
      <x:c r="AA504"/>
      <x:c r="AB504"/>
      <x:c r="AC504"/>
      <x:c r="AD504"/>
      <x:c r="AE504"/>
      <x:c r="AF504"/>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x:c r="C505"/>
      <x:c r="D505"/>
      <x:c r="E505"/>
      <x:c r="F505"/>
      <x:c r="G505"/>
      <x:c r="H505"/>
      <x:c r="I505"/>
      <x:c r="J505"/>
      <x:c r="K505"/>
      <x:c r="L505"/>
      <x:c r="M505"/>
      <x:c r="N505"/>
      <x:c r="O505"/>
      <x:c r="P505"/>
      <x:c r="Q505"/>
      <x:c r="R505"/>
      <x:c r="S505"/>
      <x:c r="T505"/>
      <x:c r="U505"/>
      <x:c r="V505"/>
      <x:c r="W505"/>
      <x:c r="X505"/>
      <x:c r="Y505"/>
      <x:c r="Z505"/>
      <x:c r="AA505"/>
      <x:c r="AB505"/>
      <x:c r="AC505"/>
      <x:c r="AD505"/>
      <x:c r="AE505"/>
      <x:c r="AF505"/>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x:c r="C506"/>
      <x:c r="D506"/>
      <x:c r="E506"/>
      <x:c r="F506"/>
      <x:c r="G506"/>
      <x:c r="H506"/>
      <x:c r="I506"/>
      <x:c r="J506"/>
      <x:c r="K506"/>
      <x:c r="L506"/>
      <x:c r="M506"/>
      <x:c r="N506"/>
      <x:c r="O506"/>
      <x:c r="P506"/>
      <x:c r="Q506"/>
      <x:c r="R506"/>
      <x:c r="S506"/>
      <x:c r="T506"/>
      <x:c r="U506"/>
      <x:c r="V506"/>
      <x:c r="W506"/>
      <x:c r="X506"/>
      <x:c r="Y506"/>
      <x:c r="Z506"/>
      <x:c r="AA506"/>
      <x:c r="AB506"/>
      <x:c r="AC506"/>
      <x:c r="AD506"/>
      <x:c r="AE506"/>
      <x:c r="AF506"/>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x:c r="C507"/>
      <x:c r="D507"/>
      <x:c r="E507"/>
      <x:c r="F507"/>
      <x:c r="G507"/>
      <x:c r="H507"/>
      <x:c r="I507"/>
      <x:c r="J507"/>
      <x:c r="K507"/>
      <x:c r="L507"/>
      <x:c r="M507"/>
      <x:c r="N507"/>
      <x:c r="O507"/>
      <x:c r="P507"/>
      <x:c r="Q507"/>
      <x:c r="R507"/>
      <x:c r="S507"/>
      <x:c r="T507"/>
      <x:c r="U507"/>
      <x:c r="V507"/>
      <x:c r="W507"/>
      <x:c r="X507"/>
      <x:c r="Y507"/>
      <x:c r="Z507"/>
      <x:c r="AA507"/>
      <x:c r="AB507"/>
      <x:c r="AC507"/>
      <x:c r="AD507"/>
      <x:c r="AE507"/>
      <x:c r="AF507"/>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x:c r="C508"/>
      <x:c r="D508"/>
      <x:c r="E508"/>
      <x:c r="F508"/>
      <x:c r="G508"/>
      <x:c r="H508"/>
      <x:c r="I508"/>
      <x:c r="J508"/>
      <x:c r="K508"/>
      <x:c r="L508"/>
      <x:c r="M508"/>
      <x:c r="N508"/>
      <x:c r="O508"/>
      <x:c r="P508"/>
      <x:c r="Q508"/>
      <x:c r="R508"/>
      <x:c r="S508"/>
      <x:c r="T508"/>
      <x:c r="U508"/>
      <x:c r="V508"/>
      <x:c r="W508"/>
      <x:c r="X508"/>
      <x:c r="Y508"/>
      <x:c r="Z508"/>
      <x:c r="AA508"/>
      <x:c r="AB508"/>
      <x:c r="AC508"/>
      <x:c r="AD508"/>
      <x:c r="AE508"/>
      <x:c r="AF508"/>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x:c r="C509"/>
      <x:c r="D509"/>
      <x:c r="E509"/>
      <x:c r="F509"/>
      <x:c r="G509"/>
      <x:c r="H509"/>
      <x:c r="I509"/>
      <x:c r="J509"/>
      <x:c r="K509"/>
      <x:c r="L509"/>
      <x:c r="M509"/>
      <x:c r="N509"/>
      <x:c r="O509"/>
      <x:c r="P509"/>
      <x:c r="Q509"/>
      <x:c r="R509"/>
      <x:c r="S509"/>
      <x:c r="T509"/>
      <x:c r="U509"/>
      <x:c r="V509"/>
      <x:c r="W509"/>
      <x:c r="X509"/>
      <x:c r="Y509"/>
      <x:c r="Z509"/>
      <x:c r="AA509"/>
      <x:c r="AB509"/>
      <x:c r="AC509"/>
      <x:c r="AD509"/>
      <x:c r="AE509"/>
      <x:c r="AF509"/>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x:c r="C510"/>
      <x:c r="D510"/>
      <x:c r="E510"/>
      <x:c r="F510"/>
      <x:c r="G510"/>
      <x:c r="H510"/>
      <x:c r="I510"/>
      <x:c r="J510"/>
      <x:c r="K510"/>
      <x:c r="L510"/>
      <x:c r="M510"/>
      <x:c r="N510"/>
      <x:c r="O510"/>
      <x:c r="P510"/>
      <x:c r="Q510"/>
      <x:c r="R510"/>
      <x:c r="S510"/>
      <x:c r="T510"/>
      <x:c r="U510"/>
      <x:c r="V510"/>
      <x:c r="W510"/>
      <x:c r="X510"/>
      <x:c r="Y510"/>
      <x:c r="Z510"/>
      <x:c r="AA510"/>
      <x:c r="AB510"/>
      <x:c r="AC510"/>
      <x:c r="AD510"/>
      <x:c r="AE510"/>
      <x:c r="AF510"/>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C511"/>
      <x:c r="D511"/>
      <x:c r="E511"/>
      <x:c r="F511"/>
      <x:c r="G511"/>
      <x:c r="H511"/>
      <x:c r="I511"/>
      <x:c r="J511"/>
      <x:c r="K511"/>
      <x:c r="L511"/>
      <x:c r="M511"/>
      <x:c r="N511"/>
      <x:c r="O511"/>
      <x:c r="P511"/>
      <x:c r="Q511"/>
      <x:c r="R511"/>
      <x:c r="S511"/>
      <x:c r="T511"/>
      <x:c r="U511"/>
      <x:c r="V511"/>
      <x:c r="W511"/>
      <x:c r="X511"/>
      <x:c r="Y511"/>
      <x:c r="Z511"/>
      <x:c r="AA511"/>
      <x:c r="AB511"/>
      <x:c r="AC511"/>
      <x:c r="AD511"/>
      <x:c r="AE511"/>
      <x:c r="AF511"/>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x:c r="C512"/>
      <x:c r="D512"/>
      <x:c r="E512"/>
      <x:c r="F512"/>
      <x:c r="G512"/>
      <x:c r="H512"/>
      <x:c r="I512"/>
      <x:c r="J512"/>
      <x:c r="K512"/>
      <x:c r="L512"/>
      <x:c r="M512"/>
      <x:c r="N512"/>
      <x:c r="O512"/>
      <x:c r="P512"/>
      <x:c r="Q512"/>
      <x:c r="R512"/>
      <x:c r="S512"/>
      <x:c r="T512"/>
      <x:c r="U512"/>
      <x:c r="V512"/>
      <x:c r="W512"/>
      <x:c r="X512"/>
      <x:c r="Y512"/>
      <x:c r="Z512"/>
      <x:c r="AA512"/>
      <x:c r="AB512"/>
      <x:c r="AC512"/>
      <x:c r="AD512"/>
      <x:c r="AE512"/>
      <x:c r="AF512"/>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x:c r="C513"/>
      <x:c r="D513"/>
      <x:c r="E513"/>
      <x:c r="F513"/>
      <x:c r="G513"/>
      <x:c r="H513"/>
      <x:c r="I513"/>
      <x:c r="J513"/>
      <x:c r="K513"/>
      <x:c r="L513"/>
      <x:c r="M513"/>
      <x:c r="N513"/>
      <x:c r="O513"/>
      <x:c r="P513"/>
      <x:c r="Q513"/>
      <x:c r="R513"/>
      <x:c r="S513"/>
      <x:c r="T513"/>
      <x:c r="U513"/>
      <x:c r="V513"/>
      <x:c r="W513"/>
      <x:c r="X513"/>
      <x:c r="Y513"/>
      <x:c r="Z513"/>
      <x:c r="AA513"/>
      <x:c r="AB513"/>
      <x:c r="AC513"/>
      <x:c r="AD513"/>
      <x:c r="AE513"/>
      <x:c r="AF513"/>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x:c r="C514"/>
      <x:c r="D514"/>
      <x:c r="E514"/>
      <x:c r="F514"/>
      <x:c r="G514"/>
      <x:c r="H514"/>
      <x:c r="I514"/>
      <x:c r="J514"/>
      <x:c r="K514"/>
      <x:c r="L514"/>
      <x:c r="M514"/>
      <x:c r="N514"/>
      <x:c r="O514"/>
      <x:c r="P514"/>
      <x:c r="Q514"/>
      <x:c r="R514"/>
      <x:c r="S514"/>
      <x:c r="T514"/>
      <x:c r="U514"/>
      <x:c r="V514"/>
      <x:c r="W514"/>
      <x:c r="X514"/>
      <x:c r="Y514"/>
      <x:c r="Z514"/>
      <x:c r="AA514"/>
      <x:c r="AB514"/>
      <x:c r="AC514"/>
      <x:c r="AD514"/>
      <x:c r="AE514"/>
      <x:c r="AF514"/>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x:c r="C515"/>
      <x:c r="D515"/>
      <x:c r="E515"/>
      <x:c r="F515"/>
      <x:c r="G515"/>
      <x:c r="H515"/>
      <x:c r="I515"/>
      <x:c r="J515"/>
      <x:c r="K515"/>
      <x:c r="L515"/>
      <x:c r="M515"/>
      <x:c r="N515"/>
      <x:c r="O515"/>
      <x:c r="P515"/>
      <x:c r="Q515"/>
      <x:c r="R515"/>
      <x:c r="S515"/>
      <x:c r="T515"/>
      <x:c r="U515"/>
      <x:c r="V515"/>
      <x:c r="W515"/>
      <x:c r="X515"/>
      <x:c r="Y515"/>
      <x:c r="Z515"/>
      <x:c r="AA515"/>
      <x:c r="AB515"/>
      <x:c r="AC515"/>
      <x:c r="AD515"/>
      <x:c r="AE515"/>
      <x:c r="AF515"/>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x:c r="C516"/>
      <x:c r="D516"/>
      <x:c r="E516"/>
      <x:c r="F516"/>
      <x:c r="G516"/>
      <x:c r="H516"/>
      <x:c r="I516"/>
      <x:c r="J516"/>
      <x:c r="K516"/>
      <x:c r="L516"/>
      <x:c r="M516"/>
      <x:c r="N516"/>
      <x:c r="O516"/>
      <x:c r="P516"/>
      <x:c r="Q516"/>
      <x:c r="R516"/>
      <x:c r="S516"/>
      <x:c r="T516"/>
      <x:c r="U516"/>
      <x:c r="V516"/>
      <x:c r="W516"/>
      <x:c r="X516"/>
      <x:c r="Y516"/>
      <x:c r="Z516"/>
      <x:c r="AA516"/>
      <x:c r="AB516"/>
      <x:c r="AC516"/>
      <x:c r="AD516"/>
      <x:c r="AE516"/>
      <x:c r="AF516"/>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x:c r="C517"/>
      <x:c r="D517"/>
      <x:c r="E517"/>
      <x:c r="F517"/>
      <x:c r="G517"/>
      <x:c r="H517"/>
      <x:c r="I517"/>
      <x:c r="J517"/>
      <x:c r="K517"/>
      <x:c r="L517"/>
      <x:c r="M517"/>
      <x:c r="N517"/>
      <x:c r="O517"/>
      <x:c r="P517"/>
      <x:c r="Q517"/>
      <x:c r="R517"/>
      <x:c r="S517"/>
      <x:c r="T517"/>
      <x:c r="U517"/>
      <x:c r="V517"/>
      <x:c r="W517"/>
      <x:c r="X517"/>
      <x:c r="Y517"/>
      <x:c r="Z517"/>
      <x:c r="AA517"/>
      <x:c r="AB517"/>
      <x:c r="AC517"/>
      <x:c r="AD517"/>
      <x:c r="AE517"/>
      <x:c r="AF517"/>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x:c r="C518"/>
      <x:c r="D518"/>
      <x:c r="E518"/>
      <x:c r="F518"/>
      <x:c r="G518"/>
      <x:c r="H518"/>
      <x:c r="I518"/>
      <x:c r="J518"/>
      <x:c r="K518"/>
      <x:c r="L518"/>
      <x:c r="M518"/>
      <x:c r="N518"/>
      <x:c r="O518"/>
      <x:c r="P518"/>
      <x:c r="Q518"/>
      <x:c r="R518"/>
      <x:c r="S518"/>
      <x:c r="T518"/>
      <x:c r="U518"/>
      <x:c r="V518"/>
      <x:c r="W518"/>
      <x:c r="X518"/>
      <x:c r="Y518"/>
      <x:c r="Z518"/>
      <x:c r="AA518"/>
      <x:c r="AB518"/>
      <x:c r="AC518"/>
      <x:c r="AD518"/>
      <x:c r="AE518"/>
      <x:c r="AF518"/>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x:c r="C519"/>
      <x:c r="D519"/>
      <x:c r="E519"/>
      <x:c r="F519"/>
      <x:c r="G519"/>
      <x:c r="H519"/>
      <x:c r="I519"/>
      <x:c r="J519"/>
      <x:c r="K519"/>
      <x:c r="L519"/>
      <x:c r="M519"/>
      <x:c r="N519"/>
      <x:c r="O519"/>
      <x:c r="P519"/>
      <x:c r="Q519"/>
      <x:c r="R519"/>
      <x:c r="S519"/>
      <x:c r="T519"/>
      <x:c r="U519"/>
      <x:c r="V519"/>
      <x:c r="W519"/>
      <x:c r="X519"/>
      <x:c r="Y519"/>
      <x:c r="Z519"/>
      <x:c r="AA519"/>
      <x:c r="AB519"/>
      <x:c r="AC519"/>
      <x:c r="AD519"/>
      <x:c r="AE519"/>
      <x:c r="AF519"/>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x:c r="C520"/>
      <x:c r="D520"/>
      <x:c r="E520"/>
      <x:c r="F520"/>
      <x:c r="G520"/>
      <x:c r="H520"/>
      <x:c r="I520"/>
      <x:c r="J520"/>
      <x:c r="K520"/>
      <x:c r="L520"/>
      <x:c r="M520"/>
      <x:c r="N520"/>
      <x:c r="O520"/>
      <x:c r="P520"/>
      <x:c r="Q520"/>
      <x:c r="R520"/>
      <x:c r="S520"/>
      <x:c r="T520"/>
      <x:c r="U520"/>
      <x:c r="V520"/>
      <x:c r="W520"/>
      <x:c r="X520"/>
      <x:c r="Y520"/>
      <x:c r="Z520"/>
      <x:c r="AA520"/>
      <x:c r="AB520"/>
      <x:c r="AC520"/>
      <x:c r="AD520"/>
      <x:c r="AE520"/>
      <x:c r="AF520"/>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x:c r="C521"/>
      <x:c r="D521"/>
      <x:c r="E521"/>
      <x:c r="F521"/>
      <x:c r="G521"/>
      <x:c r="H521"/>
      <x:c r="I521"/>
      <x:c r="J521"/>
      <x:c r="K521"/>
      <x:c r="L521"/>
      <x:c r="M521"/>
      <x:c r="N521"/>
      <x:c r="O521"/>
      <x:c r="P521"/>
      <x:c r="Q521"/>
      <x:c r="R521"/>
      <x:c r="S521"/>
      <x:c r="T521"/>
      <x:c r="U521"/>
      <x:c r="V521"/>
      <x:c r="W521"/>
      <x:c r="X521"/>
      <x:c r="Y521"/>
      <x:c r="Z521"/>
      <x:c r="AA521"/>
      <x:c r="AB521"/>
      <x:c r="AC521"/>
      <x:c r="AD521"/>
      <x:c r="AE521"/>
      <x:c r="AF521"/>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x:c r="C522"/>
      <x:c r="D522"/>
      <x:c r="E522"/>
      <x:c r="F522"/>
      <x:c r="G522"/>
      <x:c r="H522"/>
      <x:c r="I522"/>
      <x:c r="J522"/>
      <x:c r="K522"/>
      <x:c r="L522"/>
      <x:c r="M522"/>
      <x:c r="N522"/>
      <x:c r="O522"/>
      <x:c r="P522"/>
      <x:c r="Q522"/>
      <x:c r="R522"/>
      <x:c r="S522"/>
      <x:c r="T522"/>
      <x:c r="U522"/>
      <x:c r="V522"/>
      <x:c r="W522"/>
      <x:c r="X522"/>
      <x:c r="Y522"/>
      <x:c r="Z522"/>
      <x:c r="AA522"/>
      <x:c r="AB522"/>
      <x:c r="AC522"/>
      <x:c r="AD522"/>
      <x:c r="AE522"/>
      <x:c r="AF522"/>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x:c r="C523"/>
      <x:c r="D523"/>
      <x:c r="E523"/>
      <x:c r="F523"/>
      <x:c r="G523"/>
      <x:c r="H523"/>
      <x:c r="I523"/>
      <x:c r="J523"/>
      <x:c r="K523"/>
      <x:c r="L523"/>
      <x:c r="M523"/>
      <x:c r="N523"/>
      <x:c r="O523"/>
      <x:c r="P523"/>
      <x:c r="Q523"/>
      <x:c r="R523"/>
      <x:c r="S523"/>
      <x:c r="T523"/>
      <x:c r="U523"/>
      <x:c r="V523"/>
      <x:c r="W523"/>
      <x:c r="X523"/>
      <x:c r="Y523"/>
      <x:c r="Z523"/>
      <x:c r="AA523"/>
      <x:c r="AB523"/>
      <x:c r="AC523"/>
      <x:c r="AD523"/>
      <x:c r="AE523"/>
      <x:c r="AF523"/>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x:c r="C524"/>
      <x:c r="D524"/>
      <x:c r="E524"/>
      <x:c r="F524"/>
      <x:c r="G524"/>
      <x:c r="H524"/>
      <x:c r="I524"/>
      <x:c r="J524"/>
      <x:c r="K524"/>
      <x:c r="L524"/>
      <x:c r="M524"/>
      <x:c r="N524"/>
      <x:c r="O524"/>
      <x:c r="P524"/>
      <x:c r="Q524"/>
      <x:c r="R524"/>
      <x:c r="S524"/>
      <x:c r="T524"/>
      <x:c r="U524"/>
      <x:c r="V524"/>
      <x:c r="W524"/>
      <x:c r="X524"/>
      <x:c r="Y524"/>
      <x:c r="Z524"/>
      <x:c r="AA524"/>
      <x:c r="AB524"/>
      <x:c r="AC524"/>
      <x:c r="AD524"/>
      <x:c r="AE524"/>
      <x:c r="AF524"/>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x:c r="C525"/>
      <x:c r="D525"/>
      <x:c r="E525"/>
      <x:c r="F525"/>
      <x:c r="G525"/>
      <x:c r="H525"/>
      <x:c r="I525"/>
      <x:c r="J525"/>
      <x:c r="K525"/>
      <x:c r="L525"/>
      <x:c r="M525"/>
      <x:c r="N525"/>
      <x:c r="O525"/>
      <x:c r="P525"/>
      <x:c r="Q525"/>
      <x:c r="R525"/>
      <x:c r="S525"/>
      <x:c r="T525"/>
      <x:c r="U525"/>
      <x:c r="V525"/>
      <x:c r="W525"/>
      <x:c r="X525"/>
      <x:c r="Y525"/>
      <x:c r="Z525"/>
      <x:c r="AA525"/>
      <x:c r="AB525"/>
      <x:c r="AC525"/>
      <x:c r="AD525"/>
      <x:c r="AE525"/>
      <x:c r="AF525"/>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x:c r="C526"/>
      <x:c r="D526"/>
      <x:c r="E526"/>
      <x:c r="F526"/>
      <x:c r="G526"/>
      <x:c r="H526"/>
      <x:c r="I526"/>
      <x:c r="J526"/>
      <x:c r="K526"/>
      <x:c r="L526"/>
      <x:c r="M526"/>
      <x:c r="N526"/>
      <x:c r="O526"/>
      <x:c r="P526"/>
      <x:c r="Q526"/>
      <x:c r="R526"/>
      <x:c r="S526"/>
      <x:c r="T526"/>
      <x:c r="U526"/>
      <x:c r="V526"/>
      <x:c r="W526"/>
      <x:c r="X526"/>
      <x:c r="Y526"/>
      <x:c r="Z526"/>
      <x:c r="AA526"/>
      <x:c r="AB526"/>
      <x:c r="AC526"/>
      <x:c r="AD526"/>
      <x:c r="AE526"/>
      <x:c r="AF526"/>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C527"/>
      <x:c r="D527"/>
      <x:c r="E527"/>
      <x:c r="F527"/>
      <x:c r="G527"/>
      <x:c r="H527"/>
      <x:c r="I527"/>
      <x:c r="J527"/>
      <x:c r="K527"/>
      <x:c r="L527"/>
      <x:c r="M527"/>
      <x:c r="N527"/>
      <x:c r="O527"/>
      <x:c r="P527"/>
      <x:c r="Q527"/>
      <x:c r="R527"/>
      <x:c r="S527"/>
      <x:c r="T527"/>
      <x:c r="U527"/>
      <x:c r="V527"/>
      <x:c r="W527"/>
      <x:c r="X527"/>
      <x:c r="Y527"/>
      <x:c r="Z527"/>
      <x:c r="AA527"/>
      <x:c r="AB527"/>
      <x:c r="AC527"/>
      <x:c r="AD527"/>
      <x:c r="AE527"/>
      <x:c r="AF527"/>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x:c r="C528"/>
      <x:c r="D528"/>
      <x:c r="E528"/>
      <x:c r="F528"/>
      <x:c r="G528"/>
      <x:c r="H528"/>
      <x:c r="I528"/>
      <x:c r="J528"/>
      <x:c r="K528"/>
      <x:c r="L528"/>
      <x:c r="M528"/>
      <x:c r="N528"/>
      <x:c r="O528"/>
      <x:c r="P528"/>
      <x:c r="Q528"/>
      <x:c r="R528"/>
      <x:c r="S528"/>
      <x:c r="T528"/>
      <x:c r="U528"/>
      <x:c r="V528"/>
      <x:c r="W528"/>
      <x:c r="X528"/>
      <x:c r="Y528"/>
      <x:c r="Z528"/>
      <x:c r="AA528"/>
      <x:c r="AB528"/>
      <x:c r="AC528"/>
      <x:c r="AD528"/>
      <x:c r="AE528"/>
      <x:c r="AF528"/>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x:c r="C529"/>
      <x:c r="D529"/>
      <x:c r="E529"/>
      <x:c r="F529"/>
      <x:c r="G529"/>
      <x:c r="H529"/>
      <x:c r="I529"/>
      <x:c r="J529"/>
      <x:c r="K529"/>
      <x:c r="L529"/>
      <x:c r="M529"/>
      <x:c r="N529"/>
      <x:c r="O529"/>
      <x:c r="P529"/>
      <x:c r="Q529"/>
      <x:c r="R529"/>
      <x:c r="S529"/>
      <x:c r="T529"/>
      <x:c r="U529"/>
      <x:c r="V529"/>
      <x:c r="W529"/>
      <x:c r="X529"/>
      <x:c r="Y529"/>
      <x:c r="Z529"/>
      <x:c r="AA529"/>
      <x:c r="AB529"/>
      <x:c r="AC529"/>
      <x:c r="AD529"/>
      <x:c r="AE529"/>
      <x:c r="AF529"/>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x:c r="C530"/>
      <x:c r="D530"/>
      <x:c r="E530"/>
      <x:c r="F530"/>
      <x:c r="G530"/>
      <x:c r="H530"/>
      <x:c r="I530"/>
      <x:c r="J530"/>
      <x:c r="K530"/>
      <x:c r="L530"/>
      <x:c r="M530"/>
      <x:c r="N530"/>
      <x:c r="O530"/>
      <x:c r="P530"/>
      <x:c r="Q530"/>
      <x:c r="R530"/>
      <x:c r="S530"/>
      <x:c r="T530"/>
      <x:c r="U530"/>
      <x:c r="V530"/>
      <x:c r="W530"/>
      <x:c r="X530"/>
      <x:c r="Y530"/>
      <x:c r="Z530"/>
      <x:c r="AA530"/>
      <x:c r="AB530"/>
      <x:c r="AC530"/>
      <x:c r="AD530"/>
      <x:c r="AE530"/>
      <x:c r="AF530"/>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x:c r="C531"/>
      <x:c r="D531"/>
      <x:c r="E531"/>
      <x:c r="F531"/>
      <x:c r="G531"/>
      <x:c r="H531"/>
      <x:c r="I531"/>
      <x:c r="J531"/>
      <x:c r="K531"/>
      <x:c r="L531"/>
      <x:c r="M531"/>
      <x:c r="N531"/>
      <x:c r="O531"/>
      <x:c r="P531"/>
      <x:c r="Q531"/>
      <x:c r="R531"/>
      <x:c r="S531"/>
      <x:c r="T531"/>
      <x:c r="U531"/>
      <x:c r="V531"/>
      <x:c r="W531"/>
      <x:c r="X531"/>
      <x:c r="Y531"/>
      <x:c r="Z531"/>
      <x:c r="AA531"/>
      <x:c r="AB531"/>
      <x:c r="AC531"/>
      <x:c r="AD531"/>
      <x:c r="AE531"/>
      <x:c r="AF531"/>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C532"/>
      <x:c r="D532"/>
      <x:c r="E532"/>
      <x:c r="F532"/>
      <x:c r="G532"/>
      <x:c r="H532"/>
      <x:c r="I532"/>
      <x:c r="J532"/>
      <x:c r="K532"/>
      <x:c r="L532"/>
      <x:c r="M532"/>
      <x:c r="N532"/>
      <x:c r="O532"/>
      <x:c r="P532"/>
      <x:c r="Q532"/>
      <x:c r="R532"/>
      <x:c r="S532"/>
      <x:c r="T532"/>
      <x:c r="U532"/>
      <x:c r="V532"/>
      <x:c r="W532"/>
      <x:c r="X532"/>
      <x:c r="Y532"/>
      <x:c r="Z532"/>
      <x:c r="AA532"/>
      <x:c r="AB532"/>
      <x:c r="AC532"/>
      <x:c r="AD532"/>
      <x:c r="AE532"/>
      <x:c r="AF532"/>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x:c r="C533"/>
      <x:c r="D533"/>
      <x:c r="E533"/>
      <x:c r="F533"/>
      <x:c r="G533"/>
      <x:c r="H533"/>
      <x:c r="I533"/>
      <x:c r="J533"/>
      <x:c r="K533"/>
      <x:c r="L533"/>
      <x:c r="M533"/>
      <x:c r="N533"/>
      <x:c r="O533"/>
      <x:c r="P533"/>
      <x:c r="Q533"/>
      <x:c r="R533"/>
      <x:c r="S533"/>
      <x:c r="T533"/>
      <x:c r="U533"/>
      <x:c r="V533"/>
      <x:c r="W533"/>
      <x:c r="X533"/>
      <x:c r="Y533"/>
      <x:c r="Z533"/>
      <x:c r="AA533"/>
      <x:c r="AB533"/>
      <x:c r="AC533"/>
      <x:c r="AD533"/>
      <x:c r="AE533"/>
      <x:c r="AF533"/>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C534"/>
      <x:c r="D534"/>
      <x:c r="E534"/>
      <x:c r="F534"/>
      <x:c r="G534"/>
      <x:c r="H534"/>
      <x:c r="I534"/>
      <x:c r="J534"/>
      <x:c r="K534"/>
      <x:c r="L534"/>
      <x:c r="M534"/>
      <x:c r="N534"/>
      <x:c r="O534"/>
      <x:c r="P534"/>
      <x:c r="Q534"/>
      <x:c r="R534"/>
      <x:c r="S534"/>
      <x:c r="T534"/>
      <x:c r="U534"/>
      <x:c r="V534"/>
      <x:c r="W534"/>
      <x:c r="X534"/>
      <x:c r="Y534"/>
      <x:c r="Z534"/>
      <x:c r="AA534"/>
      <x:c r="AB534"/>
      <x:c r="AC534"/>
      <x:c r="AD534"/>
      <x:c r="AE534"/>
      <x:c r="AF53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x:c r="C535"/>
      <x:c r="D535"/>
      <x:c r="E535"/>
      <x:c r="F535"/>
      <x:c r="G535"/>
      <x:c r="H535"/>
      <x:c r="I535"/>
      <x:c r="J535"/>
      <x:c r="K535"/>
      <x:c r="L535"/>
      <x:c r="M535"/>
      <x:c r="N535"/>
      <x:c r="O535"/>
      <x:c r="P535"/>
      <x:c r="Q535"/>
      <x:c r="R535"/>
      <x:c r="S535"/>
      <x:c r="T535"/>
      <x:c r="U535"/>
      <x:c r="V535"/>
      <x:c r="W535"/>
      <x:c r="X535"/>
      <x:c r="Y535"/>
      <x:c r="Z535"/>
      <x:c r="AA535"/>
      <x:c r="AB535"/>
      <x:c r="AC535"/>
      <x:c r="AD535"/>
      <x:c r="AE535"/>
      <x:c r="AF535"/>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x:c r="C536"/>
      <x:c r="D536"/>
      <x:c r="E536"/>
      <x:c r="F536"/>
      <x:c r="G536"/>
      <x:c r="H536"/>
      <x:c r="I536"/>
      <x:c r="J536"/>
      <x:c r="K536"/>
      <x:c r="L536"/>
      <x:c r="M536"/>
      <x:c r="N536"/>
      <x:c r="O536"/>
      <x:c r="P536"/>
      <x:c r="Q536"/>
      <x:c r="R536"/>
      <x:c r="S536"/>
      <x:c r="T536"/>
      <x:c r="U536"/>
      <x:c r="V536"/>
      <x:c r="W536"/>
      <x:c r="X536"/>
      <x:c r="Y536"/>
      <x:c r="Z536"/>
      <x:c r="AA536"/>
      <x:c r="AB536"/>
      <x:c r="AC536"/>
      <x:c r="AD536"/>
      <x:c r="AE536"/>
      <x:c r="AF536"/>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x:c r="C537"/>
      <x:c r="D537"/>
      <x:c r="E537"/>
      <x:c r="F537"/>
      <x:c r="G537"/>
      <x:c r="H537"/>
      <x:c r="I537"/>
      <x:c r="J537"/>
      <x:c r="K537"/>
      <x:c r="L537"/>
      <x:c r="M537"/>
      <x:c r="N537"/>
      <x:c r="O537"/>
      <x:c r="P537"/>
      <x:c r="Q537"/>
      <x:c r="R537"/>
      <x:c r="S537"/>
      <x:c r="T537"/>
      <x:c r="U537"/>
      <x:c r="V537"/>
      <x:c r="W537"/>
      <x:c r="X537"/>
      <x:c r="Y537"/>
      <x:c r="Z537"/>
      <x:c r="AA537"/>
      <x:c r="AB537"/>
      <x:c r="AC537"/>
      <x:c r="AD537"/>
      <x:c r="AE537"/>
      <x:c r="AF537"/>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x:c r="C538"/>
      <x:c r="D538"/>
      <x:c r="E538"/>
      <x:c r="F538"/>
      <x:c r="G538"/>
      <x:c r="H538"/>
      <x:c r="I538"/>
      <x:c r="J538"/>
      <x:c r="K538"/>
      <x:c r="L538"/>
      <x:c r="M538"/>
      <x:c r="N538"/>
      <x:c r="O538"/>
      <x:c r="P538"/>
      <x:c r="Q538"/>
      <x:c r="R538"/>
      <x:c r="S538"/>
      <x:c r="T538"/>
      <x:c r="U538"/>
      <x:c r="V538"/>
      <x:c r="W538"/>
      <x:c r="X538"/>
      <x:c r="Y538"/>
      <x:c r="Z538"/>
      <x:c r="AA538"/>
      <x:c r="AB538"/>
      <x:c r="AC538"/>
      <x:c r="AD538"/>
      <x:c r="AE538"/>
      <x:c r="AF538"/>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x:c r="C539"/>
      <x:c r="D539"/>
      <x:c r="E539"/>
      <x:c r="F539"/>
      <x:c r="G539"/>
      <x:c r="H539"/>
      <x:c r="I539"/>
      <x:c r="J539"/>
      <x:c r="K539"/>
      <x:c r="L539"/>
      <x:c r="M539"/>
      <x:c r="N539"/>
      <x:c r="O539"/>
      <x:c r="P539"/>
      <x:c r="Q539"/>
      <x:c r="R539"/>
      <x:c r="S539"/>
      <x:c r="T539"/>
      <x:c r="U539"/>
      <x:c r="V539"/>
      <x:c r="W539"/>
      <x:c r="X539"/>
      <x:c r="Y539"/>
      <x:c r="Z539"/>
      <x:c r="AA539"/>
      <x:c r="AB539"/>
      <x:c r="AC539"/>
      <x:c r="AD539"/>
      <x:c r="AE539"/>
      <x:c r="AF539"/>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x:c r="C540"/>
      <x:c r="D540"/>
      <x:c r="E540"/>
      <x:c r="F540"/>
      <x:c r="G540"/>
      <x:c r="H540"/>
      <x:c r="I540"/>
      <x:c r="J540"/>
      <x:c r="K540"/>
      <x:c r="L540"/>
      <x:c r="M540"/>
      <x:c r="N540"/>
      <x:c r="O540"/>
      <x:c r="P540"/>
      <x:c r="Q540"/>
      <x:c r="R540"/>
      <x:c r="S540"/>
      <x:c r="T540"/>
      <x:c r="U540"/>
      <x:c r="V540"/>
      <x:c r="W540"/>
      <x:c r="X540"/>
      <x:c r="Y540"/>
      <x:c r="Z540"/>
      <x:c r="AA540"/>
      <x:c r="AB540"/>
      <x:c r="AC540"/>
      <x:c r="AD540"/>
      <x:c r="AE540"/>
      <x:c r="AF540"/>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x:c r="C541"/>
      <x:c r="D541"/>
      <x:c r="E541"/>
      <x:c r="F541"/>
      <x:c r="G541"/>
      <x:c r="H541"/>
      <x:c r="I541"/>
      <x:c r="J541"/>
      <x:c r="K541"/>
      <x:c r="L541"/>
      <x:c r="M541"/>
      <x:c r="N541"/>
      <x:c r="O541"/>
      <x:c r="P541"/>
      <x:c r="Q541"/>
      <x:c r="R541"/>
      <x:c r="S541"/>
      <x:c r="T541"/>
      <x:c r="U541"/>
      <x:c r="V541"/>
      <x:c r="W541"/>
      <x:c r="X541"/>
      <x:c r="Y541"/>
      <x:c r="Z541"/>
      <x:c r="AA541"/>
      <x:c r="AB541"/>
      <x:c r="AC541"/>
      <x:c r="AD541"/>
      <x:c r="AE541"/>
      <x:c r="AF541"/>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x:c r="C542"/>
      <x:c r="D542"/>
      <x:c r="E542"/>
      <x:c r="F542"/>
      <x:c r="G542"/>
      <x:c r="H542"/>
      <x:c r="I542"/>
      <x:c r="J542"/>
      <x:c r="K542"/>
      <x:c r="L542"/>
      <x:c r="M542"/>
      <x:c r="N542"/>
      <x:c r="O542"/>
      <x:c r="P542"/>
      <x:c r="Q542"/>
      <x:c r="R542"/>
      <x:c r="S542"/>
      <x:c r="T542"/>
      <x:c r="U542"/>
      <x:c r="V542"/>
      <x:c r="W542"/>
      <x:c r="X542"/>
      <x:c r="Y542"/>
      <x:c r="Z542"/>
      <x:c r="AA542"/>
      <x:c r="AB542"/>
      <x:c r="AC542"/>
      <x:c r="AD542"/>
      <x:c r="AE542"/>
      <x:c r="AF542"/>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x:c r="C543"/>
      <x:c r="D543"/>
      <x:c r="E543"/>
      <x:c r="F543"/>
      <x:c r="G543"/>
      <x:c r="H543"/>
      <x:c r="I543"/>
      <x:c r="J543"/>
      <x:c r="K543"/>
      <x:c r="L543"/>
      <x:c r="M543"/>
      <x:c r="N543"/>
      <x:c r="O543"/>
      <x:c r="P543"/>
      <x:c r="Q543"/>
      <x:c r="R543"/>
      <x:c r="S543"/>
      <x:c r="T543"/>
      <x:c r="U543"/>
      <x:c r="V543"/>
      <x:c r="W543"/>
      <x:c r="X543"/>
      <x:c r="Y543"/>
      <x:c r="Z543"/>
      <x:c r="AA543"/>
      <x:c r="AB543"/>
      <x:c r="AC543"/>
      <x:c r="AD543"/>
      <x:c r="AE543"/>
      <x:c r="AF543"/>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x:c r="C544"/>
      <x:c r="D544"/>
      <x:c r="E544"/>
      <x:c r="F544"/>
      <x:c r="G544"/>
      <x:c r="H544"/>
      <x:c r="I544"/>
      <x:c r="J544"/>
      <x:c r="K544"/>
      <x:c r="L544"/>
      <x:c r="M544"/>
      <x:c r="N544"/>
      <x:c r="O544"/>
      <x:c r="P544"/>
      <x:c r="Q544"/>
      <x:c r="R544"/>
      <x:c r="S544"/>
      <x:c r="T544"/>
      <x:c r="U544"/>
      <x:c r="V544"/>
      <x:c r="W544"/>
      <x:c r="X544"/>
      <x:c r="Y544"/>
      <x:c r="Z544"/>
      <x:c r="AA544"/>
      <x:c r="AB544"/>
      <x:c r="AC544"/>
      <x:c r="AD544"/>
      <x:c r="AE544"/>
      <x:c r="AF544"/>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C545"/>
      <x:c r="D545"/>
      <x:c r="E545"/>
      <x:c r="F545"/>
      <x:c r="G545"/>
      <x:c r="H545"/>
      <x:c r="I545"/>
      <x:c r="J545"/>
      <x:c r="K545"/>
      <x:c r="L545"/>
      <x:c r="M545"/>
      <x:c r="N545"/>
      <x:c r="O545"/>
      <x:c r="P545"/>
      <x:c r="Q545"/>
      <x:c r="R545"/>
      <x:c r="S545"/>
      <x:c r="T545"/>
      <x:c r="U545"/>
      <x:c r="V545"/>
      <x:c r="W545"/>
      <x:c r="X545"/>
      <x:c r="Y545"/>
      <x:c r="Z545"/>
      <x:c r="AA545"/>
      <x:c r="AB545"/>
      <x:c r="AC545"/>
      <x:c r="AD545"/>
      <x:c r="AE545"/>
      <x:c r="AF545"/>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x:c r="C546"/>
      <x:c r="D546"/>
      <x:c r="E546"/>
      <x:c r="F546"/>
      <x:c r="G546"/>
      <x:c r="H546"/>
      <x:c r="I546"/>
      <x:c r="J546"/>
      <x:c r="K546"/>
      <x:c r="L546"/>
      <x:c r="M546"/>
      <x:c r="N546"/>
      <x:c r="O546"/>
      <x:c r="P546"/>
      <x:c r="Q546"/>
      <x:c r="R546"/>
      <x:c r="S546"/>
      <x:c r="T546"/>
      <x:c r="U546"/>
      <x:c r="V546"/>
      <x:c r="W546"/>
      <x:c r="X546"/>
      <x:c r="Y546"/>
      <x:c r="Z546"/>
      <x:c r="AA546"/>
      <x:c r="AB546"/>
      <x:c r="AC546"/>
      <x:c r="AD546"/>
      <x:c r="AE546"/>
      <x:c r="AF546"/>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x:c r="C547"/>
      <x:c r="D547"/>
      <x:c r="E547"/>
      <x:c r="F547"/>
      <x:c r="G547"/>
      <x:c r="H547"/>
      <x:c r="I547"/>
      <x:c r="J547"/>
      <x:c r="K547"/>
      <x:c r="L547"/>
      <x:c r="M547"/>
      <x:c r="N547"/>
      <x:c r="O547"/>
      <x:c r="P547"/>
      <x:c r="Q547"/>
      <x:c r="R547"/>
      <x:c r="S547"/>
      <x:c r="T547"/>
      <x:c r="U547"/>
      <x:c r="V547"/>
      <x:c r="W547"/>
      <x:c r="X547"/>
      <x:c r="Y547"/>
      <x:c r="Z547"/>
      <x:c r="AA547"/>
      <x:c r="AB547"/>
      <x:c r="AC547"/>
      <x:c r="AD547"/>
      <x:c r="AE547"/>
      <x:c r="AF547"/>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x:c r="C548"/>
      <x:c r="D548"/>
      <x:c r="E548"/>
      <x:c r="F548"/>
      <x:c r="G548"/>
      <x:c r="H548"/>
      <x:c r="I548"/>
      <x:c r="J548"/>
      <x:c r="K548"/>
      <x:c r="L548"/>
      <x:c r="M548"/>
      <x:c r="N548"/>
      <x:c r="O548"/>
      <x:c r="P548"/>
      <x:c r="Q548"/>
      <x:c r="R548"/>
      <x:c r="S548"/>
      <x:c r="T548"/>
      <x:c r="U548"/>
      <x:c r="V548"/>
      <x:c r="W548"/>
      <x:c r="X548"/>
      <x:c r="Y548"/>
      <x:c r="Z548"/>
      <x:c r="AA548"/>
      <x:c r="AB548"/>
      <x:c r="AC548"/>
      <x:c r="AD548"/>
      <x:c r="AE548"/>
      <x:c r="AF548"/>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C549"/>
      <x:c r="D549"/>
      <x:c r="E549"/>
      <x:c r="F549"/>
      <x:c r="G549"/>
      <x:c r="H549"/>
      <x:c r="I549"/>
      <x:c r="J549"/>
      <x:c r="K549"/>
      <x:c r="L549"/>
      <x:c r="M549"/>
      <x:c r="N549"/>
      <x:c r="O549"/>
      <x:c r="P549"/>
      <x:c r="Q549"/>
      <x:c r="R549"/>
      <x:c r="S549"/>
      <x:c r="T549"/>
      <x:c r="U549"/>
      <x:c r="V549"/>
      <x:c r="W549"/>
      <x:c r="X549"/>
      <x:c r="Y549"/>
      <x:c r="Z549"/>
      <x:c r="AA549"/>
      <x:c r="AB549"/>
      <x:c r="AC549"/>
      <x:c r="AD549"/>
      <x:c r="AE549"/>
      <x:c r="AF549"/>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x:c r="C550"/>
      <x:c r="D550"/>
      <x:c r="E550"/>
      <x:c r="F550"/>
      <x:c r="G550"/>
      <x:c r="H550"/>
      <x:c r="I550"/>
      <x:c r="J550"/>
      <x:c r="K550"/>
      <x:c r="L550"/>
      <x:c r="M550"/>
      <x:c r="N550"/>
      <x:c r="O550"/>
      <x:c r="P550"/>
      <x:c r="Q550"/>
      <x:c r="R550"/>
      <x:c r="S550"/>
      <x:c r="T550"/>
      <x:c r="U550"/>
      <x:c r="V550"/>
      <x:c r="W550"/>
      <x:c r="X550"/>
      <x:c r="Y550"/>
      <x:c r="Z550"/>
      <x:c r="AA550"/>
      <x:c r="AB550"/>
      <x:c r="AC550"/>
      <x:c r="AD550"/>
      <x:c r="AE550"/>
      <x:c r="AF550"/>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x:c r="C551"/>
      <x:c r="D551"/>
      <x:c r="E551"/>
      <x:c r="F551"/>
      <x:c r="G551"/>
      <x:c r="H551"/>
      <x:c r="I551"/>
      <x:c r="J551"/>
      <x:c r="K551"/>
      <x:c r="L551"/>
      <x:c r="M551"/>
      <x:c r="N551"/>
      <x:c r="O551"/>
      <x:c r="P551"/>
      <x:c r="Q551"/>
      <x:c r="R551"/>
      <x:c r="S551"/>
      <x:c r="T551"/>
      <x:c r="U551"/>
      <x:c r="V551"/>
      <x:c r="W551"/>
      <x:c r="X551"/>
      <x:c r="Y551"/>
      <x:c r="Z551"/>
      <x:c r="AA551"/>
      <x:c r="AB551"/>
      <x:c r="AC551"/>
      <x:c r="AD551"/>
      <x:c r="AE551"/>
      <x:c r="AF551"/>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x:c r="C552"/>
      <x:c r="D552"/>
      <x:c r="E552"/>
      <x:c r="F552"/>
      <x:c r="G552"/>
      <x:c r="H552"/>
      <x:c r="I552"/>
      <x:c r="J552"/>
      <x:c r="K552"/>
      <x:c r="L552"/>
      <x:c r="M552"/>
      <x:c r="N552"/>
      <x:c r="O552"/>
      <x:c r="P552"/>
      <x:c r="Q552"/>
      <x:c r="R552"/>
      <x:c r="S552"/>
      <x:c r="T552"/>
      <x:c r="U552"/>
      <x:c r="V552"/>
      <x:c r="W552"/>
      <x:c r="X552"/>
      <x:c r="Y552"/>
      <x:c r="Z552"/>
      <x:c r="AA552"/>
      <x:c r="AB552"/>
      <x:c r="AC552"/>
      <x:c r="AD552"/>
      <x:c r="AE552"/>
      <x:c r="AF552"/>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x:c r="C553"/>
      <x:c r="D553"/>
      <x:c r="E553"/>
      <x:c r="F553"/>
      <x:c r="G553"/>
      <x:c r="H553"/>
      <x:c r="I553"/>
      <x:c r="J553"/>
      <x:c r="K553"/>
      <x:c r="L553"/>
      <x:c r="M553"/>
      <x:c r="N553"/>
      <x:c r="O553"/>
      <x:c r="P553"/>
      <x:c r="Q553"/>
      <x:c r="R553"/>
      <x:c r="S553"/>
      <x:c r="T553"/>
      <x:c r="U553"/>
      <x:c r="V553"/>
      <x:c r="W553"/>
      <x:c r="X553"/>
      <x:c r="Y553"/>
      <x:c r="Z553"/>
      <x:c r="AA553"/>
      <x:c r="AB553"/>
      <x:c r="AC553"/>
      <x:c r="AD553"/>
      <x:c r="AE553"/>
      <x:c r="AF553"/>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x:c r="C554"/>
      <x:c r="D554"/>
      <x:c r="E554"/>
      <x:c r="F554"/>
      <x:c r="G554"/>
      <x:c r="H554"/>
      <x:c r="I554"/>
      <x:c r="J554"/>
      <x:c r="K554"/>
      <x:c r="L554"/>
      <x:c r="M554"/>
      <x:c r="N554"/>
      <x:c r="O554"/>
      <x:c r="P554"/>
      <x:c r="Q554"/>
      <x:c r="R554"/>
      <x:c r="S554"/>
      <x:c r="T554"/>
      <x:c r="U554"/>
      <x:c r="V554"/>
      <x:c r="W554"/>
      <x:c r="X554"/>
      <x:c r="Y554"/>
      <x:c r="Z554"/>
      <x:c r="AA554"/>
      <x:c r="AB554"/>
      <x:c r="AC554"/>
      <x:c r="AD554"/>
      <x:c r="AE554"/>
      <x:c r="AF554"/>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x:c r="C555"/>
      <x:c r="D555"/>
      <x:c r="E555"/>
      <x:c r="F555"/>
      <x:c r="G555"/>
      <x:c r="H555"/>
      <x:c r="I555"/>
      <x:c r="J555"/>
      <x:c r="K555"/>
      <x:c r="L555"/>
      <x:c r="M555"/>
      <x:c r="N555"/>
      <x:c r="O555"/>
      <x:c r="P555"/>
      <x:c r="Q555"/>
      <x:c r="R555"/>
      <x:c r="S555"/>
      <x:c r="T555"/>
      <x:c r="U555"/>
      <x:c r="V555"/>
      <x:c r="W555"/>
      <x:c r="X555"/>
      <x:c r="Y555"/>
      <x:c r="Z555"/>
      <x:c r="AA555"/>
      <x:c r="AB555"/>
      <x:c r="AC555"/>
      <x:c r="AD555"/>
      <x:c r="AE555"/>
      <x:c r="AF555"/>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x:c r="C556"/>
      <x:c r="D556"/>
      <x:c r="E556"/>
      <x:c r="F556"/>
      <x:c r="G556"/>
      <x:c r="H556"/>
      <x:c r="I556"/>
      <x:c r="J556"/>
      <x:c r="K556"/>
      <x:c r="L556"/>
      <x:c r="M556"/>
      <x:c r="N556"/>
      <x:c r="O556"/>
      <x:c r="P556"/>
      <x:c r="Q556"/>
      <x:c r="R556"/>
      <x:c r="S556"/>
      <x:c r="T556"/>
      <x:c r="U556"/>
      <x:c r="V556"/>
      <x:c r="W556"/>
      <x:c r="X556"/>
      <x:c r="Y556"/>
      <x:c r="Z556"/>
      <x:c r="AA556"/>
      <x:c r="AB556"/>
      <x:c r="AC556"/>
      <x:c r="AD556"/>
      <x:c r="AE556"/>
      <x:c r="AF556"/>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x:c r="C557"/>
      <x:c r="D557"/>
      <x:c r="E557"/>
      <x:c r="F557"/>
      <x:c r="G557"/>
      <x:c r="H557"/>
      <x:c r="I557"/>
      <x:c r="J557"/>
      <x:c r="K557"/>
      <x:c r="L557"/>
      <x:c r="M557"/>
      <x:c r="N557"/>
      <x:c r="O557"/>
      <x:c r="P557"/>
      <x:c r="Q557"/>
      <x:c r="R557"/>
      <x:c r="S557"/>
      <x:c r="T557"/>
      <x:c r="U557"/>
      <x:c r="V557"/>
      <x:c r="W557"/>
      <x:c r="X557"/>
      <x:c r="Y557"/>
      <x:c r="Z557"/>
      <x:c r="AA557"/>
      <x:c r="AB557"/>
      <x:c r="AC557"/>
      <x:c r="AD557"/>
      <x:c r="AE557"/>
      <x:c r="AF557"/>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C558"/>
      <x:c r="D558"/>
      <x:c r="E558"/>
      <x:c r="F558"/>
      <x:c r="G558"/>
      <x:c r="H558"/>
      <x:c r="I558"/>
      <x:c r="J558"/>
      <x:c r="K558"/>
      <x:c r="L558"/>
      <x:c r="M558"/>
      <x:c r="N558"/>
      <x:c r="O558"/>
      <x:c r="P558"/>
      <x:c r="Q558"/>
      <x:c r="R558"/>
      <x:c r="S558"/>
      <x:c r="T558"/>
      <x:c r="U558"/>
      <x:c r="V558"/>
      <x:c r="W558"/>
      <x:c r="X558"/>
      <x:c r="Y558"/>
      <x:c r="Z558"/>
      <x:c r="AA558"/>
      <x:c r="AB558"/>
      <x:c r="AC558"/>
      <x:c r="AD558"/>
      <x:c r="AE558"/>
      <x:c r="AF558"/>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x:c r="C559"/>
      <x:c r="D559"/>
      <x:c r="E559"/>
      <x:c r="F559"/>
      <x:c r="G559"/>
      <x:c r="H559"/>
      <x:c r="I559"/>
      <x:c r="J559"/>
      <x:c r="K559"/>
      <x:c r="L559"/>
      <x:c r="M559"/>
      <x:c r="N559"/>
      <x:c r="O559"/>
      <x:c r="P559"/>
      <x:c r="Q559"/>
      <x:c r="R559"/>
      <x:c r="S559"/>
      <x:c r="T559"/>
      <x:c r="U559"/>
      <x:c r="V559"/>
      <x:c r="W559"/>
      <x:c r="X559"/>
      <x:c r="Y559"/>
      <x:c r="Z559"/>
      <x:c r="AA559"/>
      <x:c r="AB559"/>
      <x:c r="AC559"/>
      <x:c r="AD559"/>
      <x:c r="AE559"/>
      <x:c r="AF559"/>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x:c r="C560"/>
      <x:c r="D560"/>
      <x:c r="E560"/>
      <x:c r="F560"/>
      <x:c r="G560"/>
      <x:c r="H560"/>
      <x:c r="I560"/>
      <x:c r="J560"/>
      <x:c r="K560"/>
      <x:c r="L560"/>
      <x:c r="M560"/>
      <x:c r="N560"/>
      <x:c r="O560"/>
      <x:c r="P560"/>
      <x:c r="Q560"/>
      <x:c r="R560"/>
      <x:c r="S560"/>
      <x:c r="T560"/>
      <x:c r="U560"/>
      <x:c r="V560"/>
      <x:c r="W560"/>
      <x:c r="X560"/>
      <x:c r="Y560"/>
      <x:c r="Z560"/>
      <x:c r="AA560"/>
      <x:c r="AB560"/>
      <x:c r="AC560"/>
      <x:c r="AD560"/>
      <x:c r="AE560"/>
      <x:c r="AF560"/>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x:c r="C561"/>
      <x:c r="D561"/>
      <x:c r="E561"/>
      <x:c r="F561"/>
      <x:c r="G561"/>
      <x:c r="H561"/>
      <x:c r="I561"/>
      <x:c r="J561"/>
      <x:c r="K561"/>
      <x:c r="L561"/>
      <x:c r="M561"/>
      <x:c r="N561"/>
      <x:c r="O561"/>
      <x:c r="P561"/>
      <x:c r="Q561"/>
      <x:c r="R561"/>
      <x:c r="S561"/>
      <x:c r="T561"/>
      <x:c r="U561"/>
      <x:c r="V561"/>
      <x:c r="W561"/>
      <x:c r="X561"/>
      <x:c r="Y561"/>
      <x:c r="Z561"/>
      <x:c r="AA561"/>
      <x:c r="AB561"/>
      <x:c r="AC561"/>
      <x:c r="AD561"/>
      <x:c r="AE561"/>
      <x:c r="AF561"/>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x:c r="C562"/>
      <x:c r="D562"/>
      <x:c r="E562"/>
      <x:c r="F562"/>
      <x:c r="G562"/>
      <x:c r="H562"/>
      <x:c r="I562"/>
      <x:c r="J562"/>
      <x:c r="K562"/>
      <x:c r="L562"/>
      <x:c r="M562"/>
      <x:c r="N562"/>
      <x:c r="O562"/>
      <x:c r="P562"/>
      <x:c r="Q562"/>
      <x:c r="R562"/>
      <x:c r="S562"/>
      <x:c r="T562"/>
      <x:c r="U562"/>
      <x:c r="V562"/>
      <x:c r="W562"/>
      <x:c r="X562"/>
      <x:c r="Y562"/>
      <x:c r="Z562"/>
      <x:c r="AA562"/>
      <x:c r="AB562"/>
      <x:c r="AC562"/>
      <x:c r="AD562"/>
      <x:c r="AE562"/>
      <x:c r="AF562"/>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x:c r="C563"/>
      <x:c r="D563"/>
      <x:c r="E563"/>
      <x:c r="F563"/>
      <x:c r="G563"/>
      <x:c r="H563"/>
      <x:c r="I563"/>
      <x:c r="J563"/>
      <x:c r="K563"/>
      <x:c r="L563"/>
      <x:c r="M563"/>
      <x:c r="N563"/>
      <x:c r="O563"/>
      <x:c r="P563"/>
      <x:c r="Q563"/>
      <x:c r="R563"/>
      <x:c r="S563"/>
      <x:c r="T563"/>
      <x:c r="U563"/>
      <x:c r="V563"/>
      <x:c r="W563"/>
      <x:c r="X563"/>
      <x:c r="Y563"/>
      <x:c r="Z563"/>
      <x:c r="AA563"/>
      <x:c r="AB563"/>
      <x:c r="AC563"/>
      <x:c r="AD563"/>
      <x:c r="AE563"/>
      <x:c r="AF563"/>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x:c r="C564"/>
      <x:c r="D564"/>
      <x:c r="E564"/>
      <x:c r="F564"/>
      <x:c r="G564"/>
      <x:c r="H564"/>
      <x:c r="I564"/>
      <x:c r="J564"/>
      <x:c r="K564"/>
      <x:c r="L564"/>
      <x:c r="M564"/>
      <x:c r="N564"/>
      <x:c r="O564"/>
      <x:c r="P564"/>
      <x:c r="Q564"/>
      <x:c r="R564"/>
      <x:c r="S564"/>
      <x:c r="T564"/>
      <x:c r="U564"/>
      <x:c r="V564"/>
      <x:c r="W564"/>
      <x:c r="X564"/>
      <x:c r="Y564"/>
      <x:c r="Z564"/>
      <x:c r="AA564"/>
      <x:c r="AB564"/>
      <x:c r="AC564"/>
      <x:c r="AD564"/>
      <x:c r="AE564"/>
      <x:c r="AF564"/>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C565"/>
      <x:c r="D565"/>
      <x:c r="E565"/>
      <x:c r="F565"/>
      <x:c r="G565"/>
      <x:c r="H565"/>
      <x:c r="I565"/>
      <x:c r="J565"/>
      <x:c r="K565"/>
      <x:c r="L565"/>
      <x:c r="M565"/>
      <x:c r="N565"/>
      <x:c r="O565"/>
      <x:c r="P565"/>
      <x:c r="Q565"/>
      <x:c r="R565"/>
      <x:c r="S565"/>
      <x:c r="T565"/>
      <x:c r="U565"/>
      <x:c r="V565"/>
      <x:c r="W565"/>
      <x:c r="X565"/>
      <x:c r="Y565"/>
      <x:c r="Z565"/>
      <x:c r="AA565"/>
      <x:c r="AB565"/>
      <x:c r="AC565"/>
      <x:c r="AD565"/>
      <x:c r="AE565"/>
      <x:c r="AF565"/>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x:c r="C566"/>
      <x:c r="D566"/>
      <x:c r="E566"/>
      <x:c r="F566"/>
      <x:c r="G566"/>
      <x:c r="H566"/>
      <x:c r="I566"/>
      <x:c r="J566"/>
      <x:c r="K566"/>
      <x:c r="L566"/>
      <x:c r="M566"/>
      <x:c r="N566"/>
      <x:c r="O566"/>
      <x:c r="P566"/>
      <x:c r="Q566"/>
      <x:c r="R566"/>
      <x:c r="S566"/>
      <x:c r="T566"/>
      <x:c r="U566"/>
      <x:c r="V566"/>
      <x:c r="W566"/>
      <x:c r="X566"/>
      <x:c r="Y566"/>
      <x:c r="Z566"/>
      <x:c r="AA566"/>
      <x:c r="AB566"/>
      <x:c r="AC566"/>
      <x:c r="AD566"/>
      <x:c r="AE566"/>
      <x:c r="AF566"/>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x:c r="C567"/>
      <x:c r="D567"/>
      <x:c r="E567"/>
      <x:c r="F567"/>
      <x:c r="G567"/>
      <x:c r="H567"/>
      <x:c r="I567"/>
      <x:c r="J567"/>
      <x:c r="K567"/>
      <x:c r="L567"/>
      <x:c r="M567"/>
      <x:c r="N567"/>
      <x:c r="O567"/>
      <x:c r="P567"/>
      <x:c r="Q567"/>
      <x:c r="R567"/>
      <x:c r="S567"/>
      <x:c r="T567"/>
      <x:c r="U567"/>
      <x:c r="V567"/>
      <x:c r="W567"/>
      <x:c r="X567"/>
      <x:c r="Y567"/>
      <x:c r="Z567"/>
      <x:c r="AA567"/>
      <x:c r="AB567"/>
      <x:c r="AC567"/>
      <x:c r="AD567"/>
      <x:c r="AE567"/>
      <x:c r="AF567"/>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x:c r="C568"/>
      <x:c r="D568"/>
      <x:c r="E568"/>
      <x:c r="F568"/>
      <x:c r="G568"/>
      <x:c r="H568"/>
      <x:c r="I568"/>
      <x:c r="J568"/>
      <x:c r="K568"/>
      <x:c r="L568"/>
      <x:c r="M568"/>
      <x:c r="N568"/>
      <x:c r="O568"/>
      <x:c r="P568"/>
      <x:c r="Q568"/>
      <x:c r="R568"/>
      <x:c r="S568"/>
      <x:c r="T568"/>
      <x:c r="U568"/>
      <x:c r="V568"/>
      <x:c r="W568"/>
      <x:c r="X568"/>
      <x:c r="Y568"/>
      <x:c r="Z568"/>
      <x:c r="AA568"/>
      <x:c r="AB568"/>
      <x:c r="AC568"/>
      <x:c r="AD568"/>
      <x:c r="AE568"/>
      <x:c r="AF568"/>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x:c r="C569"/>
      <x:c r="D569"/>
      <x:c r="E569"/>
      <x:c r="F569"/>
      <x:c r="G569"/>
      <x:c r="H569"/>
      <x:c r="I569"/>
      <x:c r="J569"/>
      <x:c r="K569"/>
      <x:c r="L569"/>
      <x:c r="M569"/>
      <x:c r="N569"/>
      <x:c r="O569"/>
      <x:c r="P569"/>
      <x:c r="Q569"/>
      <x:c r="R569"/>
      <x:c r="S569"/>
      <x:c r="T569"/>
      <x:c r="U569"/>
      <x:c r="V569"/>
      <x:c r="W569"/>
      <x:c r="X569"/>
      <x:c r="Y569"/>
      <x:c r="Z569"/>
      <x:c r="AA569"/>
      <x:c r="AB569"/>
      <x:c r="AC569"/>
      <x:c r="AD569"/>
      <x:c r="AE569"/>
      <x:c r="AF569"/>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x:c r="C570"/>
      <x:c r="D570"/>
      <x:c r="E570"/>
      <x:c r="F570"/>
      <x:c r="G570"/>
      <x:c r="H570"/>
      <x:c r="I570"/>
      <x:c r="J570"/>
      <x:c r="K570"/>
      <x:c r="L570"/>
      <x:c r="M570"/>
      <x:c r="N570"/>
      <x:c r="O570"/>
      <x:c r="P570"/>
      <x:c r="Q570"/>
      <x:c r="R570"/>
      <x:c r="S570"/>
      <x:c r="T570"/>
      <x:c r="U570"/>
      <x:c r="V570"/>
      <x:c r="W570"/>
      <x:c r="X570"/>
      <x:c r="Y570"/>
      <x:c r="Z570"/>
      <x:c r="AA570"/>
      <x:c r="AB570"/>
      <x:c r="AC570"/>
      <x:c r="AD570"/>
      <x:c r="AE570"/>
      <x:c r="AF570"/>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x:c r="C571"/>
      <x:c r="D571"/>
      <x:c r="E571"/>
      <x:c r="F571"/>
      <x:c r="G571"/>
      <x:c r="H571"/>
      <x:c r="I571"/>
      <x:c r="J571"/>
      <x:c r="K571"/>
      <x:c r="L571"/>
      <x:c r="M571"/>
      <x:c r="N571"/>
      <x:c r="O571"/>
      <x:c r="P571"/>
      <x:c r="Q571"/>
      <x:c r="R571"/>
      <x:c r="S571"/>
      <x:c r="T571"/>
      <x:c r="U571"/>
      <x:c r="V571"/>
      <x:c r="W571"/>
      <x:c r="X571"/>
      <x:c r="Y571"/>
      <x:c r="Z571"/>
      <x:c r="AA571"/>
      <x:c r="AB571"/>
      <x:c r="AC571"/>
      <x:c r="AD571"/>
      <x:c r="AE571"/>
      <x:c r="AF571"/>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x:c r="C572"/>
      <x:c r="D572"/>
      <x:c r="E572"/>
      <x:c r="F572"/>
      <x:c r="G572"/>
      <x:c r="H572"/>
      <x:c r="I572"/>
      <x:c r="J572"/>
      <x:c r="K572"/>
      <x:c r="L572"/>
      <x:c r="M572"/>
      <x:c r="N572"/>
      <x:c r="O572"/>
      <x:c r="P572"/>
      <x:c r="Q572"/>
      <x:c r="R572"/>
      <x:c r="S572"/>
      <x:c r="T572"/>
      <x:c r="U572"/>
      <x:c r="V572"/>
      <x:c r="W572"/>
      <x:c r="X572"/>
      <x:c r="Y572"/>
      <x:c r="Z572"/>
      <x:c r="AA572"/>
      <x:c r="AB572"/>
      <x:c r="AC572"/>
      <x:c r="AD572"/>
      <x:c r="AE572"/>
      <x:c r="AF572"/>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x:c r="C573"/>
      <x:c r="D573"/>
      <x:c r="E573"/>
      <x:c r="F573"/>
      <x:c r="G573"/>
      <x:c r="H573"/>
      <x:c r="I573"/>
      <x:c r="J573"/>
      <x:c r="K573"/>
      <x:c r="L573"/>
      <x:c r="M573"/>
      <x:c r="N573"/>
      <x:c r="O573"/>
      <x:c r="P573"/>
      <x:c r="Q573"/>
      <x:c r="R573"/>
      <x:c r="S573"/>
      <x:c r="T573"/>
      <x:c r="U573"/>
      <x:c r="V573"/>
      <x:c r="W573"/>
      <x:c r="X573"/>
      <x:c r="Y573"/>
      <x:c r="Z573"/>
      <x:c r="AA573"/>
      <x:c r="AB573"/>
      <x:c r="AC573"/>
      <x:c r="AD573"/>
      <x:c r="AE573"/>
      <x:c r="AF573"/>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x:c r="C574"/>
      <x:c r="D574"/>
      <x:c r="E574"/>
      <x:c r="F574"/>
      <x:c r="G574"/>
      <x:c r="H574"/>
      <x:c r="I574"/>
      <x:c r="J574"/>
      <x:c r="K574"/>
      <x:c r="L574"/>
      <x:c r="M574"/>
      <x:c r="N574"/>
      <x:c r="O574"/>
      <x:c r="P574"/>
      <x:c r="Q574"/>
      <x:c r="R574"/>
      <x:c r="S574"/>
      <x:c r="T574"/>
      <x:c r="U574"/>
      <x:c r="V574"/>
      <x:c r="W574"/>
      <x:c r="X574"/>
      <x:c r="Y574"/>
      <x:c r="Z574"/>
      <x:c r="AA574"/>
      <x:c r="AB574"/>
      <x:c r="AC574"/>
      <x:c r="AD574"/>
      <x:c r="AE574"/>
      <x:c r="AF574"/>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x:c r="C575"/>
      <x:c r="D575"/>
      <x:c r="E575"/>
      <x:c r="F575"/>
      <x:c r="G575"/>
      <x:c r="H575"/>
      <x:c r="I575"/>
      <x:c r="J575"/>
      <x:c r="K575"/>
      <x:c r="L575"/>
      <x:c r="M575"/>
      <x:c r="N575"/>
      <x:c r="O575"/>
      <x:c r="P575"/>
      <x:c r="Q575"/>
      <x:c r="R575"/>
      <x:c r="S575"/>
      <x:c r="T575"/>
      <x:c r="U575"/>
      <x:c r="V575"/>
      <x:c r="W575"/>
      <x:c r="X575"/>
      <x:c r="Y575"/>
      <x:c r="Z575"/>
      <x:c r="AA575"/>
      <x:c r="AB575"/>
      <x:c r="AC575"/>
      <x:c r="AD575"/>
      <x:c r="AE575"/>
      <x:c r="AF575"/>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x:c r="C576"/>
      <x:c r="D576"/>
      <x:c r="E576"/>
      <x:c r="F576"/>
      <x:c r="G576"/>
      <x:c r="H576"/>
      <x:c r="I576"/>
      <x:c r="J576"/>
      <x:c r="K576"/>
      <x:c r="L576"/>
      <x:c r="M576"/>
      <x:c r="N576"/>
      <x:c r="O576"/>
      <x:c r="P576"/>
      <x:c r="Q576"/>
      <x:c r="R576"/>
      <x:c r="S576"/>
      <x:c r="T576"/>
      <x:c r="U576"/>
      <x:c r="V576"/>
      <x:c r="W576"/>
      <x:c r="X576"/>
      <x:c r="Y576"/>
      <x:c r="Z576"/>
      <x:c r="AA576"/>
      <x:c r="AB576"/>
      <x:c r="AC576"/>
      <x:c r="AD576"/>
      <x:c r="AE576"/>
      <x:c r="AF576"/>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x:c r="C577"/>
      <x:c r="D577"/>
      <x:c r="E577"/>
      <x:c r="F577"/>
      <x:c r="G577"/>
      <x:c r="H577"/>
      <x:c r="I577"/>
      <x:c r="J577"/>
      <x:c r="K577"/>
      <x:c r="L577"/>
      <x:c r="M577"/>
      <x:c r="N577"/>
      <x:c r="O577"/>
      <x:c r="P577"/>
      <x:c r="Q577"/>
      <x:c r="R577"/>
      <x:c r="S577"/>
      <x:c r="T577"/>
      <x:c r="U577"/>
      <x:c r="V577"/>
      <x:c r="W577"/>
      <x:c r="X577"/>
      <x:c r="Y577"/>
      <x:c r="Z577"/>
      <x:c r="AA577"/>
      <x:c r="AB577"/>
      <x:c r="AC577"/>
      <x:c r="AD577"/>
      <x:c r="AE577"/>
      <x:c r="AF577"/>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C578"/>
      <x:c r="D578"/>
      <x:c r="E578"/>
      <x:c r="F578"/>
      <x:c r="G578"/>
      <x:c r="H578"/>
      <x:c r="I578"/>
      <x:c r="J578"/>
      <x:c r="K578"/>
      <x:c r="L578"/>
      <x:c r="M578"/>
      <x:c r="N578"/>
      <x:c r="O578"/>
      <x:c r="P578"/>
      <x:c r="Q578"/>
      <x:c r="R578"/>
      <x:c r="S578"/>
      <x:c r="T578"/>
      <x:c r="U578"/>
      <x:c r="V578"/>
      <x:c r="W578"/>
      <x:c r="X578"/>
      <x:c r="Y578"/>
      <x:c r="Z578"/>
      <x:c r="AA578"/>
      <x:c r="AB578"/>
      <x:c r="AC578"/>
      <x:c r="AD578"/>
      <x:c r="AE578"/>
      <x:c r="AF578"/>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x:c r="C579"/>
      <x:c r="D579"/>
      <x:c r="E579"/>
      <x:c r="F579"/>
      <x:c r="G579"/>
      <x:c r="H579"/>
      <x:c r="I579"/>
      <x:c r="J579"/>
      <x:c r="K579"/>
      <x:c r="L579"/>
      <x:c r="M579"/>
      <x:c r="N579"/>
      <x:c r="O579"/>
      <x:c r="P579"/>
      <x:c r="Q579"/>
      <x:c r="R579"/>
      <x:c r="S579"/>
      <x:c r="T579"/>
      <x:c r="U579"/>
      <x:c r="V579"/>
      <x:c r="W579"/>
      <x:c r="X579"/>
      <x:c r="Y579"/>
      <x:c r="Z579"/>
      <x:c r="AA579"/>
      <x:c r="AB579"/>
      <x:c r="AC579"/>
      <x:c r="AD579"/>
      <x:c r="AE579"/>
      <x:c r="AF579"/>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x:c r="C580"/>
      <x:c r="D580"/>
      <x:c r="E580"/>
      <x:c r="F580"/>
      <x:c r="G580"/>
      <x:c r="H580"/>
      <x:c r="I580"/>
      <x:c r="J580"/>
      <x:c r="K580"/>
      <x:c r="L580"/>
      <x:c r="M580"/>
      <x:c r="N580"/>
      <x:c r="O580"/>
      <x:c r="P580"/>
      <x:c r="Q580"/>
      <x:c r="R580"/>
      <x:c r="S580"/>
      <x:c r="T580"/>
      <x:c r="U580"/>
      <x:c r="V580"/>
      <x:c r="W580"/>
      <x:c r="X580"/>
      <x:c r="Y580"/>
      <x:c r="Z580"/>
      <x:c r="AA580"/>
      <x:c r="AB580"/>
      <x:c r="AC580"/>
      <x:c r="AD580"/>
      <x:c r="AE580"/>
      <x:c r="AF580"/>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C581"/>
      <x:c r="D581"/>
      <x:c r="E581"/>
      <x:c r="F581"/>
      <x:c r="G581"/>
      <x:c r="H581"/>
      <x:c r="I581"/>
      <x:c r="J581"/>
      <x:c r="K581"/>
      <x:c r="L581"/>
      <x:c r="M581"/>
      <x:c r="N581"/>
      <x:c r="O581"/>
      <x:c r="P581"/>
      <x:c r="Q581"/>
      <x:c r="R581"/>
      <x:c r="S581"/>
      <x:c r="T581"/>
      <x:c r="U581"/>
      <x:c r="V581"/>
      <x:c r="W581"/>
      <x:c r="X581"/>
      <x:c r="Y581"/>
      <x:c r="Z581"/>
      <x:c r="AA581"/>
      <x:c r="AB581"/>
      <x:c r="AC581"/>
      <x:c r="AD581"/>
      <x:c r="AE581"/>
      <x:c r="AF581"/>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x:c r="C582"/>
      <x:c r="D582"/>
      <x:c r="E582"/>
      <x:c r="F582"/>
      <x:c r="G582"/>
      <x:c r="H582"/>
      <x:c r="I582"/>
      <x:c r="J582"/>
      <x:c r="K582"/>
      <x:c r="L582"/>
      <x:c r="M582"/>
      <x:c r="N582"/>
      <x:c r="O582"/>
      <x:c r="P582"/>
      <x:c r="Q582"/>
      <x:c r="R582"/>
      <x:c r="S582"/>
      <x:c r="T582"/>
      <x:c r="U582"/>
      <x:c r="V582"/>
      <x:c r="W582"/>
      <x:c r="X582"/>
      <x:c r="Y582"/>
      <x:c r="Z582"/>
      <x:c r="AA582"/>
      <x:c r="AB582"/>
      <x:c r="AC582"/>
      <x:c r="AD582"/>
      <x:c r="AE582"/>
      <x:c r="AF582"/>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x:c r="C583"/>
      <x:c r="D583"/>
      <x:c r="E583"/>
      <x:c r="F583"/>
      <x:c r="G583"/>
      <x:c r="H583"/>
      <x:c r="I583"/>
      <x:c r="J583"/>
      <x:c r="K583"/>
      <x:c r="L583"/>
      <x:c r="M583"/>
      <x:c r="N583"/>
      <x:c r="O583"/>
      <x:c r="P583"/>
      <x:c r="Q583"/>
      <x:c r="R583"/>
      <x:c r="S583"/>
      <x:c r="T583"/>
      <x:c r="U583"/>
      <x:c r="V583"/>
      <x:c r="W583"/>
      <x:c r="X583"/>
      <x:c r="Y583"/>
      <x:c r="Z583"/>
      <x:c r="AA583"/>
      <x:c r="AB583"/>
      <x:c r="AC583"/>
      <x:c r="AD583"/>
      <x:c r="AE583"/>
      <x:c r="AF583"/>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x:c r="C584"/>
      <x:c r="D584"/>
      <x:c r="E584"/>
      <x:c r="F584"/>
      <x:c r="G584"/>
      <x:c r="H584"/>
      <x:c r="I584"/>
      <x:c r="J584"/>
      <x:c r="K584"/>
      <x:c r="L584"/>
      <x:c r="M584"/>
      <x:c r="N584"/>
      <x:c r="O584"/>
      <x:c r="P584"/>
      <x:c r="Q584"/>
      <x:c r="R584"/>
      <x:c r="S584"/>
      <x:c r="T584"/>
      <x:c r="U584"/>
      <x:c r="V584"/>
      <x:c r="W584"/>
      <x:c r="X584"/>
      <x:c r="Y584"/>
      <x:c r="Z584"/>
      <x:c r="AA584"/>
      <x:c r="AB584"/>
      <x:c r="AC584"/>
      <x:c r="AD584"/>
      <x:c r="AE584"/>
      <x:c r="AF584"/>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x:c r="C585"/>
      <x:c r="D585"/>
      <x:c r="E585"/>
      <x:c r="F585"/>
      <x:c r="G585"/>
      <x:c r="H585"/>
      <x:c r="I585"/>
      <x:c r="J585"/>
      <x:c r="K585"/>
      <x:c r="L585"/>
      <x:c r="M585"/>
      <x:c r="N585"/>
      <x:c r="O585"/>
      <x:c r="P585"/>
      <x:c r="Q585"/>
      <x:c r="R585"/>
      <x:c r="S585"/>
      <x:c r="T585"/>
      <x:c r="U585"/>
      <x:c r="V585"/>
      <x:c r="W585"/>
      <x:c r="X585"/>
      <x:c r="Y585"/>
      <x:c r="Z585"/>
      <x:c r="AA585"/>
      <x:c r="AB585"/>
      <x:c r="AC585"/>
      <x:c r="AD585"/>
      <x:c r="AE585"/>
      <x:c r="AF585"/>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C586"/>
      <x:c r="D586"/>
      <x:c r="E586"/>
      <x:c r="F586"/>
      <x:c r="G586"/>
      <x:c r="H586"/>
      <x:c r="I586"/>
      <x:c r="J586"/>
      <x:c r="K586"/>
      <x:c r="L586"/>
      <x:c r="M586"/>
      <x:c r="N586"/>
      <x:c r="O586"/>
      <x:c r="P586"/>
      <x:c r="Q586"/>
      <x:c r="R586"/>
      <x:c r="S586"/>
      <x:c r="T586"/>
      <x:c r="U586"/>
      <x:c r="V586"/>
      <x:c r="W586"/>
      <x:c r="X586"/>
      <x:c r="Y586"/>
      <x:c r="Z586"/>
      <x:c r="AA586"/>
      <x:c r="AB586"/>
      <x:c r="AC586"/>
      <x:c r="AD586"/>
      <x:c r="AE586"/>
      <x:c r="AF586"/>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x:c r="C587"/>
      <x:c r="D587"/>
      <x:c r="E587"/>
      <x:c r="F587"/>
      <x:c r="G587"/>
      <x:c r="H587"/>
      <x:c r="I587"/>
      <x:c r="J587"/>
      <x:c r="K587"/>
      <x:c r="L587"/>
      <x:c r="M587"/>
      <x:c r="N587"/>
      <x:c r="O587"/>
      <x:c r="P587"/>
      <x:c r="Q587"/>
      <x:c r="R587"/>
      <x:c r="S587"/>
      <x:c r="T587"/>
      <x:c r="U587"/>
      <x:c r="V587"/>
      <x:c r="W587"/>
      <x:c r="X587"/>
      <x:c r="Y587"/>
      <x:c r="Z587"/>
      <x:c r="AA587"/>
      <x:c r="AB587"/>
      <x:c r="AC587"/>
      <x:c r="AD587"/>
      <x:c r="AE587"/>
      <x:c r="AF587"/>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x:c r="C588"/>
      <x:c r="D588"/>
      <x:c r="E588"/>
      <x:c r="F588"/>
      <x:c r="G588"/>
      <x:c r="H588"/>
      <x:c r="I588"/>
      <x:c r="J588"/>
      <x:c r="K588"/>
      <x:c r="L588"/>
      <x:c r="M588"/>
      <x:c r="N588"/>
      <x:c r="O588"/>
      <x:c r="P588"/>
      <x:c r="Q588"/>
      <x:c r="R588"/>
      <x:c r="S588"/>
      <x:c r="T588"/>
      <x:c r="U588"/>
      <x:c r="V588"/>
      <x:c r="W588"/>
      <x:c r="X588"/>
      <x:c r="Y588"/>
      <x:c r="Z588"/>
      <x:c r="AA588"/>
      <x:c r="AB588"/>
      <x:c r="AC588"/>
      <x:c r="AD588"/>
      <x:c r="AE588"/>
      <x:c r="AF588"/>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x:c r="C589"/>
      <x:c r="D589"/>
      <x:c r="E589"/>
      <x:c r="F589"/>
      <x:c r="G589"/>
      <x:c r="H589"/>
      <x:c r="I589"/>
      <x:c r="J589"/>
      <x:c r="K589"/>
      <x:c r="L589"/>
      <x:c r="M589"/>
      <x:c r="N589"/>
      <x:c r="O589"/>
      <x:c r="P589"/>
      <x:c r="Q589"/>
      <x:c r="R589"/>
      <x:c r="S589"/>
      <x:c r="T589"/>
      <x:c r="U589"/>
      <x:c r="V589"/>
      <x:c r="W589"/>
      <x:c r="X589"/>
      <x:c r="Y589"/>
      <x:c r="Z589"/>
      <x:c r="AA589"/>
      <x:c r="AB589"/>
      <x:c r="AC589"/>
      <x:c r="AD589"/>
      <x:c r="AE589"/>
      <x:c r="AF589"/>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x:c r="C590"/>
      <x:c r="D590"/>
      <x:c r="E590"/>
      <x:c r="F590"/>
      <x:c r="G590"/>
      <x:c r="H590"/>
      <x:c r="I590"/>
      <x:c r="J590"/>
      <x:c r="K590"/>
      <x:c r="L590"/>
      <x:c r="M590"/>
      <x:c r="N590"/>
      <x:c r="O590"/>
      <x:c r="P590"/>
      <x:c r="Q590"/>
      <x:c r="R590"/>
      <x:c r="S590"/>
      <x:c r="T590"/>
      <x:c r="U590"/>
      <x:c r="V590"/>
      <x:c r="W590"/>
      <x:c r="X590"/>
      <x:c r="Y590"/>
      <x:c r="Z590"/>
      <x:c r="AA590"/>
      <x:c r="AB590"/>
      <x:c r="AC590"/>
      <x:c r="AD590"/>
      <x:c r="AE590"/>
      <x:c r="AF590"/>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x:c r="C591"/>
      <x:c r="D591"/>
      <x:c r="E591"/>
      <x:c r="F591"/>
      <x:c r="G591"/>
      <x:c r="H591"/>
      <x:c r="I591"/>
      <x:c r="J591"/>
      <x:c r="K591"/>
      <x:c r="L591"/>
      <x:c r="M591"/>
      <x:c r="N591"/>
      <x:c r="O591"/>
      <x:c r="P591"/>
      <x:c r="Q591"/>
      <x:c r="R591"/>
      <x:c r="S591"/>
      <x:c r="T591"/>
      <x:c r="U591"/>
      <x:c r="V591"/>
      <x:c r="W591"/>
      <x:c r="X591"/>
      <x:c r="Y591"/>
      <x:c r="Z591"/>
      <x:c r="AA591"/>
      <x:c r="AB591"/>
      <x:c r="AC591"/>
      <x:c r="AD591"/>
      <x:c r="AE591"/>
      <x:c r="AF591"/>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x:c r="C592"/>
      <x:c r="D592"/>
      <x:c r="E592"/>
      <x:c r="F592"/>
      <x:c r="G592"/>
      <x:c r="H592"/>
      <x:c r="I592"/>
      <x:c r="J592"/>
      <x:c r="K592"/>
      <x:c r="L592"/>
      <x:c r="M592"/>
      <x:c r="N592"/>
      <x:c r="O592"/>
      <x:c r="P592"/>
      <x:c r="Q592"/>
      <x:c r="R592"/>
      <x:c r="S592"/>
      <x:c r="T592"/>
      <x:c r="U592"/>
      <x:c r="V592"/>
      <x:c r="W592"/>
      <x:c r="X592"/>
      <x:c r="Y592"/>
      <x:c r="Z592"/>
      <x:c r="AA592"/>
      <x:c r="AB592"/>
      <x:c r="AC592"/>
      <x:c r="AD592"/>
      <x:c r="AE592"/>
      <x:c r="AF592"/>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x:c r="C593"/>
      <x:c r="D593"/>
      <x:c r="E593"/>
      <x:c r="F593"/>
      <x:c r="G593"/>
      <x:c r="H593"/>
      <x:c r="I593"/>
      <x:c r="J593"/>
      <x:c r="K593"/>
      <x:c r="L593"/>
      <x:c r="M593"/>
      <x:c r="N593"/>
      <x:c r="O593"/>
      <x:c r="P593"/>
      <x:c r="Q593"/>
      <x:c r="R593"/>
      <x:c r="S593"/>
      <x:c r="T593"/>
      <x:c r="U593"/>
      <x:c r="V593"/>
      <x:c r="W593"/>
      <x:c r="X593"/>
      <x:c r="Y593"/>
      <x:c r="Z593"/>
      <x:c r="AA593"/>
      <x:c r="AB593"/>
      <x:c r="AC593"/>
      <x:c r="AD593"/>
      <x:c r="AE593"/>
      <x:c r="AF593"/>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x:c r="C594"/>
      <x:c r="D594"/>
      <x:c r="E594"/>
      <x:c r="F594"/>
      <x:c r="G594"/>
      <x:c r="H594"/>
      <x:c r="I594"/>
      <x:c r="J594"/>
      <x:c r="K594"/>
      <x:c r="L594"/>
      <x:c r="M594"/>
      <x:c r="N594"/>
      <x:c r="O594"/>
      <x:c r="P594"/>
      <x:c r="Q594"/>
      <x:c r="R594"/>
      <x:c r="S594"/>
      <x:c r="T594"/>
      <x:c r="U594"/>
      <x:c r="V594"/>
      <x:c r="W594"/>
      <x:c r="X594"/>
      <x:c r="Y594"/>
      <x:c r="Z594"/>
      <x:c r="AA594"/>
      <x:c r="AB594"/>
      <x:c r="AC594"/>
      <x:c r="AD594"/>
      <x:c r="AE594"/>
      <x:c r="AF594"/>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x:c r="C595"/>
      <x:c r="D595"/>
      <x:c r="E595"/>
      <x:c r="F595"/>
      <x:c r="G595"/>
      <x:c r="H595"/>
      <x:c r="I595"/>
      <x:c r="J595"/>
      <x:c r="K595"/>
      <x:c r="L595"/>
      <x:c r="M595"/>
      <x:c r="N595"/>
      <x:c r="O595"/>
      <x:c r="P595"/>
      <x:c r="Q595"/>
      <x:c r="R595"/>
      <x:c r="S595"/>
      <x:c r="T595"/>
      <x:c r="U595"/>
      <x:c r="V595"/>
      <x:c r="W595"/>
      <x:c r="X595"/>
      <x:c r="Y595"/>
      <x:c r="Z595"/>
      <x:c r="AA595"/>
      <x:c r="AB595"/>
      <x:c r="AC595"/>
      <x:c r="AD595"/>
      <x:c r="AE595"/>
      <x:c r="AF595"/>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x:c r="C596"/>
      <x:c r="D596"/>
      <x:c r="E596"/>
      <x:c r="F596"/>
      <x:c r="G596"/>
      <x:c r="H596"/>
      <x:c r="I596"/>
      <x:c r="J596"/>
      <x:c r="K596"/>
      <x:c r="L596"/>
      <x:c r="M596"/>
      <x:c r="N596"/>
      <x:c r="O596"/>
      <x:c r="P596"/>
      <x:c r="Q596"/>
      <x:c r="R596"/>
      <x:c r="S596"/>
      <x:c r="T596"/>
      <x:c r="U596"/>
      <x:c r="V596"/>
      <x:c r="W596"/>
      <x:c r="X596"/>
      <x:c r="Y596"/>
      <x:c r="Z596"/>
      <x:c r="AA596"/>
      <x:c r="AB596"/>
      <x:c r="AC596"/>
      <x:c r="AD596"/>
      <x:c r="AE596"/>
      <x:c r="AF596"/>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x:c r="C597"/>
      <x:c r="D597"/>
      <x:c r="E597"/>
      <x:c r="F597"/>
      <x:c r="G597"/>
      <x:c r="H597"/>
      <x:c r="I597"/>
      <x:c r="J597"/>
      <x:c r="K597"/>
      <x:c r="L597"/>
      <x:c r="M597"/>
      <x:c r="N597"/>
      <x:c r="O597"/>
      <x:c r="P597"/>
      <x:c r="Q597"/>
      <x:c r="R597"/>
      <x:c r="S597"/>
      <x:c r="T597"/>
      <x:c r="U597"/>
      <x:c r="V597"/>
      <x:c r="W597"/>
      <x:c r="X597"/>
      <x:c r="Y597"/>
      <x:c r="Z597"/>
      <x:c r="AA597"/>
      <x:c r="AB597"/>
      <x:c r="AC597"/>
      <x:c r="AD597"/>
      <x:c r="AE597"/>
      <x:c r="AF597"/>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x:c r="C598"/>
      <x:c r="D598"/>
      <x:c r="E598"/>
      <x:c r="F598"/>
      <x:c r="G598"/>
      <x:c r="H598"/>
      <x:c r="I598"/>
      <x:c r="J598"/>
      <x:c r="K598"/>
      <x:c r="L598"/>
      <x:c r="M598"/>
      <x:c r="N598"/>
      <x:c r="O598"/>
      <x:c r="P598"/>
      <x:c r="Q598"/>
      <x:c r="R598"/>
      <x:c r="S598"/>
      <x:c r="T598"/>
      <x:c r="U598"/>
      <x:c r="V598"/>
      <x:c r="W598"/>
      <x:c r="X598"/>
      <x:c r="Y598"/>
      <x:c r="Z598"/>
      <x:c r="AA598"/>
      <x:c r="AB598"/>
      <x:c r="AC598"/>
      <x:c r="AD598"/>
      <x:c r="AE598"/>
      <x:c r="AF598"/>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x:c r="C599"/>
      <x:c r="D599"/>
      <x:c r="E599"/>
      <x:c r="F599"/>
      <x:c r="G599"/>
      <x:c r="H599"/>
      <x:c r="I599"/>
      <x:c r="J599"/>
      <x:c r="K599"/>
      <x:c r="L599"/>
      <x:c r="M599"/>
      <x:c r="N599"/>
      <x:c r="O599"/>
      <x:c r="P599"/>
      <x:c r="Q599"/>
      <x:c r="R599"/>
      <x:c r="S599"/>
      <x:c r="T599"/>
      <x:c r="U599"/>
      <x:c r="V599"/>
      <x:c r="W599"/>
      <x:c r="X599"/>
      <x:c r="Y599"/>
      <x:c r="Z599"/>
      <x:c r="AA599"/>
      <x:c r="AB599"/>
      <x:c r="AC599"/>
      <x:c r="AD599"/>
      <x:c r="AE599"/>
      <x:c r="AF599"/>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x:c r="C600"/>
      <x:c r="D600"/>
      <x:c r="E600"/>
      <x:c r="F600"/>
      <x:c r="G600"/>
      <x:c r="H600"/>
      <x:c r="I600"/>
      <x:c r="J600"/>
      <x:c r="K600"/>
      <x:c r="L600"/>
      <x:c r="M600"/>
      <x:c r="N600"/>
      <x:c r="O600"/>
      <x:c r="P600"/>
      <x:c r="Q600"/>
      <x:c r="R600"/>
      <x:c r="S600"/>
      <x:c r="T600"/>
      <x:c r="U600"/>
      <x:c r="V600"/>
      <x:c r="W600"/>
      <x:c r="X600"/>
      <x:c r="Y600"/>
      <x:c r="Z600"/>
      <x:c r="AA600"/>
      <x:c r="AB600"/>
      <x:c r="AC600"/>
      <x:c r="AD600"/>
      <x:c r="AE600"/>
      <x:c r="AF600"/>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x:c r="C601"/>
      <x:c r="D601"/>
      <x:c r="E601"/>
      <x:c r="F601"/>
      <x:c r="G601"/>
      <x:c r="H601"/>
      <x:c r="I601"/>
      <x:c r="J601"/>
      <x:c r="K601"/>
      <x:c r="L601"/>
      <x:c r="M601"/>
      <x:c r="N601"/>
      <x:c r="O601"/>
      <x:c r="P601"/>
      <x:c r="Q601"/>
      <x:c r="R601"/>
      <x:c r="S601"/>
      <x:c r="T601"/>
      <x:c r="U601"/>
      <x:c r="V601"/>
      <x:c r="W601"/>
      <x:c r="X601"/>
      <x:c r="Y601"/>
      <x:c r="Z601"/>
      <x:c r="AA601"/>
      <x:c r="AB601"/>
      <x:c r="AC601"/>
      <x:c r="AD601"/>
      <x:c r="AE601"/>
      <x:c r="AF601"/>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x:c r="C602"/>
      <x:c r="D602"/>
      <x:c r="E602"/>
      <x:c r="F602"/>
      <x:c r="G602"/>
      <x:c r="H602"/>
      <x:c r="I602"/>
      <x:c r="J602"/>
      <x:c r="K602"/>
      <x:c r="L602"/>
      <x:c r="M602"/>
      <x:c r="N602"/>
      <x:c r="O602"/>
      <x:c r="P602"/>
      <x:c r="Q602"/>
      <x:c r="R602"/>
      <x:c r="S602"/>
      <x:c r="T602"/>
      <x:c r="U602"/>
      <x:c r="V602"/>
      <x:c r="W602"/>
      <x:c r="X602"/>
      <x:c r="Y602"/>
      <x:c r="Z602"/>
      <x:c r="AA602"/>
      <x:c r="AB602"/>
      <x:c r="AC602"/>
      <x:c r="AD602"/>
      <x:c r="AE602"/>
      <x:c r="AF602"/>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x:c r="C603"/>
      <x:c r="D603"/>
      <x:c r="E603"/>
      <x:c r="F603"/>
      <x:c r="G603"/>
      <x:c r="H603"/>
      <x:c r="I603"/>
      <x:c r="J603"/>
      <x:c r="K603"/>
      <x:c r="L603"/>
      <x:c r="M603"/>
      <x:c r="N603"/>
      <x:c r="O603"/>
      <x:c r="P603"/>
      <x:c r="Q603"/>
      <x:c r="R603"/>
      <x:c r="S603"/>
      <x:c r="T603"/>
      <x:c r="U603"/>
      <x:c r="V603"/>
      <x:c r="W603"/>
      <x:c r="X603"/>
      <x:c r="Y603"/>
      <x:c r="Z603"/>
      <x:c r="AA603"/>
      <x:c r="AB603"/>
      <x:c r="AC603"/>
      <x:c r="AD603"/>
      <x:c r="AE603"/>
      <x:c r="AF603"/>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x:c r="C604"/>
      <x:c r="D604"/>
      <x:c r="E604"/>
      <x:c r="F604"/>
      <x:c r="G604"/>
      <x:c r="H604"/>
      <x:c r="I604"/>
      <x:c r="J604"/>
      <x:c r="K604"/>
      <x:c r="L604"/>
      <x:c r="M604"/>
      <x:c r="N604"/>
      <x:c r="O604"/>
      <x:c r="P604"/>
      <x:c r="Q604"/>
      <x:c r="R604"/>
      <x:c r="S604"/>
      <x:c r="T604"/>
      <x:c r="U604"/>
      <x:c r="V604"/>
      <x:c r="W604"/>
      <x:c r="X604"/>
      <x:c r="Y604"/>
      <x:c r="Z604"/>
      <x:c r="AA604"/>
      <x:c r="AB604"/>
      <x:c r="AC604"/>
      <x:c r="AD604"/>
      <x:c r="AE604"/>
      <x:c r="AF604"/>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x:c r="C605"/>
      <x:c r="D605"/>
      <x:c r="E605"/>
      <x:c r="F605"/>
      <x:c r="G605"/>
      <x:c r="H605"/>
      <x:c r="I605"/>
      <x:c r="J605"/>
      <x:c r="K605"/>
      <x:c r="L605"/>
      <x:c r="M605"/>
      <x:c r="N605"/>
      <x:c r="O605"/>
      <x:c r="P605"/>
      <x:c r="Q605"/>
      <x:c r="R605"/>
      <x:c r="S605"/>
      <x:c r="T605"/>
      <x:c r="U605"/>
      <x:c r="V605"/>
      <x:c r="W605"/>
      <x:c r="X605"/>
      <x:c r="Y605"/>
      <x:c r="Z605"/>
      <x:c r="AA605"/>
      <x:c r="AB605"/>
      <x:c r="AC605"/>
      <x:c r="AD605"/>
      <x:c r="AE605"/>
      <x:c r="AF605"/>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x:c r="C606"/>
      <x:c r="D606"/>
      <x:c r="E606"/>
      <x:c r="F606"/>
      <x:c r="G606"/>
      <x:c r="H606"/>
      <x:c r="I606"/>
      <x:c r="J606"/>
      <x:c r="K606"/>
      <x:c r="L606"/>
      <x:c r="M606"/>
      <x:c r="N606"/>
      <x:c r="O606"/>
      <x:c r="P606"/>
      <x:c r="Q606"/>
      <x:c r="R606"/>
      <x:c r="S606"/>
      <x:c r="T606"/>
      <x:c r="U606"/>
      <x:c r="V606"/>
      <x:c r="W606"/>
      <x:c r="X606"/>
      <x:c r="Y606"/>
      <x:c r="Z606"/>
      <x:c r="AA606"/>
      <x:c r="AB606"/>
      <x:c r="AC606"/>
      <x:c r="AD606"/>
      <x:c r="AE606"/>
      <x:c r="AF606"/>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x:c r="C607"/>
      <x:c r="D607"/>
      <x:c r="E607"/>
      <x:c r="F607"/>
      <x:c r="G607"/>
      <x:c r="H607"/>
      <x:c r="I607"/>
      <x:c r="J607"/>
      <x:c r="K607"/>
      <x:c r="L607"/>
      <x:c r="M607"/>
      <x:c r="N607"/>
      <x:c r="O607"/>
      <x:c r="P607"/>
      <x:c r="Q607"/>
      <x:c r="R607"/>
      <x:c r="S607"/>
      <x:c r="T607"/>
      <x:c r="U607"/>
      <x:c r="V607"/>
      <x:c r="W607"/>
      <x:c r="X607"/>
      <x:c r="Y607"/>
      <x:c r="Z607"/>
      <x:c r="AA607"/>
      <x:c r="AB607"/>
      <x:c r="AC607"/>
      <x:c r="AD607"/>
      <x:c r="AE607"/>
      <x:c r="AF607"/>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x:c r="C608"/>
      <x:c r="D608"/>
      <x:c r="E608"/>
      <x:c r="F608"/>
      <x:c r="G608"/>
      <x:c r="H608"/>
      <x:c r="I608"/>
      <x:c r="J608"/>
      <x:c r="K608"/>
      <x:c r="L608"/>
      <x:c r="M608"/>
      <x:c r="N608"/>
      <x:c r="O608"/>
      <x:c r="P608"/>
      <x:c r="Q608"/>
      <x:c r="R608"/>
      <x:c r="S608"/>
      <x:c r="T608"/>
      <x:c r="U608"/>
      <x:c r="V608"/>
      <x:c r="W608"/>
      <x:c r="X608"/>
      <x:c r="Y608"/>
      <x:c r="Z608"/>
      <x:c r="AA608"/>
      <x:c r="AB608"/>
      <x:c r="AC608"/>
      <x:c r="AD608"/>
      <x:c r="AE608"/>
      <x:c r="AF608"/>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x:c r="C609"/>
      <x:c r="D609"/>
      <x:c r="E609"/>
      <x:c r="F609"/>
      <x:c r="G609"/>
      <x:c r="H609"/>
      <x:c r="I609"/>
      <x:c r="J609"/>
      <x:c r="K609"/>
      <x:c r="L609"/>
      <x:c r="M609"/>
      <x:c r="N609"/>
      <x:c r="O609"/>
      <x:c r="P609"/>
      <x:c r="Q609"/>
      <x:c r="R609"/>
      <x:c r="S609"/>
      <x:c r="T609"/>
      <x:c r="U609"/>
      <x:c r="V609"/>
      <x:c r="W609"/>
      <x:c r="X609"/>
      <x:c r="Y609"/>
      <x:c r="Z609"/>
      <x:c r="AA609"/>
      <x:c r="AB609"/>
      <x:c r="AC609"/>
      <x:c r="AD609"/>
      <x:c r="AE609"/>
      <x:c r="AF609"/>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x:c r="C610"/>
      <x:c r="D610"/>
      <x:c r="E610"/>
      <x:c r="F610"/>
      <x:c r="G610"/>
      <x:c r="H610"/>
      <x:c r="I610"/>
      <x:c r="J610"/>
      <x:c r="K610"/>
      <x:c r="L610"/>
      <x:c r="M610"/>
      <x:c r="N610"/>
      <x:c r="O610"/>
      <x:c r="P610"/>
      <x:c r="Q610"/>
      <x:c r="R610"/>
      <x:c r="S610"/>
      <x:c r="T610"/>
      <x:c r="U610"/>
      <x:c r="V610"/>
      <x:c r="W610"/>
      <x:c r="X610"/>
      <x:c r="Y610"/>
      <x:c r="Z610"/>
      <x:c r="AA610"/>
      <x:c r="AB610"/>
      <x:c r="AC610"/>
      <x:c r="AD610"/>
      <x:c r="AE610"/>
      <x:c r="AF610"/>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x:c r="C611"/>
      <x:c r="D611"/>
      <x:c r="E611"/>
      <x:c r="F611"/>
      <x:c r="G611"/>
      <x:c r="H611"/>
      <x:c r="I611"/>
      <x:c r="J611"/>
      <x:c r="K611"/>
      <x:c r="L611"/>
      <x:c r="M611"/>
      <x:c r="N611"/>
      <x:c r="O611"/>
      <x:c r="P611"/>
      <x:c r="Q611"/>
      <x:c r="R611"/>
      <x:c r="S611"/>
      <x:c r="T611"/>
      <x:c r="U611"/>
      <x:c r="V611"/>
      <x:c r="W611"/>
      <x:c r="X611"/>
      <x:c r="Y611"/>
      <x:c r="Z611"/>
      <x:c r="AA611"/>
      <x:c r="AB611"/>
      <x:c r="AC611"/>
      <x:c r="AD611"/>
      <x:c r="AE611"/>
      <x:c r="AF611"/>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x:c r="C612"/>
      <x:c r="D612"/>
      <x:c r="E612"/>
      <x:c r="F612"/>
      <x:c r="G612"/>
      <x:c r="H612"/>
      <x:c r="I612"/>
      <x:c r="J612"/>
      <x:c r="K612"/>
      <x:c r="L612"/>
      <x:c r="M612"/>
      <x:c r="N612"/>
      <x:c r="O612"/>
      <x:c r="P612"/>
      <x:c r="Q612"/>
      <x:c r="R612"/>
      <x:c r="S612"/>
      <x:c r="T612"/>
      <x:c r="U612"/>
      <x:c r="V612"/>
      <x:c r="W612"/>
      <x:c r="X612"/>
      <x:c r="Y612"/>
      <x:c r="Z612"/>
      <x:c r="AA612"/>
      <x:c r="AB612"/>
      <x:c r="AC612"/>
      <x:c r="AD612"/>
      <x:c r="AE612"/>
      <x:c r="AF612"/>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x:c r="C613"/>
      <x:c r="D613"/>
      <x:c r="E613"/>
      <x:c r="F613"/>
      <x:c r="G613"/>
      <x:c r="H613"/>
      <x:c r="I613"/>
      <x:c r="J613"/>
      <x:c r="K613"/>
      <x:c r="L613"/>
      <x:c r="M613"/>
      <x:c r="N613"/>
      <x:c r="O613"/>
      <x:c r="P613"/>
      <x:c r="Q613"/>
      <x:c r="R613"/>
      <x:c r="S613"/>
      <x:c r="T613"/>
      <x:c r="U613"/>
      <x:c r="V613"/>
      <x:c r="W613"/>
      <x:c r="X613"/>
      <x:c r="Y613"/>
      <x:c r="Z613"/>
      <x:c r="AA613"/>
      <x:c r="AB613"/>
      <x:c r="AC613"/>
      <x:c r="AD613"/>
      <x:c r="AE613"/>
      <x:c r="AF613"/>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x:c r="C614"/>
      <x:c r="D614"/>
      <x:c r="E614"/>
      <x:c r="F614"/>
      <x:c r="G614"/>
      <x:c r="H614"/>
      <x:c r="I614"/>
      <x:c r="J614"/>
      <x:c r="K614"/>
      <x:c r="L614"/>
      <x:c r="M614"/>
      <x:c r="N614"/>
      <x:c r="O614"/>
      <x:c r="P614"/>
      <x:c r="Q614"/>
      <x:c r="R614"/>
      <x:c r="S614"/>
      <x:c r="T614"/>
      <x:c r="U614"/>
      <x:c r="V614"/>
      <x:c r="W614"/>
      <x:c r="X614"/>
      <x:c r="Y614"/>
      <x:c r="Z614"/>
      <x:c r="AA614"/>
      <x:c r="AB614"/>
      <x:c r="AC614"/>
      <x:c r="AD614"/>
      <x:c r="AE614"/>
      <x:c r="AF614"/>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x:c r="C615"/>
      <x:c r="D615"/>
      <x:c r="E615"/>
      <x:c r="F615"/>
      <x:c r="G615"/>
      <x:c r="H615"/>
      <x:c r="I615"/>
      <x:c r="J615"/>
      <x:c r="K615"/>
      <x:c r="L615"/>
      <x:c r="M615"/>
      <x:c r="N615"/>
      <x:c r="O615"/>
      <x:c r="P615"/>
      <x:c r="Q615"/>
      <x:c r="R615"/>
      <x:c r="S615"/>
      <x:c r="T615"/>
      <x:c r="U615"/>
      <x:c r="V615"/>
      <x:c r="W615"/>
      <x:c r="X615"/>
      <x:c r="Y615"/>
      <x:c r="Z615"/>
      <x:c r="AA615"/>
      <x:c r="AB615"/>
      <x:c r="AC615"/>
      <x:c r="AD615"/>
      <x:c r="AE615"/>
      <x:c r="AF615"/>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x:c r="C616"/>
      <x:c r="D616"/>
      <x:c r="E616"/>
      <x:c r="F616"/>
      <x:c r="G616"/>
      <x:c r="H616"/>
      <x:c r="I616"/>
      <x:c r="J616"/>
      <x:c r="K616"/>
      <x:c r="L616"/>
      <x:c r="M616"/>
      <x:c r="N616"/>
      <x:c r="O616"/>
      <x:c r="P616"/>
      <x:c r="Q616"/>
      <x:c r="R616"/>
      <x:c r="S616"/>
      <x:c r="T616"/>
      <x:c r="U616"/>
      <x:c r="V616"/>
      <x:c r="W616"/>
      <x:c r="X616"/>
      <x:c r="Y616"/>
      <x:c r="Z616"/>
      <x:c r="AA616"/>
      <x:c r="AB616"/>
      <x:c r="AC616"/>
      <x:c r="AD616"/>
      <x:c r="AE616"/>
      <x:c r="AF616"/>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x:c r="C617"/>
      <x:c r="D617"/>
      <x:c r="E617"/>
      <x:c r="F617"/>
      <x:c r="G617"/>
      <x:c r="H617"/>
      <x:c r="I617"/>
      <x:c r="J617"/>
      <x:c r="K617"/>
      <x:c r="L617"/>
      <x:c r="M617"/>
      <x:c r="N617"/>
      <x:c r="O617"/>
      <x:c r="P617"/>
      <x:c r="Q617"/>
      <x:c r="R617"/>
      <x:c r="S617"/>
      <x:c r="T617"/>
      <x:c r="U617"/>
      <x:c r="V617"/>
      <x:c r="W617"/>
      <x:c r="X617"/>
      <x:c r="Y617"/>
      <x:c r="Z617"/>
      <x:c r="AA617"/>
      <x:c r="AB617"/>
      <x:c r="AC617"/>
      <x:c r="AD617"/>
      <x:c r="AE617"/>
      <x:c r="AF617"/>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x:c r="C618"/>
      <x:c r="D618"/>
      <x:c r="E618"/>
      <x:c r="F618"/>
      <x:c r="G618"/>
      <x:c r="H618"/>
      <x:c r="I618"/>
      <x:c r="J618"/>
      <x:c r="K618"/>
      <x:c r="L618"/>
      <x:c r="M618"/>
      <x:c r="N618"/>
      <x:c r="O618"/>
      <x:c r="P618"/>
      <x:c r="Q618"/>
      <x:c r="R618"/>
      <x:c r="S618"/>
      <x:c r="T618"/>
      <x:c r="U618"/>
      <x:c r="V618"/>
      <x:c r="W618"/>
      <x:c r="X618"/>
      <x:c r="Y618"/>
      <x:c r="Z618"/>
      <x:c r="AA618"/>
      <x:c r="AB618"/>
      <x:c r="AC618"/>
      <x:c r="AD618"/>
      <x:c r="AE618"/>
      <x:c r="AF618"/>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x:c r="C619"/>
      <x:c r="D619"/>
      <x:c r="E619"/>
      <x:c r="F619"/>
      <x:c r="G619"/>
      <x:c r="H619"/>
      <x:c r="I619"/>
      <x:c r="J619"/>
      <x:c r="K619"/>
      <x:c r="L619"/>
      <x:c r="M619"/>
      <x:c r="N619"/>
      <x:c r="O619"/>
      <x:c r="P619"/>
      <x:c r="Q619"/>
      <x:c r="R619"/>
      <x:c r="S619"/>
      <x:c r="T619"/>
      <x:c r="U619"/>
      <x:c r="V619"/>
      <x:c r="W619"/>
      <x:c r="X619"/>
      <x:c r="Y619"/>
      <x:c r="Z619"/>
      <x:c r="AA619"/>
      <x:c r="AB619"/>
      <x:c r="AC619"/>
      <x:c r="AD619"/>
      <x:c r="AE619"/>
      <x:c r="AF619"/>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x:c r="C620"/>
      <x:c r="D620"/>
      <x:c r="E620"/>
      <x:c r="F620"/>
      <x:c r="G620"/>
      <x:c r="H620"/>
      <x:c r="I620"/>
      <x:c r="J620"/>
      <x:c r="K620"/>
      <x:c r="L620"/>
      <x:c r="M620"/>
      <x:c r="N620"/>
      <x:c r="O620"/>
      <x:c r="P620"/>
      <x:c r="Q620"/>
      <x:c r="R620"/>
      <x:c r="S620"/>
      <x:c r="T620"/>
      <x:c r="U620"/>
      <x:c r="V620"/>
      <x:c r="W620"/>
      <x:c r="X620"/>
      <x:c r="Y620"/>
      <x:c r="Z620"/>
      <x:c r="AA620"/>
      <x:c r="AB620"/>
      <x:c r="AC620"/>
      <x:c r="AD620"/>
      <x:c r="AE620"/>
      <x:c r="AF620"/>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x:c r="C621"/>
      <x:c r="D621"/>
      <x:c r="E621"/>
      <x:c r="F621"/>
      <x:c r="G621"/>
      <x:c r="H621"/>
      <x:c r="I621"/>
      <x:c r="J621"/>
      <x:c r="K621"/>
      <x:c r="L621"/>
      <x:c r="M621"/>
      <x:c r="N621"/>
      <x:c r="O621"/>
      <x:c r="P621"/>
      <x:c r="Q621"/>
      <x:c r="R621"/>
      <x:c r="S621"/>
      <x:c r="T621"/>
      <x:c r="U621"/>
      <x:c r="V621"/>
      <x:c r="W621"/>
      <x:c r="X621"/>
      <x:c r="Y621"/>
      <x:c r="Z621"/>
      <x:c r="AA621"/>
      <x:c r="AB621"/>
      <x:c r="AC621"/>
      <x:c r="AD621"/>
      <x:c r="AE621"/>
      <x:c r="AF621"/>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x:c r="C622"/>
      <x:c r="D622"/>
      <x:c r="E622"/>
      <x:c r="F622"/>
      <x:c r="G622"/>
      <x:c r="H622"/>
      <x:c r="I622"/>
      <x:c r="J622"/>
      <x:c r="K622"/>
      <x:c r="L622"/>
      <x:c r="M622"/>
      <x:c r="N622"/>
      <x:c r="O622"/>
      <x:c r="P622"/>
      <x:c r="Q622"/>
      <x:c r="R622"/>
      <x:c r="S622"/>
      <x:c r="T622"/>
      <x:c r="U622"/>
      <x:c r="V622"/>
      <x:c r="W622"/>
      <x:c r="X622"/>
      <x:c r="Y622"/>
      <x:c r="Z622"/>
      <x:c r="AA622"/>
      <x:c r="AB622"/>
      <x:c r="AC622"/>
      <x:c r="AD622"/>
      <x:c r="AE622"/>
      <x:c r="AF622"/>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x:c r="C623"/>
      <x:c r="D623"/>
      <x:c r="E623"/>
      <x:c r="F623"/>
      <x:c r="G623"/>
      <x:c r="H623"/>
      <x:c r="I623"/>
      <x:c r="J623"/>
      <x:c r="K623"/>
      <x:c r="L623"/>
      <x:c r="M623"/>
      <x:c r="N623"/>
      <x:c r="O623"/>
      <x:c r="P623"/>
      <x:c r="Q623"/>
      <x:c r="R623"/>
      <x:c r="S623"/>
      <x:c r="T623"/>
      <x:c r="U623"/>
      <x:c r="V623"/>
      <x:c r="W623"/>
      <x:c r="X623"/>
      <x:c r="Y623"/>
      <x:c r="Z623"/>
      <x:c r="AA623"/>
      <x:c r="AB623"/>
      <x:c r="AC623"/>
      <x:c r="AD623"/>
      <x:c r="AE623"/>
      <x:c r="AF623"/>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x:c r="C624"/>
      <x:c r="D624"/>
      <x:c r="E624"/>
      <x:c r="F624"/>
      <x:c r="G624"/>
      <x:c r="H624"/>
      <x:c r="I624"/>
      <x:c r="J624"/>
      <x:c r="K624"/>
      <x:c r="L624"/>
      <x:c r="M624"/>
      <x:c r="N624"/>
      <x:c r="O624"/>
      <x:c r="P624"/>
      <x:c r="Q624"/>
      <x:c r="R624"/>
      <x:c r="S624"/>
      <x:c r="T624"/>
      <x:c r="U624"/>
      <x:c r="V624"/>
      <x:c r="W624"/>
      <x:c r="X624"/>
      <x:c r="Y624"/>
      <x:c r="Z624"/>
      <x:c r="AA624"/>
      <x:c r="AB624"/>
      <x:c r="AC624"/>
      <x:c r="AD624"/>
      <x:c r="AE624"/>
      <x:c r="AF624"/>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x:c r="C625"/>
      <x:c r="D625"/>
      <x:c r="E625"/>
      <x:c r="F625"/>
      <x:c r="G625"/>
      <x:c r="H625"/>
      <x:c r="I625"/>
      <x:c r="J625"/>
      <x:c r="K625"/>
      <x:c r="L625"/>
      <x:c r="M625"/>
      <x:c r="N625"/>
      <x:c r="O625"/>
      <x:c r="P625"/>
      <x:c r="Q625"/>
      <x:c r="R625"/>
      <x:c r="S625"/>
      <x:c r="T625"/>
      <x:c r="U625"/>
      <x:c r="V625"/>
      <x:c r="W625"/>
      <x:c r="X625"/>
      <x:c r="Y625"/>
      <x:c r="Z625"/>
      <x:c r="AA625"/>
      <x:c r="AB625"/>
      <x:c r="AC625"/>
      <x:c r="AD625"/>
      <x:c r="AE625"/>
      <x:c r="AF625"/>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x:c r="C626"/>
      <x:c r="D626"/>
      <x:c r="E626"/>
      <x:c r="F626"/>
      <x:c r="G626"/>
      <x:c r="H626"/>
      <x:c r="I626"/>
      <x:c r="J626"/>
      <x:c r="K626"/>
      <x:c r="L626"/>
      <x:c r="M626"/>
      <x:c r="N626"/>
      <x:c r="O626"/>
      <x:c r="P626"/>
      <x:c r="Q626"/>
      <x:c r="R626"/>
      <x:c r="S626"/>
      <x:c r="T626"/>
      <x:c r="U626"/>
      <x:c r="V626"/>
      <x:c r="W626"/>
      <x:c r="X626"/>
      <x:c r="Y626"/>
      <x:c r="Z626"/>
      <x:c r="AA626"/>
      <x:c r="AB626"/>
      <x:c r="AC626"/>
      <x:c r="AD626"/>
      <x:c r="AE626"/>
      <x:c r="AF626"/>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x:c r="C627"/>
      <x:c r="D627"/>
      <x:c r="E627"/>
      <x:c r="F627"/>
      <x:c r="G627"/>
      <x:c r="H627"/>
      <x:c r="I627"/>
      <x:c r="J627"/>
      <x:c r="K627"/>
      <x:c r="L627"/>
      <x:c r="M627"/>
      <x:c r="N627"/>
      <x:c r="O627"/>
      <x:c r="P627"/>
      <x:c r="Q627"/>
      <x:c r="R627"/>
      <x:c r="S627"/>
      <x:c r="T627"/>
      <x:c r="U627"/>
      <x:c r="V627"/>
      <x:c r="W627"/>
      <x:c r="X627"/>
      <x:c r="Y627"/>
      <x:c r="Z627"/>
      <x:c r="AA627"/>
      <x:c r="AB627"/>
      <x:c r="AC627"/>
      <x:c r="AD627"/>
      <x:c r="AE627"/>
      <x:c r="AF627"/>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x:c r="C628"/>
      <x:c r="D628"/>
      <x:c r="E628"/>
      <x:c r="F628"/>
      <x:c r="G628"/>
      <x:c r="H628"/>
      <x:c r="I628"/>
      <x:c r="J628"/>
      <x:c r="K628"/>
      <x:c r="L628"/>
      <x:c r="M628"/>
      <x:c r="N628"/>
      <x:c r="O628"/>
      <x:c r="P628"/>
      <x:c r="Q628"/>
      <x:c r="R628"/>
      <x:c r="S628"/>
      <x:c r="T628"/>
      <x:c r="U628"/>
      <x:c r="V628"/>
      <x:c r="W628"/>
      <x:c r="X628"/>
      <x:c r="Y628"/>
      <x:c r="Z628"/>
      <x:c r="AA628"/>
      <x:c r="AB628"/>
      <x:c r="AC628"/>
      <x:c r="AD628"/>
      <x:c r="AE628"/>
      <x:c r="AF628"/>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x:c r="C629"/>
      <x:c r="D629"/>
      <x:c r="E629"/>
      <x:c r="F629"/>
      <x:c r="G629"/>
      <x:c r="H629"/>
      <x:c r="I629"/>
      <x:c r="J629"/>
      <x:c r="K629"/>
      <x:c r="L629"/>
      <x:c r="M629"/>
      <x:c r="N629"/>
      <x:c r="O629"/>
      <x:c r="P629"/>
      <x:c r="Q629"/>
      <x:c r="R629"/>
      <x:c r="S629"/>
      <x:c r="T629"/>
      <x:c r="U629"/>
      <x:c r="V629"/>
      <x:c r="W629"/>
      <x:c r="X629"/>
      <x:c r="Y629"/>
      <x:c r="Z629"/>
      <x:c r="AA629"/>
      <x:c r="AB629"/>
      <x:c r="AC629"/>
      <x:c r="AD629"/>
      <x:c r="AE629"/>
      <x:c r="AF629"/>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x:c r="C630"/>
      <x:c r="D630"/>
      <x:c r="E630"/>
      <x:c r="F630"/>
      <x:c r="G630"/>
      <x:c r="H630"/>
      <x:c r="I630"/>
      <x:c r="J630"/>
      <x:c r="K630"/>
      <x:c r="L630"/>
      <x:c r="M630"/>
      <x:c r="N630"/>
      <x:c r="O630"/>
      <x:c r="P630"/>
      <x:c r="Q630"/>
      <x:c r="R630"/>
      <x:c r="S630"/>
      <x:c r="T630"/>
      <x:c r="U630"/>
      <x:c r="V630"/>
      <x:c r="W630"/>
      <x:c r="X630"/>
      <x:c r="Y630"/>
      <x:c r="Z630"/>
      <x:c r="AA630"/>
      <x:c r="AB630"/>
      <x:c r="AC630"/>
      <x:c r="AD630"/>
      <x:c r="AE630"/>
      <x:c r="AF630"/>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x:c r="C631"/>
      <x:c r="D631"/>
      <x:c r="E631"/>
      <x:c r="F631"/>
      <x:c r="G631"/>
      <x:c r="H631"/>
      <x:c r="I631"/>
      <x:c r="J631"/>
      <x:c r="K631"/>
      <x:c r="L631"/>
      <x:c r="M631"/>
      <x:c r="N631"/>
      <x:c r="O631"/>
      <x:c r="P631"/>
      <x:c r="Q631"/>
      <x:c r="R631"/>
      <x:c r="S631"/>
      <x:c r="T631"/>
      <x:c r="U631"/>
      <x:c r="V631"/>
      <x:c r="W631"/>
      <x:c r="X631"/>
      <x:c r="Y631"/>
      <x:c r="Z631"/>
      <x:c r="AA631"/>
      <x:c r="AB631"/>
      <x:c r="AC631"/>
      <x:c r="AD631"/>
      <x:c r="AE631"/>
      <x:c r="AF631"/>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x:c r="C632"/>
      <x:c r="D632"/>
      <x:c r="E632"/>
      <x:c r="F632"/>
      <x:c r="G632"/>
      <x:c r="H632"/>
      <x:c r="I632"/>
      <x:c r="J632"/>
      <x:c r="K632"/>
      <x:c r="L632"/>
      <x:c r="M632"/>
      <x:c r="N632"/>
      <x:c r="O632"/>
      <x:c r="P632"/>
      <x:c r="Q632"/>
      <x:c r="R632"/>
      <x:c r="S632"/>
      <x:c r="T632"/>
      <x:c r="U632"/>
      <x:c r="V632"/>
      <x:c r="W632"/>
      <x:c r="X632"/>
      <x:c r="Y632"/>
      <x:c r="Z632"/>
      <x:c r="AA632"/>
      <x:c r="AB632"/>
      <x:c r="AC632"/>
      <x:c r="AD632"/>
      <x:c r="AE632"/>
      <x:c r="AF632"/>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x:c r="C633"/>
      <x:c r="D633"/>
      <x:c r="E633"/>
      <x:c r="F633"/>
      <x:c r="G633"/>
      <x:c r="H633"/>
      <x:c r="I633"/>
      <x:c r="J633"/>
      <x:c r="K633"/>
      <x:c r="L633"/>
      <x:c r="M633"/>
      <x:c r="N633"/>
      <x:c r="O633"/>
      <x:c r="P633"/>
      <x:c r="Q633"/>
      <x:c r="R633"/>
      <x:c r="S633"/>
      <x:c r="T633"/>
      <x:c r="U633"/>
      <x:c r="V633"/>
      <x:c r="W633"/>
      <x:c r="X633"/>
      <x:c r="Y633"/>
      <x:c r="Z633"/>
      <x:c r="AA633"/>
      <x:c r="AB633"/>
      <x:c r="AC633"/>
      <x:c r="AD633"/>
      <x:c r="AE633"/>
      <x:c r="AF633"/>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C634"/>
      <x:c r="D634"/>
      <x:c r="E634"/>
      <x:c r="F634"/>
      <x:c r="G634"/>
      <x:c r="H634"/>
      <x:c r="I634"/>
      <x:c r="J634"/>
      <x:c r="K634"/>
      <x:c r="L634"/>
      <x:c r="M634"/>
      <x:c r="N634"/>
      <x:c r="O634"/>
      <x:c r="P634"/>
      <x:c r="Q634"/>
      <x:c r="R634"/>
      <x:c r="S634"/>
      <x:c r="T634"/>
      <x:c r="U634"/>
      <x:c r="V634"/>
      <x:c r="W634"/>
      <x:c r="X634"/>
      <x:c r="Y634"/>
      <x:c r="Z634"/>
      <x:c r="AA634"/>
      <x:c r="AB634"/>
      <x:c r="AC634"/>
      <x:c r="AD634"/>
      <x:c r="AE634"/>
      <x:c r="AF63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x:c r="C635"/>
      <x:c r="D635"/>
      <x:c r="E635"/>
      <x:c r="F635"/>
      <x:c r="G635"/>
      <x:c r="H635"/>
      <x:c r="I635"/>
      <x:c r="J635"/>
      <x:c r="K635"/>
      <x:c r="L635"/>
      <x:c r="M635"/>
      <x:c r="N635"/>
      <x:c r="O635"/>
      <x:c r="P635"/>
      <x:c r="Q635"/>
      <x:c r="R635"/>
      <x:c r="S635"/>
      <x:c r="T635"/>
      <x:c r="U635"/>
      <x:c r="V635"/>
      <x:c r="W635"/>
      <x:c r="X635"/>
      <x:c r="Y635"/>
      <x:c r="Z635"/>
      <x:c r="AA635"/>
      <x:c r="AB635"/>
      <x:c r="AC635"/>
      <x:c r="AD635"/>
      <x:c r="AE635"/>
      <x:c r="AF635"/>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x:c r="C636"/>
      <x:c r="D636"/>
      <x:c r="E636"/>
      <x:c r="F636"/>
      <x:c r="G636"/>
      <x:c r="H636"/>
      <x:c r="I636"/>
      <x:c r="J636"/>
      <x:c r="K636"/>
      <x:c r="L636"/>
      <x:c r="M636"/>
      <x:c r="N636"/>
      <x:c r="O636"/>
      <x:c r="P636"/>
      <x:c r="Q636"/>
      <x:c r="R636"/>
      <x:c r="S636"/>
      <x:c r="T636"/>
      <x:c r="U636"/>
      <x:c r="V636"/>
      <x:c r="W636"/>
      <x:c r="X636"/>
      <x:c r="Y636"/>
      <x:c r="Z636"/>
      <x:c r="AA636"/>
      <x:c r="AB636"/>
      <x:c r="AC636"/>
      <x:c r="AD636"/>
      <x:c r="AE636"/>
      <x:c r="AF636"/>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x:c r="C637"/>
      <x:c r="D637"/>
      <x:c r="E637"/>
      <x:c r="F637"/>
      <x:c r="G637"/>
      <x:c r="H637"/>
      <x:c r="I637"/>
      <x:c r="J637"/>
      <x:c r="K637"/>
      <x:c r="L637"/>
      <x:c r="M637"/>
      <x:c r="N637"/>
      <x:c r="O637"/>
      <x:c r="P637"/>
      <x:c r="Q637"/>
      <x:c r="R637"/>
      <x:c r="S637"/>
      <x:c r="T637"/>
      <x:c r="U637"/>
      <x:c r="V637"/>
      <x:c r="W637"/>
      <x:c r="X637"/>
      <x:c r="Y637"/>
      <x:c r="Z637"/>
      <x:c r="AA637"/>
      <x:c r="AB637"/>
      <x:c r="AC637"/>
      <x:c r="AD637"/>
      <x:c r="AE637"/>
      <x:c r="AF637"/>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x:c r="C638"/>
      <x:c r="D638"/>
      <x:c r="E638"/>
      <x:c r="F638"/>
      <x:c r="G638"/>
      <x:c r="H638"/>
      <x:c r="I638"/>
      <x:c r="J638"/>
      <x:c r="K638"/>
      <x:c r="L638"/>
      <x:c r="M638"/>
      <x:c r="N638"/>
      <x:c r="O638"/>
      <x:c r="P638"/>
      <x:c r="Q638"/>
      <x:c r="R638"/>
      <x:c r="S638"/>
      <x:c r="T638"/>
      <x:c r="U638"/>
      <x:c r="V638"/>
      <x:c r="W638"/>
      <x:c r="X638"/>
      <x:c r="Y638"/>
      <x:c r="Z638"/>
      <x:c r="AA638"/>
      <x:c r="AB638"/>
      <x:c r="AC638"/>
      <x:c r="AD638"/>
      <x:c r="AE638"/>
      <x:c r="AF638"/>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x:c r="C639"/>
      <x:c r="D639"/>
      <x:c r="E639"/>
      <x:c r="F639"/>
      <x:c r="G639"/>
      <x:c r="H639"/>
      <x:c r="I639"/>
      <x:c r="J639"/>
      <x:c r="K639"/>
      <x:c r="L639"/>
      <x:c r="M639"/>
      <x:c r="N639"/>
      <x:c r="O639"/>
      <x:c r="P639"/>
      <x:c r="Q639"/>
      <x:c r="R639"/>
      <x:c r="S639"/>
      <x:c r="T639"/>
      <x:c r="U639"/>
      <x:c r="V639"/>
      <x:c r="W639"/>
      <x:c r="X639"/>
      <x:c r="Y639"/>
      <x:c r="Z639"/>
      <x:c r="AA639"/>
      <x:c r="AB639"/>
      <x:c r="AC639"/>
      <x:c r="AD639"/>
      <x:c r="AE639"/>
      <x:c r="AF639"/>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C640"/>
      <x:c r="D640"/>
      <x:c r="E640"/>
      <x:c r="F640"/>
      <x:c r="G640"/>
      <x:c r="H640"/>
      <x:c r="I640"/>
      <x:c r="J640"/>
      <x:c r="K640"/>
      <x:c r="L640"/>
      <x:c r="M640"/>
      <x:c r="N640"/>
      <x:c r="O640"/>
      <x:c r="P640"/>
      <x:c r="Q640"/>
      <x:c r="R640"/>
      <x:c r="S640"/>
      <x:c r="T640"/>
      <x:c r="U640"/>
      <x:c r="V640"/>
      <x:c r="W640"/>
      <x:c r="X640"/>
      <x:c r="Y640"/>
      <x:c r="Z640"/>
      <x:c r="AA640"/>
      <x:c r="AB640"/>
      <x:c r="AC640"/>
      <x:c r="AD640"/>
      <x:c r="AE640"/>
      <x:c r="AF640"/>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x:c r="C641"/>
      <x:c r="D641"/>
      <x:c r="E641"/>
      <x:c r="F641"/>
      <x:c r="G641"/>
      <x:c r="H641"/>
      <x:c r="I641"/>
      <x:c r="J641"/>
      <x:c r="K641"/>
      <x:c r="L641"/>
      <x:c r="M641"/>
      <x:c r="N641"/>
      <x:c r="O641"/>
      <x:c r="P641"/>
      <x:c r="Q641"/>
      <x:c r="R641"/>
      <x:c r="S641"/>
      <x:c r="T641"/>
      <x:c r="U641"/>
      <x:c r="V641"/>
      <x:c r="W641"/>
      <x:c r="X641"/>
      <x:c r="Y641"/>
      <x:c r="Z641"/>
      <x:c r="AA641"/>
      <x:c r="AB641"/>
      <x:c r="AC641"/>
      <x:c r="AD641"/>
      <x:c r="AE641"/>
      <x:c r="AF641"/>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x:c r="C642"/>
      <x:c r="D642"/>
      <x:c r="E642"/>
      <x:c r="F642"/>
      <x:c r="G642"/>
      <x:c r="H642"/>
      <x:c r="I642"/>
      <x:c r="J642"/>
      <x:c r="K642"/>
      <x:c r="L642"/>
      <x:c r="M642"/>
      <x:c r="N642"/>
      <x:c r="O642"/>
      <x:c r="P642"/>
      <x:c r="Q642"/>
      <x:c r="R642"/>
      <x:c r="S642"/>
      <x:c r="T642"/>
      <x:c r="U642"/>
      <x:c r="V642"/>
      <x:c r="W642"/>
      <x:c r="X642"/>
      <x:c r="Y642"/>
      <x:c r="Z642"/>
      <x:c r="AA642"/>
      <x:c r="AB642"/>
      <x:c r="AC642"/>
      <x:c r="AD642"/>
      <x:c r="AE642"/>
      <x:c r="AF642"/>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x:c r="C643"/>
      <x:c r="D643"/>
      <x:c r="E643"/>
      <x:c r="F643"/>
      <x:c r="G643"/>
      <x:c r="H643"/>
      <x:c r="I643"/>
      <x:c r="J643"/>
      <x:c r="K643"/>
      <x:c r="L643"/>
      <x:c r="M643"/>
      <x:c r="N643"/>
      <x:c r="O643"/>
      <x:c r="P643"/>
      <x:c r="Q643"/>
      <x:c r="R643"/>
      <x:c r="S643"/>
      <x:c r="T643"/>
      <x:c r="U643"/>
      <x:c r="V643"/>
      <x:c r="W643"/>
      <x:c r="X643"/>
      <x:c r="Y643"/>
      <x:c r="Z643"/>
      <x:c r="AA643"/>
      <x:c r="AB643"/>
      <x:c r="AC643"/>
      <x:c r="AD643"/>
      <x:c r="AE643"/>
      <x:c r="AF643"/>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x:c r="C644"/>
      <x:c r="D644"/>
      <x:c r="E644"/>
      <x:c r="F644"/>
      <x:c r="G644"/>
      <x:c r="H644"/>
      <x:c r="I644"/>
      <x:c r="J644"/>
      <x:c r="K644"/>
      <x:c r="L644"/>
      <x:c r="M644"/>
      <x:c r="N644"/>
      <x:c r="O644"/>
      <x:c r="P644"/>
      <x:c r="Q644"/>
      <x:c r="R644"/>
      <x:c r="S644"/>
      <x:c r="T644"/>
      <x:c r="U644"/>
      <x:c r="V644"/>
      <x:c r="W644"/>
      <x:c r="X644"/>
      <x:c r="Y644"/>
      <x:c r="Z644"/>
      <x:c r="AA644"/>
      <x:c r="AB644"/>
      <x:c r="AC644"/>
      <x:c r="AD644"/>
      <x:c r="AE644"/>
      <x:c r="AF644"/>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x:c r="C645"/>
      <x:c r="D645"/>
      <x:c r="E645"/>
      <x:c r="F645"/>
      <x:c r="G645"/>
      <x:c r="H645"/>
      <x:c r="I645"/>
      <x:c r="J645"/>
      <x:c r="K645"/>
      <x:c r="L645"/>
      <x:c r="M645"/>
      <x:c r="N645"/>
      <x:c r="O645"/>
      <x:c r="P645"/>
      <x:c r="Q645"/>
      <x:c r="R645"/>
      <x:c r="S645"/>
      <x:c r="T645"/>
      <x:c r="U645"/>
      <x:c r="V645"/>
      <x:c r="W645"/>
      <x:c r="X645"/>
      <x:c r="Y645"/>
      <x:c r="Z645"/>
      <x:c r="AA645"/>
      <x:c r="AB645"/>
      <x:c r="AC645"/>
      <x:c r="AD645"/>
      <x:c r="AE645"/>
      <x:c r="AF645"/>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x:c r="C646"/>
      <x:c r="D646"/>
      <x:c r="E646"/>
      <x:c r="F646"/>
      <x:c r="G646"/>
      <x:c r="H646"/>
      <x:c r="I646"/>
      <x:c r="J646"/>
      <x:c r="K646"/>
      <x:c r="L646"/>
      <x:c r="M646"/>
      <x:c r="N646"/>
      <x:c r="O646"/>
      <x:c r="P646"/>
      <x:c r="Q646"/>
      <x:c r="R646"/>
      <x:c r="S646"/>
      <x:c r="T646"/>
      <x:c r="U646"/>
      <x:c r="V646"/>
      <x:c r="W646"/>
      <x:c r="X646"/>
      <x:c r="Y646"/>
      <x:c r="Z646"/>
      <x:c r="AA646"/>
      <x:c r="AB646"/>
      <x:c r="AC646"/>
      <x:c r="AD646"/>
      <x:c r="AE646"/>
      <x:c r="AF646"/>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x:c r="C647"/>
      <x:c r="D647"/>
      <x:c r="E647"/>
      <x:c r="F647"/>
      <x:c r="G647"/>
      <x:c r="H647"/>
      <x:c r="I647"/>
      <x:c r="J647"/>
      <x:c r="K647"/>
      <x:c r="L647"/>
      <x:c r="M647"/>
      <x:c r="N647"/>
      <x:c r="O647"/>
      <x:c r="P647"/>
      <x:c r="Q647"/>
      <x:c r="R647"/>
      <x:c r="S647"/>
      <x:c r="T647"/>
      <x:c r="U647"/>
      <x:c r="V647"/>
      <x:c r="W647"/>
      <x:c r="X647"/>
      <x:c r="Y647"/>
      <x:c r="Z647"/>
      <x:c r="AA647"/>
      <x:c r="AB647"/>
      <x:c r="AC647"/>
      <x:c r="AD647"/>
      <x:c r="AE647"/>
      <x:c r="AF647"/>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x:c r="C648"/>
      <x:c r="D648"/>
      <x:c r="E648"/>
      <x:c r="F648"/>
      <x:c r="G648"/>
      <x:c r="H648"/>
      <x:c r="I648"/>
      <x:c r="J648"/>
      <x:c r="K648"/>
      <x:c r="L648"/>
      <x:c r="M648"/>
      <x:c r="N648"/>
      <x:c r="O648"/>
      <x:c r="P648"/>
      <x:c r="Q648"/>
      <x:c r="R648"/>
      <x:c r="S648"/>
      <x:c r="T648"/>
      <x:c r="U648"/>
      <x:c r="V648"/>
      <x:c r="W648"/>
      <x:c r="X648"/>
      <x:c r="Y648"/>
      <x:c r="Z648"/>
      <x:c r="AA648"/>
      <x:c r="AB648"/>
      <x:c r="AC648"/>
      <x:c r="AD648"/>
      <x:c r="AE648"/>
      <x:c r="AF648"/>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x:c r="C649"/>
      <x:c r="D649"/>
      <x:c r="E649"/>
      <x:c r="F649"/>
      <x:c r="G649"/>
      <x:c r="H649"/>
      <x:c r="I649"/>
      <x:c r="J649"/>
      <x:c r="K649"/>
      <x:c r="L649"/>
      <x:c r="M649"/>
      <x:c r="N649"/>
      <x:c r="O649"/>
      <x:c r="P649"/>
      <x:c r="Q649"/>
      <x:c r="R649"/>
      <x:c r="S649"/>
      <x:c r="T649"/>
      <x:c r="U649"/>
      <x:c r="V649"/>
      <x:c r="W649"/>
      <x:c r="X649"/>
      <x:c r="Y649"/>
      <x:c r="Z649"/>
      <x:c r="AA649"/>
      <x:c r="AB649"/>
      <x:c r="AC649"/>
      <x:c r="AD649"/>
      <x:c r="AE649"/>
      <x:c r="AF649"/>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x:c r="C650"/>
      <x:c r="D650"/>
      <x:c r="E650"/>
      <x:c r="F650"/>
      <x:c r="G650"/>
      <x:c r="H650"/>
      <x:c r="I650"/>
      <x:c r="J650"/>
      <x:c r="K650"/>
      <x:c r="L650"/>
      <x:c r="M650"/>
      <x:c r="N650"/>
      <x:c r="O650"/>
      <x:c r="P650"/>
      <x:c r="Q650"/>
      <x:c r="R650"/>
      <x:c r="S650"/>
      <x:c r="T650"/>
      <x:c r="U650"/>
      <x:c r="V650"/>
      <x:c r="W650"/>
      <x:c r="X650"/>
      <x:c r="Y650"/>
      <x:c r="Z650"/>
      <x:c r="AA650"/>
      <x:c r="AB650"/>
      <x:c r="AC650"/>
      <x:c r="AD650"/>
      <x:c r="AE650"/>
      <x:c r="AF650"/>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x:c r="C651"/>
      <x:c r="D651"/>
      <x:c r="E651"/>
      <x:c r="F651"/>
      <x:c r="G651"/>
      <x:c r="H651"/>
      <x:c r="I651"/>
      <x:c r="J651"/>
      <x:c r="K651"/>
      <x:c r="L651"/>
      <x:c r="M651"/>
      <x:c r="N651"/>
      <x:c r="O651"/>
      <x:c r="P651"/>
      <x:c r="Q651"/>
      <x:c r="R651"/>
      <x:c r="S651"/>
      <x:c r="T651"/>
      <x:c r="U651"/>
      <x:c r="V651"/>
      <x:c r="W651"/>
      <x:c r="X651"/>
      <x:c r="Y651"/>
      <x:c r="Z651"/>
      <x:c r="AA651"/>
      <x:c r="AB651"/>
      <x:c r="AC651"/>
      <x:c r="AD651"/>
      <x:c r="AE651"/>
      <x:c r="AF651"/>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C652"/>
      <x:c r="D652"/>
      <x:c r="E652"/>
      <x:c r="F652"/>
      <x:c r="G652"/>
      <x:c r="H652"/>
      <x:c r="I652"/>
      <x:c r="J652"/>
      <x:c r="K652"/>
      <x:c r="L652"/>
      <x:c r="M652"/>
      <x:c r="N652"/>
      <x:c r="O652"/>
      <x:c r="P652"/>
      <x:c r="Q652"/>
      <x:c r="R652"/>
      <x:c r="S652"/>
      <x:c r="T652"/>
      <x:c r="U652"/>
      <x:c r="V652"/>
      <x:c r="W652"/>
      <x:c r="X652"/>
      <x:c r="Y652"/>
      <x:c r="Z652"/>
      <x:c r="AA652"/>
      <x:c r="AB652"/>
      <x:c r="AC652"/>
      <x:c r="AD652"/>
      <x:c r="AE652"/>
      <x:c r="AF652"/>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x:c r="C653"/>
      <x:c r="D653"/>
      <x:c r="E653"/>
      <x:c r="F653"/>
      <x:c r="G653"/>
      <x:c r="H653"/>
      <x:c r="I653"/>
      <x:c r="J653"/>
      <x:c r="K653"/>
      <x:c r="L653"/>
      <x:c r="M653"/>
      <x:c r="N653"/>
      <x:c r="O653"/>
      <x:c r="P653"/>
      <x:c r="Q653"/>
      <x:c r="R653"/>
      <x:c r="S653"/>
      <x:c r="T653"/>
      <x:c r="U653"/>
      <x:c r="V653"/>
      <x:c r="W653"/>
      <x:c r="X653"/>
      <x:c r="Y653"/>
      <x:c r="Z653"/>
      <x:c r="AA653"/>
      <x:c r="AB653"/>
      <x:c r="AC653"/>
      <x:c r="AD653"/>
      <x:c r="AE653"/>
      <x:c r="AF653"/>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C654"/>
      <x:c r="D654"/>
      <x:c r="E654"/>
      <x:c r="F654"/>
      <x:c r="G654"/>
      <x:c r="H654"/>
      <x:c r="I654"/>
      <x:c r="J654"/>
      <x:c r="K654"/>
      <x:c r="L654"/>
      <x:c r="M654"/>
      <x:c r="N654"/>
      <x:c r="O654"/>
      <x:c r="P654"/>
      <x:c r="Q654"/>
      <x:c r="R654"/>
      <x:c r="S654"/>
      <x:c r="T654"/>
      <x:c r="U654"/>
      <x:c r="V654"/>
      <x:c r="W654"/>
      <x:c r="X654"/>
      <x:c r="Y654"/>
      <x:c r="Z654"/>
      <x:c r="AA654"/>
      <x:c r="AB654"/>
      <x:c r="AC654"/>
      <x:c r="AD654"/>
      <x:c r="AE654"/>
      <x:c r="AF65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x:c r="C655"/>
      <x:c r="D655"/>
      <x:c r="E655"/>
      <x:c r="F655"/>
      <x:c r="G655"/>
      <x:c r="H655"/>
      <x:c r="I655"/>
      <x:c r="J655"/>
      <x:c r="K655"/>
      <x:c r="L655"/>
      <x:c r="M655"/>
      <x:c r="N655"/>
      <x:c r="O655"/>
      <x:c r="P655"/>
      <x:c r="Q655"/>
      <x:c r="R655"/>
      <x:c r="S655"/>
      <x:c r="T655"/>
      <x:c r="U655"/>
      <x:c r="V655"/>
      <x:c r="W655"/>
      <x:c r="X655"/>
      <x:c r="Y655"/>
      <x:c r="Z655"/>
      <x:c r="AA655"/>
      <x:c r="AB655"/>
      <x:c r="AC655"/>
      <x:c r="AD655"/>
      <x:c r="AE655"/>
      <x:c r="AF655"/>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x:c r="C656"/>
      <x:c r="D656"/>
      <x:c r="E656"/>
      <x:c r="F656"/>
      <x:c r="G656"/>
      <x:c r="H656"/>
      <x:c r="I656"/>
      <x:c r="J656"/>
      <x:c r="K656"/>
      <x:c r="L656"/>
      <x:c r="M656"/>
      <x:c r="N656"/>
      <x:c r="O656"/>
      <x:c r="P656"/>
      <x:c r="Q656"/>
      <x:c r="R656"/>
      <x:c r="S656"/>
      <x:c r="T656"/>
      <x:c r="U656"/>
      <x:c r="V656"/>
      <x:c r="W656"/>
      <x:c r="X656"/>
      <x:c r="Y656"/>
      <x:c r="Z656"/>
      <x:c r="AA656"/>
      <x:c r="AB656"/>
      <x:c r="AC656"/>
      <x:c r="AD656"/>
      <x:c r="AE656"/>
      <x:c r="AF656"/>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x:c r="C657"/>
      <x:c r="D657"/>
      <x:c r="E657"/>
      <x:c r="F657"/>
      <x:c r="G657"/>
      <x:c r="H657"/>
      <x:c r="I657"/>
      <x:c r="J657"/>
      <x:c r="K657"/>
      <x:c r="L657"/>
      <x:c r="M657"/>
      <x:c r="N657"/>
      <x:c r="O657"/>
      <x:c r="P657"/>
      <x:c r="Q657"/>
      <x:c r="R657"/>
      <x:c r="S657"/>
      <x:c r="T657"/>
      <x:c r="U657"/>
      <x:c r="V657"/>
      <x:c r="W657"/>
      <x:c r="X657"/>
      <x:c r="Y657"/>
      <x:c r="Z657"/>
      <x:c r="AA657"/>
      <x:c r="AB657"/>
      <x:c r="AC657"/>
      <x:c r="AD657"/>
      <x:c r="AE657"/>
      <x:c r="AF657"/>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x:c r="C658"/>
      <x:c r="D658"/>
      <x:c r="E658"/>
      <x:c r="F658"/>
      <x:c r="G658"/>
      <x:c r="H658"/>
      <x:c r="I658"/>
      <x:c r="J658"/>
      <x:c r="K658"/>
      <x:c r="L658"/>
      <x:c r="M658"/>
      <x:c r="N658"/>
      <x:c r="O658"/>
      <x:c r="P658"/>
      <x:c r="Q658"/>
      <x:c r="R658"/>
      <x:c r="S658"/>
      <x:c r="T658"/>
      <x:c r="U658"/>
      <x:c r="V658"/>
      <x:c r="W658"/>
      <x:c r="X658"/>
      <x:c r="Y658"/>
      <x:c r="Z658"/>
      <x:c r="AA658"/>
      <x:c r="AB658"/>
      <x:c r="AC658"/>
      <x:c r="AD658"/>
      <x:c r="AE658"/>
      <x:c r="AF658"/>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x:c r="C659"/>
      <x:c r="D659"/>
      <x:c r="E659"/>
      <x:c r="F659"/>
      <x:c r="G659"/>
      <x:c r="H659"/>
      <x:c r="I659"/>
      <x:c r="J659"/>
      <x:c r="K659"/>
      <x:c r="L659"/>
      <x:c r="M659"/>
      <x:c r="N659"/>
      <x:c r="O659"/>
      <x:c r="P659"/>
      <x:c r="Q659"/>
      <x:c r="R659"/>
      <x:c r="S659"/>
      <x:c r="T659"/>
      <x:c r="U659"/>
      <x:c r="V659"/>
      <x:c r="W659"/>
      <x:c r="X659"/>
      <x:c r="Y659"/>
      <x:c r="Z659"/>
      <x:c r="AA659"/>
      <x:c r="AB659"/>
      <x:c r="AC659"/>
      <x:c r="AD659"/>
      <x:c r="AE659"/>
      <x:c r="AF659"/>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x:c r="C660"/>
      <x:c r="D660"/>
      <x:c r="E660"/>
      <x:c r="F660"/>
      <x:c r="G660"/>
      <x:c r="H660"/>
      <x:c r="I660"/>
      <x:c r="J660"/>
      <x:c r="K660"/>
      <x:c r="L660"/>
      <x:c r="M660"/>
      <x:c r="N660"/>
      <x:c r="O660"/>
      <x:c r="P660"/>
      <x:c r="Q660"/>
      <x:c r="R660"/>
      <x:c r="S660"/>
      <x:c r="T660"/>
      <x:c r="U660"/>
      <x:c r="V660"/>
      <x:c r="W660"/>
      <x:c r="X660"/>
      <x:c r="Y660"/>
      <x:c r="Z660"/>
      <x:c r="AA660"/>
      <x:c r="AB660"/>
      <x:c r="AC660"/>
      <x:c r="AD660"/>
      <x:c r="AE660"/>
      <x:c r="AF660"/>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C661"/>
      <x:c r="D661"/>
      <x:c r="E661"/>
      <x:c r="F661"/>
      <x:c r="G661"/>
      <x:c r="H661"/>
      <x:c r="I661"/>
      <x:c r="J661"/>
      <x:c r="K661"/>
      <x:c r="L661"/>
      <x:c r="M661"/>
      <x:c r="N661"/>
      <x:c r="O661"/>
      <x:c r="P661"/>
      <x:c r="Q661"/>
      <x:c r="R661"/>
      <x:c r="S661"/>
      <x:c r="T661"/>
      <x:c r="U661"/>
      <x:c r="V661"/>
      <x:c r="W661"/>
      <x:c r="X661"/>
      <x:c r="Y661"/>
      <x:c r="Z661"/>
      <x:c r="AA661"/>
      <x:c r="AB661"/>
      <x:c r="AC661"/>
      <x:c r="AD661"/>
      <x:c r="AE661"/>
      <x:c r="AF661"/>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x:c r="C662"/>
      <x:c r="D662"/>
      <x:c r="E662"/>
      <x:c r="F662"/>
      <x:c r="G662"/>
      <x:c r="H662"/>
      <x:c r="I662"/>
      <x:c r="J662"/>
      <x:c r="K662"/>
      <x:c r="L662"/>
      <x:c r="M662"/>
      <x:c r="N662"/>
      <x:c r="O662"/>
      <x:c r="P662"/>
      <x:c r="Q662"/>
      <x:c r="R662"/>
      <x:c r="S662"/>
      <x:c r="T662"/>
      <x:c r="U662"/>
      <x:c r="V662"/>
      <x:c r="W662"/>
      <x:c r="X662"/>
      <x:c r="Y662"/>
      <x:c r="Z662"/>
      <x:c r="AA662"/>
      <x:c r="AB662"/>
      <x:c r="AC662"/>
      <x:c r="AD662"/>
      <x:c r="AE662"/>
      <x:c r="AF662"/>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x:c r="C663"/>
      <x:c r="D663"/>
      <x:c r="E663"/>
      <x:c r="F663"/>
      <x:c r="G663"/>
      <x:c r="H663"/>
      <x:c r="I663"/>
      <x:c r="J663"/>
      <x:c r="K663"/>
      <x:c r="L663"/>
      <x:c r="M663"/>
      <x:c r="N663"/>
      <x:c r="O663"/>
      <x:c r="P663"/>
      <x:c r="Q663"/>
      <x:c r="R663"/>
      <x:c r="S663"/>
      <x:c r="T663"/>
      <x:c r="U663"/>
      <x:c r="V663"/>
      <x:c r="W663"/>
      <x:c r="X663"/>
      <x:c r="Y663"/>
      <x:c r="Z663"/>
      <x:c r="AA663"/>
      <x:c r="AB663"/>
      <x:c r="AC663"/>
      <x:c r="AD663"/>
      <x:c r="AE663"/>
      <x:c r="AF663"/>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x:c r="C664"/>
      <x:c r="D664"/>
      <x:c r="E664"/>
      <x:c r="F664"/>
      <x:c r="G664"/>
      <x:c r="H664"/>
      <x:c r="I664"/>
      <x:c r="J664"/>
      <x:c r="K664"/>
      <x:c r="L664"/>
      <x:c r="M664"/>
      <x:c r="N664"/>
      <x:c r="O664"/>
      <x:c r="P664"/>
      <x:c r="Q664"/>
      <x:c r="R664"/>
      <x:c r="S664"/>
      <x:c r="T664"/>
      <x:c r="U664"/>
      <x:c r="V664"/>
      <x:c r="W664"/>
      <x:c r="X664"/>
      <x:c r="Y664"/>
      <x:c r="Z664"/>
      <x:c r="AA664"/>
      <x:c r="AB664"/>
      <x:c r="AC664"/>
      <x:c r="AD664"/>
      <x:c r="AE664"/>
      <x:c r="AF664"/>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x:c r="C665"/>
      <x:c r="D665"/>
      <x:c r="E665"/>
      <x:c r="F665"/>
      <x:c r="G665"/>
      <x:c r="H665"/>
      <x:c r="I665"/>
      <x:c r="J665"/>
      <x:c r="K665"/>
      <x:c r="L665"/>
      <x:c r="M665"/>
      <x:c r="N665"/>
      <x:c r="O665"/>
      <x:c r="P665"/>
      <x:c r="Q665"/>
      <x:c r="R665"/>
      <x:c r="S665"/>
      <x:c r="T665"/>
      <x:c r="U665"/>
      <x:c r="V665"/>
      <x:c r="W665"/>
      <x:c r="X665"/>
      <x:c r="Y665"/>
      <x:c r="Z665"/>
      <x:c r="AA665"/>
      <x:c r="AB665"/>
      <x:c r="AC665"/>
      <x:c r="AD665"/>
      <x:c r="AE665"/>
      <x:c r="AF665"/>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C666"/>
      <x:c r="D666"/>
      <x:c r="E666"/>
      <x:c r="F666"/>
      <x:c r="G666"/>
      <x:c r="H666"/>
      <x:c r="I666"/>
      <x:c r="J666"/>
      <x:c r="K666"/>
      <x:c r="L666"/>
      <x:c r="M666"/>
      <x:c r="N666"/>
      <x:c r="O666"/>
      <x:c r="P666"/>
      <x:c r="Q666"/>
      <x:c r="R666"/>
      <x:c r="S666"/>
      <x:c r="T666"/>
      <x:c r="U666"/>
      <x:c r="V666"/>
      <x:c r="W666"/>
      <x:c r="X666"/>
      <x:c r="Y666"/>
      <x:c r="Z666"/>
      <x:c r="AA666"/>
      <x:c r="AB666"/>
      <x:c r="AC666"/>
      <x:c r="AD666"/>
      <x:c r="AE666"/>
      <x:c r="AF666"/>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x:c r="C667"/>
      <x:c r="D667"/>
      <x:c r="E667"/>
      <x:c r="F667"/>
      <x:c r="G667"/>
      <x:c r="H667"/>
      <x:c r="I667"/>
      <x:c r="J667"/>
      <x:c r="K667"/>
      <x:c r="L667"/>
      <x:c r="M667"/>
      <x:c r="N667"/>
      <x:c r="O667"/>
      <x:c r="P667"/>
      <x:c r="Q667"/>
      <x:c r="R667"/>
      <x:c r="S667"/>
      <x:c r="T667"/>
      <x:c r="U667"/>
      <x:c r="V667"/>
      <x:c r="W667"/>
      <x:c r="X667"/>
      <x:c r="Y667"/>
      <x:c r="Z667"/>
      <x:c r="AA667"/>
      <x:c r="AB667"/>
      <x:c r="AC667"/>
      <x:c r="AD667"/>
      <x:c r="AE667"/>
      <x:c r="AF667"/>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C668"/>
      <x:c r="D668"/>
      <x:c r="E668"/>
      <x:c r="F668"/>
      <x:c r="G668"/>
      <x:c r="H668"/>
      <x:c r="I668"/>
      <x:c r="J668"/>
      <x:c r="K668"/>
      <x:c r="L668"/>
      <x:c r="M668"/>
      <x:c r="N668"/>
      <x:c r="O668"/>
      <x:c r="P668"/>
      <x:c r="Q668"/>
      <x:c r="R668"/>
      <x:c r="S668"/>
      <x:c r="T668"/>
      <x:c r="U668"/>
      <x:c r="V668"/>
      <x:c r="W668"/>
      <x:c r="X668"/>
      <x:c r="Y668"/>
      <x:c r="Z668"/>
      <x:c r="AA668"/>
      <x:c r="AB668"/>
      <x:c r="AC668"/>
      <x:c r="AD668"/>
      <x:c r="AE668"/>
      <x:c r="AF668"/>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x:c r="C669"/>
      <x:c r="D669"/>
      <x:c r="E669"/>
      <x:c r="F669"/>
      <x:c r="G669"/>
      <x:c r="H669"/>
      <x:c r="I669"/>
      <x:c r="J669"/>
      <x:c r="K669"/>
      <x:c r="L669"/>
      <x:c r="M669"/>
      <x:c r="N669"/>
      <x:c r="O669"/>
      <x:c r="P669"/>
      <x:c r="Q669"/>
      <x:c r="R669"/>
      <x:c r="S669"/>
      <x:c r="T669"/>
      <x:c r="U669"/>
      <x:c r="V669"/>
      <x:c r="W669"/>
      <x:c r="X669"/>
      <x:c r="Y669"/>
      <x:c r="Z669"/>
      <x:c r="AA669"/>
      <x:c r="AB669"/>
      <x:c r="AC669"/>
      <x:c r="AD669"/>
      <x:c r="AE669"/>
      <x:c r="AF669"/>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C670"/>
      <x:c r="D670"/>
      <x:c r="E670"/>
      <x:c r="F670"/>
      <x:c r="G670"/>
      <x:c r="H670"/>
      <x:c r="I670"/>
      <x:c r="J670"/>
      <x:c r="K670"/>
      <x:c r="L670"/>
      <x:c r="M670"/>
      <x:c r="N670"/>
      <x:c r="O670"/>
      <x:c r="P670"/>
      <x:c r="Q670"/>
      <x:c r="R670"/>
      <x:c r="S670"/>
      <x:c r="T670"/>
      <x:c r="U670"/>
      <x:c r="V670"/>
      <x:c r="W670"/>
      <x:c r="X670"/>
      <x:c r="Y670"/>
      <x:c r="Z670"/>
      <x:c r="AA670"/>
      <x:c r="AB670"/>
      <x:c r="AC670"/>
      <x:c r="AD670"/>
      <x:c r="AE670"/>
      <x:c r="AF670"/>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x:c r="C671"/>
      <x:c r="D671"/>
      <x:c r="E671"/>
      <x:c r="F671"/>
      <x:c r="G671"/>
      <x:c r="H671"/>
      <x:c r="I671"/>
      <x:c r="J671"/>
      <x:c r="K671"/>
      <x:c r="L671"/>
      <x:c r="M671"/>
      <x:c r="N671"/>
      <x:c r="O671"/>
      <x:c r="P671"/>
      <x:c r="Q671"/>
      <x:c r="R671"/>
      <x:c r="S671"/>
      <x:c r="T671"/>
      <x:c r="U671"/>
      <x:c r="V671"/>
      <x:c r="W671"/>
      <x:c r="X671"/>
      <x:c r="Y671"/>
      <x:c r="Z671"/>
      <x:c r="AA671"/>
      <x:c r="AB671"/>
      <x:c r="AC671"/>
      <x:c r="AD671"/>
      <x:c r="AE671"/>
      <x:c r="AF671"/>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C672"/>
      <x:c r="D672"/>
      <x:c r="E672"/>
      <x:c r="F672"/>
      <x:c r="G672"/>
      <x:c r="H672"/>
      <x:c r="I672"/>
      <x:c r="J672"/>
      <x:c r="K672"/>
      <x:c r="L672"/>
      <x:c r="M672"/>
      <x:c r="N672"/>
      <x:c r="O672"/>
      <x:c r="P672"/>
      <x:c r="Q672"/>
      <x:c r="R672"/>
      <x:c r="S672"/>
      <x:c r="T672"/>
      <x:c r="U672"/>
      <x:c r="V672"/>
      <x:c r="W672"/>
      <x:c r="X672"/>
      <x:c r="Y672"/>
      <x:c r="Z672"/>
      <x:c r="AA672"/>
      <x:c r="AB672"/>
      <x:c r="AC672"/>
      <x:c r="AD672"/>
      <x:c r="AE672"/>
      <x:c r="AF672"/>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x:c r="C673"/>
      <x:c r="D673"/>
      <x:c r="E673"/>
      <x:c r="F673"/>
      <x:c r="G673"/>
      <x:c r="H673"/>
      <x:c r="I673"/>
      <x:c r="J673"/>
      <x:c r="K673"/>
      <x:c r="L673"/>
      <x:c r="M673"/>
      <x:c r="N673"/>
      <x:c r="O673"/>
      <x:c r="P673"/>
      <x:c r="Q673"/>
      <x:c r="R673"/>
      <x:c r="S673"/>
      <x:c r="T673"/>
      <x:c r="U673"/>
      <x:c r="V673"/>
      <x:c r="W673"/>
      <x:c r="X673"/>
      <x:c r="Y673"/>
      <x:c r="Z673"/>
      <x:c r="AA673"/>
      <x:c r="AB673"/>
      <x:c r="AC673"/>
      <x:c r="AD673"/>
      <x:c r="AE673"/>
      <x:c r="AF673"/>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x:c r="C674"/>
      <x:c r="D674"/>
      <x:c r="E674"/>
      <x:c r="F674"/>
      <x:c r="G674"/>
      <x:c r="H674"/>
      <x:c r="I674"/>
      <x:c r="J674"/>
      <x:c r="K674"/>
      <x:c r="L674"/>
      <x:c r="M674"/>
      <x:c r="N674"/>
      <x:c r="O674"/>
      <x:c r="P674"/>
      <x:c r="Q674"/>
      <x:c r="R674"/>
      <x:c r="S674"/>
      <x:c r="T674"/>
      <x:c r="U674"/>
      <x:c r="V674"/>
      <x:c r="W674"/>
      <x:c r="X674"/>
      <x:c r="Y674"/>
      <x:c r="Z674"/>
      <x:c r="AA674"/>
      <x:c r="AB674"/>
      <x:c r="AC674"/>
      <x:c r="AD674"/>
      <x:c r="AE674"/>
      <x:c r="AF67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x:c r="C675"/>
      <x:c r="D675"/>
      <x:c r="E675"/>
      <x:c r="F675"/>
      <x:c r="G675"/>
      <x:c r="H675"/>
      <x:c r="I675"/>
      <x:c r="J675"/>
      <x:c r="K675"/>
      <x:c r="L675"/>
      <x:c r="M675"/>
      <x:c r="N675"/>
      <x:c r="O675"/>
      <x:c r="P675"/>
      <x:c r="Q675"/>
      <x:c r="R675"/>
      <x:c r="S675"/>
      <x:c r="T675"/>
      <x:c r="U675"/>
      <x:c r="V675"/>
      <x:c r="W675"/>
      <x:c r="X675"/>
      <x:c r="Y675"/>
      <x:c r="Z675"/>
      <x:c r="AA675"/>
      <x:c r="AB675"/>
      <x:c r="AC675"/>
      <x:c r="AD675"/>
      <x:c r="AE675"/>
      <x:c r="AF675"/>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x:c r="C676"/>
      <x:c r="D676"/>
      <x:c r="E676"/>
      <x:c r="F676"/>
      <x:c r="G676"/>
      <x:c r="H676"/>
      <x:c r="I676"/>
      <x:c r="J676"/>
      <x:c r="K676"/>
      <x:c r="L676"/>
      <x:c r="M676"/>
      <x:c r="N676"/>
      <x:c r="O676"/>
      <x:c r="P676"/>
      <x:c r="Q676"/>
      <x:c r="R676"/>
      <x:c r="S676"/>
      <x:c r="T676"/>
      <x:c r="U676"/>
      <x:c r="V676"/>
      <x:c r="W676"/>
      <x:c r="X676"/>
      <x:c r="Y676"/>
      <x:c r="Z676"/>
      <x:c r="AA676"/>
      <x:c r="AB676"/>
      <x:c r="AC676"/>
      <x:c r="AD676"/>
      <x:c r="AE676"/>
      <x:c r="AF676"/>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x:c r="C677"/>
      <x:c r="D677"/>
      <x:c r="E677"/>
      <x:c r="F677"/>
      <x:c r="G677"/>
      <x:c r="H677"/>
      <x:c r="I677"/>
      <x:c r="J677"/>
      <x:c r="K677"/>
      <x:c r="L677"/>
      <x:c r="M677"/>
      <x:c r="N677"/>
      <x:c r="O677"/>
      <x:c r="P677"/>
      <x:c r="Q677"/>
      <x:c r="R677"/>
      <x:c r="S677"/>
      <x:c r="T677"/>
      <x:c r="U677"/>
      <x:c r="V677"/>
      <x:c r="W677"/>
      <x:c r="X677"/>
      <x:c r="Y677"/>
      <x:c r="Z677"/>
      <x:c r="AA677"/>
      <x:c r="AB677"/>
      <x:c r="AC677"/>
      <x:c r="AD677"/>
      <x:c r="AE677"/>
      <x:c r="AF677"/>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x:c r="C678"/>
      <x:c r="D678"/>
      <x:c r="E678"/>
      <x:c r="F678"/>
      <x:c r="G678"/>
      <x:c r="H678"/>
      <x:c r="I678"/>
      <x:c r="J678"/>
      <x:c r="K678"/>
      <x:c r="L678"/>
      <x:c r="M678"/>
      <x:c r="N678"/>
      <x:c r="O678"/>
      <x:c r="P678"/>
      <x:c r="Q678"/>
      <x:c r="R678"/>
      <x:c r="S678"/>
      <x:c r="T678"/>
      <x:c r="U678"/>
      <x:c r="V678"/>
      <x:c r="W678"/>
      <x:c r="X678"/>
      <x:c r="Y678"/>
      <x:c r="Z678"/>
      <x:c r="AA678"/>
      <x:c r="AB678"/>
      <x:c r="AC678"/>
      <x:c r="AD678"/>
      <x:c r="AE678"/>
      <x:c r="AF678"/>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C679"/>
      <x:c r="D679"/>
      <x:c r="E679"/>
      <x:c r="F679"/>
      <x:c r="G679"/>
      <x:c r="H679"/>
      <x:c r="I679"/>
      <x:c r="J679"/>
      <x:c r="K679"/>
      <x:c r="L679"/>
      <x:c r="M679"/>
      <x:c r="N679"/>
      <x:c r="O679"/>
      <x:c r="P679"/>
      <x:c r="Q679"/>
      <x:c r="R679"/>
      <x:c r="S679"/>
      <x:c r="T679"/>
      <x:c r="U679"/>
      <x:c r="V679"/>
      <x:c r="W679"/>
      <x:c r="X679"/>
      <x:c r="Y679"/>
      <x:c r="Z679"/>
      <x:c r="AA679"/>
      <x:c r="AB679"/>
      <x:c r="AC679"/>
      <x:c r="AD679"/>
      <x:c r="AE679"/>
      <x:c r="AF679"/>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x:c r="C680"/>
      <x:c r="D680"/>
      <x:c r="E680"/>
      <x:c r="F680"/>
      <x:c r="G680"/>
      <x:c r="H680"/>
      <x:c r="I680"/>
      <x:c r="J680"/>
      <x:c r="K680"/>
      <x:c r="L680"/>
      <x:c r="M680"/>
      <x:c r="N680"/>
      <x:c r="O680"/>
      <x:c r="P680"/>
      <x:c r="Q680"/>
      <x:c r="R680"/>
      <x:c r="S680"/>
      <x:c r="T680"/>
      <x:c r="U680"/>
      <x:c r="V680"/>
      <x:c r="W680"/>
      <x:c r="X680"/>
      <x:c r="Y680"/>
      <x:c r="Z680"/>
      <x:c r="AA680"/>
      <x:c r="AB680"/>
      <x:c r="AC680"/>
      <x:c r="AD680"/>
      <x:c r="AE680"/>
      <x:c r="AF680"/>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x:c r="C681"/>
      <x:c r="D681"/>
      <x:c r="E681"/>
      <x:c r="F681"/>
      <x:c r="G681"/>
      <x:c r="H681"/>
      <x:c r="I681"/>
      <x:c r="J681"/>
      <x:c r="K681"/>
      <x:c r="L681"/>
      <x:c r="M681"/>
      <x:c r="N681"/>
      <x:c r="O681"/>
      <x:c r="P681"/>
      <x:c r="Q681"/>
      <x:c r="R681"/>
      <x:c r="S681"/>
      <x:c r="T681"/>
      <x:c r="U681"/>
      <x:c r="V681"/>
      <x:c r="W681"/>
      <x:c r="X681"/>
      <x:c r="Y681"/>
      <x:c r="Z681"/>
      <x:c r="AA681"/>
      <x:c r="AB681"/>
      <x:c r="AC681"/>
      <x:c r="AD681"/>
      <x:c r="AE681"/>
      <x:c r="AF681"/>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x:c r="C682"/>
      <x:c r="D682"/>
      <x:c r="E682"/>
      <x:c r="F682"/>
      <x:c r="G682"/>
      <x:c r="H682"/>
      <x:c r="I682"/>
      <x:c r="J682"/>
      <x:c r="K682"/>
      <x:c r="L682"/>
      <x:c r="M682"/>
      <x:c r="N682"/>
      <x:c r="O682"/>
      <x:c r="P682"/>
      <x:c r="Q682"/>
      <x:c r="R682"/>
      <x:c r="S682"/>
      <x:c r="T682"/>
      <x:c r="U682"/>
      <x:c r="V682"/>
      <x:c r="W682"/>
      <x:c r="X682"/>
      <x:c r="Y682"/>
      <x:c r="Z682"/>
      <x:c r="AA682"/>
      <x:c r="AB682"/>
      <x:c r="AC682"/>
      <x:c r="AD682"/>
      <x:c r="AE682"/>
      <x:c r="AF682"/>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C683"/>
      <x:c r="D683"/>
      <x:c r="E683"/>
      <x:c r="F683"/>
      <x:c r="G683"/>
      <x:c r="H683"/>
      <x:c r="I683"/>
      <x:c r="J683"/>
      <x:c r="K683"/>
      <x:c r="L683"/>
      <x:c r="M683"/>
      <x:c r="N683"/>
      <x:c r="O683"/>
      <x:c r="P683"/>
      <x:c r="Q683"/>
      <x:c r="R683"/>
      <x:c r="S683"/>
      <x:c r="T683"/>
      <x:c r="U683"/>
      <x:c r="V683"/>
      <x:c r="W683"/>
      <x:c r="X683"/>
      <x:c r="Y683"/>
      <x:c r="Z683"/>
      <x:c r="AA683"/>
      <x:c r="AB683"/>
      <x:c r="AC683"/>
      <x:c r="AD683"/>
      <x:c r="AE683"/>
      <x:c r="AF683"/>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x:c r="C684"/>
      <x:c r="D684"/>
      <x:c r="E684"/>
      <x:c r="F684"/>
      <x:c r="G684"/>
      <x:c r="H684"/>
      <x:c r="I684"/>
      <x:c r="J684"/>
      <x:c r="K684"/>
      <x:c r="L684"/>
      <x:c r="M684"/>
      <x:c r="N684"/>
      <x:c r="O684"/>
      <x:c r="P684"/>
      <x:c r="Q684"/>
      <x:c r="R684"/>
      <x:c r="S684"/>
      <x:c r="T684"/>
      <x:c r="U684"/>
      <x:c r="V684"/>
      <x:c r="W684"/>
      <x:c r="X684"/>
      <x:c r="Y684"/>
      <x:c r="Z684"/>
      <x:c r="AA684"/>
      <x:c r="AB684"/>
      <x:c r="AC684"/>
      <x:c r="AD684"/>
      <x:c r="AE684"/>
      <x:c r="AF684"/>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x:c r="C685"/>
      <x:c r="D685"/>
      <x:c r="E685"/>
      <x:c r="F685"/>
      <x:c r="G685"/>
      <x:c r="H685"/>
      <x:c r="I685"/>
      <x:c r="J685"/>
      <x:c r="K685"/>
      <x:c r="L685"/>
      <x:c r="M685"/>
      <x:c r="N685"/>
      <x:c r="O685"/>
      <x:c r="P685"/>
      <x:c r="Q685"/>
      <x:c r="R685"/>
      <x:c r="S685"/>
      <x:c r="T685"/>
      <x:c r="U685"/>
      <x:c r="V685"/>
      <x:c r="W685"/>
      <x:c r="X685"/>
      <x:c r="Y685"/>
      <x:c r="Z685"/>
      <x:c r="AA685"/>
      <x:c r="AB685"/>
      <x:c r="AC685"/>
      <x:c r="AD685"/>
      <x:c r="AE685"/>
      <x:c r="AF685"/>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x:c r="C686"/>
      <x:c r="D686"/>
      <x:c r="E686"/>
      <x:c r="F686"/>
      <x:c r="G686"/>
      <x:c r="H686"/>
      <x:c r="I686"/>
      <x:c r="J686"/>
      <x:c r="K686"/>
      <x:c r="L686"/>
      <x:c r="M686"/>
      <x:c r="N686"/>
      <x:c r="O686"/>
      <x:c r="P686"/>
      <x:c r="Q686"/>
      <x:c r="R686"/>
      <x:c r="S686"/>
      <x:c r="T686"/>
      <x:c r="U686"/>
      <x:c r="V686"/>
      <x:c r="W686"/>
      <x:c r="X686"/>
      <x:c r="Y686"/>
      <x:c r="Z686"/>
      <x:c r="AA686"/>
      <x:c r="AB686"/>
      <x:c r="AC686"/>
      <x:c r="AD686"/>
      <x:c r="AE686"/>
      <x:c r="AF686"/>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x:c r="C687"/>
      <x:c r="D687"/>
      <x:c r="E687"/>
      <x:c r="F687"/>
      <x:c r="G687"/>
      <x:c r="H687"/>
      <x:c r="I687"/>
      <x:c r="J687"/>
      <x:c r="K687"/>
      <x:c r="L687"/>
      <x:c r="M687"/>
      <x:c r="N687"/>
      <x:c r="O687"/>
      <x:c r="P687"/>
      <x:c r="Q687"/>
      <x:c r="R687"/>
      <x:c r="S687"/>
      <x:c r="T687"/>
      <x:c r="U687"/>
      <x:c r="V687"/>
      <x:c r="W687"/>
      <x:c r="X687"/>
      <x:c r="Y687"/>
      <x:c r="Z687"/>
      <x:c r="AA687"/>
      <x:c r="AB687"/>
      <x:c r="AC687"/>
      <x:c r="AD687"/>
      <x:c r="AE687"/>
      <x:c r="AF687"/>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x:c r="C688"/>
      <x:c r="D688"/>
      <x:c r="E688"/>
      <x:c r="F688"/>
      <x:c r="G688"/>
      <x:c r="H688"/>
      <x:c r="I688"/>
      <x:c r="J688"/>
      <x:c r="K688"/>
      <x:c r="L688"/>
      <x:c r="M688"/>
      <x:c r="N688"/>
      <x:c r="O688"/>
      <x:c r="P688"/>
      <x:c r="Q688"/>
      <x:c r="R688"/>
      <x:c r="S688"/>
      <x:c r="T688"/>
      <x:c r="U688"/>
      <x:c r="V688"/>
      <x:c r="W688"/>
      <x:c r="X688"/>
      <x:c r="Y688"/>
      <x:c r="Z688"/>
      <x:c r="AA688"/>
      <x:c r="AB688"/>
      <x:c r="AC688"/>
      <x:c r="AD688"/>
      <x:c r="AE688"/>
      <x:c r="AF688"/>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x:c r="C689"/>
      <x:c r="D689"/>
      <x:c r="E689"/>
      <x:c r="F689"/>
      <x:c r="G689"/>
      <x:c r="H689"/>
      <x:c r="I689"/>
      <x:c r="J689"/>
      <x:c r="K689"/>
      <x:c r="L689"/>
      <x:c r="M689"/>
      <x:c r="N689"/>
      <x:c r="O689"/>
      <x:c r="P689"/>
      <x:c r="Q689"/>
      <x:c r="R689"/>
      <x:c r="S689"/>
      <x:c r="T689"/>
      <x:c r="U689"/>
      <x:c r="V689"/>
      <x:c r="W689"/>
      <x:c r="X689"/>
      <x:c r="Y689"/>
      <x:c r="Z689"/>
      <x:c r="AA689"/>
      <x:c r="AB689"/>
      <x:c r="AC689"/>
      <x:c r="AD689"/>
      <x:c r="AE689"/>
      <x:c r="AF689"/>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x:c r="C690"/>
      <x:c r="D690"/>
      <x:c r="E690"/>
      <x:c r="F690"/>
      <x:c r="G690"/>
      <x:c r="H690"/>
      <x:c r="I690"/>
      <x:c r="J690"/>
      <x:c r="K690"/>
      <x:c r="L690"/>
      <x:c r="M690"/>
      <x:c r="N690"/>
      <x:c r="O690"/>
      <x:c r="P690"/>
      <x:c r="Q690"/>
      <x:c r="R690"/>
      <x:c r="S690"/>
      <x:c r="T690"/>
      <x:c r="U690"/>
      <x:c r="V690"/>
      <x:c r="W690"/>
      <x:c r="X690"/>
      <x:c r="Y690"/>
      <x:c r="Z690"/>
      <x:c r="AA690"/>
      <x:c r="AB690"/>
      <x:c r="AC690"/>
      <x:c r="AD690"/>
      <x:c r="AE690"/>
      <x:c r="AF690"/>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x:c r="C691"/>
      <x:c r="D691"/>
      <x:c r="E691"/>
      <x:c r="F691"/>
      <x:c r="G691"/>
      <x:c r="H691"/>
      <x:c r="I691"/>
      <x:c r="J691"/>
      <x:c r="K691"/>
      <x:c r="L691"/>
      <x:c r="M691"/>
      <x:c r="N691"/>
      <x:c r="O691"/>
      <x:c r="P691"/>
      <x:c r="Q691"/>
      <x:c r="R691"/>
      <x:c r="S691"/>
      <x:c r="T691"/>
      <x:c r="U691"/>
      <x:c r="V691"/>
      <x:c r="W691"/>
      <x:c r="X691"/>
      <x:c r="Y691"/>
      <x:c r="Z691"/>
      <x:c r="AA691"/>
      <x:c r="AB691"/>
      <x:c r="AC691"/>
      <x:c r="AD691"/>
      <x:c r="AE691"/>
      <x:c r="AF691"/>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x:c r="C692"/>
      <x:c r="D692"/>
      <x:c r="E692"/>
      <x:c r="F692"/>
      <x:c r="G692"/>
      <x:c r="H692"/>
      <x:c r="I692"/>
      <x:c r="J692"/>
      <x:c r="K692"/>
      <x:c r="L692"/>
      <x:c r="M692"/>
      <x:c r="N692"/>
      <x:c r="O692"/>
      <x:c r="P692"/>
      <x:c r="Q692"/>
      <x:c r="R692"/>
      <x:c r="S692"/>
      <x:c r="T692"/>
      <x:c r="U692"/>
      <x:c r="V692"/>
      <x:c r="W692"/>
      <x:c r="X692"/>
      <x:c r="Y692"/>
      <x:c r="Z692"/>
      <x:c r="AA692"/>
      <x:c r="AB692"/>
      <x:c r="AC692"/>
      <x:c r="AD692"/>
      <x:c r="AE692"/>
      <x:c r="AF692"/>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x:c r="C693"/>
      <x:c r="D693"/>
      <x:c r="E693"/>
      <x:c r="F693"/>
      <x:c r="G693"/>
      <x:c r="H693"/>
      <x:c r="I693"/>
      <x:c r="J693"/>
      <x:c r="K693"/>
      <x:c r="L693"/>
      <x:c r="M693"/>
      <x:c r="N693"/>
      <x:c r="O693"/>
      <x:c r="P693"/>
      <x:c r="Q693"/>
      <x:c r="R693"/>
      <x:c r="S693"/>
      <x:c r="T693"/>
      <x:c r="U693"/>
      <x:c r="V693"/>
      <x:c r="W693"/>
      <x:c r="X693"/>
      <x:c r="Y693"/>
      <x:c r="Z693"/>
      <x:c r="AA693"/>
      <x:c r="AB693"/>
      <x:c r="AC693"/>
      <x:c r="AD693"/>
      <x:c r="AE693"/>
      <x:c r="AF693"/>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x:c r="C694"/>
      <x:c r="D694"/>
      <x:c r="E694"/>
      <x:c r="F694"/>
      <x:c r="G694"/>
      <x:c r="H694"/>
      <x:c r="I694"/>
      <x:c r="J694"/>
      <x:c r="K694"/>
      <x:c r="L694"/>
      <x:c r="M694"/>
      <x:c r="N694"/>
      <x:c r="O694"/>
      <x:c r="P694"/>
      <x:c r="Q694"/>
      <x:c r="R694"/>
      <x:c r="S694"/>
      <x:c r="T694"/>
      <x:c r="U694"/>
      <x:c r="V694"/>
      <x:c r="W694"/>
      <x:c r="X694"/>
      <x:c r="Y694"/>
      <x:c r="Z694"/>
      <x:c r="AA694"/>
      <x:c r="AB694"/>
      <x:c r="AC694"/>
      <x:c r="AD694"/>
      <x:c r="AE694"/>
      <x:c r="AF694"/>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x:c r="C695"/>
      <x:c r="D695"/>
      <x:c r="E695"/>
      <x:c r="F695"/>
      <x:c r="G695"/>
      <x:c r="H695"/>
      <x:c r="I695"/>
      <x:c r="J695"/>
      <x:c r="K695"/>
      <x:c r="L695"/>
      <x:c r="M695"/>
      <x:c r="N695"/>
      <x:c r="O695"/>
      <x:c r="P695"/>
      <x:c r="Q695"/>
      <x:c r="R695"/>
      <x:c r="S695"/>
      <x:c r="T695"/>
      <x:c r="U695"/>
      <x:c r="V695"/>
      <x:c r="W695"/>
      <x:c r="X695"/>
      <x:c r="Y695"/>
      <x:c r="Z695"/>
      <x:c r="AA695"/>
      <x:c r="AB695"/>
      <x:c r="AC695"/>
      <x:c r="AD695"/>
      <x:c r="AE695"/>
      <x:c r="AF695"/>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x:c r="C696"/>
      <x:c r="D696"/>
      <x:c r="E696"/>
      <x:c r="F696"/>
      <x:c r="G696"/>
      <x:c r="H696"/>
      <x:c r="I696"/>
      <x:c r="J696"/>
      <x:c r="K696"/>
      <x:c r="L696"/>
      <x:c r="M696"/>
      <x:c r="N696"/>
      <x:c r="O696"/>
      <x:c r="P696"/>
      <x:c r="Q696"/>
      <x:c r="R696"/>
      <x:c r="S696"/>
      <x:c r="T696"/>
      <x:c r="U696"/>
      <x:c r="V696"/>
      <x:c r="W696"/>
      <x:c r="X696"/>
      <x:c r="Y696"/>
      <x:c r="Z696"/>
      <x:c r="AA696"/>
      <x:c r="AB696"/>
      <x:c r="AC696"/>
      <x:c r="AD696"/>
      <x:c r="AE696"/>
      <x:c r="AF696"/>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x:c r="C697"/>
      <x:c r="D697"/>
      <x:c r="E697"/>
      <x:c r="F697"/>
      <x:c r="G697"/>
      <x:c r="H697"/>
      <x:c r="I697"/>
      <x:c r="J697"/>
      <x:c r="K697"/>
      <x:c r="L697"/>
      <x:c r="M697"/>
      <x:c r="N697"/>
      <x:c r="O697"/>
      <x:c r="P697"/>
      <x:c r="Q697"/>
      <x:c r="R697"/>
      <x:c r="S697"/>
      <x:c r="T697"/>
      <x:c r="U697"/>
      <x:c r="V697"/>
      <x:c r="W697"/>
      <x:c r="X697"/>
      <x:c r="Y697"/>
      <x:c r="Z697"/>
      <x:c r="AA697"/>
      <x:c r="AB697"/>
      <x:c r="AC697"/>
      <x:c r="AD697"/>
      <x:c r="AE697"/>
      <x:c r="AF697"/>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x:c r="C698"/>
      <x:c r="D698"/>
      <x:c r="E698"/>
      <x:c r="F698"/>
      <x:c r="G698"/>
      <x:c r="H698"/>
      <x:c r="I698"/>
      <x:c r="J698"/>
      <x:c r="K698"/>
      <x:c r="L698"/>
      <x:c r="M698"/>
      <x:c r="N698"/>
      <x:c r="O698"/>
      <x:c r="P698"/>
      <x:c r="Q698"/>
      <x:c r="R698"/>
      <x:c r="S698"/>
      <x:c r="T698"/>
      <x:c r="U698"/>
      <x:c r="V698"/>
      <x:c r="W698"/>
      <x:c r="X698"/>
      <x:c r="Y698"/>
      <x:c r="Z698"/>
      <x:c r="AA698"/>
      <x:c r="AB698"/>
      <x:c r="AC698"/>
      <x:c r="AD698"/>
      <x:c r="AE698"/>
      <x:c r="AF698"/>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x:c r="C699"/>
      <x:c r="D699"/>
      <x:c r="E699"/>
      <x:c r="F699"/>
      <x:c r="G699"/>
      <x:c r="H699"/>
      <x:c r="I699"/>
      <x:c r="J699"/>
      <x:c r="K699"/>
      <x:c r="L699"/>
      <x:c r="M699"/>
      <x:c r="N699"/>
      <x:c r="O699"/>
      <x:c r="P699"/>
      <x:c r="Q699"/>
      <x:c r="R699"/>
      <x:c r="S699"/>
      <x:c r="T699"/>
      <x:c r="U699"/>
      <x:c r="V699"/>
      <x:c r="W699"/>
      <x:c r="X699"/>
      <x:c r="Y699"/>
      <x:c r="Z699"/>
      <x:c r="AA699"/>
      <x:c r="AB699"/>
      <x:c r="AC699"/>
      <x:c r="AD699"/>
      <x:c r="AE699"/>
      <x:c r="AF699"/>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x:c r="C700"/>
      <x:c r="D700"/>
      <x:c r="E700"/>
      <x:c r="F700"/>
      <x:c r="G700"/>
      <x:c r="H700"/>
      <x:c r="I700"/>
      <x:c r="J700"/>
      <x:c r="K700"/>
      <x:c r="L700"/>
      <x:c r="M700"/>
      <x:c r="N700"/>
      <x:c r="O700"/>
      <x:c r="P700"/>
      <x:c r="Q700"/>
      <x:c r="R700"/>
      <x:c r="S700"/>
      <x:c r="T700"/>
      <x:c r="U700"/>
      <x:c r="V700"/>
      <x:c r="W700"/>
      <x:c r="X700"/>
      <x:c r="Y700"/>
      <x:c r="Z700"/>
      <x:c r="AA700"/>
      <x:c r="AB700"/>
      <x:c r="AC700"/>
      <x:c r="AD700"/>
      <x:c r="AE700"/>
      <x:c r="AF700"/>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x:c r="C701"/>
      <x:c r="D701"/>
      <x:c r="E701"/>
      <x:c r="F701"/>
      <x:c r="G701"/>
      <x:c r="H701"/>
      <x:c r="I701"/>
      <x:c r="J701"/>
      <x:c r="K701"/>
      <x:c r="L701"/>
      <x:c r="M701"/>
      <x:c r="N701"/>
      <x:c r="O701"/>
      <x:c r="P701"/>
      <x:c r="Q701"/>
      <x:c r="R701"/>
      <x:c r="S701"/>
      <x:c r="T701"/>
      <x:c r="U701"/>
      <x:c r="V701"/>
      <x:c r="W701"/>
      <x:c r="X701"/>
      <x:c r="Y701"/>
      <x:c r="Z701"/>
      <x:c r="AA701"/>
      <x:c r="AB701"/>
      <x:c r="AC701"/>
      <x:c r="AD701"/>
      <x:c r="AE701"/>
      <x:c r="AF701"/>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x:c r="C702"/>
      <x:c r="D702"/>
      <x:c r="E702"/>
      <x:c r="F702"/>
      <x:c r="G702"/>
      <x:c r="H702"/>
      <x:c r="I702"/>
      <x:c r="J702"/>
      <x:c r="K702"/>
      <x:c r="L702"/>
      <x:c r="M702"/>
      <x:c r="N702"/>
      <x:c r="O702"/>
      <x:c r="P702"/>
      <x:c r="Q702"/>
      <x:c r="R702"/>
      <x:c r="S702"/>
      <x:c r="T702"/>
      <x:c r="U702"/>
      <x:c r="V702"/>
      <x:c r="W702"/>
      <x:c r="X702"/>
      <x:c r="Y702"/>
      <x:c r="Z702"/>
      <x:c r="AA702"/>
      <x:c r="AB702"/>
      <x:c r="AC702"/>
      <x:c r="AD702"/>
      <x:c r="AE702"/>
      <x:c r="AF702"/>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x:c r="C703"/>
      <x:c r="D703"/>
      <x:c r="E703"/>
      <x:c r="F703"/>
      <x:c r="G703"/>
      <x:c r="H703"/>
      <x:c r="I703"/>
      <x:c r="J703"/>
      <x:c r="K703"/>
      <x:c r="L703"/>
      <x:c r="M703"/>
      <x:c r="N703"/>
      <x:c r="O703"/>
      <x:c r="P703"/>
      <x:c r="Q703"/>
      <x:c r="R703"/>
      <x:c r="S703"/>
      <x:c r="T703"/>
      <x:c r="U703"/>
      <x:c r="V703"/>
      <x:c r="W703"/>
      <x:c r="X703"/>
      <x:c r="Y703"/>
      <x:c r="Z703"/>
      <x:c r="AA703"/>
      <x:c r="AB703"/>
      <x:c r="AC703"/>
      <x:c r="AD703"/>
      <x:c r="AE703"/>
      <x:c r="AF703"/>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x:c r="C704"/>
      <x:c r="D704"/>
      <x:c r="E704"/>
      <x:c r="F704"/>
      <x:c r="G704"/>
      <x:c r="H704"/>
      <x:c r="I704"/>
      <x:c r="J704"/>
      <x:c r="K704"/>
      <x:c r="L704"/>
      <x:c r="M704"/>
      <x:c r="N704"/>
      <x:c r="O704"/>
      <x:c r="P704"/>
      <x:c r="Q704"/>
      <x:c r="R704"/>
      <x:c r="S704"/>
      <x:c r="T704"/>
      <x:c r="U704"/>
      <x:c r="V704"/>
      <x:c r="W704"/>
      <x:c r="X704"/>
      <x:c r="Y704"/>
      <x:c r="Z704"/>
      <x:c r="AA704"/>
      <x:c r="AB704"/>
      <x:c r="AC704"/>
      <x:c r="AD704"/>
      <x:c r="AE704"/>
      <x:c r="AF704"/>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x:c r="C705"/>
      <x:c r="D705"/>
      <x:c r="E705"/>
      <x:c r="F705"/>
      <x:c r="G705"/>
      <x:c r="H705"/>
      <x:c r="I705"/>
      <x:c r="J705"/>
      <x:c r="K705"/>
      <x:c r="L705"/>
      <x:c r="M705"/>
      <x:c r="N705"/>
      <x:c r="O705"/>
      <x:c r="P705"/>
      <x:c r="Q705"/>
      <x:c r="R705"/>
      <x:c r="S705"/>
      <x:c r="T705"/>
      <x:c r="U705"/>
      <x:c r="V705"/>
      <x:c r="W705"/>
      <x:c r="X705"/>
      <x:c r="Y705"/>
      <x:c r="Z705"/>
      <x:c r="AA705"/>
      <x:c r="AB705"/>
      <x:c r="AC705"/>
      <x:c r="AD705"/>
      <x:c r="AE705"/>
      <x:c r="AF705"/>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C706"/>
      <x:c r="D706"/>
      <x:c r="E706"/>
      <x:c r="F706"/>
      <x:c r="G706"/>
      <x:c r="H706"/>
      <x:c r="I706"/>
      <x:c r="J706"/>
      <x:c r="K706"/>
      <x:c r="L706"/>
      <x:c r="M706"/>
      <x:c r="N706"/>
      <x:c r="O706"/>
      <x:c r="P706"/>
      <x:c r="Q706"/>
      <x:c r="R706"/>
      <x:c r="S706"/>
      <x:c r="T706"/>
      <x:c r="U706"/>
      <x:c r="V706"/>
      <x:c r="W706"/>
      <x:c r="X706"/>
      <x:c r="Y706"/>
      <x:c r="Z706"/>
      <x:c r="AA706"/>
      <x:c r="AB706"/>
      <x:c r="AC706"/>
      <x:c r="AD706"/>
      <x:c r="AE706"/>
      <x:c r="AF706"/>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x:c r="C707"/>
      <x:c r="D707"/>
      <x:c r="E707"/>
      <x:c r="F707"/>
      <x:c r="G707"/>
      <x:c r="H707"/>
      <x:c r="I707"/>
      <x:c r="J707"/>
      <x:c r="K707"/>
      <x:c r="L707"/>
      <x:c r="M707"/>
      <x:c r="N707"/>
      <x:c r="O707"/>
      <x:c r="P707"/>
      <x:c r="Q707"/>
      <x:c r="R707"/>
      <x:c r="S707"/>
      <x:c r="T707"/>
      <x:c r="U707"/>
      <x:c r="V707"/>
      <x:c r="W707"/>
      <x:c r="X707"/>
      <x:c r="Y707"/>
      <x:c r="Z707"/>
      <x:c r="AA707"/>
      <x:c r="AB707"/>
      <x:c r="AC707"/>
      <x:c r="AD707"/>
      <x:c r="AE707"/>
      <x:c r="AF707"/>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C708"/>
      <x:c r="D708"/>
      <x:c r="E708"/>
      <x:c r="F708"/>
      <x:c r="G708"/>
      <x:c r="H708"/>
      <x:c r="I708"/>
      <x:c r="J708"/>
      <x:c r="K708"/>
      <x:c r="L708"/>
      <x:c r="M708"/>
      <x:c r="N708"/>
      <x:c r="O708"/>
      <x:c r="P708"/>
      <x:c r="Q708"/>
      <x:c r="R708"/>
      <x:c r="S708"/>
      <x:c r="T708"/>
      <x:c r="U708"/>
      <x:c r="V708"/>
      <x:c r="W708"/>
      <x:c r="X708"/>
      <x:c r="Y708"/>
      <x:c r="Z708"/>
      <x:c r="AA708"/>
      <x:c r="AB708"/>
      <x:c r="AC708"/>
      <x:c r="AD708"/>
      <x:c r="AE708"/>
      <x:c r="AF708"/>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x:c r="C709"/>
      <x:c r="D709"/>
      <x:c r="E709"/>
      <x:c r="F709"/>
      <x:c r="G709"/>
      <x:c r="H709"/>
      <x:c r="I709"/>
      <x:c r="J709"/>
      <x:c r="K709"/>
      <x:c r="L709"/>
      <x:c r="M709"/>
      <x:c r="N709"/>
      <x:c r="O709"/>
      <x:c r="P709"/>
      <x:c r="Q709"/>
      <x:c r="R709"/>
      <x:c r="S709"/>
      <x:c r="T709"/>
      <x:c r="U709"/>
      <x:c r="V709"/>
      <x:c r="W709"/>
      <x:c r="X709"/>
      <x:c r="Y709"/>
      <x:c r="Z709"/>
      <x:c r="AA709"/>
      <x:c r="AB709"/>
      <x:c r="AC709"/>
      <x:c r="AD709"/>
      <x:c r="AE709"/>
      <x:c r="AF709"/>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x:c r="C710"/>
      <x:c r="D710"/>
      <x:c r="E710"/>
      <x:c r="F710"/>
      <x:c r="G710"/>
      <x:c r="H710"/>
      <x:c r="I710"/>
      <x:c r="J710"/>
      <x:c r="K710"/>
      <x:c r="L710"/>
      <x:c r="M710"/>
      <x:c r="N710"/>
      <x:c r="O710"/>
      <x:c r="P710"/>
      <x:c r="Q710"/>
      <x:c r="R710"/>
      <x:c r="S710"/>
      <x:c r="T710"/>
      <x:c r="U710"/>
      <x:c r="V710"/>
      <x:c r="W710"/>
      <x:c r="X710"/>
      <x:c r="Y710"/>
      <x:c r="Z710"/>
      <x:c r="AA710"/>
      <x:c r="AB710"/>
      <x:c r="AC710"/>
      <x:c r="AD710"/>
      <x:c r="AE710"/>
      <x:c r="AF710"/>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x:c r="C711"/>
      <x:c r="D711"/>
      <x:c r="E711"/>
      <x:c r="F711"/>
      <x:c r="G711"/>
      <x:c r="H711"/>
      <x:c r="I711"/>
      <x:c r="J711"/>
      <x:c r="K711"/>
      <x:c r="L711"/>
      <x:c r="M711"/>
      <x:c r="N711"/>
      <x:c r="O711"/>
      <x:c r="P711"/>
      <x:c r="Q711"/>
      <x:c r="R711"/>
      <x:c r="S711"/>
      <x:c r="T711"/>
      <x:c r="U711"/>
      <x:c r="V711"/>
      <x:c r="W711"/>
      <x:c r="X711"/>
      <x:c r="Y711"/>
      <x:c r="Z711"/>
      <x:c r="AA711"/>
      <x:c r="AB711"/>
      <x:c r="AC711"/>
      <x:c r="AD711"/>
      <x:c r="AE711"/>
      <x:c r="AF711"/>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x:c r="C712"/>
      <x:c r="D712"/>
      <x:c r="E712"/>
      <x:c r="F712"/>
      <x:c r="G712"/>
      <x:c r="H712"/>
      <x:c r="I712"/>
      <x:c r="J712"/>
      <x:c r="K712"/>
      <x:c r="L712"/>
      <x:c r="M712"/>
      <x:c r="N712"/>
      <x:c r="O712"/>
      <x:c r="P712"/>
      <x:c r="Q712"/>
      <x:c r="R712"/>
      <x:c r="S712"/>
      <x:c r="T712"/>
      <x:c r="U712"/>
      <x:c r="V712"/>
      <x:c r="W712"/>
      <x:c r="X712"/>
      <x:c r="Y712"/>
      <x:c r="Z712"/>
      <x:c r="AA712"/>
      <x:c r="AB712"/>
      <x:c r="AC712"/>
      <x:c r="AD712"/>
      <x:c r="AE712"/>
      <x:c r="AF712"/>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x:c r="C713"/>
      <x:c r="D713"/>
      <x:c r="E713"/>
      <x:c r="F713"/>
      <x:c r="G713"/>
      <x:c r="H713"/>
      <x:c r="I713"/>
      <x:c r="J713"/>
      <x:c r="K713"/>
      <x:c r="L713"/>
      <x:c r="M713"/>
      <x:c r="N713"/>
      <x:c r="O713"/>
      <x:c r="P713"/>
      <x:c r="Q713"/>
      <x:c r="R713"/>
      <x:c r="S713"/>
      <x:c r="T713"/>
      <x:c r="U713"/>
      <x:c r="V713"/>
      <x:c r="W713"/>
      <x:c r="X713"/>
      <x:c r="Y713"/>
      <x:c r="Z713"/>
      <x:c r="AA713"/>
      <x:c r="AB713"/>
      <x:c r="AC713"/>
      <x:c r="AD713"/>
      <x:c r="AE713"/>
      <x:c r="AF713"/>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x:c r="C714"/>
      <x:c r="D714"/>
      <x:c r="E714"/>
      <x:c r="F714"/>
      <x:c r="G714"/>
      <x:c r="H714"/>
      <x:c r="I714"/>
      <x:c r="J714"/>
      <x:c r="K714"/>
      <x:c r="L714"/>
      <x:c r="M714"/>
      <x:c r="N714"/>
      <x:c r="O714"/>
      <x:c r="P714"/>
      <x:c r="Q714"/>
      <x:c r="R714"/>
      <x:c r="S714"/>
      <x:c r="T714"/>
      <x:c r="U714"/>
      <x:c r="V714"/>
      <x:c r="W714"/>
      <x:c r="X714"/>
      <x:c r="Y714"/>
      <x:c r="Z714"/>
      <x:c r="AA714"/>
      <x:c r="AB714"/>
      <x:c r="AC714"/>
      <x:c r="AD714"/>
      <x:c r="AE714"/>
      <x:c r="AF714"/>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x:c r="C715"/>
      <x:c r="D715"/>
      <x:c r="E715"/>
      <x:c r="F715"/>
      <x:c r="G715"/>
      <x:c r="H715"/>
      <x:c r="I715"/>
      <x:c r="J715"/>
      <x:c r="K715"/>
      <x:c r="L715"/>
      <x:c r="M715"/>
      <x:c r="N715"/>
      <x:c r="O715"/>
      <x:c r="P715"/>
      <x:c r="Q715"/>
      <x:c r="R715"/>
      <x:c r="S715"/>
      <x:c r="T715"/>
      <x:c r="U715"/>
      <x:c r="V715"/>
      <x:c r="W715"/>
      <x:c r="X715"/>
      <x:c r="Y715"/>
      <x:c r="Z715"/>
      <x:c r="AA715"/>
      <x:c r="AB715"/>
      <x:c r="AC715"/>
      <x:c r="AD715"/>
      <x:c r="AE715"/>
      <x:c r="AF715"/>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x:c r="C716"/>
      <x:c r="D716"/>
      <x:c r="E716"/>
      <x:c r="F716"/>
      <x:c r="G716"/>
      <x:c r="H716"/>
      <x:c r="I716"/>
      <x:c r="J716"/>
      <x:c r="K716"/>
      <x:c r="L716"/>
      <x:c r="M716"/>
      <x:c r="N716"/>
      <x:c r="O716"/>
      <x:c r="P716"/>
      <x:c r="Q716"/>
      <x:c r="R716"/>
      <x:c r="S716"/>
      <x:c r="T716"/>
      <x:c r="U716"/>
      <x:c r="V716"/>
      <x:c r="W716"/>
      <x:c r="X716"/>
      <x:c r="Y716"/>
      <x:c r="Z716"/>
      <x:c r="AA716"/>
      <x:c r="AB716"/>
      <x:c r="AC716"/>
      <x:c r="AD716"/>
      <x:c r="AE716"/>
      <x:c r="AF716"/>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x:c r="C717"/>
      <x:c r="D717"/>
      <x:c r="E717"/>
      <x:c r="F717"/>
      <x:c r="G717"/>
      <x:c r="H717"/>
      <x:c r="I717"/>
      <x:c r="J717"/>
      <x:c r="K717"/>
      <x:c r="L717"/>
      <x:c r="M717"/>
      <x:c r="N717"/>
      <x:c r="O717"/>
      <x:c r="P717"/>
      <x:c r="Q717"/>
      <x:c r="R717"/>
      <x:c r="S717"/>
      <x:c r="T717"/>
      <x:c r="U717"/>
      <x:c r="V717"/>
      <x:c r="W717"/>
      <x:c r="X717"/>
      <x:c r="Y717"/>
      <x:c r="Z717"/>
      <x:c r="AA717"/>
      <x:c r="AB717"/>
      <x:c r="AC717"/>
      <x:c r="AD717"/>
      <x:c r="AE717"/>
      <x:c r="AF717"/>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x:c r="C718"/>
      <x:c r="D718"/>
      <x:c r="E718"/>
      <x:c r="F718"/>
      <x:c r="G718"/>
      <x:c r="H718"/>
      <x:c r="I718"/>
      <x:c r="J718"/>
      <x:c r="K718"/>
      <x:c r="L718"/>
      <x:c r="M718"/>
      <x:c r="N718"/>
      <x:c r="O718"/>
      <x:c r="P718"/>
      <x:c r="Q718"/>
      <x:c r="R718"/>
      <x:c r="S718"/>
      <x:c r="T718"/>
      <x:c r="U718"/>
      <x:c r="V718"/>
      <x:c r="W718"/>
      <x:c r="X718"/>
      <x:c r="Y718"/>
      <x:c r="Z718"/>
      <x:c r="AA718"/>
      <x:c r="AB718"/>
      <x:c r="AC718"/>
      <x:c r="AD718"/>
      <x:c r="AE718"/>
      <x:c r="AF718"/>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x:c r="C719"/>
      <x:c r="D719"/>
      <x:c r="E719"/>
      <x:c r="F719"/>
      <x:c r="G719"/>
      <x:c r="H719"/>
      <x:c r="I719"/>
      <x:c r="J719"/>
      <x:c r="K719"/>
      <x:c r="L719"/>
      <x:c r="M719"/>
      <x:c r="N719"/>
      <x:c r="O719"/>
      <x:c r="P719"/>
      <x:c r="Q719"/>
      <x:c r="R719"/>
      <x:c r="S719"/>
      <x:c r="T719"/>
      <x:c r="U719"/>
      <x:c r="V719"/>
      <x:c r="W719"/>
      <x:c r="X719"/>
      <x:c r="Y719"/>
      <x:c r="Z719"/>
      <x:c r="AA719"/>
      <x:c r="AB719"/>
      <x:c r="AC719"/>
      <x:c r="AD719"/>
      <x:c r="AE719"/>
      <x:c r="AF719"/>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x:c r="C720"/>
      <x:c r="D720"/>
      <x:c r="E720"/>
      <x:c r="F720"/>
      <x:c r="G720"/>
      <x:c r="H720"/>
      <x:c r="I720"/>
      <x:c r="J720"/>
      <x:c r="K720"/>
      <x:c r="L720"/>
      <x:c r="M720"/>
      <x:c r="N720"/>
      <x:c r="O720"/>
      <x:c r="P720"/>
      <x:c r="Q720"/>
      <x:c r="R720"/>
      <x:c r="S720"/>
      <x:c r="T720"/>
      <x:c r="U720"/>
      <x:c r="V720"/>
      <x:c r="W720"/>
      <x:c r="X720"/>
      <x:c r="Y720"/>
      <x:c r="Z720"/>
      <x:c r="AA720"/>
      <x:c r="AB720"/>
      <x:c r="AC720"/>
      <x:c r="AD720"/>
      <x:c r="AE720"/>
      <x:c r="AF720"/>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x:c r="C721"/>
      <x:c r="D721"/>
      <x:c r="E721"/>
      <x:c r="F721"/>
      <x:c r="G721"/>
      <x:c r="H721"/>
      <x:c r="I721"/>
      <x:c r="J721"/>
      <x:c r="K721"/>
      <x:c r="L721"/>
      <x:c r="M721"/>
      <x:c r="N721"/>
      <x:c r="O721"/>
      <x:c r="P721"/>
      <x:c r="Q721"/>
      <x:c r="R721"/>
      <x:c r="S721"/>
      <x:c r="T721"/>
      <x:c r="U721"/>
      <x:c r="V721"/>
      <x:c r="W721"/>
      <x:c r="X721"/>
      <x:c r="Y721"/>
      <x:c r="Z721"/>
      <x:c r="AA721"/>
      <x:c r="AB721"/>
      <x:c r="AC721"/>
      <x:c r="AD721"/>
      <x:c r="AE721"/>
      <x:c r="AF721"/>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x:c r="C722"/>
      <x:c r="D722"/>
      <x:c r="E722"/>
      <x:c r="F722"/>
      <x:c r="G722"/>
      <x:c r="H722"/>
      <x:c r="I722"/>
      <x:c r="J722"/>
      <x:c r="K722"/>
      <x:c r="L722"/>
      <x:c r="M722"/>
      <x:c r="N722"/>
      <x:c r="O722"/>
      <x:c r="P722"/>
      <x:c r="Q722"/>
      <x:c r="R722"/>
      <x:c r="S722"/>
      <x:c r="T722"/>
      <x:c r="U722"/>
      <x:c r="V722"/>
      <x:c r="W722"/>
      <x:c r="X722"/>
      <x:c r="Y722"/>
      <x:c r="Z722"/>
      <x:c r="AA722"/>
      <x:c r="AB722"/>
      <x:c r="AC722"/>
      <x:c r="AD722"/>
      <x:c r="AE722"/>
      <x:c r="AF722"/>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x:c r="C723"/>
      <x:c r="D723"/>
      <x:c r="E723"/>
      <x:c r="F723"/>
      <x:c r="G723"/>
      <x:c r="H723"/>
      <x:c r="I723"/>
      <x:c r="J723"/>
      <x:c r="K723"/>
      <x:c r="L723"/>
      <x:c r="M723"/>
      <x:c r="N723"/>
      <x:c r="O723"/>
      <x:c r="P723"/>
      <x:c r="Q723"/>
      <x:c r="R723"/>
      <x:c r="S723"/>
      <x:c r="T723"/>
      <x:c r="U723"/>
      <x:c r="V723"/>
      <x:c r="W723"/>
      <x:c r="X723"/>
      <x:c r="Y723"/>
      <x:c r="Z723"/>
      <x:c r="AA723"/>
      <x:c r="AB723"/>
      <x:c r="AC723"/>
      <x:c r="AD723"/>
      <x:c r="AE723"/>
      <x:c r="AF723"/>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x:c r="C724"/>
      <x:c r="D724"/>
      <x:c r="E724"/>
      <x:c r="F724"/>
      <x:c r="G724"/>
      <x:c r="H724"/>
      <x:c r="I724"/>
      <x:c r="J724"/>
      <x:c r="K724"/>
      <x:c r="L724"/>
      <x:c r="M724"/>
      <x:c r="N724"/>
      <x:c r="O724"/>
      <x:c r="P724"/>
      <x:c r="Q724"/>
      <x:c r="R724"/>
      <x:c r="S724"/>
      <x:c r="T724"/>
      <x:c r="U724"/>
      <x:c r="V724"/>
      <x:c r="W724"/>
      <x:c r="X724"/>
      <x:c r="Y724"/>
      <x:c r="Z724"/>
      <x:c r="AA724"/>
      <x:c r="AB724"/>
      <x:c r="AC724"/>
      <x:c r="AD724"/>
      <x:c r="AE724"/>
      <x:c r="AF724"/>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x:c r="C725"/>
      <x:c r="D725"/>
      <x:c r="E725"/>
      <x:c r="F725"/>
      <x:c r="G725"/>
      <x:c r="H725"/>
      <x:c r="I725"/>
      <x:c r="J725"/>
      <x:c r="K725"/>
      <x:c r="L725"/>
      <x:c r="M725"/>
      <x:c r="N725"/>
      <x:c r="O725"/>
      <x:c r="P725"/>
      <x:c r="Q725"/>
      <x:c r="R725"/>
      <x:c r="S725"/>
      <x:c r="T725"/>
      <x:c r="U725"/>
      <x:c r="V725"/>
      <x:c r="W725"/>
      <x:c r="X725"/>
      <x:c r="Y725"/>
      <x:c r="Z725"/>
      <x:c r="AA725"/>
      <x:c r="AB725"/>
      <x:c r="AC725"/>
      <x:c r="AD725"/>
      <x:c r="AE725"/>
      <x:c r="AF725"/>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x:c r="C726"/>
      <x:c r="D726"/>
      <x:c r="E726"/>
      <x:c r="F726"/>
      <x:c r="G726"/>
      <x:c r="H726"/>
      <x:c r="I726"/>
      <x:c r="J726"/>
      <x:c r="K726"/>
      <x:c r="L726"/>
      <x:c r="M726"/>
      <x:c r="N726"/>
      <x:c r="O726"/>
      <x:c r="P726"/>
      <x:c r="Q726"/>
      <x:c r="R726"/>
      <x:c r="S726"/>
      <x:c r="T726"/>
      <x:c r="U726"/>
      <x:c r="V726"/>
      <x:c r="W726"/>
      <x:c r="X726"/>
      <x:c r="Y726"/>
      <x:c r="Z726"/>
      <x:c r="AA726"/>
      <x:c r="AB726"/>
      <x:c r="AC726"/>
      <x:c r="AD726"/>
      <x:c r="AE726"/>
      <x:c r="AF726"/>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x:c r="C727"/>
      <x:c r="D727"/>
      <x:c r="E727"/>
      <x:c r="F727"/>
      <x:c r="G727"/>
      <x:c r="H727"/>
      <x:c r="I727"/>
      <x:c r="J727"/>
      <x:c r="K727"/>
      <x:c r="L727"/>
      <x:c r="M727"/>
      <x:c r="N727"/>
      <x:c r="O727"/>
      <x:c r="P727"/>
      <x:c r="Q727"/>
      <x:c r="R727"/>
      <x:c r="S727"/>
      <x:c r="T727"/>
      <x:c r="U727"/>
      <x:c r="V727"/>
      <x:c r="W727"/>
      <x:c r="X727"/>
      <x:c r="Y727"/>
      <x:c r="Z727"/>
      <x:c r="AA727"/>
      <x:c r="AB727"/>
      <x:c r="AC727"/>
      <x:c r="AD727"/>
      <x:c r="AE727"/>
      <x:c r="AF727"/>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x:c r="C728"/>
      <x:c r="D728"/>
      <x:c r="E728"/>
      <x:c r="F728"/>
      <x:c r="G728"/>
      <x:c r="H728"/>
      <x:c r="I728"/>
      <x:c r="J728"/>
      <x:c r="K728"/>
      <x:c r="L728"/>
      <x:c r="M728"/>
      <x:c r="N728"/>
      <x:c r="O728"/>
      <x:c r="P728"/>
      <x:c r="Q728"/>
      <x:c r="R728"/>
      <x:c r="S728"/>
      <x:c r="T728"/>
      <x:c r="U728"/>
      <x:c r="V728"/>
      <x:c r="W728"/>
      <x:c r="X728"/>
      <x:c r="Y728"/>
      <x:c r="Z728"/>
      <x:c r="AA728"/>
      <x:c r="AB728"/>
      <x:c r="AC728"/>
      <x:c r="AD728"/>
      <x:c r="AE728"/>
      <x:c r="AF728"/>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x:c r="C729"/>
      <x:c r="D729"/>
      <x:c r="E729"/>
      <x:c r="F729"/>
      <x:c r="G729"/>
      <x:c r="H729"/>
      <x:c r="I729"/>
      <x:c r="J729"/>
      <x:c r="K729"/>
      <x:c r="L729"/>
      <x:c r="M729"/>
      <x:c r="N729"/>
      <x:c r="O729"/>
      <x:c r="P729"/>
      <x:c r="Q729"/>
      <x:c r="R729"/>
      <x:c r="S729"/>
      <x:c r="T729"/>
      <x:c r="U729"/>
      <x:c r="V729"/>
      <x:c r="W729"/>
      <x:c r="X729"/>
      <x:c r="Y729"/>
      <x:c r="Z729"/>
      <x:c r="AA729"/>
      <x:c r="AB729"/>
      <x:c r="AC729"/>
      <x:c r="AD729"/>
      <x:c r="AE729"/>
      <x:c r="AF729"/>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x:c r="C730"/>
      <x:c r="D730"/>
      <x:c r="E730"/>
      <x:c r="F730"/>
      <x:c r="G730"/>
      <x:c r="H730"/>
      <x:c r="I730"/>
      <x:c r="J730"/>
      <x:c r="K730"/>
      <x:c r="L730"/>
      <x:c r="M730"/>
      <x:c r="N730"/>
      <x:c r="O730"/>
      <x:c r="P730"/>
      <x:c r="Q730"/>
      <x:c r="R730"/>
      <x:c r="S730"/>
      <x:c r="T730"/>
      <x:c r="U730"/>
      <x:c r="V730"/>
      <x:c r="W730"/>
      <x:c r="X730"/>
      <x:c r="Y730"/>
      <x:c r="Z730"/>
      <x:c r="AA730"/>
      <x:c r="AB730"/>
      <x:c r="AC730"/>
      <x:c r="AD730"/>
      <x:c r="AE730"/>
      <x:c r="AF730"/>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x:c r="C731"/>
      <x:c r="D731"/>
      <x:c r="E731"/>
      <x:c r="F731"/>
      <x:c r="G731"/>
      <x:c r="H731"/>
      <x:c r="I731"/>
      <x:c r="J731"/>
      <x:c r="K731"/>
      <x:c r="L731"/>
      <x:c r="M731"/>
      <x:c r="N731"/>
      <x:c r="O731"/>
      <x:c r="P731"/>
      <x:c r="Q731"/>
      <x:c r="R731"/>
      <x:c r="S731"/>
      <x:c r="T731"/>
      <x:c r="U731"/>
      <x:c r="V731"/>
      <x:c r="W731"/>
      <x:c r="X731"/>
      <x:c r="Y731"/>
      <x:c r="Z731"/>
      <x:c r="AA731"/>
      <x:c r="AB731"/>
      <x:c r="AC731"/>
      <x:c r="AD731"/>
      <x:c r="AE731"/>
      <x:c r="AF731"/>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x:c r="C732"/>
      <x:c r="D732"/>
      <x:c r="E732"/>
      <x:c r="F732"/>
      <x:c r="G732"/>
      <x:c r="H732"/>
      <x:c r="I732"/>
      <x:c r="J732"/>
      <x:c r="K732"/>
      <x:c r="L732"/>
      <x:c r="M732"/>
      <x:c r="N732"/>
      <x:c r="O732"/>
      <x:c r="P732"/>
      <x:c r="Q732"/>
      <x:c r="R732"/>
      <x:c r="S732"/>
      <x:c r="T732"/>
      <x:c r="U732"/>
      <x:c r="V732"/>
      <x:c r="W732"/>
      <x:c r="X732"/>
      <x:c r="Y732"/>
      <x:c r="Z732"/>
      <x:c r="AA732"/>
      <x:c r="AB732"/>
      <x:c r="AC732"/>
      <x:c r="AD732"/>
      <x:c r="AE732"/>
      <x:c r="AF732"/>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x:c r="C733"/>
      <x:c r="D733"/>
      <x:c r="E733"/>
      <x:c r="F733"/>
      <x:c r="G733"/>
      <x:c r="H733"/>
      <x:c r="I733"/>
      <x:c r="J733"/>
      <x:c r="K733"/>
      <x:c r="L733"/>
      <x:c r="M733"/>
      <x:c r="N733"/>
      <x:c r="O733"/>
      <x:c r="P733"/>
      <x:c r="Q733"/>
      <x:c r="R733"/>
      <x:c r="S733"/>
      <x:c r="T733"/>
      <x:c r="U733"/>
      <x:c r="V733"/>
      <x:c r="W733"/>
      <x:c r="X733"/>
      <x:c r="Y733"/>
      <x:c r="Z733"/>
      <x:c r="AA733"/>
      <x:c r="AB733"/>
      <x:c r="AC733"/>
      <x:c r="AD733"/>
      <x:c r="AE733"/>
      <x:c r="AF733"/>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x:c r="C734"/>
      <x:c r="D734"/>
      <x:c r="E734"/>
      <x:c r="F734"/>
      <x:c r="G734"/>
      <x:c r="H734"/>
      <x:c r="I734"/>
      <x:c r="J734"/>
      <x:c r="K734"/>
      <x:c r="L734"/>
      <x:c r="M734"/>
      <x:c r="N734"/>
      <x:c r="O734"/>
      <x:c r="P734"/>
      <x:c r="Q734"/>
      <x:c r="R734"/>
      <x:c r="S734"/>
      <x:c r="T734"/>
      <x:c r="U734"/>
      <x:c r="V734"/>
      <x:c r="W734"/>
      <x:c r="X734"/>
      <x:c r="Y734"/>
      <x:c r="Z734"/>
      <x:c r="AA734"/>
      <x:c r="AB734"/>
      <x:c r="AC734"/>
      <x:c r="AD734"/>
      <x:c r="AE734"/>
      <x:c r="AF734"/>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x:c r="C735"/>
      <x:c r="D735"/>
      <x:c r="E735"/>
      <x:c r="F735"/>
      <x:c r="G735"/>
      <x:c r="H735"/>
      <x:c r="I735"/>
      <x:c r="J735"/>
      <x:c r="K735"/>
      <x:c r="L735"/>
      <x:c r="M735"/>
      <x:c r="N735"/>
      <x:c r="O735"/>
      <x:c r="P735"/>
      <x:c r="Q735"/>
      <x:c r="R735"/>
      <x:c r="S735"/>
      <x:c r="T735"/>
      <x:c r="U735"/>
      <x:c r="V735"/>
      <x:c r="W735"/>
      <x:c r="X735"/>
      <x:c r="Y735"/>
      <x:c r="Z735"/>
      <x:c r="AA735"/>
      <x:c r="AB735"/>
      <x:c r="AC735"/>
      <x:c r="AD735"/>
      <x:c r="AE735"/>
      <x:c r="AF735"/>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x:c r="C736"/>
      <x:c r="D736"/>
      <x:c r="E736"/>
      <x:c r="F736"/>
      <x:c r="G736"/>
      <x:c r="H736"/>
      <x:c r="I736"/>
      <x:c r="J736"/>
      <x:c r="K736"/>
      <x:c r="L736"/>
      <x:c r="M736"/>
      <x:c r="N736"/>
      <x:c r="O736"/>
      <x:c r="P736"/>
      <x:c r="Q736"/>
      <x:c r="R736"/>
      <x:c r="S736"/>
      <x:c r="T736"/>
      <x:c r="U736"/>
      <x:c r="V736"/>
      <x:c r="W736"/>
      <x:c r="X736"/>
      <x:c r="Y736"/>
      <x:c r="Z736"/>
      <x:c r="AA736"/>
      <x:c r="AB736"/>
      <x:c r="AC736"/>
      <x:c r="AD736"/>
      <x:c r="AE736"/>
      <x:c r="AF736"/>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x:c r="C737"/>
      <x:c r="D737"/>
      <x:c r="E737"/>
      <x:c r="F737"/>
      <x:c r="G737"/>
      <x:c r="H737"/>
      <x:c r="I737"/>
      <x:c r="J737"/>
      <x:c r="K737"/>
      <x:c r="L737"/>
      <x:c r="M737"/>
      <x:c r="N737"/>
      <x:c r="O737"/>
      <x:c r="P737"/>
      <x:c r="Q737"/>
      <x:c r="R737"/>
      <x:c r="S737"/>
      <x:c r="T737"/>
      <x:c r="U737"/>
      <x:c r="V737"/>
      <x:c r="W737"/>
      <x:c r="X737"/>
      <x:c r="Y737"/>
      <x:c r="Z737"/>
      <x:c r="AA737"/>
      <x:c r="AB737"/>
      <x:c r="AC737"/>
      <x:c r="AD737"/>
      <x:c r="AE737"/>
      <x:c r="AF737"/>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x:c r="C738"/>
      <x:c r="D738"/>
      <x:c r="E738"/>
      <x:c r="F738"/>
      <x:c r="G738"/>
      <x:c r="H738"/>
      <x:c r="I738"/>
      <x:c r="J738"/>
      <x:c r="K738"/>
      <x:c r="L738"/>
      <x:c r="M738"/>
      <x:c r="N738"/>
      <x:c r="O738"/>
      <x:c r="P738"/>
      <x:c r="Q738"/>
      <x:c r="R738"/>
      <x:c r="S738"/>
      <x:c r="T738"/>
      <x:c r="U738"/>
      <x:c r="V738"/>
      <x:c r="W738"/>
      <x:c r="X738"/>
      <x:c r="Y738"/>
      <x:c r="Z738"/>
      <x:c r="AA738"/>
      <x:c r="AB738"/>
      <x:c r="AC738"/>
      <x:c r="AD738"/>
      <x:c r="AE738"/>
      <x:c r="AF738"/>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x:c r="C739"/>
      <x:c r="D739"/>
      <x:c r="E739"/>
      <x:c r="F739"/>
      <x:c r="G739"/>
      <x:c r="H739"/>
      <x:c r="I739"/>
      <x:c r="J739"/>
      <x:c r="K739"/>
      <x:c r="L739"/>
      <x:c r="M739"/>
      <x:c r="N739"/>
      <x:c r="O739"/>
      <x:c r="P739"/>
      <x:c r="Q739"/>
      <x:c r="R739"/>
      <x:c r="S739"/>
      <x:c r="T739"/>
      <x:c r="U739"/>
      <x:c r="V739"/>
      <x:c r="W739"/>
      <x:c r="X739"/>
      <x:c r="Y739"/>
      <x:c r="Z739"/>
      <x:c r="AA739"/>
      <x:c r="AB739"/>
      <x:c r="AC739"/>
      <x:c r="AD739"/>
      <x:c r="AE739"/>
      <x:c r="AF739"/>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x:c r="C740"/>
      <x:c r="D740"/>
      <x:c r="E740"/>
      <x:c r="F740"/>
      <x:c r="G740"/>
      <x:c r="H740"/>
      <x:c r="I740"/>
      <x:c r="J740"/>
      <x:c r="K740"/>
      <x:c r="L740"/>
      <x:c r="M740"/>
      <x:c r="N740"/>
      <x:c r="O740"/>
      <x:c r="P740"/>
      <x:c r="Q740"/>
      <x:c r="R740"/>
      <x:c r="S740"/>
      <x:c r="T740"/>
      <x:c r="U740"/>
      <x:c r="V740"/>
      <x:c r="W740"/>
      <x:c r="X740"/>
      <x:c r="Y740"/>
      <x:c r="Z740"/>
      <x:c r="AA740"/>
      <x:c r="AB740"/>
      <x:c r="AC740"/>
      <x:c r="AD740"/>
      <x:c r="AE740"/>
      <x:c r="AF740"/>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x:c r="C741"/>
      <x:c r="D741"/>
      <x:c r="E741"/>
      <x:c r="F741"/>
      <x:c r="G741"/>
      <x:c r="H741"/>
      <x:c r="I741"/>
      <x:c r="J741"/>
      <x:c r="K741"/>
      <x:c r="L741"/>
      <x:c r="M741"/>
      <x:c r="N741"/>
      <x:c r="O741"/>
      <x:c r="P741"/>
      <x:c r="Q741"/>
      <x:c r="R741"/>
      <x:c r="S741"/>
      <x:c r="T741"/>
      <x:c r="U741"/>
      <x:c r="V741"/>
      <x:c r="W741"/>
      <x:c r="X741"/>
      <x:c r="Y741"/>
      <x:c r="Z741"/>
      <x:c r="AA741"/>
      <x:c r="AB741"/>
      <x:c r="AC741"/>
      <x:c r="AD741"/>
      <x:c r="AE741"/>
      <x:c r="AF741"/>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x:c r="C742"/>
      <x:c r="D742"/>
      <x:c r="E742"/>
      <x:c r="F742"/>
      <x:c r="G742"/>
      <x:c r="H742"/>
      <x:c r="I742"/>
      <x:c r="J742"/>
      <x:c r="K742"/>
      <x:c r="L742"/>
      <x:c r="M742"/>
      <x:c r="N742"/>
      <x:c r="O742"/>
      <x:c r="P742"/>
      <x:c r="Q742"/>
      <x:c r="R742"/>
      <x:c r="S742"/>
      <x:c r="T742"/>
      <x:c r="U742"/>
      <x:c r="V742"/>
      <x:c r="W742"/>
      <x:c r="X742"/>
      <x:c r="Y742"/>
      <x:c r="Z742"/>
      <x:c r="AA742"/>
      <x:c r="AB742"/>
      <x:c r="AC742"/>
      <x:c r="AD742"/>
      <x:c r="AE742"/>
      <x:c r="AF742"/>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x:c r="C743"/>
      <x:c r="D743"/>
      <x:c r="E743"/>
      <x:c r="F743"/>
      <x:c r="G743"/>
      <x:c r="H743"/>
      <x:c r="I743"/>
      <x:c r="J743"/>
      <x:c r="K743"/>
      <x:c r="L743"/>
      <x:c r="M743"/>
      <x:c r="N743"/>
      <x:c r="O743"/>
      <x:c r="P743"/>
      <x:c r="Q743"/>
      <x:c r="R743"/>
      <x:c r="S743"/>
      <x:c r="T743"/>
      <x:c r="U743"/>
      <x:c r="V743"/>
      <x:c r="W743"/>
      <x:c r="X743"/>
      <x:c r="Y743"/>
      <x:c r="Z743"/>
      <x:c r="AA743"/>
      <x:c r="AB743"/>
      <x:c r="AC743"/>
      <x:c r="AD743"/>
      <x:c r="AE743"/>
      <x:c r="AF743"/>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x:c r="C744"/>
      <x:c r="D744"/>
      <x:c r="E744"/>
      <x:c r="F744"/>
      <x:c r="G744"/>
      <x:c r="H744"/>
      <x:c r="I744"/>
      <x:c r="J744"/>
      <x:c r="K744"/>
      <x:c r="L744"/>
      <x:c r="M744"/>
      <x:c r="N744"/>
      <x:c r="O744"/>
      <x:c r="P744"/>
      <x:c r="Q744"/>
      <x:c r="R744"/>
      <x:c r="S744"/>
      <x:c r="T744"/>
      <x:c r="U744"/>
      <x:c r="V744"/>
      <x:c r="W744"/>
      <x:c r="X744"/>
      <x:c r="Y744"/>
      <x:c r="Z744"/>
      <x:c r="AA744"/>
      <x:c r="AB744"/>
      <x:c r="AC744"/>
      <x:c r="AD744"/>
      <x:c r="AE744"/>
      <x:c r="AF744"/>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x:c r="C745"/>
      <x:c r="D745"/>
      <x:c r="E745"/>
      <x:c r="F745"/>
      <x:c r="G745"/>
      <x:c r="H745"/>
      <x:c r="I745"/>
      <x:c r="J745"/>
      <x:c r="K745"/>
      <x:c r="L745"/>
      <x:c r="M745"/>
      <x:c r="N745"/>
      <x:c r="O745"/>
      <x:c r="P745"/>
      <x:c r="Q745"/>
      <x:c r="R745"/>
      <x:c r="S745"/>
      <x:c r="T745"/>
      <x:c r="U745"/>
      <x:c r="V745"/>
      <x:c r="W745"/>
      <x:c r="X745"/>
      <x:c r="Y745"/>
      <x:c r="Z745"/>
      <x:c r="AA745"/>
      <x:c r="AB745"/>
      <x:c r="AC745"/>
      <x:c r="AD745"/>
      <x:c r="AE745"/>
      <x:c r="AF745"/>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x:c r="C746"/>
      <x:c r="D746"/>
      <x:c r="E746"/>
      <x:c r="F746"/>
      <x:c r="G746"/>
      <x:c r="H746"/>
      <x:c r="I746"/>
      <x:c r="J746"/>
      <x:c r="K746"/>
      <x:c r="L746"/>
      <x:c r="M746"/>
      <x:c r="N746"/>
      <x:c r="O746"/>
      <x:c r="P746"/>
      <x:c r="Q746"/>
      <x:c r="R746"/>
      <x:c r="S746"/>
      <x:c r="T746"/>
      <x:c r="U746"/>
      <x:c r="V746"/>
      <x:c r="W746"/>
      <x:c r="X746"/>
      <x:c r="Y746"/>
      <x:c r="Z746"/>
      <x:c r="AA746"/>
      <x:c r="AB746"/>
      <x:c r="AC746"/>
      <x:c r="AD746"/>
      <x:c r="AE746"/>
      <x:c r="AF746"/>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C747"/>
      <x:c r="D747"/>
      <x:c r="E747"/>
      <x:c r="F747"/>
      <x:c r="G747"/>
      <x:c r="H747"/>
      <x:c r="I747"/>
      <x:c r="J747"/>
      <x:c r="K747"/>
      <x:c r="L747"/>
      <x:c r="M747"/>
      <x:c r="N747"/>
      <x:c r="O747"/>
      <x:c r="P747"/>
      <x:c r="Q747"/>
      <x:c r="R747"/>
      <x:c r="S747"/>
      <x:c r="T747"/>
      <x:c r="U747"/>
      <x:c r="V747"/>
      <x:c r="W747"/>
      <x:c r="X747"/>
      <x:c r="Y747"/>
      <x:c r="Z747"/>
      <x:c r="AA747"/>
      <x:c r="AB747"/>
      <x:c r="AC747"/>
      <x:c r="AD747"/>
      <x:c r="AE747"/>
      <x:c r="AF747"/>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x:c r="C748"/>
      <x:c r="D748"/>
      <x:c r="E748"/>
      <x:c r="F748"/>
      <x:c r="G748"/>
      <x:c r="H748"/>
      <x:c r="I748"/>
      <x:c r="J748"/>
      <x:c r="K748"/>
      <x:c r="L748"/>
      <x:c r="M748"/>
      <x:c r="N748"/>
      <x:c r="O748"/>
      <x:c r="P748"/>
      <x:c r="Q748"/>
      <x:c r="R748"/>
      <x:c r="S748"/>
      <x:c r="T748"/>
      <x:c r="U748"/>
      <x:c r="V748"/>
      <x:c r="W748"/>
      <x:c r="X748"/>
      <x:c r="Y748"/>
      <x:c r="Z748"/>
      <x:c r="AA748"/>
      <x:c r="AB748"/>
      <x:c r="AC748"/>
      <x:c r="AD748"/>
      <x:c r="AE748"/>
      <x:c r="AF748"/>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x:c r="C749"/>
      <x:c r="D749"/>
      <x:c r="E749"/>
      <x:c r="F749"/>
      <x:c r="G749"/>
      <x:c r="H749"/>
      <x:c r="I749"/>
      <x:c r="J749"/>
      <x:c r="K749"/>
      <x:c r="L749"/>
      <x:c r="M749"/>
      <x:c r="N749"/>
      <x:c r="O749"/>
      <x:c r="P749"/>
      <x:c r="Q749"/>
      <x:c r="R749"/>
      <x:c r="S749"/>
      <x:c r="T749"/>
      <x:c r="U749"/>
      <x:c r="V749"/>
      <x:c r="W749"/>
      <x:c r="X749"/>
      <x:c r="Y749"/>
      <x:c r="Z749"/>
      <x:c r="AA749"/>
      <x:c r="AB749"/>
      <x:c r="AC749"/>
      <x:c r="AD749"/>
      <x:c r="AE749"/>
      <x:c r="AF749"/>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C750"/>
      <x:c r="D750"/>
      <x:c r="E750"/>
      <x:c r="F750"/>
      <x:c r="G750"/>
      <x:c r="H750"/>
      <x:c r="I750"/>
      <x:c r="J750"/>
      <x:c r="K750"/>
      <x:c r="L750"/>
      <x:c r="M750"/>
      <x:c r="N750"/>
      <x:c r="O750"/>
      <x:c r="P750"/>
      <x:c r="Q750"/>
      <x:c r="R750"/>
      <x:c r="S750"/>
      <x:c r="T750"/>
      <x:c r="U750"/>
      <x:c r="V750"/>
      <x:c r="W750"/>
      <x:c r="X750"/>
      <x:c r="Y750"/>
      <x:c r="Z750"/>
      <x:c r="AA750"/>
      <x:c r="AB750"/>
      <x:c r="AC750"/>
      <x:c r="AD750"/>
      <x:c r="AE750"/>
      <x:c r="AF750"/>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x:c r="C751"/>
      <x:c r="D751"/>
      <x:c r="E751"/>
      <x:c r="F751"/>
      <x:c r="G751"/>
      <x:c r="H751"/>
      <x:c r="I751"/>
      <x:c r="J751"/>
      <x:c r="K751"/>
      <x:c r="L751"/>
      <x:c r="M751"/>
      <x:c r="N751"/>
      <x:c r="O751"/>
      <x:c r="P751"/>
      <x:c r="Q751"/>
      <x:c r="R751"/>
      <x:c r="S751"/>
      <x:c r="T751"/>
      <x:c r="U751"/>
      <x:c r="V751"/>
      <x:c r="W751"/>
      <x:c r="X751"/>
      <x:c r="Y751"/>
      <x:c r="Z751"/>
      <x:c r="AA751"/>
      <x:c r="AB751"/>
      <x:c r="AC751"/>
      <x:c r="AD751"/>
      <x:c r="AE751"/>
      <x:c r="AF751"/>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x:c r="C752"/>
      <x:c r="D752"/>
      <x:c r="E752"/>
      <x:c r="F752"/>
      <x:c r="G752"/>
      <x:c r="H752"/>
      <x:c r="I752"/>
      <x:c r="J752"/>
      <x:c r="K752"/>
      <x:c r="L752"/>
      <x:c r="M752"/>
      <x:c r="N752"/>
      <x:c r="O752"/>
      <x:c r="P752"/>
      <x:c r="Q752"/>
      <x:c r="R752"/>
      <x:c r="S752"/>
      <x:c r="T752"/>
      <x:c r="U752"/>
      <x:c r="V752"/>
      <x:c r="W752"/>
      <x:c r="X752"/>
      <x:c r="Y752"/>
      <x:c r="Z752"/>
      <x:c r="AA752"/>
      <x:c r="AB752"/>
      <x:c r="AC752"/>
      <x:c r="AD752"/>
      <x:c r="AE752"/>
      <x:c r="AF752"/>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C753"/>
      <x:c r="D753"/>
      <x:c r="E753"/>
      <x:c r="F753"/>
      <x:c r="G753"/>
      <x:c r="H753"/>
      <x:c r="I753"/>
      <x:c r="J753"/>
      <x:c r="K753"/>
      <x:c r="L753"/>
      <x:c r="M753"/>
      <x:c r="N753"/>
      <x:c r="O753"/>
      <x:c r="P753"/>
      <x:c r="Q753"/>
      <x:c r="R753"/>
      <x:c r="S753"/>
      <x:c r="T753"/>
      <x:c r="U753"/>
      <x:c r="V753"/>
      <x:c r="W753"/>
      <x:c r="X753"/>
      <x:c r="Y753"/>
      <x:c r="Z753"/>
      <x:c r="AA753"/>
      <x:c r="AB753"/>
      <x:c r="AC753"/>
      <x:c r="AD753"/>
      <x:c r="AE753"/>
      <x:c r="AF753"/>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x:c r="C754"/>
      <x:c r="D754"/>
      <x:c r="E754"/>
      <x:c r="F754"/>
      <x:c r="G754"/>
      <x:c r="H754"/>
      <x:c r="I754"/>
      <x:c r="J754"/>
      <x:c r="K754"/>
      <x:c r="L754"/>
      <x:c r="M754"/>
      <x:c r="N754"/>
      <x:c r="O754"/>
      <x:c r="P754"/>
      <x:c r="Q754"/>
      <x:c r="R754"/>
      <x:c r="S754"/>
      <x:c r="T754"/>
      <x:c r="U754"/>
      <x:c r="V754"/>
      <x:c r="W754"/>
      <x:c r="X754"/>
      <x:c r="Y754"/>
      <x:c r="Z754"/>
      <x:c r="AA754"/>
      <x:c r="AB754"/>
      <x:c r="AC754"/>
      <x:c r="AD754"/>
      <x:c r="AE754"/>
      <x:c r="AF754"/>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x:c r="C755"/>
      <x:c r="D755"/>
      <x:c r="E755"/>
      <x:c r="F755"/>
      <x:c r="G755"/>
      <x:c r="H755"/>
      <x:c r="I755"/>
      <x:c r="J755"/>
      <x:c r="K755"/>
      <x:c r="L755"/>
      <x:c r="M755"/>
      <x:c r="N755"/>
      <x:c r="O755"/>
      <x:c r="P755"/>
      <x:c r="Q755"/>
      <x:c r="R755"/>
      <x:c r="S755"/>
      <x:c r="T755"/>
      <x:c r="U755"/>
      <x:c r="V755"/>
      <x:c r="W755"/>
      <x:c r="X755"/>
      <x:c r="Y755"/>
      <x:c r="Z755"/>
      <x:c r="AA755"/>
      <x:c r="AB755"/>
      <x:c r="AC755"/>
      <x:c r="AD755"/>
      <x:c r="AE755"/>
      <x:c r="AF755"/>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x:c r="C756"/>
      <x:c r="D756"/>
      <x:c r="E756"/>
      <x:c r="F756"/>
      <x:c r="G756"/>
      <x:c r="H756"/>
      <x:c r="I756"/>
      <x:c r="J756"/>
      <x:c r="K756"/>
      <x:c r="L756"/>
      <x:c r="M756"/>
      <x:c r="N756"/>
      <x:c r="O756"/>
      <x:c r="P756"/>
      <x:c r="Q756"/>
      <x:c r="R756"/>
      <x:c r="S756"/>
      <x:c r="T756"/>
      <x:c r="U756"/>
      <x:c r="V756"/>
      <x:c r="W756"/>
      <x:c r="X756"/>
      <x:c r="Y756"/>
      <x:c r="Z756"/>
      <x:c r="AA756"/>
      <x:c r="AB756"/>
      <x:c r="AC756"/>
      <x:c r="AD756"/>
      <x:c r="AE756"/>
      <x:c r="AF756"/>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C757"/>
      <x:c r="D757"/>
      <x:c r="E757"/>
      <x:c r="F757"/>
      <x:c r="G757"/>
      <x:c r="H757"/>
      <x:c r="I757"/>
      <x:c r="J757"/>
      <x:c r="K757"/>
      <x:c r="L757"/>
      <x:c r="M757"/>
      <x:c r="N757"/>
      <x:c r="O757"/>
      <x:c r="P757"/>
      <x:c r="Q757"/>
      <x:c r="R757"/>
      <x:c r="S757"/>
      <x:c r="T757"/>
      <x:c r="U757"/>
      <x:c r="V757"/>
      <x:c r="W757"/>
      <x:c r="X757"/>
      <x:c r="Y757"/>
      <x:c r="Z757"/>
      <x:c r="AA757"/>
      <x:c r="AB757"/>
      <x:c r="AC757"/>
      <x:c r="AD757"/>
      <x:c r="AE757"/>
      <x:c r="AF757"/>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x:c r="C758"/>
      <x:c r="D758"/>
      <x:c r="E758"/>
      <x:c r="F758"/>
      <x:c r="G758"/>
      <x:c r="H758"/>
      <x:c r="I758"/>
      <x:c r="J758"/>
      <x:c r="K758"/>
      <x:c r="L758"/>
      <x:c r="M758"/>
      <x:c r="N758"/>
      <x:c r="O758"/>
      <x:c r="P758"/>
      <x:c r="Q758"/>
      <x:c r="R758"/>
      <x:c r="S758"/>
      <x:c r="T758"/>
      <x:c r="U758"/>
      <x:c r="V758"/>
      <x:c r="W758"/>
      <x:c r="X758"/>
      <x:c r="Y758"/>
      <x:c r="Z758"/>
      <x:c r="AA758"/>
      <x:c r="AB758"/>
      <x:c r="AC758"/>
      <x:c r="AD758"/>
      <x:c r="AE758"/>
      <x:c r="AF758"/>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x:c r="C759"/>
      <x:c r="D759"/>
      <x:c r="E759"/>
      <x:c r="F759"/>
      <x:c r="G759"/>
      <x:c r="H759"/>
      <x:c r="I759"/>
      <x:c r="J759"/>
      <x:c r="K759"/>
      <x:c r="L759"/>
      <x:c r="M759"/>
      <x:c r="N759"/>
      <x:c r="O759"/>
      <x:c r="P759"/>
      <x:c r="Q759"/>
      <x:c r="R759"/>
      <x:c r="S759"/>
      <x:c r="T759"/>
      <x:c r="U759"/>
      <x:c r="V759"/>
      <x:c r="W759"/>
      <x:c r="X759"/>
      <x:c r="Y759"/>
      <x:c r="Z759"/>
      <x:c r="AA759"/>
      <x:c r="AB759"/>
      <x:c r="AC759"/>
      <x:c r="AD759"/>
      <x:c r="AE759"/>
      <x:c r="AF759"/>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C760"/>
      <x:c r="D760"/>
      <x:c r="E760"/>
      <x:c r="F760"/>
      <x:c r="G760"/>
      <x:c r="H760"/>
      <x:c r="I760"/>
      <x:c r="J760"/>
      <x:c r="K760"/>
      <x:c r="L760"/>
      <x:c r="M760"/>
      <x:c r="N760"/>
      <x:c r="O760"/>
      <x:c r="P760"/>
      <x:c r="Q760"/>
      <x:c r="R760"/>
      <x:c r="S760"/>
      <x:c r="T760"/>
      <x:c r="U760"/>
      <x:c r="V760"/>
      <x:c r="W760"/>
      <x:c r="X760"/>
      <x:c r="Y760"/>
      <x:c r="Z760"/>
      <x:c r="AA760"/>
      <x:c r="AB760"/>
      <x:c r="AC760"/>
      <x:c r="AD760"/>
      <x:c r="AE760"/>
      <x:c r="AF760"/>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x:c r="C761"/>
      <x:c r="D761"/>
      <x:c r="E761"/>
      <x:c r="F761"/>
      <x:c r="G761"/>
      <x:c r="H761"/>
      <x:c r="I761"/>
      <x:c r="J761"/>
      <x:c r="K761"/>
      <x:c r="L761"/>
      <x:c r="M761"/>
      <x:c r="N761"/>
      <x:c r="O761"/>
      <x:c r="P761"/>
      <x:c r="Q761"/>
      <x:c r="R761"/>
      <x:c r="S761"/>
      <x:c r="T761"/>
      <x:c r="U761"/>
      <x:c r="V761"/>
      <x:c r="W761"/>
      <x:c r="X761"/>
      <x:c r="Y761"/>
      <x:c r="Z761"/>
      <x:c r="AA761"/>
      <x:c r="AB761"/>
      <x:c r="AC761"/>
      <x:c r="AD761"/>
      <x:c r="AE761"/>
      <x:c r="AF761"/>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x:c r="C762"/>
      <x:c r="D762"/>
      <x:c r="E762"/>
      <x:c r="F762"/>
      <x:c r="G762"/>
      <x:c r="H762"/>
      <x:c r="I762"/>
      <x:c r="J762"/>
      <x:c r="K762"/>
      <x:c r="L762"/>
      <x:c r="M762"/>
      <x:c r="N762"/>
      <x:c r="O762"/>
      <x:c r="P762"/>
      <x:c r="Q762"/>
      <x:c r="R762"/>
      <x:c r="S762"/>
      <x:c r="T762"/>
      <x:c r="U762"/>
      <x:c r="V762"/>
      <x:c r="W762"/>
      <x:c r="X762"/>
      <x:c r="Y762"/>
      <x:c r="Z762"/>
      <x:c r="AA762"/>
      <x:c r="AB762"/>
      <x:c r="AC762"/>
      <x:c r="AD762"/>
      <x:c r="AE762"/>
      <x:c r="AF762"/>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x:c r="C763"/>
      <x:c r="D763"/>
      <x:c r="E763"/>
      <x:c r="F763"/>
      <x:c r="G763"/>
      <x:c r="H763"/>
      <x:c r="I763"/>
      <x:c r="J763"/>
      <x:c r="K763"/>
      <x:c r="L763"/>
      <x:c r="M763"/>
      <x:c r="N763"/>
      <x:c r="O763"/>
      <x:c r="P763"/>
      <x:c r="Q763"/>
      <x:c r="R763"/>
      <x:c r="S763"/>
      <x:c r="T763"/>
      <x:c r="U763"/>
      <x:c r="V763"/>
      <x:c r="W763"/>
      <x:c r="X763"/>
      <x:c r="Y763"/>
      <x:c r="Z763"/>
      <x:c r="AA763"/>
      <x:c r="AB763"/>
      <x:c r="AC763"/>
      <x:c r="AD763"/>
      <x:c r="AE763"/>
      <x:c r="AF763"/>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x:c r="C764"/>
      <x:c r="D764"/>
      <x:c r="E764"/>
      <x:c r="F764"/>
      <x:c r="G764"/>
      <x:c r="H764"/>
      <x:c r="I764"/>
      <x:c r="J764"/>
      <x:c r="K764"/>
      <x:c r="L764"/>
      <x:c r="M764"/>
      <x:c r="N764"/>
      <x:c r="O764"/>
      <x:c r="P764"/>
      <x:c r="Q764"/>
      <x:c r="R764"/>
      <x:c r="S764"/>
      <x:c r="T764"/>
      <x:c r="U764"/>
      <x:c r="V764"/>
      <x:c r="W764"/>
      <x:c r="X764"/>
      <x:c r="Y764"/>
      <x:c r="Z764"/>
      <x:c r="AA764"/>
      <x:c r="AB764"/>
      <x:c r="AC764"/>
      <x:c r="AD764"/>
      <x:c r="AE764"/>
      <x:c r="AF764"/>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x:c r="C765"/>
      <x:c r="D765"/>
      <x:c r="E765"/>
      <x:c r="F765"/>
      <x:c r="G765"/>
      <x:c r="H765"/>
      <x:c r="I765"/>
      <x:c r="J765"/>
      <x:c r="K765"/>
      <x:c r="L765"/>
      <x:c r="M765"/>
      <x:c r="N765"/>
      <x:c r="O765"/>
      <x:c r="P765"/>
      <x:c r="Q765"/>
      <x:c r="R765"/>
      <x:c r="S765"/>
      <x:c r="T765"/>
      <x:c r="U765"/>
      <x:c r="V765"/>
      <x:c r="W765"/>
      <x:c r="X765"/>
      <x:c r="Y765"/>
      <x:c r="Z765"/>
      <x:c r="AA765"/>
      <x:c r="AB765"/>
      <x:c r="AC765"/>
      <x:c r="AD765"/>
      <x:c r="AE765"/>
      <x:c r="AF765"/>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x:c r="C766"/>
      <x:c r="D766"/>
      <x:c r="E766"/>
      <x:c r="F766"/>
      <x:c r="G766"/>
      <x:c r="H766"/>
      <x:c r="I766"/>
      <x:c r="J766"/>
      <x:c r="K766"/>
      <x:c r="L766"/>
      <x:c r="M766"/>
      <x:c r="N766"/>
      <x:c r="O766"/>
      <x:c r="P766"/>
      <x:c r="Q766"/>
      <x:c r="R766"/>
      <x:c r="S766"/>
      <x:c r="T766"/>
      <x:c r="U766"/>
      <x:c r="V766"/>
      <x:c r="W766"/>
      <x:c r="X766"/>
      <x:c r="Y766"/>
      <x:c r="Z766"/>
      <x:c r="AA766"/>
      <x:c r="AB766"/>
      <x:c r="AC766"/>
      <x:c r="AD766"/>
      <x:c r="AE766"/>
      <x:c r="AF766"/>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x:c r="C767"/>
      <x:c r="D767"/>
      <x:c r="E767"/>
      <x:c r="F767"/>
      <x:c r="G767"/>
      <x:c r="H767"/>
      <x:c r="I767"/>
      <x:c r="J767"/>
      <x:c r="K767"/>
      <x:c r="L767"/>
      <x:c r="M767"/>
      <x:c r="N767"/>
      <x:c r="O767"/>
      <x:c r="P767"/>
      <x:c r="Q767"/>
      <x:c r="R767"/>
      <x:c r="S767"/>
      <x:c r="T767"/>
      <x:c r="U767"/>
      <x:c r="V767"/>
      <x:c r="W767"/>
      <x:c r="X767"/>
      <x:c r="Y767"/>
      <x:c r="Z767"/>
      <x:c r="AA767"/>
      <x:c r="AB767"/>
      <x:c r="AC767"/>
      <x:c r="AD767"/>
      <x:c r="AE767"/>
      <x:c r="AF767"/>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C768"/>
      <x:c r="D768"/>
      <x:c r="E768"/>
      <x:c r="F768"/>
      <x:c r="G768"/>
      <x:c r="H768"/>
      <x:c r="I768"/>
      <x:c r="J768"/>
      <x:c r="K768"/>
      <x:c r="L768"/>
      <x:c r="M768"/>
      <x:c r="N768"/>
      <x:c r="O768"/>
      <x:c r="P768"/>
      <x:c r="Q768"/>
      <x:c r="R768"/>
      <x:c r="S768"/>
      <x:c r="T768"/>
      <x:c r="U768"/>
      <x:c r="V768"/>
      <x:c r="W768"/>
      <x:c r="X768"/>
      <x:c r="Y768"/>
      <x:c r="Z768"/>
      <x:c r="AA768"/>
      <x:c r="AB768"/>
      <x:c r="AC768"/>
      <x:c r="AD768"/>
      <x:c r="AE768"/>
      <x:c r="AF768"/>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x:c r="C769"/>
      <x:c r="D769"/>
      <x:c r="E769"/>
      <x:c r="F769"/>
      <x:c r="G769"/>
      <x:c r="H769"/>
      <x:c r="I769"/>
      <x:c r="J769"/>
      <x:c r="K769"/>
      <x:c r="L769"/>
      <x:c r="M769"/>
      <x:c r="N769"/>
      <x:c r="O769"/>
      <x:c r="P769"/>
      <x:c r="Q769"/>
      <x:c r="R769"/>
      <x:c r="S769"/>
      <x:c r="T769"/>
      <x:c r="U769"/>
      <x:c r="V769"/>
      <x:c r="W769"/>
      <x:c r="X769"/>
      <x:c r="Y769"/>
      <x:c r="Z769"/>
      <x:c r="AA769"/>
      <x:c r="AB769"/>
      <x:c r="AC769"/>
      <x:c r="AD769"/>
      <x:c r="AE769"/>
      <x:c r="AF769"/>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x:c r="C770"/>
      <x:c r="D770"/>
      <x:c r="E770"/>
      <x:c r="F770"/>
      <x:c r="G770"/>
      <x:c r="H770"/>
      <x:c r="I770"/>
      <x:c r="J770"/>
      <x:c r="K770"/>
      <x:c r="L770"/>
      <x:c r="M770"/>
      <x:c r="N770"/>
      <x:c r="O770"/>
      <x:c r="P770"/>
      <x:c r="Q770"/>
      <x:c r="R770"/>
      <x:c r="S770"/>
      <x:c r="T770"/>
      <x:c r="U770"/>
      <x:c r="V770"/>
      <x:c r="W770"/>
      <x:c r="X770"/>
      <x:c r="Y770"/>
      <x:c r="Z770"/>
      <x:c r="AA770"/>
      <x:c r="AB770"/>
      <x:c r="AC770"/>
      <x:c r="AD770"/>
      <x:c r="AE770"/>
      <x:c r="AF770"/>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x:c r="C771"/>
      <x:c r="D771"/>
      <x:c r="E771"/>
      <x:c r="F771"/>
      <x:c r="G771"/>
      <x:c r="H771"/>
      <x:c r="I771"/>
      <x:c r="J771"/>
      <x:c r="K771"/>
      <x:c r="L771"/>
      <x:c r="M771"/>
      <x:c r="N771"/>
      <x:c r="O771"/>
      <x:c r="P771"/>
      <x:c r="Q771"/>
      <x:c r="R771"/>
      <x:c r="S771"/>
      <x:c r="T771"/>
      <x:c r="U771"/>
      <x:c r="V771"/>
      <x:c r="W771"/>
      <x:c r="X771"/>
      <x:c r="Y771"/>
      <x:c r="Z771"/>
      <x:c r="AA771"/>
      <x:c r="AB771"/>
      <x:c r="AC771"/>
      <x:c r="AD771"/>
      <x:c r="AE771"/>
      <x:c r="AF771"/>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x:c r="C772"/>
      <x:c r="D772"/>
      <x:c r="E772"/>
      <x:c r="F772"/>
      <x:c r="G772"/>
      <x:c r="H772"/>
      <x:c r="I772"/>
      <x:c r="J772"/>
      <x:c r="K772"/>
      <x:c r="L772"/>
      <x:c r="M772"/>
      <x:c r="N772"/>
      <x:c r="O772"/>
      <x:c r="P772"/>
      <x:c r="Q772"/>
      <x:c r="R772"/>
      <x:c r="S772"/>
      <x:c r="T772"/>
      <x:c r="U772"/>
      <x:c r="V772"/>
      <x:c r="W772"/>
      <x:c r="X772"/>
      <x:c r="Y772"/>
      <x:c r="Z772"/>
      <x:c r="AA772"/>
      <x:c r="AB772"/>
      <x:c r="AC772"/>
      <x:c r="AD772"/>
      <x:c r="AE772"/>
      <x:c r="AF772"/>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C773"/>
      <x:c r="D773"/>
      <x:c r="E773"/>
      <x:c r="F773"/>
      <x:c r="G773"/>
      <x:c r="H773"/>
      <x:c r="I773"/>
      <x:c r="J773"/>
      <x:c r="K773"/>
      <x:c r="L773"/>
      <x:c r="M773"/>
      <x:c r="N773"/>
      <x:c r="O773"/>
      <x:c r="P773"/>
      <x:c r="Q773"/>
      <x:c r="R773"/>
      <x:c r="S773"/>
      <x:c r="T773"/>
      <x:c r="U773"/>
      <x:c r="V773"/>
      <x:c r="W773"/>
      <x:c r="X773"/>
      <x:c r="Y773"/>
      <x:c r="Z773"/>
      <x:c r="AA773"/>
      <x:c r="AB773"/>
      <x:c r="AC773"/>
      <x:c r="AD773"/>
      <x:c r="AE773"/>
      <x:c r="AF773"/>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x:c r="C774"/>
      <x:c r="D774"/>
      <x:c r="E774"/>
      <x:c r="F774"/>
      <x:c r="G774"/>
      <x:c r="H774"/>
      <x:c r="I774"/>
      <x:c r="J774"/>
      <x:c r="K774"/>
      <x:c r="L774"/>
      <x:c r="M774"/>
      <x:c r="N774"/>
      <x:c r="O774"/>
      <x:c r="P774"/>
      <x:c r="Q774"/>
      <x:c r="R774"/>
      <x:c r="S774"/>
      <x:c r="T774"/>
      <x:c r="U774"/>
      <x:c r="V774"/>
      <x:c r="W774"/>
      <x:c r="X774"/>
      <x:c r="Y774"/>
      <x:c r="Z774"/>
      <x:c r="AA774"/>
      <x:c r="AB774"/>
      <x:c r="AC774"/>
      <x:c r="AD774"/>
      <x:c r="AE774"/>
      <x:c r="AF77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x:c r="C775"/>
      <x:c r="D775"/>
      <x:c r="E775"/>
      <x:c r="F775"/>
      <x:c r="G775"/>
      <x:c r="H775"/>
      <x:c r="I775"/>
      <x:c r="J775"/>
      <x:c r="K775"/>
      <x:c r="L775"/>
      <x:c r="M775"/>
      <x:c r="N775"/>
      <x:c r="O775"/>
      <x:c r="P775"/>
      <x:c r="Q775"/>
      <x:c r="R775"/>
      <x:c r="S775"/>
      <x:c r="T775"/>
      <x:c r="U775"/>
      <x:c r="V775"/>
      <x:c r="W775"/>
      <x:c r="X775"/>
      <x:c r="Y775"/>
      <x:c r="Z775"/>
      <x:c r="AA775"/>
      <x:c r="AB775"/>
      <x:c r="AC775"/>
      <x:c r="AD775"/>
      <x:c r="AE775"/>
      <x:c r="AF775"/>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x:c r="C776"/>
      <x:c r="D776"/>
      <x:c r="E776"/>
      <x:c r="F776"/>
      <x:c r="G776"/>
      <x:c r="H776"/>
      <x:c r="I776"/>
      <x:c r="J776"/>
      <x:c r="K776"/>
      <x:c r="L776"/>
      <x:c r="M776"/>
      <x:c r="N776"/>
      <x:c r="O776"/>
      <x:c r="P776"/>
      <x:c r="Q776"/>
      <x:c r="R776"/>
      <x:c r="S776"/>
      <x:c r="T776"/>
      <x:c r="U776"/>
      <x:c r="V776"/>
      <x:c r="W776"/>
      <x:c r="X776"/>
      <x:c r="Y776"/>
      <x:c r="Z776"/>
      <x:c r="AA776"/>
      <x:c r="AB776"/>
      <x:c r="AC776"/>
      <x:c r="AD776"/>
      <x:c r="AE776"/>
      <x:c r="AF776"/>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C777"/>
      <x:c r="D777"/>
      <x:c r="E777"/>
      <x:c r="F777"/>
      <x:c r="G777"/>
      <x:c r="H777"/>
      <x:c r="I777"/>
      <x:c r="J777"/>
      <x:c r="K777"/>
      <x:c r="L777"/>
      <x:c r="M777"/>
      <x:c r="N777"/>
      <x:c r="O777"/>
      <x:c r="P777"/>
      <x:c r="Q777"/>
      <x:c r="R777"/>
      <x:c r="S777"/>
      <x:c r="T777"/>
      <x:c r="U777"/>
      <x:c r="V777"/>
      <x:c r="W777"/>
      <x:c r="X777"/>
      <x:c r="Y777"/>
      <x:c r="Z777"/>
      <x:c r="AA777"/>
      <x:c r="AB777"/>
      <x:c r="AC777"/>
      <x:c r="AD777"/>
      <x:c r="AE777"/>
      <x:c r="AF777"/>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x:c r="C778"/>
      <x:c r="D778"/>
      <x:c r="E778"/>
      <x:c r="F778"/>
      <x:c r="G778"/>
      <x:c r="H778"/>
      <x:c r="I778"/>
      <x:c r="J778"/>
      <x:c r="K778"/>
      <x:c r="L778"/>
      <x:c r="M778"/>
      <x:c r="N778"/>
      <x:c r="O778"/>
      <x:c r="P778"/>
      <x:c r="Q778"/>
      <x:c r="R778"/>
      <x:c r="S778"/>
      <x:c r="T778"/>
      <x:c r="U778"/>
      <x:c r="V778"/>
      <x:c r="W778"/>
      <x:c r="X778"/>
      <x:c r="Y778"/>
      <x:c r="Z778"/>
      <x:c r="AA778"/>
      <x:c r="AB778"/>
      <x:c r="AC778"/>
      <x:c r="AD778"/>
      <x:c r="AE778"/>
      <x:c r="AF778"/>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x:c r="C779"/>
      <x:c r="D779"/>
      <x:c r="E779"/>
      <x:c r="F779"/>
      <x:c r="G779"/>
      <x:c r="H779"/>
      <x:c r="I779"/>
      <x:c r="J779"/>
      <x:c r="K779"/>
      <x:c r="L779"/>
      <x:c r="M779"/>
      <x:c r="N779"/>
      <x:c r="O779"/>
      <x:c r="P779"/>
      <x:c r="Q779"/>
      <x:c r="R779"/>
      <x:c r="S779"/>
      <x:c r="T779"/>
      <x:c r="U779"/>
      <x:c r="V779"/>
      <x:c r="W779"/>
      <x:c r="X779"/>
      <x:c r="Y779"/>
      <x:c r="Z779"/>
      <x:c r="AA779"/>
      <x:c r="AB779"/>
      <x:c r="AC779"/>
      <x:c r="AD779"/>
      <x:c r="AE779"/>
      <x:c r="AF779"/>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x:c r="C780"/>
      <x:c r="D780"/>
      <x:c r="E780"/>
      <x:c r="F780"/>
      <x:c r="G780"/>
      <x:c r="H780"/>
      <x:c r="I780"/>
      <x:c r="J780"/>
      <x:c r="K780"/>
      <x:c r="L780"/>
      <x:c r="M780"/>
      <x:c r="N780"/>
      <x:c r="O780"/>
      <x:c r="P780"/>
      <x:c r="Q780"/>
      <x:c r="R780"/>
      <x:c r="S780"/>
      <x:c r="T780"/>
      <x:c r="U780"/>
      <x:c r="V780"/>
      <x:c r="W780"/>
      <x:c r="X780"/>
      <x:c r="Y780"/>
      <x:c r="Z780"/>
      <x:c r="AA780"/>
      <x:c r="AB780"/>
      <x:c r="AC780"/>
      <x:c r="AD780"/>
      <x:c r="AE780"/>
      <x:c r="AF780"/>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C781"/>
      <x:c r="D781"/>
      <x:c r="E781"/>
      <x:c r="F781"/>
      <x:c r="G781"/>
      <x:c r="H781"/>
      <x:c r="I781"/>
      <x:c r="J781"/>
      <x:c r="K781"/>
      <x:c r="L781"/>
      <x:c r="M781"/>
      <x:c r="N781"/>
      <x:c r="O781"/>
      <x:c r="P781"/>
      <x:c r="Q781"/>
      <x:c r="R781"/>
      <x:c r="S781"/>
      <x:c r="T781"/>
      <x:c r="U781"/>
      <x:c r="V781"/>
      <x:c r="W781"/>
      <x:c r="X781"/>
      <x:c r="Y781"/>
      <x:c r="Z781"/>
      <x:c r="AA781"/>
      <x:c r="AB781"/>
      <x:c r="AC781"/>
      <x:c r="AD781"/>
      <x:c r="AE781"/>
      <x:c r="AF781"/>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x:c r="C782"/>
      <x:c r="D782"/>
      <x:c r="E782"/>
      <x:c r="F782"/>
      <x:c r="G782"/>
      <x:c r="H782"/>
      <x:c r="I782"/>
      <x:c r="J782"/>
      <x:c r="K782"/>
      <x:c r="L782"/>
      <x:c r="M782"/>
      <x:c r="N782"/>
      <x:c r="O782"/>
      <x:c r="P782"/>
      <x:c r="Q782"/>
      <x:c r="R782"/>
      <x:c r="S782"/>
      <x:c r="T782"/>
      <x:c r="U782"/>
      <x:c r="V782"/>
      <x:c r="W782"/>
      <x:c r="X782"/>
      <x:c r="Y782"/>
      <x:c r="Z782"/>
      <x:c r="AA782"/>
      <x:c r="AB782"/>
      <x:c r="AC782"/>
      <x:c r="AD782"/>
      <x:c r="AE782"/>
      <x:c r="AF782"/>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x:c r="C783"/>
      <x:c r="D783"/>
      <x:c r="E783"/>
      <x:c r="F783"/>
      <x:c r="G783"/>
      <x:c r="H783"/>
      <x:c r="I783"/>
      <x:c r="J783"/>
      <x:c r="K783"/>
      <x:c r="L783"/>
      <x:c r="M783"/>
      <x:c r="N783"/>
      <x:c r="O783"/>
      <x:c r="P783"/>
      <x:c r="Q783"/>
      <x:c r="R783"/>
      <x:c r="S783"/>
      <x:c r="T783"/>
      <x:c r="U783"/>
      <x:c r="V783"/>
      <x:c r="W783"/>
      <x:c r="X783"/>
      <x:c r="Y783"/>
      <x:c r="Z783"/>
      <x:c r="AA783"/>
      <x:c r="AB783"/>
      <x:c r="AC783"/>
      <x:c r="AD783"/>
      <x:c r="AE783"/>
      <x:c r="AF783"/>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x:c r="C784"/>
      <x:c r="D784"/>
      <x:c r="E784"/>
      <x:c r="F784"/>
      <x:c r="G784"/>
      <x:c r="H784"/>
      <x:c r="I784"/>
      <x:c r="J784"/>
      <x:c r="K784"/>
      <x:c r="L784"/>
      <x:c r="M784"/>
      <x:c r="N784"/>
      <x:c r="O784"/>
      <x:c r="P784"/>
      <x:c r="Q784"/>
      <x:c r="R784"/>
      <x:c r="S784"/>
      <x:c r="T784"/>
      <x:c r="U784"/>
      <x:c r="V784"/>
      <x:c r="W784"/>
      <x:c r="X784"/>
      <x:c r="Y784"/>
      <x:c r="Z784"/>
      <x:c r="AA784"/>
      <x:c r="AB784"/>
      <x:c r="AC784"/>
      <x:c r="AD784"/>
      <x:c r="AE784"/>
      <x:c r="AF784"/>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x:c r="C785"/>
      <x:c r="D785"/>
      <x:c r="E785"/>
      <x:c r="F785"/>
      <x:c r="G785"/>
      <x:c r="H785"/>
      <x:c r="I785"/>
      <x:c r="J785"/>
      <x:c r="K785"/>
      <x:c r="L785"/>
      <x:c r="M785"/>
      <x:c r="N785"/>
      <x:c r="O785"/>
      <x:c r="P785"/>
      <x:c r="Q785"/>
      <x:c r="R785"/>
      <x:c r="S785"/>
      <x:c r="T785"/>
      <x:c r="U785"/>
      <x:c r="V785"/>
      <x:c r="W785"/>
      <x:c r="X785"/>
      <x:c r="Y785"/>
      <x:c r="Z785"/>
      <x:c r="AA785"/>
      <x:c r="AB785"/>
      <x:c r="AC785"/>
      <x:c r="AD785"/>
      <x:c r="AE785"/>
      <x:c r="AF785"/>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C786"/>
      <x:c r="D786"/>
      <x:c r="E786"/>
      <x:c r="F786"/>
      <x:c r="G786"/>
      <x:c r="H786"/>
      <x:c r="I786"/>
      <x:c r="J786"/>
      <x:c r="K786"/>
      <x:c r="L786"/>
      <x:c r="M786"/>
      <x:c r="N786"/>
      <x:c r="O786"/>
      <x:c r="P786"/>
      <x:c r="Q786"/>
      <x:c r="R786"/>
      <x:c r="S786"/>
      <x:c r="T786"/>
      <x:c r="U786"/>
      <x:c r="V786"/>
      <x:c r="W786"/>
      <x:c r="X786"/>
      <x:c r="Y786"/>
      <x:c r="Z786"/>
      <x:c r="AA786"/>
      <x:c r="AB786"/>
      <x:c r="AC786"/>
      <x:c r="AD786"/>
      <x:c r="AE786"/>
      <x:c r="AF786"/>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x:c r="C787"/>
      <x:c r="D787"/>
      <x:c r="E787"/>
      <x:c r="F787"/>
      <x:c r="G787"/>
      <x:c r="H787"/>
      <x:c r="I787"/>
      <x:c r="J787"/>
      <x:c r="K787"/>
      <x:c r="L787"/>
      <x:c r="M787"/>
      <x:c r="N787"/>
      <x:c r="O787"/>
      <x:c r="P787"/>
      <x:c r="Q787"/>
      <x:c r="R787"/>
      <x:c r="S787"/>
      <x:c r="T787"/>
      <x:c r="U787"/>
      <x:c r="V787"/>
      <x:c r="W787"/>
      <x:c r="X787"/>
      <x:c r="Y787"/>
      <x:c r="Z787"/>
      <x:c r="AA787"/>
      <x:c r="AB787"/>
      <x:c r="AC787"/>
      <x:c r="AD787"/>
      <x:c r="AE787"/>
      <x:c r="AF787"/>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x:c r="C788"/>
      <x:c r="D788"/>
      <x:c r="E788"/>
      <x:c r="F788"/>
      <x:c r="G788"/>
      <x:c r="H788"/>
      <x:c r="I788"/>
      <x:c r="J788"/>
      <x:c r="K788"/>
      <x:c r="L788"/>
      <x:c r="M788"/>
      <x:c r="N788"/>
      <x:c r="O788"/>
      <x:c r="P788"/>
      <x:c r="Q788"/>
      <x:c r="R788"/>
      <x:c r="S788"/>
      <x:c r="T788"/>
      <x:c r="U788"/>
      <x:c r="V788"/>
      <x:c r="W788"/>
      <x:c r="X788"/>
      <x:c r="Y788"/>
      <x:c r="Z788"/>
      <x:c r="AA788"/>
      <x:c r="AB788"/>
      <x:c r="AC788"/>
      <x:c r="AD788"/>
      <x:c r="AE788"/>
      <x:c r="AF788"/>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x:c r="C789"/>
      <x:c r="D789"/>
      <x:c r="E789"/>
      <x:c r="F789"/>
      <x:c r="G789"/>
      <x:c r="H789"/>
      <x:c r="I789"/>
      <x:c r="J789"/>
      <x:c r="K789"/>
      <x:c r="L789"/>
      <x:c r="M789"/>
      <x:c r="N789"/>
      <x:c r="O789"/>
      <x:c r="P789"/>
      <x:c r="Q789"/>
      <x:c r="R789"/>
      <x:c r="S789"/>
      <x:c r="T789"/>
      <x:c r="U789"/>
      <x:c r="V789"/>
      <x:c r="W789"/>
      <x:c r="X789"/>
      <x:c r="Y789"/>
      <x:c r="Z789"/>
      <x:c r="AA789"/>
      <x:c r="AB789"/>
      <x:c r="AC789"/>
      <x:c r="AD789"/>
      <x:c r="AE789"/>
      <x:c r="AF789"/>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x:c r="C790"/>
      <x:c r="D790"/>
      <x:c r="E790"/>
      <x:c r="F790"/>
      <x:c r="G790"/>
      <x:c r="H790"/>
      <x:c r="I790"/>
      <x:c r="J790"/>
      <x:c r="K790"/>
      <x:c r="L790"/>
      <x:c r="M790"/>
      <x:c r="N790"/>
      <x:c r="O790"/>
      <x:c r="P790"/>
      <x:c r="Q790"/>
      <x:c r="R790"/>
      <x:c r="S790"/>
      <x:c r="T790"/>
      <x:c r="U790"/>
      <x:c r="V790"/>
      <x:c r="W790"/>
      <x:c r="X790"/>
      <x:c r="Y790"/>
      <x:c r="Z790"/>
      <x:c r="AA790"/>
      <x:c r="AB790"/>
      <x:c r="AC790"/>
      <x:c r="AD790"/>
      <x:c r="AE790"/>
      <x:c r="AF790"/>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x:c r="C791"/>
      <x:c r="D791"/>
      <x:c r="E791"/>
      <x:c r="F791"/>
      <x:c r="G791"/>
      <x:c r="H791"/>
      <x:c r="I791"/>
      <x:c r="J791"/>
      <x:c r="K791"/>
      <x:c r="L791"/>
      <x:c r="M791"/>
      <x:c r="N791"/>
      <x:c r="O791"/>
      <x:c r="P791"/>
      <x:c r="Q791"/>
      <x:c r="R791"/>
      <x:c r="S791"/>
      <x:c r="T791"/>
      <x:c r="U791"/>
      <x:c r="V791"/>
      <x:c r="W791"/>
      <x:c r="X791"/>
      <x:c r="Y791"/>
      <x:c r="Z791"/>
      <x:c r="AA791"/>
      <x:c r="AB791"/>
      <x:c r="AC791"/>
      <x:c r="AD791"/>
      <x:c r="AE791"/>
      <x:c r="AF791"/>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x:c r="C792"/>
      <x:c r="D792"/>
      <x:c r="E792"/>
      <x:c r="F792"/>
      <x:c r="G792"/>
      <x:c r="H792"/>
      <x:c r="I792"/>
      <x:c r="J792"/>
      <x:c r="K792"/>
      <x:c r="L792"/>
      <x:c r="M792"/>
      <x:c r="N792"/>
      <x:c r="O792"/>
      <x:c r="P792"/>
      <x:c r="Q792"/>
      <x:c r="R792"/>
      <x:c r="S792"/>
      <x:c r="T792"/>
      <x:c r="U792"/>
      <x:c r="V792"/>
      <x:c r="W792"/>
      <x:c r="X792"/>
      <x:c r="Y792"/>
      <x:c r="Z792"/>
      <x:c r="AA792"/>
      <x:c r="AB792"/>
      <x:c r="AC792"/>
      <x:c r="AD792"/>
      <x:c r="AE792"/>
      <x:c r="AF792"/>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x:c r="C793"/>
      <x:c r="D793"/>
      <x:c r="E793"/>
      <x:c r="F793"/>
      <x:c r="G793"/>
      <x:c r="H793"/>
      <x:c r="I793"/>
      <x:c r="J793"/>
      <x:c r="K793"/>
      <x:c r="L793"/>
      <x:c r="M793"/>
      <x:c r="N793"/>
      <x:c r="O793"/>
      <x:c r="P793"/>
      <x:c r="Q793"/>
      <x:c r="R793"/>
      <x:c r="S793"/>
      <x:c r="T793"/>
      <x:c r="U793"/>
      <x:c r="V793"/>
      <x:c r="W793"/>
      <x:c r="X793"/>
      <x:c r="Y793"/>
      <x:c r="Z793"/>
      <x:c r="AA793"/>
      <x:c r="AB793"/>
      <x:c r="AC793"/>
      <x:c r="AD793"/>
      <x:c r="AE793"/>
      <x:c r="AF793"/>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x:c r="C794"/>
      <x:c r="D794"/>
      <x:c r="E794"/>
      <x:c r="F794"/>
      <x:c r="G794"/>
      <x:c r="H794"/>
      <x:c r="I794"/>
      <x:c r="J794"/>
      <x:c r="K794"/>
      <x:c r="L794"/>
      <x:c r="M794"/>
      <x:c r="N794"/>
      <x:c r="O794"/>
      <x:c r="P794"/>
      <x:c r="Q794"/>
      <x:c r="R794"/>
      <x:c r="S794"/>
      <x:c r="T794"/>
      <x:c r="U794"/>
      <x:c r="V794"/>
      <x:c r="W794"/>
      <x:c r="X794"/>
      <x:c r="Y794"/>
      <x:c r="Z794"/>
      <x:c r="AA794"/>
      <x:c r="AB794"/>
      <x:c r="AC794"/>
      <x:c r="AD794"/>
      <x:c r="AE794"/>
      <x:c r="AF794"/>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x:c r="C795"/>
      <x:c r="D795"/>
      <x:c r="E795"/>
      <x:c r="F795"/>
      <x:c r="G795"/>
      <x:c r="H795"/>
      <x:c r="I795"/>
      <x:c r="J795"/>
      <x:c r="K795"/>
      <x:c r="L795"/>
      <x:c r="M795"/>
      <x:c r="N795"/>
      <x:c r="O795"/>
      <x:c r="P795"/>
      <x:c r="Q795"/>
      <x:c r="R795"/>
      <x:c r="S795"/>
      <x:c r="T795"/>
      <x:c r="U795"/>
      <x:c r="V795"/>
      <x:c r="W795"/>
      <x:c r="X795"/>
      <x:c r="Y795"/>
      <x:c r="Z795"/>
      <x:c r="AA795"/>
      <x:c r="AB795"/>
      <x:c r="AC795"/>
      <x:c r="AD795"/>
      <x:c r="AE795"/>
      <x:c r="AF795"/>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x:c r="C796"/>
      <x:c r="D796"/>
      <x:c r="E796"/>
      <x:c r="F796"/>
      <x:c r="G796"/>
      <x:c r="H796"/>
      <x:c r="I796"/>
      <x:c r="J796"/>
      <x:c r="K796"/>
      <x:c r="L796"/>
      <x:c r="M796"/>
      <x:c r="N796"/>
      <x:c r="O796"/>
      <x:c r="P796"/>
      <x:c r="Q796"/>
      <x:c r="R796"/>
      <x:c r="S796"/>
      <x:c r="T796"/>
      <x:c r="U796"/>
      <x:c r="V796"/>
      <x:c r="W796"/>
      <x:c r="X796"/>
      <x:c r="Y796"/>
      <x:c r="Z796"/>
      <x:c r="AA796"/>
      <x:c r="AB796"/>
      <x:c r="AC796"/>
      <x:c r="AD796"/>
      <x:c r="AE796"/>
      <x:c r="AF796"/>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x:c r="C797"/>
      <x:c r="D797"/>
      <x:c r="E797"/>
      <x:c r="F797"/>
      <x:c r="G797"/>
      <x:c r="H797"/>
      <x:c r="I797"/>
      <x:c r="J797"/>
      <x:c r="K797"/>
      <x:c r="L797"/>
      <x:c r="M797"/>
      <x:c r="N797"/>
      <x:c r="O797"/>
      <x:c r="P797"/>
      <x:c r="Q797"/>
      <x:c r="R797"/>
      <x:c r="S797"/>
      <x:c r="T797"/>
      <x:c r="U797"/>
      <x:c r="V797"/>
      <x:c r="W797"/>
      <x:c r="X797"/>
      <x:c r="Y797"/>
      <x:c r="Z797"/>
      <x:c r="AA797"/>
      <x:c r="AB797"/>
      <x:c r="AC797"/>
      <x:c r="AD797"/>
      <x:c r="AE797"/>
      <x:c r="AF797"/>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C798"/>
      <x:c r="D798"/>
      <x:c r="E798"/>
      <x:c r="F798"/>
      <x:c r="G798"/>
      <x:c r="H798"/>
      <x:c r="I798"/>
      <x:c r="J798"/>
      <x:c r="K798"/>
      <x:c r="L798"/>
      <x:c r="M798"/>
      <x:c r="N798"/>
      <x:c r="O798"/>
      <x:c r="P798"/>
      <x:c r="Q798"/>
      <x:c r="R798"/>
      <x:c r="S798"/>
      <x:c r="T798"/>
      <x:c r="U798"/>
      <x:c r="V798"/>
      <x:c r="W798"/>
      <x:c r="X798"/>
      <x:c r="Y798"/>
      <x:c r="Z798"/>
      <x:c r="AA798"/>
      <x:c r="AB798"/>
      <x:c r="AC798"/>
      <x:c r="AD798"/>
      <x:c r="AE798"/>
      <x:c r="AF798"/>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x:c r="C799"/>
      <x:c r="D799"/>
      <x:c r="E799"/>
      <x:c r="F799"/>
      <x:c r="G799"/>
      <x:c r="H799"/>
      <x:c r="I799"/>
      <x:c r="J799"/>
      <x:c r="K799"/>
      <x:c r="L799"/>
      <x:c r="M799"/>
      <x:c r="N799"/>
      <x:c r="O799"/>
      <x:c r="P799"/>
      <x:c r="Q799"/>
      <x:c r="R799"/>
      <x:c r="S799"/>
      <x:c r="T799"/>
      <x:c r="U799"/>
      <x:c r="V799"/>
      <x:c r="W799"/>
      <x:c r="X799"/>
      <x:c r="Y799"/>
      <x:c r="Z799"/>
      <x:c r="AA799"/>
      <x:c r="AB799"/>
      <x:c r="AC799"/>
      <x:c r="AD799"/>
      <x:c r="AE799"/>
      <x:c r="AF799"/>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x:c r="C800"/>
      <x:c r="D800"/>
      <x:c r="E800"/>
      <x:c r="F800"/>
      <x:c r="G800"/>
      <x:c r="H800"/>
      <x:c r="I800"/>
      <x:c r="J800"/>
      <x:c r="K800"/>
      <x:c r="L800"/>
      <x:c r="M800"/>
      <x:c r="N800"/>
      <x:c r="O800"/>
      <x:c r="P800"/>
      <x:c r="Q800"/>
      <x:c r="R800"/>
      <x:c r="S800"/>
      <x:c r="T800"/>
      <x:c r="U800"/>
      <x:c r="V800"/>
      <x:c r="W800"/>
      <x:c r="X800"/>
      <x:c r="Y800"/>
      <x:c r="Z800"/>
      <x:c r="AA800"/>
      <x:c r="AB800"/>
      <x:c r="AC800"/>
      <x:c r="AD800"/>
      <x:c r="AE800"/>
      <x:c r="AF800"/>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x:c r="C801"/>
      <x:c r="D801"/>
      <x:c r="E801"/>
      <x:c r="F801"/>
      <x:c r="G801"/>
      <x:c r="H801"/>
      <x:c r="I801"/>
      <x:c r="J801"/>
      <x:c r="K801"/>
      <x:c r="L801"/>
      <x:c r="M801"/>
      <x:c r="N801"/>
      <x:c r="O801"/>
      <x:c r="P801"/>
      <x:c r="Q801"/>
      <x:c r="R801"/>
      <x:c r="S801"/>
      <x:c r="T801"/>
      <x:c r="U801"/>
      <x:c r="V801"/>
      <x:c r="W801"/>
      <x:c r="X801"/>
      <x:c r="Y801"/>
      <x:c r="Z801"/>
      <x:c r="AA801"/>
      <x:c r="AB801"/>
      <x:c r="AC801"/>
      <x:c r="AD801"/>
      <x:c r="AE801"/>
      <x:c r="AF801"/>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x:c r="C802"/>
      <x:c r="D802"/>
      <x:c r="E802"/>
      <x:c r="F802"/>
      <x:c r="G802"/>
      <x:c r="H802"/>
      <x:c r="I802"/>
      <x:c r="J802"/>
      <x:c r="K802"/>
      <x:c r="L802"/>
      <x:c r="M802"/>
      <x:c r="N802"/>
      <x:c r="O802"/>
      <x:c r="P802"/>
      <x:c r="Q802"/>
      <x:c r="R802"/>
      <x:c r="S802"/>
      <x:c r="T802"/>
      <x:c r="U802"/>
      <x:c r="V802"/>
      <x:c r="W802"/>
      <x:c r="X802"/>
      <x:c r="Y802"/>
      <x:c r="Z802"/>
      <x:c r="AA802"/>
      <x:c r="AB802"/>
      <x:c r="AC802"/>
      <x:c r="AD802"/>
      <x:c r="AE802"/>
      <x:c r="AF802"/>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x:c r="C803"/>
      <x:c r="D803"/>
      <x:c r="E803"/>
      <x:c r="F803"/>
      <x:c r="G803"/>
      <x:c r="H803"/>
      <x:c r="I803"/>
      <x:c r="J803"/>
      <x:c r="K803"/>
      <x:c r="L803"/>
      <x:c r="M803"/>
      <x:c r="N803"/>
      <x:c r="O803"/>
      <x:c r="P803"/>
      <x:c r="Q803"/>
      <x:c r="R803"/>
      <x:c r="S803"/>
      <x:c r="T803"/>
      <x:c r="U803"/>
      <x:c r="V803"/>
      <x:c r="W803"/>
      <x:c r="X803"/>
      <x:c r="Y803"/>
      <x:c r="Z803"/>
      <x:c r="AA803"/>
      <x:c r="AB803"/>
      <x:c r="AC803"/>
      <x:c r="AD803"/>
      <x:c r="AE803"/>
      <x:c r="AF803"/>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x:c r="C804"/>
      <x:c r="D804"/>
      <x:c r="E804"/>
      <x:c r="F804"/>
      <x:c r="G804"/>
      <x:c r="H804"/>
      <x:c r="I804"/>
      <x:c r="J804"/>
      <x:c r="K804"/>
      <x:c r="L804"/>
      <x:c r="M804"/>
      <x:c r="N804"/>
      <x:c r="O804"/>
      <x:c r="P804"/>
      <x:c r="Q804"/>
      <x:c r="R804"/>
      <x:c r="S804"/>
      <x:c r="T804"/>
      <x:c r="U804"/>
      <x:c r="V804"/>
      <x:c r="W804"/>
      <x:c r="X804"/>
      <x:c r="Y804"/>
      <x:c r="Z804"/>
      <x:c r="AA804"/>
      <x:c r="AB804"/>
      <x:c r="AC804"/>
      <x:c r="AD804"/>
      <x:c r="AE804"/>
      <x:c r="AF804"/>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C805"/>
      <x:c r="D805"/>
      <x:c r="E805"/>
      <x:c r="F805"/>
      <x:c r="G805"/>
      <x:c r="H805"/>
      <x:c r="I805"/>
      <x:c r="J805"/>
      <x:c r="K805"/>
      <x:c r="L805"/>
      <x:c r="M805"/>
      <x:c r="N805"/>
      <x:c r="O805"/>
      <x:c r="P805"/>
      <x:c r="Q805"/>
      <x:c r="R805"/>
      <x:c r="S805"/>
      <x:c r="T805"/>
      <x:c r="U805"/>
      <x:c r="V805"/>
      <x:c r="W805"/>
      <x:c r="X805"/>
      <x:c r="Y805"/>
      <x:c r="Z805"/>
      <x:c r="AA805"/>
      <x:c r="AB805"/>
      <x:c r="AC805"/>
      <x:c r="AD805"/>
      <x:c r="AE805"/>
      <x:c r="AF805"/>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x:c r="C806"/>
      <x:c r="D806"/>
      <x:c r="E806"/>
      <x:c r="F806"/>
      <x:c r="G806"/>
      <x:c r="H806"/>
      <x:c r="I806"/>
      <x:c r="J806"/>
      <x:c r="K806"/>
      <x:c r="L806"/>
      <x:c r="M806"/>
      <x:c r="N806"/>
      <x:c r="O806"/>
      <x:c r="P806"/>
      <x:c r="Q806"/>
      <x:c r="R806"/>
      <x:c r="S806"/>
      <x:c r="T806"/>
      <x:c r="U806"/>
      <x:c r="V806"/>
      <x:c r="W806"/>
      <x:c r="X806"/>
      <x:c r="Y806"/>
      <x:c r="Z806"/>
      <x:c r="AA806"/>
      <x:c r="AB806"/>
      <x:c r="AC806"/>
      <x:c r="AD806"/>
      <x:c r="AE806"/>
      <x:c r="AF806"/>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x:c r="C807"/>
      <x:c r="D807"/>
      <x:c r="E807"/>
      <x:c r="F807"/>
      <x:c r="G807"/>
      <x:c r="H807"/>
      <x:c r="I807"/>
      <x:c r="J807"/>
      <x:c r="K807"/>
      <x:c r="L807"/>
      <x:c r="M807"/>
      <x:c r="N807"/>
      <x:c r="O807"/>
      <x:c r="P807"/>
      <x:c r="Q807"/>
      <x:c r="R807"/>
      <x:c r="S807"/>
      <x:c r="T807"/>
      <x:c r="U807"/>
      <x:c r="V807"/>
      <x:c r="W807"/>
      <x:c r="X807"/>
      <x:c r="Y807"/>
      <x:c r="Z807"/>
      <x:c r="AA807"/>
      <x:c r="AB807"/>
      <x:c r="AC807"/>
      <x:c r="AD807"/>
      <x:c r="AE807"/>
      <x:c r="AF807"/>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x:c r="C808"/>
      <x:c r="D808"/>
      <x:c r="E808"/>
      <x:c r="F808"/>
      <x:c r="G808"/>
      <x:c r="H808"/>
      <x:c r="I808"/>
      <x:c r="J808"/>
      <x:c r="K808"/>
      <x:c r="L808"/>
      <x:c r="M808"/>
      <x:c r="N808"/>
      <x:c r="O808"/>
      <x:c r="P808"/>
      <x:c r="Q808"/>
      <x:c r="R808"/>
      <x:c r="S808"/>
      <x:c r="T808"/>
      <x:c r="U808"/>
      <x:c r="V808"/>
      <x:c r="W808"/>
      <x:c r="X808"/>
      <x:c r="Y808"/>
      <x:c r="Z808"/>
      <x:c r="AA808"/>
      <x:c r="AB808"/>
      <x:c r="AC808"/>
      <x:c r="AD808"/>
      <x:c r="AE808"/>
      <x:c r="AF808"/>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x:c r="C809"/>
      <x:c r="D809"/>
      <x:c r="E809"/>
      <x:c r="F809"/>
      <x:c r="G809"/>
      <x:c r="H809"/>
      <x:c r="I809"/>
      <x:c r="J809"/>
      <x:c r="K809"/>
      <x:c r="L809"/>
      <x:c r="M809"/>
      <x:c r="N809"/>
      <x:c r="O809"/>
      <x:c r="P809"/>
      <x:c r="Q809"/>
      <x:c r="R809"/>
      <x:c r="S809"/>
      <x:c r="T809"/>
      <x:c r="U809"/>
      <x:c r="V809"/>
      <x:c r="W809"/>
      <x:c r="X809"/>
      <x:c r="Y809"/>
      <x:c r="Z809"/>
      <x:c r="AA809"/>
      <x:c r="AB809"/>
      <x:c r="AC809"/>
      <x:c r="AD809"/>
      <x:c r="AE809"/>
      <x:c r="AF809"/>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C810"/>
      <x:c r="D810"/>
      <x:c r="E810"/>
      <x:c r="F810"/>
      <x:c r="G810"/>
      <x:c r="H810"/>
      <x:c r="I810"/>
      <x:c r="J810"/>
      <x:c r="K810"/>
      <x:c r="L810"/>
      <x:c r="M810"/>
      <x:c r="N810"/>
      <x:c r="O810"/>
      <x:c r="P810"/>
      <x:c r="Q810"/>
      <x:c r="R810"/>
      <x:c r="S810"/>
      <x:c r="T810"/>
      <x:c r="U810"/>
      <x:c r="V810"/>
      <x:c r="W810"/>
      <x:c r="X810"/>
      <x:c r="Y810"/>
      <x:c r="Z810"/>
      <x:c r="AA810"/>
      <x:c r="AB810"/>
      <x:c r="AC810"/>
      <x:c r="AD810"/>
      <x:c r="AE810"/>
      <x:c r="AF810"/>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x:c r="C811"/>
      <x:c r="D811"/>
      <x:c r="E811"/>
      <x:c r="F811"/>
      <x:c r="G811"/>
      <x:c r="H811"/>
      <x:c r="I811"/>
      <x:c r="J811"/>
      <x:c r="K811"/>
      <x:c r="L811"/>
      <x:c r="M811"/>
      <x:c r="N811"/>
      <x:c r="O811"/>
      <x:c r="P811"/>
      <x:c r="Q811"/>
      <x:c r="R811"/>
      <x:c r="S811"/>
      <x:c r="T811"/>
      <x:c r="U811"/>
      <x:c r="V811"/>
      <x:c r="W811"/>
      <x:c r="X811"/>
      <x:c r="Y811"/>
      <x:c r="Z811"/>
      <x:c r="AA811"/>
      <x:c r="AB811"/>
      <x:c r="AC811"/>
      <x:c r="AD811"/>
      <x:c r="AE811"/>
      <x:c r="AF811"/>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x:c r="C812"/>
      <x:c r="D812"/>
      <x:c r="E812"/>
      <x:c r="F812"/>
      <x:c r="G812"/>
      <x:c r="H812"/>
      <x:c r="I812"/>
      <x:c r="J812"/>
      <x:c r="K812"/>
      <x:c r="L812"/>
      <x:c r="M812"/>
      <x:c r="N812"/>
      <x:c r="O812"/>
      <x:c r="P812"/>
      <x:c r="Q812"/>
      <x:c r="R812"/>
      <x:c r="S812"/>
      <x:c r="T812"/>
      <x:c r="U812"/>
      <x:c r="V812"/>
      <x:c r="W812"/>
      <x:c r="X812"/>
      <x:c r="Y812"/>
      <x:c r="Z812"/>
      <x:c r="AA812"/>
      <x:c r="AB812"/>
      <x:c r="AC812"/>
      <x:c r="AD812"/>
      <x:c r="AE812"/>
      <x:c r="AF812"/>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C813"/>
      <x:c r="D813"/>
      <x:c r="E813"/>
      <x:c r="F813"/>
      <x:c r="G813"/>
      <x:c r="H813"/>
      <x:c r="I813"/>
      <x:c r="J813"/>
      <x:c r="K813"/>
      <x:c r="L813"/>
      <x:c r="M813"/>
      <x:c r="N813"/>
      <x:c r="O813"/>
      <x:c r="P813"/>
      <x:c r="Q813"/>
      <x:c r="R813"/>
      <x:c r="S813"/>
      <x:c r="T813"/>
      <x:c r="U813"/>
      <x:c r="V813"/>
      <x:c r="W813"/>
      <x:c r="X813"/>
      <x:c r="Y813"/>
      <x:c r="Z813"/>
      <x:c r="AA813"/>
      <x:c r="AB813"/>
      <x:c r="AC813"/>
      <x:c r="AD813"/>
      <x:c r="AE813"/>
      <x:c r="AF813"/>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x:c r="C814"/>
      <x:c r="D814"/>
      <x:c r="E814"/>
      <x:c r="F814"/>
      <x:c r="G814"/>
      <x:c r="H814"/>
      <x:c r="I814"/>
      <x:c r="J814"/>
      <x:c r="K814"/>
      <x:c r="L814"/>
      <x:c r="M814"/>
      <x:c r="N814"/>
      <x:c r="O814"/>
      <x:c r="P814"/>
      <x:c r="Q814"/>
      <x:c r="R814"/>
      <x:c r="S814"/>
      <x:c r="T814"/>
      <x:c r="U814"/>
      <x:c r="V814"/>
      <x:c r="W814"/>
      <x:c r="X814"/>
      <x:c r="Y814"/>
      <x:c r="Z814"/>
      <x:c r="AA814"/>
      <x:c r="AB814"/>
      <x:c r="AC814"/>
      <x:c r="AD814"/>
      <x:c r="AE814"/>
      <x:c r="AF81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x:c r="C815"/>
      <x:c r="D815"/>
      <x:c r="E815"/>
      <x:c r="F815"/>
      <x:c r="G815"/>
      <x:c r="H815"/>
      <x:c r="I815"/>
      <x:c r="J815"/>
      <x:c r="K815"/>
      <x:c r="L815"/>
      <x:c r="M815"/>
      <x:c r="N815"/>
      <x:c r="O815"/>
      <x:c r="P815"/>
      <x:c r="Q815"/>
      <x:c r="R815"/>
      <x:c r="S815"/>
      <x:c r="T815"/>
      <x:c r="U815"/>
      <x:c r="V815"/>
      <x:c r="W815"/>
      <x:c r="X815"/>
      <x:c r="Y815"/>
      <x:c r="Z815"/>
      <x:c r="AA815"/>
      <x:c r="AB815"/>
      <x:c r="AC815"/>
      <x:c r="AD815"/>
      <x:c r="AE815"/>
      <x:c r="AF815"/>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x:c r="C816"/>
      <x:c r="D816"/>
      <x:c r="E816"/>
      <x:c r="F816"/>
      <x:c r="G816"/>
      <x:c r="H816"/>
      <x:c r="I816"/>
      <x:c r="J816"/>
      <x:c r="K816"/>
      <x:c r="L816"/>
      <x:c r="M816"/>
      <x:c r="N816"/>
      <x:c r="O816"/>
      <x:c r="P816"/>
      <x:c r="Q816"/>
      <x:c r="R816"/>
      <x:c r="S816"/>
      <x:c r="T816"/>
      <x:c r="U816"/>
      <x:c r="V816"/>
      <x:c r="W816"/>
      <x:c r="X816"/>
      <x:c r="Y816"/>
      <x:c r="Z816"/>
      <x:c r="AA816"/>
      <x:c r="AB816"/>
      <x:c r="AC816"/>
      <x:c r="AD816"/>
      <x:c r="AE816"/>
      <x:c r="AF816"/>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x:c r="C817"/>
      <x:c r="D817"/>
      <x:c r="E817"/>
      <x:c r="F817"/>
      <x:c r="G817"/>
      <x:c r="H817"/>
      <x:c r="I817"/>
      <x:c r="J817"/>
      <x:c r="K817"/>
      <x:c r="L817"/>
      <x:c r="M817"/>
      <x:c r="N817"/>
      <x:c r="O817"/>
      <x:c r="P817"/>
      <x:c r="Q817"/>
      <x:c r="R817"/>
      <x:c r="S817"/>
      <x:c r="T817"/>
      <x:c r="U817"/>
      <x:c r="V817"/>
      <x:c r="W817"/>
      <x:c r="X817"/>
      <x:c r="Y817"/>
      <x:c r="Z817"/>
      <x:c r="AA817"/>
      <x:c r="AB817"/>
      <x:c r="AC817"/>
      <x:c r="AD817"/>
      <x:c r="AE817"/>
      <x:c r="AF817"/>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x:c r="C818"/>
      <x:c r="D818"/>
      <x:c r="E818"/>
      <x:c r="F818"/>
      <x:c r="G818"/>
      <x:c r="H818"/>
      <x:c r="I818"/>
      <x:c r="J818"/>
      <x:c r="K818"/>
      <x:c r="L818"/>
      <x:c r="M818"/>
      <x:c r="N818"/>
      <x:c r="O818"/>
      <x:c r="P818"/>
      <x:c r="Q818"/>
      <x:c r="R818"/>
      <x:c r="S818"/>
      <x:c r="T818"/>
      <x:c r="U818"/>
      <x:c r="V818"/>
      <x:c r="W818"/>
      <x:c r="X818"/>
      <x:c r="Y818"/>
      <x:c r="Z818"/>
      <x:c r="AA818"/>
      <x:c r="AB818"/>
      <x:c r="AC818"/>
      <x:c r="AD818"/>
      <x:c r="AE818"/>
      <x:c r="AF818"/>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x:c r="C819"/>
      <x:c r="D819"/>
      <x:c r="E819"/>
      <x:c r="F819"/>
      <x:c r="G819"/>
      <x:c r="H819"/>
      <x:c r="I819"/>
      <x:c r="J819"/>
      <x:c r="K819"/>
      <x:c r="L819"/>
      <x:c r="M819"/>
      <x:c r="N819"/>
      <x:c r="O819"/>
      <x:c r="P819"/>
      <x:c r="Q819"/>
      <x:c r="R819"/>
      <x:c r="S819"/>
      <x:c r="T819"/>
      <x:c r="U819"/>
      <x:c r="V819"/>
      <x:c r="W819"/>
      <x:c r="X819"/>
      <x:c r="Y819"/>
      <x:c r="Z819"/>
      <x:c r="AA819"/>
      <x:c r="AB819"/>
      <x:c r="AC819"/>
      <x:c r="AD819"/>
      <x:c r="AE819"/>
      <x:c r="AF819"/>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x:c r="C820"/>
      <x:c r="D820"/>
      <x:c r="E820"/>
      <x:c r="F820"/>
      <x:c r="G820"/>
      <x:c r="H820"/>
      <x:c r="I820"/>
      <x:c r="J820"/>
      <x:c r="K820"/>
      <x:c r="L820"/>
      <x:c r="M820"/>
      <x:c r="N820"/>
      <x:c r="O820"/>
      <x:c r="P820"/>
      <x:c r="Q820"/>
      <x:c r="R820"/>
      <x:c r="S820"/>
      <x:c r="T820"/>
      <x:c r="U820"/>
      <x:c r="V820"/>
      <x:c r="W820"/>
      <x:c r="X820"/>
      <x:c r="Y820"/>
      <x:c r="Z820"/>
      <x:c r="AA820"/>
      <x:c r="AB820"/>
      <x:c r="AC820"/>
      <x:c r="AD820"/>
      <x:c r="AE820"/>
      <x:c r="AF820"/>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x:c r="C821"/>
      <x:c r="D821"/>
      <x:c r="E821"/>
      <x:c r="F821"/>
      <x:c r="G821"/>
      <x:c r="H821"/>
      <x:c r="I821"/>
      <x:c r="J821"/>
      <x:c r="K821"/>
      <x:c r="L821"/>
      <x:c r="M821"/>
      <x:c r="N821"/>
      <x:c r="O821"/>
      <x:c r="P821"/>
      <x:c r="Q821"/>
      <x:c r="R821"/>
      <x:c r="S821"/>
      <x:c r="T821"/>
      <x:c r="U821"/>
      <x:c r="V821"/>
      <x:c r="W821"/>
      <x:c r="X821"/>
      <x:c r="Y821"/>
      <x:c r="Z821"/>
      <x:c r="AA821"/>
      <x:c r="AB821"/>
      <x:c r="AC821"/>
      <x:c r="AD821"/>
      <x:c r="AE821"/>
      <x:c r="AF821"/>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x:c r="C822"/>
      <x:c r="D822"/>
      <x:c r="E822"/>
      <x:c r="F822"/>
      <x:c r="G822"/>
      <x:c r="H822"/>
      <x:c r="I822"/>
      <x:c r="J822"/>
      <x:c r="K822"/>
      <x:c r="L822"/>
      <x:c r="M822"/>
      <x:c r="N822"/>
      <x:c r="O822"/>
      <x:c r="P822"/>
      <x:c r="Q822"/>
      <x:c r="R822"/>
      <x:c r="S822"/>
      <x:c r="T822"/>
      <x:c r="U822"/>
      <x:c r="V822"/>
      <x:c r="W822"/>
      <x:c r="X822"/>
      <x:c r="Y822"/>
      <x:c r="Z822"/>
      <x:c r="AA822"/>
      <x:c r="AB822"/>
      <x:c r="AC822"/>
      <x:c r="AD822"/>
      <x:c r="AE822"/>
      <x:c r="AF822"/>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x:c r="C823"/>
      <x:c r="D823"/>
      <x:c r="E823"/>
      <x:c r="F823"/>
      <x:c r="G823"/>
      <x:c r="H823"/>
      <x:c r="I823"/>
      <x:c r="J823"/>
      <x:c r="K823"/>
      <x:c r="L823"/>
      <x:c r="M823"/>
      <x:c r="N823"/>
      <x:c r="O823"/>
      <x:c r="P823"/>
      <x:c r="Q823"/>
      <x:c r="R823"/>
      <x:c r="S823"/>
      <x:c r="T823"/>
      <x:c r="U823"/>
      <x:c r="V823"/>
      <x:c r="W823"/>
      <x:c r="X823"/>
      <x:c r="Y823"/>
      <x:c r="Z823"/>
      <x:c r="AA823"/>
      <x:c r="AB823"/>
      <x:c r="AC823"/>
      <x:c r="AD823"/>
      <x:c r="AE823"/>
      <x:c r="AF823"/>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x:c r="C824"/>
      <x:c r="D824"/>
      <x:c r="E824"/>
      <x:c r="F824"/>
      <x:c r="G824"/>
      <x:c r="H824"/>
      <x:c r="I824"/>
      <x:c r="J824"/>
      <x:c r="K824"/>
      <x:c r="L824"/>
      <x:c r="M824"/>
      <x:c r="N824"/>
      <x:c r="O824"/>
      <x:c r="P824"/>
      <x:c r="Q824"/>
      <x:c r="R824"/>
      <x:c r="S824"/>
      <x:c r="T824"/>
      <x:c r="U824"/>
      <x:c r="V824"/>
      <x:c r="W824"/>
      <x:c r="X824"/>
      <x:c r="Y824"/>
      <x:c r="Z824"/>
      <x:c r="AA824"/>
      <x:c r="AB824"/>
      <x:c r="AC824"/>
      <x:c r="AD824"/>
      <x:c r="AE824"/>
      <x:c r="AF824"/>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x:c r="C825"/>
      <x:c r="D825"/>
      <x:c r="E825"/>
      <x:c r="F825"/>
      <x:c r="G825"/>
      <x:c r="H825"/>
      <x:c r="I825"/>
      <x:c r="J825"/>
      <x:c r="K825"/>
      <x:c r="L825"/>
      <x:c r="M825"/>
      <x:c r="N825"/>
      <x:c r="O825"/>
      <x:c r="P825"/>
      <x:c r="Q825"/>
      <x:c r="R825"/>
      <x:c r="S825"/>
      <x:c r="T825"/>
      <x:c r="U825"/>
      <x:c r="V825"/>
      <x:c r="W825"/>
      <x:c r="X825"/>
      <x:c r="Y825"/>
      <x:c r="Z825"/>
      <x:c r="AA825"/>
      <x:c r="AB825"/>
      <x:c r="AC825"/>
      <x:c r="AD825"/>
      <x:c r="AE825"/>
      <x:c r="AF825"/>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x:c r="C826"/>
      <x:c r="D826"/>
      <x:c r="E826"/>
      <x:c r="F826"/>
      <x:c r="G826"/>
      <x:c r="H826"/>
      <x:c r="I826"/>
      <x:c r="J826"/>
      <x:c r="K826"/>
      <x:c r="L826"/>
      <x:c r="M826"/>
      <x:c r="N826"/>
      <x:c r="O826"/>
      <x:c r="P826"/>
      <x:c r="Q826"/>
      <x:c r="R826"/>
      <x:c r="S826"/>
      <x:c r="T826"/>
      <x:c r="U826"/>
      <x:c r="V826"/>
      <x:c r="W826"/>
      <x:c r="X826"/>
      <x:c r="Y826"/>
      <x:c r="Z826"/>
      <x:c r="AA826"/>
      <x:c r="AB826"/>
      <x:c r="AC826"/>
      <x:c r="AD826"/>
      <x:c r="AE826"/>
      <x:c r="AF826"/>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x:c r="C827"/>
      <x:c r="D827"/>
      <x:c r="E827"/>
      <x:c r="F827"/>
      <x:c r="G827"/>
      <x:c r="H827"/>
      <x:c r="I827"/>
      <x:c r="J827"/>
      <x:c r="K827"/>
      <x:c r="L827"/>
      <x:c r="M827"/>
      <x:c r="N827"/>
      <x:c r="O827"/>
      <x:c r="P827"/>
      <x:c r="Q827"/>
      <x:c r="R827"/>
      <x:c r="S827"/>
      <x:c r="T827"/>
      <x:c r="U827"/>
      <x:c r="V827"/>
      <x:c r="W827"/>
      <x:c r="X827"/>
      <x:c r="Y827"/>
      <x:c r="Z827"/>
      <x:c r="AA827"/>
      <x:c r="AB827"/>
      <x:c r="AC827"/>
      <x:c r="AD827"/>
      <x:c r="AE827"/>
      <x:c r="AF827"/>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x:c r="C828"/>
      <x:c r="D828"/>
      <x:c r="E828"/>
      <x:c r="F828"/>
      <x:c r="G828"/>
      <x:c r="H828"/>
      <x:c r="I828"/>
      <x:c r="J828"/>
      <x:c r="K828"/>
      <x:c r="L828"/>
      <x:c r="M828"/>
      <x:c r="N828"/>
      <x:c r="O828"/>
      <x:c r="P828"/>
      <x:c r="Q828"/>
      <x:c r="R828"/>
      <x:c r="S828"/>
      <x:c r="T828"/>
      <x:c r="U828"/>
      <x:c r="V828"/>
      <x:c r="W828"/>
      <x:c r="X828"/>
      <x:c r="Y828"/>
      <x:c r="Z828"/>
      <x:c r="AA828"/>
      <x:c r="AB828"/>
      <x:c r="AC828"/>
      <x:c r="AD828"/>
      <x:c r="AE828"/>
      <x:c r="AF828"/>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x:c r="C829"/>
      <x:c r="D829"/>
      <x:c r="E829"/>
      <x:c r="F829"/>
      <x:c r="G829"/>
      <x:c r="H829"/>
      <x:c r="I829"/>
      <x:c r="J829"/>
      <x:c r="K829"/>
      <x:c r="L829"/>
      <x:c r="M829"/>
      <x:c r="N829"/>
      <x:c r="O829"/>
      <x:c r="P829"/>
      <x:c r="Q829"/>
      <x:c r="R829"/>
      <x:c r="S829"/>
      <x:c r="T829"/>
      <x:c r="U829"/>
      <x:c r="V829"/>
      <x:c r="W829"/>
      <x:c r="X829"/>
      <x:c r="Y829"/>
      <x:c r="Z829"/>
      <x:c r="AA829"/>
      <x:c r="AB829"/>
      <x:c r="AC829"/>
      <x:c r="AD829"/>
      <x:c r="AE829"/>
      <x:c r="AF829"/>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x:c r="C830"/>
      <x:c r="D830"/>
      <x:c r="E830"/>
      <x:c r="F830"/>
      <x:c r="G830"/>
      <x:c r="H830"/>
      <x:c r="I830"/>
      <x:c r="J830"/>
      <x:c r="K830"/>
      <x:c r="L830"/>
      <x:c r="M830"/>
      <x:c r="N830"/>
      <x:c r="O830"/>
      <x:c r="P830"/>
      <x:c r="Q830"/>
      <x:c r="R830"/>
      <x:c r="S830"/>
      <x:c r="T830"/>
      <x:c r="U830"/>
      <x:c r="V830"/>
      <x:c r="W830"/>
      <x:c r="X830"/>
      <x:c r="Y830"/>
      <x:c r="Z830"/>
      <x:c r="AA830"/>
      <x:c r="AB830"/>
      <x:c r="AC830"/>
      <x:c r="AD830"/>
      <x:c r="AE830"/>
      <x:c r="AF830"/>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x:c r="C831"/>
      <x:c r="D831"/>
      <x:c r="E831"/>
      <x:c r="F831"/>
      <x:c r="G831"/>
      <x:c r="H831"/>
      <x:c r="I831"/>
      <x:c r="J831"/>
      <x:c r="K831"/>
      <x:c r="L831"/>
      <x:c r="M831"/>
      <x:c r="N831"/>
      <x:c r="O831"/>
      <x:c r="P831"/>
      <x:c r="Q831"/>
      <x:c r="R831"/>
      <x:c r="S831"/>
      <x:c r="T831"/>
      <x:c r="U831"/>
      <x:c r="V831"/>
      <x:c r="W831"/>
      <x:c r="X831"/>
      <x:c r="Y831"/>
      <x:c r="Z831"/>
      <x:c r="AA831"/>
      <x:c r="AB831"/>
      <x:c r="AC831"/>
      <x:c r="AD831"/>
      <x:c r="AE831"/>
      <x:c r="AF831"/>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x:c r="C832"/>
      <x:c r="D832"/>
      <x:c r="E832"/>
      <x:c r="F832"/>
      <x:c r="G832"/>
      <x:c r="H832"/>
      <x:c r="I832"/>
      <x:c r="J832"/>
      <x:c r="K832"/>
      <x:c r="L832"/>
      <x:c r="M832"/>
      <x:c r="N832"/>
      <x:c r="O832"/>
      <x:c r="P832"/>
      <x:c r="Q832"/>
      <x:c r="R832"/>
      <x:c r="S832"/>
      <x:c r="T832"/>
      <x:c r="U832"/>
      <x:c r="V832"/>
      <x:c r="W832"/>
      <x:c r="X832"/>
      <x:c r="Y832"/>
      <x:c r="Z832"/>
      <x:c r="AA832"/>
      <x:c r="AB832"/>
      <x:c r="AC832"/>
      <x:c r="AD832"/>
      <x:c r="AE832"/>
      <x:c r="AF832"/>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C833"/>
      <x:c r="D833"/>
      <x:c r="E833"/>
      <x:c r="F833"/>
      <x:c r="G833"/>
      <x:c r="H833"/>
      <x:c r="I833"/>
      <x:c r="J833"/>
      <x:c r="K833"/>
      <x:c r="L833"/>
      <x:c r="M833"/>
      <x:c r="N833"/>
      <x:c r="O833"/>
      <x:c r="P833"/>
      <x:c r="Q833"/>
      <x:c r="R833"/>
      <x:c r="S833"/>
      <x:c r="T833"/>
      <x:c r="U833"/>
      <x:c r="V833"/>
      <x:c r="W833"/>
      <x:c r="X833"/>
      <x:c r="Y833"/>
      <x:c r="Z833"/>
      <x:c r="AA833"/>
      <x:c r="AB833"/>
      <x:c r="AC833"/>
      <x:c r="AD833"/>
      <x:c r="AE833"/>
      <x:c r="AF833"/>
      <x:c r="AZ833"/>
      <x:c r="BA833"/>
      <x:c r="BB833"/>
      <x:c r="BC833"/>
      <x:c r="BD833"/>
      <x:c r="BE833"/>
      <x:c r="BF833"/>
      <x:c r="BG833"/>
      <x:c r="BH833"/>
      <x:c r="BI833"/>
      <x:c r="BJ833"/>
      <x:c r="BK833"/>
      <x:c r="BL833"/>
      <x:c r="BM833"/>
      <x:c r="BN833"/>
      <x:c r="BO833"/>
      <x:c r="BP833"/>
      <x:c r="BQ833"/>
      <x:c r="BR833"/>
      <x:c r="BS833"/>
      <x:c r="BT833"/>
      <x:c r="BU833"/>
      <x:c r="BV833"/>
      <x:c r="BW833"/>
      <x:c r="BX833"/>
      <x:c r="BY833"/>
      <x:c r="BZ833"/>
      <x:c r="CA833"/>
      <x:c r="CB833"/>
      <x:c r="CC833"/>
    </x:row>
    <x:row r="834">
      <x:c r="C834"/>
      <x:c r="D834"/>
      <x:c r="E834"/>
      <x:c r="F834"/>
      <x:c r="G834"/>
      <x:c r="H834"/>
      <x:c r="I834"/>
      <x:c r="J834"/>
      <x:c r="K834"/>
      <x:c r="L834"/>
      <x:c r="M834"/>
      <x:c r="N834"/>
      <x:c r="O834"/>
      <x:c r="P834"/>
      <x:c r="Q834"/>
      <x:c r="R834"/>
      <x:c r="S834"/>
      <x:c r="T834"/>
      <x:c r="U834"/>
      <x:c r="V834"/>
      <x:c r="W834"/>
      <x:c r="X834"/>
      <x:c r="Y834"/>
      <x:c r="Z834"/>
      <x:c r="AA834"/>
      <x:c r="AB834"/>
      <x:c r="AC834"/>
      <x:c r="AD834"/>
      <x:c r="AE834"/>
      <x:c r="AF834"/>
      <x:c r="AZ834"/>
      <x:c r="BA834"/>
      <x:c r="BB834"/>
      <x:c r="BC834"/>
      <x:c r="BD834"/>
      <x:c r="BE834"/>
      <x:c r="BF834"/>
      <x:c r="BG834"/>
      <x:c r="BH834"/>
      <x:c r="BI834"/>
      <x:c r="BJ834"/>
      <x:c r="BK834"/>
      <x:c r="BL834"/>
      <x:c r="BM834"/>
      <x:c r="BN834"/>
      <x:c r="BO834"/>
      <x:c r="BP834"/>
      <x:c r="BQ834"/>
      <x:c r="BR834"/>
      <x:c r="BS834"/>
      <x:c r="BT834"/>
      <x:c r="BU834"/>
      <x:c r="BV834"/>
      <x:c r="BW834"/>
      <x:c r="BX834"/>
      <x:c r="BY834"/>
      <x:c r="BZ834"/>
      <x:c r="CA834"/>
      <x:c r="CB834"/>
      <x:c r="CC834"/>
    </x:row>
    <x:row r="835">
      <x:c r="C835"/>
      <x:c r="D835"/>
      <x:c r="E835"/>
      <x:c r="F835"/>
      <x:c r="G835"/>
      <x:c r="H835"/>
      <x:c r="I835"/>
      <x:c r="J835"/>
      <x:c r="K835"/>
      <x:c r="L835"/>
      <x:c r="M835"/>
      <x:c r="N835"/>
      <x:c r="O835"/>
      <x:c r="P835"/>
      <x:c r="Q835"/>
      <x:c r="R835"/>
      <x:c r="S835"/>
      <x:c r="T835"/>
      <x:c r="U835"/>
      <x:c r="V835"/>
      <x:c r="W835"/>
      <x:c r="X835"/>
      <x:c r="Y835"/>
      <x:c r="Z835"/>
      <x:c r="AA835"/>
      <x:c r="AB835"/>
      <x:c r="AC835"/>
      <x:c r="AD835"/>
      <x:c r="AE835"/>
      <x:c r="AF835"/>
      <x:c r="AZ835"/>
      <x:c r="BA835"/>
      <x:c r="BB835"/>
      <x:c r="BC835"/>
      <x:c r="BD835"/>
      <x:c r="BE835"/>
      <x:c r="BF835"/>
      <x:c r="BG835"/>
      <x:c r="BH835"/>
      <x:c r="BI835"/>
      <x:c r="BJ835"/>
      <x:c r="BK835"/>
      <x:c r="BL835"/>
      <x:c r="BM835"/>
      <x:c r="BN835"/>
      <x:c r="BO835"/>
      <x:c r="BP835"/>
      <x:c r="BQ835"/>
      <x:c r="BR835"/>
      <x:c r="BS835"/>
      <x:c r="BT835"/>
      <x:c r="BU835"/>
      <x:c r="BV835"/>
      <x:c r="BW835"/>
      <x:c r="BX835"/>
      <x:c r="BY835"/>
      <x:c r="BZ835"/>
      <x:c r="CA835"/>
      <x:c r="CB835"/>
      <x:c r="CC835"/>
    </x:row>
    <x:row r="836">
      <x:c r="C836"/>
      <x:c r="D836"/>
      <x:c r="E836"/>
      <x:c r="F836"/>
      <x:c r="G836"/>
      <x:c r="H836"/>
      <x:c r="I836"/>
      <x:c r="J836"/>
      <x:c r="K836"/>
      <x:c r="L836"/>
      <x:c r="M836"/>
      <x:c r="N836"/>
      <x:c r="O836"/>
      <x:c r="P836"/>
      <x:c r="Q836"/>
      <x:c r="R836"/>
      <x:c r="S836"/>
      <x:c r="T836"/>
      <x:c r="U836"/>
      <x:c r="V836"/>
      <x:c r="W836"/>
      <x:c r="X836"/>
      <x:c r="Y836"/>
      <x:c r="Z836"/>
      <x:c r="AA836"/>
      <x:c r="AB836"/>
      <x:c r="AC836"/>
      <x:c r="AD836"/>
      <x:c r="AE836"/>
      <x:c r="AF836"/>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row>
    <x:row r="837">
      <x:c r="C837"/>
      <x:c r="D837"/>
      <x:c r="E837"/>
      <x:c r="F837"/>
      <x:c r="G837"/>
      <x:c r="H837"/>
      <x:c r="I837"/>
      <x:c r="J837"/>
      <x:c r="K837"/>
      <x:c r="L837"/>
      <x:c r="M837"/>
      <x:c r="N837"/>
      <x:c r="O837"/>
      <x:c r="P837"/>
      <x:c r="Q837"/>
      <x:c r="R837"/>
      <x:c r="S837"/>
      <x:c r="T837"/>
      <x:c r="U837"/>
      <x:c r="V837"/>
      <x:c r="W837"/>
      <x:c r="X837"/>
      <x:c r="Y837"/>
      <x:c r="Z837"/>
      <x:c r="AA837"/>
      <x:c r="AB837"/>
      <x:c r="AC837"/>
      <x:c r="AD837"/>
      <x:c r="AE837"/>
      <x:c r="AF837"/>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row>
    <x:row r="838">
      <x:c r="C838"/>
      <x:c r="D838"/>
      <x:c r="E838"/>
      <x:c r="F838"/>
      <x:c r="G838"/>
      <x:c r="H838"/>
      <x:c r="I838"/>
      <x:c r="J838"/>
      <x:c r="K838"/>
      <x:c r="L838"/>
      <x:c r="M838"/>
      <x:c r="N838"/>
      <x:c r="O838"/>
      <x:c r="P838"/>
      <x:c r="Q838"/>
      <x:c r="R838"/>
      <x:c r="S838"/>
      <x:c r="T838"/>
      <x:c r="U838"/>
      <x:c r="V838"/>
      <x:c r="W838"/>
      <x:c r="X838"/>
      <x:c r="Y838"/>
      <x:c r="Z838"/>
      <x:c r="AA838"/>
      <x:c r="AB838"/>
      <x:c r="AC838"/>
      <x:c r="AD838"/>
      <x:c r="AE838"/>
      <x:c r="AF838"/>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row>
    <x:row r="839">
      <x:c r="C839"/>
      <x:c r="D839"/>
      <x:c r="E839"/>
      <x:c r="F839"/>
      <x:c r="G839"/>
      <x:c r="H839"/>
      <x:c r="I839"/>
      <x:c r="J839"/>
      <x:c r="K839"/>
      <x:c r="L839"/>
      <x:c r="M839"/>
      <x:c r="N839"/>
      <x:c r="O839"/>
      <x:c r="P839"/>
      <x:c r="Q839"/>
      <x:c r="R839"/>
      <x:c r="S839"/>
      <x:c r="T839"/>
      <x:c r="U839"/>
      <x:c r="V839"/>
      <x:c r="W839"/>
      <x:c r="X839"/>
      <x:c r="Y839"/>
      <x:c r="Z839"/>
      <x:c r="AA839"/>
      <x:c r="AB839"/>
      <x:c r="AC839"/>
      <x:c r="AD839"/>
      <x:c r="AE839"/>
      <x:c r="AF839"/>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row>
    <x:row r="840">
      <x:c r="C840"/>
      <x:c r="D840"/>
      <x:c r="E840"/>
      <x:c r="F840"/>
      <x:c r="G840"/>
      <x:c r="H840"/>
      <x:c r="I840"/>
      <x:c r="J840"/>
      <x:c r="K840"/>
      <x:c r="L840"/>
      <x:c r="M840"/>
      <x:c r="N840"/>
      <x:c r="O840"/>
      <x:c r="P840"/>
      <x:c r="Q840"/>
      <x:c r="R840"/>
      <x:c r="S840"/>
      <x:c r="T840"/>
      <x:c r="U840"/>
      <x:c r="V840"/>
      <x:c r="W840"/>
      <x:c r="X840"/>
      <x:c r="Y840"/>
      <x:c r="Z840"/>
      <x:c r="AA840"/>
      <x:c r="AB840"/>
      <x:c r="AC840"/>
      <x:c r="AD840"/>
      <x:c r="AE840"/>
      <x:c r="AF840"/>
      <x:c r="AZ840"/>
      <x:c r="BA840"/>
      <x:c r="BB840"/>
      <x:c r="BC840"/>
      <x:c r="BD840"/>
      <x:c r="BE840"/>
      <x:c r="BF840"/>
      <x:c r="BG840"/>
      <x:c r="BH840"/>
      <x:c r="BI840"/>
      <x:c r="BJ840"/>
      <x:c r="BK840"/>
      <x:c r="BL840"/>
      <x:c r="BM840"/>
      <x:c r="BN840"/>
      <x:c r="BO840"/>
      <x:c r="BP840"/>
      <x:c r="BQ840"/>
      <x:c r="BR840"/>
      <x:c r="BS840"/>
      <x:c r="BT840"/>
      <x:c r="BU840"/>
      <x:c r="BV840"/>
      <x:c r="BW840"/>
      <x:c r="BX840"/>
      <x:c r="BY840"/>
      <x:c r="BZ840"/>
      <x:c r="CA840"/>
      <x:c r="CB840"/>
      <x:c r="CC840"/>
    </x:row>
    <x:row r="841">
      <x:c r="C841"/>
      <x:c r="D841"/>
      <x:c r="E841"/>
      <x:c r="F841"/>
      <x:c r="G841"/>
      <x:c r="H841"/>
      <x:c r="I841"/>
      <x:c r="J841"/>
      <x:c r="K841"/>
      <x:c r="L841"/>
      <x:c r="M841"/>
      <x:c r="N841"/>
      <x:c r="O841"/>
      <x:c r="P841"/>
      <x:c r="Q841"/>
      <x:c r="R841"/>
      <x:c r="S841"/>
      <x:c r="T841"/>
      <x:c r="U841"/>
      <x:c r="V841"/>
      <x:c r="W841"/>
      <x:c r="X841"/>
      <x:c r="Y841"/>
      <x:c r="Z841"/>
      <x:c r="AA841"/>
      <x:c r="AB841"/>
      <x:c r="AC841"/>
      <x:c r="AD841"/>
      <x:c r="AE841"/>
      <x:c r="AF841"/>
      <x:c r="AZ841"/>
      <x:c r="BA841"/>
      <x:c r="BB841"/>
      <x:c r="BC841"/>
      <x:c r="BD841"/>
      <x:c r="BE841"/>
      <x:c r="BF841"/>
      <x:c r="BG841"/>
      <x:c r="BH841"/>
      <x:c r="BI841"/>
      <x:c r="BJ841"/>
      <x:c r="BK841"/>
      <x:c r="BL841"/>
      <x:c r="BM841"/>
      <x:c r="BN841"/>
      <x:c r="BO841"/>
      <x:c r="BP841"/>
      <x:c r="BQ841"/>
      <x:c r="BR841"/>
      <x:c r="BS841"/>
      <x:c r="BT841"/>
      <x:c r="BU841"/>
      <x:c r="BV841"/>
      <x:c r="BW841"/>
      <x:c r="BX841"/>
      <x:c r="BY841"/>
      <x:c r="BZ841"/>
      <x:c r="CA841"/>
      <x:c r="CB841"/>
      <x:c r="CC841"/>
    </x:row>
    <x:row r="842">
      <x:c r="C842"/>
      <x:c r="D842"/>
      <x:c r="E842"/>
      <x:c r="F842"/>
      <x:c r="G842"/>
      <x:c r="H842"/>
      <x:c r="I842"/>
      <x:c r="J842"/>
      <x:c r="K842"/>
      <x:c r="L842"/>
      <x:c r="M842"/>
      <x:c r="N842"/>
      <x:c r="O842"/>
      <x:c r="P842"/>
      <x:c r="Q842"/>
      <x:c r="R842"/>
      <x:c r="S842"/>
      <x:c r="T842"/>
      <x:c r="U842"/>
      <x:c r="V842"/>
      <x:c r="W842"/>
      <x:c r="X842"/>
      <x:c r="Y842"/>
      <x:c r="Z842"/>
      <x:c r="AA842"/>
      <x:c r="AB842"/>
      <x:c r="AC842"/>
      <x:c r="AD842"/>
      <x:c r="AE842"/>
      <x:c r="AF842"/>
      <x:c r="AZ842"/>
      <x:c r="BA842"/>
      <x:c r="BB842"/>
      <x:c r="BC842"/>
      <x:c r="BD842"/>
      <x:c r="BE842"/>
      <x:c r="BF842"/>
      <x:c r="BG842"/>
      <x:c r="BH842"/>
      <x:c r="BI842"/>
      <x:c r="BJ842"/>
      <x:c r="BK842"/>
      <x:c r="BL842"/>
      <x:c r="BM842"/>
      <x:c r="BN842"/>
      <x:c r="BO842"/>
      <x:c r="BP842"/>
      <x:c r="BQ842"/>
      <x:c r="BR842"/>
      <x:c r="BS842"/>
      <x:c r="BT842"/>
      <x:c r="BU842"/>
      <x:c r="BV842"/>
      <x:c r="BW842"/>
      <x:c r="BX842"/>
      <x:c r="BY842"/>
      <x:c r="BZ842"/>
      <x:c r="CA842"/>
      <x:c r="CB842"/>
      <x:c r="CC842"/>
    </x:row>
    <x:row r="843">
      <x:c r="C843"/>
      <x:c r="D843"/>
      <x:c r="E843"/>
      <x:c r="F843"/>
      <x:c r="G843"/>
      <x:c r="H843"/>
      <x:c r="I843"/>
      <x:c r="J843"/>
      <x:c r="K843"/>
      <x:c r="L843"/>
      <x:c r="M843"/>
      <x:c r="N843"/>
      <x:c r="O843"/>
      <x:c r="P843"/>
      <x:c r="Q843"/>
      <x:c r="R843"/>
      <x:c r="S843"/>
      <x:c r="T843"/>
      <x:c r="U843"/>
      <x:c r="V843"/>
      <x:c r="W843"/>
      <x:c r="X843"/>
      <x:c r="Y843"/>
      <x:c r="Z843"/>
      <x:c r="AA843"/>
      <x:c r="AB843"/>
      <x:c r="AC843"/>
      <x:c r="AD843"/>
      <x:c r="AE843"/>
      <x:c r="AF843"/>
      <x:c r="AZ843"/>
      <x:c r="BA843"/>
      <x:c r="BB843"/>
      <x:c r="BC843"/>
      <x:c r="BD843"/>
      <x:c r="BE843"/>
      <x:c r="BF843"/>
      <x:c r="BG843"/>
      <x:c r="BH843"/>
      <x:c r="BI843"/>
      <x:c r="BJ843"/>
      <x:c r="BK843"/>
      <x:c r="BL843"/>
      <x:c r="BM843"/>
      <x:c r="BN843"/>
      <x:c r="BO843"/>
      <x:c r="BP843"/>
      <x:c r="BQ843"/>
      <x:c r="BR843"/>
      <x:c r="BS843"/>
      <x:c r="BT843"/>
      <x:c r="BU843"/>
      <x:c r="BV843"/>
      <x:c r="BW843"/>
      <x:c r="BX843"/>
      <x:c r="BY843"/>
      <x:c r="BZ843"/>
      <x:c r="CA843"/>
      <x:c r="CB843"/>
      <x:c r="CC843"/>
    </x:row>
    <x:row r="844">
      <x:c r="C844"/>
      <x:c r="D844"/>
      <x:c r="E844"/>
      <x:c r="F844"/>
      <x:c r="G844"/>
      <x:c r="H844"/>
      <x:c r="I844"/>
      <x:c r="J844"/>
      <x:c r="K844"/>
      <x:c r="L844"/>
      <x:c r="M844"/>
      <x:c r="N844"/>
      <x:c r="O844"/>
      <x:c r="P844"/>
      <x:c r="Q844"/>
      <x:c r="R844"/>
      <x:c r="S844"/>
      <x:c r="T844"/>
      <x:c r="U844"/>
      <x:c r="V844"/>
      <x:c r="W844"/>
      <x:c r="X844"/>
      <x:c r="Y844"/>
      <x:c r="Z844"/>
      <x:c r="AA844"/>
      <x:c r="AB844"/>
      <x:c r="AC844"/>
      <x:c r="AD844"/>
      <x:c r="AE844"/>
      <x:c r="AF844"/>
      <x:c r="AZ844"/>
      <x:c r="BA844"/>
      <x:c r="BB844"/>
      <x:c r="BC844"/>
      <x:c r="BD844"/>
      <x:c r="BE844"/>
      <x:c r="BF844"/>
      <x:c r="BG844"/>
      <x:c r="BH844"/>
      <x:c r="BI844"/>
      <x:c r="BJ844"/>
      <x:c r="BK844"/>
      <x:c r="BL844"/>
      <x:c r="BM844"/>
      <x:c r="BN844"/>
      <x:c r="BO844"/>
      <x:c r="BP844"/>
      <x:c r="BQ844"/>
      <x:c r="BR844"/>
      <x:c r="BS844"/>
      <x:c r="BT844"/>
      <x:c r="BU844"/>
      <x:c r="BV844"/>
      <x:c r="BW844"/>
      <x:c r="BX844"/>
      <x:c r="BY844"/>
      <x:c r="BZ844"/>
      <x:c r="CA844"/>
      <x:c r="CB844"/>
      <x:c r="CC844"/>
    </x:row>
    <x:row r="845">
      <x:c r="C845"/>
      <x:c r="D845"/>
      <x:c r="E845"/>
      <x:c r="F845"/>
      <x:c r="G845"/>
      <x:c r="H845"/>
      <x:c r="I845"/>
      <x:c r="J845"/>
      <x:c r="K845"/>
      <x:c r="L845"/>
      <x:c r="M845"/>
      <x:c r="N845"/>
      <x:c r="O845"/>
      <x:c r="P845"/>
      <x:c r="Q845"/>
      <x:c r="R845"/>
      <x:c r="S845"/>
      <x:c r="T845"/>
      <x:c r="U845"/>
      <x:c r="V845"/>
      <x:c r="W845"/>
      <x:c r="X845"/>
      <x:c r="Y845"/>
      <x:c r="Z845"/>
      <x:c r="AA845"/>
      <x:c r="AB845"/>
      <x:c r="AC845"/>
      <x:c r="AD845"/>
      <x:c r="AE845"/>
      <x:c r="AF845"/>
      <x:c r="AZ845"/>
      <x:c r="BA845"/>
      <x:c r="BB845"/>
      <x:c r="BC845"/>
      <x:c r="BD845"/>
      <x:c r="BE845"/>
      <x:c r="BF845"/>
      <x:c r="BG845"/>
      <x:c r="BH845"/>
      <x:c r="BI845"/>
      <x:c r="BJ845"/>
      <x:c r="BK845"/>
      <x:c r="BL845"/>
      <x:c r="BM845"/>
      <x:c r="BN845"/>
      <x:c r="BO845"/>
      <x:c r="BP845"/>
      <x:c r="BQ845"/>
      <x:c r="BR845"/>
      <x:c r="BS845"/>
      <x:c r="BT845"/>
      <x:c r="BU845"/>
      <x:c r="BV845"/>
      <x:c r="BW845"/>
      <x:c r="BX845"/>
      <x:c r="BY845"/>
      <x:c r="BZ845"/>
      <x:c r="CA845"/>
      <x:c r="CB845"/>
      <x:c r="CC845"/>
    </x:row>
    <x:row r="846">
      <x:c r="C846"/>
      <x:c r="D846"/>
      <x:c r="E846"/>
      <x:c r="F846"/>
      <x:c r="G846"/>
      <x:c r="H846"/>
      <x:c r="I846"/>
      <x:c r="J846"/>
      <x:c r="K846"/>
      <x:c r="L846"/>
      <x:c r="M846"/>
      <x:c r="N846"/>
      <x:c r="O846"/>
      <x:c r="P846"/>
      <x:c r="Q846"/>
      <x:c r="R846"/>
      <x:c r="S846"/>
      <x:c r="T846"/>
      <x:c r="U846"/>
      <x:c r="V846"/>
      <x:c r="W846"/>
      <x:c r="X846"/>
      <x:c r="Y846"/>
      <x:c r="Z846"/>
      <x:c r="AA846"/>
      <x:c r="AB846"/>
      <x:c r="AC846"/>
      <x:c r="AD846"/>
      <x:c r="AE846"/>
      <x:c r="AF846"/>
      <x:c r="AZ846"/>
      <x:c r="BA846"/>
      <x:c r="BB846"/>
      <x:c r="BC846"/>
      <x:c r="BD846"/>
      <x:c r="BE846"/>
      <x:c r="BF846"/>
      <x:c r="BG846"/>
      <x:c r="BH846"/>
      <x:c r="BI846"/>
      <x:c r="BJ846"/>
      <x:c r="BK846"/>
      <x:c r="BL846"/>
      <x:c r="BM846"/>
      <x:c r="BN846"/>
      <x:c r="BO846"/>
      <x:c r="BP846"/>
      <x:c r="BQ846"/>
      <x:c r="BR846"/>
      <x:c r="BS846"/>
      <x:c r="BT846"/>
      <x:c r="BU846"/>
      <x:c r="BV846"/>
      <x:c r="BW846"/>
      <x:c r="BX846"/>
      <x:c r="BY846"/>
      <x:c r="BZ846"/>
      <x:c r="CA846"/>
      <x:c r="CB846"/>
      <x:c r="CC846"/>
    </x:row>
    <x:row r="847">
      <x:c r="C847"/>
      <x:c r="D847"/>
      <x:c r="E847"/>
      <x:c r="F847"/>
      <x:c r="G847"/>
      <x:c r="H847"/>
      <x:c r="I847"/>
      <x:c r="J847"/>
      <x:c r="K847"/>
      <x:c r="L847"/>
      <x:c r="M847"/>
      <x:c r="N847"/>
      <x:c r="O847"/>
      <x:c r="P847"/>
      <x:c r="Q847"/>
      <x:c r="R847"/>
      <x:c r="S847"/>
      <x:c r="T847"/>
      <x:c r="U847"/>
      <x:c r="V847"/>
      <x:c r="W847"/>
      <x:c r="X847"/>
      <x:c r="Y847"/>
      <x:c r="Z847"/>
      <x:c r="AA847"/>
      <x:c r="AB847"/>
      <x:c r="AC847"/>
      <x:c r="AD847"/>
      <x:c r="AE847"/>
      <x:c r="AF847"/>
      <x:c r="AZ847"/>
      <x:c r="BA847"/>
      <x:c r="BB847"/>
      <x:c r="BC847"/>
      <x:c r="BD847"/>
      <x:c r="BE847"/>
      <x:c r="BF847"/>
      <x:c r="BG847"/>
      <x:c r="BH847"/>
      <x:c r="BI847"/>
      <x:c r="BJ847"/>
      <x:c r="BK847"/>
      <x:c r="BL847"/>
      <x:c r="BM847"/>
      <x:c r="BN847"/>
      <x:c r="BO847"/>
      <x:c r="BP847"/>
      <x:c r="BQ847"/>
      <x:c r="BR847"/>
      <x:c r="BS847"/>
      <x:c r="BT847"/>
      <x:c r="BU847"/>
      <x:c r="BV847"/>
      <x:c r="BW847"/>
      <x:c r="BX847"/>
      <x:c r="BY847"/>
      <x:c r="BZ847"/>
      <x:c r="CA847"/>
      <x:c r="CB847"/>
      <x:c r="CC847"/>
    </x:row>
    <x:row r="848">
      <x:c r="C848"/>
      <x:c r="D848"/>
      <x:c r="E848"/>
      <x:c r="F848"/>
      <x:c r="G848"/>
      <x:c r="H848"/>
      <x:c r="I848"/>
      <x:c r="J848"/>
      <x:c r="K848"/>
      <x:c r="L848"/>
      <x:c r="M848"/>
      <x:c r="N848"/>
      <x:c r="O848"/>
      <x:c r="P848"/>
      <x:c r="Q848"/>
      <x:c r="R848"/>
      <x:c r="S848"/>
      <x:c r="T848"/>
      <x:c r="U848"/>
      <x:c r="V848"/>
      <x:c r="W848"/>
      <x:c r="X848"/>
      <x:c r="Y848"/>
      <x:c r="Z848"/>
      <x:c r="AA848"/>
      <x:c r="AB848"/>
      <x:c r="AC848"/>
      <x:c r="AD848"/>
      <x:c r="AE848"/>
      <x:c r="AF848"/>
      <x:c r="AZ848"/>
      <x:c r="BA848"/>
      <x:c r="BB848"/>
      <x:c r="BC848"/>
      <x:c r="BD848"/>
      <x:c r="BE848"/>
      <x:c r="BF848"/>
      <x:c r="BG848"/>
      <x:c r="BH848"/>
      <x:c r="BI848"/>
      <x:c r="BJ848"/>
      <x:c r="BK848"/>
      <x:c r="BL848"/>
      <x:c r="BM848"/>
      <x:c r="BN848"/>
      <x:c r="BO848"/>
      <x:c r="BP848"/>
      <x:c r="BQ848"/>
      <x:c r="BR848"/>
      <x:c r="BS848"/>
      <x:c r="BT848"/>
      <x:c r="BU848"/>
      <x:c r="BV848"/>
      <x:c r="BW848"/>
      <x:c r="BX848"/>
      <x:c r="BY848"/>
      <x:c r="BZ848"/>
      <x:c r="CA848"/>
      <x:c r="CB848"/>
      <x:c r="CC848"/>
    </x:row>
    <x:row r="849">
      <x:c r="C849"/>
      <x:c r="D849"/>
      <x:c r="E849"/>
      <x:c r="F849"/>
      <x:c r="G849"/>
      <x:c r="H849"/>
      <x:c r="I849"/>
      <x:c r="J849"/>
      <x:c r="K849"/>
      <x:c r="L849"/>
      <x:c r="M849"/>
      <x:c r="N849"/>
      <x:c r="O849"/>
      <x:c r="P849"/>
      <x:c r="Q849"/>
      <x:c r="R849"/>
      <x:c r="S849"/>
      <x:c r="T849"/>
      <x:c r="U849"/>
      <x:c r="V849"/>
      <x:c r="W849"/>
      <x:c r="X849"/>
      <x:c r="Y849"/>
      <x:c r="Z849"/>
      <x:c r="AA849"/>
      <x:c r="AB849"/>
      <x:c r="AC849"/>
      <x:c r="AD849"/>
      <x:c r="AE849"/>
      <x:c r="AF849"/>
      <x:c r="AZ849"/>
      <x:c r="BA849"/>
      <x:c r="BB849"/>
      <x:c r="BC849"/>
      <x:c r="BD849"/>
      <x:c r="BE849"/>
      <x:c r="BF849"/>
      <x:c r="BG849"/>
      <x:c r="BH849"/>
      <x:c r="BI849"/>
      <x:c r="BJ849"/>
      <x:c r="BK849"/>
      <x:c r="BL849"/>
      <x:c r="BM849"/>
      <x:c r="BN849"/>
      <x:c r="BO849"/>
      <x:c r="BP849"/>
      <x:c r="BQ849"/>
      <x:c r="BR849"/>
      <x:c r="BS849"/>
      <x:c r="BT849"/>
      <x:c r="BU849"/>
      <x:c r="BV849"/>
      <x:c r="BW849"/>
      <x:c r="BX849"/>
      <x:c r="BY849"/>
      <x:c r="BZ849"/>
      <x:c r="CA849"/>
      <x:c r="CB849"/>
      <x:c r="CC849"/>
    </x:row>
    <x:row r="850">
      <x:c r="C850"/>
      <x:c r="D850"/>
      <x:c r="E850"/>
      <x:c r="F850"/>
      <x:c r="G850"/>
      <x:c r="H850"/>
      <x:c r="I850"/>
      <x:c r="J850"/>
      <x:c r="K850"/>
      <x:c r="L850"/>
      <x:c r="M850"/>
      <x:c r="N850"/>
      <x:c r="O850"/>
      <x:c r="P850"/>
      <x:c r="Q850"/>
      <x:c r="R850"/>
      <x:c r="S850"/>
      <x:c r="T850"/>
      <x:c r="U850"/>
      <x:c r="V850"/>
      <x:c r="W850"/>
      <x:c r="X850"/>
      <x:c r="Y850"/>
      <x:c r="Z850"/>
      <x:c r="AA850"/>
      <x:c r="AB850"/>
      <x:c r="AC850"/>
      <x:c r="AD850"/>
      <x:c r="AE850"/>
      <x:c r="AF850"/>
      <x:c r="AZ850"/>
      <x:c r="BA850"/>
      <x:c r="BB850"/>
      <x:c r="BC850"/>
      <x:c r="BD850"/>
      <x:c r="BE850"/>
      <x:c r="BF850"/>
      <x:c r="BG850"/>
      <x:c r="BH850"/>
      <x:c r="BI850"/>
      <x:c r="BJ850"/>
      <x:c r="BK850"/>
      <x:c r="BL850"/>
      <x:c r="BM850"/>
      <x:c r="BN850"/>
      <x:c r="BO850"/>
      <x:c r="BP850"/>
      <x:c r="BQ850"/>
      <x:c r="BR850"/>
      <x:c r="BS850"/>
      <x:c r="BT850"/>
      <x:c r="BU850"/>
      <x:c r="BV850"/>
      <x:c r="BW850"/>
      <x:c r="BX850"/>
      <x:c r="BY850"/>
      <x:c r="BZ850"/>
      <x:c r="CA850"/>
      <x:c r="CB850"/>
      <x:c r="CC850"/>
    </x:row>
    <x:row r="851">
      <x:c r="C851"/>
      <x:c r="D851"/>
      <x:c r="E851"/>
      <x:c r="F851"/>
      <x:c r="G851"/>
      <x:c r="H851"/>
      <x:c r="I851"/>
      <x:c r="J851"/>
      <x:c r="K851"/>
      <x:c r="L851"/>
      <x:c r="M851"/>
      <x:c r="N851"/>
      <x:c r="O851"/>
      <x:c r="P851"/>
      <x:c r="Q851"/>
      <x:c r="R851"/>
      <x:c r="S851"/>
      <x:c r="T851"/>
      <x:c r="U851"/>
      <x:c r="V851"/>
      <x:c r="W851"/>
      <x:c r="X851"/>
      <x:c r="Y851"/>
      <x:c r="Z851"/>
      <x:c r="AA851"/>
      <x:c r="AB851"/>
      <x:c r="AC851"/>
      <x:c r="AD851"/>
      <x:c r="AE851"/>
      <x:c r="AF851"/>
      <x:c r="AZ851"/>
      <x:c r="BA851"/>
      <x:c r="BB851"/>
      <x:c r="BC851"/>
      <x:c r="BD851"/>
      <x:c r="BE851"/>
      <x:c r="BF851"/>
      <x:c r="BG851"/>
      <x:c r="BH851"/>
      <x:c r="BI851"/>
      <x:c r="BJ851"/>
      <x:c r="BK851"/>
      <x:c r="BL851"/>
      <x:c r="BM851"/>
      <x:c r="BN851"/>
      <x:c r="BO851"/>
      <x:c r="BP851"/>
      <x:c r="BQ851"/>
      <x:c r="BR851"/>
      <x:c r="BS851"/>
      <x:c r="BT851"/>
      <x:c r="BU851"/>
      <x:c r="BV851"/>
      <x:c r="BW851"/>
      <x:c r="BX851"/>
      <x:c r="BY851"/>
      <x:c r="BZ851"/>
      <x:c r="CA851"/>
      <x:c r="CB851"/>
      <x:c r="CC851"/>
    </x:row>
    <x:row r="852">
      <x:c r="C852"/>
      <x:c r="D852"/>
      <x:c r="E852"/>
      <x:c r="F852"/>
      <x:c r="G852"/>
      <x:c r="H852"/>
      <x:c r="I852"/>
      <x:c r="J852"/>
      <x:c r="K852"/>
      <x:c r="L852"/>
      <x:c r="M852"/>
      <x:c r="N852"/>
      <x:c r="O852"/>
      <x:c r="P852"/>
      <x:c r="Q852"/>
      <x:c r="R852"/>
      <x:c r="S852"/>
      <x:c r="T852"/>
      <x:c r="U852"/>
      <x:c r="V852"/>
      <x:c r="W852"/>
      <x:c r="X852"/>
      <x:c r="Y852"/>
      <x:c r="Z852"/>
      <x:c r="AA852"/>
      <x:c r="AB852"/>
      <x:c r="AC852"/>
      <x:c r="AD852"/>
      <x:c r="AE852"/>
      <x:c r="AF852"/>
      <x:c r="AZ852"/>
      <x:c r="BA852"/>
      <x:c r="BB852"/>
      <x:c r="BC852"/>
      <x:c r="BD852"/>
      <x:c r="BE852"/>
      <x:c r="BF852"/>
      <x:c r="BG852"/>
      <x:c r="BH852"/>
      <x:c r="BI852"/>
      <x:c r="BJ852"/>
      <x:c r="BK852"/>
      <x:c r="BL852"/>
      <x:c r="BM852"/>
      <x:c r="BN852"/>
      <x:c r="BO852"/>
      <x:c r="BP852"/>
      <x:c r="BQ852"/>
      <x:c r="BR852"/>
      <x:c r="BS852"/>
      <x:c r="BT852"/>
      <x:c r="BU852"/>
      <x:c r="BV852"/>
      <x:c r="BW852"/>
      <x:c r="BX852"/>
      <x:c r="BY852"/>
      <x:c r="BZ852"/>
      <x:c r="CA852"/>
      <x:c r="CB852"/>
      <x:c r="CC852"/>
    </x:row>
    <x:row r="853">
      <x:c r="C853"/>
      <x:c r="D853"/>
      <x:c r="E853"/>
      <x:c r="F853"/>
      <x:c r="G853"/>
      <x:c r="H853"/>
      <x:c r="I853"/>
      <x:c r="J853"/>
      <x:c r="K853"/>
      <x:c r="L853"/>
      <x:c r="M853"/>
      <x:c r="N853"/>
      <x:c r="O853"/>
      <x:c r="P853"/>
      <x:c r="Q853"/>
      <x:c r="R853"/>
      <x:c r="S853"/>
      <x:c r="T853"/>
      <x:c r="U853"/>
      <x:c r="V853"/>
      <x:c r="W853"/>
      <x:c r="X853"/>
      <x:c r="Y853"/>
      <x:c r="Z853"/>
      <x:c r="AA853"/>
      <x:c r="AB853"/>
      <x:c r="AC853"/>
      <x:c r="AD853"/>
      <x:c r="AE853"/>
      <x:c r="AF853"/>
      <x:c r="AZ853"/>
      <x:c r="BA853"/>
      <x:c r="BB853"/>
      <x:c r="BC853"/>
      <x:c r="BD853"/>
      <x:c r="BE853"/>
      <x:c r="BF853"/>
      <x:c r="BG853"/>
      <x:c r="BH853"/>
      <x:c r="BI853"/>
      <x:c r="BJ853"/>
      <x:c r="BK853"/>
      <x:c r="BL853"/>
      <x:c r="BM853"/>
      <x:c r="BN853"/>
      <x:c r="BO853"/>
      <x:c r="BP853"/>
      <x:c r="BQ853"/>
      <x:c r="BR853"/>
      <x:c r="BS853"/>
      <x:c r="BT853"/>
      <x:c r="BU853"/>
      <x:c r="BV853"/>
      <x:c r="BW853"/>
      <x:c r="BX853"/>
      <x:c r="BY853"/>
      <x:c r="BZ853"/>
      <x:c r="CA853"/>
      <x:c r="CB853"/>
      <x:c r="CC853"/>
    </x:row>
    <x:row r="854">
      <x:c r="C854"/>
      <x:c r="D854"/>
      <x:c r="E854"/>
      <x:c r="F854"/>
      <x:c r="G854"/>
      <x:c r="H854"/>
      <x:c r="I854"/>
      <x:c r="J854"/>
      <x:c r="K854"/>
      <x:c r="L854"/>
      <x:c r="M854"/>
      <x:c r="N854"/>
      <x:c r="O854"/>
      <x:c r="P854"/>
      <x:c r="Q854"/>
      <x:c r="R854"/>
      <x:c r="S854"/>
      <x:c r="T854"/>
      <x:c r="U854"/>
      <x:c r="V854"/>
      <x:c r="W854"/>
      <x:c r="X854"/>
      <x:c r="Y854"/>
      <x:c r="Z854"/>
      <x:c r="AA854"/>
      <x:c r="AB854"/>
      <x:c r="AC854"/>
      <x:c r="AD854"/>
      <x:c r="AE854"/>
      <x:c r="AF854"/>
      <x:c r="AZ854"/>
      <x:c r="BA854"/>
      <x:c r="BB854"/>
      <x:c r="BC854"/>
      <x:c r="BD854"/>
      <x:c r="BE854"/>
      <x:c r="BF854"/>
      <x:c r="BG854"/>
      <x:c r="BH854"/>
      <x:c r="BI854"/>
      <x:c r="BJ854"/>
      <x:c r="BK854"/>
      <x:c r="BL854"/>
      <x:c r="BM854"/>
      <x:c r="BN854"/>
      <x:c r="BO854"/>
      <x:c r="BP854"/>
      <x:c r="BQ854"/>
      <x:c r="BR854"/>
      <x:c r="BS854"/>
      <x:c r="BT854"/>
      <x:c r="BU854"/>
      <x:c r="BV854"/>
      <x:c r="BW854"/>
      <x:c r="BX854"/>
      <x:c r="BY854"/>
      <x:c r="BZ854"/>
      <x:c r="CA854"/>
      <x:c r="CB854"/>
      <x:c r="CC854"/>
    </x:row>
    <x:row r="855">
      <x:c r="C855"/>
      <x:c r="D855"/>
      <x:c r="E855"/>
      <x:c r="F855"/>
      <x:c r="G855"/>
      <x:c r="H855"/>
      <x:c r="I855"/>
      <x:c r="J855"/>
      <x:c r="K855"/>
      <x:c r="L855"/>
      <x:c r="M855"/>
      <x:c r="N855"/>
      <x:c r="O855"/>
      <x:c r="P855"/>
      <x:c r="Q855"/>
      <x:c r="R855"/>
      <x:c r="S855"/>
      <x:c r="T855"/>
      <x:c r="U855"/>
      <x:c r="V855"/>
      <x:c r="W855"/>
      <x:c r="X855"/>
      <x:c r="Y855"/>
      <x:c r="Z855"/>
      <x:c r="AA855"/>
      <x:c r="AB855"/>
      <x:c r="AC855"/>
      <x:c r="AD855"/>
      <x:c r="AE855"/>
      <x:c r="AF855"/>
      <x:c r="AZ855"/>
      <x:c r="BA855"/>
      <x:c r="BB855"/>
      <x:c r="BC855"/>
      <x:c r="BD855"/>
      <x:c r="BE855"/>
      <x:c r="BF855"/>
      <x:c r="BG855"/>
      <x:c r="BH855"/>
      <x:c r="BI855"/>
      <x:c r="BJ855"/>
      <x:c r="BK855"/>
      <x:c r="BL855"/>
      <x:c r="BM855"/>
      <x:c r="BN855"/>
      <x:c r="BO855"/>
      <x:c r="BP855"/>
      <x:c r="BQ855"/>
      <x:c r="BR855"/>
      <x:c r="BS855"/>
      <x:c r="BT855"/>
      <x:c r="BU855"/>
      <x:c r="BV855"/>
      <x:c r="BW855"/>
      <x:c r="BX855"/>
      <x:c r="BY855"/>
      <x:c r="BZ855"/>
      <x:c r="CA855"/>
      <x:c r="CB855"/>
      <x:c r="CC855"/>
    </x:row>
    <x:row r="856">
      <x:c r="C856"/>
      <x:c r="D856"/>
      <x:c r="E856"/>
      <x:c r="F856"/>
      <x:c r="G856"/>
      <x:c r="H856"/>
      <x:c r="I856"/>
      <x:c r="J856"/>
      <x:c r="K856"/>
      <x:c r="L856"/>
      <x:c r="M856"/>
      <x:c r="N856"/>
      <x:c r="O856"/>
      <x:c r="P856"/>
      <x:c r="Q856"/>
      <x:c r="R856"/>
      <x:c r="S856"/>
      <x:c r="T856"/>
      <x:c r="U856"/>
      <x:c r="V856"/>
      <x:c r="W856"/>
      <x:c r="X856"/>
      <x:c r="Y856"/>
      <x:c r="Z856"/>
      <x:c r="AA856"/>
      <x:c r="AB856"/>
      <x:c r="AC856"/>
      <x:c r="AD856"/>
      <x:c r="AE856"/>
      <x:c r="AF856"/>
      <x:c r="AZ856"/>
      <x:c r="BA856"/>
      <x:c r="BB856"/>
      <x:c r="BC856"/>
      <x:c r="BD856"/>
      <x:c r="BE856"/>
      <x:c r="BF856"/>
      <x:c r="BG856"/>
      <x:c r="BH856"/>
      <x:c r="BI856"/>
      <x:c r="BJ856"/>
      <x:c r="BK856"/>
      <x:c r="BL856"/>
      <x:c r="BM856"/>
      <x:c r="BN856"/>
      <x:c r="BO856"/>
      <x:c r="BP856"/>
      <x:c r="BQ856"/>
      <x:c r="BR856"/>
      <x:c r="BS856"/>
      <x:c r="BT856"/>
      <x:c r="BU856"/>
      <x:c r="BV856"/>
      <x:c r="BW856"/>
      <x:c r="BX856"/>
      <x:c r="BY856"/>
      <x:c r="BZ856"/>
      <x:c r="CA856"/>
      <x:c r="CB856"/>
      <x:c r="CC856"/>
    </x:row>
    <x:row r="857">
      <x:c r="C857"/>
      <x:c r="D857"/>
      <x:c r="E857"/>
      <x:c r="F857"/>
      <x:c r="G857"/>
      <x:c r="H857"/>
      <x:c r="I857"/>
      <x:c r="J857"/>
      <x:c r="K857"/>
      <x:c r="L857"/>
      <x:c r="M857"/>
      <x:c r="N857"/>
      <x:c r="O857"/>
      <x:c r="P857"/>
      <x:c r="Q857"/>
      <x:c r="R857"/>
      <x:c r="S857"/>
      <x:c r="T857"/>
      <x:c r="U857"/>
      <x:c r="V857"/>
      <x:c r="W857"/>
      <x:c r="X857"/>
      <x:c r="Y857"/>
      <x:c r="Z857"/>
      <x:c r="AA857"/>
      <x:c r="AB857"/>
      <x:c r="AC857"/>
      <x:c r="AD857"/>
      <x:c r="AE857"/>
      <x:c r="AF857"/>
      <x:c r="AZ857"/>
      <x:c r="BA857"/>
      <x:c r="BB857"/>
      <x:c r="BC857"/>
      <x:c r="BD857"/>
      <x:c r="BE857"/>
      <x:c r="BF857"/>
      <x:c r="BG857"/>
      <x:c r="BH857"/>
      <x:c r="BI857"/>
      <x:c r="BJ857"/>
      <x:c r="BK857"/>
      <x:c r="BL857"/>
      <x:c r="BM857"/>
      <x:c r="BN857"/>
      <x:c r="BO857"/>
      <x:c r="BP857"/>
      <x:c r="BQ857"/>
      <x:c r="BR857"/>
      <x:c r="BS857"/>
      <x:c r="BT857"/>
      <x:c r="BU857"/>
      <x:c r="BV857"/>
      <x:c r="BW857"/>
      <x:c r="BX857"/>
      <x:c r="BY857"/>
      <x:c r="BZ857"/>
      <x:c r="CA857"/>
      <x:c r="CB857"/>
      <x:c r="CC857"/>
    </x:row>
    <x:row r="858">
      <x:c r="C858"/>
      <x:c r="D858"/>
      <x:c r="E858"/>
      <x:c r="F858"/>
      <x:c r="G858"/>
      <x:c r="H858"/>
      <x:c r="I858"/>
      <x:c r="J858"/>
      <x:c r="K858"/>
      <x:c r="L858"/>
      <x:c r="M858"/>
      <x:c r="N858"/>
      <x:c r="O858"/>
      <x:c r="P858"/>
      <x:c r="Q858"/>
      <x:c r="R858"/>
      <x:c r="S858"/>
      <x:c r="T858"/>
      <x:c r="U858"/>
      <x:c r="V858"/>
      <x:c r="W858"/>
      <x:c r="X858"/>
      <x:c r="Y858"/>
      <x:c r="Z858"/>
      <x:c r="AA858"/>
      <x:c r="AB858"/>
      <x:c r="AC858"/>
      <x:c r="AD858"/>
      <x:c r="AE858"/>
      <x:c r="AF858"/>
      <x:c r="AZ858"/>
      <x:c r="BA858"/>
      <x:c r="BB858"/>
      <x:c r="BC858"/>
      <x:c r="BD858"/>
      <x:c r="BE858"/>
      <x:c r="BF858"/>
      <x:c r="BG858"/>
      <x:c r="BH858"/>
      <x:c r="BI858"/>
      <x:c r="BJ858"/>
      <x:c r="BK858"/>
      <x:c r="BL858"/>
      <x:c r="BM858"/>
      <x:c r="BN858"/>
      <x:c r="BO858"/>
      <x:c r="BP858"/>
      <x:c r="BQ858"/>
      <x:c r="BR858"/>
      <x:c r="BS858"/>
      <x:c r="BT858"/>
      <x:c r="BU858"/>
      <x:c r="BV858"/>
      <x:c r="BW858"/>
      <x:c r="BX858"/>
      <x:c r="BY858"/>
      <x:c r="BZ858"/>
      <x:c r="CA858"/>
      <x:c r="CB858"/>
      <x:c r="CC858"/>
    </x:row>
    <x:row r="859">
      <x:c r="C859"/>
      <x:c r="D859"/>
      <x:c r="E859"/>
      <x:c r="F859"/>
      <x:c r="G859"/>
      <x:c r="H859"/>
      <x:c r="I859"/>
      <x:c r="J859"/>
      <x:c r="K859"/>
      <x:c r="L859"/>
      <x:c r="M859"/>
      <x:c r="N859"/>
      <x:c r="O859"/>
      <x:c r="P859"/>
      <x:c r="Q859"/>
      <x:c r="R859"/>
      <x:c r="S859"/>
      <x:c r="T859"/>
      <x:c r="U859"/>
      <x:c r="V859"/>
      <x:c r="W859"/>
      <x:c r="X859"/>
      <x:c r="Y859"/>
      <x:c r="Z859"/>
      <x:c r="AA859"/>
      <x:c r="AB859"/>
      <x:c r="AC859"/>
      <x:c r="AD859"/>
      <x:c r="AE859"/>
      <x:c r="AF859"/>
      <x:c r="AZ859"/>
      <x:c r="BA859"/>
      <x:c r="BB859"/>
      <x:c r="BC859"/>
      <x:c r="BD859"/>
      <x:c r="BE859"/>
      <x:c r="BF859"/>
      <x:c r="BG859"/>
      <x:c r="BH859"/>
      <x:c r="BI859"/>
      <x:c r="BJ859"/>
      <x:c r="BK859"/>
      <x:c r="BL859"/>
      <x:c r="BM859"/>
      <x:c r="BN859"/>
      <x:c r="BO859"/>
      <x:c r="BP859"/>
      <x:c r="BQ859"/>
      <x:c r="BR859"/>
      <x:c r="BS859"/>
      <x:c r="BT859"/>
      <x:c r="BU859"/>
      <x:c r="BV859"/>
      <x:c r="BW859"/>
      <x:c r="BX859"/>
      <x:c r="BY859"/>
      <x:c r="BZ859"/>
      <x:c r="CA859"/>
      <x:c r="CB859"/>
      <x:c r="CC859"/>
    </x:row>
    <x:row r="860">
      <x:c r="C860"/>
      <x:c r="D860"/>
      <x:c r="E860"/>
      <x:c r="F860"/>
      <x:c r="G860"/>
      <x:c r="H860"/>
      <x:c r="I860"/>
      <x:c r="J860"/>
      <x:c r="K860"/>
      <x:c r="L860"/>
      <x:c r="M860"/>
      <x:c r="N860"/>
      <x:c r="O860"/>
      <x:c r="P860"/>
      <x:c r="Q860"/>
      <x:c r="R860"/>
      <x:c r="S860"/>
      <x:c r="T860"/>
      <x:c r="U860"/>
      <x:c r="V860"/>
      <x:c r="W860"/>
      <x:c r="X860"/>
      <x:c r="Y860"/>
      <x:c r="Z860"/>
      <x:c r="AA860"/>
      <x:c r="AB860"/>
      <x:c r="AC860"/>
      <x:c r="AD860"/>
      <x:c r="AE860"/>
      <x:c r="AF860"/>
      <x:c r="AZ860"/>
      <x:c r="BA860"/>
      <x:c r="BB860"/>
      <x:c r="BC860"/>
      <x:c r="BD860"/>
      <x:c r="BE860"/>
      <x:c r="BF860"/>
      <x:c r="BG860"/>
      <x:c r="BH860"/>
      <x:c r="BI860"/>
      <x:c r="BJ860"/>
      <x:c r="BK860"/>
      <x:c r="BL860"/>
      <x:c r="BM860"/>
      <x:c r="BN860"/>
      <x:c r="BO860"/>
      <x:c r="BP860"/>
      <x:c r="BQ860"/>
      <x:c r="BR860"/>
      <x:c r="BS860"/>
      <x:c r="BT860"/>
      <x:c r="BU860"/>
      <x:c r="BV860"/>
      <x:c r="BW860"/>
      <x:c r="BX860"/>
      <x:c r="BY860"/>
      <x:c r="BZ860"/>
      <x:c r="CA860"/>
      <x:c r="CB860"/>
      <x:c r="CC860"/>
    </x:row>
    <x:row r="861">
      <x:c r="C861"/>
      <x:c r="D861"/>
      <x:c r="E861"/>
      <x:c r="F861"/>
      <x:c r="G861"/>
      <x:c r="H861"/>
      <x:c r="I861"/>
      <x:c r="J861"/>
      <x:c r="K861"/>
      <x:c r="L861"/>
      <x:c r="M861"/>
      <x:c r="N861"/>
      <x:c r="O861"/>
      <x:c r="P861"/>
      <x:c r="Q861"/>
      <x:c r="R861"/>
      <x:c r="S861"/>
      <x:c r="T861"/>
      <x:c r="U861"/>
      <x:c r="V861"/>
      <x:c r="W861"/>
      <x:c r="X861"/>
      <x:c r="Y861"/>
      <x:c r="Z861"/>
      <x:c r="AA861"/>
      <x:c r="AB861"/>
      <x:c r="AC861"/>
      <x:c r="AD861"/>
      <x:c r="AE861"/>
      <x:c r="AF861"/>
      <x:c r="AZ861"/>
      <x:c r="BA861"/>
      <x:c r="BB861"/>
      <x:c r="BC861"/>
      <x:c r="BD861"/>
      <x:c r="BE861"/>
      <x:c r="BF861"/>
      <x:c r="BG861"/>
      <x:c r="BH861"/>
      <x:c r="BI861"/>
      <x:c r="BJ861"/>
      <x:c r="BK861"/>
      <x:c r="BL861"/>
      <x:c r="BM861"/>
      <x:c r="BN861"/>
      <x:c r="BO861"/>
      <x:c r="BP861"/>
      <x:c r="BQ861"/>
      <x:c r="BR861"/>
      <x:c r="BS861"/>
      <x:c r="BT861"/>
      <x:c r="BU861"/>
      <x:c r="BV861"/>
      <x:c r="BW861"/>
      <x:c r="BX861"/>
      <x:c r="BY861"/>
      <x:c r="BZ861"/>
      <x:c r="CA861"/>
      <x:c r="CB861"/>
      <x:c r="CC861"/>
    </x:row>
    <x:row r="862">
      <x:c r="C862"/>
      <x:c r="D862"/>
      <x:c r="E862"/>
      <x:c r="F862"/>
      <x:c r="G862"/>
      <x:c r="H862"/>
      <x:c r="I862"/>
      <x:c r="J862"/>
      <x:c r="K862"/>
      <x:c r="L862"/>
      <x:c r="M862"/>
      <x:c r="N862"/>
      <x:c r="O862"/>
      <x:c r="P862"/>
      <x:c r="Q862"/>
      <x:c r="R862"/>
      <x:c r="S862"/>
      <x:c r="T862"/>
      <x:c r="U862"/>
      <x:c r="V862"/>
      <x:c r="W862"/>
      <x:c r="X862"/>
      <x:c r="Y862"/>
      <x:c r="Z862"/>
      <x:c r="AA862"/>
      <x:c r="AB862"/>
      <x:c r="AC862"/>
      <x:c r="AD862"/>
      <x:c r="AE862"/>
      <x:c r="AF862"/>
      <x:c r="AZ862"/>
      <x:c r="BA862"/>
      <x:c r="BB862"/>
      <x:c r="BC862"/>
      <x:c r="BD862"/>
      <x:c r="BE862"/>
      <x:c r="BF862"/>
      <x:c r="BG862"/>
      <x:c r="BH862"/>
      <x:c r="BI862"/>
      <x:c r="BJ862"/>
      <x:c r="BK862"/>
      <x:c r="BL862"/>
      <x:c r="BM862"/>
      <x:c r="BN862"/>
      <x:c r="BO862"/>
      <x:c r="BP862"/>
      <x:c r="BQ862"/>
      <x:c r="BR862"/>
      <x:c r="BS862"/>
      <x:c r="BT862"/>
      <x:c r="BU862"/>
      <x:c r="BV862"/>
      <x:c r="BW862"/>
      <x:c r="BX862"/>
      <x:c r="BY862"/>
      <x:c r="BZ862"/>
      <x:c r="CA862"/>
      <x:c r="CB862"/>
      <x:c r="CC862"/>
    </x:row>
    <x:row r="863">
      <x:c r="C863"/>
      <x:c r="D863"/>
      <x:c r="E863"/>
      <x:c r="F863"/>
      <x:c r="G863"/>
      <x:c r="H863"/>
      <x:c r="I863"/>
      <x:c r="J863"/>
      <x:c r="K863"/>
      <x:c r="L863"/>
      <x:c r="M863"/>
      <x:c r="N863"/>
      <x:c r="O863"/>
      <x:c r="P863"/>
      <x:c r="Q863"/>
      <x:c r="R863"/>
      <x:c r="S863"/>
      <x:c r="T863"/>
      <x:c r="U863"/>
      <x:c r="V863"/>
      <x:c r="W863"/>
      <x:c r="X863"/>
      <x:c r="Y863"/>
      <x:c r="Z863"/>
      <x:c r="AA863"/>
      <x:c r="AB863"/>
      <x:c r="AC863"/>
      <x:c r="AD863"/>
      <x:c r="AE863"/>
      <x:c r="AF863"/>
      <x:c r="AZ863"/>
      <x:c r="BA863"/>
      <x:c r="BB863"/>
      <x:c r="BC863"/>
      <x:c r="BD863"/>
      <x:c r="BE863"/>
      <x:c r="BF863"/>
      <x:c r="BG863"/>
      <x:c r="BH863"/>
      <x:c r="BI863"/>
      <x:c r="BJ863"/>
      <x:c r="BK863"/>
      <x:c r="BL863"/>
      <x:c r="BM863"/>
      <x:c r="BN863"/>
      <x:c r="BO863"/>
      <x:c r="BP863"/>
      <x:c r="BQ863"/>
      <x:c r="BR863"/>
      <x:c r="BS863"/>
      <x:c r="BT863"/>
      <x:c r="BU863"/>
      <x:c r="BV863"/>
      <x:c r="BW863"/>
      <x:c r="BX863"/>
      <x:c r="BY863"/>
      <x:c r="BZ863"/>
      <x:c r="CA863"/>
      <x:c r="CB863"/>
      <x:c r="CC863"/>
    </x:row>
    <x:row r="864">
      <x:c r="C864"/>
      <x:c r="D864"/>
      <x:c r="E864"/>
      <x:c r="F864"/>
      <x:c r="G864"/>
      <x:c r="H864"/>
      <x:c r="I864"/>
      <x:c r="J864"/>
      <x:c r="K864"/>
      <x:c r="L864"/>
      <x:c r="M864"/>
      <x:c r="N864"/>
      <x:c r="O864"/>
      <x:c r="P864"/>
      <x:c r="Q864"/>
      <x:c r="R864"/>
      <x:c r="S864"/>
      <x:c r="T864"/>
      <x:c r="U864"/>
      <x:c r="V864"/>
      <x:c r="W864"/>
      <x:c r="X864"/>
      <x:c r="Y864"/>
      <x:c r="Z864"/>
      <x:c r="AA864"/>
      <x:c r="AB864"/>
      <x:c r="AC864"/>
      <x:c r="AD864"/>
      <x:c r="AE864"/>
      <x:c r="AF864"/>
      <x:c r="AZ864"/>
      <x:c r="BA864"/>
      <x:c r="BB864"/>
      <x:c r="BC864"/>
      <x:c r="BD864"/>
      <x:c r="BE864"/>
      <x:c r="BF864"/>
      <x:c r="BG864"/>
      <x:c r="BH864"/>
      <x:c r="BI864"/>
      <x:c r="BJ864"/>
      <x:c r="BK864"/>
      <x:c r="BL864"/>
      <x:c r="BM864"/>
      <x:c r="BN864"/>
      <x:c r="BO864"/>
      <x:c r="BP864"/>
      <x:c r="BQ864"/>
      <x:c r="BR864"/>
      <x:c r="BS864"/>
      <x:c r="BT864"/>
      <x:c r="BU864"/>
      <x:c r="BV864"/>
      <x:c r="BW864"/>
      <x:c r="BX864"/>
      <x:c r="BY864"/>
      <x:c r="BZ864"/>
      <x:c r="CA864"/>
      <x:c r="CB864"/>
      <x:c r="CC864"/>
    </x:row>
    <x:row r="865">
      <x:c r="C865"/>
      <x:c r="D865"/>
      <x:c r="E865"/>
      <x:c r="F865"/>
      <x:c r="G865"/>
      <x:c r="H865"/>
      <x:c r="I865"/>
      <x:c r="J865"/>
      <x:c r="K865"/>
      <x:c r="L865"/>
      <x:c r="M865"/>
      <x:c r="N865"/>
      <x:c r="O865"/>
      <x:c r="P865"/>
      <x:c r="Q865"/>
      <x:c r="R865"/>
      <x:c r="S865"/>
      <x:c r="T865"/>
      <x:c r="U865"/>
      <x:c r="V865"/>
      <x:c r="W865"/>
      <x:c r="X865"/>
      <x:c r="Y865"/>
      <x:c r="Z865"/>
      <x:c r="AA865"/>
      <x:c r="AB865"/>
      <x:c r="AC865"/>
      <x:c r="AD865"/>
      <x:c r="AE865"/>
      <x:c r="AF865"/>
      <x:c r="AZ865"/>
      <x:c r="BA865"/>
      <x:c r="BB865"/>
      <x:c r="BC865"/>
      <x:c r="BD865"/>
      <x:c r="BE865"/>
      <x:c r="BF865"/>
      <x:c r="BG865"/>
      <x:c r="BH865"/>
      <x:c r="BI865"/>
      <x:c r="BJ865"/>
      <x:c r="BK865"/>
      <x:c r="BL865"/>
      <x:c r="BM865"/>
      <x:c r="BN865"/>
      <x:c r="BO865"/>
      <x:c r="BP865"/>
      <x:c r="BQ865"/>
      <x:c r="BR865"/>
      <x:c r="BS865"/>
      <x:c r="BT865"/>
      <x:c r="BU865"/>
      <x:c r="BV865"/>
      <x:c r="BW865"/>
      <x:c r="BX865"/>
      <x:c r="BY865"/>
      <x:c r="BZ865"/>
      <x:c r="CA865"/>
      <x:c r="CB865"/>
      <x:c r="CC865"/>
    </x:row>
    <x:row r="866">
      <x:c r="C866"/>
      <x:c r="D866"/>
      <x:c r="E866"/>
      <x:c r="F866"/>
      <x:c r="G866"/>
      <x:c r="H866"/>
      <x:c r="I866"/>
      <x:c r="J866"/>
      <x:c r="K866"/>
      <x:c r="L866"/>
      <x:c r="M866"/>
      <x:c r="N866"/>
      <x:c r="O866"/>
      <x:c r="P866"/>
      <x:c r="Q866"/>
      <x:c r="R866"/>
      <x:c r="S866"/>
      <x:c r="T866"/>
      <x:c r="U866"/>
      <x:c r="V866"/>
      <x:c r="W866"/>
      <x:c r="X866"/>
      <x:c r="Y866"/>
      <x:c r="Z866"/>
      <x:c r="AA866"/>
      <x:c r="AB866"/>
      <x:c r="AC866"/>
      <x:c r="AD866"/>
      <x:c r="AE866"/>
      <x:c r="AF866"/>
      <x:c r="AZ866"/>
      <x:c r="BA866"/>
      <x:c r="BB866"/>
      <x:c r="BC866"/>
      <x:c r="BD866"/>
      <x:c r="BE866"/>
      <x:c r="BF866"/>
      <x:c r="BG866"/>
      <x:c r="BH866"/>
      <x:c r="BI866"/>
      <x:c r="BJ866"/>
      <x:c r="BK866"/>
      <x:c r="BL866"/>
      <x:c r="BM866"/>
      <x:c r="BN866"/>
      <x:c r="BO866"/>
      <x:c r="BP866"/>
      <x:c r="BQ866"/>
      <x:c r="BR866"/>
      <x:c r="BS866"/>
      <x:c r="BT866"/>
      <x:c r="BU866"/>
      <x:c r="BV866"/>
      <x:c r="BW866"/>
      <x:c r="BX866"/>
      <x:c r="BY866"/>
      <x:c r="BZ866"/>
      <x:c r="CA866"/>
      <x:c r="CB866"/>
      <x:c r="CC866"/>
    </x:row>
    <x:row r="867">
      <x:c r="C867"/>
      <x:c r="D867"/>
      <x:c r="E867"/>
      <x:c r="F867"/>
      <x:c r="G867"/>
      <x:c r="H867"/>
      <x:c r="I867"/>
      <x:c r="J867"/>
      <x:c r="K867"/>
      <x:c r="L867"/>
      <x:c r="M867"/>
      <x:c r="N867"/>
      <x:c r="O867"/>
      <x:c r="P867"/>
      <x:c r="Q867"/>
      <x:c r="R867"/>
      <x:c r="S867"/>
      <x:c r="T867"/>
      <x:c r="U867"/>
      <x:c r="V867"/>
      <x:c r="W867"/>
      <x:c r="X867"/>
      <x:c r="Y867"/>
      <x:c r="Z867"/>
      <x:c r="AA867"/>
      <x:c r="AB867"/>
      <x:c r="AC867"/>
      <x:c r="AD867"/>
      <x:c r="AE867"/>
      <x:c r="AF867"/>
      <x:c r="AZ867"/>
      <x:c r="BA867"/>
      <x:c r="BB867"/>
      <x:c r="BC867"/>
      <x:c r="BD867"/>
      <x:c r="BE867"/>
      <x:c r="BF867"/>
      <x:c r="BG867"/>
      <x:c r="BH867"/>
      <x:c r="BI867"/>
      <x:c r="BJ867"/>
      <x:c r="BK867"/>
      <x:c r="BL867"/>
      <x:c r="BM867"/>
      <x:c r="BN867"/>
      <x:c r="BO867"/>
      <x:c r="BP867"/>
      <x:c r="BQ867"/>
      <x:c r="BR867"/>
      <x:c r="BS867"/>
      <x:c r="BT867"/>
      <x:c r="BU867"/>
      <x:c r="BV867"/>
      <x:c r="BW867"/>
      <x:c r="BX867"/>
      <x:c r="BY867"/>
      <x:c r="BZ867"/>
      <x:c r="CA867"/>
      <x:c r="CB867"/>
      <x:c r="CC867"/>
    </x:row>
    <x:row r="868">
      <x:c r="C868"/>
      <x:c r="D868"/>
      <x:c r="E868"/>
      <x:c r="F868"/>
      <x:c r="G868"/>
      <x:c r="H868"/>
      <x:c r="I868"/>
      <x:c r="J868"/>
      <x:c r="K868"/>
      <x:c r="L868"/>
      <x:c r="M868"/>
      <x:c r="N868"/>
      <x:c r="O868"/>
      <x:c r="P868"/>
      <x:c r="Q868"/>
      <x:c r="R868"/>
      <x:c r="S868"/>
      <x:c r="T868"/>
      <x:c r="U868"/>
      <x:c r="V868"/>
      <x:c r="W868"/>
      <x:c r="X868"/>
      <x:c r="Y868"/>
      <x:c r="Z868"/>
      <x:c r="AA868"/>
      <x:c r="AB868"/>
      <x:c r="AC868"/>
      <x:c r="AD868"/>
      <x:c r="AE868"/>
      <x:c r="AF868"/>
      <x:c r="AZ868"/>
      <x:c r="BA868"/>
      <x:c r="BB868"/>
      <x:c r="BC868"/>
      <x:c r="BD868"/>
      <x:c r="BE868"/>
      <x:c r="BF868"/>
      <x:c r="BG868"/>
      <x:c r="BH868"/>
      <x:c r="BI868"/>
      <x:c r="BJ868"/>
      <x:c r="BK868"/>
      <x:c r="BL868"/>
      <x:c r="BM868"/>
      <x:c r="BN868"/>
      <x:c r="BO868"/>
      <x:c r="BP868"/>
      <x:c r="BQ868"/>
      <x:c r="BR868"/>
      <x:c r="BS868"/>
      <x:c r="BT868"/>
      <x:c r="BU868"/>
      <x:c r="BV868"/>
      <x:c r="BW868"/>
      <x:c r="BX868"/>
      <x:c r="BY868"/>
      <x:c r="BZ868"/>
      <x:c r="CA868"/>
      <x:c r="CB868"/>
      <x:c r="CC868"/>
    </x:row>
    <x:row r="869">
      <x:c r="C869"/>
      <x:c r="D869"/>
      <x:c r="E869"/>
      <x:c r="F869"/>
      <x:c r="G869"/>
      <x:c r="H869"/>
      <x:c r="I869"/>
      <x:c r="J869"/>
      <x:c r="K869"/>
      <x:c r="L869"/>
      <x:c r="M869"/>
      <x:c r="N869"/>
      <x:c r="O869"/>
      <x:c r="P869"/>
      <x:c r="Q869"/>
      <x:c r="R869"/>
      <x:c r="S869"/>
      <x:c r="T869"/>
      <x:c r="U869"/>
      <x:c r="V869"/>
      <x:c r="W869"/>
      <x:c r="X869"/>
      <x:c r="Y869"/>
      <x:c r="Z869"/>
      <x:c r="AA869"/>
      <x:c r="AB869"/>
      <x:c r="AC869"/>
      <x:c r="AD869"/>
      <x:c r="AE869"/>
      <x:c r="AF869"/>
      <x:c r="AZ869"/>
      <x:c r="BA869"/>
      <x:c r="BB869"/>
      <x:c r="BC869"/>
      <x:c r="BD869"/>
      <x:c r="BE869"/>
      <x:c r="BF869"/>
      <x:c r="BG869"/>
      <x:c r="BH869"/>
      <x:c r="BI869"/>
      <x:c r="BJ869"/>
      <x:c r="BK869"/>
      <x:c r="BL869"/>
      <x:c r="BM869"/>
      <x:c r="BN869"/>
      <x:c r="BO869"/>
      <x:c r="BP869"/>
      <x:c r="BQ869"/>
      <x:c r="BR869"/>
      <x:c r="BS869"/>
      <x:c r="BT869"/>
      <x:c r="BU869"/>
      <x:c r="BV869"/>
      <x:c r="BW869"/>
      <x:c r="BX869"/>
      <x:c r="BY869"/>
      <x:c r="BZ869"/>
      <x:c r="CA869"/>
      <x:c r="CB869"/>
      <x:c r="CC869"/>
    </x:row>
    <x:row r="870">
      <x:c r="C870"/>
      <x:c r="D870"/>
      <x:c r="E870"/>
      <x:c r="F870"/>
      <x:c r="G870"/>
      <x:c r="H870"/>
      <x:c r="I870"/>
      <x:c r="J870"/>
      <x:c r="K870"/>
      <x:c r="L870"/>
      <x:c r="M870"/>
      <x:c r="N870"/>
      <x:c r="O870"/>
      <x:c r="P870"/>
      <x:c r="Q870"/>
      <x:c r="R870"/>
      <x:c r="S870"/>
      <x:c r="T870"/>
      <x:c r="U870"/>
      <x:c r="V870"/>
      <x:c r="W870"/>
      <x:c r="X870"/>
      <x:c r="Y870"/>
      <x:c r="Z870"/>
      <x:c r="AA870"/>
      <x:c r="AB870"/>
      <x:c r="AC870"/>
      <x:c r="AD870"/>
      <x:c r="AE870"/>
      <x:c r="AF870"/>
      <x:c r="AZ870"/>
      <x:c r="BA870"/>
      <x:c r="BB870"/>
      <x:c r="BC870"/>
      <x:c r="BD870"/>
      <x:c r="BE870"/>
      <x:c r="BF870"/>
      <x:c r="BG870"/>
      <x:c r="BH870"/>
      <x:c r="BI870"/>
      <x:c r="BJ870"/>
      <x:c r="BK870"/>
      <x:c r="BL870"/>
      <x:c r="BM870"/>
      <x:c r="BN870"/>
      <x:c r="BO870"/>
      <x:c r="BP870"/>
      <x:c r="BQ870"/>
      <x:c r="BR870"/>
      <x:c r="BS870"/>
      <x:c r="BT870"/>
      <x:c r="BU870"/>
      <x:c r="BV870"/>
      <x:c r="BW870"/>
      <x:c r="BX870"/>
      <x:c r="BY870"/>
      <x:c r="BZ870"/>
      <x:c r="CA870"/>
      <x:c r="CB870"/>
      <x:c r="CC870"/>
    </x:row>
    <x:row r="871">
      <x:c r="C871"/>
      <x:c r="D871"/>
      <x:c r="E871"/>
      <x:c r="F871"/>
      <x:c r="G871"/>
      <x:c r="H871"/>
      <x:c r="I871"/>
      <x:c r="J871"/>
      <x:c r="K871"/>
      <x:c r="L871"/>
      <x:c r="M871"/>
      <x:c r="N871"/>
      <x:c r="O871"/>
      <x:c r="P871"/>
      <x:c r="Q871"/>
      <x:c r="R871"/>
      <x:c r="S871"/>
      <x:c r="T871"/>
      <x:c r="U871"/>
      <x:c r="V871"/>
      <x:c r="W871"/>
      <x:c r="X871"/>
      <x:c r="Y871"/>
      <x:c r="Z871"/>
      <x:c r="AA871"/>
      <x:c r="AB871"/>
      <x:c r="AC871"/>
      <x:c r="AD871"/>
      <x:c r="AE871"/>
      <x:c r="AF871"/>
      <x:c r="AZ871"/>
      <x:c r="BA871"/>
      <x:c r="BB871"/>
      <x:c r="BC871"/>
      <x:c r="BD871"/>
      <x:c r="BE871"/>
      <x:c r="BF871"/>
      <x:c r="BG871"/>
      <x:c r="BH871"/>
      <x:c r="BI871"/>
      <x:c r="BJ871"/>
      <x:c r="BK871"/>
      <x:c r="BL871"/>
      <x:c r="BM871"/>
      <x:c r="BN871"/>
      <x:c r="BO871"/>
      <x:c r="BP871"/>
      <x:c r="BQ871"/>
      <x:c r="BR871"/>
      <x:c r="BS871"/>
      <x:c r="BT871"/>
      <x:c r="BU871"/>
      <x:c r="BV871"/>
      <x:c r="BW871"/>
      <x:c r="BX871"/>
      <x:c r="BY871"/>
      <x:c r="BZ871"/>
      <x:c r="CA871"/>
      <x:c r="CB871"/>
      <x:c r="CC871"/>
    </x:row>
    <x:row r="872">
      <x:c r="C872"/>
      <x:c r="D872"/>
      <x:c r="E872"/>
      <x:c r="F872"/>
      <x:c r="G872"/>
      <x:c r="H872"/>
      <x:c r="I872"/>
      <x:c r="J872"/>
      <x:c r="K872"/>
      <x:c r="L872"/>
      <x:c r="M872"/>
      <x:c r="N872"/>
      <x:c r="O872"/>
      <x:c r="P872"/>
      <x:c r="Q872"/>
      <x:c r="R872"/>
      <x:c r="S872"/>
      <x:c r="T872"/>
      <x:c r="U872"/>
      <x:c r="V872"/>
      <x:c r="W872"/>
      <x:c r="X872"/>
      <x:c r="Y872"/>
      <x:c r="Z872"/>
      <x:c r="AA872"/>
      <x:c r="AB872"/>
      <x:c r="AC872"/>
      <x:c r="AD872"/>
      <x:c r="AE872"/>
      <x:c r="AF872"/>
      <x:c r="AZ872"/>
      <x:c r="BA872"/>
      <x:c r="BB872"/>
      <x:c r="BC872"/>
      <x:c r="BD872"/>
      <x:c r="BE872"/>
      <x:c r="BF872"/>
      <x:c r="BG872"/>
      <x:c r="BH872"/>
      <x:c r="BI872"/>
      <x:c r="BJ872"/>
      <x:c r="BK872"/>
      <x:c r="BL872"/>
      <x:c r="BM872"/>
      <x:c r="BN872"/>
      <x:c r="BO872"/>
      <x:c r="BP872"/>
      <x:c r="BQ872"/>
      <x:c r="BR872"/>
      <x:c r="BS872"/>
      <x:c r="BT872"/>
      <x:c r="BU872"/>
      <x:c r="BV872"/>
      <x:c r="BW872"/>
      <x:c r="BX872"/>
      <x:c r="BY872"/>
      <x:c r="BZ872"/>
      <x:c r="CA872"/>
      <x:c r="CB872"/>
      <x:c r="CC872"/>
    </x:row>
    <x:row r="873">
      <x:c r="C873"/>
      <x:c r="D873"/>
      <x:c r="E873"/>
      <x:c r="F873"/>
      <x:c r="G873"/>
      <x:c r="H873"/>
      <x:c r="I873"/>
      <x:c r="J873"/>
      <x:c r="K873"/>
      <x:c r="L873"/>
      <x:c r="M873"/>
      <x:c r="N873"/>
      <x:c r="O873"/>
      <x:c r="P873"/>
      <x:c r="Q873"/>
      <x:c r="R873"/>
      <x:c r="S873"/>
      <x:c r="T873"/>
      <x:c r="U873"/>
      <x:c r="V873"/>
      <x:c r="W873"/>
      <x:c r="X873"/>
      <x:c r="Y873"/>
      <x:c r="Z873"/>
      <x:c r="AA873"/>
      <x:c r="AB873"/>
      <x:c r="AC873"/>
      <x:c r="AD873"/>
      <x:c r="AE873"/>
      <x:c r="AF873"/>
      <x:c r="AZ873"/>
      <x:c r="BA873"/>
      <x:c r="BB873"/>
      <x:c r="BC873"/>
      <x:c r="BD873"/>
      <x:c r="BE873"/>
      <x:c r="BF873"/>
      <x:c r="BG873"/>
      <x:c r="BH873"/>
      <x:c r="BI873"/>
      <x:c r="BJ873"/>
      <x:c r="BK873"/>
      <x:c r="BL873"/>
      <x:c r="BM873"/>
      <x:c r="BN873"/>
      <x:c r="BO873"/>
      <x:c r="BP873"/>
      <x:c r="BQ873"/>
      <x:c r="BR873"/>
      <x:c r="BS873"/>
      <x:c r="BT873"/>
      <x:c r="BU873"/>
      <x:c r="BV873"/>
      <x:c r="BW873"/>
      <x:c r="BX873"/>
      <x:c r="BY873"/>
      <x:c r="BZ873"/>
      <x:c r="CA873"/>
      <x:c r="CB873"/>
      <x:c r="CC873"/>
    </x:row>
    <x:row r="874">
      <x:c r="C874"/>
      <x:c r="D874"/>
      <x:c r="E874"/>
      <x:c r="F874"/>
      <x:c r="G874"/>
      <x:c r="H874"/>
      <x:c r="I874"/>
      <x:c r="J874"/>
      <x:c r="K874"/>
      <x:c r="L874"/>
      <x:c r="M874"/>
      <x:c r="N874"/>
      <x:c r="O874"/>
      <x:c r="P874"/>
      <x:c r="Q874"/>
      <x:c r="R874"/>
      <x:c r="S874"/>
      <x:c r="T874"/>
      <x:c r="U874"/>
      <x:c r="V874"/>
      <x:c r="W874"/>
      <x:c r="X874"/>
      <x:c r="Y874"/>
      <x:c r="Z874"/>
      <x:c r="AA874"/>
      <x:c r="AB874"/>
      <x:c r="AC874"/>
      <x:c r="AD874"/>
      <x:c r="AE874"/>
      <x:c r="AF874"/>
      <x:c r="AZ874"/>
      <x:c r="BA874"/>
      <x:c r="BB874"/>
      <x:c r="BC874"/>
      <x:c r="BD874"/>
      <x:c r="BE874"/>
      <x:c r="BF874"/>
      <x:c r="BG874"/>
      <x:c r="BH874"/>
      <x:c r="BI874"/>
      <x:c r="BJ874"/>
      <x:c r="BK874"/>
      <x:c r="BL874"/>
      <x:c r="BM874"/>
      <x:c r="BN874"/>
      <x:c r="BO874"/>
      <x:c r="BP874"/>
      <x:c r="BQ874"/>
      <x:c r="BR874"/>
      <x:c r="BS874"/>
      <x:c r="BT874"/>
      <x:c r="BU874"/>
      <x:c r="BV874"/>
      <x:c r="BW874"/>
      <x:c r="BX874"/>
      <x:c r="BY874"/>
      <x:c r="BZ874"/>
      <x:c r="CA874"/>
      <x:c r="CB874"/>
      <x:c r="CC874"/>
    </x:row>
    <x:row r="875">
      <x:c r="C875"/>
      <x:c r="D875"/>
      <x:c r="E875"/>
      <x:c r="F875"/>
      <x:c r="G875"/>
      <x:c r="H875"/>
      <x:c r="I875"/>
      <x:c r="J875"/>
      <x:c r="K875"/>
      <x:c r="L875"/>
      <x:c r="M875"/>
      <x:c r="N875"/>
      <x:c r="O875"/>
      <x:c r="P875"/>
      <x:c r="Q875"/>
      <x:c r="R875"/>
      <x:c r="S875"/>
      <x:c r="T875"/>
      <x:c r="U875"/>
      <x:c r="V875"/>
      <x:c r="W875"/>
      <x:c r="X875"/>
      <x:c r="Y875"/>
      <x:c r="Z875"/>
      <x:c r="AA875"/>
      <x:c r="AB875"/>
      <x:c r="AC875"/>
      <x:c r="AD875"/>
      <x:c r="AE875"/>
      <x:c r="AF875"/>
      <x:c r="AZ875"/>
      <x:c r="BA875"/>
      <x:c r="BB875"/>
      <x:c r="BC875"/>
      <x:c r="BD875"/>
      <x:c r="BE875"/>
      <x:c r="BF875"/>
      <x:c r="BG875"/>
      <x:c r="BH875"/>
      <x:c r="BI875"/>
      <x:c r="BJ875"/>
      <x:c r="BK875"/>
      <x:c r="BL875"/>
      <x:c r="BM875"/>
      <x:c r="BN875"/>
      <x:c r="BO875"/>
      <x:c r="BP875"/>
      <x:c r="BQ875"/>
      <x:c r="BR875"/>
      <x:c r="BS875"/>
      <x:c r="BT875"/>
      <x:c r="BU875"/>
      <x:c r="BV875"/>
      <x:c r="BW875"/>
      <x:c r="BX875"/>
      <x:c r="BY875"/>
      <x:c r="BZ875"/>
      <x:c r="CA875"/>
      <x:c r="CB875"/>
      <x:c r="CC875"/>
    </x:row>
    <x:row r="876">
      <x:c r="C876"/>
      <x:c r="D876"/>
      <x:c r="E876"/>
      <x:c r="F876"/>
      <x:c r="G876"/>
      <x:c r="H876"/>
      <x:c r="I876"/>
      <x:c r="J876"/>
      <x:c r="K876"/>
      <x:c r="L876"/>
      <x:c r="M876"/>
      <x:c r="N876"/>
      <x:c r="O876"/>
      <x:c r="P876"/>
      <x:c r="Q876"/>
      <x:c r="R876"/>
      <x:c r="S876"/>
      <x:c r="T876"/>
      <x:c r="U876"/>
      <x:c r="V876"/>
      <x:c r="W876"/>
      <x:c r="X876"/>
      <x:c r="Y876"/>
      <x:c r="Z876"/>
      <x:c r="AA876"/>
      <x:c r="AB876"/>
      <x:c r="AC876"/>
      <x:c r="AD876"/>
      <x:c r="AE876"/>
      <x:c r="AF876"/>
      <x:c r="AZ876"/>
      <x:c r="BA876"/>
      <x:c r="BB876"/>
      <x:c r="BC876"/>
      <x:c r="BD876"/>
      <x:c r="BE876"/>
      <x:c r="BF876"/>
      <x:c r="BG876"/>
      <x:c r="BH876"/>
      <x:c r="BI876"/>
      <x:c r="BJ876"/>
      <x:c r="BK876"/>
      <x:c r="BL876"/>
      <x:c r="BM876"/>
      <x:c r="BN876"/>
      <x:c r="BO876"/>
      <x:c r="BP876"/>
      <x:c r="BQ876"/>
      <x:c r="BR876"/>
      <x:c r="BS876"/>
      <x:c r="BT876"/>
      <x:c r="BU876"/>
      <x:c r="BV876"/>
      <x:c r="BW876"/>
      <x:c r="BX876"/>
      <x:c r="BY876"/>
      <x:c r="BZ876"/>
      <x:c r="CA876"/>
      <x:c r="CB876"/>
      <x:c r="CC876"/>
    </x:row>
    <x:row r="877">
      <x:c r="C877"/>
      <x:c r="D877"/>
      <x:c r="E877"/>
      <x:c r="F877"/>
      <x:c r="G877"/>
      <x:c r="H877"/>
      <x:c r="I877"/>
      <x:c r="J877"/>
      <x:c r="K877"/>
      <x:c r="L877"/>
      <x:c r="M877"/>
      <x:c r="N877"/>
      <x:c r="O877"/>
      <x:c r="P877"/>
      <x:c r="Q877"/>
      <x:c r="R877"/>
      <x:c r="S877"/>
      <x:c r="T877"/>
      <x:c r="U877"/>
      <x:c r="V877"/>
      <x:c r="W877"/>
      <x:c r="X877"/>
      <x:c r="Y877"/>
      <x:c r="Z877"/>
      <x:c r="AA877"/>
      <x:c r="AB877"/>
      <x:c r="AC877"/>
      <x:c r="AD877"/>
      <x:c r="AE877"/>
      <x:c r="AF877"/>
      <x:c r="AZ877"/>
      <x:c r="BA877"/>
      <x:c r="BB877"/>
      <x:c r="BC877"/>
      <x:c r="BD877"/>
      <x:c r="BE877"/>
      <x:c r="BF877"/>
      <x:c r="BG877"/>
      <x:c r="BH877"/>
      <x:c r="BI877"/>
      <x:c r="BJ877"/>
      <x:c r="BK877"/>
      <x:c r="BL877"/>
      <x:c r="BM877"/>
      <x:c r="BN877"/>
      <x:c r="BO877"/>
      <x:c r="BP877"/>
      <x:c r="BQ877"/>
      <x:c r="BR877"/>
      <x:c r="BS877"/>
      <x:c r="BT877"/>
      <x:c r="BU877"/>
      <x:c r="BV877"/>
      <x:c r="BW877"/>
      <x:c r="BX877"/>
      <x:c r="BY877"/>
      <x:c r="BZ877"/>
      <x:c r="CA877"/>
      <x:c r="CB877"/>
      <x:c r="CC877"/>
    </x:row>
    <x:row r="878">
      <x:c r="C878"/>
      <x:c r="D878"/>
      <x:c r="E878"/>
      <x:c r="F878"/>
      <x:c r="G878"/>
      <x:c r="H878"/>
      <x:c r="I878"/>
      <x:c r="J878"/>
      <x:c r="K878"/>
      <x:c r="L878"/>
      <x:c r="M878"/>
      <x:c r="N878"/>
      <x:c r="O878"/>
      <x:c r="P878"/>
      <x:c r="Q878"/>
      <x:c r="R878"/>
      <x:c r="S878"/>
      <x:c r="T878"/>
      <x:c r="U878"/>
      <x:c r="V878"/>
      <x:c r="W878"/>
      <x:c r="X878"/>
      <x:c r="Y878"/>
      <x:c r="Z878"/>
      <x:c r="AA878"/>
      <x:c r="AB878"/>
      <x:c r="AC878"/>
      <x:c r="AD878"/>
      <x:c r="AE878"/>
      <x:c r="AF878"/>
      <x:c r="AZ878"/>
      <x:c r="BA878"/>
      <x:c r="BB878"/>
      <x:c r="BC878"/>
      <x:c r="BD878"/>
      <x:c r="BE878"/>
      <x:c r="BF878"/>
      <x:c r="BG878"/>
      <x:c r="BH878"/>
      <x:c r="BI878"/>
      <x:c r="BJ878"/>
      <x:c r="BK878"/>
      <x:c r="BL878"/>
      <x:c r="BM878"/>
      <x:c r="BN878"/>
      <x:c r="BO878"/>
      <x:c r="BP878"/>
      <x:c r="BQ878"/>
      <x:c r="BR878"/>
      <x:c r="BS878"/>
      <x:c r="BT878"/>
      <x:c r="BU878"/>
      <x:c r="BV878"/>
      <x:c r="BW878"/>
      <x:c r="BX878"/>
      <x:c r="BY878"/>
      <x:c r="BZ878"/>
      <x:c r="CA878"/>
      <x:c r="CB878"/>
      <x:c r="CC878"/>
    </x:row>
    <x:row r="879">
      <x:c r="C879"/>
      <x:c r="D879"/>
      <x:c r="E879"/>
      <x:c r="F879"/>
      <x:c r="G879"/>
      <x:c r="H879"/>
      <x:c r="I879"/>
      <x:c r="J879"/>
      <x:c r="K879"/>
      <x:c r="L879"/>
      <x:c r="M879"/>
      <x:c r="N879"/>
      <x:c r="O879"/>
      <x:c r="P879"/>
      <x:c r="Q879"/>
      <x:c r="R879"/>
      <x:c r="S879"/>
      <x:c r="T879"/>
      <x:c r="U879"/>
      <x:c r="V879"/>
      <x:c r="W879"/>
      <x:c r="X879"/>
      <x:c r="Y879"/>
      <x:c r="Z879"/>
      <x:c r="AA879"/>
      <x:c r="AB879"/>
      <x:c r="AC879"/>
      <x:c r="AD879"/>
      <x:c r="AE879"/>
      <x:c r="AF879"/>
      <x:c r="AZ879"/>
      <x:c r="BA879"/>
      <x:c r="BB879"/>
      <x:c r="BC879"/>
      <x:c r="BD879"/>
      <x:c r="BE879"/>
      <x:c r="BF879"/>
      <x:c r="BG879"/>
      <x:c r="BH879"/>
      <x:c r="BI879"/>
      <x:c r="BJ879"/>
      <x:c r="BK879"/>
      <x:c r="BL879"/>
      <x:c r="BM879"/>
      <x:c r="BN879"/>
      <x:c r="BO879"/>
      <x:c r="BP879"/>
      <x:c r="BQ879"/>
      <x:c r="BR879"/>
      <x:c r="BS879"/>
      <x:c r="BT879"/>
      <x:c r="BU879"/>
      <x:c r="BV879"/>
      <x:c r="BW879"/>
      <x:c r="BX879"/>
      <x:c r="BY879"/>
      <x:c r="BZ879"/>
      <x:c r="CA879"/>
      <x:c r="CB879"/>
      <x:c r="CC879"/>
    </x:row>
    <x:row r="880">
      <x:c r="C880"/>
      <x:c r="D880"/>
      <x:c r="E880"/>
      <x:c r="F880"/>
      <x:c r="G880"/>
      <x:c r="H880"/>
      <x:c r="I880"/>
      <x:c r="J880"/>
      <x:c r="K880"/>
      <x:c r="L880"/>
      <x:c r="M880"/>
      <x:c r="N880"/>
      <x:c r="O880"/>
      <x:c r="P880"/>
      <x:c r="Q880"/>
      <x:c r="R880"/>
      <x:c r="S880"/>
      <x:c r="T880"/>
      <x:c r="U880"/>
      <x:c r="V880"/>
      <x:c r="W880"/>
      <x:c r="X880"/>
      <x:c r="Y880"/>
      <x:c r="Z880"/>
      <x:c r="AA880"/>
      <x:c r="AB880"/>
      <x:c r="AC880"/>
      <x:c r="AD880"/>
      <x:c r="AE880"/>
      <x:c r="AF880"/>
      <x:c r="AZ880"/>
      <x:c r="BA880"/>
      <x:c r="BB880"/>
      <x:c r="BC880"/>
      <x:c r="BD880"/>
      <x:c r="BE880"/>
      <x:c r="BF880"/>
      <x:c r="BG880"/>
      <x:c r="BH880"/>
      <x:c r="BI880"/>
      <x:c r="BJ880"/>
      <x:c r="BK880"/>
      <x:c r="BL880"/>
      <x:c r="BM880"/>
      <x:c r="BN880"/>
      <x:c r="BO880"/>
      <x:c r="BP880"/>
      <x:c r="BQ880"/>
      <x:c r="BR880"/>
      <x:c r="BS880"/>
      <x:c r="BT880"/>
      <x:c r="BU880"/>
      <x:c r="BV880"/>
      <x:c r="BW880"/>
      <x:c r="BX880"/>
      <x:c r="BY880"/>
      <x:c r="BZ880"/>
      <x:c r="CA880"/>
      <x:c r="CB880"/>
      <x:c r="CC880"/>
    </x:row>
    <x:row r="881">
      <x:c r="C881"/>
      <x:c r="D881"/>
      <x:c r="E881"/>
      <x:c r="F881"/>
      <x:c r="G881"/>
      <x:c r="H881"/>
      <x:c r="I881"/>
      <x:c r="J881"/>
      <x:c r="K881"/>
      <x:c r="L881"/>
      <x:c r="M881"/>
      <x:c r="N881"/>
      <x:c r="O881"/>
      <x:c r="P881"/>
      <x:c r="Q881"/>
      <x:c r="R881"/>
      <x:c r="S881"/>
      <x:c r="T881"/>
      <x:c r="U881"/>
      <x:c r="V881"/>
      <x:c r="W881"/>
      <x:c r="X881"/>
      <x:c r="Y881"/>
      <x:c r="Z881"/>
      <x:c r="AA881"/>
      <x:c r="AB881"/>
      <x:c r="AC881"/>
      <x:c r="AD881"/>
      <x:c r="AE881"/>
      <x:c r="AF881"/>
      <x:c r="AZ881"/>
      <x:c r="BA881"/>
      <x:c r="BB881"/>
      <x:c r="BC881"/>
      <x:c r="BD881"/>
      <x:c r="BE881"/>
      <x:c r="BF881"/>
      <x:c r="BG881"/>
      <x:c r="BH881"/>
      <x:c r="BI881"/>
      <x:c r="BJ881"/>
      <x:c r="BK881"/>
      <x:c r="BL881"/>
      <x:c r="BM881"/>
      <x:c r="BN881"/>
      <x:c r="BO881"/>
      <x:c r="BP881"/>
      <x:c r="BQ881"/>
      <x:c r="BR881"/>
      <x:c r="BS881"/>
      <x:c r="BT881"/>
      <x:c r="BU881"/>
      <x:c r="BV881"/>
      <x:c r="BW881"/>
      <x:c r="BX881"/>
      <x:c r="BY881"/>
      <x:c r="BZ881"/>
      <x:c r="CA881"/>
      <x:c r="CB881"/>
      <x:c r="CC881"/>
    </x:row>
    <x:row r="882">
      <x:c r="C882"/>
      <x:c r="D882"/>
      <x:c r="E882"/>
      <x:c r="F882"/>
      <x:c r="G882"/>
      <x:c r="H882"/>
      <x:c r="I882"/>
      <x:c r="J882"/>
      <x:c r="K882"/>
      <x:c r="L882"/>
      <x:c r="M882"/>
      <x:c r="N882"/>
      <x:c r="O882"/>
      <x:c r="P882"/>
      <x:c r="Q882"/>
      <x:c r="R882"/>
      <x:c r="S882"/>
      <x:c r="T882"/>
      <x:c r="U882"/>
      <x:c r="V882"/>
      <x:c r="W882"/>
      <x:c r="X882"/>
      <x:c r="Y882"/>
      <x:c r="Z882"/>
      <x:c r="AA882"/>
      <x:c r="AB882"/>
      <x:c r="AC882"/>
      <x:c r="AD882"/>
      <x:c r="AE882"/>
      <x:c r="AF882"/>
      <x:c r="AZ882"/>
      <x:c r="BA882"/>
      <x:c r="BB882"/>
      <x:c r="BC882"/>
      <x:c r="BD882"/>
      <x:c r="BE882"/>
      <x:c r="BF882"/>
      <x:c r="BG882"/>
      <x:c r="BH882"/>
      <x:c r="BI882"/>
      <x:c r="BJ882"/>
      <x:c r="BK882"/>
      <x:c r="BL882"/>
      <x:c r="BM882"/>
      <x:c r="BN882"/>
      <x:c r="BO882"/>
      <x:c r="BP882"/>
      <x:c r="BQ882"/>
      <x:c r="BR882"/>
      <x:c r="BS882"/>
      <x:c r="BT882"/>
      <x:c r="BU882"/>
      <x:c r="BV882"/>
      <x:c r="BW882"/>
      <x:c r="BX882"/>
      <x:c r="BY882"/>
      <x:c r="BZ882"/>
      <x:c r="CA882"/>
      <x:c r="CB882"/>
      <x:c r="CC882"/>
    </x:row>
    <x:row r="883">
      <x:c r="C883"/>
      <x:c r="D883"/>
      <x:c r="E883"/>
      <x:c r="F883"/>
      <x:c r="G883"/>
      <x:c r="H883"/>
      <x:c r="I883"/>
      <x:c r="J883"/>
      <x:c r="K883"/>
      <x:c r="L883"/>
      <x:c r="M883"/>
      <x:c r="N883"/>
      <x:c r="O883"/>
      <x:c r="P883"/>
      <x:c r="Q883"/>
      <x:c r="R883"/>
      <x:c r="S883"/>
      <x:c r="T883"/>
      <x:c r="U883"/>
      <x:c r="V883"/>
      <x:c r="W883"/>
      <x:c r="X883"/>
      <x:c r="Y883"/>
      <x:c r="Z883"/>
      <x:c r="AA883"/>
      <x:c r="AB883"/>
      <x:c r="AC883"/>
      <x:c r="AD883"/>
      <x:c r="AE883"/>
      <x:c r="AF883"/>
      <x:c r="AZ883"/>
      <x:c r="BA883"/>
      <x:c r="BB883"/>
      <x:c r="BC883"/>
      <x:c r="BD883"/>
      <x:c r="BE883"/>
      <x:c r="BF883"/>
      <x:c r="BG883"/>
      <x:c r="BH883"/>
      <x:c r="BI883"/>
      <x:c r="BJ883"/>
      <x:c r="BK883"/>
      <x:c r="BL883"/>
      <x:c r="BM883"/>
      <x:c r="BN883"/>
      <x:c r="BO883"/>
      <x:c r="BP883"/>
      <x:c r="BQ883"/>
      <x:c r="BR883"/>
      <x:c r="BS883"/>
      <x:c r="BT883"/>
      <x:c r="BU883"/>
      <x:c r="BV883"/>
      <x:c r="BW883"/>
      <x:c r="BX883"/>
      <x:c r="BY883"/>
      <x:c r="BZ883"/>
      <x:c r="CA883"/>
      <x:c r="CB883"/>
      <x:c r="CC883"/>
    </x:row>
    <x:row r="884">
      <x:c r="C884"/>
      <x:c r="D884"/>
      <x:c r="E884"/>
      <x:c r="F884"/>
      <x:c r="G884"/>
      <x:c r="H884"/>
      <x:c r="I884"/>
      <x:c r="J884"/>
      <x:c r="K884"/>
      <x:c r="L884"/>
      <x:c r="M884"/>
      <x:c r="N884"/>
      <x:c r="O884"/>
      <x:c r="P884"/>
      <x:c r="Q884"/>
      <x:c r="R884"/>
      <x:c r="S884"/>
      <x:c r="T884"/>
      <x:c r="U884"/>
      <x:c r="V884"/>
      <x:c r="W884"/>
      <x:c r="X884"/>
      <x:c r="Y884"/>
      <x:c r="Z884"/>
      <x:c r="AA884"/>
      <x:c r="AB884"/>
      <x:c r="AC884"/>
      <x:c r="AD884"/>
      <x:c r="AE884"/>
      <x:c r="AF884"/>
      <x:c r="AZ884"/>
      <x:c r="BA884"/>
      <x:c r="BB884"/>
      <x:c r="BC884"/>
      <x:c r="BD884"/>
      <x:c r="BE884"/>
      <x:c r="BF884"/>
      <x:c r="BG884"/>
      <x:c r="BH884"/>
      <x:c r="BI884"/>
      <x:c r="BJ884"/>
      <x:c r="BK884"/>
      <x:c r="BL884"/>
      <x:c r="BM884"/>
      <x:c r="BN884"/>
      <x:c r="BO884"/>
      <x:c r="BP884"/>
      <x:c r="BQ884"/>
      <x:c r="BR884"/>
      <x:c r="BS884"/>
      <x:c r="BT884"/>
      <x:c r="BU884"/>
      <x:c r="BV884"/>
      <x:c r="BW884"/>
      <x:c r="BX884"/>
      <x:c r="BY884"/>
      <x:c r="BZ884"/>
      <x:c r="CA884"/>
      <x:c r="CB884"/>
      <x:c r="CC884"/>
    </x:row>
    <x:row r="885">
      <x:c r="C885"/>
      <x:c r="D885"/>
      <x:c r="E885"/>
      <x:c r="F885"/>
      <x:c r="G885"/>
      <x:c r="H885"/>
      <x:c r="I885"/>
      <x:c r="J885"/>
      <x:c r="K885"/>
      <x:c r="L885"/>
      <x:c r="M885"/>
      <x:c r="N885"/>
      <x:c r="O885"/>
      <x:c r="P885"/>
      <x:c r="Q885"/>
      <x:c r="R885"/>
      <x:c r="S885"/>
      <x:c r="T885"/>
      <x:c r="U885"/>
      <x:c r="V885"/>
      <x:c r="W885"/>
      <x:c r="X885"/>
      <x:c r="Y885"/>
      <x:c r="Z885"/>
      <x:c r="AA885"/>
      <x:c r="AB885"/>
      <x:c r="AC885"/>
      <x:c r="AD885"/>
      <x:c r="AE885"/>
      <x:c r="AF885"/>
      <x:c r="AZ885"/>
      <x:c r="BA885"/>
      <x:c r="BB885"/>
      <x:c r="BC885"/>
      <x:c r="BD885"/>
      <x:c r="BE885"/>
      <x:c r="BF885"/>
      <x:c r="BG885"/>
      <x:c r="BH885"/>
      <x:c r="BI885"/>
      <x:c r="BJ885"/>
      <x:c r="BK885"/>
      <x:c r="BL885"/>
      <x:c r="BM885"/>
      <x:c r="BN885"/>
      <x:c r="BO885"/>
      <x:c r="BP885"/>
      <x:c r="BQ885"/>
      <x:c r="BR885"/>
      <x:c r="BS885"/>
      <x:c r="BT885"/>
      <x:c r="BU885"/>
      <x:c r="BV885"/>
      <x:c r="BW885"/>
      <x:c r="BX885"/>
      <x:c r="BY885"/>
      <x:c r="BZ885"/>
      <x:c r="CA885"/>
      <x:c r="CB885"/>
      <x:c r="CC885"/>
    </x:row>
    <x:row r="886">
      <x:c r="C886"/>
      <x:c r="D886"/>
      <x:c r="E886"/>
      <x:c r="F886"/>
      <x:c r="G886"/>
      <x:c r="H886"/>
      <x:c r="I886"/>
      <x:c r="J886"/>
      <x:c r="K886"/>
      <x:c r="L886"/>
      <x:c r="M886"/>
      <x:c r="N886"/>
      <x:c r="O886"/>
      <x:c r="P886"/>
      <x:c r="Q886"/>
      <x:c r="R886"/>
      <x:c r="S886"/>
      <x:c r="T886"/>
      <x:c r="U886"/>
      <x:c r="V886"/>
      <x:c r="W886"/>
      <x:c r="X886"/>
      <x:c r="Y886"/>
      <x:c r="Z886"/>
      <x:c r="AA886"/>
      <x:c r="AB886"/>
      <x:c r="AC886"/>
      <x:c r="AD886"/>
      <x:c r="AE886"/>
      <x:c r="AF886"/>
      <x:c r="AZ886"/>
      <x:c r="BA886"/>
      <x:c r="BB886"/>
      <x:c r="BC886"/>
      <x:c r="BD886"/>
      <x:c r="BE886"/>
      <x:c r="BF886"/>
      <x:c r="BG886"/>
      <x:c r="BH886"/>
      <x:c r="BI886"/>
      <x:c r="BJ886"/>
      <x:c r="BK886"/>
      <x:c r="BL886"/>
      <x:c r="BM886"/>
      <x:c r="BN886"/>
      <x:c r="BO886"/>
      <x:c r="BP886"/>
      <x:c r="BQ886"/>
      <x:c r="BR886"/>
      <x:c r="BS886"/>
      <x:c r="BT886"/>
      <x:c r="BU886"/>
      <x:c r="BV886"/>
      <x:c r="BW886"/>
      <x:c r="BX886"/>
      <x:c r="BY886"/>
      <x:c r="BZ886"/>
      <x:c r="CA886"/>
      <x:c r="CB886"/>
      <x:c r="CC886"/>
    </x:row>
    <x:row r="887">
      <x:c r="C887"/>
      <x:c r="D887"/>
      <x:c r="E887"/>
      <x:c r="F887"/>
      <x:c r="G887"/>
      <x:c r="H887"/>
      <x:c r="I887"/>
      <x:c r="J887"/>
      <x:c r="K887"/>
      <x:c r="L887"/>
      <x:c r="M887"/>
      <x:c r="N887"/>
      <x:c r="O887"/>
      <x:c r="P887"/>
      <x:c r="Q887"/>
      <x:c r="R887"/>
      <x:c r="S887"/>
      <x:c r="T887"/>
      <x:c r="U887"/>
      <x:c r="V887"/>
      <x:c r="W887"/>
      <x:c r="X887"/>
      <x:c r="Y887"/>
      <x:c r="Z887"/>
      <x:c r="AA887"/>
      <x:c r="AB887"/>
      <x:c r="AC887"/>
      <x:c r="AD887"/>
      <x:c r="AE887"/>
      <x:c r="AF887"/>
      <x:c r="AZ887"/>
      <x:c r="BA887"/>
      <x:c r="BB887"/>
      <x:c r="BC887"/>
      <x:c r="BD887"/>
      <x:c r="BE887"/>
      <x:c r="BF887"/>
      <x:c r="BG887"/>
      <x:c r="BH887"/>
      <x:c r="BI887"/>
      <x:c r="BJ887"/>
      <x:c r="BK887"/>
      <x:c r="BL887"/>
      <x:c r="BM887"/>
      <x:c r="BN887"/>
      <x:c r="BO887"/>
      <x:c r="BP887"/>
      <x:c r="BQ887"/>
      <x:c r="BR887"/>
      <x:c r="BS887"/>
      <x:c r="BT887"/>
      <x:c r="BU887"/>
      <x:c r="BV887"/>
      <x:c r="BW887"/>
      <x:c r="BX887"/>
      <x:c r="BY887"/>
      <x:c r="BZ887"/>
      <x:c r="CA887"/>
      <x:c r="CB887"/>
      <x:c r="CC887"/>
    </x:row>
    <x:row r="888">
      <x:c r="C888"/>
      <x:c r="D888"/>
      <x:c r="E888"/>
      <x:c r="F888"/>
      <x:c r="G888"/>
      <x:c r="H888"/>
      <x:c r="I888"/>
      <x:c r="J888"/>
      <x:c r="K888"/>
      <x:c r="L888"/>
      <x:c r="M888"/>
      <x:c r="N888"/>
      <x:c r="O888"/>
      <x:c r="P888"/>
      <x:c r="Q888"/>
      <x:c r="R888"/>
      <x:c r="S888"/>
      <x:c r="T888"/>
      <x:c r="U888"/>
      <x:c r="V888"/>
      <x:c r="W888"/>
      <x:c r="X888"/>
      <x:c r="Y888"/>
      <x:c r="Z888"/>
      <x:c r="AA888"/>
      <x:c r="AB888"/>
      <x:c r="AC888"/>
      <x:c r="AD888"/>
      <x:c r="AE888"/>
      <x:c r="AF888"/>
      <x:c r="AZ888"/>
      <x:c r="BA888"/>
      <x:c r="BB888"/>
      <x:c r="BC888"/>
      <x:c r="BD888"/>
      <x:c r="BE888"/>
      <x:c r="BF888"/>
      <x:c r="BG888"/>
      <x:c r="BH888"/>
      <x:c r="BI888"/>
      <x:c r="BJ888"/>
      <x:c r="BK888"/>
      <x:c r="BL888"/>
      <x:c r="BM888"/>
      <x:c r="BN888"/>
      <x:c r="BO888"/>
      <x:c r="BP888"/>
      <x:c r="BQ888"/>
      <x:c r="BR888"/>
      <x:c r="BS888"/>
      <x:c r="BT888"/>
      <x:c r="BU888"/>
      <x:c r="BV888"/>
      <x:c r="BW888"/>
      <x:c r="BX888"/>
      <x:c r="BY888"/>
      <x:c r="BZ888"/>
      <x:c r="CA888"/>
      <x:c r="CB888"/>
      <x:c r="CC888"/>
    </x:row>
    <x:row r="889">
      <x:c r="C889"/>
      <x:c r="D889"/>
      <x:c r="E889"/>
      <x:c r="F889"/>
      <x:c r="G889"/>
      <x:c r="H889"/>
      <x:c r="I889"/>
      <x:c r="J889"/>
      <x:c r="K889"/>
      <x:c r="L889"/>
      <x:c r="M889"/>
      <x:c r="N889"/>
      <x:c r="O889"/>
      <x:c r="P889"/>
      <x:c r="Q889"/>
      <x:c r="R889"/>
      <x:c r="S889"/>
      <x:c r="T889"/>
      <x:c r="U889"/>
      <x:c r="V889"/>
      <x:c r="W889"/>
      <x:c r="X889"/>
      <x:c r="Y889"/>
      <x:c r="Z889"/>
      <x:c r="AA889"/>
      <x:c r="AB889"/>
      <x:c r="AC889"/>
      <x:c r="AD889"/>
      <x:c r="AE889"/>
      <x:c r="AF889"/>
      <x:c r="AZ889"/>
      <x:c r="BA889"/>
      <x:c r="BB889"/>
      <x:c r="BC889"/>
      <x:c r="BD889"/>
      <x:c r="BE889"/>
      <x:c r="BF889"/>
      <x:c r="BG889"/>
      <x:c r="BH889"/>
      <x:c r="BI889"/>
      <x:c r="BJ889"/>
      <x:c r="BK889"/>
      <x:c r="BL889"/>
      <x:c r="BM889"/>
      <x:c r="BN889"/>
      <x:c r="BO889"/>
      <x:c r="BP889"/>
      <x:c r="BQ889"/>
      <x:c r="BR889"/>
      <x:c r="BS889"/>
      <x:c r="BT889"/>
      <x:c r="BU889"/>
      <x:c r="BV889"/>
      <x:c r="BW889"/>
      <x:c r="BX889"/>
      <x:c r="BY889"/>
      <x:c r="BZ889"/>
      <x:c r="CA889"/>
      <x:c r="CB889"/>
      <x:c r="CC889"/>
    </x:row>
    <x:row r="890">
      <x:c r="C890"/>
      <x:c r="D890"/>
      <x:c r="E890"/>
      <x:c r="F890"/>
      <x:c r="G890"/>
      <x:c r="H890"/>
      <x:c r="I890"/>
      <x:c r="J890"/>
      <x:c r="K890"/>
      <x:c r="L890"/>
      <x:c r="M890"/>
      <x:c r="N890"/>
      <x:c r="O890"/>
      <x:c r="P890"/>
      <x:c r="Q890"/>
      <x:c r="R890"/>
      <x:c r="S890"/>
      <x:c r="T890"/>
      <x:c r="U890"/>
      <x:c r="V890"/>
      <x:c r="W890"/>
      <x:c r="X890"/>
      <x:c r="Y890"/>
      <x:c r="Z890"/>
      <x:c r="AA890"/>
      <x:c r="AB890"/>
      <x:c r="AC890"/>
      <x:c r="AD890"/>
      <x:c r="AE890"/>
      <x:c r="AF890"/>
      <x:c r="AZ890"/>
      <x:c r="BA890"/>
      <x:c r="BB890"/>
      <x:c r="BC890"/>
      <x:c r="BD890"/>
      <x:c r="BE890"/>
      <x:c r="BF890"/>
      <x:c r="BG890"/>
      <x:c r="BH890"/>
      <x:c r="BI890"/>
      <x:c r="BJ890"/>
      <x:c r="BK890"/>
      <x:c r="BL890"/>
      <x:c r="BM890"/>
      <x:c r="BN890"/>
      <x:c r="BO890"/>
      <x:c r="BP890"/>
      <x:c r="BQ890"/>
      <x:c r="BR890"/>
      <x:c r="BS890"/>
      <x:c r="BT890"/>
      <x:c r="BU890"/>
      <x:c r="BV890"/>
      <x:c r="BW890"/>
      <x:c r="BX890"/>
      <x:c r="BY890"/>
      <x:c r="BZ890"/>
      <x:c r="CA890"/>
      <x:c r="CB890"/>
      <x:c r="CC890"/>
    </x:row>
    <x:row r="891">
      <x:c r="C891"/>
      <x:c r="D891"/>
      <x:c r="E891"/>
      <x:c r="F891"/>
      <x:c r="G891"/>
      <x:c r="H891"/>
      <x:c r="I891"/>
      <x:c r="J891"/>
      <x:c r="K891"/>
      <x:c r="L891"/>
      <x:c r="M891"/>
      <x:c r="N891"/>
      <x:c r="O891"/>
      <x:c r="P891"/>
      <x:c r="Q891"/>
      <x:c r="R891"/>
      <x:c r="S891"/>
      <x:c r="T891"/>
      <x:c r="U891"/>
      <x:c r="V891"/>
      <x:c r="W891"/>
      <x:c r="X891"/>
      <x:c r="Y891"/>
      <x:c r="Z891"/>
      <x:c r="AA891"/>
      <x:c r="AB891"/>
      <x:c r="AC891"/>
      <x:c r="AD891"/>
      <x:c r="AE891"/>
      <x:c r="AF891"/>
      <x:c r="AZ891"/>
      <x:c r="BA891"/>
      <x:c r="BB891"/>
      <x:c r="BC891"/>
      <x:c r="BD891"/>
      <x:c r="BE891"/>
      <x:c r="BF891"/>
      <x:c r="BG891"/>
      <x:c r="BH891"/>
      <x:c r="BI891"/>
      <x:c r="BJ891"/>
      <x:c r="BK891"/>
      <x:c r="BL891"/>
      <x:c r="BM891"/>
      <x:c r="BN891"/>
      <x:c r="BO891"/>
      <x:c r="BP891"/>
      <x:c r="BQ891"/>
      <x:c r="BR891"/>
      <x:c r="BS891"/>
      <x:c r="BT891"/>
      <x:c r="BU891"/>
      <x:c r="BV891"/>
      <x:c r="BW891"/>
      <x:c r="BX891"/>
      <x:c r="BY891"/>
      <x:c r="BZ891"/>
      <x:c r="CA891"/>
      <x:c r="CB891"/>
      <x:c r="CC891"/>
    </x:row>
    <x:row r="892">
      <x:c r="C892"/>
      <x:c r="D892"/>
      <x:c r="E892"/>
      <x:c r="F892"/>
      <x:c r="G892"/>
      <x:c r="H892"/>
      <x:c r="I892"/>
      <x:c r="J892"/>
      <x:c r="K892"/>
      <x:c r="L892"/>
      <x:c r="M892"/>
      <x:c r="N892"/>
      <x:c r="O892"/>
      <x:c r="P892"/>
      <x:c r="Q892"/>
      <x:c r="R892"/>
      <x:c r="S892"/>
      <x:c r="T892"/>
      <x:c r="U892"/>
      <x:c r="V892"/>
      <x:c r="W892"/>
      <x:c r="X892"/>
      <x:c r="Y892"/>
      <x:c r="Z892"/>
      <x:c r="AA892"/>
      <x:c r="AB892"/>
      <x:c r="AC892"/>
      <x:c r="AD892"/>
      <x:c r="AE892"/>
      <x:c r="AF892"/>
      <x:c r="AZ892"/>
      <x:c r="BA892"/>
      <x:c r="BB892"/>
      <x:c r="BC892"/>
      <x:c r="BD892"/>
      <x:c r="BE892"/>
      <x:c r="BF892"/>
      <x:c r="BG892"/>
      <x:c r="BH892"/>
      <x:c r="BI892"/>
      <x:c r="BJ892"/>
      <x:c r="BK892"/>
      <x:c r="BL892"/>
      <x:c r="BM892"/>
      <x:c r="BN892"/>
      <x:c r="BO892"/>
      <x:c r="BP892"/>
      <x:c r="BQ892"/>
      <x:c r="BR892"/>
      <x:c r="BS892"/>
      <x:c r="BT892"/>
      <x:c r="BU892"/>
      <x:c r="BV892"/>
      <x:c r="BW892"/>
      <x:c r="BX892"/>
      <x:c r="BY892"/>
      <x:c r="BZ892"/>
      <x:c r="CA892"/>
      <x:c r="CB892"/>
      <x:c r="CC892"/>
    </x:row>
    <x:row r="893">
      <x:c r="C893"/>
      <x:c r="D893"/>
      <x:c r="E893"/>
      <x:c r="F893"/>
      <x:c r="G893"/>
      <x:c r="H893"/>
      <x:c r="I893"/>
      <x:c r="J893"/>
      <x:c r="K893"/>
      <x:c r="L893"/>
      <x:c r="M893"/>
      <x:c r="N893"/>
      <x:c r="O893"/>
      <x:c r="P893"/>
      <x:c r="Q893"/>
      <x:c r="R893"/>
      <x:c r="S893"/>
      <x:c r="T893"/>
      <x:c r="U893"/>
      <x:c r="V893"/>
      <x:c r="W893"/>
      <x:c r="X893"/>
      <x:c r="Y893"/>
      <x:c r="Z893"/>
      <x:c r="AA893"/>
      <x:c r="AB893"/>
      <x:c r="AC893"/>
      <x:c r="AD893"/>
      <x:c r="AE893"/>
      <x:c r="AF893"/>
      <x:c r="AZ893"/>
      <x:c r="BA893"/>
      <x:c r="BB893"/>
      <x:c r="BC893"/>
      <x:c r="BD893"/>
      <x:c r="BE893"/>
      <x:c r="BF893"/>
      <x:c r="BG893"/>
      <x:c r="BH893"/>
      <x:c r="BI893"/>
      <x:c r="BJ893"/>
      <x:c r="BK893"/>
      <x:c r="BL893"/>
      <x:c r="BM893"/>
      <x:c r="BN893"/>
      <x:c r="BO893"/>
      <x:c r="BP893"/>
      <x:c r="BQ893"/>
      <x:c r="BR893"/>
      <x:c r="BS893"/>
      <x:c r="BT893"/>
      <x:c r="BU893"/>
      <x:c r="BV893"/>
      <x:c r="BW893"/>
      <x:c r="BX893"/>
      <x:c r="BY893"/>
      <x:c r="BZ893"/>
      <x:c r="CA893"/>
      <x:c r="CB893"/>
      <x:c r="CC893"/>
    </x:row>
    <x:row r="894">
      <x:c r="C894"/>
      <x:c r="D894"/>
      <x:c r="E894"/>
      <x:c r="F894"/>
      <x:c r="G894"/>
      <x:c r="H894"/>
      <x:c r="I894"/>
      <x:c r="J894"/>
      <x:c r="K894"/>
      <x:c r="L894"/>
      <x:c r="M894"/>
      <x:c r="N894"/>
      <x:c r="O894"/>
      <x:c r="P894"/>
      <x:c r="Q894"/>
      <x:c r="R894"/>
      <x:c r="S894"/>
      <x:c r="T894"/>
      <x:c r="U894"/>
      <x:c r="V894"/>
      <x:c r="W894"/>
      <x:c r="X894"/>
      <x:c r="Y894"/>
      <x:c r="Z894"/>
      <x:c r="AA894"/>
      <x:c r="AB894"/>
      <x:c r="AC894"/>
      <x:c r="AD894"/>
      <x:c r="AE894"/>
      <x:c r="AF894"/>
      <x:c r="AZ894"/>
      <x:c r="BA894"/>
      <x:c r="BB894"/>
      <x:c r="BC894"/>
      <x:c r="BD894"/>
      <x:c r="BE894"/>
      <x:c r="BF894"/>
      <x:c r="BG894"/>
      <x:c r="BH894"/>
      <x:c r="BI894"/>
      <x:c r="BJ894"/>
      <x:c r="BK894"/>
      <x:c r="BL894"/>
      <x:c r="BM894"/>
      <x:c r="BN894"/>
      <x:c r="BO894"/>
      <x:c r="BP894"/>
      <x:c r="BQ894"/>
      <x:c r="BR894"/>
      <x:c r="BS894"/>
      <x:c r="BT894"/>
      <x:c r="BU894"/>
      <x:c r="BV894"/>
      <x:c r="BW894"/>
      <x:c r="BX894"/>
      <x:c r="BY894"/>
      <x:c r="BZ894"/>
      <x:c r="CA894"/>
      <x:c r="CB894"/>
      <x:c r="CC894"/>
    </x:row>
    <x:row r="895">
      <x:c r="C895"/>
      <x:c r="D895"/>
      <x:c r="E895"/>
      <x:c r="F895"/>
      <x:c r="G895"/>
      <x:c r="H895"/>
      <x:c r="I895"/>
      <x:c r="J895"/>
      <x:c r="K895"/>
      <x:c r="L895"/>
      <x:c r="M895"/>
      <x:c r="N895"/>
      <x:c r="O895"/>
      <x:c r="P895"/>
      <x:c r="Q895"/>
      <x:c r="R895"/>
      <x:c r="S895"/>
      <x:c r="T895"/>
      <x:c r="U895"/>
      <x:c r="V895"/>
      <x:c r="W895"/>
      <x:c r="X895"/>
      <x:c r="Y895"/>
      <x:c r="Z895"/>
      <x:c r="AA895"/>
      <x:c r="AB895"/>
      <x:c r="AC895"/>
      <x:c r="AD895"/>
      <x:c r="AE895"/>
      <x:c r="AF895"/>
      <x:c r="AZ895"/>
      <x:c r="BA895"/>
      <x:c r="BB895"/>
      <x:c r="BC895"/>
      <x:c r="BD895"/>
      <x:c r="BE895"/>
      <x:c r="BF895"/>
      <x:c r="BG895"/>
      <x:c r="BH895"/>
      <x:c r="BI895"/>
      <x:c r="BJ895"/>
      <x:c r="BK895"/>
      <x:c r="BL895"/>
      <x:c r="BM895"/>
      <x:c r="BN895"/>
      <x:c r="BO895"/>
      <x:c r="BP895"/>
      <x:c r="BQ895"/>
      <x:c r="BR895"/>
      <x:c r="BS895"/>
      <x:c r="BT895"/>
      <x:c r="BU895"/>
      <x:c r="BV895"/>
      <x:c r="BW895"/>
      <x:c r="BX895"/>
      <x:c r="BY895"/>
      <x:c r="BZ895"/>
      <x:c r="CA895"/>
      <x:c r="CB895"/>
      <x:c r="CC895"/>
    </x:row>
    <x:row r="896">
      <x:c r="C896"/>
      <x:c r="D896"/>
      <x:c r="E896"/>
      <x:c r="F896"/>
      <x:c r="G896"/>
      <x:c r="H896"/>
      <x:c r="I896"/>
      <x:c r="J896"/>
      <x:c r="K896"/>
      <x:c r="L896"/>
      <x:c r="M896"/>
      <x:c r="N896"/>
      <x:c r="O896"/>
      <x:c r="P896"/>
      <x:c r="Q896"/>
      <x:c r="R896"/>
      <x:c r="S896"/>
      <x:c r="T896"/>
      <x:c r="U896"/>
      <x:c r="V896"/>
      <x:c r="W896"/>
      <x:c r="X896"/>
      <x:c r="Y896"/>
      <x:c r="Z896"/>
      <x:c r="AA896"/>
      <x:c r="AB896"/>
      <x:c r="AC896"/>
      <x:c r="AD896"/>
      <x:c r="AE896"/>
      <x:c r="AF896"/>
      <x:c r="AZ896"/>
      <x:c r="BA896"/>
      <x:c r="BB896"/>
      <x:c r="BC896"/>
      <x:c r="BD896"/>
      <x:c r="BE896"/>
      <x:c r="BF896"/>
      <x:c r="BG896"/>
      <x:c r="BH896"/>
      <x:c r="BI896"/>
      <x:c r="BJ896"/>
      <x:c r="BK896"/>
      <x:c r="BL896"/>
      <x:c r="BM896"/>
      <x:c r="BN896"/>
      <x:c r="BO896"/>
      <x:c r="BP896"/>
      <x:c r="BQ896"/>
      <x:c r="BR896"/>
      <x:c r="BS896"/>
      <x:c r="BT896"/>
      <x:c r="BU896"/>
      <x:c r="BV896"/>
      <x:c r="BW896"/>
      <x:c r="BX896"/>
      <x:c r="BY896"/>
      <x:c r="BZ896"/>
      <x:c r="CA896"/>
      <x:c r="CB896"/>
      <x:c r="CC896"/>
    </x:row>
    <x:row r="897">
      <x:c r="C897"/>
      <x:c r="D897"/>
      <x:c r="E897"/>
      <x:c r="F897"/>
      <x:c r="G897"/>
      <x:c r="H897"/>
      <x:c r="I897"/>
      <x:c r="J897"/>
      <x:c r="K897"/>
      <x:c r="L897"/>
      <x:c r="M897"/>
      <x:c r="N897"/>
      <x:c r="O897"/>
      <x:c r="P897"/>
      <x:c r="Q897"/>
      <x:c r="R897"/>
      <x:c r="S897"/>
      <x:c r="T897"/>
      <x:c r="U897"/>
      <x:c r="V897"/>
      <x:c r="W897"/>
      <x:c r="X897"/>
      <x:c r="Y897"/>
      <x:c r="Z897"/>
      <x:c r="AA897"/>
      <x:c r="AB897"/>
      <x:c r="AC897"/>
      <x:c r="AD897"/>
      <x:c r="AE897"/>
      <x:c r="AF897"/>
      <x:c r="AZ897"/>
      <x:c r="BA897"/>
      <x:c r="BB897"/>
      <x:c r="BC897"/>
      <x:c r="BD897"/>
      <x:c r="BE897"/>
      <x:c r="BF897"/>
      <x:c r="BG897"/>
      <x:c r="BH897"/>
      <x:c r="BI897"/>
      <x:c r="BJ897"/>
      <x:c r="BK897"/>
      <x:c r="BL897"/>
      <x:c r="BM897"/>
      <x:c r="BN897"/>
      <x:c r="BO897"/>
      <x:c r="BP897"/>
      <x:c r="BQ897"/>
      <x:c r="BR897"/>
      <x:c r="BS897"/>
      <x:c r="BT897"/>
      <x:c r="BU897"/>
      <x:c r="BV897"/>
      <x:c r="BW897"/>
      <x:c r="BX897"/>
      <x:c r="BY897"/>
      <x:c r="BZ897"/>
      <x:c r="CA897"/>
      <x:c r="CB897"/>
      <x:c r="CC897"/>
    </x:row>
    <x:row r="898">
      <x:c r="C898"/>
      <x:c r="D898"/>
      <x:c r="E898"/>
      <x:c r="F898"/>
      <x:c r="G898"/>
      <x:c r="H898"/>
      <x:c r="I898"/>
      <x:c r="J898"/>
      <x:c r="K898"/>
      <x:c r="L898"/>
      <x:c r="M898"/>
      <x:c r="N898"/>
      <x:c r="O898"/>
      <x:c r="P898"/>
      <x:c r="Q898"/>
      <x:c r="R898"/>
      <x:c r="S898"/>
      <x:c r="T898"/>
      <x:c r="U898"/>
      <x:c r="V898"/>
      <x:c r="W898"/>
      <x:c r="X898"/>
      <x:c r="Y898"/>
      <x:c r="Z898"/>
      <x:c r="AA898"/>
      <x:c r="AB898"/>
      <x:c r="AC898"/>
      <x:c r="AD898"/>
      <x:c r="AE898"/>
      <x:c r="AF898"/>
      <x:c r="AZ898"/>
      <x:c r="BA898"/>
      <x:c r="BB898"/>
      <x:c r="BC898"/>
      <x:c r="BD898"/>
      <x:c r="BE898"/>
      <x:c r="BF898"/>
      <x:c r="BG898"/>
      <x:c r="BH898"/>
      <x:c r="BI898"/>
      <x:c r="BJ898"/>
      <x:c r="BK898"/>
      <x:c r="BL898"/>
      <x:c r="BM898"/>
      <x:c r="BN898"/>
      <x:c r="BO898"/>
      <x:c r="BP898"/>
      <x:c r="BQ898"/>
      <x:c r="BR898"/>
      <x:c r="BS898"/>
      <x:c r="BT898"/>
      <x:c r="BU898"/>
      <x:c r="BV898"/>
      <x:c r="BW898"/>
      <x:c r="BX898"/>
      <x:c r="BY898"/>
      <x:c r="BZ898"/>
      <x:c r="CA898"/>
      <x:c r="CB898"/>
      <x:c r="CC898"/>
    </x:row>
    <x:row r="899">
      <x:c r="C899"/>
      <x:c r="D899"/>
      <x:c r="E899"/>
      <x:c r="F899"/>
      <x:c r="G899"/>
      <x:c r="H899"/>
      <x:c r="I899"/>
      <x:c r="J899"/>
      <x:c r="K899"/>
      <x:c r="L899"/>
      <x:c r="M899"/>
      <x:c r="N899"/>
      <x:c r="O899"/>
      <x:c r="P899"/>
      <x:c r="Q899"/>
      <x:c r="R899"/>
      <x:c r="S899"/>
      <x:c r="T899"/>
      <x:c r="U899"/>
      <x:c r="V899"/>
      <x:c r="W899"/>
      <x:c r="X899"/>
      <x:c r="Y899"/>
      <x:c r="Z899"/>
      <x:c r="AA899"/>
      <x:c r="AB899"/>
      <x:c r="AC899"/>
      <x:c r="AD899"/>
      <x:c r="AE899"/>
      <x:c r="AF899"/>
      <x:c r="AZ899"/>
      <x:c r="BA899"/>
      <x:c r="BB899"/>
      <x:c r="BC899"/>
      <x:c r="BD899"/>
      <x:c r="BE899"/>
      <x:c r="BF899"/>
      <x:c r="BG899"/>
      <x:c r="BH899"/>
      <x:c r="BI899"/>
      <x:c r="BJ899"/>
      <x:c r="BK899"/>
      <x:c r="BL899"/>
      <x:c r="BM899"/>
      <x:c r="BN899"/>
      <x:c r="BO899"/>
      <x:c r="BP899"/>
      <x:c r="BQ899"/>
      <x:c r="BR899"/>
      <x:c r="BS899"/>
      <x:c r="BT899"/>
      <x:c r="BU899"/>
      <x:c r="BV899"/>
      <x:c r="BW899"/>
      <x:c r="BX899"/>
      <x:c r="BY899"/>
      <x:c r="BZ899"/>
      <x:c r="CA899"/>
      <x:c r="CB899"/>
      <x:c r="CC899"/>
    </x:row>
    <x:row r="900">
      <x:c r="C900"/>
      <x:c r="D900"/>
      <x:c r="E900"/>
      <x:c r="F900"/>
      <x:c r="G900"/>
      <x:c r="H900"/>
      <x:c r="I900"/>
      <x:c r="J900"/>
      <x:c r="K900"/>
      <x:c r="L900"/>
      <x:c r="M900"/>
      <x:c r="N900"/>
      <x:c r="O900"/>
      <x:c r="P900"/>
      <x:c r="Q900"/>
      <x:c r="R900"/>
      <x:c r="S900"/>
      <x:c r="T900"/>
      <x:c r="U900"/>
      <x:c r="V900"/>
      <x:c r="W900"/>
      <x:c r="X900"/>
      <x:c r="Y900"/>
      <x:c r="Z900"/>
      <x:c r="AA900"/>
      <x:c r="AB900"/>
      <x:c r="AC900"/>
      <x:c r="AD900"/>
      <x:c r="AE900"/>
      <x:c r="AF900"/>
      <x:c r="AZ900"/>
      <x:c r="BA900"/>
      <x:c r="BB900"/>
      <x:c r="BC900"/>
      <x:c r="BD900"/>
      <x:c r="BE900"/>
      <x:c r="BF900"/>
      <x:c r="BG900"/>
      <x:c r="BH900"/>
      <x:c r="BI900"/>
      <x:c r="BJ900"/>
      <x:c r="BK900"/>
      <x:c r="BL900"/>
      <x:c r="BM900"/>
      <x:c r="BN900"/>
      <x:c r="BO900"/>
      <x:c r="BP900"/>
      <x:c r="BQ900"/>
      <x:c r="BR900"/>
      <x:c r="BS900"/>
      <x:c r="BT900"/>
      <x:c r="BU900"/>
      <x:c r="BV900"/>
      <x:c r="BW900"/>
      <x:c r="BX900"/>
      <x:c r="BY900"/>
      <x:c r="BZ900"/>
      <x:c r="CA900"/>
      <x:c r="CB900"/>
      <x:c r="CC900"/>
    </x:row>
    <x:row r="901">
      <x:c r="C901"/>
      <x:c r="D901"/>
      <x:c r="E901"/>
      <x:c r="F901"/>
      <x:c r="G901"/>
      <x:c r="H901"/>
      <x:c r="I901"/>
      <x:c r="J901"/>
      <x:c r="K901"/>
      <x:c r="L901"/>
      <x:c r="M901"/>
      <x:c r="N901"/>
      <x:c r="O901"/>
      <x:c r="P901"/>
      <x:c r="Q901"/>
      <x:c r="R901"/>
      <x:c r="S901"/>
      <x:c r="T901"/>
      <x:c r="U901"/>
      <x:c r="V901"/>
      <x:c r="W901"/>
      <x:c r="X901"/>
      <x:c r="Y901"/>
      <x:c r="Z901"/>
      <x:c r="AA901"/>
      <x:c r="AB901"/>
      <x:c r="AC901"/>
      <x:c r="AD901"/>
      <x:c r="AE901"/>
      <x:c r="AF901"/>
      <x:c r="AZ901"/>
      <x:c r="BA901"/>
      <x:c r="BB901"/>
      <x:c r="BC901"/>
      <x:c r="BD901"/>
      <x:c r="BE901"/>
      <x:c r="BF901"/>
      <x:c r="BG901"/>
      <x:c r="BH901"/>
      <x:c r="BI901"/>
      <x:c r="BJ901"/>
      <x:c r="BK901"/>
      <x:c r="BL901"/>
      <x:c r="BM901"/>
      <x:c r="BN901"/>
      <x:c r="BO901"/>
      <x:c r="BP901"/>
      <x:c r="BQ901"/>
      <x:c r="BR901"/>
      <x:c r="BS901"/>
      <x:c r="BT901"/>
      <x:c r="BU901"/>
      <x:c r="BV901"/>
      <x:c r="BW901"/>
      <x:c r="BX901"/>
      <x:c r="BY901"/>
      <x:c r="BZ901"/>
      <x:c r="CA901"/>
      <x:c r="CB901"/>
      <x:c r="CC901"/>
    </x:row>
    <x:row r="902">
      <x:c r="C902"/>
      <x:c r="D902"/>
      <x:c r="E902"/>
      <x:c r="F902"/>
      <x:c r="G902"/>
      <x:c r="H902"/>
      <x:c r="I902"/>
      <x:c r="J902"/>
      <x:c r="K902"/>
      <x:c r="L902"/>
      <x:c r="M902"/>
      <x:c r="N902"/>
      <x:c r="O902"/>
      <x:c r="P902"/>
      <x:c r="Q902"/>
      <x:c r="R902"/>
      <x:c r="S902"/>
      <x:c r="T902"/>
      <x:c r="U902"/>
      <x:c r="V902"/>
      <x:c r="W902"/>
      <x:c r="X902"/>
      <x:c r="Y902"/>
      <x:c r="Z902"/>
      <x:c r="AA902"/>
      <x:c r="AB902"/>
      <x:c r="AC902"/>
      <x:c r="AD902"/>
      <x:c r="AE902"/>
      <x:c r="AF902"/>
      <x:c r="AZ902"/>
      <x:c r="BA902"/>
      <x:c r="BB902"/>
      <x:c r="BC902"/>
      <x:c r="BD902"/>
      <x:c r="BE902"/>
      <x:c r="BF902"/>
      <x:c r="BG902"/>
      <x:c r="BH902"/>
      <x:c r="BI902"/>
      <x:c r="BJ902"/>
      <x:c r="BK902"/>
      <x:c r="BL902"/>
      <x:c r="BM902"/>
      <x:c r="BN902"/>
      <x:c r="BO902"/>
      <x:c r="BP902"/>
      <x:c r="BQ902"/>
      <x:c r="BR902"/>
      <x:c r="BS902"/>
      <x:c r="BT902"/>
      <x:c r="BU902"/>
      <x:c r="BV902"/>
      <x:c r="BW902"/>
      <x:c r="BX902"/>
      <x:c r="BY902"/>
      <x:c r="BZ902"/>
      <x:c r="CA902"/>
      <x:c r="CB902"/>
      <x:c r="CC902"/>
    </x:row>
    <x:row r="903">
      <x:c r="C903"/>
      <x:c r="D903"/>
      <x:c r="E903"/>
      <x:c r="F903"/>
      <x:c r="G903"/>
      <x:c r="H903"/>
      <x:c r="I903"/>
      <x:c r="J903"/>
      <x:c r="K903"/>
      <x:c r="L903"/>
      <x:c r="M903"/>
      <x:c r="N903"/>
      <x:c r="O903"/>
      <x:c r="P903"/>
      <x:c r="Q903"/>
      <x:c r="R903"/>
      <x:c r="S903"/>
      <x:c r="T903"/>
      <x:c r="U903"/>
      <x:c r="V903"/>
      <x:c r="W903"/>
      <x:c r="X903"/>
      <x:c r="Y903"/>
      <x:c r="Z903"/>
      <x:c r="AA903"/>
      <x:c r="AB903"/>
      <x:c r="AC903"/>
      <x:c r="AD903"/>
      <x:c r="AE903"/>
      <x:c r="AF903"/>
      <x:c r="AZ903"/>
      <x:c r="BA903"/>
      <x:c r="BB903"/>
      <x:c r="BC903"/>
      <x:c r="BD903"/>
      <x:c r="BE903"/>
      <x:c r="BF903"/>
      <x:c r="BG903"/>
      <x:c r="BH903"/>
      <x:c r="BI903"/>
      <x:c r="BJ903"/>
      <x:c r="BK903"/>
      <x:c r="BL903"/>
      <x:c r="BM903"/>
      <x:c r="BN903"/>
      <x:c r="BO903"/>
      <x:c r="BP903"/>
      <x:c r="BQ903"/>
      <x:c r="BR903"/>
      <x:c r="BS903"/>
      <x:c r="BT903"/>
      <x:c r="BU903"/>
      <x:c r="BV903"/>
      <x:c r="BW903"/>
      <x:c r="BX903"/>
      <x:c r="BY903"/>
      <x:c r="BZ903"/>
      <x:c r="CA903"/>
      <x:c r="CB903"/>
      <x:c r="CC903"/>
    </x:row>
    <x:row r="904">
      <x:c r="C904"/>
      <x:c r="D904"/>
      <x:c r="E904"/>
      <x:c r="F904"/>
      <x:c r="G904"/>
      <x:c r="H904"/>
      <x:c r="I904"/>
      <x:c r="J904"/>
      <x:c r="K904"/>
      <x:c r="L904"/>
      <x:c r="M904"/>
      <x:c r="N904"/>
      <x:c r="O904"/>
      <x:c r="P904"/>
      <x:c r="Q904"/>
      <x:c r="R904"/>
      <x:c r="S904"/>
      <x:c r="T904"/>
      <x:c r="U904"/>
      <x:c r="V904"/>
      <x:c r="W904"/>
      <x:c r="X904"/>
      <x:c r="Y904"/>
      <x:c r="Z904"/>
      <x:c r="AA904"/>
      <x:c r="AB904"/>
      <x:c r="AC904"/>
      <x:c r="AD904"/>
      <x:c r="AE904"/>
      <x:c r="AF904"/>
      <x:c r="AZ904"/>
      <x:c r="BA904"/>
      <x:c r="BB904"/>
      <x:c r="BC904"/>
      <x:c r="BD904"/>
      <x:c r="BE904"/>
      <x:c r="BF904"/>
      <x:c r="BG904"/>
      <x:c r="BH904"/>
      <x:c r="BI904"/>
      <x:c r="BJ904"/>
      <x:c r="BK904"/>
      <x:c r="BL904"/>
      <x:c r="BM904"/>
      <x:c r="BN904"/>
      <x:c r="BO904"/>
      <x:c r="BP904"/>
      <x:c r="BQ904"/>
      <x:c r="BR904"/>
      <x:c r="BS904"/>
      <x:c r="BT904"/>
      <x:c r="BU904"/>
      <x:c r="BV904"/>
      <x:c r="BW904"/>
      <x:c r="BX904"/>
      <x:c r="BY904"/>
      <x:c r="BZ904"/>
      <x:c r="CA904"/>
      <x:c r="CB904"/>
      <x:c r="CC904"/>
    </x:row>
    <x:row r="905">
      <x:c r="C905"/>
      <x:c r="D905"/>
      <x:c r="E905"/>
      <x:c r="F905"/>
      <x:c r="G905"/>
      <x:c r="H905"/>
      <x:c r="I905"/>
      <x:c r="J905"/>
      <x:c r="K905"/>
      <x:c r="L905"/>
      <x:c r="M905"/>
      <x:c r="N905"/>
      <x:c r="O905"/>
      <x:c r="P905"/>
      <x:c r="Q905"/>
      <x:c r="R905"/>
      <x:c r="S905"/>
      <x:c r="T905"/>
      <x:c r="U905"/>
      <x:c r="V905"/>
      <x:c r="W905"/>
      <x:c r="X905"/>
      <x:c r="Y905"/>
      <x:c r="Z905"/>
      <x:c r="AA905"/>
      <x:c r="AB905"/>
      <x:c r="AC905"/>
      <x:c r="AD905"/>
      <x:c r="AE905"/>
      <x:c r="AF905"/>
      <x:c r="AZ905"/>
      <x:c r="BA905"/>
      <x:c r="BB905"/>
      <x:c r="BC905"/>
      <x:c r="BD905"/>
      <x:c r="BE905"/>
      <x:c r="BF905"/>
      <x:c r="BG905"/>
      <x:c r="BH905"/>
      <x:c r="BI905"/>
      <x:c r="BJ905"/>
      <x:c r="BK905"/>
      <x:c r="BL905"/>
      <x:c r="BM905"/>
      <x:c r="BN905"/>
      <x:c r="BO905"/>
      <x:c r="BP905"/>
      <x:c r="BQ905"/>
      <x:c r="BR905"/>
      <x:c r="BS905"/>
      <x:c r="BT905"/>
      <x:c r="BU905"/>
      <x:c r="BV905"/>
      <x:c r="BW905"/>
      <x:c r="BX905"/>
      <x:c r="BY905"/>
      <x:c r="BZ905"/>
      <x:c r="CA905"/>
      <x:c r="CB905"/>
      <x:c r="CC905"/>
    </x:row>
    <x:row r="906">
      <x:c r="C906"/>
      <x:c r="D906"/>
      <x:c r="E906"/>
      <x:c r="F906"/>
      <x:c r="G906"/>
      <x:c r="H906"/>
      <x:c r="I906"/>
      <x:c r="J906"/>
      <x:c r="K906"/>
      <x:c r="L906"/>
      <x:c r="M906"/>
      <x:c r="N906"/>
      <x:c r="O906"/>
      <x:c r="P906"/>
      <x:c r="Q906"/>
      <x:c r="R906"/>
      <x:c r="S906"/>
      <x:c r="T906"/>
      <x:c r="U906"/>
      <x:c r="V906"/>
      <x:c r="W906"/>
      <x:c r="X906"/>
      <x:c r="Y906"/>
      <x:c r="Z906"/>
      <x:c r="AA906"/>
      <x:c r="AB906"/>
      <x:c r="AC906"/>
      <x:c r="AD906"/>
      <x:c r="AE906"/>
      <x:c r="AF906"/>
      <x:c r="AZ906"/>
      <x:c r="BA906"/>
      <x:c r="BB906"/>
      <x:c r="BC906"/>
      <x:c r="BD906"/>
      <x:c r="BE906"/>
      <x:c r="BF906"/>
      <x:c r="BG906"/>
      <x:c r="BH906"/>
      <x:c r="BI906"/>
      <x:c r="BJ906"/>
      <x:c r="BK906"/>
      <x:c r="BL906"/>
      <x:c r="BM906"/>
      <x:c r="BN906"/>
      <x:c r="BO906"/>
      <x:c r="BP906"/>
      <x:c r="BQ906"/>
      <x:c r="BR906"/>
      <x:c r="BS906"/>
      <x:c r="BT906"/>
      <x:c r="BU906"/>
      <x:c r="BV906"/>
      <x:c r="BW906"/>
      <x:c r="BX906"/>
      <x:c r="BY906"/>
      <x:c r="BZ906"/>
      <x:c r="CA906"/>
      <x:c r="CB906"/>
      <x:c r="CC906"/>
    </x:row>
    <x:row r="907">
      <x:c r="C907"/>
      <x:c r="D907"/>
      <x:c r="E907"/>
      <x:c r="F907"/>
      <x:c r="G907"/>
      <x:c r="H907"/>
      <x:c r="I907"/>
      <x:c r="J907"/>
      <x:c r="K907"/>
      <x:c r="L907"/>
      <x:c r="M907"/>
      <x:c r="N907"/>
      <x:c r="O907"/>
      <x:c r="P907"/>
      <x:c r="Q907"/>
      <x:c r="R907"/>
      <x:c r="S907"/>
      <x:c r="T907"/>
      <x:c r="U907"/>
      <x:c r="V907"/>
      <x:c r="W907"/>
      <x:c r="X907"/>
      <x:c r="Y907"/>
      <x:c r="Z907"/>
      <x:c r="AA907"/>
      <x:c r="AB907"/>
      <x:c r="AC907"/>
      <x:c r="AD907"/>
      <x:c r="AE907"/>
      <x:c r="AF907"/>
      <x:c r="AZ907"/>
      <x:c r="BA907"/>
      <x:c r="BB907"/>
      <x:c r="BC907"/>
      <x:c r="BD907"/>
      <x:c r="BE907"/>
      <x:c r="BF907"/>
      <x:c r="BG907"/>
      <x:c r="BH907"/>
      <x:c r="BI907"/>
      <x:c r="BJ907"/>
      <x:c r="BK907"/>
      <x:c r="BL907"/>
      <x:c r="BM907"/>
      <x:c r="BN907"/>
      <x:c r="BO907"/>
      <x:c r="BP907"/>
      <x:c r="BQ907"/>
      <x:c r="BR907"/>
      <x:c r="BS907"/>
      <x:c r="BT907"/>
      <x:c r="BU907"/>
      <x:c r="BV907"/>
      <x:c r="BW907"/>
      <x:c r="BX907"/>
      <x:c r="BY907"/>
      <x:c r="BZ907"/>
      <x:c r="CA907"/>
      <x:c r="CB907"/>
      <x:c r="CC907"/>
    </x:row>
    <x:row r="908">
      <x:c r="C908"/>
      <x:c r="D908"/>
      <x:c r="E908"/>
      <x:c r="F908"/>
      <x:c r="G908"/>
      <x:c r="H908"/>
      <x:c r="I908"/>
      <x:c r="J908"/>
      <x:c r="K908"/>
      <x:c r="L908"/>
      <x:c r="M908"/>
      <x:c r="N908"/>
      <x:c r="O908"/>
      <x:c r="P908"/>
      <x:c r="Q908"/>
      <x:c r="R908"/>
      <x:c r="S908"/>
      <x:c r="T908"/>
      <x:c r="U908"/>
      <x:c r="V908"/>
      <x:c r="W908"/>
      <x:c r="X908"/>
      <x:c r="Y908"/>
      <x:c r="Z908"/>
      <x:c r="AA908"/>
      <x:c r="AB908"/>
      <x:c r="AC908"/>
      <x:c r="AD908"/>
      <x:c r="AE908"/>
      <x:c r="AF908"/>
      <x:c r="AZ908"/>
      <x:c r="BA908"/>
      <x:c r="BB908"/>
      <x:c r="BC908"/>
      <x:c r="BD908"/>
      <x:c r="BE908"/>
      <x:c r="BF908"/>
      <x:c r="BG908"/>
      <x:c r="BH908"/>
      <x:c r="BI908"/>
      <x:c r="BJ908"/>
      <x:c r="BK908"/>
      <x:c r="BL908"/>
      <x:c r="BM908"/>
      <x:c r="BN908"/>
      <x:c r="BO908"/>
      <x:c r="BP908"/>
      <x:c r="BQ908"/>
      <x:c r="BR908"/>
      <x:c r="BS908"/>
      <x:c r="BT908"/>
      <x:c r="BU908"/>
      <x:c r="BV908"/>
      <x:c r="BW908"/>
      <x:c r="BX908"/>
      <x:c r="BY908"/>
      <x:c r="BZ908"/>
      <x:c r="CA908"/>
      <x:c r="CB908"/>
      <x:c r="CC908"/>
    </x:row>
    <x:row r="909">
      <x:c r="C909"/>
      <x:c r="D909"/>
      <x:c r="E909"/>
      <x:c r="F909"/>
      <x:c r="G909"/>
      <x:c r="H909"/>
      <x:c r="I909"/>
      <x:c r="J909"/>
      <x:c r="K909"/>
      <x:c r="L909"/>
      <x:c r="M909"/>
      <x:c r="N909"/>
      <x:c r="O909"/>
      <x:c r="P909"/>
      <x:c r="Q909"/>
      <x:c r="R909"/>
      <x:c r="S909"/>
      <x:c r="T909"/>
      <x:c r="U909"/>
      <x:c r="V909"/>
      <x:c r="W909"/>
      <x:c r="X909"/>
      <x:c r="Y909"/>
      <x:c r="Z909"/>
      <x:c r="AA909"/>
      <x:c r="AB909"/>
      <x:c r="AC909"/>
      <x:c r="AD909"/>
      <x:c r="AE909"/>
      <x:c r="AF909"/>
      <x:c r="AZ909"/>
      <x:c r="BA909"/>
      <x:c r="BB909"/>
      <x:c r="BC909"/>
      <x:c r="BD909"/>
      <x:c r="BE909"/>
      <x:c r="BF909"/>
      <x:c r="BG909"/>
      <x:c r="BH909"/>
      <x:c r="BI909"/>
      <x:c r="BJ909"/>
      <x:c r="BK909"/>
      <x:c r="BL909"/>
      <x:c r="BM909"/>
      <x:c r="BN909"/>
      <x:c r="BO909"/>
      <x:c r="BP909"/>
      <x:c r="BQ909"/>
      <x:c r="BR909"/>
      <x:c r="BS909"/>
      <x:c r="BT909"/>
      <x:c r="BU909"/>
      <x:c r="BV909"/>
      <x:c r="BW909"/>
      <x:c r="BX909"/>
      <x:c r="BY909"/>
      <x:c r="BZ909"/>
      <x:c r="CA909"/>
      <x:c r="CB909"/>
      <x:c r="CC909"/>
    </x:row>
    <x:row r="910">
      <x:c r="C910"/>
      <x:c r="D910"/>
      <x:c r="E910"/>
      <x:c r="F910"/>
      <x:c r="G910"/>
      <x:c r="H910"/>
      <x:c r="I910"/>
      <x:c r="J910"/>
      <x:c r="K910"/>
      <x:c r="L910"/>
      <x:c r="M910"/>
      <x:c r="N910"/>
      <x:c r="O910"/>
      <x:c r="P910"/>
      <x:c r="Q910"/>
      <x:c r="R910"/>
      <x:c r="S910"/>
      <x:c r="T910"/>
      <x:c r="U910"/>
      <x:c r="V910"/>
      <x:c r="W910"/>
      <x:c r="X910"/>
      <x:c r="Y910"/>
      <x:c r="Z910"/>
      <x:c r="AA910"/>
      <x:c r="AB910"/>
      <x:c r="AC910"/>
      <x:c r="AD910"/>
      <x:c r="AE910"/>
      <x:c r="AF910"/>
      <x:c r="AZ910"/>
      <x:c r="BA910"/>
      <x:c r="BB910"/>
      <x:c r="BC910"/>
      <x:c r="BD910"/>
      <x:c r="BE910"/>
      <x:c r="BF910"/>
      <x:c r="BG910"/>
      <x:c r="BH910"/>
      <x:c r="BI910"/>
      <x:c r="BJ910"/>
      <x:c r="BK910"/>
      <x:c r="BL910"/>
      <x:c r="BM910"/>
      <x:c r="BN910"/>
      <x:c r="BO910"/>
      <x:c r="BP910"/>
      <x:c r="BQ910"/>
      <x:c r="BR910"/>
      <x:c r="BS910"/>
      <x:c r="BT910"/>
      <x:c r="BU910"/>
      <x:c r="BV910"/>
      <x:c r="BW910"/>
      <x:c r="BX910"/>
      <x:c r="BY910"/>
      <x:c r="BZ910"/>
      <x:c r="CA910"/>
      <x:c r="CB910"/>
      <x:c r="CC910"/>
    </x:row>
    <x:row r="911">
      <x:c r="C911"/>
      <x:c r="D911"/>
      <x:c r="E911"/>
      <x:c r="F911"/>
      <x:c r="G911"/>
      <x:c r="H911"/>
      <x:c r="I911"/>
      <x:c r="J911"/>
      <x:c r="K911"/>
      <x:c r="L911"/>
      <x:c r="M911"/>
      <x:c r="N911"/>
      <x:c r="O911"/>
      <x:c r="P911"/>
      <x:c r="Q911"/>
      <x:c r="R911"/>
      <x:c r="S911"/>
      <x:c r="T911"/>
      <x:c r="U911"/>
      <x:c r="V911"/>
      <x:c r="W911"/>
      <x:c r="X911"/>
      <x:c r="Y911"/>
      <x:c r="Z911"/>
      <x:c r="AA911"/>
      <x:c r="AB911"/>
      <x:c r="AC911"/>
      <x:c r="AD911"/>
      <x:c r="AE911"/>
      <x:c r="AF911"/>
      <x:c r="AZ911"/>
      <x:c r="BA911"/>
      <x:c r="BB911"/>
      <x:c r="BC911"/>
      <x:c r="BD911"/>
      <x:c r="BE911"/>
      <x:c r="BF911"/>
      <x:c r="BG911"/>
      <x:c r="BH911"/>
      <x:c r="BI911"/>
      <x:c r="BJ911"/>
      <x:c r="BK911"/>
      <x:c r="BL911"/>
      <x:c r="BM911"/>
      <x:c r="BN911"/>
      <x:c r="BO911"/>
      <x:c r="BP911"/>
      <x:c r="BQ911"/>
      <x:c r="BR911"/>
      <x:c r="BS911"/>
      <x:c r="BT911"/>
      <x:c r="BU911"/>
      <x:c r="BV911"/>
      <x:c r="BW911"/>
      <x:c r="BX911"/>
      <x:c r="BY911"/>
      <x:c r="BZ911"/>
      <x:c r="CA911"/>
      <x:c r="CB911"/>
      <x:c r="CC911"/>
    </x:row>
    <x:row r="912">
      <x:c r="C912"/>
      <x:c r="D912"/>
      <x:c r="E912"/>
      <x:c r="F912"/>
      <x:c r="G912"/>
      <x:c r="H912"/>
      <x:c r="I912"/>
      <x:c r="J912"/>
      <x:c r="K912"/>
      <x:c r="L912"/>
      <x:c r="M912"/>
      <x:c r="N912"/>
      <x:c r="O912"/>
      <x:c r="P912"/>
      <x:c r="Q912"/>
      <x:c r="R912"/>
      <x:c r="S912"/>
      <x:c r="T912"/>
      <x:c r="U912"/>
      <x:c r="V912"/>
      <x:c r="W912"/>
      <x:c r="X912"/>
      <x:c r="Y912"/>
      <x:c r="Z912"/>
      <x:c r="AA912"/>
      <x:c r="AB912"/>
      <x:c r="AC912"/>
      <x:c r="AD912"/>
      <x:c r="AE912"/>
      <x:c r="AF912"/>
      <x:c r="AZ912"/>
      <x:c r="BA912"/>
      <x:c r="BB912"/>
      <x:c r="BC912"/>
      <x:c r="BD912"/>
      <x:c r="BE912"/>
      <x:c r="BF912"/>
      <x:c r="BG912"/>
      <x:c r="BH912"/>
      <x:c r="BI912"/>
      <x:c r="BJ912"/>
      <x:c r="BK912"/>
      <x:c r="BL912"/>
      <x:c r="BM912"/>
      <x:c r="BN912"/>
      <x:c r="BO912"/>
      <x:c r="BP912"/>
      <x:c r="BQ912"/>
      <x:c r="BR912"/>
      <x:c r="BS912"/>
      <x:c r="BT912"/>
      <x:c r="BU912"/>
      <x:c r="BV912"/>
      <x:c r="BW912"/>
      <x:c r="BX912"/>
      <x:c r="BY912"/>
      <x:c r="BZ912"/>
      <x:c r="CA912"/>
      <x:c r="CB912"/>
      <x:c r="CC912"/>
    </x:row>
    <x:row r="913">
      <x:c r="C913"/>
      <x:c r="D913"/>
      <x:c r="E913"/>
      <x:c r="F913"/>
      <x:c r="G913"/>
      <x:c r="H913"/>
      <x:c r="I913"/>
      <x:c r="J913"/>
      <x:c r="K913"/>
      <x:c r="L913"/>
      <x:c r="M913"/>
      <x:c r="N913"/>
      <x:c r="O913"/>
      <x:c r="P913"/>
      <x:c r="Q913"/>
      <x:c r="R913"/>
      <x:c r="S913"/>
      <x:c r="T913"/>
      <x:c r="U913"/>
      <x:c r="V913"/>
      <x:c r="W913"/>
      <x:c r="X913"/>
      <x:c r="Y913"/>
      <x:c r="Z913"/>
      <x:c r="AA913"/>
      <x:c r="AB913"/>
      <x:c r="AC913"/>
      <x:c r="AD913"/>
      <x:c r="AE913"/>
      <x:c r="AF913"/>
      <x:c r="AZ913"/>
      <x:c r="BA913"/>
      <x:c r="BB913"/>
      <x:c r="BC913"/>
      <x:c r="BD913"/>
      <x:c r="BE913"/>
      <x:c r="BF913"/>
      <x:c r="BG913"/>
      <x:c r="BH913"/>
      <x:c r="BI913"/>
      <x:c r="BJ913"/>
      <x:c r="BK913"/>
      <x:c r="BL913"/>
      <x:c r="BM913"/>
      <x:c r="BN913"/>
      <x:c r="BO913"/>
      <x:c r="BP913"/>
      <x:c r="BQ913"/>
      <x:c r="BR913"/>
      <x:c r="BS913"/>
      <x:c r="BT913"/>
      <x:c r="BU913"/>
      <x:c r="BV913"/>
      <x:c r="BW913"/>
      <x:c r="BX913"/>
      <x:c r="BY913"/>
      <x:c r="BZ913"/>
      <x:c r="CA913"/>
      <x:c r="CB913"/>
      <x:c r="CC913"/>
    </x:row>
    <x:row r="914">
      <x:c r="C914"/>
      <x:c r="D914"/>
      <x:c r="E914"/>
      <x:c r="F914"/>
      <x:c r="G914"/>
      <x:c r="H914"/>
      <x:c r="I914"/>
      <x:c r="J914"/>
      <x:c r="K914"/>
      <x:c r="L914"/>
      <x:c r="M914"/>
      <x:c r="N914"/>
      <x:c r="O914"/>
      <x:c r="P914"/>
      <x:c r="Q914"/>
      <x:c r="R914"/>
      <x:c r="S914"/>
      <x:c r="T914"/>
      <x:c r="U914"/>
      <x:c r="V914"/>
      <x:c r="W914"/>
      <x:c r="X914"/>
      <x:c r="Y914"/>
      <x:c r="Z914"/>
      <x:c r="AA914"/>
      <x:c r="AB914"/>
      <x:c r="AC914"/>
      <x:c r="AD914"/>
      <x:c r="AE914"/>
      <x:c r="AF914"/>
      <x:c r="AZ914"/>
      <x:c r="BA914"/>
      <x:c r="BB914"/>
      <x:c r="BC914"/>
      <x:c r="BD914"/>
      <x:c r="BE914"/>
      <x:c r="BF914"/>
      <x:c r="BG914"/>
      <x:c r="BH914"/>
      <x:c r="BI914"/>
      <x:c r="BJ914"/>
      <x:c r="BK914"/>
      <x:c r="BL914"/>
      <x:c r="BM914"/>
      <x:c r="BN914"/>
      <x:c r="BO914"/>
      <x:c r="BP914"/>
      <x:c r="BQ914"/>
      <x:c r="BR914"/>
      <x:c r="BS914"/>
      <x:c r="BT914"/>
      <x:c r="BU914"/>
      <x:c r="BV914"/>
      <x:c r="BW914"/>
      <x:c r="BX914"/>
      <x:c r="BY914"/>
      <x:c r="BZ914"/>
      <x:c r="CA914"/>
      <x:c r="CB914"/>
      <x:c r="CC914"/>
    </x:row>
    <x:row r="915">
      <x:c r="C915"/>
      <x:c r="D915"/>
      <x:c r="E915"/>
      <x:c r="F915"/>
      <x:c r="G915"/>
      <x:c r="H915"/>
      <x:c r="I915"/>
      <x:c r="J915"/>
      <x:c r="K915"/>
      <x:c r="L915"/>
      <x:c r="M915"/>
      <x:c r="N915"/>
      <x:c r="O915"/>
      <x:c r="P915"/>
      <x:c r="Q915"/>
      <x:c r="R915"/>
      <x:c r="S915"/>
      <x:c r="T915"/>
      <x:c r="U915"/>
      <x:c r="V915"/>
      <x:c r="W915"/>
      <x:c r="X915"/>
      <x:c r="Y915"/>
      <x:c r="Z915"/>
      <x:c r="AA915"/>
      <x:c r="AB915"/>
      <x:c r="AC915"/>
      <x:c r="AD915"/>
      <x:c r="AE915"/>
      <x:c r="AF915"/>
      <x:c r="AZ915"/>
      <x:c r="BA915"/>
      <x:c r="BB915"/>
      <x:c r="BC915"/>
      <x:c r="BD915"/>
      <x:c r="BE915"/>
      <x:c r="BF915"/>
      <x:c r="BG915"/>
      <x:c r="BH915"/>
      <x:c r="BI915"/>
      <x:c r="BJ915"/>
      <x:c r="BK915"/>
      <x:c r="BL915"/>
      <x:c r="BM915"/>
      <x:c r="BN915"/>
      <x:c r="BO915"/>
      <x:c r="BP915"/>
      <x:c r="BQ915"/>
      <x:c r="BR915"/>
      <x:c r="BS915"/>
      <x:c r="BT915"/>
      <x:c r="BU915"/>
      <x:c r="BV915"/>
      <x:c r="BW915"/>
      <x:c r="BX915"/>
      <x:c r="BY915"/>
      <x:c r="BZ915"/>
      <x:c r="CA915"/>
      <x:c r="CB915"/>
      <x:c r="CC915"/>
    </x:row>
    <x:row r="916">
      <x:c r="C916"/>
      <x:c r="D916"/>
      <x:c r="E916"/>
      <x:c r="F916"/>
      <x:c r="G916"/>
      <x:c r="H916"/>
      <x:c r="I916"/>
      <x:c r="J916"/>
      <x:c r="K916"/>
      <x:c r="L916"/>
      <x:c r="M916"/>
      <x:c r="N916"/>
      <x:c r="O916"/>
      <x:c r="P916"/>
      <x:c r="Q916"/>
      <x:c r="R916"/>
      <x:c r="S916"/>
      <x:c r="T916"/>
      <x:c r="U916"/>
      <x:c r="V916"/>
      <x:c r="W916"/>
      <x:c r="X916"/>
      <x:c r="Y916"/>
      <x:c r="Z916"/>
      <x:c r="AA916"/>
      <x:c r="AB916"/>
      <x:c r="AC916"/>
      <x:c r="AD916"/>
      <x:c r="AE916"/>
      <x:c r="AF916"/>
      <x:c r="AZ916"/>
      <x:c r="BA916"/>
      <x:c r="BB916"/>
      <x:c r="BC916"/>
      <x:c r="BD916"/>
      <x:c r="BE916"/>
      <x:c r="BF916"/>
      <x:c r="BG916"/>
      <x:c r="BH916"/>
      <x:c r="BI916"/>
      <x:c r="BJ916"/>
      <x:c r="BK916"/>
      <x:c r="BL916"/>
      <x:c r="BM916"/>
      <x:c r="BN916"/>
      <x:c r="BO916"/>
      <x:c r="BP916"/>
      <x:c r="BQ916"/>
      <x:c r="BR916"/>
      <x:c r="BS916"/>
      <x:c r="BT916"/>
      <x:c r="BU916"/>
      <x:c r="BV916"/>
      <x:c r="BW916"/>
      <x:c r="BX916"/>
      <x:c r="BY916"/>
      <x:c r="BZ916"/>
      <x:c r="CA916"/>
      <x:c r="CB916"/>
      <x:c r="CC916"/>
    </x:row>
    <x:row r="917">
      <x:c r="C917"/>
      <x:c r="D917"/>
      <x:c r="E917"/>
      <x:c r="F917"/>
      <x:c r="G917"/>
      <x:c r="H917"/>
      <x:c r="I917"/>
      <x:c r="J917"/>
      <x:c r="K917"/>
      <x:c r="L917"/>
      <x:c r="M917"/>
      <x:c r="N917"/>
      <x:c r="O917"/>
      <x:c r="P917"/>
      <x:c r="Q917"/>
      <x:c r="R917"/>
      <x:c r="S917"/>
      <x:c r="T917"/>
      <x:c r="U917"/>
      <x:c r="V917"/>
      <x:c r="W917"/>
      <x:c r="X917"/>
      <x:c r="Y917"/>
      <x:c r="Z917"/>
      <x:c r="AA917"/>
      <x:c r="AB917"/>
      <x:c r="AC917"/>
      <x:c r="AD917"/>
      <x:c r="AE917"/>
      <x:c r="AF917"/>
      <x:c r="AZ917"/>
      <x:c r="BA917"/>
      <x:c r="BB917"/>
      <x:c r="BC917"/>
      <x:c r="BD917"/>
      <x:c r="BE917"/>
      <x:c r="BF917"/>
      <x:c r="BG917"/>
      <x:c r="BH917"/>
      <x:c r="BI917"/>
      <x:c r="BJ917"/>
      <x:c r="BK917"/>
      <x:c r="BL917"/>
      <x:c r="BM917"/>
      <x:c r="BN917"/>
      <x:c r="BO917"/>
      <x:c r="BP917"/>
      <x:c r="BQ917"/>
      <x:c r="BR917"/>
      <x:c r="BS917"/>
      <x:c r="BT917"/>
      <x:c r="BU917"/>
      <x:c r="BV917"/>
      <x:c r="BW917"/>
      <x:c r="BX917"/>
      <x:c r="BY917"/>
      <x:c r="BZ917"/>
      <x:c r="CA917"/>
      <x:c r="CB917"/>
      <x:c r="CC917"/>
    </x:row>
    <x:row r="918">
      <x:c r="C918"/>
      <x:c r="D918"/>
      <x:c r="E918"/>
      <x:c r="F918"/>
      <x:c r="G918"/>
      <x:c r="H918"/>
      <x:c r="I918"/>
      <x:c r="J918"/>
      <x:c r="K918"/>
      <x:c r="L918"/>
      <x:c r="M918"/>
      <x:c r="N918"/>
      <x:c r="O918"/>
      <x:c r="P918"/>
      <x:c r="Q918"/>
      <x:c r="R918"/>
      <x:c r="S918"/>
      <x:c r="T918"/>
      <x:c r="U918"/>
      <x:c r="V918"/>
      <x:c r="W918"/>
      <x:c r="X918"/>
      <x:c r="Y918"/>
      <x:c r="Z918"/>
      <x:c r="AA918"/>
      <x:c r="AB918"/>
      <x:c r="AC918"/>
      <x:c r="AD918"/>
      <x:c r="AE918"/>
      <x:c r="AF918"/>
      <x:c r="AZ918"/>
      <x:c r="BA918"/>
      <x:c r="BB918"/>
      <x:c r="BC918"/>
      <x:c r="BD918"/>
      <x:c r="BE918"/>
      <x:c r="BF918"/>
      <x:c r="BG918"/>
      <x:c r="BH918"/>
      <x:c r="BI918"/>
      <x:c r="BJ918"/>
      <x:c r="BK918"/>
      <x:c r="BL918"/>
      <x:c r="BM918"/>
      <x:c r="BN918"/>
      <x:c r="BO918"/>
      <x:c r="BP918"/>
      <x:c r="BQ918"/>
      <x:c r="BR918"/>
      <x:c r="BS918"/>
      <x:c r="BT918"/>
      <x:c r="BU918"/>
      <x:c r="BV918"/>
      <x:c r="BW918"/>
      <x:c r="BX918"/>
      <x:c r="BY918"/>
      <x:c r="BZ918"/>
      <x:c r="CA918"/>
      <x:c r="CB918"/>
      <x:c r="CC918"/>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'Taxonomy'!$B$210:$B$213</x:formula1>
    </x:dataValidation>
    <x:dataValidation type="list" sqref="D6:D1005">
      <x:formula1>'Taxonomy'!$B$6:$B$15</x:formula1>
    </x:dataValidation>
    <x:dataValidation type="list" sqref="X6:X1005">
      <x:formula1>'Taxonomy'!$B$16:$B$43</x:formula1>
    </x:dataValidation>
    <x:dataValidation type="list" sqref="Y6:Y1005">
      <x:formula1>'Taxonomy'!$B$44:$B$53</x:formula1>
    </x:dataValidation>
    <x:dataValidation type="list" sqref="Z6:Z1005">
      <x:formula1>'Taxonomy'!$B$54:$B$63</x:formula1>
    </x:dataValidation>
    <x:dataValidation type="list" sqref="AA6:AA1005">
      <x:formula1>'Taxonomy'!$B$64:$B$142</x:formula1>
    </x:dataValidation>
    <x:dataValidation type="list" sqref="AB6:AB1005">
      <x:formula1>'Taxonomy'!$B$143:$B$177</x:formula1>
    </x:dataValidation>
    <x:dataValidation type="list" sqref="AC6:AC1005">
      <x:formula1>'Taxonomy'!$B$178:$B$197</x:formula1>
    </x:dataValidation>
    <x:dataValidation type="list" sqref="AD6:AD1005">
      <x:formula1>'Taxonomy'!$B$198:$B$202</x:formula1>
    </x:dataValidation>
    <x:dataValidation type="list" sqref="C6:C1005">
      <x:formula1>'Taxonomy'!$B$203:$B$209</x:formula1>
    </x:dataValidation>
  </x:dataValidations>
  <x:pageMargins left="0.7" right="0.7" top="0.75" bottom="0.75" header="0.3" footer="0.3"/>
  <x:tableParts count="1">
    <x:tablePart xmlns:r="http://schemas.openxmlformats.org/officeDocument/2006/relationships" r:id="R06ae0601165c4b14"/>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fe92ac8043d14a8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b80a0f176b35490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COUNTIF(Items!$D$6:$D$1005,A6)</x:f>
        <x:v>91</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COUNTIF(Items!$D$6:$D$1005,A7)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COUNTIF(Items!$D$6:$D$1005,A8)</x:f>
        <x:v>206</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COUNTIF(Items!$D$6:$D$1005,A9)</x:f>
        <x:v>94</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COUNTIF(Items!$D$6:$D$1005,A16)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COUNTIF(Items!$AA$6:$AA$1005,"Offensive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COUNTIFS(Items!$D$6:$D$1005,"Weapons",Items!$E$6:$E$1005,A18)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COUNTIFS(Items!$D$6:$D$1005,"Weapons",Items!$E$6:$E$1005,A19)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COUNTIFS(Items!$D$6:$D$1005,"Weapons",Items!$E$6:$E$1005,A20)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COUNTIFS(Items!$D$6:$D$1005,"Resources",Items!$E$6:$E$1005,"Ancient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COUNTIF(Items!$E$6:$E$1005,"Everyday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COUNTIF(Items!$AB$6:$AB$1005,"Wing membrane")+COUNTIF(Items!$AB$6:$AB$1005,"Wing membrane and frame")</x:f>
        <x:v>7</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40</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COUNTIF(Items!$D$6:$D$1005,"Currency")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COUNTIF(Items!$D$6:$D$1005,A37)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COUNTIF(Items!$D$6:$D$1005,A38)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COUNTIF(Items!$D$6:$D$1005,A39)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COUNTIF(Items!$Z$6:$Z$1005,"Ancient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COUNTIF(Items!$D$6:$D$1005,A41)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46</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24</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29</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5</x:v>
      </x:c>
      <x:c r="C47" s="4" t="str">
        <x:v>Tiered stock and intermediate parts from October 15 branches</x:v>
      </x:c>
      <x:c r="D47" s="4" t="str">
        <x:v>Recipe inputs, service qualification and quantities remain proposals.</x:v>
      </x:c>
      <x:c r="E47" s="4" t="str">
        <x:v>Item family</x:v>
      </x:c>
    </x:row>
  </x:sheetData>
  <x:pageMargins left="0.7" right="0.7" top="0.75" bottom="0.75" header="0.3" footer="0.3"/>
  <x:tableParts count="1">
    <x:tablePart xmlns:r="http://schemas.openxmlformats.org/officeDocument/2006/relationships" r:id="R092b501327d948d0"/>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462 catalog entries: 18 existing definition IDs and 444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master records with stable IDs; extend native tables and complete taxonomy/use fields. Current item ID dropdown ends at row 467. AI owns crafting role; AJ:AM and AE are calculated. C is material tier, AH is endpoint input-tier information where known. Add recipe relationships separately and rebuild browser pairs when topology changes. AN Tier sort order is calculated; extend its formula when adding items.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C Tier is T0–T4, Unassigned or Not applicable; AG states its basis. AI Crafting role separates material/component/finished endpoint/currency. AH retains existing endpoint input-tier information; specific recipe input tiers belong in Crafting recipes and the browser.</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C now holds T0–T4, Unassigned or Not applicable. AI Crafting role identifies Material, Component, Finished item or Currency. Finished preparations that are still material stock remain Material with unresolved tier. Finished equipment has Not applicable material tier. AH retains only established endpoint input-tier information; recipe-specific inputs are visible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462</x:v>
      </x:c>
    </x:row>
    <x:row r="193" ht="115" customHeight="1">
      <x:c r="A193" s="4" t="str">
        <x:v>Audit: recipe count</x:v>
      </x:c>
      <x:c r="B193" s="4" t="n">
        <x:f>COUNTA('Crafting recipes'!$A$6:$A$1005)</x:f>
        <x:v>133</x:v>
      </x:c>
    </x:row>
    <x:row r="194" ht="115" customHeight="1">
      <x:c r="A194" s="4" t="str">
        <x:v>Audit: relationship count</x:v>
      </x:c>
      <x:c r="B194" s="4" t="n">
        <x:f>COUNTA('Material routes'!$A$6:$A$1005)</x:f>
        <x:v>346</x:v>
      </x:c>
    </x:row>
    <x:row r="195" ht="115" customHeight="1">
      <x:c r="A195" s="4" t="str">
        <x:v>Audit: browser pair count</x:v>
      </x:c>
      <x:c r="B195" s="4" t="n">
        <x:f>COUNTA('Crafting browser'!$J$6:$J$1005)</x:f>
        <x:v>213</x:v>
      </x:c>
    </x:row>
    <x:row r="196" ht="115" customHeight="1">
      <x:c r="A196" s="4" t="str">
        <x:v>Audit: unassigned tiers</x:v>
      </x:c>
      <x:c r="B196" s="4" t="n">
        <x:f>COUNTIFS(Items!$C$6:$C$1005,"Unassigned")</x:f>
        <x:v>95</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sheetData>
  <x:pageMargins left="0.7" right="0.7" top="0.75" bottom="0.75" header="0.3" footer="0.3"/>
  <x:tableParts count="1">
    <x:tablePart xmlns:r="http://schemas.openxmlformats.org/officeDocument/2006/relationships" r:id="R413aea99efc64203"/>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2e776553e5f24984"/>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da97471dcfa94247"/>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e0cc939cd34b429d"/>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bb2d208002c44a06"/>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5ef50649a7724d30"/>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a5b5b033698c4c21"/>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str">
        <x:v>Broad existing inventory/design grouping. One per master item.</x:v>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str">
        <x:v>Category</x:v>
      </x:c>
      <x:c r="B11" s="4" t="str">
        <x:v>Equipment</x:v>
      </x:c>
      <x:c r="C11" s="4" t="str">
        <x:v>Broad existing inventory/design grouping. One per master item.</x:v>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Broad existing inventory/design grouping. One per master item.</x:v>
      </x:c>
    </x:row>
    <x:row r="15" ht="50" customHeight="1">
      <x:c r="A15" s="4" t="str">
        <x:v>Category</x:v>
      </x:c>
      <x:c r="B15" s="4" t="str">
        <x:v>Weapons</x:v>
      </x:c>
      <x:c r="C15" s="4" t="str">
        <x:v>Broad existing inventory/design grouping. One per master item.</x:v>
      </x:c>
    </x:row>
    <x:row r="16" ht="50" customHeight="1">
      <x:c r="A16" s="4" t="str">
        <x:v>Item type</x:v>
      </x:c>
      <x:c r="B16" s="4" t="str">
        <x:v>Ammunition</x:v>
      </x:c>
      <x:c r="C16" s="4" t="str">
        <x:v>What the object is, independent of material, culture and use.</x:v>
      </x:c>
    </x:row>
    <x:row r="17" ht="50" customHeight="1">
      <x:c r="A17" s="4" t="str">
        <x:v>Item type</x:v>
      </x:c>
      <x:c r="B17" s="4" t="str">
        <x:v>Armor</x:v>
      </x:c>
      <x:c r="C17" s="4" t="str">
        <x:v>What the object is, independent of material, culture and use.</x:v>
      </x:c>
    </x:row>
    <x:row r="18" ht="50" customHeight="1">
      <x:c r="A18" s="4" t="str">
        <x:v>Item type</x:v>
      </x:c>
      <x:c r="B18" s="4" t="str">
        <x:v>Carrier</x:v>
      </x:c>
      <x:c r="C18" s="4" t="str">
        <x:v>What the object is, independent of material, culture and use.</x:v>
      </x:c>
    </x:row>
    <x:row r="19" ht="50" customHeight="1">
      <x:c r="A19" s="4" t="str">
        <x:v>Item type</x:v>
      </x:c>
      <x:c r="B19" s="4" t="str">
        <x:v>Chemical material</x:v>
      </x:c>
      <x:c r="C19" s="4" t="str">
        <x:v>What the object is, independent of material, culture and use.</x:v>
      </x:c>
    </x:row>
    <x:row r="20" ht="50" customHeight="1">
      <x:c r="A20" s="4" t="str">
        <x:v>Item type</x:v>
      </x:c>
      <x:c r="B20" s="4" t="str">
        <x:v>Container</x:v>
      </x:c>
      <x:c r="C20" s="4" t="str">
        <x:v>What the object is, independent of material, culture and use.</x:v>
      </x:c>
    </x:row>
    <x:row r="21" ht="50" customHeight="1">
      <x:c r="A21" s="4" t="str">
        <x:v>Item type</x:v>
      </x:c>
      <x:c r="B21" s="4" t="str">
        <x:v>Container part</x:v>
      </x:c>
      <x:c r="C21" s="4" t="str">
        <x:v>What the object is, independent of material, culture and use.</x:v>
      </x:c>
    </x:row>
    <x:row r="22" ht="50" customHeight="1">
      <x:c r="A22" s="4" t="str">
        <x:v>Item type</x:v>
      </x:c>
      <x:c r="B22" s="4" t="str">
        <x:v>Crafting component</x:v>
      </x:c>
      <x:c r="C22" s="4" t="str">
        <x:v>What the object is, independent of material, culture and use.</x:v>
      </x:c>
    </x:row>
    <x:row r="23" ht="50" customHeight="1">
      <x:c r="A23" s="4" t="str">
        <x:v>Item type</x:v>
      </x:c>
      <x:c r="B23" s="4" t="str">
        <x:v>Cultural object</x:v>
      </x:c>
      <x:c r="C23" s="4" t="str">
        <x:v>What the object is, independent of material, culture and use.</x:v>
      </x:c>
    </x:row>
    <x:row r="24" ht="50" customHeight="1">
      <x:c r="A24" s="4" t="str">
        <x:v>Item type</x:v>
      </x:c>
      <x:c r="B24" s="4" t="str">
        <x:v>Currency</x:v>
      </x:c>
      <x:c r="C24" s="4" t="str">
        <x:v>What the object is, independent of material, culture and use.</x:v>
      </x:c>
    </x:row>
    <x:row r="25" ht="50" customHeight="1">
      <x:c r="A25" s="4" t="str">
        <x:v>Item type</x:v>
      </x:c>
      <x:c r="B25" s="4" t="str">
        <x:v>Document</x:v>
      </x:c>
      <x:c r="C25" s="4" t="str">
        <x:v>What the object is, independent of material, culture and use.</x:v>
      </x:c>
    </x:row>
    <x:row r="26" ht="50" customHeight="1">
      <x:c r="A26" s="4" t="str">
        <x:v>Item type</x:v>
      </x:c>
      <x:c r="B26" s="4" t="str">
        <x:v>Drink consumable</x:v>
      </x:c>
      <x:c r="C26" s="4" t="str">
        <x:v>What the object is, independent of material, culture and use.</x:v>
      </x:c>
    </x:row>
    <x:row r="27" ht="50" customHeight="1">
      <x:c r="A27" s="4" t="str">
        <x:v>Item type</x:v>
      </x:c>
      <x:c r="B27" s="4" t="str">
        <x:v>Energy storage</x:v>
      </x:c>
      <x:c r="C27" s="4" t="str">
        <x:v>What the object is, independent of material, culture and use.</x:v>
      </x:c>
    </x:row>
    <x:row r="28" ht="50" customHeight="1">
      <x:c r="A28" s="4" t="str">
        <x:v>Item type</x:v>
      </x:c>
      <x:c r="B28" s="4" t="str">
        <x:v>Food consumable</x:v>
      </x:c>
      <x:c r="C28" s="4" t="str">
        <x:v>What the object is, independent of material, culture and use.</x:v>
      </x:c>
    </x:row>
    <x:row r="29" ht="50" customHeight="1">
      <x:c r="A29" s="4" t="str">
        <x:v>Item type</x:v>
      </x:c>
      <x:c r="B29" s="4" t="str">
        <x:v>Food material</x:v>
      </x:c>
      <x:c r="C29" s="4" t="str">
        <x:v>What the object is, independent of material, culture and use.</x:v>
      </x:c>
    </x:row>
    <x:row r="30" ht="50" customHeight="1">
      <x:c r="A30" s="4" t="str">
        <x:v>Item type</x:v>
      </x:c>
      <x:c r="B30" s="4" t="str">
        <x:v>Gem material</x:v>
      </x:c>
      <x:c r="C30" s="4" t="str">
        <x:v>What the object is, independent of material, culture and use.</x:v>
      </x:c>
    </x:row>
    <x:row r="31" ht="50" customHeight="1">
      <x:c r="A31" s="4" t="str">
        <x:v>Item type</x:v>
      </x:c>
      <x:c r="B31" s="4" t="str">
        <x:v>Household utensil</x:v>
      </x:c>
      <x:c r="C31" s="4" t="str">
        <x:v>What the object is, independent of material, culture and use.</x:v>
      </x:c>
    </x:row>
    <x:row r="32" ht="50" customHeight="1">
      <x:c r="A32" s="4" t="str">
        <x:v>Item type</x:v>
      </x:c>
      <x:c r="B32" s="4" t="str">
        <x:v>Machine</x:v>
      </x:c>
      <x:c r="C32" s="4" t="str">
        <x:v>What the object is, independent of material, culture and use.</x:v>
      </x:c>
    </x:row>
    <x:row r="33" ht="50" customHeight="1">
      <x:c r="A33" s="4" t="str">
        <x:v>Item type</x:v>
      </x:c>
      <x:c r="B33" s="4" t="str">
        <x:v>Musical instrument</x:v>
      </x:c>
      <x:c r="C33" s="4" t="str">
        <x:v>What the object is, independent of material, culture and use.</x:v>
      </x:c>
    </x:row>
    <x:row r="34" ht="50" customHeight="1">
      <x:c r="A34" s="4" t="str">
        <x:v>Item type</x:v>
      </x:c>
      <x:c r="B34" s="4" t="str">
        <x:v>Processed material</x:v>
      </x:c>
      <x:c r="C34" s="4" t="str">
        <x:v>What the object is, independent of material, culture and use.</x:v>
      </x:c>
    </x:row>
    <x:row r="35" ht="50" customHeight="1">
      <x:c r="A35" s="4" t="str">
        <x:v>Item type</x:v>
      </x:c>
      <x:c r="B35" s="4" t="str">
        <x:v>Raw material</x:v>
      </x:c>
      <x:c r="C35" s="4" t="str">
        <x:v>What the object is, independent of material, culture and use.</x:v>
      </x:c>
    </x:row>
    <x:row r="36" ht="50" customHeight="1">
      <x:c r="A36" s="4" t="str">
        <x:v>Item type</x:v>
      </x:c>
      <x:c r="B36" s="4" t="str">
        <x:v>Service kit</x:v>
      </x:c>
      <x:c r="C36" s="4" t="str">
        <x:v>What the object is, independent of material, culture and use.</x:v>
      </x:c>
    </x:row>
    <x:row r="37" ht="50" customHeight="1">
      <x:c r="A37" s="4" t="str">
        <x:v>Item type</x:v>
      </x:c>
      <x:c r="B37" s="4" t="str">
        <x:v>Shelter kit</x:v>
      </x:c>
      <x:c r="C37" s="4" t="str">
        <x:v>What the object is, independent of material, culture and use.</x:v>
      </x:c>
    </x:row>
    <x:row r="38" ht="50" customHeight="1">
      <x:c r="A38" s="4" t="str">
        <x:v>Item type</x:v>
      </x:c>
      <x:c r="B38" s="4" t="str">
        <x:v>Shield</x:v>
      </x:c>
      <x:c r="C38" s="4" t="str">
        <x:v>What the object is, independent of material, culture and use.</x:v>
      </x:c>
    </x:row>
    <x:row r="39" ht="50" customHeight="1">
      <x:c r="A39" s="4" t="str">
        <x:v>Item type</x:v>
      </x:c>
      <x:c r="B39" s="4" t="str">
        <x:v>Tool</x:v>
      </x:c>
      <x:c r="C39" s="4" t="str">
        <x:v>What the object is, independent of material, culture and use.</x:v>
      </x:c>
    </x:row>
    <x:row r="40" ht="50" customHeight="1">
      <x:c r="A40" s="4" t="str">
        <x:v>Item type</x:v>
      </x:c>
      <x:c r="B40" s="4" t="str">
        <x:v>Traversal device</x:v>
      </x:c>
      <x:c r="C40" s="4" t="str">
        <x:v>What the object is, independent of material, culture and use.</x:v>
      </x:c>
    </x:row>
    <x:row r="41" ht="50" customHeight="1">
      <x:c r="A41" s="4" t="str">
        <x:v>Item type</x:v>
      </x:c>
      <x:c r="B41" s="4" t="str">
        <x:v>Trip hazard</x:v>
      </x:c>
      <x:c r="C41" s="4" t="str">
        <x:v>What the object is, independent of material, culture and use.</x:v>
      </x:c>
    </x:row>
    <x:row r="42" ht="50" customHeight="1">
      <x:c r="A42" s="4" t="str">
        <x:v>Item type</x:v>
      </x:c>
      <x:c r="B42" s="4" t="str">
        <x:v>Weapon</x:v>
      </x:c>
      <x:c r="C42" s="4" t="str">
        <x:v>What the object is, independent of material, culture and use.</x:v>
      </x:c>
    </x:row>
    <x:row r="43" ht="50" customHeight="1">
      <x:c r="A43" s="4" t="str">
        <x:v>Item type</x:v>
      </x:c>
      <x:c r="B43" s="4" t="str">
        <x:v>Wearable</x:v>
      </x:c>
      <x:c r="C43" s="4" t="str">
        <x:v>What the object is, independent of material, culture and use.</x:v>
      </x:c>
    </x:row>
    <x:row r="44" ht="50" customHeight="1">
      <x:c r="A44" s="4" t="str">
        <x:v>Processing stage</x:v>
      </x:c>
      <x:c r="B44" s="4" t="str">
        <x:v>Ancient manufactured</x:v>
      </x:c>
      <x:c r="C44" s="4" t="str">
        <x:v>State of the listed item, not its next recipe. Stage unresolved means raw-versus-processed is undecided.</x:v>
      </x:c>
    </x:row>
    <x:row r="45" ht="50" customHeight="1">
      <x:c r="A45" s="4" t="str">
        <x:v>Processing stage</x:v>
      </x:c>
      <x:c r="B45" s="4" t="str">
        <x:v>Extracted material</x:v>
      </x:c>
      <x:c r="C45" s="4" t="str">
        <x:v>State of the listed item, not its next recipe. Stage unresolved means raw-versus-processed is undecided.</x:v>
      </x:c>
    </x:row>
    <x:row r="46" ht="50" customHeight="1">
      <x:c r="A46" s="4" t="str">
        <x:v>Processing stage</x:v>
      </x:c>
      <x:c r="B46" s="4" t="str">
        <x:v>Finished item</x:v>
      </x:c>
      <x:c r="C46" s="4" t="str">
        <x:v>State of the listed item, not its next recipe. Stage unresolved means raw-versus-processed is undecided.</x:v>
      </x:c>
    </x:row>
    <x:row r="47" ht="50" customHeight="1">
      <x:c r="A47" s="4" t="str">
        <x:v>Processing stage</x:v>
      </x:c>
      <x:c r="B47" s="4" t="str">
        <x:v>Processed intermediate</x:v>
      </x:c>
      <x:c r="C47" s="4" t="str">
        <x:v>State of the listed item, not its next recipe. Stage unresolved means raw-versus-processed is undecided.</x:v>
      </x:c>
    </x:row>
    <x:row r="48" ht="50" customHeight="1">
      <x:c r="A48" s="4" t="str">
        <x:v>Processing stage</x:v>
      </x:c>
      <x:c r="B48" s="4" t="str">
        <x:v>Raw</x:v>
      </x:c>
      <x:c r="C48" s="4" t="str">
        <x:v>State of the listed item, not its next recipe. Stage unresolved means raw-versus-processed is undecided.</x:v>
      </x:c>
    </x:row>
    <x:row r="49" ht="50" customHeight="1">
      <x:c r="A49" s="4" t="str">
        <x:v>Processing stage</x:v>
      </x:c>
      <x:c r="B49" s="4" t="str">
        <x:v>Recovered material</x:v>
      </x:c>
      <x:c r="C49" s="4" t="str">
        <x:v>State of the listed item, not its next recipe. Stage unresolved means raw-versus-processed is undecided.</x:v>
      </x:c>
    </x:row>
    <x:row r="50" ht="50" customHeight="1">
      <x:c r="A50" s="4" t="str">
        <x:v>Processing stage</x:v>
      </x:c>
      <x:c r="B50" s="4" t="str">
        <x:v>Recovered part</x:v>
      </x:c>
      <x:c r="C50" s="4" t="str">
        <x:v>State of the listed item, not its next recipe. Stage unresolved means raw-versus-processed is undecided.</x:v>
      </x:c>
    </x:row>
    <x:row r="51" ht="50" customHeight="1">
      <x:c r="A51" s="4" t="str">
        <x:v>Processing stage</x:v>
      </x:c>
      <x:c r="B51" s="4" t="str">
        <x:v>Unfired intermediate</x:v>
      </x:c>
      <x:c r="C51" s="4" t="str">
        <x:v>State of the listed item, not its next recipe. Stage unresolved means raw-versus-processed is undecided.</x:v>
      </x:c>
    </x:row>
    <x:row r="52" ht="50" customHeight="1">
      <x:c r="A52" s="4" t="str">
        <x:v>Processing stage</x:v>
      </x:c>
      <x:c r="B52" s="4" t="str">
        <x:v>Unresolved</x:v>
      </x:c>
      <x:c r="C52" s="4" t="str">
        <x:v>State of the listed item, not its next recipe. Stage unresolved means raw-versus-processed is undecided.</x:v>
      </x:c>
    </x:row>
    <x:row r="53" ht="50" customHeight="1">
      <x:c r="A53" s="4" t="str">
        <x:v>Processing stage</x:v>
      </x:c>
      <x:c r="B53" s="4" t="str">
        <x:v>Unworked metal</x:v>
      </x:c>
      <x:c r="C53" s="4" t="str">
        <x:v>State of the listed item, not its next recipe. Stage unresolved means raw-versus-processed is undecided.</x:v>
      </x:c>
    </x:row>
    <x:row r="54" ht="50" customHeight="1">
      <x:c r="A54" s="4" t="str">
        <x:v>Origin family</x:v>
      </x:c>
      <x:c r="B54" s="4" t="str">
        <x:v>Ancient technology</x:v>
      </x:c>
      <x:c r="C54" s="4" t="str">
        <x:v>Broad provenance. Manufactured / unresolved does not identify raw ingredients.</x:v>
      </x:c>
    </x:row>
    <x:row r="55" ht="50" customHeight="1">
      <x:c r="A55" s="4" t="str">
        <x:v>Origin family</x:v>
      </x:c>
      <x:c r="B55" s="4" t="str">
        <x:v>Atmospheric</x:v>
      </x:c>
      <x:c r="C55" s="4" t="str">
        <x:v>Broad provenance. Manufactured / unresolved does not identify raw ingredients.</x:v>
      </x:c>
    </x:row>
    <x:row r="56" ht="50" customHeight="1">
      <x:c r="A56" s="4" t="str">
        <x:v>Origin family</x:v>
      </x:c>
      <x:c r="B56" s="4" t="str">
        <x:v>Biological mixture</x:v>
      </x:c>
      <x:c r="C56" s="4" t="str">
        <x:v>Broad provenance. Manufactured / unresolved does not identify raw ingredients.</x:v>
      </x:c>
    </x:row>
    <x:row r="57" ht="50" customHeight="1">
      <x:c r="A57" s="4" t="str">
        <x:v>Origin family</x:v>
      </x:c>
      <x:c r="B57" s="4" t="str">
        <x:v>Fauna</x:v>
      </x:c>
      <x:c r="C57" s="4" t="str">
        <x:v>Broad provenance. Manufactured / unresolved does not identify raw ingredients.</x:v>
      </x:c>
    </x:row>
    <x:row r="58" ht="50" customHeight="1">
      <x:c r="A58" s="4" t="str">
        <x:v>Origin family</x:v>
      </x:c>
      <x:c r="B58" s="4" t="str">
        <x:v>Geological</x:v>
      </x:c>
      <x:c r="C58" s="4" t="str">
        <x:v>Broad provenance. Manufactured / unresolved does not identify raw ingredients.</x:v>
      </x:c>
    </x:row>
    <x:row r="59" ht="50" customHeight="1">
      <x:c r="A59" s="4" t="str">
        <x:v>Origin family</x:v>
      </x:c>
      <x:c r="B59" s="4" t="str">
        <x:v>Industrial salvage</x:v>
      </x:c>
      <x:c r="C59" s="4" t="str">
        <x:v>Broad provenance. Manufactured / unresolved does not identify raw ingredients.</x:v>
      </x:c>
    </x:row>
    <x:row r="60" ht="50" customHeight="1">
      <x:c r="A60" s="4" t="str">
        <x:v>Origin family</x:v>
      </x:c>
      <x:c r="B60" s="4" t="str">
        <x:v>Living culture</x:v>
      </x:c>
      <x:c r="C60" s="4" t="str">
        <x:v>Broad provenance. Manufactured / unresolved does not identify raw ingredients.</x:v>
      </x:c>
    </x:row>
    <x:row r="61" ht="50" customHeight="1">
      <x:c r="A61" s="4" t="str">
        <x:v>Origin family</x:v>
      </x:c>
      <x:c r="B61" s="4" t="str">
        <x:v>Manufactured / unresolved</x:v>
      </x:c>
      <x:c r="C61" s="4" t="str">
        <x:v>Broad provenance. Manufactured / unresolved does not identify raw ingredients.</x:v>
      </x:c>
    </x:row>
    <x:row r="62" ht="50" customHeight="1">
      <x:c r="A62" s="4" t="str">
        <x:v>Origin family</x:v>
      </x:c>
      <x:c r="B62" s="4" t="str">
        <x:v>Recovered machinery</x:v>
      </x:c>
      <x:c r="C62" s="4" t="str">
        <x:v>Broad provenance. Manufactured / unresolved does not identify raw ingredients.</x:v>
      </x:c>
    </x:row>
    <x:row r="63" ht="50" customHeight="1">
      <x:c r="A63" s="4" t="str">
        <x:v>Origin family</x:v>
      </x:c>
      <x:c r="B63" s="4" t="str">
        <x:v>Unresolved</x:v>
      </x:c>
      <x:c r="C63" s="4" t="str">
        <x:v>Broad provenance. Manufactured / unresolved does not identify raw ingredients.</x:v>
      </x:c>
    </x:row>
    <x:row r="64" ht="50" customHeight="1">
      <x:c r="A64" s="4" t="str">
        <x:v>Primary use</x:v>
      </x:c>
      <x:c r="B64" s="4" t="str">
        <x:v>Area denial</x:v>
      </x:c>
      <x:c r="C64" s="4" t="str">
        <x:v>Main catalog purpose. Item uses lists additional purposes as separate filterable rows.</x:v>
      </x:c>
    </x:row>
    <x:row r="65" ht="50" customHeight="1">
      <x:c r="A65" s="4" t="str">
        <x:v>Primary use</x:v>
      </x:c>
      <x:c r="B65" s="4" t="str">
        <x:v>Atmospheric support</x:v>
      </x:c>
      <x:c r="C65" s="4" t="str">
        <x:v>Main catalog purpose. Item uses lists additional purposes as separate filterable rows.</x:v>
      </x:c>
    </x:row>
    <x:row r="66" ht="50" customHeight="1">
      <x:c r="A66" s="4" t="str">
        <x:v>Primary use</x:v>
      </x:c>
      <x:c r="B66" s="4" t="str">
        <x:v>Binding and construction</x:v>
      </x:c>
      <x:c r="C66" s="4" t="str">
        <x:v>Main catalog purpose. Item uses lists additional purposes as separate filterable rows.</x:v>
      </x:c>
    </x:row>
    <x:row r="67" ht="50" customHeight="1">
      <x:c r="A67" s="4" t="str">
        <x:v>Primary use</x:v>
      </x:c>
      <x:c r="B67" s="4" t="str">
        <x:v>Camp rest</x:v>
      </x:c>
      <x:c r="C67" s="4" t="str">
        <x:v>Main catalog purpose. Item uses lists additional purposes as separate filterable rows.</x:v>
      </x:c>
    </x:row>
    <x:row r="68" ht="50" customHeight="1">
      <x:c r="A68" s="4" t="str">
        <x:v>Primary use</x:v>
      </x:c>
      <x:c r="B68" s="4" t="str">
        <x:v>Cargo organization</x:v>
      </x:c>
      <x:c r="C68" s="4" t="str">
        <x:v>Main catalog purpose. Item uses lists additional purposes as separate filterable rows.</x:v>
      </x:c>
    </x:row>
    <x:row r="69" ht="50" customHeight="1">
      <x:c r="A69" s="4" t="str">
        <x:v>Primary use</x:v>
      </x:c>
      <x:c r="B69" s="4" t="str">
        <x:v>Ceremony</x:v>
      </x:c>
      <x:c r="C69" s="4" t="str">
        <x:v>Main catalog purpose. Item uses lists additional purposes as separate filterable rows.</x:v>
      </x:c>
    </x:row>
    <x:row r="70" ht="50" customHeight="1">
      <x:c r="A70" s="4" t="str">
        <x:v>Primary use</x:v>
      </x:c>
      <x:c r="B70" s="4" t="str">
        <x:v>Chemical processing</x:v>
      </x:c>
      <x:c r="C70" s="4" t="str">
        <x:v>Main catalog purpose. Item uses lists additional purposes as separate filterable rows.</x:v>
      </x:c>
    </x:row>
    <x:row r="71" ht="50" customHeight="1">
      <x:c r="A71" s="4" t="str">
        <x:v>Primary use</x:v>
      </x:c>
      <x:c r="B71" s="4" t="str">
        <x:v>Civic identification</x:v>
      </x:c>
      <x:c r="C71" s="4" t="str">
        <x:v>Main catalog purpose. Item uses lists additional purposes as separate filterable rows.</x:v>
      </x:c>
    </x:row>
    <x:row r="72" ht="50" customHeight="1">
      <x:c r="A72" s="4" t="str">
        <x:v>Primary use</x:v>
      </x:c>
      <x:c r="B72" s="4" t="str">
        <x:v>Civic recognition</x:v>
      </x:c>
      <x:c r="C72" s="4" t="str">
        <x:v>Main catalog purpose. Item uses lists additional purposes as separate filterable rows.</x:v>
      </x:c>
    </x:row>
    <x:row r="73" ht="50" customHeight="1">
      <x:c r="A73" s="4" t="str">
        <x:v>Primary use</x:v>
      </x:c>
      <x:c r="B73" s="4" t="str">
        <x:v>Cleaning</x:v>
      </x:c>
      <x:c r="C73" s="4" t="str">
        <x:v>Main catalog purpose. Item uses lists additional purposes as separate filterable rows.</x:v>
      </x:c>
    </x:row>
    <x:row r="74" ht="50" customHeight="1">
      <x:c r="A74" s="4" t="str">
        <x:v>Primary use</x:v>
      </x:c>
      <x:c r="B74" s="4" t="str">
        <x:v>Clothing</x:v>
      </x:c>
      <x:c r="C74" s="4" t="str">
        <x:v>Main catalog purpose. Item uses lists additional purposes as separate filterable rows.</x:v>
      </x:c>
    </x:row>
    <x:row r="75" ht="50" customHeight="1">
      <x:c r="A75" s="4" t="str">
        <x:v>Primary use</x:v>
      </x:c>
      <x:c r="B75" s="4" t="str">
        <x:v>Clothing fabrication</x:v>
      </x:c>
      <x:c r="C75" s="4" t="str">
        <x:v>Main catalog purpose. Item uses lists additional purposes as separate filterable rows.</x:v>
      </x:c>
    </x:row>
    <x:row r="76" ht="50" customHeight="1">
      <x:c r="A76" s="4" t="str">
        <x:v>Primary use</x:v>
      </x:c>
      <x:c r="B76" s="4" t="str">
        <x:v>Cooking</x:v>
      </x:c>
      <x:c r="C76" s="4" t="str">
        <x:v>Main catalog purpose. Item uses lists additional purposes as separate filterable rows.</x:v>
      </x:c>
    </x:row>
    <x:row r="77" ht="50" customHeight="1">
      <x:c r="A77" s="4" t="str">
        <x:v>Primary use</x:v>
      </x:c>
      <x:c r="B77" s="4" t="str">
        <x:v>Culture support</x:v>
      </x:c>
      <x:c r="C77" s="4" t="str">
        <x:v>Main catalog purpose. Item uses lists additional purposes as separate filterable rows.</x:v>
      </x:c>
    </x:row>
    <x:row r="78" ht="50" customHeight="1">
      <x:c r="A78" s="4" t="str">
        <x:v>Primary use</x:v>
      </x:c>
      <x:c r="B78" s="4" t="str">
        <x:v>Decoration</x:v>
      </x:c>
      <x:c r="C78" s="4" t="str">
        <x:v>Main catalog purpose. Item uses lists additional purposes as separate filterable rows.</x:v>
      </x:c>
    </x:row>
    <x:row r="79" ht="50" customHeight="1">
      <x:c r="A79" s="4" t="str">
        <x:v>Primary use</x:v>
      </x:c>
      <x:c r="B79" s="4" t="str">
        <x:v>Devotion</x:v>
      </x:c>
      <x:c r="C79" s="4" t="str">
        <x:v>Main catalog purpose. Item uses lists additional purposes as separate filterable rows.</x:v>
      </x:c>
    </x:row>
    <x:row r="80" ht="50" customHeight="1">
      <x:c r="A80" s="4" t="str">
        <x:v>Primary use</x:v>
      </x:c>
      <x:c r="B80" s="4" t="str">
        <x:v>Dust exclusion</x:v>
      </x:c>
      <x:c r="C80" s="4" t="str">
        <x:v>Main catalog purpose. Item uses lists additional purposes as separate filterable rows.</x:v>
      </x:c>
    </x:row>
    <x:row r="81" ht="50" customHeight="1">
      <x:c r="A81" s="4" t="str">
        <x:v>Primary use</x:v>
      </x:c>
      <x:c r="B81" s="4" t="str">
        <x:v>Electrical conduction</x:v>
      </x:c>
      <x:c r="C81" s="4" t="str">
        <x:v>Main catalog purpose. Item uses lists additional purposes as separate filterable rows.</x:v>
      </x:c>
    </x:row>
    <x:row r="82" ht="50" customHeight="1">
      <x:c r="A82" s="4" t="str">
        <x:v>Primary use</x:v>
      </x:c>
      <x:c r="B82" s="4" t="str">
        <x:v>Electrical insulation</x:v>
      </x:c>
      <x:c r="C82" s="4" t="str">
        <x:v>Main catalog purpose. Item uses lists additional purposes as separate filterable rows.</x:v>
      </x:c>
    </x:row>
    <x:row r="83" ht="50" customHeight="1">
      <x:c r="A83" s="4" t="str">
        <x:v>Primary use</x:v>
      </x:c>
      <x:c r="B83" s="4" t="str">
        <x:v>Electrical work</x:v>
      </x:c>
      <x:c r="C83" s="4" t="str">
        <x:v>Main catalog purpose. Item uses lists additional purposes as separate filterable rows.</x:v>
      </x:c>
    </x:row>
    <x:row r="84" ht="50" customHeight="1">
      <x:c r="A84" s="4" t="str">
        <x:v>Primary use</x:v>
      </x:c>
      <x:c r="B84" s="4" t="str">
        <x:v>Energy processing</x:v>
      </x:c>
      <x:c r="C84" s="4" t="str">
        <x:v>Main catalog purpose. Item uses lists additional purposes as separate filterable rows.</x:v>
      </x:c>
    </x:row>
    <x:row r="85" ht="50" customHeight="1">
      <x:c r="A85" s="4" t="str">
        <x:v>Primary use</x:v>
      </x:c>
      <x:c r="B85" s="4" t="str">
        <x:v>Energy storage</x:v>
      </x:c>
      <x:c r="C85" s="4" t="str">
        <x:v>Main catalog purpose. Item uses lists additional purposes as separate filterable rows.</x:v>
      </x:c>
    </x:row>
    <x:row r="86" ht="50" customHeight="1">
      <x:c r="A86" s="4" t="str">
        <x:v>Primary use</x:v>
      </x:c>
      <x:c r="B86" s="4" t="str">
        <x:v>Equipment fabrication</x:v>
      </x:c>
      <x:c r="C86" s="4" t="str">
        <x:v>Main catalog purpose. Item uses lists additional purposes as separate filterable rows.</x:v>
      </x:c>
    </x:row>
    <x:row r="87" ht="50" customHeight="1">
      <x:c r="A87" s="4" t="str">
        <x:v>Primary use</x:v>
      </x:c>
      <x:c r="B87" s="4" t="str">
        <x:v>Equipment mounting</x:v>
      </x:c>
      <x:c r="C87" s="4" t="str">
        <x:v>Main catalog purpose. Item uses lists additional purposes as separate filterable rows.</x:v>
      </x:c>
    </x:row>
    <x:row r="88" ht="50" customHeight="1">
      <x:c r="A88" s="4" t="str">
        <x:v>Primary use</x:v>
      </x:c>
      <x:c r="B88" s="4" t="str">
        <x:v>Equipment repair</x:v>
      </x:c>
      <x:c r="C88" s="4" t="str">
        <x:v>Main catalog purpose. Item uses lists additional purposes as separate filterable rows.</x:v>
      </x:c>
    </x:row>
    <x:row r="89" ht="50" customHeight="1">
      <x:c r="A89" s="4" t="str">
        <x:v>Primary use</x:v>
      </x:c>
      <x:c r="B89" s="4" t="str">
        <x:v>Excavation</x:v>
      </x:c>
      <x:c r="C89" s="4" t="str">
        <x:v>Main catalog purpose. Item uses lists additional purposes as separate filterable rows.</x:v>
      </x:c>
    </x:row>
    <x:row r="90" ht="50" customHeight="1">
      <x:c r="A90" s="4" t="str">
        <x:v>Primary use</x:v>
      </x:c>
      <x:c r="B90" s="4" t="str">
        <x:v>Fabrication</x:v>
      </x:c>
      <x:c r="C90" s="4" t="str">
        <x:v>Main catalog purpose. Item uses lists additional purposes as separate filterable rows.</x:v>
      </x:c>
    </x:row>
    <x:row r="91" ht="50" customHeight="1">
      <x:c r="A91" s="4" t="str">
        <x:v>Primary use</x:v>
      </x:c>
      <x:c r="B91" s="4" t="str">
        <x:v>Fashion</x:v>
      </x:c>
      <x:c r="C91" s="4" t="str">
        <x:v>Main catalog purpose. Item uses lists additional purposes as separate filterable rows.</x:v>
      </x:c>
    </x:row>
    <x:row r="92" ht="50" customHeight="1">
      <x:c r="A92" s="4" t="str">
        <x:v>Primary use</x:v>
      </x:c>
      <x:c r="B92" s="4" t="str">
        <x:v>Fauna interaction</x:v>
      </x:c>
      <x:c r="C92" s="4" t="str">
        <x:v>Main catalog purpose. Item uses lists additional purposes as separate filterable rows.</x:v>
      </x:c>
    </x:row>
    <x:row r="93" ht="50" customHeight="1">
      <x:c r="A93" s="4" t="str">
        <x:v>Primary use</x:v>
      </x:c>
      <x:c r="B93" s="4" t="str">
        <x:v>Fiber processing</x:v>
      </x:c>
      <x:c r="C93" s="4" t="str">
        <x:v>Main catalog purpose. Item uses lists additional purposes as separate filterable rows.</x:v>
      </x:c>
    </x:row>
    <x:row r="94" ht="50" customHeight="1">
      <x:c r="A94" s="4" t="str">
        <x:v>Primary use</x:v>
      </x:c>
      <x:c r="B94" s="4" t="str">
        <x:v>Fire management</x:v>
      </x:c>
      <x:c r="C94" s="4" t="str">
        <x:v>Main catalog purpose. Item uses lists additional purposes as separate filterable rows.</x:v>
      </x:c>
    </x:row>
    <x:row r="95" ht="50" customHeight="1">
      <x:c r="A95" s="4" t="str">
        <x:v>Primary use</x:v>
      </x:c>
      <x:c r="B95" s="4" t="str">
        <x:v>Food preparation</x:v>
      </x:c>
      <x:c r="C95" s="4" t="str">
        <x:v>Main catalog purpose. Item uses lists additional purposes as separate filterable rows.</x:v>
      </x:c>
    </x:row>
    <x:row r="96" ht="50" customHeight="1">
      <x:c r="A96" s="4" t="str">
        <x:v>Primary use</x:v>
      </x:c>
      <x:c r="B96" s="4" t="str">
        <x:v>Food service</x:v>
      </x:c>
      <x:c r="C96" s="4" t="str">
        <x:v>Main catalog purpose. Item uses lists additional purposes as separate filterable rows.</x:v>
      </x:c>
    </x:row>
    <x:row r="97" ht="50" customHeight="1">
      <x:c r="A97" s="4" t="str">
        <x:v>Primary use</x:v>
      </x:c>
      <x:c r="B97" s="4" t="str">
        <x:v>Fuel</x:v>
      </x:c>
      <x:c r="C97" s="4" t="str">
        <x:v>Main catalog purpose. Item uses lists additional purposes as separate filterable rows.</x:v>
      </x:c>
    </x:row>
    <x:row r="98" ht="50" customHeight="1">
      <x:c r="A98" s="4" t="str">
        <x:v>Primary use</x:v>
      </x:c>
      <x:c r="B98" s="4" t="str">
        <x:v>Glass and ceramics</x:v>
      </x:c>
      <x:c r="C98" s="4" t="str">
        <x:v>Main catalog purpose. Item uses lists additional purposes as separate filterable rows.</x:v>
      </x:c>
    </x:row>
    <x:row r="99" ht="50" customHeight="1">
      <x:c r="A99" s="4" t="str">
        <x:v>Primary use</x:v>
      </x:c>
      <x:c r="B99" s="4" t="str">
        <x:v>Grooming</x:v>
      </x:c>
      <x:c r="C99" s="4" t="str">
        <x:v>Main catalog purpose. Item uses lists additional purposes as separate filterable rows.</x:v>
      </x:c>
    </x:row>
    <x:row r="100" ht="50" customHeight="1">
      <x:c r="A100" s="4" t="str">
        <x:v>Primary use</x:v>
      </x:c>
      <x:c r="B100" s="4" t="str">
        <x:v>Hydration</x:v>
      </x:c>
      <x:c r="C100" s="4" t="str">
        <x:v>Main catalog purpose. Item uses lists additional purposes as separate filterable rows.</x:v>
      </x:c>
    </x:row>
    <x:row r="101" ht="50" customHeight="1">
      <x:c r="A101" s="4" t="str">
        <x:v>Primary use</x:v>
      </x:c>
      <x:c r="B101" s="4" t="str">
        <x:v>Ignition</x:v>
      </x:c>
      <x:c r="C101" s="4" t="str">
        <x:v>Main catalog purpose. Item uses lists additional purposes as separate filterable rows.</x:v>
      </x:c>
    </x:row>
    <x:row r="102" ht="50" customHeight="1">
      <x:c r="A102" s="4" t="str">
        <x:v>Primary use</x:v>
      </x:c>
      <x:c r="B102" s="4" t="str">
        <x:v>Illumination</x:v>
      </x:c>
      <x:c r="C102" s="4" t="str">
        <x:v>Main catalog purpose. Item uses lists additional purposes as separate filterable rows.</x:v>
      </x:c>
    </x:row>
    <x:row r="103" ht="50" customHeight="1">
      <x:c r="A103" s="4" t="str">
        <x:v>Primary use</x:v>
      </x:c>
      <x:c r="B103" s="4" t="str">
        <x:v>Injury treatment</x:v>
      </x:c>
      <x:c r="C103" s="4" t="str">
        <x:v>Main catalog purpose. Item uses lists additional purposes as separate filterable rows.</x:v>
      </x:c>
    </x:row>
    <x:row r="104" ht="50" customHeight="1">
      <x:c r="A104" s="4" t="str">
        <x:v>Primary use</x:v>
      </x:c>
      <x:c r="B104" s="4" t="str">
        <x:v>Inspection</x:v>
      </x:c>
      <x:c r="C104" s="4" t="str">
        <x:v>Main catalog purpose. Item uses lists additional purposes as separate filterable rows.</x:v>
      </x:c>
    </x:row>
    <x:row r="105" ht="50" customHeight="1">
      <x:c r="A105" s="4" t="str">
        <x:v>Primary use</x:v>
      </x:c>
      <x:c r="B105" s="4" t="str">
        <x:v>Keepsake storage</x:v>
      </x:c>
      <x:c r="C105" s="4" t="str">
        <x:v>Main catalog purpose. Item uses lists additional purposes as separate filterable rows.</x:v>
      </x:c>
    </x:row>
    <x:row r="106" ht="50" customHeight="1">
      <x:c r="A106" s="4" t="str">
        <x:v>Primary use</x:v>
      </x:c>
      <x:c r="B106" s="4" t="str">
        <x:v>Liquid and bulk containment</x:v>
      </x:c>
      <x:c r="C106" s="4" t="str">
        <x:v>Main catalog purpose. Item uses lists additional purposes as separate filterable rows.</x:v>
      </x:c>
    </x:row>
    <x:row r="107" ht="50" customHeight="1">
      <x:c r="A107" s="4" t="str">
        <x:v>Primary use</x:v>
      </x:c>
      <x:c r="B107" s="4" t="str">
        <x:v>Lubrication</x:v>
      </x:c>
      <x:c r="C107" s="4" t="str">
        <x:v>Main catalog purpose. Item uses lists additional purposes as separate filterable rows.</x:v>
      </x:c>
    </x:row>
    <x:row r="108" ht="50" customHeight="1">
      <x:c r="A108" s="4" t="str">
        <x:v>Primary use</x:v>
      </x:c>
      <x:c r="B108" s="4" t="str">
        <x:v>Machinery drive</x:v>
      </x:c>
      <x:c r="C108" s="4" t="str">
        <x:v>Main catalog purpose. Item uses lists additional purposes as separate filterable rows.</x:v>
      </x:c>
    </x:row>
    <x:row r="109" ht="50" customHeight="1">
      <x:c r="A109" s="4" t="str">
        <x:v>Primary use</x:v>
      </x:c>
      <x:c r="B109" s="4" t="str">
        <x:v>Machinery repair</x:v>
      </x:c>
      <x:c r="C109" s="4" t="str">
        <x:v>Main catalog purpose. Item uses lists additional purposes as separate filterable rows.</x:v>
      </x:c>
    </x:row>
    <x:row r="110" ht="50" customHeight="1">
      <x:c r="A110" s="4" t="str">
        <x:v>Primary use</x:v>
      </x:c>
      <x:c r="B110" s="4" t="str">
        <x:v>Magnetic field control</x:v>
      </x:c>
      <x:c r="C110" s="4" t="str">
        <x:v>Main catalog purpose. Item uses lists additional purposes as separate filterable rows.</x:v>
      </x:c>
    </x:row>
    <x:row r="111" ht="50" customHeight="1">
      <x:c r="A111" s="4" t="str">
        <x:v>Primary use</x:v>
      </x:c>
      <x:c r="B111" s="4" t="str">
        <x:v>Magnetic tools</x:v>
      </x:c>
      <x:c r="C111" s="4" t="str">
        <x:v>Main catalog purpose. Item uses lists additional purposes as separate filterable rows.</x:v>
      </x:c>
    </x:row>
    <x:row r="112" ht="50" customHeight="1">
      <x:c r="A112" s="4" t="str">
        <x:v>Primary use</x:v>
      </x:c>
      <x:c r="B112" s="4" t="str">
        <x:v>Material exclusion</x:v>
      </x:c>
      <x:c r="C112" s="4" t="str">
        <x:v>Main catalog purpose. Item uses lists additional purposes as separate filterable rows.</x:v>
      </x:c>
    </x:row>
    <x:row r="113" ht="50" customHeight="1">
      <x:c r="A113" s="4" t="str">
        <x:v>Primary use</x:v>
      </x:c>
      <x:c r="B113" s="4" t="str">
        <x:v>Material transfer</x:v>
      </x:c>
      <x:c r="C113" s="4" t="str">
        <x:v>Main catalog purpose. Item uses lists additional purposes as separate filterable rows.</x:v>
      </x:c>
    </x:row>
    <x:row r="114" ht="50" customHeight="1">
      <x:c r="A114" s="4" t="str">
        <x:v>Primary use</x:v>
      </x:c>
      <x:c r="B114" s="4" t="str">
        <x:v>Metal forging</x:v>
      </x:c>
      <x:c r="C114" s="4" t="str">
        <x:v>Main catalog purpose. Item uses lists additional purposes as separate filterable rows.</x:v>
      </x:c>
    </x:row>
    <x:row r="115" ht="50" customHeight="1">
      <x:c r="A115" s="4" t="str">
        <x:v>Primary use</x:v>
      </x:c>
      <x:c r="B115" s="4" t="str">
        <x:v>Metal refining</x:v>
      </x:c>
      <x:c r="C115" s="4" t="str">
        <x:v>Main catalog purpose. Item uses lists additional purposes as separate filterable rows.</x:v>
      </x:c>
    </x:row>
    <x:row r="116" ht="50" customHeight="1">
      <x:c r="A116" s="4" t="str">
        <x:v>Primary use</x:v>
      </x:c>
      <x:c r="B116" s="4" t="str">
        <x:v>Music</x:v>
      </x:c>
      <x:c r="C116" s="4" t="str">
        <x:v>Main catalog purpose. Item uses lists additional purposes as separate filterable rows.</x:v>
      </x:c>
    </x:row>
    <x:row r="117" ht="50" customHeight="1">
      <x:c r="A117" s="4" t="str">
        <x:v>Primary use</x:v>
      </x:c>
      <x:c r="B117" s="4" t="str">
        <x:v>Nutrition</x:v>
      </x:c>
      <x:c r="C117" s="4" t="str">
        <x:v>Main catalog purpose. Item uses lists additional purposes as separate filterable rows.</x:v>
      </x:c>
    </x:row>
    <x:row r="118" ht="50" customHeight="1">
      <x:c r="A118" s="4" t="str">
        <x:v>Primary use</x:v>
      </x:c>
      <x:c r="B118" s="4" t="str">
        <x:v>Offensive combat</x:v>
      </x:c>
      <x:c r="C118" s="4" t="str">
        <x:v>Main catalog purpose. Item uses lists additional purposes as separate filterable rows.</x:v>
      </x:c>
    </x:row>
    <x:row r="119" ht="50" customHeight="1">
      <x:c r="A119" s="4" t="str">
        <x:v>Primary use</x:v>
      </x:c>
      <x:c r="B119" s="4" t="str">
        <x:v>Paper making</x:v>
      </x:c>
      <x:c r="C119" s="4" t="str">
        <x:v>Main catalog purpose. Item uses lists additional purposes as separate filterable rows.</x:v>
      </x:c>
    </x:row>
    <x:row r="120" ht="50" customHeight="1">
      <x:c r="A120" s="4" t="str">
        <x:v>Primary use</x:v>
      </x:c>
      <x:c r="B120" s="4" t="str">
        <x:v>Protection</x:v>
      </x:c>
      <x:c r="C120" s="4" t="str">
        <x:v>Main catalog purpose. Item uses lists additional purposes as separate filterable rows.</x:v>
      </x:c>
    </x:row>
    <x:row r="121" ht="50" customHeight="1">
      <x:c r="A121" s="4" t="str">
        <x:v>Primary use</x:v>
      </x:c>
      <x:c r="B121" s="4" t="str">
        <x:v>Protective fabrication</x:v>
      </x:c>
      <x:c r="C121" s="4" t="str">
        <x:v>Main catalog purpose. Item uses lists additional purposes as separate filterable rows.</x:v>
      </x:c>
    </x:row>
    <x:row r="122" ht="50" customHeight="1">
      <x:c r="A122" s="4" t="str">
        <x:v>Primary use</x:v>
      </x:c>
      <x:c r="B122" s="4" t="str">
        <x:v>Provenance</x:v>
      </x:c>
      <x:c r="C122" s="4" t="str">
        <x:v>Main catalog purpose. Item uses lists additional purposes as separate filterable rows.</x:v>
      </x:c>
    </x:row>
    <x:row r="123" ht="50" customHeight="1">
      <x:c r="A123" s="4" t="str">
        <x:v>Primary use</x:v>
      </x:c>
      <x:c r="B123" s="4" t="str">
        <x:v>Public communication</x:v>
      </x:c>
      <x:c r="C123" s="4" t="str">
        <x:v>Main catalog purpose. Item uses lists additional purposes as separate filterable rows.</x:v>
      </x:c>
    </x:row>
    <x:row r="124" ht="50" customHeight="1">
      <x:c r="A124" s="4" t="str">
        <x:v>Primary use</x:v>
      </x:c>
      <x:c r="B124" s="4" t="str">
        <x:v>Radio communication</x:v>
      </x:c>
      <x:c r="C124" s="4" t="str">
        <x:v>Main catalog purpose. Item uses lists additional purposes as separate filterable rows.</x:v>
      </x:c>
    </x:row>
    <x:row r="125" ht="50" customHeight="1">
      <x:c r="A125" s="4" t="str">
        <x:v>Primary use</x:v>
      </x:c>
      <x:c r="B125" s="4" t="str">
        <x:v>Remembrance</x:v>
      </x:c>
      <x:c r="C125" s="4" t="str">
        <x:v>Main catalog purpose. Item uses lists additional purposes as separate filterable rows.</x:v>
      </x:c>
    </x:row>
    <x:row r="126" ht="50" customHeight="1">
      <x:c r="A126" s="4" t="str">
        <x:v>Primary use</x:v>
      </x:c>
      <x:c r="B126" s="4" t="str">
        <x:v>Resource collection</x:v>
      </x:c>
      <x:c r="C126" s="4" t="str">
        <x:v>Main catalog purpose. Item uses lists additional purposes as separate filterable rows.</x:v>
      </x:c>
    </x:row>
    <x:row r="127" ht="50" customHeight="1">
      <x:c r="A127" s="4" t="str">
        <x:v>Primary use</x:v>
      </x:c>
      <x:c r="B127" s="4" t="str">
        <x:v>Sealing</x:v>
      </x:c>
      <x:c r="C127" s="4" t="str">
        <x:v>Main catalog purpose. Item uses lists additional purposes as separate filterable rows.</x:v>
      </x:c>
    </x:row>
    <x:row r="128" ht="50" customHeight="1">
      <x:c r="A128" s="4" t="str">
        <x:v>Primary use</x:v>
      </x:c>
      <x:c r="B128" s="4" t="str">
        <x:v>Specialist samples</x:v>
      </x:c>
      <x:c r="C128" s="4" t="str">
        <x:v>Main catalog purpose. Item uses lists additional purposes as separate filterable rows.</x:v>
      </x:c>
    </x:row>
    <x:row r="129" ht="50" customHeight="1">
      <x:c r="A129" s="4" t="str">
        <x:v>Primary use</x:v>
      </x:c>
      <x:c r="B129" s="4" t="str">
        <x:v>Static management</x:v>
      </x:c>
      <x:c r="C129" s="4" t="str">
        <x:v>Main catalog purpose. Item uses lists additional purposes as separate filterable rows.</x:v>
      </x:c>
    </x:row>
    <x:row r="130" ht="50" customHeight="1">
      <x:c r="A130" s="4" t="str">
        <x:v>Primary use</x:v>
      </x:c>
      <x:c r="B130" s="4" t="str">
        <x:v>Sun shading</x:v>
      </x:c>
      <x:c r="C130" s="4" t="str">
        <x:v>Main catalog purpose. Item uses lists additional purposes as separate filterable rows.</x:v>
      </x:c>
    </x:row>
    <x:row r="131" ht="50" customHeight="1">
      <x:c r="A131" s="4" t="str">
        <x:v>Primary use</x:v>
      </x:c>
      <x:c r="B131" s="4" t="str">
        <x:v>Surface finishing</x:v>
      </x:c>
      <x:c r="C131" s="4" t="str">
        <x:v>Main catalog purpose. Item uses lists additional purposes as separate filterable rows.</x:v>
      </x:c>
    </x:row>
    <x:row r="132" ht="50" customHeight="1">
      <x:c r="A132" s="4" t="str">
        <x:v>Primary use</x:v>
      </x:c>
      <x:c r="B132" s="4" t="str">
        <x:v>Survival provision</x:v>
      </x:c>
      <x:c r="C132" s="4" t="str">
        <x:v>Main catalog purpose. Item uses lists additional purposes as separate filterable rows.</x:v>
      </x:c>
    </x:row>
    <x:row r="133" ht="50" customHeight="1">
      <x:c r="A133" s="4" t="str">
        <x:v>Primary use</x:v>
      </x:c>
      <x:c r="B133" s="4" t="str">
        <x:v>Textile processing</x:v>
      </x:c>
      <x:c r="C133" s="4" t="str">
        <x:v>Main catalog purpose. Item uses lists additional purposes as separate filterable rows.</x:v>
      </x:c>
    </x:row>
    <x:row r="134" ht="50" customHeight="1">
      <x:c r="A134" s="4" t="str">
        <x:v>Primary use</x:v>
      </x:c>
      <x:c r="B134" s="4" t="str">
        <x:v>Tool fabrication</x:v>
      </x:c>
      <x:c r="C134" s="4" t="str">
        <x:v>Main catalog purpose. Item uses lists additional purposes as separate filterable rows.</x:v>
      </x:c>
    </x:row>
    <x:row r="135" ht="50" customHeight="1">
      <x:c r="A135" s="4" t="str">
        <x:v>Primary use</x:v>
      </x:c>
      <x:c r="B135" s="4" t="str">
        <x:v>Trade</x:v>
      </x:c>
      <x:c r="C135" s="4" t="str">
        <x:v>Main catalog purpose. Item uses lists additional purposes as separate filterable rows.</x:v>
      </x:c>
    </x:row>
    <x:row r="136" ht="50" customHeight="1">
      <x:c r="A136" s="4" t="str">
        <x:v>Primary use</x:v>
      </x:c>
      <x:c r="B136" s="4" t="str">
        <x:v>Traversal</x:v>
      </x:c>
      <x:c r="C136" s="4" t="str">
        <x:v>Main catalog purpose. Item uses lists additional purposes as separate filterable rows.</x:v>
      </x:c>
    </x:row>
    <x:row r="137" ht="50" customHeight="1">
      <x:c r="A137" s="4" t="str">
        <x:v>Primary use</x:v>
      </x:c>
      <x:c r="B137" s="4" t="str">
        <x:v>Use unresolved</x:v>
      </x:c>
      <x:c r="C137" s="4" t="str">
        <x:v>Main catalog purpose. Item uses lists additional purposes as separate filterable rows.</x:v>
      </x:c>
    </x:row>
    <x:row r="138" ht="50" customHeight="1">
      <x:c r="A138" s="4" t="str">
        <x:v>Primary use</x:v>
      </x:c>
      <x:c r="B138" s="4" t="str">
        <x:v>Vision</x:v>
      </x:c>
      <x:c r="C138" s="4" t="str">
        <x:v>Main catalog purpose. Item uses lists additional purposes as separate filterable rows.</x:v>
      </x:c>
    </x:row>
    <x:row r="139" ht="50" customHeight="1">
      <x:c r="A139" s="4" t="str">
        <x:v>Primary use</x:v>
      </x:c>
      <x:c r="B139" s="4" t="str">
        <x:v>Wind power</x:v>
      </x:c>
      <x:c r="C139" s="4" t="str">
        <x:v>Main catalog purpose. Item uses lists additional purposes as separate filterable rows.</x:v>
      </x:c>
    </x:row>
    <x:row r="140" ht="50" customHeight="1">
      <x:c r="A140" s="4" t="str">
        <x:v>Primary use</x:v>
      </x:c>
      <x:c r="B140" s="4" t="str">
        <x:v>Wind propulsion</x:v>
      </x:c>
      <x:c r="C140" s="4" t="str">
        <x:v>Main catalog purpose. Item uses lists additional purposes as separate filterable rows.</x:v>
      </x:c>
    </x:row>
    <x:row r="141" ht="50" customHeight="1">
      <x:c r="A141" s="4" t="str">
        <x:v>Primary use</x:v>
      </x:c>
      <x:c r="B141" s="4" t="str">
        <x:v>Work holding</x:v>
      </x:c>
      <x:c r="C141" s="4" t="str">
        <x:v>Main catalog purpose. Item uses lists additional purposes as separate filterable rows.</x:v>
      </x:c>
    </x:row>
    <x:row r="142" ht="50" customHeight="1">
      <x:c r="A142" s="4" t="str">
        <x:v>Primary use</x:v>
      </x:c>
      <x:c r="B142" s="4" t="str">
        <x:v>Writing and records</x:v>
      </x:c>
      <x:c r="C142" s="4" t="str">
        <x:v>Main catalog purpose. Item uses lists additional purposes as separate filterable rows.</x:v>
      </x:c>
    </x:row>
    <x:row r="143" ht="50" customHeight="1">
      <x:c r="A143" s="4" t="str">
        <x:v>Material family</x:v>
      </x:c>
      <x:c r="B143" s="4" t="str">
        <x:v>Ancient composite</x:v>
      </x:c>
      <x:c r="C143" s="4" t="str">
        <x:v>Broad descriptive candidate. Mixed, alternative and unresolved values preserve uncertainty.</x:v>
      </x:c>
    </x:row>
    <x:row r="144" ht="50" customHeight="1">
      <x:c r="A144" s="4" t="str">
        <x:v>Material family</x:v>
      </x:c>
      <x:c r="B144" s="4" t="str">
        <x:v>Biological and mineral mixture</x:v>
      </x:c>
      <x:c r="C144" s="4" t="str">
        <x:v>Broad descriptive candidate. Mixed, alternative and unresolved values preserve uncertainty.</x:v>
      </x:c>
    </x:row>
    <x:row r="145" ht="50" customHeight="1">
      <x:c r="A145" s="4" t="str">
        <x:v>Material family</x:v>
      </x:c>
      <x:c r="B145" s="4" t="str">
        <x:v>Biological chemical</x:v>
      </x:c>
      <x:c r="C145" s="4" t="str">
        <x:v>Broad descriptive candidate. Mixed, alternative and unresolved values preserve uncertainty.</x:v>
      </x:c>
    </x:row>
    <x:row r="146" ht="50" customHeight="1">
      <x:c r="A146" s="4" t="str">
        <x:v>Material family</x:v>
      </x:c>
      <x:c r="B146" s="4" t="str">
        <x:v>Carbonaceous material</x:v>
      </x:c>
      <x:c r="C146" s="4" t="str">
        <x:v>Broad descriptive candidate. Mixed, alternative and unresolved values preserve uncertainty.</x:v>
      </x:c>
    </x:row>
    <x:row r="147" ht="50" customHeight="1">
      <x:c r="A147" s="4" t="str">
        <x:v>Material family</x:v>
      </x:c>
      <x:c r="B147" s="4" t="str">
        <x:v>Ceramic</x:v>
      </x:c>
      <x:c r="C147" s="4" t="str">
        <x:v>Broad descriptive candidate. Mixed, alternative and unresolved values preserve uncertainty.</x:v>
      </x:c>
    </x:row>
    <x:row r="148" ht="50" customHeight="1">
      <x:c r="A148" s="4" t="str">
        <x:v>Material family</x:v>
      </x:c>
      <x:c r="B148" s="4" t="str">
        <x:v>Ceramic and metal</x:v>
      </x:c>
      <x:c r="C148" s="4" t="str">
        <x:v>Broad descriptive candidate. Mixed, alternative and unresolved values preserve uncertainty.</x:v>
      </x:c>
    </x:row>
    <x:row r="149" ht="50" customHeight="1">
      <x:c r="A149" s="4" t="str">
        <x:v>Material family</x:v>
      </x:c>
      <x:c r="B149" s="4" t="str">
        <x:v>Ceramic feed mixture</x:v>
      </x:c>
      <x:c r="C149" s="4" t="str">
        <x:v>Broad descriptive candidate. Mixed, alternative and unresolved values preserve uncertainty.</x:v>
      </x:c>
    </x:row>
    <x:row r="150" ht="50" customHeight="1">
      <x:c r="A150" s="4" t="str">
        <x:v>Material family</x:v>
      </x:c>
      <x:c r="B150" s="4" t="str">
        <x:v>Faunal fiber</x:v>
      </x:c>
      <x:c r="C150" s="4" t="str">
        <x:v>Broad descriptive candidate. Mixed, alternative and unresolved values preserve uncertainty.</x:v>
      </x:c>
    </x:row>
    <x:row r="151" ht="50" customHeight="1">
      <x:c r="A151" s="4" t="str">
        <x:v>Material family</x:v>
      </x:c>
      <x:c r="B151" s="4" t="str">
        <x:v>Faunal fiber and shell</x:v>
      </x:c>
      <x:c r="C151" s="4" t="str">
        <x:v>Broad descriptive candidate. Mixed, alternative and unresolved values preserve uncertainty.</x:v>
      </x:c>
    </x:row>
    <x:row r="152" ht="50" customHeight="1">
      <x:c r="A152" s="4" t="str">
        <x:v>Material family</x:v>
      </x:c>
      <x:c r="B152" s="4" t="str">
        <x:v>Faunal hard tissue</x:v>
      </x:c>
      <x:c r="C152" s="4" t="str">
        <x:v>Broad descriptive candidate. Mixed, alternative and unresolved values preserve uncertainty.</x:v>
      </x:c>
    </x:row>
    <x:row r="153" ht="50" customHeight="1">
      <x:c r="A153" s="4" t="str">
        <x:v>Material family</x:v>
      </x:c>
      <x:c r="B153" s="4" t="str">
        <x:v>Faunal membrane</x:v>
      </x:c>
      <x:c r="C153" s="4" t="str">
        <x:v>Broad descriptive candidate. Mixed, alternative and unresolved values preserve uncertainty.</x:v>
      </x:c>
    </x:row>
    <x:row r="154" ht="50" customHeight="1">
      <x:c r="A154" s="4" t="str">
        <x:v>Material family</x:v>
      </x:c>
      <x:c r="B154" s="4" t="str">
        <x:v>Faunal tissue</x:v>
      </x:c>
      <x:c r="C154" s="4" t="str">
        <x:v>Broad descriptive candidate. Mixed, alternative and unresolved values preserve uncertainty.</x:v>
      </x:c>
    </x:row>
    <x:row r="155" ht="50" customHeight="1">
      <x:c r="A155" s="4" t="str">
        <x:v>Material family</x:v>
      </x:c>
      <x:c r="B155" s="4" t="str">
        <x:v>Fur</x:v>
      </x:c>
      <x:c r="C155" s="4" t="str">
        <x:v>Broad descriptive candidate. Mixed, alternative and unresolved values preserve uncertainty.</x:v>
      </x:c>
    </x:row>
    <x:row r="156" ht="50" customHeight="1">
      <x:c r="A156" s="4" t="str">
        <x:v>Material family</x:v>
      </x:c>
      <x:c r="B156" s="4" t="str">
        <x:v>Gemstone</x:v>
      </x:c>
      <x:c r="C156" s="4" t="str">
        <x:v>Broad descriptive candidate. Mixed, alternative and unresolved values preserve uncertainty.</x:v>
      </x:c>
    </x:row>
    <x:row r="157" ht="50" customHeight="1">
      <x:c r="A157" s="4" t="str">
        <x:v>Material family</x:v>
      </x:c>
      <x:c r="B157" s="4" t="str">
        <x:v>Glass</x:v>
      </x:c>
      <x:c r="C157" s="4" t="str">
        <x:v>Broad descriptive candidate. Mixed, alternative and unresolved values preserve uncertainty.</x:v>
      </x:c>
    </x:row>
    <x:row r="158" ht="50" customHeight="1">
      <x:c r="A158" s="4" t="str">
        <x:v>Material family</x:v>
      </x:c>
      <x:c r="B158" s="4" t="str">
        <x:v>Glass and metal</x:v>
      </x:c>
      <x:c r="C158" s="4" t="str">
        <x:v>Broad descriptive candidate. Mixed, alternative and unresolved values preserve uncertainty.</x:v>
      </x:c>
    </x:row>
    <x:row r="159" ht="50" customHeight="1">
      <x:c r="A159" s="4" t="str">
        <x:v>Material family</x:v>
      </x:c>
      <x:c r="B159" s="4" t="str">
        <x:v>Glass and shell</x:v>
      </x:c>
      <x:c r="C159" s="4" t="str">
        <x:v>Broad descriptive candidate. Mixed, alternative and unresolved values preserve uncertainty.</x:v>
      </x:c>
    </x:row>
    <x:row r="160" ht="50" customHeight="1">
      <x:c r="A160" s="4" t="str">
        <x:v>Material family</x:v>
      </x:c>
      <x:c r="B160" s="4" t="str">
        <x:v>Glass or ceramic</x:v>
      </x:c>
      <x:c r="C160" s="4" t="str">
        <x:v>Broad descriptive candidate. Mixed, alternative and unresolved values preserve uncertainty.</x:v>
      </x:c>
    </x:row>
    <x:row r="161" ht="50" customHeight="1">
      <x:c r="A161" s="4" t="str">
        <x:v>Material family</x:v>
      </x:c>
      <x:c r="B161" s="4" t="str">
        <x:v>Glass with unresolved casing</x:v>
      </x:c>
      <x:c r="C161" s="4" t="str">
        <x:v>Broad descriptive candidate. Mixed, alternative and unresolved values preserve uncertainty.</x:v>
      </x:c>
    </x:row>
    <x:row r="162" ht="50" customHeight="1">
      <x:c r="A162" s="4" t="str">
        <x:v>Material family</x:v>
      </x:c>
      <x:c r="B162" s="4" t="str">
        <x:v>Hide</x:v>
      </x:c>
      <x:c r="C162" s="4" t="str">
        <x:v>Broad descriptive candidate. Mixed, alternative and unresolved values preserve uncertainty.</x:v>
      </x:c>
    </x:row>
    <x:row r="163" ht="50" customHeight="1">
      <x:c r="A163" s="4" t="str">
        <x:v>Material family</x:v>
      </x:c>
      <x:c r="B163" s="4" t="str">
        <x:v>Husk fiber</x:v>
      </x:c>
      <x:c r="C163" s="4" t="str">
        <x:v>Broad descriptive candidate. Mixed, alternative and unresolved values preserve uncertainty.</x:v>
      </x:c>
    </x:row>
    <x:row r="164" ht="50" customHeight="1">
      <x:c r="A164" s="4" t="str">
        <x:v>Material family</x:v>
      </x:c>
      <x:c r="B164" s="4" t="str">
        <x:v>Husk fiber and shell</x:v>
      </x:c>
      <x:c r="C164" s="4" t="str">
        <x:v>Broad descriptive candidate. Mixed, alternative and unresolved values preserve uncertainty.</x:v>
      </x:c>
    </x:row>
    <x:row r="165" ht="50" customHeight="1">
      <x:c r="A165" s="4" t="str">
        <x:v>Material family</x:v>
      </x:c>
      <x:c r="B165" s="4" t="str">
        <x:v>Metal</x:v>
      </x:c>
      <x:c r="C165" s="4" t="str">
        <x:v>Broad descriptive candidate. Mixed, alternative and unresolved values preserve uncertainty.</x:v>
      </x:c>
    </x:row>
    <x:row r="166" ht="50" customHeight="1">
      <x:c r="A166" s="4" t="str">
        <x:v>Material family</x:v>
      </x:c>
      <x:c r="B166" s="4" t="str">
        <x:v>Metal and shell</x:v>
      </x:c>
      <x:c r="C166" s="4" t="str">
        <x:v>Broad descriptive candidate. Mixed, alternative and unresolved values preserve uncertainty.</x:v>
      </x:c>
    </x:row>
    <x:row r="167" ht="50" customHeight="1">
      <x:c r="A167" s="4" t="str">
        <x:v>Material family</x:v>
      </x:c>
      <x:c r="B167" s="4" t="str">
        <x:v>Metal or shell</x:v>
      </x:c>
      <x:c r="C167" s="4" t="str">
        <x:v>Broad descriptive candidate. Mixed, alternative and unresolved values preserve uncertainty.</x:v>
      </x:c>
    </x:row>
    <x:row r="168" ht="50" customHeight="1">
      <x:c r="A168" s="4" t="str">
        <x:v>Material family</x:v>
      </x:c>
      <x:c r="B168" s="4" t="str">
        <x:v>Mineral</x:v>
      </x:c>
      <x:c r="C168" s="4" t="str">
        <x:v>Broad descriptive candidate. Mixed, alternative and unresolved values preserve uncertainty.</x:v>
      </x:c>
    </x:row>
    <x:row r="169" ht="50" customHeight="1">
      <x:c r="A169" s="4" t="str">
        <x:v>Material family</x:v>
      </x:c>
      <x:c r="B169" s="4" t="str">
        <x:v>Mineral or shell</x:v>
      </x:c>
      <x:c r="C169" s="4" t="str">
        <x:v>Broad descriptive candidate. Mixed, alternative and unresolved values preserve uncertainty.</x:v>
      </x:c>
    </x:row>
    <x:row r="170" ht="50" customHeight="1">
      <x:c r="A170" s="4" t="str">
        <x:v>Material family</x:v>
      </x:c>
      <x:c r="B170" s="4" t="str">
        <x:v>Mixed / unresolved</x:v>
      </x:c>
      <x:c r="C170" s="4" t="str">
        <x:v>Broad descriptive candidate. Mixed, alternative and unresolved values preserve uncertainty.</x:v>
      </x:c>
    </x:row>
    <x:row r="171" ht="50" customHeight="1">
      <x:c r="A171" s="4" t="str">
        <x:v>Material family</x:v>
      </x:c>
      <x:c r="B171" s="4" t="str">
        <x:v>Phagia and edible fauna</x:v>
      </x:c>
      <x:c r="C171" s="4" t="str">
        <x:v>Broad descriptive candidate. Mixed, alternative and unresolved values preserve uncertainty.</x:v>
      </x:c>
    </x:row>
    <x:row r="172" ht="50" customHeight="1">
      <x:c r="A172" s="4" t="str">
        <x:v>Material family</x:v>
      </x:c>
      <x:c r="B172" s="4" t="str">
        <x:v>Phagia preparation</x:v>
      </x:c>
      <x:c r="C172" s="4" t="str">
        <x:v>Broad descriptive candidate. Mixed, alternative and unresolved values preserve uncertainty.</x:v>
      </x:c>
    </x:row>
    <x:row r="173" ht="50" customHeight="1">
      <x:c r="A173" s="4" t="str">
        <x:v>Material family</x:v>
      </x:c>
      <x:c r="B173" s="4" t="str">
        <x:v>Shell / chitin</x:v>
      </x:c>
      <x:c r="C173" s="4" t="str">
        <x:v>Broad descriptive candidate. Mixed, alternative and unresolved values preserve uncertainty.</x:v>
      </x:c>
    </x:row>
    <x:row r="174" ht="50" customHeight="1">
      <x:c r="A174" s="4" t="str">
        <x:v>Material family</x:v>
      </x:c>
      <x:c r="B174" s="4" t="str">
        <x:v>Shell and mineral</x:v>
      </x:c>
      <x:c r="C174" s="4" t="str">
        <x:v>Broad descriptive candidate. Mixed, alternative and unresolved values preserve uncertainty.</x:v>
      </x:c>
    </x:row>
    <x:row r="175" ht="50" customHeight="1">
      <x:c r="A175" s="4" t="str">
        <x:v>Material family</x:v>
      </x:c>
      <x:c r="B175" s="4" t="str">
        <x:v>Unresolved</x:v>
      </x:c>
      <x:c r="C175" s="4" t="str">
        <x:v>Broad descriptive candidate. Mixed, alternative and unresolved values preserve uncertainty.</x:v>
      </x:c>
    </x:row>
    <x:row r="176" ht="50" customHeight="1">
      <x:c r="A176" s="4" t="str">
        <x:v>Material family</x:v>
      </x:c>
      <x:c r="B176" s="4" t="str">
        <x:v>Wing membrane</x:v>
      </x:c>
      <x:c r="C176" s="4" t="str">
        <x:v>Broad descriptive candidate. Mixed, alternative and unresolved values preserve uncertainty.</x:v>
      </x:c>
    </x:row>
    <x:row r="177" ht="50" customHeight="1">
      <x:c r="A177" s="4" t="str">
        <x:v>Material family</x:v>
      </x:c>
      <x:c r="B177" s="4" t="str">
        <x:v>Wing membrane and frame</x:v>
      </x:c>
      <x:c r="C177" s="4" t="str">
        <x:v>Broad descriptive candidate. Mixed, alternative and unresolved values preserve uncertainty.</x:v>
      </x:c>
    </x:row>
    <x:row r="178" ht="50" customHeight="1">
      <x:c r="A178" s="4" t="str">
        <x:v>Physical form</x:v>
      </x:c>
      <x:c r="B178" s="4" t="str">
        <x:v>Assembly</x:v>
      </x:c>
      <x:c r="C178" s="4" t="str">
        <x:v>Catalog shape/state only; Unresolved avoids inventing a physical or chemical property.</x:v>
      </x:c>
    </x:row>
    <x:row r="179" ht="50" customHeight="1">
      <x:c r="A179" s="4" t="str">
        <x:v>Physical form</x:v>
      </x:c>
      <x:c r="B179" s="4" t="str">
        <x:v>Bundle</x:v>
      </x:c>
      <x:c r="C179" s="4" t="str">
        <x:v>Catalog shape/state only; Unresolved avoids inventing a physical or chemical property.</x:v>
      </x:c>
    </x:row>
    <x:row r="180" ht="50" customHeight="1">
      <x:c r="A180" s="4" t="str">
        <x:v>Physical form</x:v>
      </x:c>
      <x:c r="B180" s="4" t="str">
        <x:v>Cord</x:v>
      </x:c>
      <x:c r="C180" s="4" t="str">
        <x:v>Catalog shape/state only; Unresolved avoids inventing a physical or chemical property.</x:v>
      </x:c>
    </x:row>
    <x:row r="181" ht="50" customHeight="1">
      <x:c r="A181" s="4" t="str">
        <x:v>Physical form</x:v>
      </x:c>
      <x:c r="B181" s="4" t="str">
        <x:v>Fiber</x:v>
      </x:c>
      <x:c r="C181" s="4" t="str">
        <x:v>Catalog shape/state only; Unresolved avoids inventing a physical or chemical property.</x:v>
      </x:c>
    </x:row>
    <x:row r="182" ht="50" customHeight="1">
      <x:c r="A182" s="4" t="str">
        <x:v>Physical form</x:v>
      </x:c>
      <x:c r="B182" s="4" t="str">
        <x:v>Folio</x:v>
      </x:c>
      <x:c r="C182" s="4" t="str">
        <x:v>Catalog shape/state only; Unresolved avoids inventing a physical or chemical property.</x:v>
      </x:c>
    </x:row>
    <x:row r="183" ht="50" customHeight="1">
      <x:c r="A183" s="4" t="str">
        <x:v>Physical form</x:v>
      </x:c>
      <x:c r="B183" s="4" t="str">
        <x:v>Garment</x:v>
      </x:c>
      <x:c r="C183" s="4" t="str">
        <x:v>Catalog shape/state only; Unresolved avoids inventing a physical or chemical property.</x:v>
      </x:c>
    </x:row>
    <x:row r="184" ht="50" customHeight="1">
      <x:c r="A184" s="4" t="str">
        <x:v>Physical form</x:v>
      </x:c>
      <x:c r="B184" s="4" t="str">
        <x:v>Gel</x:v>
      </x:c>
      <x:c r="C184" s="4" t="str">
        <x:v>Catalog shape/state only; Unresolved avoids inventing a physical or chemical property.</x:v>
      </x:c>
    </x:row>
    <x:row r="185" ht="50" customHeight="1">
      <x:c r="A185" s="4" t="str">
        <x:v>Physical form</x:v>
      </x:c>
      <x:c r="B185" s="4" t="str">
        <x:v>Liquid</x:v>
      </x:c>
      <x:c r="C185" s="4" t="str">
        <x:v>Catalog shape/state only; Unresolved avoids inventing a physical or chemical property.</x:v>
      </x:c>
    </x:row>
    <x:row r="186" ht="50" customHeight="1">
      <x:c r="A186" s="4" t="str">
        <x:v>Physical form</x:v>
      </x:c>
      <x:c r="B186" s="4" t="str">
        <x:v>Membrane</x:v>
      </x:c>
      <x:c r="C186" s="4" t="str">
        <x:v>Catalog shape/state only; Unresolved avoids inventing a physical or chemical property.</x:v>
      </x:c>
    </x:row>
    <x:row r="187" ht="50" customHeight="1">
      <x:c r="A187" s="4" t="str">
        <x:v>Physical form</x:v>
      </x:c>
      <x:c r="B187" s="4" t="str">
        <x:v>Panel</x:v>
      </x:c>
      <x:c r="C187" s="4" t="str">
        <x:v>Catalog shape/state only; Unresolved avoids inventing a physical or chemical property.</x:v>
      </x:c>
    </x:row>
    <x:row r="188" ht="50" customHeight="1">
      <x:c r="A188" s="4" t="str">
        <x:v>Physical form</x:v>
      </x:c>
      <x:c r="B188" s="4" t="str">
        <x:v>Particles</x:v>
      </x:c>
      <x:c r="C188" s="4" t="str">
        <x:v>Catalog shape/state only; Unresolved avoids inventing a physical or chemical property.</x:v>
      </x:c>
    </x:row>
    <x:row r="189" ht="50" customHeight="1">
      <x:c r="A189" s="4" t="str">
        <x:v>Physical form</x:v>
      </x:c>
      <x:c r="B189" s="4" t="str">
        <x:v>Paste</x:v>
      </x:c>
      <x:c r="C189" s="4" t="str">
        <x:v>Catalog shape/state only; Unresolved avoids inventing a physical or chemical property.</x:v>
      </x:c>
    </x:row>
    <x:row r="190" ht="50" customHeight="1">
      <x:c r="A190" s="4" t="str">
        <x:v>Physical form</x:v>
      </x:c>
      <x:c r="B190" s="4" t="str">
        <x:v>Patch</x:v>
      </x:c>
      <x:c r="C190" s="4" t="str">
        <x:v>Catalog shape/state only; Unresolved avoids inventing a physical or chemical property.</x:v>
      </x:c>
    </x:row>
    <x:row r="191" ht="50" customHeight="1">
      <x:c r="A191" s="4" t="str">
        <x:v>Physical form</x:v>
      </x:c>
      <x:c r="B191" s="4" t="str">
        <x:v>Rock</x:v>
      </x:c>
      <x:c r="C191" s="4" t="str">
        <x:v>Catalog shape/state only; Unresolved avoids inventing a physical or chemical property.</x:v>
      </x:c>
    </x:row>
    <x:row r="192" ht="50" customHeight="1">
      <x:c r="A192" s="4" t="str">
        <x:v>Physical form</x:v>
      </x:c>
      <x:c r="B192" s="4" t="str">
        <x:v>Sheet</x:v>
      </x:c>
      <x:c r="C192" s="4" t="str">
        <x:v>Catalog shape/state only; Unresolved avoids inventing a physical or chemical property.</x:v>
      </x:c>
    </x:row>
    <x:row r="193" ht="50" customHeight="1">
      <x:c r="A193" s="4" t="str">
        <x:v>Physical form</x:v>
      </x:c>
      <x:c r="B193" s="4" t="str">
        <x:v>Shell plate</x:v>
      </x:c>
      <x:c r="C193" s="4" t="str">
        <x:v>Catalog shape/state only; Unresolved avoids inventing a physical or chemical property.</x:v>
      </x:c>
    </x:row>
    <x:row r="194" ht="50" customHeight="1">
      <x:c r="A194" s="4" t="str">
        <x:v>Physical form</x:v>
      </x:c>
      <x:c r="B194" s="4" t="str">
        <x:v>Solid part</x:v>
      </x:c>
      <x:c r="C194" s="4" t="str">
        <x:v>Catalog shape/state only; Unresolved avoids inventing a physical or chemical property.</x:v>
      </x:c>
    </x:row>
    <x:row r="195" ht="50" customHeight="1">
      <x:c r="A195" s="4" t="str">
        <x:v>Physical form</x:v>
      </x:c>
      <x:c r="B195" s="4" t="str">
        <x:v>Solid piece</x:v>
      </x:c>
      <x:c r="C195" s="4" t="str">
        <x:v>Catalog shape/state only; Unresolved avoids inventing a physical or chemical property.</x:v>
      </x:c>
    </x:row>
    <x:row r="196" ht="50" customHeight="1">
      <x:c r="A196" s="4" t="str">
        <x:v>Physical form</x:v>
      </x:c>
      <x:c r="B196" s="4" t="str">
        <x:v>Strip</x:v>
      </x:c>
      <x:c r="C196" s="4" t="str">
        <x:v>Catalog shape/state only; Unresolved avoids inventing a physical or chemical property.</x:v>
      </x:c>
    </x:row>
    <x:row r="197" ht="50" customHeight="1">
      <x:c r="A197" s="4" t="str">
        <x:v>Physical form</x:v>
      </x:c>
      <x:c r="B197" s="4" t="str">
        <x:v>Unresolved</x:v>
      </x:c>
      <x:c r="C197" s="4" t="str">
        <x:v>Catalog shape/state only; Unresolved avoids inventing a physical or chemical property.</x:v>
      </x:c>
    </x:row>
    <x:row r="198" ht="50" customHeight="1">
      <x:c r="A198" s="4" t="str">
        <x:v>Design status</x:v>
      </x:c>
      <x:c r="B198" s="4" t="str">
        <x:v>Author direction</x:v>
      </x:c>
      <x:c r="C198" s="4" t="str">
        <x:v>Existing definition means serialized data, not proof all intended uses work. Author direction, Proposal and Withheld assumption remain distinct.</x:v>
      </x:c>
    </x:row>
    <x:row r="199" ht="50" customHeight="1">
      <x:c r="A199" s="4" t="str">
        <x:v>Design status</x:v>
      </x:c>
      <x:c r="B199" s="4" t="str">
        <x:v>Existing definition</x:v>
      </x:c>
      <x:c r="C199" s="4" t="str">
        <x:v>Existing definition means serialized data, not proof all intended uses work. Author direction, Proposal and Withheld assumption remain distinct.</x:v>
      </x:c>
    </x:row>
    <x:row r="200" ht="50" customHeight="1">
      <x:c r="A200" s="4" t="str">
        <x:v>Design status</x:v>
      </x:c>
      <x:c r="B200" s="4" t="str">
        <x:v>Proposal</x:v>
      </x:c>
      <x:c r="C200" s="4" t="str">
        <x:v>Existing definition means serialized data, not proof all intended uses work. Author direction, Proposal and Withheld assumption remain distinct.</x:v>
      </x:c>
    </x:row>
    <x:row r="201" ht="50" customHeight="1">
      <x:c r="A201" s="4" t="str">
        <x:v>Design status</x:v>
      </x:c>
      <x:c r="B201" s="4" t="str">
        <x:v>Source proposal</x:v>
      </x:c>
      <x:c r="C201" s="4" t="str">
        <x:v>Existing definition means serialized data, not proof all intended uses work. Author direction, Proposal and Withheld assumption remain distinct.</x:v>
      </x:c>
    </x:row>
    <x:row r="202" ht="50" customHeight="1">
      <x:c r="A202" s="4" t="str">
        <x:v>Design status</x:v>
      </x:c>
      <x:c r="B202" s="4" t="str">
        <x:v>Withheld assumption</x:v>
      </x:c>
      <x:c r="C202" s="4" t="str">
        <x:v>Existing definition means serialized data, not proof all intended uses work. Author direction, Proposal and Withheld assumption remain distinct.</x:v>
      </x:c>
    </x:row>
    <x:row r="203" ht="50" customHeight="1">
      <x:c r="A203" s="4" t="str">
        <x:v>Material tier</x:v>
      </x:c>
      <x:c r="B203" s="4" t="str">
        <x:v>Not applicable</x:v>
      </x:c>
      <x:c r="C203" s="4" t="str">
        <x:v>T0 raw entry feed, then T1/T2/T3/T4 selected material transformations. Not applicable for finished endpoints; Unassigned for unresolved material/component routes. Independent of rarity and quality.</x:v>
      </x:c>
    </x:row>
    <x:row r="204" ht="50" customHeight="1">
      <x:c r="A204" s="4" t="str">
        <x:v>Material tier</x:v>
      </x:c>
      <x:c r="B204" s="4" t="str">
        <x:v>T0</x:v>
      </x:c>
      <x:c r="C204" s="4" t="str">
        <x:v>T0 raw entry feed, then T1/T2/T3/T4 selected material transformations. Not applicable for finished endpoints; Unassigned for unresolved material/component routes. Independent of rarity and quality.</x:v>
      </x:c>
    </x:row>
    <x:row r="205" ht="50" customHeight="1">
      <x:c r="A205" s="4" t="str">
        <x:v>Material tier</x:v>
      </x:c>
      <x:c r="B205" s="4" t="str">
        <x:v>T1</x:v>
      </x:c>
      <x:c r="C205" s="4" t="str">
        <x:v>T0 raw entry feed, then T1/T2/T3/T4 selected material transformations. Not applicable for finished endpoints; Unassigned for unresolved material/component routes. Independent of rarity and quality.</x:v>
      </x:c>
    </x:row>
    <x:row r="206" ht="50" customHeight="1">
      <x:c r="A206" s="4" t="str">
        <x:v>Material tier</x:v>
      </x:c>
      <x:c r="B206" s="4" t="str">
        <x:v>T2</x:v>
      </x:c>
      <x:c r="C206" s="4" t="str">
        <x:v>T0 raw entry feed, then T1/T2/T3/T4 selected material transformations. Not applicable for finished endpoints; Unassigned for unresolved material/component routes. Independent of rarity and quality.</x:v>
      </x:c>
    </x:row>
    <x:row r="207" ht="50" customHeight="1">
      <x:c r="A207" s="4" t="str">
        <x:v>Material tier</x:v>
      </x:c>
      <x:c r="B207" s="4" t="str">
        <x:v>T3</x:v>
      </x:c>
      <x:c r="C207" s="4" t="str">
        <x:v>T0 raw entry feed, then T1/T2/T3/T4 selected material transformations. Not applicable for finished endpoints; Unassigned for unresolved material/component routes. Independent of rarity and quality.</x:v>
      </x:c>
    </x:row>
    <x:row r="208" ht="50" customHeight="1">
      <x:c r="A208" s="4" t="str">
        <x:v>Material tier</x:v>
      </x:c>
      <x:c r="B208" s="4" t="str">
        <x:v>T4</x:v>
      </x:c>
      <x:c r="C208" s="4" t="str">
        <x:v>T0 raw entry feed, then T1/T2/T3/T4 selected material transformations. Not applicable for finished endpoints; Unassigned for unresolved material/component routes. Independent of rarity and quality.</x:v>
      </x:c>
    </x:row>
    <x:row r="209" ht="50" customHeight="1">
      <x:c r="A209" s="4" t="str">
        <x:v>Material tier</x:v>
      </x:c>
      <x:c r="B209" s="4" t="str">
        <x:v>Unassigned</x:v>
      </x:c>
      <x:c r="C209" s="4" t="str">
        <x:v>T0 raw entry feed, then T1/T2/T3/T4 selected material transformations. Not applicable for finished endpoints; Unassigned for unresolved material/component routes. Independent of rarity and quality.</x:v>
      </x:c>
    </x:row>
    <x:row r="210" ht="50" customHeight="1">
      <x:c r="A210" s="38" t="str">
        <x:v>Crafting role</x:v>
      </x:c>
      <x:c r="B210" s="38" t="str">
        <x:v>Component</x:v>
      </x:c>
      <x:c r="C210" s="38" t="str">
        <x:v>Material, Component, Finished item or Currency describes the item independently of material tier.</x:v>
      </x:c>
    </x:row>
    <x:row r="211" ht="50" customHeight="1">
      <x:c r="A211" s="38" t="str">
        <x:v>Crafting role</x:v>
      </x:c>
      <x:c r="B211" s="38" t="str">
        <x:v>Currency</x:v>
      </x:c>
      <x:c r="C211" s="38" t="str">
        <x:v>Material, Component, Finished item or Currency describes the item independently of material tier.</x:v>
      </x:c>
    </x:row>
    <x:row r="212" ht="50" customHeight="1">
      <x:c r="A212" s="38" t="str">
        <x:v>Crafting role</x:v>
      </x:c>
      <x:c r="B212" s="38" t="str">
        <x:v>Finished item</x:v>
      </x:c>
      <x:c r="C212" s="38" t="str">
        <x:v>Material, Component, Finished item or Currency describes the item independently of material tier.</x:v>
      </x:c>
    </x:row>
    <x:row r="213" ht="50" customHeight="1">
      <x:c r="A213" s="38" t="str">
        <x:v>Crafting role</x:v>
      </x:c>
      <x:c r="B213" s="38" t="str">
        <x:v>Material</x:v>
      </x:c>
      <x:c r="C213" s="38" t="str">
        <x:v>Material, Component, Finished item or Currency describes the item independently of material tier.</x:v>
      </x:c>
    </x:row>
  </x:sheetData>
  <x:pageMargins left="0.7" right="0.7" top="0.75" bottom="0.75" header="0.3" footer="0.3"/>
  <x:tableParts count="1">
    <x:tablePart xmlns:r="http://schemas.openxmlformats.org/officeDocument/2006/relationships" r:id="Rcd457dfcb11c457a"/>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Crafting components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Crafting components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Crafting components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Equipment</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Equipment</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Equipment</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Equipment</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Equipment</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Equipment</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Resources</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Resources</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Resources</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Resources</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Equipment</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Equipment</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Resources</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Resources</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Resources</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Resources</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Resources</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Resources</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Resources</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Resources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IFERROR(INDEX(Items!$D$6:$D$1005,MATCH(A133,Items!$A$6:$A$1005,0)),"MISSING ITEM ID")</x:f>
        <x:v>Containers</x:v>
      </x:c>
      <x:c r="D133" s="4" t="str">
        <x:v>Primary</x:v>
      </x:c>
      <x:c r="E133" s="4" t="str">
        <x:f>IFERROR(INDEX(Items!$AA$6:$AA$1005,MATCH(A133,Items!$A$6:$A$1005,0)),"MISSING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IFERROR(INDEX(Items!$D$6:$D$1005,MATCH(A134,Items!$A$6:$A$1005,0)),"MISSING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Containers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IFERROR(INDEX(Items!$D$6:$D$1005,MATCH(A144,Items!$A$6:$A$1005,0)),"MISSING ITEM ID")</x:f>
        <x:v>Containers</x:v>
      </x:c>
      <x:c r="D144" s="4" t="str">
        <x:v>Primary</x:v>
      </x:c>
      <x:c r="E144" s="4" t="str">
        <x:f>IFERROR(INDEX(Items!$AA$6:$AA$1005,MATCH(A144,Items!$A$6:$A$1005,0)),"MISSING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IFERROR(INDEX(Items!$D$6:$D$1005,MATCH(A147,Items!$A$6:$A$1005,0)),"MISSING ITEM ID")</x:f>
        <x:v>Containers</x:v>
      </x:c>
      <x:c r="D147" s="4" t="str">
        <x:v>Primary</x:v>
      </x:c>
      <x:c r="E147" s="4" t="str">
        <x:f>IFERROR(INDEX(Items!$AA$6:$AA$1005,MATCH(A147,Items!$A$6:$A$1005,0)),"MISSING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IFERROR(INDEX(Items!$D$6:$D$1005,MATCH(A150,Items!$A$6:$A$1005,0)),"MISSING ITEM ID")</x:f>
        <x:v>Containers</x:v>
      </x:c>
      <x:c r="D150" s="4" t="str">
        <x:v>Primary</x:v>
      </x:c>
      <x:c r="E150" s="4" t="str">
        <x:f>IFERROR(INDEX(Items!$AA$6:$AA$1005,MATCH(A150,Items!$A$6:$A$1005,0)),"MISSING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IFERROR(INDEX(Items!$D$6:$D$1005,MATCH(A151,Items!$A$6:$A$1005,0)),"MISSING ITEM ID")</x:f>
        <x:v>Equipment</x:v>
      </x:c>
      <x:c r="D151" s="4" t="str">
        <x:v>Primary</x:v>
      </x:c>
      <x:c r="E151" s="4" t="str">
        <x:f>IFERROR(INDEX(Items!$AA$6:$AA$1005,MATCH(A151,Items!$A$6:$A$1005,0)),"MISSING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IFERROR(INDEX(Items!$D$6:$D$1005,MATCH(A152,Items!$A$6:$A$1005,0)),"MISSING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IFERROR(INDEX(Items!$D$6:$D$1005,MATCH(A153,Items!$A$6:$A$1005,0)),"MISSING ITEM ID")</x:f>
        <x:v>Equipment</x:v>
      </x:c>
      <x:c r="D153" s="4" t="str">
        <x:v>Primary</x:v>
      </x:c>
      <x:c r="E153" s="4" t="str">
        <x:f>IFERROR(INDEX(Items!$AA$6:$AA$1005,MATCH(A153,Items!$A$6:$A$1005,0)),"MISSING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IFERROR(INDEX(Items!$D$6:$D$1005,MATCH(A154,Items!$A$6:$A$1005,0)),"MISSING ITEM ID")</x:f>
        <x:v>Equipment</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IFERROR(INDEX(Items!$D$6:$D$1005,MATCH(A155,Items!$A$6:$A$1005,0)),"MISSING ITEM ID")</x:f>
        <x:v>Equipment</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IFERROR(INDEX(Items!$D$6:$D$1005,MATCH(A156,Items!$A$6:$A$1005,0)),"MISSING ITEM ID")</x:f>
        <x:v>Equipment</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Equipment</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Equipment</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Equipment</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Equipment</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Equipment</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Resources</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Resources</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Resources</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Equipment</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Equipment</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Equipment</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Equipment</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Equipment</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Equipment</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Equipment</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Equipment</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Equipment</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Resources</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Resources</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Resources</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Equipment</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Equipment</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Equipment</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Equipment</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Equipment</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Equipment</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Equipment</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Equipment</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Resources</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Equipment</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IFERROR(INDEX(Items!$D$6:$D$1005,MATCH(A292,Items!$A$6:$A$1005,0)),"MISSING ITEM ID")</x:f>
        <x:v>Equipment</x:v>
      </x:c>
      <x:c r="D292" s="4" t="str">
        <x:v>Primary</x:v>
      </x:c>
      <x:c r="E292" s="4" t="str">
        <x:f>IFERROR(INDEX(Items!$AA$6:$AA$1005,MATCH(A292,Items!$A$6:$A$1005,0)),"MISSING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IFERROR(INDEX(Items!$D$6:$D$1005,MATCH(A293,Items!$A$6:$A$1005,0)),"MISSING ITEM ID")</x:f>
        <x:v>Equipment</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Equipment</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Equipment</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Equipment</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IFERROR(INDEX(Items!$D$6:$D$1005,MATCH(A297,Items!$A$6:$A$1005,0)),"MISSING ITEM ID")</x:f>
        <x:v>Equipment</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IFERROR(INDEX(Items!$D$6:$D$1005,MATCH(A298,Items!$A$6:$A$1005,0)),"MISSING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IFERROR(INDEX(Items!$D$6:$D$1005,MATCH(A299,Items!$A$6:$A$1005,0)),"MISSING ITEM ID")</x:f>
        <x:v>Crafting components</x:v>
      </x:c>
      <x:c r="D299" s="4" t="str">
        <x:v>Primary</x:v>
      </x:c>
      <x:c r="E299" s="4" t="str">
        <x:f>IFERROR(INDEX(Items!$AA$6:$AA$1005,MATCH(A299,Items!$A$6:$A$1005,0)),"MISSING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IFERROR(INDEX(Items!$D$6:$D$1005,MATCH(A300,Items!$A$6:$A$1005,0)),"MISSING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IFERROR(INDEX(Items!$D$6:$D$1005,MATCH(A301,Items!$A$6:$A$1005,0)),"MISSING ITEM ID")</x:f>
        <x:v>Crafting components</x:v>
      </x:c>
      <x:c r="D301" s="4" t="str">
        <x:v>Primary</x:v>
      </x:c>
      <x:c r="E301" s="4" t="str">
        <x:f>IFERROR(INDEX(Items!$AA$6:$AA$1005,MATCH(A301,Items!$A$6:$A$1005,0)),"MISSING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IFERROR(INDEX(Items!$D$6:$D$1005,MATCH(A302,Items!$A$6:$A$1005,0)),"MISSING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IFERROR(INDEX(Items!$D$6:$D$1005,MATCH(A303,Items!$A$6:$A$1005,0)),"MISSING ITEM ID")</x:f>
        <x:v>Crafting components</x:v>
      </x:c>
      <x:c r="D303" s="4" t="str">
        <x:v>Primary</x:v>
      </x:c>
      <x:c r="E303" s="4" t="str">
        <x:f>IFERROR(INDEX(Items!$AA$6:$AA$1005,MATCH(A303,Items!$A$6:$A$1005,0)),"MISSING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IFERROR(INDEX(Items!$D$6:$D$1005,MATCH(A304,Items!$A$6:$A$1005,0)),"MISSING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Equipment</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Resources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Resources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Resources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Resources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Resources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Resources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Resources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Resources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Equipment</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Crafting components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Equipment</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Equipment</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Crafting components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Crafting components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Crafting components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Crafting components</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Crafting components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Crafting components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Equipment</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Equipment</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Equipment</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Equipment</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Equipment</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IFERROR(INDEX(Items!$D$6:$D$1005,MATCH(A367,Items!$A$6:$A$1005,0)),"MISSING ITEM ID")</x:f>
        <x:v>Equipment</x:v>
      </x:c>
      <x:c r="D367" s="3" t="str">
        <x:v>Primary</x:v>
      </x:c>
      <x:c r="E367" s="3" t="str">
        <x:f>IFERROR(INDEX(Items!$AA$6:$AA$1005,MATCH(A367,Items!$A$6:$A$1005,0)),"MISSING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Equipment</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Crafting components</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Equipment</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Crafting components</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Equipment</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Equipment</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Equipment</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Equipment</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IFERROR(INDEX(Items!$D$6:$D$1005,MATCH(A379,Items!$A$6:$A$1005,0)),"MISSING ITEM ID")</x:f>
        <x:v>Crafting components</x:v>
      </x:c>
      <x:c r="D379" s="3" t="str">
        <x:v>Primary</x:v>
      </x:c>
      <x:c r="E379" s="3" t="str">
        <x:f>IFERROR(INDEX(Items!$AA$6:$AA$1005,MATCH(A379,Items!$A$6:$A$1005,0)),"MISSING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Equipment</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Equipment</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Equipment</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Equipment</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Equipment</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Equipment</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Equipment</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Equipment</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Equipment</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Equipment</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Equipment</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Crafting components</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Crafting components</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Crafting components</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Crafting components</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Equipment</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Crafting components</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IFERROR(INDEX(Items!$D$6:$D$1005,MATCH(A423,Items!$A$6:$A$1005,0)),"MISSING ITEM ID")</x:f>
        <x:v>Consumables</x:v>
      </x:c>
      <x:c r="D423" s="3" t="str">
        <x:v>Primary</x:v>
      </x:c>
      <x:c r="E423" s="3" t="str">
        <x:f>IFERROR(INDEX(Items!$AA$6:$AA$1005,MATCH(A423,Items!$A$6:$A$1005,0)),"MISSING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IFERROR(INDEX(Items!$D$6:$D$1005,MATCH(A424,Items!$A$6:$A$1005,0)),"MISSING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Resources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Resources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IFERROR(INDEX(Items!$D$6:$D$1005,MATCH(A440,Items!$A$6:$A$1005,0)),"MISSING ITEM ID")</x:f>
        <x:v>Containers</x:v>
      </x:c>
      <x:c r="D440" s="3" t="str">
        <x:v>Primary</x:v>
      </x:c>
      <x:c r="E440" s="3" t="str">
        <x:f>IFERROR(INDEX(Items!$AA$6:$AA$1005,MATCH(A440,Items!$A$6:$A$1005,0)),"MISSING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IFERROR(INDEX(Items!$D$6:$D$1005,MATCH(A441,Items!$A$6:$A$1005,0)),"MISSING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IFERROR(INDEX(Items!$D$6:$D$1005,MATCH(A442,Items!$A$6:$A$1005,0)),"MISSING ITEM ID")</x:f>
        <x:v>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Resources</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Resources</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Resources</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Resources</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Resources</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Resources</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Resources</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Resources</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Resources</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Resources</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Resources</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Resources</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Resources</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Resources</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Resources</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Resources</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Resources</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Resources</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Resources</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Resources</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Resources</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Resources</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Resources</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Resources</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Resources</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Resources</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Resources</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Resources</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Resources</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Resources</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Resources</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Resources</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Resources</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Resources</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Resources</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Resources</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Resources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Resources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Resources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Resources</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Resources</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Resources</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Resources</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Equipment</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Equipment</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Equipment</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Equipment</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Equipment</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Equipment</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Resources</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Equipment</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Equipment</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Equipment</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Equipment</x:v>
      </x:c>
      <x:c r="D554" s="3" t="str">
        <x:v>Primary</x:v>
      </x:c>
      <x:c r="E554" s="3" t="str">
        <x:f>IFERROR(INDEX(Items!$AA$6:$AA$1005,MATCH(A554,Items!$A$6:$A$1005,0)),"MISSING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IFERROR(INDEX(Items!$D$6:$D$1005,MATCH(A555,Items!$A$6:$A$1005,0)),"MISSING ITEM ID")</x:f>
        <x:v>Equipment</x:v>
      </x:c>
      <x:c r="D555" s="3" t="str">
        <x:v>Primary</x:v>
      </x:c>
      <x:c r="E555" s="3" t="str">
        <x:f>IFERROR(INDEX(Items!$AA$6:$AA$1005,MATCH(A555,Items!$A$6:$A$1005,0)),"MISSING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IFERROR(INDEX(Items!$D$6:$D$1005,MATCH(A556,Items!$A$6:$A$1005,0)),"MISSING ITEM ID")</x:f>
        <x:v>Equipment</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Equipment</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Equipment</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Equipment</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Equipment</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Equipment</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Equipment</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Equipment</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Resources</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t="str">
        <x:v>author.city_transport.carriage</x:v>
      </x:c>
      <x:c r="B565" s="3" t="str">
        <x:f>IFERROR(INDEX(Items!$B$6:$B$1005,MATCH(A565,Items!$A$6:$A$1005,0)),"MISSING ITEM ID")</x:f>
        <x:v>Inner-city carriage</x:v>
      </x:c>
      <x:c r="C565" s="3" t="str">
        <x:f>IFERROR(INDEX(Items!$D$6:$D$1005,MATCH(A565,Items!$A$6:$A$1005,0)),"MISSING ITEM ID")</x:f>
        <x:v>Equipment</x:v>
      </x:c>
      <x:c r="D565" s="3" t="str">
        <x:v>Primary</x:v>
      </x:c>
      <x:c r="E565" s="3" t="str">
        <x:f>IFERROR(INDEX(Items!$AA$6:$AA$1005,MATCH(A565,Items!$A$6:$A$1005,0)),"MISSING ITEM ID")</x:f>
        <x:v>Traversal</x:v>
      </x:c>
      <x:c r="F565" s="3" t="str">
        <x:v>Author-directed inner-city transport family; operating mechanics remain undefined.</x:v>
      </x:c>
    </x:row>
    <x:row r="566">
      <x:c r="A566" s="3" t="str">
        <x:v>author.city_transport.car</x:v>
      </x:c>
      <x:c r="B566" s="3" t="str">
        <x:f>IFERROR(INDEX(Items!$B$6:$B$1005,MATCH(A566,Items!$A$6:$A$1005,0)),"MISSING ITEM ID")</x:f>
        <x:v>Inner-city car</x:v>
      </x:c>
      <x:c r="C566" s="3" t="str">
        <x:f>IFERROR(INDEX(Items!$D$6:$D$1005,MATCH(A566,Items!$A$6:$A$1005,0)),"MISSING ITEM ID")</x:f>
        <x:v>Equipment</x:v>
      </x:c>
      <x:c r="D566" s="3" t="str">
        <x:v>Primary</x:v>
      </x:c>
      <x:c r="E566" s="3" t="str">
        <x:f>IFERROR(INDEX(Items!$AA$6:$AA$1005,MATCH(A566,Items!$A$6:$A$1005,0)),"MISSING ITEM ID")</x:f>
        <x:v>Traversal</x:v>
      </x:c>
      <x:c r="F566" s="3" t="str">
        <x:v>Author-directed inner-city transport family; operating mechanics remain undefined.</x:v>
      </x:c>
    </x:row>
    <x:row r="567">
      <x:c r="A567" s="3" t="str">
        <x:v>author.corrosion.advanced_remover</x:v>
      </x:c>
      <x:c r="B567" s="3" t="str">
        <x:f>IFERROR(INDEX(Items!$B$6:$B$1005,MATCH(A567,Items!$A$6:$A$1005,0)),"MISSING ITEM ID")</x:f>
        <x:v>Advanced rust-removal compound</x:v>
      </x:c>
      <x:c r="C567" s="3" t="str">
        <x:f>IFERROR(INDEX(Items!$D$6:$D$1005,MATCH(A567,Items!$A$6:$A$1005,0)),"MISSING ITEM ID")</x:f>
        <x:v>Resources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Resources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Resources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Resources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Resources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Resources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Resources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Resources</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Resources</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Resources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Resources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Resources</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Resources</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Resources</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Resources</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Resources</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Resources</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Resources</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Resources</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Resources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Resources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Resources</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Resources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Resources</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Resources</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Resources</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Resources</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Resources</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Resources</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Resources</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Resources</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Resources</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Resources</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Resources</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Resources</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Resources</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Resources</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Resources</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Resources</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Resources</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Resources</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Resources</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Resources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Resources</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Resources</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Resources</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Resources</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Resources</x:v>
      </x:c>
      <x:c r="D626" s="3" t="str">
        <x:v>Primary</x:v>
      </x:c>
      <x:c r="E626" s="3" t="str">
        <x:f>IFERROR(INDEX('Items'!$AA$6:$AA$1005,MATCH(A626,'Items'!$A$6:$A$1005,0)),"MISSING ID")</x:f>
        <x:v>Chemical processing</x:v>
      </x:c>
      <x:c r="F626" s="3" t="str">
        <x:v>Proposed primary intermediate-stock use; downstream assembly remains planning only.</x:v>
      </x:c>
    </x:row>
  </x:sheetData>
  <x:dataValidations count="3">
    <x:dataValidation type="list" sqref="A6:A1005">
      <x:formula1>'Items'!$A$6:$A$467</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bc79ce13a2e84765"/>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Resources</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Resources</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Resources</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Resources</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Resources</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Resources</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Resources</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Resources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Resources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Resources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Resources</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Resources</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Resources</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Resources</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Resources</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Resources</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Resources</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Crafting components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Resources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Resources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Resources</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Resources</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Resources</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Resources</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Resources</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Resources</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Resources</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Resources</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Resources</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Resources</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Resources</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Resources</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Resources</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Resources</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Resources</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Resources</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Resources</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Resources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Resources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Resources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Resources</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Resources</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Resources</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Resources</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Resources</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Resources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Unassigned</x:v>
      </x:c>
      <x:c r="G99" s="4" t="str">
        <x:f>IFERROR(INDEX('Items'!$D$6:$D$1005,MATCH(D99,'Items'!$A$6:$A$1005,0)),"MISSING ID")</x:f>
        <x:v>Resources</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Resources</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Unassigned</x:v>
      </x:c>
      <x:c r="G101" s="4" t="str">
        <x:f>IFERROR(INDEX('Items'!$D$6:$D$1005,MATCH(D101,'Items'!$A$6:$A$1005,0)),"MISSING ID")</x:f>
        <x:v>Resources</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Unassigned</x:v>
      </x:c>
      <x:c r="G102" s="4" t="str">
        <x:f>IFERROR(INDEX('Items'!$D$6:$D$1005,MATCH(D102,'Items'!$A$6:$A$1005,0)),"MISSING ID")</x:f>
        <x:v>Resources</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Resources</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Resources</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Resources</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Resources</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Resources</x:v>
      </x:c>
      <x:c r="H114" s="4" t="str">
        <x:f>IFERROR(INDEX('Items'!$X$6:$X$1005,MATCH(D114,'Items'!$A$6:$A$1005,0)),"MISSING ID")</x:f>
        <x:v>Raw material</x:v>
      </x:c>
      <x:c r="I114" s="4"/>
      <x:c r="J114" s="4" t="str">
        <x:v>Unspecified</x:v>
      </x:c>
      <x:c r="K114" s="4" t="str">
        <x:f>IFERROR(INDEX('Crafting recipes'!$D$6:$D$1005,MATCH(B114,'Crafting recipes'!$A$6:$A$1005,0)),"MISSING ID")</x:f>
        <x:v>Concept outline</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Unassigned</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Concept outline</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Resources</x:v>
      </x:c>
      <x:c r="H116" s="4" t="str">
        <x:f>IFERROR(INDEX('Items'!$X$6:$X$1005,MATCH(D116,'Items'!$A$6:$A$1005,0)),"MISSING ID")</x:f>
        <x:v>Raw material</x:v>
      </x:c>
      <x:c r="I116" s="4"/>
      <x:c r="J116" s="4" t="str">
        <x:v>Unspecified</x:v>
      </x:c>
      <x:c r="K116" s="4" t="str">
        <x:f>IFERROR(INDEX('Crafting recipes'!$D$6:$D$1005,MATCH(B116,'Crafting recipes'!$A$6:$A$1005,0)),"MISSING ID")</x:f>
        <x:v>Concept outline</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Unassigned</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Concept outline</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Unassigned</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Equipment</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Resources</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Equipment</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Unassigned</x:v>
      </x:c>
      <x:c r="G127" s="4" t="str">
        <x:f>IFERROR(INDEX('Items'!$D$6:$D$1005,MATCH(D127,'Items'!$A$6:$A$1005,0)),"MISSING ID")</x:f>
        <x:v>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Unassigned</x:v>
      </x:c>
      <x:c r="G128" s="4" t="str">
        <x:f>IFERROR(INDEX('Items'!$D$6:$D$1005,MATCH(D128,'Items'!$A$6:$A$1005,0)),"MISSING ID")</x:f>
        <x:v>Resources</x:v>
      </x:c>
      <x:c r="H128" s="4" t="str">
        <x:f>IFERROR(INDEX('Items'!$X$6:$X$1005,MATCH(D128,'Items'!$A$6:$A$1005,0)),"MISSING ID")</x:f>
        <x:v>Raw material</x:v>
      </x:c>
      <x:c r="I128" s="4"/>
      <x:c r="J128" s="4" t="str">
        <x:v>Unspecified</x:v>
      </x:c>
      <x:c r="K128" s="4" t="str">
        <x:f>IFERROR(INDEX('Crafting recipes'!$D$6:$D$1005,MATCH(B128,'Crafting recipes'!$A$6:$A$1005,0)),"MISSING ID")</x:f>
        <x:v>Concept outline</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1</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Resources</x:v>
      </x:c>
      <x:c r="H129" s="4" t="str">
        <x:f>IFERROR(INDEX('Items'!$X$6:$X$1005,MATCH(D129,'Items'!$A$6:$A$1005,0)),"MISSING ID")</x:f>
        <x:v>Processed material</x:v>
      </x:c>
      <x:c r="I129" s="4"/>
      <x:c r="J129" s="4" t="str">
        <x:v>Unspecified</x:v>
      </x:c>
      <x:c r="K129" s="4" t="str">
        <x:f>IFERROR(INDEX('Crafting recipes'!$D$6:$D$1005,MATCH(B129,'Crafting recipes'!$A$6:$A$1005,0)),"MISSING ID")</x:f>
        <x:v>Concept outline</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Resources</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Unassigned</x:v>
      </x:c>
      <x:c r="G135" s="4" t="str">
        <x:f>IFERROR(INDEX('Items'!$D$6:$D$1005,MATCH(D135,'Items'!$A$6:$A$1005,0)),"MISSING ID")</x:f>
        <x:v>Resources</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Equipment</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Chest armor</x:v>
      </x:c>
      <x:c r="F151" s="4" t="str">
        <x:f>IFERROR(INDEX('Items'!$C$6:$C$1005,MATCH(D151,'Items'!$A$6:$A$1005,0)),"MISSING ID")</x:f>
        <x:v>Not applicable</x:v>
      </x:c>
      <x:c r="G151" s="4" t="str">
        <x:f>IFERROR(INDEX('Items'!$D$6:$D$1005,MATCH(D151,'Items'!$A$6:$A$1005,0)),"MISSING ID")</x:f>
        <x:v>Equipment</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Resources</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t="str">
        <x:v>finished.input.steel_hammer</x:v>
      </x:c>
      <x:c r="B154" s="4" t="str">
        <x:v>design.finished.steel_hammer</x:v>
      </x:c>
      <x:c r="C154" s="4" t="str">
        <x:v>Ingredient candidate</x:v>
      </x:c>
      <x:c r="D154" s="4" t="str">
        <x:v>author.metallurgy.steel_stock</x:v>
      </x:c>
      <x:c r="E154" s="4" t="str">
        <x:f>IFERROR(INDEX('Items'!$B$6:$B$1005,MATCH(D154,'Items'!$A$6:$A$1005,0)),"MISSING ID")</x:f>
        <x:v>Steel stock</x:v>
      </x:c>
      <x:c r="F154" s="4" t="str">
        <x:f>IFERROR(INDEX('Items'!$C$6:$C$1005,MATCH(D154,'Items'!$A$6:$A$1005,0)),"MISSING ID")</x:f>
        <x:v>T2</x:v>
      </x:c>
      <x:c r="G154" s="4" t="str">
        <x:f>IFERROR(INDEX('Items'!$D$6:$D$1005,MATCH(D154,'Items'!$A$6:$A$1005,0)),"MISSING ID")</x:f>
        <x:v>Resources</x:v>
      </x:c>
      <x:c r="H154" s="4" t="str">
        <x:f>IFERROR(INDEX('Items'!$X$6:$X$1005,MATCH(D154,'Items'!$A$6:$A$1005,0)),"MISSING ID")</x:f>
        <x:v>Processed material</x:v>
      </x:c>
      <x:c r="I154" s="4"/>
      <x:c r="J154" s="4" t="str">
        <x:v>Unspecified</x:v>
      </x:c>
      <x:c r="K154" s="4" t="str">
        <x:f>IFERROR(INDEX('Crafting recipes'!$D$6:$D$1005,MATCH(B154,'Crafting recipes'!$A$6:$A$1005,0)),"MISSING ID")</x:f>
        <x:v>Proposal</x:v>
      </x:c>
      <x:c r="L154" s="4" t="str">
        <x:f>IFERROR(INDEX('Items'!$AD$6:$AD$1005,MATCH(D154,'Items'!$A$6:$A$1005,0)),"MISSING ID")</x:f>
        <x:v>Author direction</x:v>
      </x:c>
      <x:c r="M154" s="4" t="str">
        <x:f>IFERROR(INDEX('Crafting recipes'!$E$6:$E$1005,MATCH(B154,'Crafting recipes'!$A$6:$A$1005,0)),"MISSING ID")</x:f>
        <x:v>Partial proposal</x:v>
      </x:c>
      <x:c r="N154" s="4" t="str">
        <x:v>Candidate material contribution; not a complete ingredient list.</x:v>
      </x:c>
      <x:c r="O154" s="4" t="str">
        <x:v>New game recipe proposal</x:v>
      </x:c>
      <x:c r="P154" s="4" t="n">
        <x:f>IF(OR(C154="Ingredient candidate",C154="Consumed input",C154="Contained input",C154="Transform input"),IF(F154="T0",0,IF(F154="T1",1,IF(F154="T2",2,IF(F154="T3",3,IF(F154="T4",4,-1))))),-1)</x:f>
        <x:v>2</x:v>
      </x:c>
      <x:c r="Q154" s="4" t="n">
        <x:f>IF(AND(OR(C154="Ingredient candidate",C154="Consumed input",C154="Contained input",C154="Transform input"),P154=-1),1,0)</x:f>
        <x:v>0</x:v>
      </x:c>
    </x:row>
    <x:row r="155" ht="85" customHeight="1">
      <x:c r="A155" s="4" t="str">
        <x:v>finished.output.steel_hammer</x:v>
      </x:c>
      <x:c r="B155" s="4" t="str">
        <x:v>design.finished.steel_hammer</x:v>
      </x:c>
      <x:c r="C155" s="4" t="str">
        <x:v>Output</x:v>
      </x:c>
      <x:c r="D155" s="4" t="str">
        <x:v>author.forging.hammer</x:v>
      </x:c>
      <x:c r="E155" s="4" t="str">
        <x:f>IFERROR(INDEX('Items'!$B$6:$B$1005,MATCH(D155,'Items'!$A$6:$A$1005,0)),"MISSING ID")</x:f>
        <x:v>Forging hammer</x:v>
      </x:c>
      <x:c r="F155" s="4" t="str">
        <x:f>IFERROR(INDEX('Items'!$C$6:$C$1005,MATCH(D155,'Items'!$A$6:$A$1005,0)),"MISSING ID")</x:f>
        <x:v>Not applicable</x:v>
      </x:c>
      <x:c r="G155" s="4" t="str">
        <x:f>IFERROR(INDEX('Items'!$D$6:$D$1005,MATCH(D155,'Items'!$A$6:$A$1005,0)),"MISSING ID")</x:f>
        <x:v>Equipment</x:v>
      </x:c>
      <x:c r="H155" s="4" t="str">
        <x:f>IFERROR(INDEX('Items'!$X$6:$X$1005,MATCH(D155,'Items'!$A$6:$A$1005,0)),"MISSING ID")</x:f>
        <x:v>Tool</x:v>
      </x:c>
      <x:c r="I155" s="4"/>
      <x:c r="J155" s="4" t="str">
        <x:v>Unspecified</x:v>
      </x:c>
      <x:c r="K155" s="4" t="str">
        <x:f>IFERROR(INDEX('Crafting recipes'!$D$6:$D$1005,MATCH(B155,'Crafting recipes'!$A$6:$A$1005,0)),"MISSING ID")</x:f>
        <x:v>Proposal</x:v>
      </x:c>
      <x:c r="L155" s="4" t="str">
        <x:f>IFERROR(INDEX('Items'!$AD$6:$AD$1005,MATCH(D155,'Items'!$A$6:$A$1005,0)),"MISSING ID")</x:f>
        <x:v>Author direction</x:v>
      </x:c>
      <x:c r="M155" s="4" t="str">
        <x:f>IFERROR(INDEX('Crafting recipes'!$E$6:$E$1005,MATCH(B155,'Crafting recipes'!$A$6:$A$1005,0)),"MISSING ID")</x:f>
        <x:v>Partial proposal</x:v>
      </x:c>
      <x:c r="N155" s="4" t="str">
        <x:v>Finished endpoint; it does not require a T4 ladder.</x:v>
      </x:c>
      <x:c r="O155" s="4" t="str">
        <x:v>New game recipe proposal</x:v>
      </x:c>
      <x:c r="P155" s="4" t="n">
        <x:f>IF(OR(C155="Ingredient candidate",C155="Consumed input",C155="Contained input",C155="Transform input"),IF(F155="T0",0,IF(F155="T1",1,IF(F155="T2",2,IF(F155="T3",3,IF(F155="T4",4,-1))))),-1)</x:f>
        <x:v>-1</x:v>
      </x:c>
      <x:c r="Q155" s="4" t="n">
        <x:f>IF(AND(OR(C155="Ingredient candidate",C155="Consumed input",C155="Contained input",C155="Transform input"),P155=-1),1,0)</x:f>
        <x:v>0</x:v>
      </x:c>
    </x:row>
    <x:row r="156" ht="85" customHeight="1">
      <x:c r="A156" s="4" t="str">
        <x:v>finished.tool.anvil</x:v>
      </x:c>
      <x:c r="B156" s="4" t="str">
        <x:v>design.finished.steel_hammer</x:v>
      </x:c>
      <x:c r="C156" s="4" t="str">
        <x:v>Tool candidate</x:v>
      </x:c>
      <x:c r="D156" s="4" t="str">
        <x:v>author.forging.anvil</x:v>
      </x:c>
      <x:c r="E156" s="4" t="str">
        <x:f>IFERROR(INDEX('Items'!$B$6:$B$1005,MATCH(D156,'Items'!$A$6:$A$1005,0)),"MISSING ID")</x:f>
        <x:v>Anvil</x:v>
      </x:c>
      <x:c r="F156" s="4" t="str">
        <x:f>IFERROR(INDEX('Items'!$C$6:$C$1005,MATCH(D156,'Items'!$A$6:$A$1005,0)),"MISSING ID")</x:f>
        <x:v>Not applicable</x:v>
      </x:c>
      <x:c r="G156" s="4" t="str">
        <x:f>IFERROR(INDEX('Items'!$D$6:$D$1005,MATCH(D156,'Items'!$A$6:$A$1005,0)),"MISSING ID")</x:f>
        <x:v>Equipment</x:v>
      </x:c>
      <x:c r="H156" s="4" t="str">
        <x:f>IFERROR(INDEX('Items'!$X$6:$X$1005,MATCH(D156,'Items'!$A$6:$A$1005,0)),"MISSING ID")</x:f>
        <x:v>Tool</x:v>
      </x:c>
      <x:c r="I156" s="4"/>
      <x:c r="J156" s="4" t="str">
        <x:v>Unspecified</x:v>
      </x:c>
      <x:c r="K156" s="4" t="str">
        <x:f>IFERROR(INDEX('Crafting recipes'!$D$6:$D$1005,MATCH(B156,'Crafting recipes'!$A$6:$A$1005,0)),"MISSING ID")</x:f>
        <x:v>Proposal</x:v>
      </x:c>
      <x:c r="L156" s="4" t="str">
        <x:f>IFERROR(INDEX('Items'!$AD$6:$AD$1005,MATCH(D156,'Items'!$A$6:$A$1005,0)),"MISSING ID")</x:f>
        <x:v>Author direction</x:v>
      </x:c>
      <x:c r="M156" s="4" t="str">
        <x:f>IFERROR(INDEX('Crafting recipes'!$E$6:$E$1005,MATCH(B156,'Crafting recipes'!$A$6:$A$1005,0)),"MISSING ID")</x:f>
        <x:v>Partial proposal</x:v>
      </x:c>
      <x:c r="N156" s="4" t="str">
        <x:v>Proposed reusable prerequisite. An anvil is not consumed as a steel ingredient. Bootstrap/workshop details remain open.</x:v>
      </x:c>
      <x:c r="O156" s="4" t="str">
        <x:v>New game recipe proposal</x:v>
      </x:c>
      <x:c r="P156" s="4" t="n">
        <x:f>IF(OR(C156="Ingredient candidate",C156="Consumed input",C156="Contained input",C156="Transform input"),IF(F156="T0",0,IF(F156="T1",1,IF(F156="T2",2,IF(F156="T3",3,IF(F156="T4",4,-1))))),-1)</x:f>
        <x:v>-1</x:v>
      </x:c>
      <x:c r="Q156" s="4" t="n">
        <x:f>IF(AND(OR(C156="Ingredient candidate",C156="Consumed input",C156="Contained input",C156="Transform input"),P156=-1),1,0)</x:f>
        <x:v>0</x:v>
      </x:c>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Resources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Resources</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Resources</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Resources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Resources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Resources</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Resources</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Resources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Resources</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Resources</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Resources</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Resources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Resources</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Resources</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Resources</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Resources</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Resources</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Resources</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Resources</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Resources</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Resources</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Resources</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Resources</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Resources</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Resources</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Resources</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Resources</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Resources</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Resources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Resources</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Crafting components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Resources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Resources</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Resources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Resources</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Resources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Resources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Resources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Resources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Resources</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Resources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Resources</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Resources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Resources</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Resources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Resources</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Resources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Resources</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Resources</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Resources</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Resources</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Resources</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Resources</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Resources</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Resources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Resources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Resources</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Resources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Resources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Resources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Resources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Resources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Resources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Resources</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Resources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Resources</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Resources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Resources</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Resources</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Resources</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Resources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Resources</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Resources</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Resources</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Resources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Resources</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Resources</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Resources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Resources</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Resources</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Resources</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Resources</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Resources</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Resources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Resources</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Resources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Resources</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Resources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Resources</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Resources</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Resources</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Resources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Resources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Resources</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Resources</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Resources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Resources</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Resources</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Resources</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Resources</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Resources</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Resources</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Resources</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Resources</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Resources</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Resources</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Resources</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Resources</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Resources</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Resources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Resources</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Equipment</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Resources</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Resources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Resources</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Equipment</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Resources</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Resources</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Resources</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Resources</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Resources</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Resources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Resources</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Resources</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Resources</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Resources</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Resources</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Resources</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Resources</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Resources</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Resources</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Resources</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Resources</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Resources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Resources</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Resources</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Resources</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Resources</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Resources</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Resources</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Resources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Resources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Resources</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Resources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Resources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Resources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Resources</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Resources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Resources</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Resources</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Resources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Resources</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Resources</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Resources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Resources</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Resources</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Resources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Resources</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Resources</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Resources</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Resources</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Resources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Resources</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Resources</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Resources</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Resources</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Resources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Resources</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Resources</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Resources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Resources</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sheetData>
  <x:dataValidations count="3">
    <x:dataValidation type="list" sqref="B6:B1005">
      <x:formula1>'Crafting recipes'!$A$6:$A$138</x:formula1>
    </x:dataValidation>
    <x:dataValidation type="list" sqref="D6:D1005">
      <x:formula1>'Items'!$A$6:$A$467</x:formula1>
    </x:dataValidation>
    <x:dataValidation type="list" sqref="C6:C1005">
      <x:formula1>"Ingredient candidate,Consumed input,Contained input,Transform input,Output,Tool candidate,Facility candidate,Catalyst candidate"</x:formula1>
    </x:dataValidation>
  </x:dataValidations>
  <x:pageMargins left="0.7" right="0.7" top="0.75" bottom="0.75" header="0.3" footer="0.3"/>
  <x:tableParts count="1">
    <x:tablePart xmlns:r="http://schemas.openxmlformats.org/officeDocument/2006/relationships" r:id="R8d6b6c30909c417e"/>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f6ab971097024b34"/>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Facility and process prerequisites unresolved</x:v>
      </x:c>
      <x:c r="H6" s="4" t="str">
        <x:f>IF(I6=0,"Unassigned",IF(SUMIFS('Material routes'!$Q$6:$Q$1005,'Material routes'!$B$6:$B$1005,A6)&gt;0,"Unassigned","T"&amp;_xlfn.MAXIFS('Material routes'!$P$6:$P$1005,'Material routes'!$B$6:$B$1005,A6)))</x:f>
        <x:v>T0</x:v>
      </x:c>
      <x:c r="I6" s="4" t="n">
        <x:f>SUM(COUNTIFS('Material routes'!$B$6:$B$1005,A6,'Material routes'!$C$6:$C$1005,"Ingredient candidate"),COUNTIFS('Material routes'!$B$6:$B$1005,A6,'Material routes'!$C$6:$C$1005,"Consumed input"),COUNTIFS('Material routes'!$B$6:$B$1005,A6,'Material routes'!$C$6:$C$1005,"Contained input"),COUNTIFS('Material routes'!$B$6:$B$1005,A6,'Material routes'!$C$6:$C$1005,"Transform input"))</x:f>
        <x:v>1</x:v>
      </x:c>
      <x:c r="J6" s="4" t="n">
        <x:f>COUNTIFS('Material routes'!$B$6:$B$1005,A6,'Material routes'!$C$6:$C$1005,"Output")</x:f>
        <x:v>1</x:v>
      </x:c>
      <x:c r="K6" s="4" t="n">
        <x:f>COUNTIFS('Material routes'!$B$6:$B$1005,A6,'Material routes'!$C$6:$C$1005,"Tool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Facility and process prerequisites unresolved</x:v>
      </x:c>
      <x:c r="H7" s="4" t="str">
        <x:f>IF(I7=0,"Unassigned",IF(SUMIFS('Material routes'!$Q$6:$Q$1005,'Material routes'!$B$6:$B$1005,A7)&gt;0,"Unassigned","T"&amp;_xlfn.MAXIFS('Material routes'!$P$6:$P$1005,'Material routes'!$B$6:$B$1005,A7)))</x:f>
        <x:v>T0</x:v>
      </x:c>
      <x:c r="I7" s="4" t="n">
        <x:f>SUM(COUNTIFS('Material routes'!$B$6:$B$1005,A7,'Material routes'!$C$6:$C$1005,"Ingredient candidate"),COUNTIFS('Material routes'!$B$6:$B$1005,A7,'Material routes'!$C$6:$C$1005,"Consumed input"),COUNTIFS('Material routes'!$B$6:$B$1005,A7,'Material routes'!$C$6:$C$1005,"Contained input"),COUNTIFS('Material routes'!$B$6:$B$1005,A7,'Material routes'!$C$6:$C$1005,"Transform input"))</x:f>
        <x:v>1</x:v>
      </x:c>
      <x:c r="J7" s="4" t="n">
        <x:f>COUNTIFS('Material routes'!$B$6:$B$1005,A7,'Material routes'!$C$6:$C$1005,"Output")</x:f>
        <x:v>1</x:v>
      </x:c>
      <x:c r="K7" s="4" t="n">
        <x:f>COUNTIFS('Material routes'!$B$6:$B$1005,A7,'Material routes'!$C$6:$C$1005,"Tool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Facility and process prerequisites unresolved</x:v>
      </x:c>
      <x:c r="H8" s="4" t="str">
        <x:f>IF(I8=0,"Unassigned",IF(SUMIFS('Material routes'!$Q$6:$Q$1005,'Material routes'!$B$6:$B$1005,A8)&gt;0,"Unassigned","T"&amp;_xlfn.MAXIFS('Material routes'!$P$6:$P$1005,'Material routes'!$B$6:$B$1005,A8)))</x:f>
        <x:v>T0</x:v>
      </x:c>
      <x:c r="I8" s="4" t="n">
        <x:f>SUM(COUNTIFS('Material routes'!$B$6:$B$1005,A8,'Material routes'!$C$6:$C$1005,"Ingredient candidate"),COUNTIFS('Material routes'!$B$6:$B$1005,A8,'Material routes'!$C$6:$C$1005,"Consumed input"),COUNTIFS('Material routes'!$B$6:$B$1005,A8,'Material routes'!$C$6:$C$1005,"Contained input"),COUNTIFS('Material routes'!$B$6:$B$1005,A8,'Material routes'!$C$6:$C$1005,"Transform input"))</x:f>
        <x:v>1</x:v>
      </x:c>
      <x:c r="J8" s="4" t="n">
        <x:f>COUNTIFS('Material routes'!$B$6:$B$1005,A8,'Material routes'!$C$6:$C$1005,"Output")</x:f>
        <x:v>1</x:v>
      </x:c>
      <x:c r="K8" s="4" t="n">
        <x:f>COUNTIFS('Material routes'!$B$6:$B$1005,A8,'Material routes'!$C$6:$C$1005,"Tool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Facility and process prerequisites unresolved</x:v>
      </x:c>
      <x:c r="H9" s="4" t="str">
        <x:f>IF(I9=0,"Unassigned",IF(SUMIFS('Material routes'!$Q$6:$Q$1005,'Material routes'!$B$6:$B$1005,A9)&gt;0,"Unassigned","T"&amp;_xlfn.MAXIFS('Material routes'!$P$6:$P$1005,'Material routes'!$B$6:$B$1005,A9)))</x:f>
        <x:v>T0</x:v>
      </x:c>
      <x:c r="I9" s="4" t="n">
        <x:f>SUM(COUNTIFS('Material routes'!$B$6:$B$1005,A9,'Material routes'!$C$6:$C$1005,"Ingredient candidate"),COUNTIFS('Material routes'!$B$6:$B$1005,A9,'Material routes'!$C$6:$C$1005,"Consumed input"),COUNTIFS('Material routes'!$B$6:$B$1005,A9,'Material routes'!$C$6:$C$1005,"Contained input"),COUNTIFS('Material routes'!$B$6:$B$1005,A9,'Material routes'!$C$6:$C$1005,"Transform input"))</x:f>
        <x:v>1</x:v>
      </x:c>
      <x:c r="J9" s="4" t="n">
        <x:f>COUNTIFS('Material routes'!$B$6:$B$1005,A9,'Material routes'!$C$6:$C$1005,"Output")</x:f>
        <x:v>1</x:v>
      </x:c>
      <x:c r="K9" s="4" t="n">
        <x:f>COUNTIFS('Material routes'!$B$6:$B$1005,A9,'Material routes'!$C$6:$C$1005,"Tool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Facility and process prerequisites unresolved</x:v>
      </x:c>
      <x:c r="H10" s="4" t="str">
        <x:f>IF(I10=0,"Unassigned",IF(SUMIFS('Material routes'!$Q$6:$Q$1005,'Material routes'!$B$6:$B$1005,A10)&gt;0,"Unassigned","T"&amp;_xlfn.MAXIFS('Material routes'!$P$6:$P$1005,'Material routes'!$B$6:$B$1005,A10)))</x:f>
        <x:v>T0</x:v>
      </x:c>
      <x:c r="I10" s="4" t="n">
        <x:f>SUM(COUNTIFS('Material routes'!$B$6:$B$1005,A10,'Material routes'!$C$6:$C$1005,"Ingredient candidate"),COUNTIFS('Material routes'!$B$6:$B$1005,A10,'Material routes'!$C$6:$C$1005,"Consumed input"),COUNTIFS('Material routes'!$B$6:$B$1005,A10,'Material routes'!$C$6:$C$1005,"Contained input"),COUNTIFS('Material routes'!$B$6:$B$1005,A10,'Material routes'!$C$6:$C$1005,"Transform input"))</x:f>
        <x:v>1</x:v>
      </x:c>
      <x:c r="J10" s="4" t="n">
        <x:f>COUNTIFS('Material routes'!$B$6:$B$1005,A10,'Material routes'!$C$6:$C$1005,"Output")</x:f>
        <x:v>1</x:v>
      </x:c>
      <x:c r="K10" s="4" t="n">
        <x:f>COUNTIFS('Material routes'!$B$6:$B$1005,A10,'Material routes'!$C$6:$C$1005,"Tool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Facility and process prerequisites unresolved</x:v>
      </x:c>
      <x:c r="H11" s="4" t="str">
        <x:f>IF(I11=0,"Unassigned",IF(SUMIFS('Material routes'!$Q$6:$Q$1005,'Material routes'!$B$6:$B$1005,A11)&gt;0,"Unassigned","T"&amp;_xlfn.MAXIFS('Material routes'!$P$6:$P$1005,'Material routes'!$B$6:$B$1005,A11)))</x:f>
        <x:v>T0</x:v>
      </x:c>
      <x:c r="I11" s="4" t="n">
        <x:f>SUM(COUNTIFS('Material routes'!$B$6:$B$1005,A11,'Material routes'!$C$6:$C$1005,"Ingredient candidate"),COUNTIFS('Material routes'!$B$6:$B$1005,A11,'Material routes'!$C$6:$C$1005,"Consumed input"),COUNTIFS('Material routes'!$B$6:$B$1005,A11,'Material routes'!$C$6:$C$1005,"Contained input"),COUNTIFS('Material routes'!$B$6:$B$1005,A11,'Material routes'!$C$6:$C$1005,"Transform input"))</x:f>
        <x:v>1</x:v>
      </x:c>
      <x:c r="J11" s="4" t="n">
        <x:f>COUNTIFS('Material routes'!$B$6:$B$1005,A11,'Material routes'!$C$6:$C$1005,"Output")</x:f>
        <x:v>1</x:v>
      </x:c>
      <x:c r="K11" s="4" t="n">
        <x:f>COUNTIFS('Material routes'!$B$6:$B$1005,A11,'Material routes'!$C$6:$C$1005,"Tool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Facility and process prerequisites unresolved</x:v>
      </x:c>
      <x:c r="H12" s="4" t="str">
        <x:f>IF(I12=0,"Unassigned",IF(SUMIFS('Material routes'!$Q$6:$Q$1005,'Material routes'!$B$6:$B$1005,A12)&gt;0,"Unassigned","T"&amp;_xlfn.MAXIFS('Material routes'!$P$6:$P$1005,'Material routes'!$B$6:$B$1005,A12)))</x:f>
        <x:v>T0</x:v>
      </x:c>
      <x:c r="I12" s="4" t="n">
        <x:f>SUM(COUNTIFS('Material routes'!$B$6:$B$1005,A12,'Material routes'!$C$6:$C$1005,"Ingredient candidate"),COUNTIFS('Material routes'!$B$6:$B$1005,A12,'Material routes'!$C$6:$C$1005,"Consumed input"),COUNTIFS('Material routes'!$B$6:$B$1005,A12,'Material routes'!$C$6:$C$1005,"Contained input"),COUNTIFS('Material routes'!$B$6:$B$1005,A12,'Material routes'!$C$6:$C$1005,"Transform input"))</x:f>
        <x:v>1</x:v>
      </x:c>
      <x:c r="J12" s="4" t="n">
        <x:f>COUNTIFS('Material routes'!$B$6:$B$1005,A12,'Material routes'!$C$6:$C$1005,"Output")</x:f>
        <x:v>1</x:v>
      </x:c>
      <x:c r="K12" s="4" t="n">
        <x:f>COUNTIFS('Material routes'!$B$6:$B$1005,A12,'Material routes'!$C$6:$C$1005,"Tool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Facility and process prerequisites unresolved</x:v>
      </x:c>
      <x:c r="H13" s="4" t="str">
        <x:f>IF(I13=0,"Unassigned",IF(SUMIFS('Material routes'!$Q$6:$Q$1005,'Material routes'!$B$6:$B$1005,A13)&gt;0,"Unassigned","T"&amp;_xlfn.MAXIFS('Material routes'!$P$6:$P$1005,'Material routes'!$B$6:$B$1005,A13)))</x:f>
        <x:v>T0</x:v>
      </x:c>
      <x:c r="I13" s="4" t="n">
        <x:f>SUM(COUNTIFS('Material routes'!$B$6:$B$1005,A13,'Material routes'!$C$6:$C$1005,"Ingredient candidate"),COUNTIFS('Material routes'!$B$6:$B$1005,A13,'Material routes'!$C$6:$C$1005,"Consumed input"),COUNTIFS('Material routes'!$B$6:$B$1005,A13,'Material routes'!$C$6:$C$1005,"Contained input"),COUNTIFS('Material routes'!$B$6:$B$1005,A13,'Material routes'!$C$6:$C$1005,"Transform input"))</x:f>
        <x:v>1</x:v>
      </x:c>
      <x:c r="J13" s="4" t="n">
        <x:f>COUNTIFS('Material routes'!$B$6:$B$1005,A13,'Material routes'!$C$6:$C$1005,"Output")</x:f>
        <x:v>1</x:v>
      </x:c>
      <x:c r="K13" s="4" t="n">
        <x:f>COUNTIFS('Material routes'!$B$6:$B$1005,A13,'Material routes'!$C$6:$C$1005,"Tool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Facility and process prerequisites unresolved</x:v>
      </x:c>
      <x:c r="H14" s="4" t="str">
        <x:f>IF(I14=0,"Unassigned",IF(SUMIFS('Material routes'!$Q$6:$Q$1005,'Material routes'!$B$6:$B$1005,A14)&gt;0,"Unassigned","T"&amp;_xlfn.MAXIFS('Material routes'!$P$6:$P$1005,'Material routes'!$B$6:$B$1005,A14)))</x:f>
        <x:v>T0</x:v>
      </x:c>
      <x:c r="I14" s="4" t="n">
        <x:f>SUM(COUNTIFS('Material routes'!$B$6:$B$1005,A14,'Material routes'!$C$6:$C$1005,"Ingredient candidate"),COUNTIFS('Material routes'!$B$6:$B$1005,A14,'Material routes'!$C$6:$C$1005,"Consumed input"),COUNTIFS('Material routes'!$B$6:$B$1005,A14,'Material routes'!$C$6:$C$1005,"Contained input"),COUNTIFS('Material routes'!$B$6:$B$1005,A14,'Material routes'!$C$6:$C$1005,"Transform input"))</x:f>
        <x:v>1</x:v>
      </x:c>
      <x:c r="J14" s="4" t="n">
        <x:f>COUNTIFS('Material routes'!$B$6:$B$1005,A14,'Material routes'!$C$6:$C$1005,"Output")</x:f>
        <x:v>1</x:v>
      </x:c>
      <x:c r="K14" s="4" t="n">
        <x:f>COUNTIFS('Material routes'!$B$6:$B$1005,A14,'Material routes'!$C$6:$C$1005,"Tool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Facility and process prerequisites unresolved</x:v>
      </x:c>
      <x:c r="H15" s="4" t="str">
        <x:f>IF(I15=0,"Unassigned",IF(SUMIFS('Material routes'!$Q$6:$Q$1005,'Material routes'!$B$6:$B$1005,A15)&gt;0,"Unassigned","T"&amp;_xlfn.MAXIFS('Material routes'!$P$6:$P$1005,'Material routes'!$B$6:$B$1005,A15)))</x:f>
        <x:v>T0</x:v>
      </x:c>
      <x:c r="I15" s="4" t="n">
        <x:f>SUM(COUNTIFS('Material routes'!$B$6:$B$1005,A15,'Material routes'!$C$6:$C$1005,"Ingredient candidate"),COUNTIFS('Material routes'!$B$6:$B$1005,A15,'Material routes'!$C$6:$C$1005,"Consumed input"),COUNTIFS('Material routes'!$B$6:$B$1005,A15,'Material routes'!$C$6:$C$1005,"Contained input"),COUNTIFS('Material routes'!$B$6:$B$1005,A15,'Material routes'!$C$6:$C$1005,"Transform input"))</x:f>
        <x:v>1</x:v>
      </x:c>
      <x:c r="J15" s="4" t="n">
        <x:f>COUNTIFS('Material routes'!$B$6:$B$1005,A15,'Material routes'!$C$6:$C$1005,"Output")</x:f>
        <x:v>1</x:v>
      </x:c>
      <x:c r="K15" s="4" t="n">
        <x:f>COUNTIFS('Material routes'!$B$6:$B$1005,A15,'Material routes'!$C$6:$C$1005,"Tool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Facility and process prerequisites unresolved</x:v>
      </x:c>
      <x:c r="H16" s="4" t="str">
        <x:f>IF(I16=0,"Unassigned",IF(SUMIFS('Material routes'!$Q$6:$Q$1005,'Material routes'!$B$6:$B$1005,A16)&gt;0,"Unassigned","T"&amp;_xlfn.MAXIFS('Material routes'!$P$6:$P$1005,'Material routes'!$B$6:$B$1005,A16)))</x:f>
        <x:v>T0</x:v>
      </x:c>
      <x:c r="I16" s="4" t="n">
        <x:f>SUM(COUNTIFS('Material routes'!$B$6:$B$1005,A16,'Material routes'!$C$6:$C$1005,"Ingredient candidate"),COUNTIFS('Material routes'!$B$6:$B$1005,A16,'Material routes'!$C$6:$C$1005,"Consumed input"),COUNTIFS('Material routes'!$B$6:$B$1005,A16,'Material routes'!$C$6:$C$1005,"Contained input"),COUNTIFS('Material routes'!$B$6:$B$1005,A16,'Material routes'!$C$6:$C$1005,"Transform input"))</x:f>
        <x:v>1</x:v>
      </x:c>
      <x:c r="J16" s="4" t="n">
        <x:f>COUNTIFS('Material routes'!$B$6:$B$1005,A16,'Material routes'!$C$6:$C$1005,"Output")</x:f>
        <x:v>1</x:v>
      </x:c>
      <x:c r="K16" s="4" t="n">
        <x:f>COUNTIFS('Material routes'!$B$6:$B$1005,A16,'Material routes'!$C$6:$C$1005,"Tool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Facility and process prerequisites unresolved</x:v>
      </x:c>
      <x:c r="H17" s="4" t="str">
        <x:f>IF(I17=0,"Unassigned",IF(SUMIFS('Material routes'!$Q$6:$Q$1005,'Material routes'!$B$6:$B$1005,A17)&gt;0,"Unassigned","T"&amp;_xlfn.MAXIFS('Material routes'!$P$6:$P$1005,'Material routes'!$B$6:$B$1005,A17)))</x:f>
        <x:v>T0</x:v>
      </x:c>
      <x:c r="I17" s="4" t="n">
        <x:f>SUM(COUNTIFS('Material routes'!$B$6:$B$1005,A17,'Material routes'!$C$6:$C$1005,"Ingredient candidate"),COUNTIFS('Material routes'!$B$6:$B$1005,A17,'Material routes'!$C$6:$C$1005,"Consumed input"),COUNTIFS('Material routes'!$B$6:$B$1005,A17,'Material routes'!$C$6:$C$1005,"Contained input"),COUNTIFS('Material routes'!$B$6:$B$1005,A17,'Material routes'!$C$6:$C$1005,"Transform input"))</x:f>
        <x:v>1</x:v>
      </x:c>
      <x:c r="J17" s="4" t="n">
        <x:f>COUNTIFS('Material routes'!$B$6:$B$1005,A17,'Material routes'!$C$6:$C$1005,"Output")</x:f>
        <x:v>1</x:v>
      </x:c>
      <x:c r="K17" s="4" t="n">
        <x:f>COUNTIFS('Material routes'!$B$6:$B$1005,A17,'Material routes'!$C$6:$C$1005,"Tool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Facility and process prerequisites unresolved</x:v>
      </x:c>
      <x:c r="H18" s="4" t="str">
        <x:f>IF(I18=0,"Unassigned",IF(SUMIFS('Material routes'!$Q$6:$Q$1005,'Material routes'!$B$6:$B$1005,A18)&gt;0,"Unassigned","T"&amp;_xlfn.MAXIFS('Material routes'!$P$6:$P$1005,'Material routes'!$B$6:$B$1005,A18)))</x:f>
        <x:v>T0</x:v>
      </x:c>
      <x:c r="I18" s="4" t="n">
        <x:f>SUM(COUNTIFS('Material routes'!$B$6:$B$1005,A18,'Material routes'!$C$6:$C$1005,"Ingredient candidate"),COUNTIFS('Material routes'!$B$6:$B$1005,A18,'Material routes'!$C$6:$C$1005,"Consumed input"),COUNTIFS('Material routes'!$B$6:$B$1005,A18,'Material routes'!$C$6:$C$1005,"Contained input"),COUNTIFS('Material routes'!$B$6:$B$1005,A18,'Material routes'!$C$6:$C$1005,"Transform input"))</x:f>
        <x:v>1</x:v>
      </x:c>
      <x:c r="J18" s="4" t="n">
        <x:f>COUNTIFS('Material routes'!$B$6:$B$1005,A18,'Material routes'!$C$6:$C$1005,"Output")</x:f>
        <x:v>1</x:v>
      </x:c>
      <x:c r="K18" s="4" t="n">
        <x:f>COUNTIFS('Material routes'!$B$6:$B$1005,A18,'Material routes'!$C$6:$C$1005,"Tool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Facility and process prerequisites unresolved</x:v>
      </x:c>
      <x:c r="H19" s="4" t="str">
        <x:f>IF(I19=0,"Unassigned",IF(SUMIFS('Material routes'!$Q$6:$Q$1005,'Material routes'!$B$6:$B$1005,A19)&gt;0,"Unassigned","T"&amp;_xlfn.MAXIFS('Material routes'!$P$6:$P$1005,'Material routes'!$B$6:$B$1005,A19)))</x:f>
        <x:v>T0</x:v>
      </x:c>
      <x:c r="I19" s="4" t="n">
        <x:f>SUM(COUNTIFS('Material routes'!$B$6:$B$1005,A19,'Material routes'!$C$6:$C$1005,"Ingredient candidate"),COUNTIFS('Material routes'!$B$6:$B$1005,A19,'Material routes'!$C$6:$C$1005,"Consumed input"),COUNTIFS('Material routes'!$B$6:$B$1005,A19,'Material routes'!$C$6:$C$1005,"Contained input"),COUNTIFS('Material routes'!$B$6:$B$1005,A19,'Material routes'!$C$6:$C$1005,"Transform input"))</x:f>
        <x:v>1</x:v>
      </x:c>
      <x:c r="J19" s="4" t="n">
        <x:f>COUNTIFS('Material routes'!$B$6:$B$1005,A19,'Material routes'!$C$6:$C$1005,"Output")</x:f>
        <x:v>1</x:v>
      </x:c>
      <x:c r="K19" s="4" t="n">
        <x:f>COUNTIFS('Material routes'!$B$6:$B$1005,A19,'Material routes'!$C$6:$C$1005,"Tool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Facility and process prerequisites unresolved</x:v>
      </x:c>
      <x:c r="H20" s="4" t="str">
        <x:f>IF(I20=0,"Unassigned",IF(SUMIFS('Material routes'!$Q$6:$Q$1005,'Material routes'!$B$6:$B$1005,A20)&gt;0,"Unassigned","T"&amp;_xlfn.MAXIFS('Material routes'!$P$6:$P$1005,'Material routes'!$B$6:$B$1005,A20)))</x:f>
        <x:v>T0</x:v>
      </x:c>
      <x:c r="I20" s="4" t="n">
        <x:f>SUM(COUNTIFS('Material routes'!$B$6:$B$1005,A20,'Material routes'!$C$6:$C$1005,"Ingredient candidate"),COUNTIFS('Material routes'!$B$6:$B$1005,A20,'Material routes'!$C$6:$C$1005,"Consumed input"),COUNTIFS('Material routes'!$B$6:$B$1005,A20,'Material routes'!$C$6:$C$1005,"Contained input"),COUNTIFS('Material routes'!$B$6:$B$1005,A20,'Material routes'!$C$6:$C$1005,"Transform input"))</x:f>
        <x:v>1</x:v>
      </x:c>
      <x:c r="J20" s="4" t="n">
        <x:f>COUNTIFS('Material routes'!$B$6:$B$1005,A20,'Material routes'!$C$6:$C$1005,"Output")</x:f>
        <x:v>1</x:v>
      </x:c>
      <x:c r="K20" s="4" t="n">
        <x:f>COUNTIFS('Material routes'!$B$6:$B$1005,A20,'Material routes'!$C$6:$C$1005,"Tool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Facility and process prerequisites unresolved</x:v>
      </x:c>
      <x:c r="H21" s="4" t="str">
        <x:f>IF(I21=0,"Unassigned",IF(SUMIFS('Material routes'!$Q$6:$Q$1005,'Material routes'!$B$6:$B$1005,A21)&gt;0,"Unassigned","T"&amp;_xlfn.MAXIFS('Material routes'!$P$6:$P$1005,'Material routes'!$B$6:$B$1005,A21)))</x:f>
        <x:v>T0</x:v>
      </x:c>
      <x:c r="I21" s="4" t="n">
        <x:f>SUM(COUNTIFS('Material routes'!$B$6:$B$1005,A21,'Material routes'!$C$6:$C$1005,"Ingredient candidate"),COUNTIFS('Material routes'!$B$6:$B$1005,A21,'Material routes'!$C$6:$C$1005,"Consumed input"),COUNTIFS('Material routes'!$B$6:$B$1005,A21,'Material routes'!$C$6:$C$1005,"Contained input"),COUNTIFS('Material routes'!$B$6:$B$1005,A21,'Material routes'!$C$6:$C$1005,"Transform input"))</x:f>
        <x:v>1</x:v>
      </x:c>
      <x:c r="J21" s="4" t="n">
        <x:f>COUNTIFS('Material routes'!$B$6:$B$1005,A21,'Material routes'!$C$6:$C$1005,"Output")</x:f>
        <x:v>1</x:v>
      </x:c>
      <x:c r="K21" s="4" t="n">
        <x:f>COUNTIFS('Material routes'!$B$6:$B$1005,A21,'Material routes'!$C$6:$C$1005,"Tool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Facility and process prerequisites unresolved</x:v>
      </x:c>
      <x:c r="H22" s="4" t="str">
        <x:f>IF(I22=0,"Unassigned",IF(SUMIFS('Material routes'!$Q$6:$Q$1005,'Material routes'!$B$6:$B$1005,A22)&gt;0,"Unassigned","T"&amp;_xlfn.MAXIFS('Material routes'!$P$6:$P$1005,'Material routes'!$B$6:$B$1005,A22)))</x:f>
        <x:v>T0</x:v>
      </x:c>
      <x:c r="I22" s="4" t="n">
        <x:f>SUM(COUNTIFS('Material routes'!$B$6:$B$1005,A22,'Material routes'!$C$6:$C$1005,"Ingredient candidate"),COUNTIFS('Material routes'!$B$6:$B$1005,A22,'Material routes'!$C$6:$C$1005,"Consumed input"),COUNTIFS('Material routes'!$B$6:$B$1005,A22,'Material routes'!$C$6:$C$1005,"Contained input"),COUNTIFS('Material routes'!$B$6:$B$1005,A22,'Material routes'!$C$6:$C$1005,"Transform input"))</x:f>
        <x:v>1</x:v>
      </x:c>
      <x:c r="J22" s="4" t="n">
        <x:f>COUNTIFS('Material routes'!$B$6:$B$1005,A22,'Material routes'!$C$6:$C$1005,"Output")</x:f>
        <x:v>1</x:v>
      </x:c>
      <x:c r="K22" s="4" t="n">
        <x:f>COUNTIFS('Material routes'!$B$6:$B$1005,A22,'Material routes'!$C$6:$C$1005,"Tool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Facility and process prerequisites unresolved</x:v>
      </x:c>
      <x:c r="H23" s="4" t="str">
        <x:f>IF(I23=0,"Unassigned",IF(SUMIFS('Material routes'!$Q$6:$Q$1005,'Material routes'!$B$6:$B$1005,A23)&gt;0,"Unassigned","T"&amp;_xlfn.MAXIFS('Material routes'!$P$6:$P$1005,'Material routes'!$B$6:$B$1005,A23)))</x:f>
        <x:v>T0</x:v>
      </x:c>
      <x:c r="I23" s="4" t="n">
        <x:f>SUM(COUNTIFS('Material routes'!$B$6:$B$1005,A23,'Material routes'!$C$6:$C$1005,"Ingredient candidate"),COUNTIFS('Material routes'!$B$6:$B$1005,A23,'Material routes'!$C$6:$C$1005,"Consumed input"),COUNTIFS('Material routes'!$B$6:$B$1005,A23,'Material routes'!$C$6:$C$1005,"Contained input"),COUNTIFS('Material routes'!$B$6:$B$1005,A23,'Material routes'!$C$6:$C$1005,"Transform input"))</x:f>
        <x:v>1</x:v>
      </x:c>
      <x:c r="J23" s="4" t="n">
        <x:f>COUNTIFS('Material routes'!$B$6:$B$1005,A23,'Material routes'!$C$6:$C$1005,"Output")</x:f>
        <x:v>1</x:v>
      </x:c>
      <x:c r="K23" s="4" t="n">
        <x:f>COUNTIFS('Material routes'!$B$6:$B$1005,A23,'Material routes'!$C$6:$C$1005,"Tool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Facility and process prerequisites unresolved</x:v>
      </x:c>
      <x:c r="H24" s="4" t="str">
        <x:f>IF(I24=0,"Unassigned",IF(SUMIFS('Material routes'!$Q$6:$Q$1005,'Material routes'!$B$6:$B$1005,A24)&gt;0,"Unassigned","T"&amp;_xlfn.MAXIFS('Material routes'!$P$6:$P$1005,'Material routes'!$B$6:$B$1005,A24)))</x:f>
        <x:v>T0</x:v>
      </x:c>
      <x:c r="I24" s="4" t="n">
        <x:f>SUM(COUNTIFS('Material routes'!$B$6:$B$1005,A24,'Material routes'!$C$6:$C$1005,"Ingredient candidate"),COUNTIFS('Material routes'!$B$6:$B$1005,A24,'Material routes'!$C$6:$C$1005,"Consumed input"),COUNTIFS('Material routes'!$B$6:$B$1005,A24,'Material routes'!$C$6:$C$1005,"Contained input"),COUNTIFS('Material routes'!$B$6:$B$1005,A24,'Material routes'!$C$6:$C$1005,"Transform input"))</x:f>
        <x:v>1</x:v>
      </x:c>
      <x:c r="J24" s="4" t="n">
        <x:f>COUNTIFS('Material routes'!$B$6:$B$1005,A24,'Material routes'!$C$6:$C$1005,"Output")</x:f>
        <x:v>1</x:v>
      </x:c>
      <x:c r="K24" s="4" t="n">
        <x:f>COUNTIFS('Material routes'!$B$6:$B$1005,A24,'Material routes'!$C$6:$C$1005,"Tool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Facility and process prerequisites unresolved</x:v>
      </x:c>
      <x:c r="H25" s="4" t="str">
        <x:f>IF(I25=0,"Unassigned",IF(SUMIFS('Material routes'!$Q$6:$Q$1005,'Material routes'!$B$6:$B$1005,A25)&gt;0,"Unassigned","T"&amp;_xlfn.MAXIFS('Material routes'!$P$6:$P$1005,'Material routes'!$B$6:$B$1005,A25)))</x:f>
        <x:v>T0</x:v>
      </x:c>
      <x:c r="I25" s="4" t="n">
        <x:f>SUM(COUNTIFS('Material routes'!$B$6:$B$1005,A25,'Material routes'!$C$6:$C$1005,"Ingredient candidate"),COUNTIFS('Material routes'!$B$6:$B$1005,A25,'Material routes'!$C$6:$C$1005,"Consumed input"),COUNTIFS('Material routes'!$B$6:$B$1005,A25,'Material routes'!$C$6:$C$1005,"Contained input"),COUNTIFS('Material routes'!$B$6:$B$1005,A25,'Material routes'!$C$6:$C$1005,"Transform input"))</x:f>
        <x:v>1</x:v>
      </x:c>
      <x:c r="J25" s="4" t="n">
        <x:f>COUNTIFS('Material routes'!$B$6:$B$1005,A25,'Material routes'!$C$6:$C$1005,"Output")</x:f>
        <x:v>1</x:v>
      </x:c>
      <x:c r="K25" s="4" t="n">
        <x:f>COUNTIFS('Material routes'!$B$6:$B$1005,A25,'Material routes'!$C$6:$C$1005,"Tool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Facility and process prerequisites unresolved</x:v>
      </x:c>
      <x:c r="H26" s="4" t="str">
        <x:f>IF(I26=0,"Unassigned",IF(SUMIFS('Material routes'!$Q$6:$Q$1005,'Material routes'!$B$6:$B$1005,A26)&gt;0,"Unassigned","T"&amp;_xlfn.MAXIFS('Material routes'!$P$6:$P$1005,'Material routes'!$B$6:$B$1005,A26)))</x:f>
        <x:v>T0</x:v>
      </x:c>
      <x:c r="I26" s="4" t="n">
        <x:f>SUM(COUNTIFS('Material routes'!$B$6:$B$1005,A26,'Material routes'!$C$6:$C$1005,"Ingredient candidate"),COUNTIFS('Material routes'!$B$6:$B$1005,A26,'Material routes'!$C$6:$C$1005,"Consumed input"),COUNTIFS('Material routes'!$B$6:$B$1005,A26,'Material routes'!$C$6:$C$1005,"Contained input"),COUNTIFS('Material routes'!$B$6:$B$1005,A26,'Material routes'!$C$6:$C$1005,"Transform input"))</x:f>
        <x:v>1</x:v>
      </x:c>
      <x:c r="J26" s="4" t="n">
        <x:f>COUNTIFS('Material routes'!$B$6:$B$1005,A26,'Material routes'!$C$6:$C$1005,"Output")</x:f>
        <x:v>1</x:v>
      </x:c>
      <x:c r="K26" s="4" t="n">
        <x:f>COUNTIFS('Material routes'!$B$6:$B$1005,A26,'Material routes'!$C$6:$C$1005,"Tool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Facility and process prerequisites unresolved</x:v>
      </x:c>
      <x:c r="H27" s="4" t="str">
        <x:f>IF(I27=0,"Unassigned",IF(SUMIFS('Material routes'!$Q$6:$Q$1005,'Material routes'!$B$6:$B$1005,A27)&gt;0,"Unassigned","T"&amp;_xlfn.MAXIFS('Material routes'!$P$6:$P$1005,'Material routes'!$B$6:$B$1005,A27)))</x:f>
        <x:v>T0</x:v>
      </x:c>
      <x:c r="I27" s="4" t="n">
        <x:f>SUM(COUNTIFS('Material routes'!$B$6:$B$1005,A27,'Material routes'!$C$6:$C$1005,"Ingredient candidate"),COUNTIFS('Material routes'!$B$6:$B$1005,A27,'Material routes'!$C$6:$C$1005,"Consumed input"),COUNTIFS('Material routes'!$B$6:$B$1005,A27,'Material routes'!$C$6:$C$1005,"Contained input"),COUNTIFS('Material routes'!$B$6:$B$1005,A27,'Material routes'!$C$6:$C$1005,"Transform input"))</x:f>
        <x:v>1</x:v>
      </x:c>
      <x:c r="J27" s="4" t="n">
        <x:f>COUNTIFS('Material routes'!$B$6:$B$1005,A27,'Material routes'!$C$6:$C$1005,"Output")</x:f>
        <x:v>1</x:v>
      </x:c>
      <x:c r="K27" s="4" t="n">
        <x:f>COUNTIFS('Material routes'!$B$6:$B$1005,A27,'Material routes'!$C$6:$C$1005,"Tool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Facility and process prerequisites unresolved</x:v>
      </x:c>
      <x:c r="H28" s="4" t="str">
        <x:f>IF(I28=0,"Unassigned",IF(SUMIFS('Material routes'!$Q$6:$Q$1005,'Material routes'!$B$6:$B$1005,A28)&gt;0,"Unassigned","T"&amp;_xlfn.MAXIFS('Material routes'!$P$6:$P$1005,'Material routes'!$B$6:$B$1005,A28)))</x:f>
        <x:v>T0</x:v>
      </x:c>
      <x:c r="I28" s="4" t="n">
        <x:f>SUM(COUNTIFS('Material routes'!$B$6:$B$1005,A28,'Material routes'!$C$6:$C$1005,"Ingredient candidate"),COUNTIFS('Material routes'!$B$6:$B$1005,A28,'Material routes'!$C$6:$C$1005,"Consumed input"),COUNTIFS('Material routes'!$B$6:$B$1005,A28,'Material routes'!$C$6:$C$1005,"Contained input"),COUNTIFS('Material routes'!$B$6:$B$1005,A28,'Material routes'!$C$6:$C$1005,"Transform input"))</x:f>
        <x:v>1</x:v>
      </x:c>
      <x:c r="J28" s="4" t="n">
        <x:f>COUNTIFS('Material routes'!$B$6:$B$1005,A28,'Material routes'!$C$6:$C$1005,"Output")</x:f>
        <x:v>1</x:v>
      </x:c>
      <x:c r="K28" s="4" t="n">
        <x:f>COUNTIFS('Material routes'!$B$6:$B$1005,A28,'Material routes'!$C$6:$C$1005,"Tool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Facility and process prerequisites unresolved</x:v>
      </x:c>
      <x:c r="H29" s="4" t="str">
        <x:f>IF(I29=0,"Unassigned",IF(SUMIFS('Material routes'!$Q$6:$Q$1005,'Material routes'!$B$6:$B$1005,A29)&gt;0,"Unassigned","T"&amp;_xlfn.MAXIFS('Material routes'!$P$6:$P$1005,'Material routes'!$B$6:$B$1005,A29)))</x:f>
        <x:v>T0</x:v>
      </x:c>
      <x:c r="I29" s="4" t="n">
        <x:f>SUM(COUNTIFS('Material routes'!$B$6:$B$1005,A29,'Material routes'!$C$6:$C$1005,"Ingredient candidate"),COUNTIFS('Material routes'!$B$6:$B$1005,A29,'Material routes'!$C$6:$C$1005,"Consumed input"),COUNTIFS('Material routes'!$B$6:$B$1005,A29,'Material routes'!$C$6:$C$1005,"Contained input"),COUNTIFS('Material routes'!$B$6:$B$1005,A29,'Material routes'!$C$6:$C$1005,"Transform input"))</x:f>
        <x:v>1</x:v>
      </x:c>
      <x:c r="J29" s="4" t="n">
        <x:f>COUNTIFS('Material routes'!$B$6:$B$1005,A29,'Material routes'!$C$6:$C$1005,"Output")</x:f>
        <x:v>1</x:v>
      </x:c>
      <x:c r="K29" s="4" t="n">
        <x:f>COUNTIFS('Material routes'!$B$6:$B$1005,A29,'Material routes'!$C$6:$C$1005,"Tool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Facility and process prerequisites unresolved</x:v>
      </x:c>
      <x:c r="H30" s="4" t="str">
        <x:f>IF(I30=0,"Unassigned",IF(SUMIFS('Material routes'!$Q$6:$Q$1005,'Material routes'!$B$6:$B$1005,A30)&gt;0,"Unassigned","T"&amp;_xlfn.MAXIFS('Material routes'!$P$6:$P$1005,'Material routes'!$B$6:$B$1005,A30)))</x:f>
        <x:v>T0</x:v>
      </x:c>
      <x:c r="I30" s="4" t="n">
        <x:f>SUM(COUNTIFS('Material routes'!$B$6:$B$1005,A30,'Material routes'!$C$6:$C$1005,"Ingredient candidate"),COUNTIFS('Material routes'!$B$6:$B$1005,A30,'Material routes'!$C$6:$C$1005,"Consumed input"),COUNTIFS('Material routes'!$B$6:$B$1005,A30,'Material routes'!$C$6:$C$1005,"Contained input"),COUNTIFS('Material routes'!$B$6:$B$1005,A30,'Material routes'!$C$6:$C$1005,"Transform input"))</x:f>
        <x:v>1</x:v>
      </x:c>
      <x:c r="J30" s="4" t="n">
        <x:f>COUNTIFS('Material routes'!$B$6:$B$1005,A30,'Material routes'!$C$6:$C$1005,"Output")</x:f>
        <x:v>1</x:v>
      </x:c>
      <x:c r="K30" s="4" t="n">
        <x:f>COUNTIFS('Material routes'!$B$6:$B$1005,A30,'Material routes'!$C$6:$C$1005,"Tool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Facility and process prerequisites unresolved</x:v>
      </x:c>
      <x:c r="H31" s="4" t="str">
        <x:f>IF(I31=0,"Unassigned",IF(SUMIFS('Material routes'!$Q$6:$Q$1005,'Material routes'!$B$6:$B$1005,A31)&gt;0,"Unassigned","T"&amp;_xlfn.MAXIFS('Material routes'!$P$6:$P$1005,'Material routes'!$B$6:$B$1005,A31)))</x:f>
        <x:v>T0</x:v>
      </x:c>
      <x:c r="I31" s="4" t="n">
        <x:f>SUM(COUNTIFS('Material routes'!$B$6:$B$1005,A31,'Material routes'!$C$6:$C$1005,"Ingredient candidate"),COUNTIFS('Material routes'!$B$6:$B$1005,A31,'Material routes'!$C$6:$C$1005,"Consumed input"),COUNTIFS('Material routes'!$B$6:$B$1005,A31,'Material routes'!$C$6:$C$1005,"Contained input"),COUNTIFS('Material routes'!$B$6:$B$1005,A31,'Material routes'!$C$6:$C$1005,"Transform input"))</x:f>
        <x:v>1</x:v>
      </x:c>
      <x:c r="J31" s="4" t="n">
        <x:f>COUNTIFS('Material routes'!$B$6:$B$1005,A31,'Material routes'!$C$6:$C$1005,"Output")</x:f>
        <x:v>1</x:v>
      </x:c>
      <x:c r="K31" s="4" t="n">
        <x:f>COUNTIFS('Material routes'!$B$6:$B$1005,A31,'Material routes'!$C$6:$C$1005,"Tool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Facility and process prerequisites unresolved</x:v>
      </x:c>
      <x:c r="H32" s="4" t="str">
        <x:f>IF(I32=0,"Unassigned",IF(SUMIFS('Material routes'!$Q$6:$Q$1005,'Material routes'!$B$6:$B$1005,A32)&gt;0,"Unassigned","T"&amp;_xlfn.MAXIFS('Material routes'!$P$6:$P$1005,'Material routes'!$B$6:$B$1005,A32)))</x:f>
        <x:v>T0</x:v>
      </x:c>
      <x:c r="I32" s="4" t="n">
        <x:f>SUM(COUNTIFS('Material routes'!$B$6:$B$1005,A32,'Material routes'!$C$6:$C$1005,"Ingredient candidate"),COUNTIFS('Material routes'!$B$6:$B$1005,A32,'Material routes'!$C$6:$C$1005,"Consumed input"),COUNTIFS('Material routes'!$B$6:$B$1005,A32,'Material routes'!$C$6:$C$1005,"Contained input"),COUNTIFS('Material routes'!$B$6:$B$1005,A32,'Material routes'!$C$6:$C$1005,"Transform input"))</x:f>
        <x:v>1</x:v>
      </x:c>
      <x:c r="J32" s="4" t="n">
        <x:f>COUNTIFS('Material routes'!$B$6:$B$1005,A32,'Material routes'!$C$6:$C$1005,"Output")</x:f>
        <x:v>1</x:v>
      </x:c>
      <x:c r="K32" s="4" t="n">
        <x:f>COUNTIFS('Material routes'!$B$6:$B$1005,A32,'Material routes'!$C$6:$C$1005,"Tool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Facility and process prerequisites unresolved</x:v>
      </x:c>
      <x:c r="H33" s="4" t="str">
        <x:f>IF(I33=0,"Unassigned",IF(SUMIFS('Material routes'!$Q$6:$Q$1005,'Material routes'!$B$6:$B$1005,A33)&gt;0,"Unassigned","T"&amp;_xlfn.MAXIFS('Material routes'!$P$6:$P$1005,'Material routes'!$B$6:$B$1005,A33)))</x:f>
        <x:v>T0</x:v>
      </x:c>
      <x:c r="I33" s="4" t="n">
        <x:f>SUM(COUNTIFS('Material routes'!$B$6:$B$1005,A33,'Material routes'!$C$6:$C$1005,"Ingredient candidate"),COUNTIFS('Material routes'!$B$6:$B$1005,A33,'Material routes'!$C$6:$C$1005,"Consumed input"),COUNTIFS('Material routes'!$B$6:$B$1005,A33,'Material routes'!$C$6:$C$1005,"Contained input"),COUNTIFS('Material routes'!$B$6:$B$1005,A33,'Material routes'!$C$6:$C$1005,"Transform input"))</x:f>
        <x:v>1</x:v>
      </x:c>
      <x:c r="J33" s="4" t="n">
        <x:f>COUNTIFS('Material routes'!$B$6:$B$1005,A33,'Material routes'!$C$6:$C$1005,"Output")</x:f>
        <x:v>1</x:v>
      </x:c>
      <x:c r="K33" s="4" t="n">
        <x:f>COUNTIFS('Material routes'!$B$6:$B$1005,A33,'Material routes'!$C$6:$C$1005,"Tool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Facility and process prerequisites unresolved</x:v>
      </x:c>
      <x:c r="H34" s="4" t="str">
        <x:f>IF(I34=0,"Unassigned",IF(SUMIFS('Material routes'!$Q$6:$Q$1005,'Material routes'!$B$6:$B$1005,A34)&gt;0,"Unassigned","T"&amp;_xlfn.MAXIFS('Material routes'!$P$6:$P$1005,'Material routes'!$B$6:$B$1005,A34)))</x:f>
        <x:v>T0</x:v>
      </x:c>
      <x:c r="I34" s="4" t="n">
        <x:f>SUM(COUNTIFS('Material routes'!$B$6:$B$1005,A34,'Material routes'!$C$6:$C$1005,"Ingredient candidate"),COUNTIFS('Material routes'!$B$6:$B$1005,A34,'Material routes'!$C$6:$C$1005,"Consumed input"),COUNTIFS('Material routes'!$B$6:$B$1005,A34,'Material routes'!$C$6:$C$1005,"Contained input"),COUNTIFS('Material routes'!$B$6:$B$1005,A34,'Material routes'!$C$6:$C$1005,"Transform input"))</x:f>
        <x:v>1</x:v>
      </x:c>
      <x:c r="J34" s="4" t="n">
        <x:f>COUNTIFS('Material routes'!$B$6:$B$1005,A34,'Material routes'!$C$6:$C$1005,"Output")</x:f>
        <x:v>1</x:v>
      </x:c>
      <x:c r="K34" s="4" t="n">
        <x:f>COUNTIFS('Material routes'!$B$6:$B$1005,A34,'Material routes'!$C$6:$C$1005,"Tool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Facility and process prerequisites unresolved</x:v>
      </x:c>
      <x:c r="H35" s="4" t="str">
        <x:f>IF(I35=0,"Unassigned",IF(SUMIFS('Material routes'!$Q$6:$Q$1005,'Material routes'!$B$6:$B$1005,A35)&gt;0,"Unassigned","T"&amp;_xlfn.MAXIFS('Material routes'!$P$6:$P$1005,'Material routes'!$B$6:$B$1005,A35)))</x:f>
        <x:v>T0</x:v>
      </x:c>
      <x:c r="I35" s="4" t="n">
        <x:f>SUM(COUNTIFS('Material routes'!$B$6:$B$1005,A35,'Material routes'!$C$6:$C$1005,"Ingredient candidate"),COUNTIFS('Material routes'!$B$6:$B$1005,A35,'Material routes'!$C$6:$C$1005,"Consumed input"),COUNTIFS('Material routes'!$B$6:$B$1005,A35,'Material routes'!$C$6:$C$1005,"Contained input"),COUNTIFS('Material routes'!$B$6:$B$1005,A35,'Material routes'!$C$6:$C$1005,"Transform input"))</x:f>
        <x:v>1</x:v>
      </x:c>
      <x:c r="J35" s="4" t="n">
        <x:f>COUNTIFS('Material routes'!$B$6:$B$1005,A35,'Material routes'!$C$6:$C$1005,"Output")</x:f>
        <x:v>1</x:v>
      </x:c>
      <x:c r="K35" s="4" t="n">
        <x:f>COUNTIFS('Material routes'!$B$6:$B$1005,A35,'Material routes'!$C$6:$C$1005,"Tool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Facility and process prerequisites unresolved</x:v>
      </x:c>
      <x:c r="H36" s="4" t="str">
        <x:f>IF(I36=0,"Unassigned",IF(SUMIFS('Material routes'!$Q$6:$Q$1005,'Material routes'!$B$6:$B$1005,A36)&gt;0,"Unassigned","T"&amp;_xlfn.MAXIFS('Material routes'!$P$6:$P$1005,'Material routes'!$B$6:$B$1005,A36)))</x:f>
        <x:v>T0</x:v>
      </x:c>
      <x:c r="I36" s="4" t="n">
        <x:f>SUM(COUNTIFS('Material routes'!$B$6:$B$1005,A36,'Material routes'!$C$6:$C$1005,"Ingredient candidate"),COUNTIFS('Material routes'!$B$6:$B$1005,A36,'Material routes'!$C$6:$C$1005,"Consumed input"),COUNTIFS('Material routes'!$B$6:$B$1005,A36,'Material routes'!$C$6:$C$1005,"Contained input"),COUNTIFS('Material routes'!$B$6:$B$1005,A36,'Material routes'!$C$6:$C$1005,"Transform input"))</x:f>
        <x:v>1</x:v>
      </x:c>
      <x:c r="J36" s="4" t="n">
        <x:f>COUNTIFS('Material routes'!$B$6:$B$1005,A36,'Material routes'!$C$6:$C$1005,"Output")</x:f>
        <x:v>1</x:v>
      </x:c>
      <x:c r="K36" s="4" t="n">
        <x:f>COUNTIFS('Material routes'!$B$6:$B$1005,A36,'Material routes'!$C$6:$C$1005,"Tool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Facility and process prerequisites unresolved</x:v>
      </x:c>
      <x:c r="H37" s="4" t="str">
        <x:f>IF(I37=0,"Unassigned",IF(SUMIFS('Material routes'!$Q$6:$Q$1005,'Material routes'!$B$6:$B$1005,A37)&gt;0,"Unassigned","T"&amp;_xlfn.MAXIFS('Material routes'!$P$6:$P$1005,'Material routes'!$B$6:$B$1005,A37)))</x:f>
        <x:v>T0</x:v>
      </x:c>
      <x:c r="I37" s="4" t="n">
        <x:f>SUM(COUNTIFS('Material routes'!$B$6:$B$1005,A37,'Material routes'!$C$6:$C$1005,"Ingredient candidate"),COUNTIFS('Material routes'!$B$6:$B$1005,A37,'Material routes'!$C$6:$C$1005,"Consumed input"),COUNTIFS('Material routes'!$B$6:$B$1005,A37,'Material routes'!$C$6:$C$1005,"Contained input"),COUNTIFS('Material routes'!$B$6:$B$1005,A37,'Material routes'!$C$6:$C$1005,"Transform input"))</x:f>
        <x:v>1</x:v>
      </x:c>
      <x:c r="J37" s="4" t="n">
        <x:f>COUNTIFS('Material routes'!$B$6:$B$1005,A37,'Material routes'!$C$6:$C$1005,"Output")</x:f>
        <x:v>1</x:v>
      </x:c>
      <x:c r="K37" s="4" t="n">
        <x:f>COUNTIFS('Material routes'!$B$6:$B$1005,A37,'Material routes'!$C$6:$C$1005,"Tool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Facility and process prerequisites unresolved</x:v>
      </x:c>
      <x:c r="H38" s="4" t="str">
        <x:f>IF(I38=0,"Unassigned",IF(SUMIFS('Material routes'!$Q$6:$Q$1005,'Material routes'!$B$6:$B$1005,A38)&gt;0,"Unassigned","T"&amp;_xlfn.MAXIFS('Material routes'!$P$6:$P$1005,'Material routes'!$B$6:$B$1005,A38)))</x:f>
        <x:v>T0</x:v>
      </x:c>
      <x:c r="I38" s="4" t="n">
        <x:f>SUM(COUNTIFS('Material routes'!$B$6:$B$1005,A38,'Material routes'!$C$6:$C$1005,"Ingredient candidate"),COUNTIFS('Material routes'!$B$6:$B$1005,A38,'Material routes'!$C$6:$C$1005,"Consumed input"),COUNTIFS('Material routes'!$B$6:$B$1005,A38,'Material routes'!$C$6:$C$1005,"Contained input"),COUNTIFS('Material routes'!$B$6:$B$1005,A38,'Material routes'!$C$6:$C$1005,"Transform input"))</x:f>
        <x:v>1</x:v>
      </x:c>
      <x:c r="J38" s="4" t="n">
        <x:f>COUNTIFS('Material routes'!$B$6:$B$1005,A38,'Material routes'!$C$6:$C$1005,"Output")</x:f>
        <x:v>1</x:v>
      </x:c>
      <x:c r="K38" s="4" t="n">
        <x:f>COUNTIFS('Material routes'!$B$6:$B$1005,A38,'Material routes'!$C$6:$C$1005,"Tool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Facility and process prerequisites unresolved</x:v>
      </x:c>
      <x:c r="H39" s="4" t="str">
        <x:f>IF(I39=0,"Unassigned",IF(SUMIFS('Material routes'!$Q$6:$Q$1005,'Material routes'!$B$6:$B$1005,A39)&gt;0,"Unassigned","T"&amp;_xlfn.MAXIFS('Material routes'!$P$6:$P$1005,'Material routes'!$B$6:$B$1005,A39)))</x:f>
        <x:v>T0</x:v>
      </x:c>
      <x:c r="I39" s="4" t="n">
        <x:f>SUM(COUNTIFS('Material routes'!$B$6:$B$1005,A39,'Material routes'!$C$6:$C$1005,"Ingredient candidate"),COUNTIFS('Material routes'!$B$6:$B$1005,A39,'Material routes'!$C$6:$C$1005,"Consumed input"),COUNTIFS('Material routes'!$B$6:$B$1005,A39,'Material routes'!$C$6:$C$1005,"Contained input"),COUNTIFS('Material routes'!$B$6:$B$1005,A39,'Material routes'!$C$6:$C$1005,"Transform input"))</x:f>
        <x:v>1</x:v>
      </x:c>
      <x:c r="J39" s="4" t="n">
        <x:f>COUNTIFS('Material routes'!$B$6:$B$1005,A39,'Material routes'!$C$6:$C$1005,"Output")</x:f>
        <x:v>1</x:v>
      </x:c>
      <x:c r="K39" s="4" t="n">
        <x:f>COUNTIFS('Material routes'!$B$6:$B$1005,A39,'Material routes'!$C$6:$C$1005,"Tool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Facility and process prerequisites unresolved</x:v>
      </x:c>
      <x:c r="H40" s="4" t="str">
        <x:f>IF(I40=0,"Unassigned",IF(SUMIFS('Material routes'!$Q$6:$Q$1005,'Material routes'!$B$6:$B$1005,A40)&gt;0,"Unassigned","T"&amp;_xlfn.MAXIFS('Material routes'!$P$6:$P$1005,'Material routes'!$B$6:$B$1005,A40)))</x:f>
        <x:v>T0</x:v>
      </x:c>
      <x:c r="I40" s="4" t="n">
        <x:f>SUM(COUNTIFS('Material routes'!$B$6:$B$1005,A40,'Material routes'!$C$6:$C$1005,"Ingredient candidate"),COUNTIFS('Material routes'!$B$6:$B$1005,A40,'Material routes'!$C$6:$C$1005,"Consumed input"),COUNTIFS('Material routes'!$B$6:$B$1005,A40,'Material routes'!$C$6:$C$1005,"Contained input"),COUNTIFS('Material routes'!$B$6:$B$1005,A40,'Material routes'!$C$6:$C$1005,"Transform input"))</x:f>
        <x:v>1</x:v>
      </x:c>
      <x:c r="J40" s="4" t="n">
        <x:f>COUNTIFS('Material routes'!$B$6:$B$1005,A40,'Material routes'!$C$6:$C$1005,"Output")</x:f>
        <x:v>1</x:v>
      </x:c>
      <x:c r="K40" s="4" t="n">
        <x:f>COUNTIFS('Material routes'!$B$6:$B$1005,A40,'Material routes'!$C$6:$C$1005,"Tool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Facility and process prerequisites unresolved</x:v>
      </x:c>
      <x:c r="H41" s="4" t="str">
        <x:f>IF(I41=0,"Unassigned",IF(SUMIFS('Material routes'!$Q$6:$Q$1005,'Material routes'!$B$6:$B$1005,A41)&gt;0,"Unassigned","T"&amp;_xlfn.MAXIFS('Material routes'!$P$6:$P$1005,'Material routes'!$B$6:$B$1005,A41)))</x:f>
        <x:v>T0</x:v>
      </x:c>
      <x:c r="I41" s="4" t="n">
        <x:f>SUM(COUNTIFS('Material routes'!$B$6:$B$1005,A41,'Material routes'!$C$6:$C$1005,"Ingredient candidate"),COUNTIFS('Material routes'!$B$6:$B$1005,A41,'Material routes'!$C$6:$C$1005,"Consumed input"),COUNTIFS('Material routes'!$B$6:$B$1005,A41,'Material routes'!$C$6:$C$1005,"Contained input"),COUNTIFS('Material routes'!$B$6:$B$1005,A41,'Material routes'!$C$6:$C$1005,"Transform input"))</x:f>
        <x:v>1</x:v>
      </x:c>
      <x:c r="J41" s="4" t="n">
        <x:f>COUNTIFS('Material routes'!$B$6:$B$1005,A41,'Material routes'!$C$6:$C$1005,"Output")</x:f>
        <x:v>1</x:v>
      </x:c>
      <x:c r="K41" s="4" t="n">
        <x:f>COUNTIFS('Material routes'!$B$6:$B$1005,A41,'Material routes'!$C$6:$C$1005,"Tool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Facility and process prerequisites unresolved</x:v>
      </x:c>
      <x:c r="H42" s="4" t="str">
        <x:f>IF(I42=0,"Unassigned",IF(SUMIFS('Material routes'!$Q$6:$Q$1005,'Material routes'!$B$6:$B$1005,A42)&gt;0,"Unassigned","T"&amp;_xlfn.MAXIFS('Material routes'!$P$6:$P$1005,'Material routes'!$B$6:$B$1005,A42)))</x:f>
        <x:v>T0</x:v>
      </x:c>
      <x:c r="I42" s="4" t="n">
        <x:f>SUM(COUNTIFS('Material routes'!$B$6:$B$1005,A42,'Material routes'!$C$6:$C$1005,"Ingredient candidate"),COUNTIFS('Material routes'!$B$6:$B$1005,A42,'Material routes'!$C$6:$C$1005,"Consumed input"),COUNTIFS('Material routes'!$B$6:$B$1005,A42,'Material routes'!$C$6:$C$1005,"Contained input"),COUNTIFS('Material routes'!$B$6:$B$1005,A42,'Material routes'!$C$6:$C$1005,"Transform input"))</x:f>
        <x:v>1</x:v>
      </x:c>
      <x:c r="J42" s="4" t="n">
        <x:f>COUNTIFS('Material routes'!$B$6:$B$1005,A42,'Material routes'!$C$6:$C$1005,"Output")</x:f>
        <x:v>1</x:v>
      </x:c>
      <x:c r="K42" s="4" t="n">
        <x:f>COUNTIFS('Material routes'!$B$6:$B$1005,A42,'Material routes'!$C$6:$C$1005,"Tool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Facility and process prerequisites unresolved</x:v>
      </x:c>
      <x:c r="H43" s="4" t="str">
        <x:f>IF(I43=0,"Unassigned",IF(SUMIFS('Material routes'!$Q$6:$Q$1005,'Material routes'!$B$6:$B$1005,A43)&gt;0,"Unassigned","T"&amp;_xlfn.MAXIFS('Material routes'!$P$6:$P$1005,'Material routes'!$B$6:$B$1005,A43)))</x:f>
        <x:v>T0</x:v>
      </x:c>
      <x:c r="I43" s="4" t="n">
        <x:f>SUM(COUNTIFS('Material routes'!$B$6:$B$1005,A43,'Material routes'!$C$6:$C$1005,"Ingredient candidate"),COUNTIFS('Material routes'!$B$6:$B$1005,A43,'Material routes'!$C$6:$C$1005,"Consumed input"),COUNTIFS('Material routes'!$B$6:$B$1005,A43,'Material routes'!$C$6:$C$1005,"Contained input"),COUNTIFS('Material routes'!$B$6:$B$1005,A43,'Material routes'!$C$6:$C$1005,"Transform input"))</x:f>
        <x:v>1</x:v>
      </x:c>
      <x:c r="J43" s="4" t="n">
        <x:f>COUNTIFS('Material routes'!$B$6:$B$1005,A43,'Material routes'!$C$6:$C$1005,"Output")</x:f>
        <x:v>1</x:v>
      </x:c>
      <x:c r="K43" s="4" t="n">
        <x:f>COUNTIFS('Material routes'!$B$6:$B$1005,A43,'Material routes'!$C$6:$C$1005,"Tool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Facility and process prerequisites unresolved</x:v>
      </x:c>
      <x:c r="H44" s="4" t="str">
        <x:f>IF(I44=0,"Unassigned",IF(SUMIFS('Material routes'!$Q$6:$Q$1005,'Material routes'!$B$6:$B$1005,A44)&gt;0,"Unassigned","T"&amp;_xlfn.MAXIFS('Material routes'!$P$6:$P$1005,'Material routes'!$B$6:$B$1005,A44)))</x:f>
        <x:v>T0</x:v>
      </x:c>
      <x:c r="I44" s="4" t="n">
        <x:f>SUM(COUNTIFS('Material routes'!$B$6:$B$1005,A44,'Material routes'!$C$6:$C$1005,"Ingredient candidate"),COUNTIFS('Material routes'!$B$6:$B$1005,A44,'Material routes'!$C$6:$C$1005,"Consumed input"),COUNTIFS('Material routes'!$B$6:$B$1005,A44,'Material routes'!$C$6:$C$1005,"Contained input"),COUNTIFS('Material routes'!$B$6:$B$1005,A44,'Material routes'!$C$6:$C$1005,"Transform input"))</x:f>
        <x:v>1</x:v>
      </x:c>
      <x:c r="J44" s="4" t="n">
        <x:f>COUNTIFS('Material routes'!$B$6:$B$1005,A44,'Material routes'!$C$6:$C$1005,"Output")</x:f>
        <x:v>1</x:v>
      </x:c>
      <x:c r="K44" s="4" t="n">
        <x:f>COUNTIFS('Material routes'!$B$6:$B$1005,A44,'Material routes'!$C$6:$C$1005,"Tool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Facility and process prerequisites unresolved</x:v>
      </x:c>
      <x:c r="H45" s="4" t="str">
        <x:f>IF(I45=0,"Unassigned",IF(SUMIFS('Material routes'!$Q$6:$Q$1005,'Material routes'!$B$6:$B$1005,A45)&gt;0,"Unassigned","T"&amp;_xlfn.MAXIFS('Material routes'!$P$6:$P$1005,'Material routes'!$B$6:$B$1005,A45)))</x:f>
        <x:v>T0</x:v>
      </x:c>
      <x:c r="I45" s="4" t="n">
        <x:f>SUM(COUNTIFS('Material routes'!$B$6:$B$1005,A45,'Material routes'!$C$6:$C$1005,"Ingredient candidate"),COUNTIFS('Material routes'!$B$6:$B$1005,A45,'Material routes'!$C$6:$C$1005,"Consumed input"),COUNTIFS('Material routes'!$B$6:$B$1005,A45,'Material routes'!$C$6:$C$1005,"Contained input"),COUNTIFS('Material routes'!$B$6:$B$1005,A45,'Material routes'!$C$6:$C$1005,"Transform input"))</x:f>
        <x:v>1</x:v>
      </x:c>
      <x:c r="J45" s="4" t="n">
        <x:f>COUNTIFS('Material routes'!$B$6:$B$1005,A45,'Material routes'!$C$6:$C$1005,"Output")</x:f>
        <x:v>1</x:v>
      </x:c>
      <x:c r="K45" s="4" t="n">
        <x:f>COUNTIFS('Material routes'!$B$6:$B$1005,A45,'Material routes'!$C$6:$C$1005,"Tool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Facility and process prerequisites unresolved</x:v>
      </x:c>
      <x:c r="H46" s="4" t="str">
        <x:f>IF(I46=0,"Unassigned",IF(SUMIFS('Material routes'!$Q$6:$Q$1005,'Material routes'!$B$6:$B$1005,A46)&gt;0,"Unassigned","T"&amp;_xlfn.MAXIFS('Material routes'!$P$6:$P$1005,'Material routes'!$B$6:$B$1005,A46)))</x:f>
        <x:v>T1</x:v>
      </x:c>
      <x:c r="I46" s="4" t="n">
        <x:f>SUM(COUNTIFS('Material routes'!$B$6:$B$1005,A46,'Material routes'!$C$6:$C$1005,"Ingredient candidate"),COUNTIFS('Material routes'!$B$6:$B$1005,A46,'Material routes'!$C$6:$C$1005,"Consumed input"),COUNTIFS('Material routes'!$B$6:$B$1005,A46,'Material routes'!$C$6:$C$1005,"Contained input"),COUNTIFS('Material routes'!$B$6:$B$1005,A46,'Material routes'!$C$6:$C$1005,"Transform input"))</x:f>
        <x:v>1</x:v>
      </x:c>
      <x:c r="J46" s="4" t="n">
        <x:f>COUNTIFS('Material routes'!$B$6:$B$1005,A46,'Material routes'!$C$6:$C$1005,"Output")</x:f>
        <x:v>1</x:v>
      </x:c>
      <x:c r="K46" s="4" t="n">
        <x:f>COUNTIFS('Material routes'!$B$6:$B$1005,A46,'Material routes'!$C$6:$C$1005,"Tool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Facility and process prerequisites unresolved</x:v>
      </x:c>
      <x:c r="H47" s="4" t="str">
        <x:f>IF(I47=0,"Unassigned",IF(SUMIFS('Material routes'!$Q$6:$Q$1005,'Material routes'!$B$6:$B$1005,A47)&gt;0,"Unassigned","T"&amp;_xlfn.MAXIFS('Material routes'!$P$6:$P$1005,'Material routes'!$B$6:$B$1005,A47)))</x:f>
        <x:v>T1</x:v>
      </x:c>
      <x:c r="I47" s="4" t="n">
        <x:f>SUM(COUNTIFS('Material routes'!$B$6:$B$1005,A47,'Material routes'!$C$6:$C$1005,"Ingredient candidate"),COUNTIFS('Material routes'!$B$6:$B$1005,A47,'Material routes'!$C$6:$C$1005,"Consumed input"),COUNTIFS('Material routes'!$B$6:$B$1005,A47,'Material routes'!$C$6:$C$1005,"Contained input"),COUNTIFS('Material routes'!$B$6:$B$1005,A47,'Material routes'!$C$6:$C$1005,"Transform input"))</x:f>
        <x:v>1</x:v>
      </x:c>
      <x:c r="J47" s="4" t="n">
        <x:f>COUNTIFS('Material routes'!$B$6:$B$1005,A47,'Material routes'!$C$6:$C$1005,"Output")</x:f>
        <x:v>1</x:v>
      </x:c>
      <x:c r="K47" s="4" t="n">
        <x:f>COUNTIFS('Material routes'!$B$6:$B$1005,A47,'Material routes'!$C$6:$C$1005,"Tool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Facility and process prerequisites unresolved</x:v>
      </x:c>
      <x:c r="H48" s="4" t="str">
        <x:f>IF(I48=0,"Unassigned",IF(SUMIFS('Material routes'!$Q$6:$Q$1005,'Material routes'!$B$6:$B$1005,A48)&gt;0,"Unassigned","T"&amp;_xlfn.MAXIFS('Material routes'!$P$6:$P$1005,'Material routes'!$B$6:$B$1005,A48)))</x:f>
        <x:v>T1</x:v>
      </x:c>
      <x:c r="I48" s="4" t="n">
        <x:f>SUM(COUNTIFS('Material routes'!$B$6:$B$1005,A48,'Material routes'!$C$6:$C$1005,"Ingredient candidate"),COUNTIFS('Material routes'!$B$6:$B$1005,A48,'Material routes'!$C$6:$C$1005,"Consumed input"),COUNTIFS('Material routes'!$B$6:$B$1005,A48,'Material routes'!$C$6:$C$1005,"Contained input"),COUNTIFS('Material routes'!$B$6:$B$1005,A48,'Material routes'!$C$6:$C$1005,"Transform input"))</x:f>
        <x:v>2</x:v>
      </x:c>
      <x:c r="J48" s="4" t="n">
        <x:f>COUNTIFS('Material routes'!$B$6:$B$1005,A48,'Material routes'!$C$6:$C$1005,"Output")</x:f>
        <x:v>1</x:v>
      </x:c>
      <x:c r="K48" s="4" t="n">
        <x:f>COUNTIFS('Material routes'!$B$6:$B$1005,A48,'Material routes'!$C$6:$C$1005,"Tool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Facility and process prerequisites unresolved</x:v>
      </x:c>
      <x:c r="H49" s="4" t="str">
        <x:f>IF(I49=0,"Unassigned",IF(SUMIFS('Material routes'!$Q$6:$Q$1005,'Material routes'!$B$6:$B$1005,A49)&gt;0,"Unassigned","T"&amp;_xlfn.MAXIFS('Material routes'!$P$6:$P$1005,'Material routes'!$B$6:$B$1005,A49)))</x:f>
        <x:v>T1</x:v>
      </x:c>
      <x:c r="I49" s="4" t="n">
        <x:f>SUM(COUNTIFS('Material routes'!$B$6:$B$1005,A49,'Material routes'!$C$6:$C$1005,"Ingredient candidate"),COUNTIFS('Material routes'!$B$6:$B$1005,A49,'Material routes'!$C$6:$C$1005,"Consumed input"),COUNTIFS('Material routes'!$B$6:$B$1005,A49,'Material routes'!$C$6:$C$1005,"Contained input"),COUNTIFS('Material routes'!$B$6:$B$1005,A49,'Material routes'!$C$6:$C$1005,"Transform input"))</x:f>
        <x:v>2</x:v>
      </x:c>
      <x:c r="J49" s="4" t="n">
        <x:f>COUNTIFS('Material routes'!$B$6:$B$1005,A49,'Material routes'!$C$6:$C$1005,"Output")</x:f>
        <x:v>1</x:v>
      </x:c>
      <x:c r="K49" s="4" t="n">
        <x:f>COUNTIFS('Material routes'!$B$6:$B$1005,A49,'Material routes'!$C$6:$C$1005,"Tool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routes'!$Q$6:$Q$1005,'Material routes'!$B$6:$B$1005,A50)&gt;0,"Unassigned","T"&amp;_xlfn.MAXIFS('Material routes'!$P$6:$P$1005,'Material routes'!$B$6:$B$1005,A50)))</x:f>
        <x:v>T0</x:v>
      </x:c>
      <x:c r="I50" s="4" t="n">
        <x:f>SUM(COUNTIFS('Material routes'!$B$6:$B$1005,A50,'Material routes'!$C$6:$C$1005,"Ingredient candidate"),COUNTIFS('Material routes'!$B$6:$B$1005,A50,'Material routes'!$C$6:$C$1005,"Consumed input"),COUNTIFS('Material routes'!$B$6:$B$1005,A50,'Material routes'!$C$6:$C$1005,"Contained input"),COUNTIFS('Material routes'!$B$6:$B$1005,A50,'Material routes'!$C$6:$C$1005,"Transform input"))</x:f>
        <x:v>1</x:v>
      </x:c>
      <x:c r="J50" s="4" t="n">
        <x:f>COUNTIFS('Material routes'!$B$6:$B$1005,A50,'Material routes'!$C$6:$C$1005,"Output")</x:f>
        <x:v>1</x:v>
      </x:c>
      <x:c r="K50" s="4" t="n">
        <x:f>COUNTIFS('Material routes'!$B$6:$B$1005,A50,'Material routes'!$C$6:$C$1005,"Tool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routes'!$Q$6:$Q$1005,'Material routes'!$B$6:$B$1005,A51)&gt;0,"Unassigned","T"&amp;_xlfn.MAXIFS('Material routes'!$P$6:$P$1005,'Material routes'!$B$6:$B$1005,A51)))</x:f>
        <x:v>T0</x:v>
      </x:c>
      <x:c r="I51" s="4" t="n">
        <x:f>SUM(COUNTIFS('Material routes'!$B$6:$B$1005,A51,'Material routes'!$C$6:$C$1005,"Ingredient candidate"),COUNTIFS('Material routes'!$B$6:$B$1005,A51,'Material routes'!$C$6:$C$1005,"Consumed input"),COUNTIFS('Material routes'!$B$6:$B$1005,A51,'Material routes'!$C$6:$C$1005,"Contained input"),COUNTIFS('Material routes'!$B$6:$B$1005,A51,'Material routes'!$C$6:$C$1005,"Transform input"))</x:f>
        <x:v>1</x:v>
      </x:c>
      <x:c r="J51" s="4" t="n">
        <x:f>COUNTIFS('Material routes'!$B$6:$B$1005,A51,'Material routes'!$C$6:$C$1005,"Output")</x:f>
        <x:v>4</x:v>
      </x:c>
      <x:c r="K51" s="4" t="n">
        <x:f>COUNTIFS('Material routes'!$B$6:$B$1005,A51,'Material routes'!$C$6:$C$1005,"Tool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routes'!$Q$6:$Q$1005,'Material routes'!$B$6:$B$1005,A52)&gt;0,"Unassigned","T"&amp;_xlfn.MAXIFS('Material routes'!$P$6:$P$1005,'Material routes'!$B$6:$B$1005,A52)))</x:f>
        <x:v>Unassigned</x:v>
      </x:c>
      <x:c r="I52" s="4" t="n">
        <x:f>SUM(COUNTIFS('Material routes'!$B$6:$B$1005,A52,'Material routes'!$C$6:$C$1005,"Ingredient candidate"),COUNTIFS('Material routes'!$B$6:$B$1005,A52,'Material routes'!$C$6:$C$1005,"Consumed input"),COUNTIFS('Material routes'!$B$6:$B$1005,A52,'Material routes'!$C$6:$C$1005,"Contained input"),COUNTIFS('Material routes'!$B$6:$B$1005,A52,'Material routes'!$C$6:$C$1005,"Transform input"))</x:f>
        <x:v>2</x:v>
      </x:c>
      <x:c r="J52" s="4" t="n">
        <x:f>COUNTIFS('Material routes'!$B$6:$B$1005,A52,'Material routes'!$C$6:$C$1005,"Output")</x:f>
        <x:v>1</x:v>
      </x:c>
      <x:c r="K52" s="4" t="n">
        <x:f>COUNTIFS('Material routes'!$B$6:$B$1005,A52,'Material routes'!$C$6:$C$1005,"Tool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routes'!$Q$6:$Q$1005,'Material routes'!$B$6:$B$1005,A53)&gt;0,"Unassigned","T"&amp;_xlfn.MAXIFS('Material routes'!$P$6:$P$1005,'Material routes'!$B$6:$B$1005,A53)))</x:f>
        <x:v>T1</x:v>
      </x:c>
      <x:c r="I53" s="4" t="n">
        <x:f>SUM(COUNTIFS('Material routes'!$B$6:$B$1005,A53,'Material routes'!$C$6:$C$1005,"Ingredient candidate"),COUNTIFS('Material routes'!$B$6:$B$1005,A53,'Material routes'!$C$6:$C$1005,"Consumed input"),COUNTIFS('Material routes'!$B$6:$B$1005,A53,'Material routes'!$C$6:$C$1005,"Contained input"),COUNTIFS('Material routes'!$B$6:$B$1005,A53,'Material routes'!$C$6:$C$1005,"Transform input"))</x:f>
        <x:v>1</x:v>
      </x:c>
      <x:c r="J53" s="4" t="n">
        <x:f>COUNTIFS('Material routes'!$B$6:$B$1005,A53,'Material routes'!$C$6:$C$1005,"Output")</x:f>
        <x:v>1</x:v>
      </x:c>
      <x:c r="K53" s="4" t="n">
        <x:f>COUNTIFS('Material routes'!$B$6:$B$1005,A53,'Material routes'!$C$6:$C$1005,"Tool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routes'!$Q$6:$Q$1005,'Material routes'!$B$6:$B$1005,A54)&gt;0,"Unassigned","T"&amp;_xlfn.MAXIFS('Material routes'!$P$6:$P$1005,'Material routes'!$B$6:$B$1005,A54)))</x:f>
        <x:v>T0</x:v>
      </x:c>
      <x:c r="I54" s="4" t="n">
        <x:f>SUM(COUNTIFS('Material routes'!$B$6:$B$1005,A54,'Material routes'!$C$6:$C$1005,"Ingredient candidate"),COUNTIFS('Material routes'!$B$6:$B$1005,A54,'Material routes'!$C$6:$C$1005,"Consumed input"),COUNTIFS('Material routes'!$B$6:$B$1005,A54,'Material routes'!$C$6:$C$1005,"Contained input"),COUNTIFS('Material routes'!$B$6:$B$1005,A54,'Material routes'!$C$6:$C$1005,"Transform input"))</x:f>
        <x:v>1</x:v>
      </x:c>
      <x:c r="J54" s="4" t="n">
        <x:f>COUNTIFS('Material routes'!$B$6:$B$1005,A54,'Material routes'!$C$6:$C$1005,"Output")</x:f>
        <x:v>1</x:v>
      </x:c>
      <x:c r="K54" s="4" t="n">
        <x:f>COUNTIFS('Material routes'!$B$6:$B$1005,A54,'Material routes'!$C$6:$C$1005,"Tool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routes'!$Q$6:$Q$1005,'Material routes'!$B$6:$B$1005,A55)&gt;0,"Unassigned","T"&amp;_xlfn.MAXIFS('Material routes'!$P$6:$P$1005,'Material routes'!$B$6:$B$1005,A55)))</x:f>
        <x:v>T0</x:v>
      </x:c>
      <x:c r="I55" s="4" t="n">
        <x:f>SUM(COUNTIFS('Material routes'!$B$6:$B$1005,A55,'Material routes'!$C$6:$C$1005,"Ingredient candidate"),COUNTIFS('Material routes'!$B$6:$B$1005,A55,'Material routes'!$C$6:$C$1005,"Consumed input"),COUNTIFS('Material routes'!$B$6:$B$1005,A55,'Material routes'!$C$6:$C$1005,"Contained input"),COUNTIFS('Material routes'!$B$6:$B$1005,A55,'Material routes'!$C$6:$C$1005,"Transform input"))</x:f>
        <x:v>1</x:v>
      </x:c>
      <x:c r="J55" s="4" t="n">
        <x:f>COUNTIFS('Material routes'!$B$6:$B$1005,A55,'Material routes'!$C$6:$C$1005,"Output")</x:f>
        <x:v>1</x:v>
      </x:c>
      <x:c r="K55" s="4" t="n">
        <x:f>COUNTIFS('Material routes'!$B$6:$B$1005,A55,'Material routes'!$C$6:$C$1005,"Tool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routes'!$Q$6:$Q$1005,'Material routes'!$B$6:$B$1005,A56)&gt;0,"Unassigned","T"&amp;_xlfn.MAXIFS('Material routes'!$P$6:$P$1005,'Material routes'!$B$6:$B$1005,A56)))</x:f>
        <x:v>T0</x:v>
      </x:c>
      <x:c r="I56" s="4" t="n">
        <x:f>SUM(COUNTIFS('Material routes'!$B$6:$B$1005,A56,'Material routes'!$C$6:$C$1005,"Ingredient candidate"),COUNTIFS('Material routes'!$B$6:$B$1005,A56,'Material routes'!$C$6:$C$1005,"Consumed input"),COUNTIFS('Material routes'!$B$6:$B$1005,A56,'Material routes'!$C$6:$C$1005,"Contained input"),COUNTIFS('Material routes'!$B$6:$B$1005,A56,'Material routes'!$C$6:$C$1005,"Transform input"))</x:f>
        <x:v>1</x:v>
      </x:c>
      <x:c r="J56" s="4" t="n">
        <x:f>COUNTIFS('Material routes'!$B$6:$B$1005,A56,'Material routes'!$C$6:$C$1005,"Output")</x:f>
        <x:v>1</x:v>
      </x:c>
      <x:c r="K56" s="4" t="n">
        <x:f>COUNTIFS('Material routes'!$B$6:$B$1005,A56,'Material routes'!$C$6:$C$1005,"Tool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x:v>
      </x:c>
    </x:row>
    <x:row r="57" ht="85" customHeight="1">
      <x:c r="A57" s="4" t="str">
        <x:v>outline.resource_chain.14</x:v>
      </x:c>
      <x:c r="B57" s="4" t="str">
        <x:v>Bristle brush strips contribution outline</x:v>
      </x:c>
      <x:c r="C57" s="4" t="str">
        <x:v>Material refinement</x:v>
      </x:c>
      <x:c r="D57" s="4" t="str">
        <x:v>Concept outline</x:v>
      </x:c>
      <x:c r="E57" s="4" t="str">
        <x:v>Concept outline</x:v>
      </x:c>
      <x:c r="F57" s="4" t="str">
        <x:v>Sort fibers and bind into a backing</x:v>
      </x:c>
      <x:c r="G57" s="4" t="str">
        <x:v>Stationary preservation/workbench proposed</x:v>
      </x:c>
      <x:c r="H57" s="4" t="str">
        <x:f>IF(I57=0,"Unassigned",IF(SUMIFS('Material routes'!$Q$6:$Q$1005,'Material routes'!$B$6:$B$1005,A57)&gt;0,"Unassigned","T"&amp;_xlfn.MAXIFS('Material routes'!$P$6:$P$1005,'Material routes'!$B$6:$B$1005,A57)))</x:f>
        <x:v>T0</x:v>
      </x:c>
      <x:c r="I57" s="4" t="n">
        <x:f>SUM(COUNTIFS('Material routes'!$B$6:$B$1005,A57,'Material routes'!$C$6:$C$1005,"Ingredient candidate"),COUNTIFS('Material routes'!$B$6:$B$1005,A57,'Material routes'!$C$6:$C$1005,"Consumed input"),COUNTIFS('Material routes'!$B$6:$B$1005,A57,'Material routes'!$C$6:$C$1005,"Contained input"),COUNTIFS('Material routes'!$B$6:$B$1005,A57,'Material routes'!$C$6:$C$1005,"Transform input"))</x:f>
        <x:v>1</x:v>
      </x:c>
      <x:c r="J57" s="4" t="n">
        <x:f>COUNTIFS('Material routes'!$B$6:$B$1005,A57,'Material routes'!$C$6:$C$1005,"Output")</x:f>
        <x:v>1</x:v>
      </x:c>
      <x:c r="K57" s="4" t="n">
        <x:f>COUNTIFS('Material routes'!$B$6:$B$1005,A57,'Material routes'!$C$6:$C$1005,"Tool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x:v>
      </x:c>
    </x:row>
    <x:row r="58" ht="85" customHeight="1">
      <x:c r="A58" s="4" t="str">
        <x:v>outline.resource_chain.16</x:v>
      </x:c>
      <x:c r="B58" s="4" t="str">
        <x:v>Jaw cutting insert contribution outline</x:v>
      </x:c>
      <x:c r="C58" s="4" t="str">
        <x:v>Material refinement</x:v>
      </x:c>
      <x:c r="D58" s="4" t="str">
        <x:v>Concept outline</x:v>
      </x:c>
      <x:c r="E58" s="4" t="str">
        <x:v>Concept outline</x:v>
      </x:c>
      <x:c r="F58" s="4" t="str">
        <x:v>Cut and grind dense tissue</x:v>
      </x:c>
      <x:c r="G58" s="4" t="str">
        <x:v>Stationary preservation/workbench proposed</x:v>
      </x:c>
      <x:c r="H58" s="4" t="str">
        <x:f>IF(I58=0,"Unassigned",IF(SUMIFS('Material routes'!$Q$6:$Q$1005,'Material routes'!$B$6:$B$1005,A58)&gt;0,"Unassigned","T"&amp;_xlfn.MAXIFS('Material routes'!$P$6:$P$1005,'Material routes'!$B$6:$B$1005,A58)))</x:f>
        <x:v>T0</x:v>
      </x:c>
      <x:c r="I58" s="4" t="n">
        <x:f>SUM(COUNTIFS('Material routes'!$B$6:$B$1005,A58,'Material routes'!$C$6:$C$1005,"Ingredient candidate"),COUNTIFS('Material routes'!$B$6:$B$1005,A58,'Material routes'!$C$6:$C$1005,"Consumed input"),COUNTIFS('Material routes'!$B$6:$B$1005,A58,'Material routes'!$C$6:$C$1005,"Contained input"),COUNTIFS('Material routes'!$B$6:$B$1005,A58,'Material routes'!$C$6:$C$1005,"Transform input"))</x:f>
        <x:v>1</x:v>
      </x:c>
      <x:c r="J58" s="4" t="n">
        <x:f>COUNTIFS('Material routes'!$B$6:$B$1005,A58,'Material routes'!$C$6:$C$1005,"Output")</x:f>
        <x:v>1</x:v>
      </x:c>
      <x:c r="K58" s="4" t="n">
        <x:f>COUNTIFS('Material routes'!$B$6:$B$1005,A58,'Material routes'!$C$6:$C$1005,"Tool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routes'!$Q$6:$Q$1005,'Material routes'!$B$6:$B$1005,A59)&gt;0,"Unassigned","T"&amp;_xlfn.MAXIFS('Material routes'!$P$6:$P$1005,'Material routes'!$B$6:$B$1005,A59)))</x:f>
        <x:v>Unassigned</x:v>
      </x:c>
      <x:c r="I59" s="4" t="n">
        <x:f>SUM(COUNTIFS('Material routes'!$B$6:$B$1005,A59,'Material routes'!$C$6:$C$1005,"Ingredient candidate"),COUNTIFS('Material routes'!$B$6:$B$1005,A59,'Material routes'!$C$6:$C$1005,"Consumed input"),COUNTIFS('Material routes'!$B$6:$B$1005,A59,'Material routes'!$C$6:$C$1005,"Contained input"),COUNTIFS('Material routes'!$B$6:$B$1005,A59,'Material routes'!$C$6:$C$1005,"Transform input"))</x:f>
        <x:v>1</x:v>
      </x:c>
      <x:c r="J59" s="4" t="n">
        <x:f>COUNTIFS('Material routes'!$B$6:$B$1005,A59,'Material routes'!$C$6:$C$1005,"Output")</x:f>
        <x:v>1</x:v>
      </x:c>
      <x:c r="K59" s="4" t="n">
        <x:f>COUNTIFS('Material routes'!$B$6:$B$1005,A59,'Material routes'!$C$6:$C$1005,"Tool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routes'!$Q$6:$Q$1005,'Material routes'!$B$6:$B$1005,A60)&gt;0,"Unassigned","T"&amp;_xlfn.MAXIFS('Material routes'!$P$6:$P$1005,'Material routes'!$B$6:$B$1005,A60)))</x:f>
        <x:v>T0</x:v>
      </x:c>
      <x:c r="I60" s="4" t="n">
        <x:f>SUM(COUNTIFS('Material routes'!$B$6:$B$1005,A60,'Material routes'!$C$6:$C$1005,"Ingredient candidate"),COUNTIFS('Material routes'!$B$6:$B$1005,A60,'Material routes'!$C$6:$C$1005,"Consumed input"),COUNTIFS('Material routes'!$B$6:$B$1005,A60,'Material routes'!$C$6:$C$1005,"Contained input"),COUNTIFS('Material routes'!$B$6:$B$1005,A60,'Material routes'!$C$6:$C$1005,"Transform input"))</x:f>
        <x:v>1</x:v>
      </x:c>
      <x:c r="J60" s="4" t="n">
        <x:f>COUNTIFS('Material routes'!$B$6:$B$1005,A60,'Material routes'!$C$6:$C$1005,"Output")</x:f>
        <x:v>1</x:v>
      </x:c>
      <x:c r="K60" s="4" t="n">
        <x:f>COUNTIFS('Material routes'!$B$6:$B$1005,A60,'Material routes'!$C$6:$C$1005,"Tool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routes'!$Q$6:$Q$1005,'Material routes'!$B$6:$B$1005,A61)&gt;0,"Unassigned","T"&amp;_xlfn.MAXIFS('Material routes'!$P$6:$P$1005,'Material routes'!$B$6:$B$1005,A61)))</x:f>
        <x:v>T0</x:v>
      </x:c>
      <x:c r="I61" s="4" t="n">
        <x:f>SUM(COUNTIFS('Material routes'!$B$6:$B$1005,A61,'Material routes'!$C$6:$C$1005,"Ingredient candidate"),COUNTIFS('Material routes'!$B$6:$B$1005,A61,'Material routes'!$C$6:$C$1005,"Consumed input"),COUNTIFS('Material routes'!$B$6:$B$1005,A61,'Material routes'!$C$6:$C$1005,"Contained input"),COUNTIFS('Material routes'!$B$6:$B$1005,A61,'Material routes'!$C$6:$C$1005,"Transform input"))</x:f>
        <x:v>1</x:v>
      </x:c>
      <x:c r="J61" s="4" t="n">
        <x:f>COUNTIFS('Material routes'!$B$6:$B$1005,A61,'Material routes'!$C$6:$C$1005,"Output")</x:f>
        <x:v>1</x:v>
      </x:c>
      <x:c r="K61" s="4" t="n">
        <x:f>COUNTIFS('Material routes'!$B$6:$B$1005,A61,'Material routes'!$C$6:$C$1005,"Tool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routes'!$Q$6:$Q$1005,'Material routes'!$B$6:$B$1005,A62)&gt;0,"Unassigned","T"&amp;_xlfn.MAXIFS('Material routes'!$P$6:$P$1005,'Material routes'!$B$6:$B$1005,A62)))</x:f>
        <x:v>T1</x:v>
      </x:c>
      <x:c r="I62" s="4" t="n">
        <x:f>SUM(COUNTIFS('Material routes'!$B$6:$B$1005,A62,'Material routes'!$C$6:$C$1005,"Ingredient candidate"),COUNTIFS('Material routes'!$B$6:$B$1005,A62,'Material routes'!$C$6:$C$1005,"Consumed input"),COUNTIFS('Material routes'!$B$6:$B$1005,A62,'Material routes'!$C$6:$C$1005,"Contained input"),COUNTIFS('Material routes'!$B$6:$B$1005,A62,'Material routes'!$C$6:$C$1005,"Transform input"))</x:f>
        <x:v>1</x:v>
      </x:c>
      <x:c r="J62" s="4" t="n">
        <x:f>COUNTIFS('Material routes'!$B$6:$B$1005,A62,'Material routes'!$C$6:$C$1005,"Output")</x:f>
        <x:v>1</x:v>
      </x:c>
      <x:c r="K62" s="4" t="n">
        <x:f>COUNTIFS('Material routes'!$B$6:$B$1005,A62,'Material routes'!$C$6:$C$1005,"Tool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routes'!$Q$6:$Q$1005,'Material routes'!$B$6:$B$1005,A63)&gt;0,"Unassigned","T"&amp;_xlfn.MAXIFS('Material routes'!$P$6:$P$1005,'Material routes'!$B$6:$B$1005,A63)))</x:f>
        <x:v>T0</x:v>
      </x:c>
      <x:c r="I63" s="4" t="n">
        <x:f>SUM(COUNTIFS('Material routes'!$B$6:$B$1005,A63,'Material routes'!$C$6:$C$1005,"Ingredient candidate"),COUNTIFS('Material routes'!$B$6:$B$1005,A63,'Material routes'!$C$6:$C$1005,"Consumed input"),COUNTIFS('Material routes'!$B$6:$B$1005,A63,'Material routes'!$C$6:$C$1005,"Contained input"),COUNTIFS('Material routes'!$B$6:$B$1005,A63,'Material routes'!$C$6:$C$1005,"Transform input"))</x:f>
        <x:v>1</x:v>
      </x:c>
      <x:c r="J63" s="4" t="n">
        <x:f>COUNTIFS('Material routes'!$B$6:$B$1005,A63,'Material routes'!$C$6:$C$1005,"Output")</x:f>
        <x:v>1</x:v>
      </x:c>
      <x:c r="K63" s="4" t="n">
        <x:f>COUNTIFS('Material routes'!$B$6:$B$1005,A63,'Material routes'!$C$6:$C$1005,"Tool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Concept outline</x:v>
      </x:c>
      <x:c r="E64" s="4" t="str">
        <x:v>Concept outline</x:v>
      </x:c>
      <x:c r="F64" s="4" t="str">
        <x:v>Refine; process and energy unresolved</x:v>
      </x:c>
      <x:c r="G64" s="4" t="str">
        <x:v>Stationary specialist facility proposed</x:v>
      </x:c>
      <x:c r="H64" s="4" t="str">
        <x:f>IF(I64=0,"Unassigned",IF(SUMIFS('Material routes'!$Q$6:$Q$1005,'Material routes'!$B$6:$B$1005,A64)&gt;0,"Unassigned","T"&amp;_xlfn.MAXIFS('Material routes'!$P$6:$P$1005,'Material routes'!$B$6:$B$1005,A64)))</x:f>
        <x:v>Unassigned</x:v>
      </x:c>
      <x:c r="I64" s="4" t="n">
        <x:f>SUM(COUNTIFS('Material routes'!$B$6:$B$1005,A64,'Material routes'!$C$6:$C$1005,"Ingredient candidate"),COUNTIFS('Material routes'!$B$6:$B$1005,A64,'Material routes'!$C$6:$C$1005,"Consumed input"),COUNTIFS('Material routes'!$B$6:$B$1005,A64,'Material routes'!$C$6:$C$1005,"Contained input"),COUNTIFS('Material routes'!$B$6:$B$1005,A64,'Material routes'!$C$6:$C$1005,"Transform input"))</x:f>
        <x:v>1</x:v>
      </x:c>
      <x:c r="J64" s="4" t="n">
        <x:f>COUNTIFS('Material routes'!$B$6:$B$1005,A64,'Material routes'!$C$6:$C$1005,"Output")</x:f>
        <x:v>1</x:v>
      </x:c>
      <x:c r="K64" s="4" t="n">
        <x:f>COUNTIFS('Material routes'!$B$6:$B$1005,A64,'Material routes'!$C$6:$C$1005,"Tool candidate")</x:f>
        <x:v>0</x:v>
      </x:c>
      <x:c r="L64" s="4" t="str">
        <x:v>https://www.nps.gov/deva/learn/nature/mining-in-death-valley.htm</x:v>
      </x:c>
      <x:c r="M64" s="4" t="str">
        <x:v>Partial contribution only. This is not a complete alternative recipe or a claim that all other ingredients are unnecessary.</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routes'!$Q$6:$Q$1005,'Material routes'!$B$6:$B$1005,A65)&gt;0,"Unassigned","T"&amp;_xlfn.MAXIFS('Material routes'!$P$6:$P$1005,'Material routes'!$B$6:$B$1005,A65)))</x:f>
        <x:v>T0</x:v>
      </x:c>
      <x:c r="I65" s="4" t="n">
        <x:f>SUM(COUNTIFS('Material routes'!$B$6:$B$1005,A65,'Material routes'!$C$6:$C$1005,"Ingredient candidate"),COUNTIFS('Material routes'!$B$6:$B$1005,A65,'Material routes'!$C$6:$C$1005,"Consumed input"),COUNTIFS('Material routes'!$B$6:$B$1005,A65,'Material routes'!$C$6:$C$1005,"Contained input"),COUNTIFS('Material routes'!$B$6:$B$1005,A65,'Material routes'!$C$6:$C$1005,"Transform input"))</x:f>
        <x:v>1</x:v>
      </x:c>
      <x:c r="J65" s="4" t="n">
        <x:f>COUNTIFS('Material routes'!$B$6:$B$1005,A65,'Material routes'!$C$6:$C$1005,"Output")</x:f>
        <x:v>1</x:v>
      </x:c>
      <x:c r="K65" s="4" t="n">
        <x:f>COUNTIFS('Material routes'!$B$6:$B$1005,A65,'Material routes'!$C$6:$C$1005,"Tool candidate")</x:f>
        <x:v>0</x:v>
      </x:c>
      <x:c r="L65" s="4" t="str">
        <x:v>https://pubs.usgs.gov/publication/70018701</x:v>
      </x:c>
      <x:c r="M65" s="4" t="str">
        <x:v>Older outline does not resolve the current one-stage tier graph. Add intermediate stock or revise the proposed route before use.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routes'!$Q$6:$Q$1005,'Material routes'!$B$6:$B$1005,A66)&gt;0,"Unassigned","T"&amp;_xlfn.MAXIFS('Material routes'!$P$6:$P$1005,'Material routes'!$B$6:$B$1005,A66)))</x:f>
        <x:v>T0</x:v>
      </x:c>
      <x:c r="I66" s="4" t="n">
        <x:f>SUM(COUNTIFS('Material routes'!$B$6:$B$1005,A66,'Material routes'!$C$6:$C$1005,"Ingredient candidate"),COUNTIFS('Material routes'!$B$6:$B$1005,A66,'Material routes'!$C$6:$C$1005,"Consumed input"),COUNTIFS('Material routes'!$B$6:$B$1005,A66,'Material routes'!$C$6:$C$1005,"Contained input"),COUNTIFS('Material routes'!$B$6:$B$1005,A66,'Material routes'!$C$6:$C$1005,"Transform input"))</x:f>
        <x:v>1</x:v>
      </x:c>
      <x:c r="J66" s="4" t="n">
        <x:f>COUNTIFS('Material routes'!$B$6:$B$1005,A66,'Material routes'!$C$6:$C$1005,"Output")</x:f>
        <x:v>1</x:v>
      </x:c>
      <x:c r="K66" s="4" t="n">
        <x:f>COUNTIFS('Material routes'!$B$6:$B$1005,A66,'Material routes'!$C$6:$C$1005,"Tool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routes'!$Q$6:$Q$1005,'Material routes'!$B$6:$B$1005,A67)&gt;0,"Unassigned","T"&amp;_xlfn.MAXIFS('Material routes'!$P$6:$P$1005,'Material routes'!$B$6:$B$1005,A67)))</x:f>
        <x:v>T0</x:v>
      </x:c>
      <x:c r="I67" s="4" t="n">
        <x:f>SUM(COUNTIFS('Material routes'!$B$6:$B$1005,A67,'Material routes'!$C$6:$C$1005,"Ingredient candidate"),COUNTIFS('Material routes'!$B$6:$B$1005,A67,'Material routes'!$C$6:$C$1005,"Consumed input"),COUNTIFS('Material routes'!$B$6:$B$1005,A67,'Material routes'!$C$6:$C$1005,"Contained input"),COUNTIFS('Material routes'!$B$6:$B$1005,A67,'Material routes'!$C$6:$C$1005,"Transform input"))</x:f>
        <x:v>1</x:v>
      </x:c>
      <x:c r="J67" s="4" t="n">
        <x:f>COUNTIFS('Material routes'!$B$6:$B$1005,A67,'Material routes'!$C$6:$C$1005,"Output")</x:f>
        <x:v>1</x:v>
      </x:c>
      <x:c r="K67" s="4" t="n">
        <x:f>COUNTIFS('Material routes'!$B$6:$B$1005,A67,'Material routes'!$C$6:$C$1005,"Tool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routes'!$Q$6:$Q$1005,'Material routes'!$B$6:$B$1005,A68)&gt;0,"Unassigned","T"&amp;_xlfn.MAXIFS('Material routes'!$P$6:$P$1005,'Material routes'!$B$6:$B$1005,A68)))</x:f>
        <x:v>T0</x:v>
      </x:c>
      <x:c r="I68" s="4" t="n">
        <x:f>SUM(COUNTIFS('Material routes'!$B$6:$B$1005,A68,'Material routes'!$C$6:$C$1005,"Ingredient candidate"),COUNTIFS('Material routes'!$B$6:$B$1005,A68,'Material routes'!$C$6:$C$1005,"Consumed input"),COUNTIFS('Material routes'!$B$6:$B$1005,A68,'Material routes'!$C$6:$C$1005,"Contained input"),COUNTIFS('Material routes'!$B$6:$B$1005,A68,'Material routes'!$C$6:$C$1005,"Transform input"))</x:f>
        <x:v>1</x:v>
      </x:c>
      <x:c r="J68" s="4" t="n">
        <x:f>COUNTIFS('Material routes'!$B$6:$B$1005,A68,'Material routes'!$C$6:$C$1005,"Output")</x:f>
        <x:v>1</x:v>
      </x:c>
      <x:c r="K68" s="4" t="n">
        <x:f>COUNTIFS('Material routes'!$B$6:$B$1005,A68,'Material routes'!$C$6:$C$1005,"Tool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routes'!$Q$6:$Q$1005,'Material routes'!$B$6:$B$1005,A69)&gt;0,"Unassigned","T"&amp;_xlfn.MAXIFS('Material routes'!$P$6:$P$1005,'Material routes'!$B$6:$B$1005,A69)))</x:f>
        <x:v>T0</x:v>
      </x:c>
      <x:c r="I69" s="4" t="n">
        <x:f>SUM(COUNTIFS('Material routes'!$B$6:$B$1005,A69,'Material routes'!$C$6:$C$1005,"Ingredient candidate"),COUNTIFS('Material routes'!$B$6:$B$1005,A69,'Material routes'!$C$6:$C$1005,"Consumed input"),COUNTIFS('Material routes'!$B$6:$B$1005,A69,'Material routes'!$C$6:$C$1005,"Contained input"),COUNTIFS('Material routes'!$B$6:$B$1005,A69,'Material routes'!$C$6:$C$1005,"Transform input"))</x:f>
        <x:v>1</x:v>
      </x:c>
      <x:c r="J69" s="4" t="n">
        <x:f>COUNTIFS('Material routes'!$B$6:$B$1005,A69,'Material routes'!$C$6:$C$1005,"Output")</x:f>
        <x:v>1</x:v>
      </x:c>
      <x:c r="K69" s="4" t="n">
        <x:f>COUNTIFS('Material routes'!$B$6:$B$1005,A69,'Material routes'!$C$6:$C$1005,"Tool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routes'!$Q$6:$Q$1005,'Material routes'!$B$6:$B$1005,A70)&gt;0,"Unassigned","T"&amp;_xlfn.MAXIFS('Material routes'!$P$6:$P$1005,'Material routes'!$B$6:$B$1005,A70)))</x:f>
        <x:v>T0</x:v>
      </x:c>
      <x:c r="I70" s="4" t="n">
        <x:f>SUM(COUNTIFS('Material routes'!$B$6:$B$1005,A70,'Material routes'!$C$6:$C$1005,"Ingredient candidate"),COUNTIFS('Material routes'!$B$6:$B$1005,A70,'Material routes'!$C$6:$C$1005,"Consumed input"),COUNTIFS('Material routes'!$B$6:$B$1005,A70,'Material routes'!$C$6:$C$1005,"Contained input"),COUNTIFS('Material routes'!$B$6:$B$1005,A70,'Material routes'!$C$6:$C$1005,"Transform input"))</x:f>
        <x:v>1</x:v>
      </x:c>
      <x:c r="J70" s="4" t="n">
        <x:f>COUNTIFS('Material routes'!$B$6:$B$1005,A70,'Material routes'!$C$6:$C$1005,"Output")</x:f>
        <x:v>1</x:v>
      </x:c>
      <x:c r="K70" s="4" t="n">
        <x:f>COUNTIFS('Material routes'!$B$6:$B$1005,A70,'Material routes'!$C$6:$C$1005,"Tool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routes'!$Q$6:$Q$1005,'Material routes'!$B$6:$B$1005,A71)&gt;0,"Unassigned","T"&amp;_xlfn.MAXIFS('Material routes'!$P$6:$P$1005,'Material routes'!$B$6:$B$1005,A71)))</x:f>
        <x:v>T0</x:v>
      </x:c>
      <x:c r="I71" s="4" t="n">
        <x:f>SUM(COUNTIFS('Material routes'!$B$6:$B$1005,A71,'Material routes'!$C$6:$C$1005,"Ingredient candidate"),COUNTIFS('Material routes'!$B$6:$B$1005,A71,'Material routes'!$C$6:$C$1005,"Consumed input"),COUNTIFS('Material routes'!$B$6:$B$1005,A71,'Material routes'!$C$6:$C$1005,"Contained input"),COUNTIFS('Material routes'!$B$6:$B$1005,A71,'Material routes'!$C$6:$C$1005,"Transform input"))</x:f>
        <x:v>1</x:v>
      </x:c>
      <x:c r="J71" s="4" t="n">
        <x:f>COUNTIFS('Material routes'!$B$6:$B$1005,A71,'Material routes'!$C$6:$C$1005,"Output")</x:f>
        <x:v>1</x:v>
      </x:c>
      <x:c r="K71" s="4" t="n">
        <x:f>COUNTIFS('Material routes'!$B$6:$B$1005,A71,'Material routes'!$C$6:$C$1005,"Tool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routes'!$Q$6:$Q$1005,'Material routes'!$B$6:$B$1005,A72)&gt;0,"Unassigned","T"&amp;_xlfn.MAXIFS('Material routes'!$P$6:$P$1005,'Material routes'!$B$6:$B$1005,A72)))</x:f>
        <x:v>T0</x:v>
      </x:c>
      <x:c r="I72" s="4" t="n">
        <x:f>SUM(COUNTIFS('Material routes'!$B$6:$B$1005,A72,'Material routes'!$C$6:$C$1005,"Ingredient candidate"),COUNTIFS('Material routes'!$B$6:$B$1005,A72,'Material routes'!$C$6:$C$1005,"Consumed input"),COUNTIFS('Material routes'!$B$6:$B$1005,A72,'Material routes'!$C$6:$C$1005,"Contained input"),COUNTIFS('Material routes'!$B$6:$B$1005,A72,'Material routes'!$C$6:$C$1005,"Transform input"))</x:f>
        <x:v>1</x:v>
      </x:c>
      <x:c r="J72" s="4" t="n">
        <x:f>COUNTIFS('Material routes'!$B$6:$B$1005,A72,'Material routes'!$C$6:$C$1005,"Output")</x:f>
        <x:v>1</x:v>
      </x:c>
      <x:c r="K72" s="4" t="n">
        <x:f>COUNTIFS('Material routes'!$B$6:$B$1005,A72,'Material routes'!$C$6:$C$1005,"Tool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routes'!$Q$6:$Q$1005,'Material routes'!$B$6:$B$1005,A73)&gt;0,"Unassigned","T"&amp;_xlfn.MAXIFS('Material routes'!$P$6:$P$1005,'Material routes'!$B$6:$B$1005,A73)))</x:f>
        <x:v>T0</x:v>
      </x:c>
      <x:c r="I73" s="4" t="n">
        <x:f>SUM(COUNTIFS('Material routes'!$B$6:$B$1005,A73,'Material routes'!$C$6:$C$1005,"Ingredient candidate"),COUNTIFS('Material routes'!$B$6:$B$1005,A73,'Material routes'!$C$6:$C$1005,"Consumed input"),COUNTIFS('Material routes'!$B$6:$B$1005,A73,'Material routes'!$C$6:$C$1005,"Contained input"),COUNTIFS('Material routes'!$B$6:$B$1005,A73,'Material routes'!$C$6:$C$1005,"Transform input"))</x:f>
        <x:v>1</x:v>
      </x:c>
      <x:c r="J73" s="4" t="n">
        <x:f>COUNTIFS('Material routes'!$B$6:$B$1005,A73,'Material routes'!$C$6:$C$1005,"Output")</x:f>
        <x:v>1</x:v>
      </x:c>
      <x:c r="K73" s="4" t="n">
        <x:f>COUNTIFS('Material routes'!$B$6:$B$1005,A73,'Material routes'!$C$6:$C$1005,"Tool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Workshop and service conditions unresolved</x:v>
      </x:c>
      <x:c r="H74" s="4" t="str">
        <x:f>IF(I74=0,"Unassigned",IF(SUMIFS('Material routes'!$Q$6:$Q$1005,'Material routes'!$B$6:$B$1005,A74)&gt;0,"Unassigned","T"&amp;_xlfn.MAXIFS('Material routes'!$P$6:$P$1005,'Material routes'!$B$6:$B$1005,A74)))</x:f>
        <x:v>T2</x:v>
      </x:c>
      <x:c r="I74" s="4" t="n">
        <x:f>SUM(COUNTIFS('Material routes'!$B$6:$B$1005,A74,'Material routes'!$C$6:$C$1005,"Ingredient candidate"),COUNTIFS('Material routes'!$B$6:$B$1005,A74,'Material routes'!$C$6:$C$1005,"Consumed input"),COUNTIFS('Material routes'!$B$6:$B$1005,A74,'Material routes'!$C$6:$C$1005,"Contained input"),COUNTIFS('Material routes'!$B$6:$B$1005,A74,'Material routes'!$C$6:$C$1005,"Transform input"))</x:f>
        <x:v>1</x:v>
      </x:c>
      <x:c r="J74" s="4" t="n">
        <x:f>COUNTIFS('Material routes'!$B$6:$B$1005,A74,'Material routes'!$C$6:$C$1005,"Output")</x:f>
        <x:v>1</x:v>
      </x:c>
      <x:c r="K74" s="4" t="n">
        <x:f>COUNTIFS('Material routes'!$B$6:$B$1005,A74,'Material routes'!$C$6:$C$1005,"Tool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Workshop and service conditions unresolved</x:v>
      </x:c>
      <x:c r="H75" s="4" t="str">
        <x:f>IF(I75=0,"Unassigned",IF(SUMIFS('Material routes'!$Q$6:$Q$1005,'Material routes'!$B$6:$B$1005,A75)&gt;0,"Unassigned","T"&amp;_xlfn.MAXIFS('Material routes'!$P$6:$P$1005,'Material routes'!$B$6:$B$1005,A75)))</x:f>
        <x:v>T2</x:v>
      </x:c>
      <x:c r="I75" s="4" t="n">
        <x:f>SUM(COUNTIFS('Material routes'!$B$6:$B$1005,A75,'Material routes'!$C$6:$C$1005,"Ingredient candidate"),COUNTIFS('Material routes'!$B$6:$B$1005,A75,'Material routes'!$C$6:$C$1005,"Consumed input"),COUNTIFS('Material routes'!$B$6:$B$1005,A75,'Material routes'!$C$6:$C$1005,"Contained input"),COUNTIFS('Material routes'!$B$6:$B$1005,A75,'Material routes'!$C$6:$C$1005,"Transform input"))</x:f>
        <x:v>1</x:v>
      </x:c>
      <x:c r="J75" s="4" t="n">
        <x:f>COUNTIFS('Material routes'!$B$6:$B$1005,A75,'Material routes'!$C$6:$C$1005,"Output")</x:f>
        <x:v>1</x:v>
      </x:c>
      <x:c r="K75" s="4" t="n">
        <x:f>COUNTIFS('Material routes'!$B$6:$B$1005,A75,'Material routes'!$C$6:$C$1005,"Tool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Workshop and service conditions unresolved</x:v>
      </x:c>
      <x:c r="H76" s="4" t="str">
        <x:f>IF(I76=0,"Unassigned",IF(SUMIFS('Material routes'!$Q$6:$Q$1005,'Material routes'!$B$6:$B$1005,A76)&gt;0,"Unassigned","T"&amp;_xlfn.MAXIFS('Material routes'!$P$6:$P$1005,'Material routes'!$B$6:$B$1005,A76)))</x:f>
        <x:v>T1</x:v>
      </x:c>
      <x:c r="I76" s="4" t="n">
        <x:f>SUM(COUNTIFS('Material routes'!$B$6:$B$1005,A76,'Material routes'!$C$6:$C$1005,"Ingredient candidate"),COUNTIFS('Material routes'!$B$6:$B$1005,A76,'Material routes'!$C$6:$C$1005,"Consumed input"),COUNTIFS('Material routes'!$B$6:$B$1005,A76,'Material routes'!$C$6:$C$1005,"Contained input"),COUNTIFS('Material routes'!$B$6:$B$1005,A76,'Material routes'!$C$6:$C$1005,"Transform input"))</x:f>
        <x:v>1</x:v>
      </x:c>
      <x:c r="J76" s="4" t="n">
        <x:f>COUNTIFS('Material routes'!$B$6:$B$1005,A76,'Material routes'!$C$6:$C$1005,"Output")</x:f>
        <x:v>1</x:v>
      </x:c>
      <x:c r="K76" s="4" t="n">
        <x:f>COUNTIFS('Material routes'!$B$6:$B$1005,A76,'Material routes'!$C$6:$C$1005,"Tool candidate")</x:f>
        <x:v>0</x:v>
      </x:c>
      <x:c r="L76" s="4" t="str">
        <x:v>New organizational brainstorming; specific game recipes are not approved.</x:v>
      </x:c>
      <x:c r="M76" s="4" t="str">
        <x:v>Quantities, supporting inputs, compatibility and process conditions remain open.</x:v>
      </x:c>
    </x:row>
    <x:row r="77" ht="85" customHeight="1">
      <x:c r="A77" s="4" t="str">
        <x:v>design.finished.steel_hammer</x:v>
      </x:c>
      <x:c r="B77" s="4" t="str">
        <x:v>Forging hammer candidate craft</x:v>
      </x:c>
      <x:c r="C77" s="4" t="str">
        <x:v>Finished-item crafting</x:v>
      </x:c>
      <x:c r="D77" s="4" t="str">
        <x:v>Proposal</x:v>
      </x:c>
      <x:c r="E77" s="4" t="str">
        <x:v>Partial proposal</x:v>
      </x:c>
      <x:c r="F77" s="4" t="str">
        <x:v>Explore a forging-hammer working part from steel stock; handles, joining and heat treatment remain open.</x:v>
      </x:c>
      <x:c r="G77" s="4" t="str">
        <x:v>Workshop and service conditions unresolved</x:v>
      </x:c>
      <x:c r="H77" s="4" t="str">
        <x:f>IF(I77=0,"Unassigned",IF(SUMIFS('Material routes'!$Q$6:$Q$1005,'Material routes'!$B$6:$B$1005,A77)&gt;0,"Unassigned","T"&amp;_xlfn.MAXIFS('Material routes'!$P$6:$P$1005,'Material routes'!$B$6:$B$1005,A77)))</x:f>
        <x:v>T2</x:v>
      </x:c>
      <x:c r="I77" s="4" t="n">
        <x:f>SUM(COUNTIFS('Material routes'!$B$6:$B$1005,A77,'Material routes'!$C$6:$C$1005,"Ingredient candidate"),COUNTIFS('Material routes'!$B$6:$B$1005,A77,'Material routes'!$C$6:$C$1005,"Consumed input"),COUNTIFS('Material routes'!$B$6:$B$1005,A77,'Material routes'!$C$6:$C$1005,"Contained input"),COUNTIFS('Material routes'!$B$6:$B$1005,A77,'Material routes'!$C$6:$C$1005,"Transform input"))</x:f>
        <x:v>1</x:v>
      </x:c>
      <x:c r="J77" s="4" t="n">
        <x:f>COUNTIFS('Material routes'!$B$6:$B$1005,A77,'Material routes'!$C$6:$C$1005,"Output")</x:f>
        <x:v>1</x:v>
      </x:c>
      <x:c r="K77" s="4" t="n">
        <x:f>COUNTIFS('Material routes'!$B$6:$B$1005,A77,'Material routes'!$C$6:$C$1005,"Tool candidate")</x:f>
        <x:v>1</x:v>
      </x:c>
      <x:c r="L77" s="4" t="str">
        <x:v>New organizational brainstorming; specific game recipes are not approved.</x:v>
      </x:c>
      <x:c r="M77" s="4" t="str">
        <x:v>Quantities, supporting inputs, compatibility and process conditions remain open.</x:v>
      </x:c>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Specialist workshop; heat, tools, power and service conditions unresolved</x:v>
      </x:c>
      <x:c r="H78" s="4" t="str">
        <x:f>IF(I78=0,"Unassigned",IF(SUMIFS('Material routes'!$Q$6:$Q$1005,'Material routes'!$B$6:$B$1005,A78)&gt;0,"Unassigned","T"&amp;_xlfn.MAXIFS('Material routes'!$P$6:$P$1005,'Material routes'!$B$6:$B$1005,A78)))</x:f>
        <x:v>T0</x:v>
      </x:c>
      <x:c r="I78" s="4" t="n">
        <x:f>SUM(COUNTIFS('Material routes'!$B$6:$B$1005,A78,'Material routes'!$C$6:$C$1005,"Ingredient candidate"),COUNTIFS('Material routes'!$B$6:$B$1005,A78,'Material routes'!$C$6:$C$1005,"Consumed input"),COUNTIFS('Material routes'!$B$6:$B$1005,A78,'Material routes'!$C$6:$C$1005,"Contained input"),COUNTIFS('Material routes'!$B$6:$B$1005,A78,'Material routes'!$C$6:$C$1005,"Transform input"))</x:f>
        <x:v>2</x:v>
      </x:c>
      <x:c r="J78" s="4" t="n">
        <x:f>COUNTIFS('Material routes'!$B$6:$B$1005,A78,'Material routes'!$C$6:$C$1005,"Output")</x:f>
        <x:v>1</x:v>
      </x:c>
      <x:c r="K78" s="4" t="n">
        <x:f>COUNTIFS('Material routes'!$B$6:$B$1005,A78,'Material routes'!$C$6:$C$1005,"Tool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Specialist workshop; heat, tools, power and service conditions unresolved</x:v>
      </x:c>
      <x:c r="H79" s="4" t="str">
        <x:f>IF(I79=0,"Unassigned",IF(SUMIFS('Material routes'!$Q$6:$Q$1005,'Material routes'!$B$6:$B$1005,A79)&gt;0,"Unassigned","T"&amp;_xlfn.MAXIFS('Material routes'!$P$6:$P$1005,'Material routes'!$B$6:$B$1005,A79)))</x:f>
        <x:v>T0</x:v>
      </x:c>
      <x:c r="I79" s="4" t="n">
        <x:f>SUM(COUNTIFS('Material routes'!$B$6:$B$1005,A79,'Material routes'!$C$6:$C$1005,"Ingredient candidate"),COUNTIFS('Material routes'!$B$6:$B$1005,A79,'Material routes'!$C$6:$C$1005,"Consumed input"),COUNTIFS('Material routes'!$B$6:$B$1005,A79,'Material routes'!$C$6:$C$1005,"Contained input"),COUNTIFS('Material routes'!$B$6:$B$1005,A79,'Material routes'!$C$6:$C$1005,"Transform input"))</x:f>
        <x:v>1</x:v>
      </x:c>
      <x:c r="J79" s="4" t="n">
        <x:f>COUNTIFS('Material routes'!$B$6:$B$1005,A79,'Material routes'!$C$6:$C$1005,"Output")</x:f>
        <x:v>1</x:v>
      </x:c>
      <x:c r="K79" s="4" t="n">
        <x:f>COUNTIFS('Material routes'!$B$6:$B$1005,A79,'Material routes'!$C$6:$C$1005,"Tool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Specialist workshop; heat, tools, power and service conditions unresolved</x:v>
      </x:c>
      <x:c r="H80" s="4" t="str">
        <x:f>IF(I80=0,"Unassigned",IF(SUMIFS('Material routes'!$Q$6:$Q$1005,'Material routes'!$B$6:$B$1005,A80)&gt;0,"Unassigned","T"&amp;_xlfn.MAXIFS('Material routes'!$P$6:$P$1005,'Material routes'!$B$6:$B$1005,A80)))</x:f>
        <x:v>T0</x:v>
      </x:c>
      <x:c r="I80" s="4" t="n">
        <x:f>SUM(COUNTIFS('Material routes'!$B$6:$B$1005,A80,'Material routes'!$C$6:$C$1005,"Ingredient candidate"),COUNTIFS('Material routes'!$B$6:$B$1005,A80,'Material routes'!$C$6:$C$1005,"Consumed input"),COUNTIFS('Material routes'!$B$6:$B$1005,A80,'Material routes'!$C$6:$C$1005,"Contained input"),COUNTIFS('Material routes'!$B$6:$B$1005,A80,'Material routes'!$C$6:$C$1005,"Transform input"))</x:f>
        <x:v>1</x:v>
      </x:c>
      <x:c r="J80" s="4" t="n">
        <x:f>COUNTIFS('Material routes'!$B$6:$B$1005,A80,'Material routes'!$C$6:$C$1005,"Output")</x:f>
        <x:v>1</x:v>
      </x:c>
      <x:c r="K80" s="4" t="n">
        <x:f>COUNTIFS('Material routes'!$B$6:$B$1005,A80,'Material routes'!$C$6:$C$1005,"Tool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Specialist workshop; heat, tools, power and service conditions unresolved</x:v>
      </x:c>
      <x:c r="H81" s="4" t="str">
        <x:f>IF(I81=0,"Unassigned",IF(SUMIFS('Material routes'!$Q$6:$Q$1005,'Material routes'!$B$6:$B$1005,A81)&gt;0,"Unassigned","T"&amp;_xlfn.MAXIFS('Material routes'!$P$6:$P$1005,'Material routes'!$B$6:$B$1005,A81)))</x:f>
        <x:v>T0</x:v>
      </x:c>
      <x:c r="I81" s="4" t="n">
        <x:f>SUM(COUNTIFS('Material routes'!$B$6:$B$1005,A81,'Material routes'!$C$6:$C$1005,"Ingredient candidate"),COUNTIFS('Material routes'!$B$6:$B$1005,A81,'Material routes'!$C$6:$C$1005,"Consumed input"),COUNTIFS('Material routes'!$B$6:$B$1005,A81,'Material routes'!$C$6:$C$1005,"Contained input"),COUNTIFS('Material routes'!$B$6:$B$1005,A81,'Material routes'!$C$6:$C$1005,"Transform input"))</x:f>
        <x:v>1</x:v>
      </x:c>
      <x:c r="J81" s="4" t="n">
        <x:f>COUNTIFS('Material routes'!$B$6:$B$1005,A81,'Material routes'!$C$6:$C$1005,"Output")</x:f>
        <x:v>1</x:v>
      </x:c>
      <x:c r="K81" s="4" t="n">
        <x:f>COUNTIFS('Material routes'!$B$6:$B$1005,A81,'Material routes'!$C$6:$C$1005,"Tool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Specialist workshop; heat, tools, power and service conditions unresolved</x:v>
      </x:c>
      <x:c r="H82" s="4" t="str">
        <x:f>IF(I82=0,"Unassigned",IF(SUMIFS('Material routes'!$Q$6:$Q$1005,'Material routes'!$B$6:$B$1005,A82)&gt;0,"Unassigned","T"&amp;_xlfn.MAXIFS('Material routes'!$P$6:$P$1005,'Material routes'!$B$6:$B$1005,A82)))</x:f>
        <x:v>T0</x:v>
      </x:c>
      <x:c r="I82" s="4" t="n">
        <x:f>SUM(COUNTIFS('Material routes'!$B$6:$B$1005,A82,'Material routes'!$C$6:$C$1005,"Ingredient candidate"),COUNTIFS('Material routes'!$B$6:$B$1005,A82,'Material routes'!$C$6:$C$1005,"Consumed input"),COUNTIFS('Material routes'!$B$6:$B$1005,A82,'Material routes'!$C$6:$C$1005,"Contained input"),COUNTIFS('Material routes'!$B$6:$B$1005,A82,'Material routes'!$C$6:$C$1005,"Transform input"))</x:f>
        <x:v>1</x:v>
      </x:c>
      <x:c r="J82" s="4" t="n">
        <x:f>COUNTIFS('Material routes'!$B$6:$B$1005,A82,'Material routes'!$C$6:$C$1005,"Output")</x:f>
        <x:v>1</x:v>
      </x:c>
      <x:c r="K82" s="4" t="n">
        <x:f>COUNTIFS('Material routes'!$B$6:$B$1005,A82,'Material routes'!$C$6:$C$1005,"Tool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Specialist workshop; heat, tools, power and service conditions unresolved</x:v>
      </x:c>
      <x:c r="H83" s="4" t="str">
        <x:f>IF(I83=0,"Unassigned",IF(SUMIFS('Material routes'!$Q$6:$Q$1005,'Material routes'!$B$6:$B$1005,A83)&gt;0,"Unassigned","T"&amp;_xlfn.MAXIFS('Material routes'!$P$6:$P$1005,'Material routes'!$B$6:$B$1005,A83)))</x:f>
        <x:v>T1</x:v>
      </x:c>
      <x:c r="I83" s="4" t="n">
        <x:f>SUM(COUNTIFS('Material routes'!$B$6:$B$1005,A83,'Material routes'!$C$6:$C$1005,"Ingredient candidate"),COUNTIFS('Material routes'!$B$6:$B$1005,A83,'Material routes'!$C$6:$C$1005,"Consumed input"),COUNTIFS('Material routes'!$B$6:$B$1005,A83,'Material routes'!$C$6:$C$1005,"Contained input"),COUNTIFS('Material routes'!$B$6:$B$1005,A83,'Material routes'!$C$6:$C$1005,"Transform input"))</x:f>
        <x:v>3</x:v>
      </x:c>
      <x:c r="J83" s="4" t="n">
        <x:f>COUNTIFS('Material routes'!$B$6:$B$1005,A83,'Material routes'!$C$6:$C$1005,"Output")</x:f>
        <x:v>1</x:v>
      </x:c>
      <x:c r="K83" s="4" t="n">
        <x:f>COUNTIFS('Material routes'!$B$6:$B$1005,A83,'Material routes'!$C$6:$C$1005,"Tool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Specialist workshop; heat, tools, power and service conditions unresolved</x:v>
      </x:c>
      <x:c r="H84" s="4" t="str">
        <x:f>IF(I84=0,"Unassigned",IF(SUMIFS('Material routes'!$Q$6:$Q$1005,'Material routes'!$B$6:$B$1005,A84)&gt;0,"Unassigned","T"&amp;_xlfn.MAXIFS('Material routes'!$P$6:$P$1005,'Material routes'!$B$6:$B$1005,A84)))</x:f>
        <x:v>T1</x:v>
      </x:c>
      <x:c r="I84" s="4" t="n">
        <x:f>SUM(COUNTIFS('Material routes'!$B$6:$B$1005,A84,'Material routes'!$C$6:$C$1005,"Ingredient candidate"),COUNTIFS('Material routes'!$B$6:$B$1005,A84,'Material routes'!$C$6:$C$1005,"Consumed input"),COUNTIFS('Material routes'!$B$6:$B$1005,A84,'Material routes'!$C$6:$C$1005,"Contained input"),COUNTIFS('Material routes'!$B$6:$B$1005,A84,'Material routes'!$C$6:$C$1005,"Transform input"))</x:f>
        <x:v>3</x:v>
      </x:c>
      <x:c r="J84" s="4" t="n">
        <x:f>COUNTIFS('Material routes'!$B$6:$B$1005,A84,'Material routes'!$C$6:$C$1005,"Output")</x:f>
        <x:v>1</x:v>
      </x:c>
      <x:c r="K84" s="4" t="n">
        <x:f>COUNTIFS('Material routes'!$B$6:$B$1005,A84,'Material routes'!$C$6:$C$1005,"Tool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Specialist workshop; heat, tools, power and service conditions unresolved</x:v>
      </x:c>
      <x:c r="H85" s="4" t="str">
        <x:f>IF(I85=0,"Unassigned",IF(SUMIFS('Material routes'!$Q$6:$Q$1005,'Material routes'!$B$6:$B$1005,A85)&gt;0,"Unassigned","T"&amp;_xlfn.MAXIFS('Material routes'!$P$6:$P$1005,'Material routes'!$B$6:$B$1005,A85)))</x:f>
        <x:v>T1</x:v>
      </x:c>
      <x:c r="I85" s="4" t="n">
        <x:f>SUM(COUNTIFS('Material routes'!$B$6:$B$1005,A85,'Material routes'!$C$6:$C$1005,"Ingredient candidate"),COUNTIFS('Material routes'!$B$6:$B$1005,A85,'Material routes'!$C$6:$C$1005,"Consumed input"),COUNTIFS('Material routes'!$B$6:$B$1005,A85,'Material routes'!$C$6:$C$1005,"Contained input"),COUNTIFS('Material routes'!$B$6:$B$1005,A85,'Material routes'!$C$6:$C$1005,"Transform input"))</x:f>
        <x:v>1</x:v>
      </x:c>
      <x:c r="J85" s="4" t="n">
        <x:f>COUNTIFS('Material routes'!$B$6:$B$1005,A85,'Material routes'!$C$6:$C$1005,"Output")</x:f>
        <x:v>1</x:v>
      </x:c>
      <x:c r="K85" s="4" t="n">
        <x:f>COUNTIFS('Material routes'!$B$6:$B$1005,A85,'Material routes'!$C$6:$C$1005,"Tool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Specialist workshop; heat, tools, power and service conditions unresolved</x:v>
      </x:c>
      <x:c r="H86" s="4" t="str">
        <x:f>IF(I86=0,"Unassigned",IF(SUMIFS('Material routes'!$Q$6:$Q$1005,'Material routes'!$B$6:$B$1005,A86)&gt;0,"Unassigned","T"&amp;_xlfn.MAXIFS('Material routes'!$P$6:$P$1005,'Material routes'!$B$6:$B$1005,A86)))</x:f>
        <x:v>T1</x:v>
      </x:c>
      <x:c r="I86" s="4" t="n">
        <x:f>SUM(COUNTIFS('Material routes'!$B$6:$B$1005,A86,'Material routes'!$C$6:$C$1005,"Ingredient candidate"),COUNTIFS('Material routes'!$B$6:$B$1005,A86,'Material routes'!$C$6:$C$1005,"Consumed input"),COUNTIFS('Material routes'!$B$6:$B$1005,A86,'Material routes'!$C$6:$C$1005,"Contained input"),COUNTIFS('Material routes'!$B$6:$B$1005,A86,'Material routes'!$C$6:$C$1005,"Transform input"))</x:f>
        <x:v>1</x:v>
      </x:c>
      <x:c r="J86" s="4" t="n">
        <x:f>COUNTIFS('Material routes'!$B$6:$B$1005,A86,'Material routes'!$C$6:$C$1005,"Output")</x:f>
        <x:v>1</x:v>
      </x:c>
      <x:c r="K86" s="4" t="n">
        <x:f>COUNTIFS('Material routes'!$B$6:$B$1005,A86,'Material routes'!$C$6:$C$1005,"Tool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Specialist workshop; heat, tools, power and service conditions unresolved</x:v>
      </x:c>
      <x:c r="H87" s="4" t="str">
        <x:f>IF(I87=0,"Unassigned",IF(SUMIFS('Material routes'!$Q$6:$Q$1005,'Material routes'!$B$6:$B$1005,A87)&gt;0,"Unassigned","T"&amp;_xlfn.MAXIFS('Material routes'!$P$6:$P$1005,'Material routes'!$B$6:$B$1005,A87)))</x:f>
        <x:v>T1</x:v>
      </x:c>
      <x:c r="I87" s="4" t="n">
        <x:f>SUM(COUNTIFS('Material routes'!$B$6:$B$1005,A87,'Material routes'!$C$6:$C$1005,"Ingredient candidate"),COUNTIFS('Material routes'!$B$6:$B$1005,A87,'Material routes'!$C$6:$C$1005,"Consumed input"),COUNTIFS('Material routes'!$B$6:$B$1005,A87,'Material routes'!$C$6:$C$1005,"Contained input"),COUNTIFS('Material routes'!$B$6:$B$1005,A87,'Material routes'!$C$6:$C$1005,"Transform input"))</x:f>
        <x:v>2</x:v>
      </x:c>
      <x:c r="J87" s="4" t="n">
        <x:f>COUNTIFS('Material routes'!$B$6:$B$1005,A87,'Material routes'!$C$6:$C$1005,"Output")</x:f>
        <x:v>1</x:v>
      </x:c>
      <x:c r="K87" s="4" t="n">
        <x:f>COUNTIFS('Material routes'!$B$6:$B$1005,A87,'Material routes'!$C$6:$C$1005,"Tool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Specialist workshop; heat, tools, power and service conditions unresolved</x:v>
      </x:c>
      <x:c r="H88" s="4" t="str">
        <x:f>IF(I88=0,"Unassigned",IF(SUMIFS('Material routes'!$Q$6:$Q$1005,'Material routes'!$B$6:$B$1005,A88)&gt;0,"Unassigned","T"&amp;_xlfn.MAXIFS('Material routes'!$P$6:$P$1005,'Material routes'!$B$6:$B$1005,A88)))</x:f>
        <x:v>T1</x:v>
      </x:c>
      <x:c r="I88" s="4" t="n">
        <x:f>SUM(COUNTIFS('Material routes'!$B$6:$B$1005,A88,'Material routes'!$C$6:$C$1005,"Ingredient candidate"),COUNTIFS('Material routes'!$B$6:$B$1005,A88,'Material routes'!$C$6:$C$1005,"Consumed input"),COUNTIFS('Material routes'!$B$6:$B$1005,A88,'Material routes'!$C$6:$C$1005,"Contained input"),COUNTIFS('Material routes'!$B$6:$B$1005,A88,'Material routes'!$C$6:$C$1005,"Transform input"))</x:f>
        <x:v>3</x:v>
      </x:c>
      <x:c r="J88" s="4" t="n">
        <x:f>COUNTIFS('Material routes'!$B$6:$B$1005,A88,'Material routes'!$C$6:$C$1005,"Output")</x:f>
        <x:v>1</x:v>
      </x:c>
      <x:c r="K88" s="4" t="n">
        <x:f>COUNTIFS('Material routes'!$B$6:$B$1005,A88,'Material routes'!$C$6:$C$1005,"Tool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Specialist workshop; heat, tools, power and service conditions unresolved</x:v>
      </x:c>
      <x:c r="H89" s="4" t="str">
        <x:f>IF(I89=0,"Unassigned",IF(SUMIFS('Material routes'!$Q$6:$Q$1005,'Material routes'!$B$6:$B$1005,A89)&gt;0,"Unassigned","T"&amp;_xlfn.MAXIFS('Material routes'!$P$6:$P$1005,'Material routes'!$B$6:$B$1005,A89)))</x:f>
        <x:v>T1</x:v>
      </x:c>
      <x:c r="I89" s="4" t="n">
        <x:f>SUM(COUNTIFS('Material routes'!$B$6:$B$1005,A89,'Material routes'!$C$6:$C$1005,"Ingredient candidate"),COUNTIFS('Material routes'!$B$6:$B$1005,A89,'Material routes'!$C$6:$C$1005,"Consumed input"),COUNTIFS('Material routes'!$B$6:$B$1005,A89,'Material routes'!$C$6:$C$1005,"Contained input"),COUNTIFS('Material routes'!$B$6:$B$1005,A89,'Material routes'!$C$6:$C$1005,"Transform input"))</x:f>
        <x:v>1</x:v>
      </x:c>
      <x:c r="J89" s="4" t="n">
        <x:f>COUNTIFS('Material routes'!$B$6:$B$1005,A89,'Material routes'!$C$6:$C$1005,"Output")</x:f>
        <x:v>1</x:v>
      </x:c>
      <x:c r="K89" s="4" t="n">
        <x:f>COUNTIFS('Material routes'!$B$6:$B$1005,A89,'Material routes'!$C$6:$C$1005,"Tool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Specialist workshop; heat, tools, power and service conditions unresolved</x:v>
      </x:c>
      <x:c r="H90" s="4" t="str">
        <x:f>IF(I90=0,"Unassigned",IF(SUMIFS('Material routes'!$Q$6:$Q$1005,'Material routes'!$B$6:$B$1005,A90)&gt;0,"Unassigned","T"&amp;_xlfn.MAXIFS('Material routes'!$P$6:$P$1005,'Material routes'!$B$6:$B$1005,A90)))</x:f>
        <x:v>T1</x:v>
      </x:c>
      <x:c r="I90" s="4" t="n">
        <x:f>SUM(COUNTIFS('Material routes'!$B$6:$B$1005,A90,'Material routes'!$C$6:$C$1005,"Ingredient candidate"),COUNTIFS('Material routes'!$B$6:$B$1005,A90,'Material routes'!$C$6:$C$1005,"Consumed input"),COUNTIFS('Material routes'!$B$6:$B$1005,A90,'Material routes'!$C$6:$C$1005,"Contained input"),COUNTIFS('Material routes'!$B$6:$B$1005,A90,'Material routes'!$C$6:$C$1005,"Transform input"))</x:f>
        <x:v>1</x:v>
      </x:c>
      <x:c r="J90" s="4" t="n">
        <x:f>COUNTIFS('Material routes'!$B$6:$B$1005,A90,'Material routes'!$C$6:$C$1005,"Output")</x:f>
        <x:v>1</x:v>
      </x:c>
      <x:c r="K90" s="4" t="n">
        <x:f>COUNTIFS('Material routes'!$B$6:$B$1005,A90,'Material routes'!$C$6:$C$1005,"Tool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Specialist workshop; heat, tools, power and service conditions unresolved</x:v>
      </x:c>
      <x:c r="H91" s="4" t="str">
        <x:f>IF(I91=0,"Unassigned",IF(SUMIFS('Material routes'!$Q$6:$Q$1005,'Material routes'!$B$6:$B$1005,A91)&gt;0,"Unassigned","T"&amp;_xlfn.MAXIFS('Material routes'!$P$6:$P$1005,'Material routes'!$B$6:$B$1005,A91)))</x:f>
        <x:v>T1</x:v>
      </x:c>
      <x:c r="I91" s="4" t="n">
        <x:f>SUM(COUNTIFS('Material routes'!$B$6:$B$1005,A91,'Material routes'!$C$6:$C$1005,"Ingredient candidate"),COUNTIFS('Material routes'!$B$6:$B$1005,A91,'Material routes'!$C$6:$C$1005,"Consumed input"),COUNTIFS('Material routes'!$B$6:$B$1005,A91,'Material routes'!$C$6:$C$1005,"Contained input"),COUNTIFS('Material routes'!$B$6:$B$1005,A91,'Material routes'!$C$6:$C$1005,"Transform input"))</x:f>
        <x:v>2</x:v>
      </x:c>
      <x:c r="J91" s="4" t="n">
        <x:f>COUNTIFS('Material routes'!$B$6:$B$1005,A91,'Material routes'!$C$6:$C$1005,"Output")</x:f>
        <x:v>1</x:v>
      </x:c>
      <x:c r="K91" s="4" t="n">
        <x:f>COUNTIFS('Material routes'!$B$6:$B$1005,A91,'Material routes'!$C$6:$C$1005,"Tool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Specialist workshop; heat, tools, power and service conditions unresolved</x:v>
      </x:c>
      <x:c r="H92" s="4" t="str">
        <x:f>IF(I92=0,"Unassigned",IF(SUMIFS('Material routes'!$Q$6:$Q$1005,'Material routes'!$B$6:$B$1005,A92)&gt;0,"Unassigned","T"&amp;_xlfn.MAXIFS('Material routes'!$P$6:$P$1005,'Material routes'!$B$6:$B$1005,A92)))</x:f>
        <x:v>T1</x:v>
      </x:c>
      <x:c r="I92" s="4" t="n">
        <x:f>SUM(COUNTIFS('Material routes'!$B$6:$B$1005,A92,'Material routes'!$C$6:$C$1005,"Ingredient candidate"),COUNTIFS('Material routes'!$B$6:$B$1005,A92,'Material routes'!$C$6:$C$1005,"Consumed input"),COUNTIFS('Material routes'!$B$6:$B$1005,A92,'Material routes'!$C$6:$C$1005,"Contained input"),COUNTIFS('Material routes'!$B$6:$B$1005,A92,'Material routes'!$C$6:$C$1005,"Transform input"))</x:f>
        <x:v>3</x:v>
      </x:c>
      <x:c r="J92" s="4" t="n">
        <x:f>COUNTIFS('Material routes'!$B$6:$B$1005,A92,'Material routes'!$C$6:$C$1005,"Output")</x:f>
        <x:v>1</x:v>
      </x:c>
      <x:c r="K92" s="4" t="n">
        <x:f>COUNTIFS('Material routes'!$B$6:$B$1005,A92,'Material routes'!$C$6:$C$1005,"Tool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Specialist workshop; heat, tools, power and service conditions unresolved</x:v>
      </x:c>
      <x:c r="H93" s="4" t="str">
        <x:f>IF(I93=0,"Unassigned",IF(SUMIFS('Material routes'!$Q$6:$Q$1005,'Material routes'!$B$6:$B$1005,A93)&gt;0,"Unassigned","T"&amp;_xlfn.MAXIFS('Material routes'!$P$6:$P$1005,'Material routes'!$B$6:$B$1005,A93)))</x:f>
        <x:v>T1</x:v>
      </x:c>
      <x:c r="I93" s="4" t="n">
        <x:f>SUM(COUNTIFS('Material routes'!$B$6:$B$1005,A93,'Material routes'!$C$6:$C$1005,"Ingredient candidate"),COUNTIFS('Material routes'!$B$6:$B$1005,A93,'Material routes'!$C$6:$C$1005,"Consumed input"),COUNTIFS('Material routes'!$B$6:$B$1005,A93,'Material routes'!$C$6:$C$1005,"Contained input"),COUNTIFS('Material routes'!$B$6:$B$1005,A93,'Material routes'!$C$6:$C$1005,"Transform input"))</x:f>
        <x:v>2</x:v>
      </x:c>
      <x:c r="J93" s="4" t="n">
        <x:f>COUNTIFS('Material routes'!$B$6:$B$1005,A93,'Material routes'!$C$6:$C$1005,"Output")</x:f>
        <x:v>1</x:v>
      </x:c>
      <x:c r="K93" s="4" t="n">
        <x:f>COUNTIFS('Material routes'!$B$6:$B$1005,A93,'Material routes'!$C$6:$C$1005,"Tool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Specialist workshop; heat, tools, power and service conditions unresolved</x:v>
      </x:c>
      <x:c r="H94" s="4" t="str">
        <x:f>IF(I94=0,"Unassigned",IF(SUMIFS('Material routes'!$Q$6:$Q$1005,'Material routes'!$B$6:$B$1005,A94)&gt;0,"Unassigned","T"&amp;_xlfn.MAXIFS('Material routes'!$P$6:$P$1005,'Material routes'!$B$6:$B$1005,A94)))</x:f>
        <x:v>T1</x:v>
      </x:c>
      <x:c r="I94" s="4" t="n">
        <x:f>SUM(COUNTIFS('Material routes'!$B$6:$B$1005,A94,'Material routes'!$C$6:$C$1005,"Ingredient candidate"),COUNTIFS('Material routes'!$B$6:$B$1005,A94,'Material routes'!$C$6:$C$1005,"Consumed input"),COUNTIFS('Material routes'!$B$6:$B$1005,A94,'Material routes'!$C$6:$C$1005,"Contained input"),COUNTIFS('Material routes'!$B$6:$B$1005,A94,'Material routes'!$C$6:$C$1005,"Transform input"))</x:f>
        <x:v>2</x:v>
      </x:c>
      <x:c r="J94" s="4" t="n">
        <x:f>COUNTIFS('Material routes'!$B$6:$B$1005,A94,'Material routes'!$C$6:$C$1005,"Output")</x:f>
        <x:v>1</x:v>
      </x:c>
      <x:c r="K94" s="4" t="n">
        <x:f>COUNTIFS('Material routes'!$B$6:$B$1005,A94,'Material routes'!$C$6:$C$1005,"Tool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Specialist workshop; heat, tools, power and service conditions unresolved</x:v>
      </x:c>
      <x:c r="H95" s="4" t="str">
        <x:f>IF(I95=0,"Unassigned",IF(SUMIFS('Material routes'!$Q$6:$Q$1005,'Material routes'!$B$6:$B$1005,A95)&gt;0,"Unassigned","T"&amp;_xlfn.MAXIFS('Material routes'!$P$6:$P$1005,'Material routes'!$B$6:$B$1005,A95)))</x:f>
        <x:v>T1</x:v>
      </x:c>
      <x:c r="I95" s="4" t="n">
        <x:f>SUM(COUNTIFS('Material routes'!$B$6:$B$1005,A95,'Material routes'!$C$6:$C$1005,"Ingredient candidate"),COUNTIFS('Material routes'!$B$6:$B$1005,A95,'Material routes'!$C$6:$C$1005,"Consumed input"),COUNTIFS('Material routes'!$B$6:$B$1005,A95,'Material routes'!$C$6:$C$1005,"Contained input"),COUNTIFS('Material routes'!$B$6:$B$1005,A95,'Material routes'!$C$6:$C$1005,"Transform input"))</x:f>
        <x:v>2</x:v>
      </x:c>
      <x:c r="J95" s="4" t="n">
        <x:f>COUNTIFS('Material routes'!$B$6:$B$1005,A95,'Material routes'!$C$6:$C$1005,"Output")</x:f>
        <x:v>1</x:v>
      </x:c>
      <x:c r="K95" s="4" t="n">
        <x:f>COUNTIFS('Material routes'!$B$6:$B$1005,A95,'Material routes'!$C$6:$C$1005,"Tool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Specialist workshop; heat, tools, power and service conditions unresolved</x:v>
      </x:c>
      <x:c r="H96" s="4" t="str">
        <x:f>IF(I96=0,"Unassigned",IF(SUMIFS('Material routes'!$Q$6:$Q$1005,'Material routes'!$B$6:$B$1005,A96)&gt;0,"Unassigned","T"&amp;_xlfn.MAXIFS('Material routes'!$P$6:$P$1005,'Material routes'!$B$6:$B$1005,A96)))</x:f>
        <x:v>T1</x:v>
      </x:c>
      <x:c r="I96" s="4" t="n">
        <x:f>SUM(COUNTIFS('Material routes'!$B$6:$B$1005,A96,'Material routes'!$C$6:$C$1005,"Ingredient candidate"),COUNTIFS('Material routes'!$B$6:$B$1005,A96,'Material routes'!$C$6:$C$1005,"Consumed input"),COUNTIFS('Material routes'!$B$6:$B$1005,A96,'Material routes'!$C$6:$C$1005,"Contained input"),COUNTIFS('Material routes'!$B$6:$B$1005,A96,'Material routes'!$C$6:$C$1005,"Transform input"))</x:f>
        <x:v>2</x:v>
      </x:c>
      <x:c r="J96" s="4" t="n">
        <x:f>COUNTIFS('Material routes'!$B$6:$B$1005,A96,'Material routes'!$C$6:$C$1005,"Output")</x:f>
        <x:v>1</x:v>
      </x:c>
      <x:c r="K96" s="4" t="n">
        <x:f>COUNTIFS('Material routes'!$B$6:$B$1005,A96,'Material routes'!$C$6:$C$1005,"Tool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Specialist workshop; heat, tools, power and service conditions unresolved</x:v>
      </x:c>
      <x:c r="H97" s="4" t="str">
        <x:f>IF(I97=0,"Unassigned",IF(SUMIFS('Material routes'!$Q$6:$Q$1005,'Material routes'!$B$6:$B$1005,A97)&gt;0,"Unassigned","T"&amp;_xlfn.MAXIFS('Material routes'!$P$6:$P$1005,'Material routes'!$B$6:$B$1005,A97)))</x:f>
        <x:v>T1</x:v>
      </x:c>
      <x:c r="I97" s="4" t="n">
        <x:f>SUM(COUNTIFS('Material routes'!$B$6:$B$1005,A97,'Material routes'!$C$6:$C$1005,"Ingredient candidate"),COUNTIFS('Material routes'!$B$6:$B$1005,A97,'Material routes'!$C$6:$C$1005,"Consumed input"),COUNTIFS('Material routes'!$B$6:$B$1005,A97,'Material routes'!$C$6:$C$1005,"Contained input"),COUNTIFS('Material routes'!$B$6:$B$1005,A97,'Material routes'!$C$6:$C$1005,"Transform input"))</x:f>
        <x:v>2</x:v>
      </x:c>
      <x:c r="J97" s="4" t="n">
        <x:f>COUNTIFS('Material routes'!$B$6:$B$1005,A97,'Material routes'!$C$6:$C$1005,"Output")</x:f>
        <x:v>1</x:v>
      </x:c>
      <x:c r="K97" s="4" t="n">
        <x:f>COUNTIFS('Material routes'!$B$6:$B$1005,A97,'Material routes'!$C$6:$C$1005,"Tool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Specialist workshop; heat, tools, power and service conditions unresolved</x:v>
      </x:c>
      <x:c r="H98" s="4" t="str">
        <x:f>IF(I98=0,"Unassigned",IF(SUMIFS('Material routes'!$Q$6:$Q$1005,'Material routes'!$B$6:$B$1005,A98)&gt;0,"Unassigned","T"&amp;_xlfn.MAXIFS('Material routes'!$P$6:$P$1005,'Material routes'!$B$6:$B$1005,A98)))</x:f>
        <x:v>T1</x:v>
      </x:c>
      <x:c r="I98" s="4" t="n">
        <x:f>SUM(COUNTIFS('Material routes'!$B$6:$B$1005,A98,'Material routes'!$C$6:$C$1005,"Ingredient candidate"),COUNTIFS('Material routes'!$B$6:$B$1005,A98,'Material routes'!$C$6:$C$1005,"Consumed input"),COUNTIFS('Material routes'!$B$6:$B$1005,A98,'Material routes'!$C$6:$C$1005,"Contained input"),COUNTIFS('Material routes'!$B$6:$B$1005,A98,'Material routes'!$C$6:$C$1005,"Transform input"))</x:f>
        <x:v>2</x:v>
      </x:c>
      <x:c r="J98" s="4" t="n">
        <x:f>COUNTIFS('Material routes'!$B$6:$B$1005,A98,'Material routes'!$C$6:$C$1005,"Output")</x:f>
        <x:v>1</x:v>
      </x:c>
      <x:c r="K98" s="4" t="n">
        <x:f>COUNTIFS('Material routes'!$B$6:$B$1005,A98,'Material routes'!$C$6:$C$1005,"Tool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Specialist workshop; heat, tools, power and service conditions unresolved</x:v>
      </x:c>
      <x:c r="H99" s="4" t="str">
        <x:f>IF(I99=0,"Unassigned",IF(SUMIFS('Material routes'!$Q$6:$Q$1005,'Material routes'!$B$6:$B$1005,A99)&gt;0,"Unassigned","T"&amp;_xlfn.MAXIFS('Material routes'!$P$6:$P$1005,'Material routes'!$B$6:$B$1005,A99)))</x:f>
        <x:v>T1</x:v>
      </x:c>
      <x:c r="I99" s="4" t="n">
        <x:f>SUM(COUNTIFS('Material routes'!$B$6:$B$1005,A99,'Material routes'!$C$6:$C$1005,"Ingredient candidate"),COUNTIFS('Material routes'!$B$6:$B$1005,A99,'Material routes'!$C$6:$C$1005,"Consumed input"),COUNTIFS('Material routes'!$B$6:$B$1005,A99,'Material routes'!$C$6:$C$1005,"Contained input"),COUNTIFS('Material routes'!$B$6:$B$1005,A99,'Material routes'!$C$6:$C$1005,"Transform input"))</x:f>
        <x:v>2</x:v>
      </x:c>
      <x:c r="J99" s="4" t="n">
        <x:f>COUNTIFS('Material routes'!$B$6:$B$1005,A99,'Material routes'!$C$6:$C$1005,"Output")</x:f>
        <x:v>1</x:v>
      </x:c>
      <x:c r="K99" s="4" t="n">
        <x:f>COUNTIFS('Material routes'!$B$6:$B$1005,A99,'Material routes'!$C$6:$C$1005,"Tool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workshop; heat, tools, power and service conditions unresolved</x:v>
      </x:c>
      <x:c r="H100" s="4" t="str">
        <x:f>IF(I100=0,"Unassigned",IF(SUMIFS('Material routes'!$Q$6:$Q$1005,'Material routes'!$B$6:$B$1005,A100)&gt;0,"Unassigned","T"&amp;_xlfn.MAXIFS('Material routes'!$P$6:$P$1005,'Material routes'!$B$6:$B$1005,A100)))</x:f>
        <x:v>T1</x:v>
      </x:c>
      <x:c r="I100" s="4" t="n">
        <x:f>SUM(COUNTIFS('Material routes'!$B$6:$B$1005,A100,'Material routes'!$C$6:$C$1005,"Ingredient candidate"),COUNTIFS('Material routes'!$B$6:$B$1005,A100,'Material routes'!$C$6:$C$1005,"Consumed input"),COUNTIFS('Material routes'!$B$6:$B$1005,A100,'Material routes'!$C$6:$C$1005,"Contained input"),COUNTIFS('Material routes'!$B$6:$B$1005,A100,'Material routes'!$C$6:$C$1005,"Transform input"))</x:f>
        <x:v>3</x:v>
      </x:c>
      <x:c r="J100" s="4" t="n">
        <x:f>COUNTIFS('Material routes'!$B$6:$B$1005,A100,'Material routes'!$C$6:$C$1005,"Output")</x:f>
        <x:v>1</x:v>
      </x:c>
      <x:c r="K100" s="4" t="n">
        <x:f>COUNTIFS('Material routes'!$B$6:$B$1005,A100,'Material routes'!$C$6:$C$1005,"Tool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Specialist workshop; heat, tools, power and service conditions unresolved</x:v>
      </x:c>
      <x:c r="H101" s="4" t="str">
        <x:f>IF(I101=0,"Unassigned",IF(SUMIFS('Material routes'!$Q$6:$Q$1005,'Material routes'!$B$6:$B$1005,A101)&gt;0,"Unassigned","T"&amp;_xlfn.MAXIFS('Material routes'!$P$6:$P$1005,'Material routes'!$B$6:$B$1005,A101)))</x:f>
        <x:v>T1</x:v>
      </x:c>
      <x:c r="I101" s="4" t="n">
        <x:f>SUM(COUNTIFS('Material routes'!$B$6:$B$1005,A101,'Material routes'!$C$6:$C$1005,"Ingredient candidate"),COUNTIFS('Material routes'!$B$6:$B$1005,A101,'Material routes'!$C$6:$C$1005,"Consumed input"),COUNTIFS('Material routes'!$B$6:$B$1005,A101,'Material routes'!$C$6:$C$1005,"Contained input"),COUNTIFS('Material routes'!$B$6:$B$1005,A101,'Material routes'!$C$6:$C$1005,"Transform input"))</x:f>
        <x:v>2</x:v>
      </x:c>
      <x:c r="J101" s="4" t="n">
        <x:f>COUNTIFS('Material routes'!$B$6:$B$1005,A101,'Material routes'!$C$6:$C$1005,"Output")</x:f>
        <x:v>1</x:v>
      </x:c>
      <x:c r="K101" s="4" t="n">
        <x:f>COUNTIFS('Material routes'!$B$6:$B$1005,A101,'Material routes'!$C$6:$C$1005,"Tool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Specialist workshop; heat, tools, power and service conditions unresolved</x:v>
      </x:c>
      <x:c r="H102" s="4" t="str">
        <x:f>IF(I102=0,"Unassigned",IF(SUMIFS('Material routes'!$Q$6:$Q$1005,'Material routes'!$B$6:$B$1005,A102)&gt;0,"Unassigned","T"&amp;_xlfn.MAXIFS('Material routes'!$P$6:$P$1005,'Material routes'!$B$6:$B$1005,A102)))</x:f>
        <x:v>T1</x:v>
      </x:c>
      <x:c r="I102" s="4" t="n">
        <x:f>SUM(COUNTIFS('Material routes'!$B$6:$B$1005,A102,'Material routes'!$C$6:$C$1005,"Ingredient candidate"),COUNTIFS('Material routes'!$B$6:$B$1005,A102,'Material routes'!$C$6:$C$1005,"Consumed input"),COUNTIFS('Material routes'!$B$6:$B$1005,A102,'Material routes'!$C$6:$C$1005,"Contained input"),COUNTIFS('Material routes'!$B$6:$B$1005,A102,'Material routes'!$C$6:$C$1005,"Transform input"))</x:f>
        <x:v>3</x:v>
      </x:c>
      <x:c r="J102" s="4" t="n">
        <x:f>COUNTIFS('Material routes'!$B$6:$B$1005,A102,'Material routes'!$C$6:$C$1005,"Output")</x:f>
        <x:v>1</x:v>
      </x:c>
      <x:c r="K102" s="4" t="n">
        <x:f>COUNTIFS('Material routes'!$B$6:$B$1005,A102,'Material routes'!$C$6:$C$1005,"Tool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Specialist workshop; heat, tools, power and service conditions unresolved</x:v>
      </x:c>
      <x:c r="H103" s="4" t="str">
        <x:f>IF(I103=0,"Unassigned",IF(SUMIFS('Material routes'!$Q$6:$Q$1005,'Material routes'!$B$6:$B$1005,A103)&gt;0,"Unassigned","T"&amp;_xlfn.MAXIFS('Material routes'!$P$6:$P$1005,'Material routes'!$B$6:$B$1005,A103)))</x:f>
        <x:v>T2</x:v>
      </x:c>
      <x:c r="I103" s="4" t="n">
        <x:f>SUM(COUNTIFS('Material routes'!$B$6:$B$1005,A103,'Material routes'!$C$6:$C$1005,"Ingredient candidate"),COUNTIFS('Material routes'!$B$6:$B$1005,A103,'Material routes'!$C$6:$C$1005,"Consumed input"),COUNTIFS('Material routes'!$B$6:$B$1005,A103,'Material routes'!$C$6:$C$1005,"Contained input"),COUNTIFS('Material routes'!$B$6:$B$1005,A103,'Material routes'!$C$6:$C$1005,"Transform input"))</x:f>
        <x:v>3</x:v>
      </x:c>
      <x:c r="J103" s="4" t="n">
        <x:f>COUNTIFS('Material routes'!$B$6:$B$1005,A103,'Material routes'!$C$6:$C$1005,"Output")</x:f>
        <x:v>1</x:v>
      </x:c>
      <x:c r="K103" s="4" t="n">
        <x:f>COUNTIFS('Material routes'!$B$6:$B$1005,A103,'Material routes'!$C$6:$C$1005,"Tool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Specialist workshop; heat, tools, power and service conditions unresolved</x:v>
      </x:c>
      <x:c r="H104" s="4" t="str">
        <x:f>IF(I104=0,"Unassigned",IF(SUMIFS('Material routes'!$Q$6:$Q$1005,'Material routes'!$B$6:$B$1005,A104)&gt;0,"Unassigned","T"&amp;_xlfn.MAXIFS('Material routes'!$P$6:$P$1005,'Material routes'!$B$6:$B$1005,A104)))</x:f>
        <x:v>T2</x:v>
      </x:c>
      <x:c r="I104" s="4" t="n">
        <x:f>SUM(COUNTIFS('Material routes'!$B$6:$B$1005,A104,'Material routes'!$C$6:$C$1005,"Ingredient candidate"),COUNTIFS('Material routes'!$B$6:$B$1005,A104,'Material routes'!$C$6:$C$1005,"Consumed input"),COUNTIFS('Material routes'!$B$6:$B$1005,A104,'Material routes'!$C$6:$C$1005,"Contained input"),COUNTIFS('Material routes'!$B$6:$B$1005,A104,'Material routes'!$C$6:$C$1005,"Transform input"))</x:f>
        <x:v>3</x:v>
      </x:c>
      <x:c r="J104" s="4" t="n">
        <x:f>COUNTIFS('Material routes'!$B$6:$B$1005,A104,'Material routes'!$C$6:$C$1005,"Output")</x:f>
        <x:v>1</x:v>
      </x:c>
      <x:c r="K104" s="4" t="n">
        <x:f>COUNTIFS('Material routes'!$B$6:$B$1005,A104,'Material routes'!$C$6:$C$1005,"Tool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Specialist workshop; heat, tools, power and service conditions unresolved</x:v>
      </x:c>
      <x:c r="H105" s="4" t="str">
        <x:f>IF(I105=0,"Unassigned",IF(SUMIFS('Material routes'!$Q$6:$Q$1005,'Material routes'!$B$6:$B$1005,A105)&gt;0,"Unassigned","T"&amp;_xlfn.MAXIFS('Material routes'!$P$6:$P$1005,'Material routes'!$B$6:$B$1005,A105)))</x:f>
        <x:v>T2</x:v>
      </x:c>
      <x:c r="I105" s="4" t="n">
        <x:f>SUM(COUNTIFS('Material routes'!$B$6:$B$1005,A105,'Material routes'!$C$6:$C$1005,"Ingredient candidate"),COUNTIFS('Material routes'!$B$6:$B$1005,A105,'Material routes'!$C$6:$C$1005,"Consumed input"),COUNTIFS('Material routes'!$B$6:$B$1005,A105,'Material routes'!$C$6:$C$1005,"Contained input"),COUNTIFS('Material routes'!$B$6:$B$1005,A105,'Material routes'!$C$6:$C$1005,"Transform input"))</x:f>
        <x:v>3</x:v>
      </x:c>
      <x:c r="J105" s="4" t="n">
        <x:f>COUNTIFS('Material routes'!$B$6:$B$1005,A105,'Material routes'!$C$6:$C$1005,"Output")</x:f>
        <x:v>1</x:v>
      </x:c>
      <x:c r="K105" s="4" t="n">
        <x:f>COUNTIFS('Material routes'!$B$6:$B$1005,A105,'Material routes'!$C$6:$C$1005,"Tool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Specialist workshop; heat, tools, power and service conditions unresolved</x:v>
      </x:c>
      <x:c r="H106" s="4" t="str">
        <x:f>IF(I106=0,"Unassigned",IF(SUMIFS('Material routes'!$Q$6:$Q$1005,'Material routes'!$B$6:$B$1005,A106)&gt;0,"Unassigned","T"&amp;_xlfn.MAXIFS('Material routes'!$P$6:$P$1005,'Material routes'!$B$6:$B$1005,A106)))</x:f>
        <x:v>T2</x:v>
      </x:c>
      <x:c r="I106" s="4" t="n">
        <x:f>SUM(COUNTIFS('Material routes'!$B$6:$B$1005,A106,'Material routes'!$C$6:$C$1005,"Ingredient candidate"),COUNTIFS('Material routes'!$B$6:$B$1005,A106,'Material routes'!$C$6:$C$1005,"Consumed input"),COUNTIFS('Material routes'!$B$6:$B$1005,A106,'Material routes'!$C$6:$C$1005,"Contained input"),COUNTIFS('Material routes'!$B$6:$B$1005,A106,'Material routes'!$C$6:$C$1005,"Transform input"))</x:f>
        <x:v>3</x:v>
      </x:c>
      <x:c r="J106" s="4" t="n">
        <x:f>COUNTIFS('Material routes'!$B$6:$B$1005,A106,'Material routes'!$C$6:$C$1005,"Output")</x:f>
        <x:v>1</x:v>
      </x:c>
      <x:c r="K106" s="4" t="n">
        <x:f>COUNTIFS('Material routes'!$B$6:$B$1005,A106,'Material routes'!$C$6:$C$1005,"Tool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Specialist workshop; heat, tools, power and service conditions unresolved</x:v>
      </x:c>
      <x:c r="H107" s="4" t="str">
        <x:f>IF(I107=0,"Unassigned",IF(SUMIFS('Material routes'!$Q$6:$Q$1005,'Material routes'!$B$6:$B$1005,A107)&gt;0,"Unassigned","T"&amp;_xlfn.MAXIFS('Material routes'!$P$6:$P$1005,'Material routes'!$B$6:$B$1005,A107)))</x:f>
        <x:v>T2</x:v>
      </x:c>
      <x:c r="I107" s="4" t="n">
        <x:f>SUM(COUNTIFS('Material routes'!$B$6:$B$1005,A107,'Material routes'!$C$6:$C$1005,"Ingredient candidate"),COUNTIFS('Material routes'!$B$6:$B$1005,A107,'Material routes'!$C$6:$C$1005,"Consumed input"),COUNTIFS('Material routes'!$B$6:$B$1005,A107,'Material routes'!$C$6:$C$1005,"Contained input"),COUNTIFS('Material routes'!$B$6:$B$1005,A107,'Material routes'!$C$6:$C$1005,"Transform input"))</x:f>
        <x:v>2</x:v>
      </x:c>
      <x:c r="J107" s="4" t="n">
        <x:f>COUNTIFS('Material routes'!$B$6:$B$1005,A107,'Material routes'!$C$6:$C$1005,"Output")</x:f>
        <x:v>1</x:v>
      </x:c>
      <x:c r="K107" s="4" t="n">
        <x:f>COUNTIFS('Material routes'!$B$6:$B$1005,A107,'Material routes'!$C$6:$C$1005,"Tool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Specialist workshop; heat, tools, power and service conditions unresolved</x:v>
      </x:c>
      <x:c r="H108" s="4" t="str">
        <x:f>IF(I108=0,"Unassigned",IF(SUMIFS('Material routes'!$Q$6:$Q$1005,'Material routes'!$B$6:$B$1005,A108)&gt;0,"Unassigned","T"&amp;_xlfn.MAXIFS('Material routes'!$P$6:$P$1005,'Material routes'!$B$6:$B$1005,A108)))</x:f>
        <x:v>T2</x:v>
      </x:c>
      <x:c r="I108" s="4" t="n">
        <x:f>SUM(COUNTIFS('Material routes'!$B$6:$B$1005,A108,'Material routes'!$C$6:$C$1005,"Ingredient candidate"),COUNTIFS('Material routes'!$B$6:$B$1005,A108,'Material routes'!$C$6:$C$1005,"Consumed input"),COUNTIFS('Material routes'!$B$6:$B$1005,A108,'Material routes'!$C$6:$C$1005,"Contained input"),COUNTIFS('Material routes'!$B$6:$B$1005,A108,'Material routes'!$C$6:$C$1005,"Transform input"))</x:f>
        <x:v>2</x:v>
      </x:c>
      <x:c r="J108" s="4" t="n">
        <x:f>COUNTIFS('Material routes'!$B$6:$B$1005,A108,'Material routes'!$C$6:$C$1005,"Output")</x:f>
        <x:v>1</x:v>
      </x:c>
      <x:c r="K108" s="4" t="n">
        <x:f>COUNTIFS('Material routes'!$B$6:$B$1005,A108,'Material routes'!$C$6:$C$1005,"Tool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Specialist workshop; heat, tools, power and service conditions unresolved</x:v>
      </x:c>
      <x:c r="H109" s="4" t="str">
        <x:f>IF(I109=0,"Unassigned",IF(SUMIFS('Material routes'!$Q$6:$Q$1005,'Material routes'!$B$6:$B$1005,A109)&gt;0,"Unassigned","T"&amp;_xlfn.MAXIFS('Material routes'!$P$6:$P$1005,'Material routes'!$B$6:$B$1005,A109)))</x:f>
        <x:v>T2</x:v>
      </x:c>
      <x:c r="I109" s="4" t="n">
        <x:f>SUM(COUNTIFS('Material routes'!$B$6:$B$1005,A109,'Material routes'!$C$6:$C$1005,"Ingredient candidate"),COUNTIFS('Material routes'!$B$6:$B$1005,A109,'Material routes'!$C$6:$C$1005,"Consumed input"),COUNTIFS('Material routes'!$B$6:$B$1005,A109,'Material routes'!$C$6:$C$1005,"Contained input"),COUNTIFS('Material routes'!$B$6:$B$1005,A109,'Material routes'!$C$6:$C$1005,"Transform input"))</x:f>
        <x:v>3</x:v>
      </x:c>
      <x:c r="J109" s="4" t="n">
        <x:f>COUNTIFS('Material routes'!$B$6:$B$1005,A109,'Material routes'!$C$6:$C$1005,"Output")</x:f>
        <x:v>1</x:v>
      </x:c>
      <x:c r="K109" s="4" t="n">
        <x:f>COUNTIFS('Material routes'!$B$6:$B$1005,A109,'Material routes'!$C$6:$C$1005,"Tool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Specialist workshop; heat, tools, power and service conditions unresolved</x:v>
      </x:c>
      <x:c r="H110" s="4" t="str">
        <x:f>IF(I110=0,"Unassigned",IF(SUMIFS('Material routes'!$Q$6:$Q$1005,'Material routes'!$B$6:$B$1005,A110)&gt;0,"Unassigned","T"&amp;_xlfn.MAXIFS('Material routes'!$P$6:$P$1005,'Material routes'!$B$6:$B$1005,A110)))</x:f>
        <x:v>T2</x:v>
      </x:c>
      <x:c r="I110" s="4" t="n">
        <x:f>SUM(COUNTIFS('Material routes'!$B$6:$B$1005,A110,'Material routes'!$C$6:$C$1005,"Ingredient candidate"),COUNTIFS('Material routes'!$B$6:$B$1005,A110,'Material routes'!$C$6:$C$1005,"Consumed input"),COUNTIFS('Material routes'!$B$6:$B$1005,A110,'Material routes'!$C$6:$C$1005,"Contained input"),COUNTIFS('Material routes'!$B$6:$B$1005,A110,'Material routes'!$C$6:$C$1005,"Transform input"))</x:f>
        <x:v>2</x:v>
      </x:c>
      <x:c r="J110" s="4" t="n">
        <x:f>COUNTIFS('Material routes'!$B$6:$B$1005,A110,'Material routes'!$C$6:$C$1005,"Output")</x:f>
        <x:v>1</x:v>
      </x:c>
      <x:c r="K110" s="4" t="n">
        <x:f>COUNTIFS('Material routes'!$B$6:$B$1005,A110,'Material routes'!$C$6:$C$1005,"Tool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Specialist workshop; heat, tools, power and service conditions unresolved</x:v>
      </x:c>
      <x:c r="H111" s="4" t="str">
        <x:f>IF(I111=0,"Unassigned",IF(SUMIFS('Material routes'!$Q$6:$Q$1005,'Material routes'!$B$6:$B$1005,A111)&gt;0,"Unassigned","T"&amp;_xlfn.MAXIFS('Material routes'!$P$6:$P$1005,'Material routes'!$B$6:$B$1005,A111)))</x:f>
        <x:v>T2</x:v>
      </x:c>
      <x:c r="I111" s="4" t="n">
        <x:f>SUM(COUNTIFS('Material routes'!$B$6:$B$1005,A111,'Material routes'!$C$6:$C$1005,"Ingredient candidate"),COUNTIFS('Material routes'!$B$6:$B$1005,A111,'Material routes'!$C$6:$C$1005,"Consumed input"),COUNTIFS('Material routes'!$B$6:$B$1005,A111,'Material routes'!$C$6:$C$1005,"Contained input"),COUNTIFS('Material routes'!$B$6:$B$1005,A111,'Material routes'!$C$6:$C$1005,"Transform input"))</x:f>
        <x:v>2</x:v>
      </x:c>
      <x:c r="J111" s="4" t="n">
        <x:f>COUNTIFS('Material routes'!$B$6:$B$1005,A111,'Material routes'!$C$6:$C$1005,"Output")</x:f>
        <x:v>1</x:v>
      </x:c>
      <x:c r="K111" s="4" t="n">
        <x:f>COUNTIFS('Material routes'!$B$6:$B$1005,A111,'Material routes'!$C$6:$C$1005,"Tool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Specialist workshop; heat, tools, power and service conditions unresolved</x:v>
      </x:c>
      <x:c r="H112" s="4" t="str">
        <x:f>IF(I112=0,"Unassigned",IF(SUMIFS('Material routes'!$Q$6:$Q$1005,'Material routes'!$B$6:$B$1005,A112)&gt;0,"Unassigned","T"&amp;_xlfn.MAXIFS('Material routes'!$P$6:$P$1005,'Material routes'!$B$6:$B$1005,A112)))</x:f>
        <x:v>T3</x:v>
      </x:c>
      <x:c r="I112" s="4" t="n">
        <x:f>SUM(COUNTIFS('Material routes'!$B$6:$B$1005,A112,'Material routes'!$C$6:$C$1005,"Ingredient candidate"),COUNTIFS('Material routes'!$B$6:$B$1005,A112,'Material routes'!$C$6:$C$1005,"Consumed input"),COUNTIFS('Material routes'!$B$6:$B$1005,A112,'Material routes'!$C$6:$C$1005,"Contained input"),COUNTIFS('Material routes'!$B$6:$B$1005,A112,'Material routes'!$C$6:$C$1005,"Transform input"))</x:f>
        <x:v>3</x:v>
      </x:c>
      <x:c r="J112" s="4" t="n">
        <x:f>COUNTIFS('Material routes'!$B$6:$B$1005,A112,'Material routes'!$C$6:$C$1005,"Output")</x:f>
        <x:v>1</x:v>
      </x:c>
      <x:c r="K112" s="4" t="n">
        <x:f>COUNTIFS('Material routes'!$B$6:$B$1005,A112,'Material routes'!$C$6:$C$1005,"Tool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Specialist workshop; heat, tools, power and service conditions unresolved</x:v>
      </x:c>
      <x:c r="H113" s="4" t="str">
        <x:f>IF(I113=0,"Unassigned",IF(SUMIFS('Material routes'!$Q$6:$Q$1005,'Material routes'!$B$6:$B$1005,A113)&gt;0,"Unassigned","T"&amp;_xlfn.MAXIFS('Material routes'!$P$6:$P$1005,'Material routes'!$B$6:$B$1005,A113)))</x:f>
        <x:v>T3</x:v>
      </x:c>
      <x:c r="I113" s="4" t="n">
        <x:f>SUM(COUNTIFS('Material routes'!$B$6:$B$1005,A113,'Material routes'!$C$6:$C$1005,"Ingredient candidate"),COUNTIFS('Material routes'!$B$6:$B$1005,A113,'Material routes'!$C$6:$C$1005,"Consumed input"),COUNTIFS('Material routes'!$B$6:$B$1005,A113,'Material routes'!$C$6:$C$1005,"Contained input"),COUNTIFS('Material routes'!$B$6:$B$1005,A113,'Material routes'!$C$6:$C$1005,"Transform input"))</x:f>
        <x:v>3</x:v>
      </x:c>
      <x:c r="J113" s="4" t="n">
        <x:f>COUNTIFS('Material routes'!$B$6:$B$1005,A113,'Material routes'!$C$6:$C$1005,"Output")</x:f>
        <x:v>1</x:v>
      </x:c>
      <x:c r="K113" s="4" t="n">
        <x:f>COUNTIFS('Material routes'!$B$6:$B$1005,A113,'Material routes'!$C$6:$C$1005,"Tool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Specialist workshop; heat, tools, power and service conditions unresolved</x:v>
      </x:c>
      <x:c r="H114" s="4" t="str">
        <x:f>IF(I114=0,"Unassigned",IF(SUMIFS('Material routes'!$Q$6:$Q$1005,'Material routes'!$B$6:$B$1005,A114)&gt;0,"Unassigned","T"&amp;_xlfn.MAXIFS('Material routes'!$P$6:$P$1005,'Material routes'!$B$6:$B$1005,A114)))</x:f>
        <x:v>T3</x:v>
      </x:c>
      <x:c r="I114" s="4" t="n">
        <x:f>SUM(COUNTIFS('Material routes'!$B$6:$B$1005,A114,'Material routes'!$C$6:$C$1005,"Ingredient candidate"),COUNTIFS('Material routes'!$B$6:$B$1005,A114,'Material routes'!$C$6:$C$1005,"Consumed input"),COUNTIFS('Material routes'!$B$6:$B$1005,A114,'Material routes'!$C$6:$C$1005,"Contained input"),COUNTIFS('Material routes'!$B$6:$B$1005,A114,'Material routes'!$C$6:$C$1005,"Transform input"))</x:f>
        <x:v>3</x:v>
      </x:c>
      <x:c r="J114" s="4" t="n">
        <x:f>COUNTIFS('Material routes'!$B$6:$B$1005,A114,'Material routes'!$C$6:$C$1005,"Output")</x:f>
        <x:v>1</x:v>
      </x:c>
      <x:c r="K114" s="4" t="n">
        <x:f>COUNTIFS('Material routes'!$B$6:$B$1005,A114,'Material routes'!$C$6:$C$1005,"Tool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Specialist workshop; heat, tools, power and service conditions unresolved</x:v>
      </x:c>
      <x:c r="H115" s="4" t="str">
        <x:f>IF(I115=0,"Unassigned",IF(SUMIFS('Material routes'!$Q$6:$Q$1005,'Material routes'!$B$6:$B$1005,A115)&gt;0,"Unassigned","T"&amp;_xlfn.MAXIFS('Material routes'!$P$6:$P$1005,'Material routes'!$B$6:$B$1005,A115)))</x:f>
        <x:v>T3</x:v>
      </x:c>
      <x:c r="I115" s="4" t="n">
        <x:f>SUM(COUNTIFS('Material routes'!$B$6:$B$1005,A115,'Material routes'!$C$6:$C$1005,"Ingredient candidate"),COUNTIFS('Material routes'!$B$6:$B$1005,A115,'Material routes'!$C$6:$C$1005,"Consumed input"),COUNTIFS('Material routes'!$B$6:$B$1005,A115,'Material routes'!$C$6:$C$1005,"Contained input"),COUNTIFS('Material routes'!$B$6:$B$1005,A115,'Material routes'!$C$6:$C$1005,"Transform input"))</x:f>
        <x:v>2</x:v>
      </x:c>
      <x:c r="J115" s="4" t="n">
        <x:f>COUNTIFS('Material routes'!$B$6:$B$1005,A115,'Material routes'!$C$6:$C$1005,"Output")</x:f>
        <x:v>1</x:v>
      </x:c>
      <x:c r="K115" s="4" t="n">
        <x:f>COUNTIFS('Material routes'!$B$6:$B$1005,A115,'Material routes'!$C$6:$C$1005,"Tool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Specialist workshop; heat, tools, power and service conditions unresolved</x:v>
      </x:c>
      <x:c r="H116" s="4" t="str">
        <x:f>IF(I116=0,"Unassigned",IF(SUMIFS('Material routes'!$Q$6:$Q$1005,'Material routes'!$B$6:$B$1005,A116)&gt;0,"Unassigned","T"&amp;_xlfn.MAXIFS('Material routes'!$P$6:$P$1005,'Material routes'!$B$6:$B$1005,A116)))</x:f>
        <x:v>T3</x:v>
      </x:c>
      <x:c r="I116" s="4" t="n">
        <x:f>SUM(COUNTIFS('Material routes'!$B$6:$B$1005,A116,'Material routes'!$C$6:$C$1005,"Ingredient candidate"),COUNTIFS('Material routes'!$B$6:$B$1005,A116,'Material routes'!$C$6:$C$1005,"Consumed input"),COUNTIFS('Material routes'!$B$6:$B$1005,A116,'Material routes'!$C$6:$C$1005,"Contained input"),COUNTIFS('Material routes'!$B$6:$B$1005,A116,'Material routes'!$C$6:$C$1005,"Transform input"))</x:f>
        <x:v>3</x:v>
      </x:c>
      <x:c r="J116" s="4" t="n">
        <x:f>COUNTIFS('Material routes'!$B$6:$B$1005,A116,'Material routes'!$C$6:$C$1005,"Output")</x:f>
        <x:v>1</x:v>
      </x:c>
      <x:c r="K116" s="4" t="n">
        <x:f>COUNTIFS('Material routes'!$B$6:$B$1005,A116,'Material routes'!$C$6:$C$1005,"Tool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Specialist workshop; heat, tools, power and service conditions unresolved</x:v>
      </x:c>
      <x:c r="H117" s="4" t="str">
        <x:f>IF(I117=0,"Unassigned",IF(SUMIFS('Material routes'!$Q$6:$Q$1005,'Material routes'!$B$6:$B$1005,A117)&gt;0,"Unassigned","T"&amp;_xlfn.MAXIFS('Material routes'!$P$6:$P$1005,'Material routes'!$B$6:$B$1005,A117)))</x:f>
        <x:v>T2</x:v>
      </x:c>
      <x:c r="I117" s="4" t="n">
        <x:f>SUM(COUNTIFS('Material routes'!$B$6:$B$1005,A117,'Material routes'!$C$6:$C$1005,"Ingredient candidate"),COUNTIFS('Material routes'!$B$6:$B$1005,A117,'Material routes'!$C$6:$C$1005,"Consumed input"),COUNTIFS('Material routes'!$B$6:$B$1005,A117,'Material routes'!$C$6:$C$1005,"Contained input"),COUNTIFS('Material routes'!$B$6:$B$1005,A117,'Material routes'!$C$6:$C$1005,"Transform input"))</x:f>
        <x:v>1</x:v>
      </x:c>
      <x:c r="J117" s="4" t="n">
        <x:f>COUNTIFS('Material routes'!$B$6:$B$1005,A117,'Material routes'!$C$6:$C$1005,"Output")</x:f>
        <x:v>1</x:v>
      </x:c>
      <x:c r="K117" s="4" t="n">
        <x:f>COUNTIFS('Material routes'!$B$6:$B$1005,A117,'Material routes'!$C$6:$C$1005,"Tool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Specialist workshop; heat, tools, power and service conditions unresolved</x:v>
      </x:c>
      <x:c r="H118" s="4" t="str">
        <x:f>IF(I118=0,"Unassigned",IF(SUMIFS('Material routes'!$Q$6:$Q$1005,'Material routes'!$B$6:$B$1005,A118)&gt;0,"Unassigned","T"&amp;_xlfn.MAXIFS('Material routes'!$P$6:$P$1005,'Material routes'!$B$6:$B$1005,A118)))</x:f>
        <x:v>T2</x:v>
      </x:c>
      <x:c r="I118" s="4" t="n">
        <x:f>SUM(COUNTIFS('Material routes'!$B$6:$B$1005,A118,'Material routes'!$C$6:$C$1005,"Ingredient candidate"),COUNTIFS('Material routes'!$B$6:$B$1005,A118,'Material routes'!$C$6:$C$1005,"Consumed input"),COUNTIFS('Material routes'!$B$6:$B$1005,A118,'Material routes'!$C$6:$C$1005,"Contained input"),COUNTIFS('Material routes'!$B$6:$B$1005,A118,'Material routes'!$C$6:$C$1005,"Transform input"))</x:f>
        <x:v>3</x:v>
      </x:c>
      <x:c r="J118" s="4" t="n">
        <x:f>COUNTIFS('Material routes'!$B$6:$B$1005,A118,'Material routes'!$C$6:$C$1005,"Output")</x:f>
        <x:v>1</x:v>
      </x:c>
      <x:c r="K118" s="4" t="n">
        <x:f>COUNTIFS('Material routes'!$B$6:$B$1005,A118,'Material routes'!$C$6:$C$1005,"Tool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Specialist workshop; tools, heat, power, tolerances and process conditions unresolved</x:v>
      </x:c>
      <x:c r="H119" s="4" t="str">
        <x:f>IF(I119=0,"Unassigned",IF(SUMIFS('Material routes'!$Q$6:$Q$1005,'Material routes'!$B$6:$B$1005,A119)&gt;0,"Unassigned","T"&amp;_xlfn.MAXIFS('Material routes'!$P$6:$P$1005,'Material routes'!$B$6:$B$1005,A119)))</x:f>
        <x:v>T2</x:v>
      </x:c>
      <x:c r="I119" s="4" t="n">
        <x:f>SUM(COUNTIFS('Material routes'!$B$6:$B$1005,A119,'Material routes'!$C$6:$C$1005,"Ingredient candidate"),COUNTIFS('Material routes'!$B$6:$B$1005,A119,'Material routes'!$C$6:$C$1005,"Consumed input"),COUNTIFS('Material routes'!$B$6:$B$1005,A119,'Material routes'!$C$6:$C$1005,"Contained input"),COUNTIFS('Material routes'!$B$6:$B$1005,A119,'Material routes'!$C$6:$C$1005,"Transform input"))</x:f>
        <x:v>2</x:v>
      </x:c>
      <x:c r="J119" s="4" t="n">
        <x:f>COUNTIFS('Material routes'!$B$6:$B$1005,A119,'Material routes'!$C$6:$C$1005,"Output")</x:f>
        <x:v>1</x:v>
      </x:c>
      <x:c r="K119" s="4" t="n">
        <x:f>COUNTIFS('Material routes'!$B$6:$B$1005,A119,'Material routes'!$C$6:$C$1005,"Tool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Specialist workshop; tools, heat, power, tolerances and process conditions unresolved</x:v>
      </x:c>
      <x:c r="H120" s="4" t="str">
        <x:f>IF(I120=0,"Unassigned",IF(SUMIFS('Material routes'!$Q$6:$Q$1005,'Material routes'!$B$6:$B$1005,A120)&gt;0,"Unassigned","T"&amp;_xlfn.MAXIFS('Material routes'!$P$6:$P$1005,'Material routes'!$B$6:$B$1005,A120)))</x:f>
        <x:v>T2</x:v>
      </x:c>
      <x:c r="I120" s="4" t="n">
        <x:f>SUM(COUNTIFS('Material routes'!$B$6:$B$1005,A120,'Material routes'!$C$6:$C$1005,"Ingredient candidate"),COUNTIFS('Material routes'!$B$6:$B$1005,A120,'Material routes'!$C$6:$C$1005,"Consumed input"),COUNTIFS('Material routes'!$B$6:$B$1005,A120,'Material routes'!$C$6:$C$1005,"Contained input"),COUNTIFS('Material routes'!$B$6:$B$1005,A120,'Material routes'!$C$6:$C$1005,"Transform input"))</x:f>
        <x:v>2</x:v>
      </x:c>
      <x:c r="J120" s="4" t="n">
        <x:f>COUNTIFS('Material routes'!$B$6:$B$1005,A120,'Material routes'!$C$6:$C$1005,"Output")</x:f>
        <x:v>1</x:v>
      </x:c>
      <x:c r="K120" s="4" t="n">
        <x:f>COUNTIFS('Material routes'!$B$6:$B$1005,A120,'Material routes'!$C$6:$C$1005,"Tool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Specialist workshop; tools, heat, power, tolerances and process conditions unresolved</x:v>
      </x:c>
      <x:c r="H121" s="4" t="str">
        <x:f>IF(I121=0,"Unassigned",IF(SUMIFS('Material routes'!$Q$6:$Q$1005,'Material routes'!$B$6:$B$1005,A121)&gt;0,"Unassigned","T"&amp;_xlfn.MAXIFS('Material routes'!$P$6:$P$1005,'Material routes'!$B$6:$B$1005,A121)))</x:f>
        <x:v>T2</x:v>
      </x:c>
      <x:c r="I121" s="4" t="n">
        <x:f>SUM(COUNTIFS('Material routes'!$B$6:$B$1005,A121,'Material routes'!$C$6:$C$1005,"Ingredient candidate"),COUNTIFS('Material routes'!$B$6:$B$1005,A121,'Material routes'!$C$6:$C$1005,"Consumed input"),COUNTIFS('Material routes'!$B$6:$B$1005,A121,'Material routes'!$C$6:$C$1005,"Contained input"),COUNTIFS('Material routes'!$B$6:$B$1005,A121,'Material routes'!$C$6:$C$1005,"Transform input"))</x:f>
        <x:v>2</x:v>
      </x:c>
      <x:c r="J121" s="4" t="n">
        <x:f>COUNTIFS('Material routes'!$B$6:$B$1005,A121,'Material routes'!$C$6:$C$1005,"Output")</x:f>
        <x:v>1</x:v>
      </x:c>
      <x:c r="K121" s="4" t="n">
        <x:f>COUNTIFS('Material routes'!$B$6:$B$1005,A121,'Material routes'!$C$6:$C$1005,"Tool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Specialist workshop; tools, heat, power, tolerances and process conditions unresolved</x:v>
      </x:c>
      <x:c r="H122" s="4" t="str">
        <x:f>IF(I122=0,"Unassigned",IF(SUMIFS('Material routes'!$Q$6:$Q$1005,'Material routes'!$B$6:$B$1005,A122)&gt;0,"Unassigned","T"&amp;_xlfn.MAXIFS('Material routes'!$P$6:$P$1005,'Material routes'!$B$6:$B$1005,A122)))</x:f>
        <x:v>T2</x:v>
      </x:c>
      <x:c r="I122" s="4" t="n">
        <x:f>SUM(COUNTIFS('Material routes'!$B$6:$B$1005,A122,'Material routes'!$C$6:$C$1005,"Ingredient candidate"),COUNTIFS('Material routes'!$B$6:$B$1005,A122,'Material routes'!$C$6:$C$1005,"Consumed input"),COUNTIFS('Material routes'!$B$6:$B$1005,A122,'Material routes'!$C$6:$C$1005,"Contained input"),COUNTIFS('Material routes'!$B$6:$B$1005,A122,'Material routes'!$C$6:$C$1005,"Transform input"))</x:f>
        <x:v>1</x:v>
      </x:c>
      <x:c r="J122" s="4" t="n">
        <x:f>COUNTIFS('Material routes'!$B$6:$B$1005,A122,'Material routes'!$C$6:$C$1005,"Output")</x:f>
        <x:v>1</x:v>
      </x:c>
      <x:c r="K122" s="4" t="n">
        <x:f>COUNTIFS('Material routes'!$B$6:$B$1005,A122,'Material routes'!$C$6:$C$1005,"Tool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Specialist workshop; tools, heat, power, tolerances and process conditions unresolved</x:v>
      </x:c>
      <x:c r="H123" s="4" t="str">
        <x:f>IF(I123=0,"Unassigned",IF(SUMIFS('Material routes'!$Q$6:$Q$1005,'Material routes'!$B$6:$B$1005,A123)&gt;0,"Unassigned","T"&amp;_xlfn.MAXIFS('Material routes'!$P$6:$P$1005,'Material routes'!$B$6:$B$1005,A123)))</x:f>
        <x:v>T2</x:v>
      </x:c>
      <x:c r="I123" s="4" t="n">
        <x:f>SUM(COUNTIFS('Material routes'!$B$6:$B$1005,A123,'Material routes'!$C$6:$C$1005,"Ingredient candidate"),COUNTIFS('Material routes'!$B$6:$B$1005,A123,'Material routes'!$C$6:$C$1005,"Consumed input"),COUNTIFS('Material routes'!$B$6:$B$1005,A123,'Material routes'!$C$6:$C$1005,"Contained input"),COUNTIFS('Material routes'!$B$6:$B$1005,A123,'Material routes'!$C$6:$C$1005,"Transform input"))</x:f>
        <x:v>2</x:v>
      </x:c>
      <x:c r="J123" s="4" t="n">
        <x:f>COUNTIFS('Material routes'!$B$6:$B$1005,A123,'Material routes'!$C$6:$C$1005,"Output")</x:f>
        <x:v>1</x:v>
      </x:c>
      <x:c r="K123" s="4" t="n">
        <x:f>COUNTIFS('Material routes'!$B$6:$B$1005,A123,'Material routes'!$C$6:$C$1005,"Tool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Specialist workshop; tools, heat, power, tolerances and process conditions unresolved</x:v>
      </x:c>
      <x:c r="H124" s="4" t="str">
        <x:f>IF(I124=0,"Unassigned",IF(SUMIFS('Material routes'!$Q$6:$Q$1005,'Material routes'!$B$6:$B$1005,A124)&gt;0,"Unassigned","T"&amp;_xlfn.MAXIFS('Material routes'!$P$6:$P$1005,'Material routes'!$B$6:$B$1005,A124)))</x:f>
        <x:v>T2</x:v>
      </x:c>
      <x:c r="I124" s="4" t="n">
        <x:f>SUM(COUNTIFS('Material routes'!$B$6:$B$1005,A124,'Material routes'!$C$6:$C$1005,"Ingredient candidate"),COUNTIFS('Material routes'!$B$6:$B$1005,A124,'Material routes'!$C$6:$C$1005,"Consumed input"),COUNTIFS('Material routes'!$B$6:$B$1005,A124,'Material routes'!$C$6:$C$1005,"Contained input"),COUNTIFS('Material routes'!$B$6:$B$1005,A124,'Material routes'!$C$6:$C$1005,"Transform input"))</x:f>
        <x:v>1</x:v>
      </x:c>
      <x:c r="J124" s="4" t="n">
        <x:f>COUNTIFS('Material routes'!$B$6:$B$1005,A124,'Material routes'!$C$6:$C$1005,"Output")</x:f>
        <x:v>1</x:v>
      </x:c>
      <x:c r="K124" s="4" t="n">
        <x:f>COUNTIFS('Material routes'!$B$6:$B$1005,A124,'Material routes'!$C$6:$C$1005,"Tool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Specialist workshop; tools, heat, power, tolerances and process conditions unresolved</x:v>
      </x:c>
      <x:c r="H125" s="4" t="str">
        <x:f>IF(I125=0,"Unassigned",IF(SUMIFS('Material routes'!$Q$6:$Q$1005,'Material routes'!$B$6:$B$1005,A125)&gt;0,"Unassigned","T"&amp;_xlfn.MAXIFS('Material routes'!$P$6:$P$1005,'Material routes'!$B$6:$B$1005,A125)))</x:f>
        <x:v>T2</x:v>
      </x:c>
      <x:c r="I125" s="4" t="n">
        <x:f>SUM(COUNTIFS('Material routes'!$B$6:$B$1005,A125,'Material routes'!$C$6:$C$1005,"Ingredient candidate"),COUNTIFS('Material routes'!$B$6:$B$1005,A125,'Material routes'!$C$6:$C$1005,"Consumed input"),COUNTIFS('Material routes'!$B$6:$B$1005,A125,'Material routes'!$C$6:$C$1005,"Contained input"),COUNTIFS('Material routes'!$B$6:$B$1005,A125,'Material routes'!$C$6:$C$1005,"Transform input"))</x:f>
        <x:v>2</x:v>
      </x:c>
      <x:c r="J125" s="4" t="n">
        <x:f>COUNTIFS('Material routes'!$B$6:$B$1005,A125,'Material routes'!$C$6:$C$1005,"Output")</x:f>
        <x:v>1</x:v>
      </x:c>
      <x:c r="K125" s="4" t="n">
        <x:f>COUNTIFS('Material routes'!$B$6:$B$1005,A125,'Material routes'!$C$6:$C$1005,"Tool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Specialist workshop; tools, heat, power, tolerances and process conditions unresolved</x:v>
      </x:c>
      <x:c r="H126" s="4" t="str">
        <x:f>IF(I126=0,"Unassigned",IF(SUMIFS('Material routes'!$Q$6:$Q$1005,'Material routes'!$B$6:$B$1005,A126)&gt;0,"Unassigned","T"&amp;_xlfn.MAXIFS('Material routes'!$P$6:$P$1005,'Material routes'!$B$6:$B$1005,A126)))</x:f>
        <x:v>T2</x:v>
      </x:c>
      <x:c r="I126" s="4" t="n">
        <x:f>SUM(COUNTIFS('Material routes'!$B$6:$B$1005,A126,'Material routes'!$C$6:$C$1005,"Ingredient candidate"),COUNTIFS('Material routes'!$B$6:$B$1005,A126,'Material routes'!$C$6:$C$1005,"Consumed input"),COUNTIFS('Material routes'!$B$6:$B$1005,A126,'Material routes'!$C$6:$C$1005,"Contained input"),COUNTIFS('Material routes'!$B$6:$B$1005,A126,'Material routes'!$C$6:$C$1005,"Transform input"))</x:f>
        <x:v>3</x:v>
      </x:c>
      <x:c r="J126" s="4" t="n">
        <x:f>COUNTIFS('Material routes'!$B$6:$B$1005,A126,'Material routes'!$C$6:$C$1005,"Output")</x:f>
        <x:v>1</x:v>
      </x:c>
      <x:c r="K126" s="4" t="n">
        <x:f>COUNTIFS('Material routes'!$B$6:$B$1005,A126,'Material routes'!$C$6:$C$1005,"Tool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Specialist workshop; tools, heat, power, tolerances and process conditions unresolved</x:v>
      </x:c>
      <x:c r="H127" s="4" t="str">
        <x:f>IF(I127=0,"Unassigned",IF(SUMIFS('Material routes'!$Q$6:$Q$1005,'Material routes'!$B$6:$B$1005,A127)&gt;0,"Unassigned","T"&amp;_xlfn.MAXIFS('Material routes'!$P$6:$P$1005,'Material routes'!$B$6:$B$1005,A127)))</x:f>
        <x:v>T2</x:v>
      </x:c>
      <x:c r="I127" s="4" t="n">
        <x:f>SUM(COUNTIFS('Material routes'!$B$6:$B$1005,A127,'Material routes'!$C$6:$C$1005,"Ingredient candidate"),COUNTIFS('Material routes'!$B$6:$B$1005,A127,'Material routes'!$C$6:$C$1005,"Consumed input"),COUNTIFS('Material routes'!$B$6:$B$1005,A127,'Material routes'!$C$6:$C$1005,"Contained input"),COUNTIFS('Material routes'!$B$6:$B$1005,A127,'Material routes'!$C$6:$C$1005,"Transform input"))</x:f>
        <x:v>2</x:v>
      </x:c>
      <x:c r="J127" s="4" t="n">
        <x:f>COUNTIFS('Material routes'!$B$6:$B$1005,A127,'Material routes'!$C$6:$C$1005,"Output")</x:f>
        <x:v>1</x:v>
      </x:c>
      <x:c r="K127" s="4" t="n">
        <x:f>COUNTIFS('Material routes'!$B$6:$B$1005,A127,'Material routes'!$C$6:$C$1005,"Tool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Specialist workshop; tools, heat, power, tolerances and process conditions unresolved</x:v>
      </x:c>
      <x:c r="H128" s="4" t="str">
        <x:f>IF(I128=0,"Unassigned",IF(SUMIFS('Material routes'!$Q$6:$Q$1005,'Material routes'!$B$6:$B$1005,A128)&gt;0,"Unassigned","T"&amp;_xlfn.MAXIFS('Material routes'!$P$6:$P$1005,'Material routes'!$B$6:$B$1005,A128)))</x:f>
        <x:v>T2</x:v>
      </x:c>
      <x:c r="I128" s="4" t="n">
        <x:f>SUM(COUNTIFS('Material routes'!$B$6:$B$1005,A128,'Material routes'!$C$6:$C$1005,"Ingredient candidate"),COUNTIFS('Material routes'!$B$6:$B$1005,A128,'Material routes'!$C$6:$C$1005,"Consumed input"),COUNTIFS('Material routes'!$B$6:$B$1005,A128,'Material routes'!$C$6:$C$1005,"Contained input"),COUNTIFS('Material routes'!$B$6:$B$1005,A128,'Material routes'!$C$6:$C$1005,"Transform input"))</x:f>
        <x:v>2</x:v>
      </x:c>
      <x:c r="J128" s="4" t="n">
        <x:f>COUNTIFS('Material routes'!$B$6:$B$1005,A128,'Material routes'!$C$6:$C$1005,"Output")</x:f>
        <x:v>1</x:v>
      </x:c>
      <x:c r="K128" s="4" t="n">
        <x:f>COUNTIFS('Material routes'!$B$6:$B$1005,A128,'Material routes'!$C$6:$C$1005,"Tool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Specialist workshop; tools, heat, power, tolerances and process conditions unresolved</x:v>
      </x:c>
      <x:c r="H129" s="4" t="str">
        <x:f>IF(I129=0,"Unassigned",IF(SUMIFS('Material routes'!$Q$6:$Q$1005,'Material routes'!$B$6:$B$1005,A129)&gt;0,"Unassigned","T"&amp;_xlfn.MAXIFS('Material routes'!$P$6:$P$1005,'Material routes'!$B$6:$B$1005,A129)))</x:f>
        <x:v>T2</x:v>
      </x:c>
      <x:c r="I129" s="4" t="n">
        <x:f>SUM(COUNTIFS('Material routes'!$B$6:$B$1005,A129,'Material routes'!$C$6:$C$1005,"Ingredient candidate"),COUNTIFS('Material routes'!$B$6:$B$1005,A129,'Material routes'!$C$6:$C$1005,"Consumed input"),COUNTIFS('Material routes'!$B$6:$B$1005,A129,'Material routes'!$C$6:$C$1005,"Contained input"),COUNTIFS('Material routes'!$B$6:$B$1005,A129,'Material routes'!$C$6:$C$1005,"Transform input"))</x:f>
        <x:v>3</x:v>
      </x:c>
      <x:c r="J129" s="4" t="n">
        <x:f>COUNTIFS('Material routes'!$B$6:$B$1005,A129,'Material routes'!$C$6:$C$1005,"Output")</x:f>
        <x:v>1</x:v>
      </x:c>
      <x:c r="K129" s="4" t="n">
        <x:f>COUNTIFS('Material routes'!$B$6:$B$1005,A129,'Material routes'!$C$6:$C$1005,"Tool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Specialist workshop; tools, heat, power, tolerances and process conditions unresolved</x:v>
      </x:c>
      <x:c r="H130" s="4" t="str">
        <x:f>IF(I130=0,"Unassigned",IF(SUMIFS('Material routes'!$Q$6:$Q$1005,'Material routes'!$B$6:$B$1005,A130)&gt;0,"Unassigned","T"&amp;_xlfn.MAXIFS('Material routes'!$P$6:$P$1005,'Material routes'!$B$6:$B$1005,A130)))</x:f>
        <x:v>T2</x:v>
      </x:c>
      <x:c r="I130" s="4" t="n">
        <x:f>SUM(COUNTIFS('Material routes'!$B$6:$B$1005,A130,'Material routes'!$C$6:$C$1005,"Ingredient candidate"),COUNTIFS('Material routes'!$B$6:$B$1005,A130,'Material routes'!$C$6:$C$1005,"Consumed input"),COUNTIFS('Material routes'!$B$6:$B$1005,A130,'Material routes'!$C$6:$C$1005,"Contained input"),COUNTIFS('Material routes'!$B$6:$B$1005,A130,'Material routes'!$C$6:$C$1005,"Transform input"))</x:f>
        <x:v>2</x:v>
      </x:c>
      <x:c r="J130" s="4" t="n">
        <x:f>COUNTIFS('Material routes'!$B$6:$B$1005,A130,'Material routes'!$C$6:$C$1005,"Output")</x:f>
        <x:v>1</x:v>
      </x:c>
      <x:c r="K130" s="4" t="n">
        <x:f>COUNTIFS('Material routes'!$B$6:$B$1005,A130,'Material routes'!$C$6:$C$1005,"Tool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Specialist workshop; tools, heat, power, tolerances and process conditions unresolved</x:v>
      </x:c>
      <x:c r="H131" s="4" t="str">
        <x:f>IF(I131=0,"Unassigned",IF(SUMIFS('Material routes'!$Q$6:$Q$1005,'Material routes'!$B$6:$B$1005,A131)&gt;0,"Unassigned","T"&amp;_xlfn.MAXIFS('Material routes'!$P$6:$P$1005,'Material routes'!$B$6:$B$1005,A131)))</x:f>
        <x:v>T2</x:v>
      </x:c>
      <x:c r="I131" s="4" t="n">
        <x:f>SUM(COUNTIFS('Material routes'!$B$6:$B$1005,A131,'Material routes'!$C$6:$C$1005,"Ingredient candidate"),COUNTIFS('Material routes'!$B$6:$B$1005,A131,'Material routes'!$C$6:$C$1005,"Consumed input"),COUNTIFS('Material routes'!$B$6:$B$1005,A131,'Material routes'!$C$6:$C$1005,"Contained input"),COUNTIFS('Material routes'!$B$6:$B$1005,A131,'Material routes'!$C$6:$C$1005,"Transform input"))</x:f>
        <x:v>2</x:v>
      </x:c>
      <x:c r="J131" s="4" t="n">
        <x:f>COUNTIFS('Material routes'!$B$6:$B$1005,A131,'Material routes'!$C$6:$C$1005,"Output")</x:f>
        <x:v>1</x:v>
      </x:c>
      <x:c r="K131" s="4" t="n">
        <x:f>COUNTIFS('Material routes'!$B$6:$B$1005,A131,'Material routes'!$C$6:$C$1005,"Tool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Specialist workshop; tools, heat, power, tolerances and process conditions unresolved</x:v>
      </x:c>
      <x:c r="H132" s="4" t="str">
        <x:f>IF(I132=0,"Unassigned",IF(SUMIFS('Material routes'!$Q$6:$Q$1005,'Material routes'!$B$6:$B$1005,A132)&gt;0,"Unassigned","T"&amp;_xlfn.MAXIFS('Material routes'!$P$6:$P$1005,'Material routes'!$B$6:$B$1005,A132)))</x:f>
        <x:v>T2</x:v>
      </x:c>
      <x:c r="I132" s="4" t="n">
        <x:f>SUM(COUNTIFS('Material routes'!$B$6:$B$1005,A132,'Material routes'!$C$6:$C$1005,"Ingredient candidate"),COUNTIFS('Material routes'!$B$6:$B$1005,A132,'Material routes'!$C$6:$C$1005,"Consumed input"),COUNTIFS('Material routes'!$B$6:$B$1005,A132,'Material routes'!$C$6:$C$1005,"Contained input"),COUNTIFS('Material routes'!$B$6:$B$1005,A132,'Material routes'!$C$6:$C$1005,"Transform input"))</x:f>
        <x:v>3</x:v>
      </x:c>
      <x:c r="J132" s="4" t="n">
        <x:f>COUNTIFS('Material routes'!$B$6:$B$1005,A132,'Material routes'!$C$6:$C$1005,"Output")</x:f>
        <x:v>1</x:v>
      </x:c>
      <x:c r="K132" s="4" t="n">
        <x:f>COUNTIFS('Material routes'!$B$6:$B$1005,A132,'Material routes'!$C$6:$C$1005,"Tool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Specialist workshop; tools, heat, power, tolerances and process conditions unresolved</x:v>
      </x:c>
      <x:c r="H133" s="4" t="str">
        <x:f>IF(I133=0,"Unassigned",IF(SUMIFS('Material routes'!$Q$6:$Q$1005,'Material routes'!$B$6:$B$1005,A133)&gt;0,"Unassigned","T"&amp;_xlfn.MAXIFS('Material routes'!$P$6:$P$1005,'Material routes'!$B$6:$B$1005,A133)))</x:f>
        <x:v>T2</x:v>
      </x:c>
      <x:c r="I133" s="4" t="n">
        <x:f>SUM(COUNTIFS('Material routes'!$B$6:$B$1005,A133,'Material routes'!$C$6:$C$1005,"Ingredient candidate"),COUNTIFS('Material routes'!$B$6:$B$1005,A133,'Material routes'!$C$6:$C$1005,"Consumed input"),COUNTIFS('Material routes'!$B$6:$B$1005,A133,'Material routes'!$C$6:$C$1005,"Contained input"),COUNTIFS('Material routes'!$B$6:$B$1005,A133,'Material routes'!$C$6:$C$1005,"Transform input"))</x:f>
        <x:v>2</x:v>
      </x:c>
      <x:c r="J133" s="4" t="n">
        <x:f>COUNTIFS('Material routes'!$B$6:$B$1005,A133,'Material routes'!$C$6:$C$1005,"Output")</x:f>
        <x:v>1</x:v>
      </x:c>
      <x:c r="K133" s="4" t="n">
        <x:f>COUNTIFS('Material routes'!$B$6:$B$1005,A133,'Material routes'!$C$6:$C$1005,"Tool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Specialist workshop; tools, heat, power, tolerances and process conditions unresolved</x:v>
      </x:c>
      <x:c r="H134" s="4" t="str">
        <x:f>IF(I134=0,"Unassigned",IF(SUMIFS('Material routes'!$Q$6:$Q$1005,'Material routes'!$B$6:$B$1005,A134)&gt;0,"Unassigned","T"&amp;_xlfn.MAXIFS('Material routes'!$P$6:$P$1005,'Material routes'!$B$6:$B$1005,A134)))</x:f>
        <x:v>T2</x:v>
      </x:c>
      <x:c r="I134" s="4" t="n">
        <x:f>SUM(COUNTIFS('Material routes'!$B$6:$B$1005,A134,'Material routes'!$C$6:$C$1005,"Ingredient candidate"),COUNTIFS('Material routes'!$B$6:$B$1005,A134,'Material routes'!$C$6:$C$1005,"Consumed input"),COUNTIFS('Material routes'!$B$6:$B$1005,A134,'Material routes'!$C$6:$C$1005,"Contained input"),COUNTIFS('Material routes'!$B$6:$B$1005,A134,'Material routes'!$C$6:$C$1005,"Transform input"))</x:f>
        <x:v>3</x:v>
      </x:c>
      <x:c r="J134" s="4" t="n">
        <x:f>COUNTIFS('Material routes'!$B$6:$B$1005,A134,'Material routes'!$C$6:$C$1005,"Output")</x:f>
        <x:v>1</x:v>
      </x:c>
      <x:c r="K134" s="4" t="n">
        <x:f>COUNTIFS('Material routes'!$B$6:$B$1005,A134,'Material routes'!$C$6:$C$1005,"Tool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Specialist workshop; tools, heat, power, tolerances and process conditions unresolved</x:v>
      </x:c>
      <x:c r="H135" s="4" t="str">
        <x:f>IF(I135=0,"Unassigned",IF(SUMIFS('Material routes'!$Q$6:$Q$1005,'Material routes'!$B$6:$B$1005,A135)&gt;0,"Unassigned","T"&amp;_xlfn.MAXIFS('Material routes'!$P$6:$P$1005,'Material routes'!$B$6:$B$1005,A135)))</x:f>
        <x:v>T2</x:v>
      </x:c>
      <x:c r="I135" s="4" t="n">
        <x:f>SUM(COUNTIFS('Material routes'!$B$6:$B$1005,A135,'Material routes'!$C$6:$C$1005,"Ingredient candidate"),COUNTIFS('Material routes'!$B$6:$B$1005,A135,'Material routes'!$C$6:$C$1005,"Consumed input"),COUNTIFS('Material routes'!$B$6:$B$1005,A135,'Material routes'!$C$6:$C$1005,"Contained input"),COUNTIFS('Material routes'!$B$6:$B$1005,A135,'Material routes'!$C$6:$C$1005,"Transform input"))</x:f>
        <x:v>3</x:v>
      </x:c>
      <x:c r="J135" s="4" t="n">
        <x:f>COUNTIFS('Material routes'!$B$6:$B$1005,A135,'Material routes'!$C$6:$C$1005,"Output")</x:f>
        <x:v>1</x:v>
      </x:c>
      <x:c r="K135" s="4" t="n">
        <x:f>COUNTIFS('Material routes'!$B$6:$B$1005,A135,'Material routes'!$C$6:$C$1005,"Tool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Specialist workshop; tools, heat, power, tolerances and process conditions unresolved</x:v>
      </x:c>
      <x:c r="H136" s="4" t="str">
        <x:f>IF(I136=0,"Unassigned",IF(SUMIFS('Material routes'!$Q$6:$Q$1005,'Material routes'!$B$6:$B$1005,A136)&gt;0,"Unassigned","T"&amp;_xlfn.MAXIFS('Material routes'!$P$6:$P$1005,'Material routes'!$B$6:$B$1005,A136)))</x:f>
        <x:v>T2</x:v>
      </x:c>
      <x:c r="I136" s="4" t="n">
        <x:f>SUM(COUNTIFS('Material routes'!$B$6:$B$1005,A136,'Material routes'!$C$6:$C$1005,"Ingredient candidate"),COUNTIFS('Material routes'!$B$6:$B$1005,A136,'Material routes'!$C$6:$C$1005,"Consumed input"),COUNTIFS('Material routes'!$B$6:$B$1005,A136,'Material routes'!$C$6:$C$1005,"Contained input"),COUNTIFS('Material routes'!$B$6:$B$1005,A136,'Material routes'!$C$6:$C$1005,"Transform input"))</x:f>
        <x:v>2</x:v>
      </x:c>
      <x:c r="J136" s="4" t="n">
        <x:f>COUNTIFS('Material routes'!$B$6:$B$1005,A136,'Material routes'!$C$6:$C$1005,"Output")</x:f>
        <x:v>1</x:v>
      </x:c>
      <x:c r="K136" s="4" t="n">
        <x:f>COUNTIFS('Material routes'!$B$6:$B$1005,A136,'Material routes'!$C$6:$C$1005,"Tool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Specialist workshop; tools, heat, power, tolerances and process conditions unresolved</x:v>
      </x:c>
      <x:c r="H137" s="4" t="str">
        <x:f>IF(I137=0,"Unassigned",IF(SUMIFS('Material routes'!$Q$6:$Q$1005,'Material routes'!$B$6:$B$1005,A137)&gt;0,"Unassigned","T"&amp;_xlfn.MAXIFS('Material routes'!$P$6:$P$1005,'Material routes'!$B$6:$B$1005,A137)))</x:f>
        <x:v>T2</x:v>
      </x:c>
      <x:c r="I137" s="4" t="n">
        <x:f>SUM(COUNTIFS('Material routes'!$B$6:$B$1005,A137,'Material routes'!$C$6:$C$1005,"Ingredient candidate"),COUNTIFS('Material routes'!$B$6:$B$1005,A137,'Material routes'!$C$6:$C$1005,"Consumed input"),COUNTIFS('Material routes'!$B$6:$B$1005,A137,'Material routes'!$C$6:$C$1005,"Contained input"),COUNTIFS('Material routes'!$B$6:$B$1005,A137,'Material routes'!$C$6:$C$1005,"Transform input"))</x:f>
        <x:v>3</x:v>
      </x:c>
      <x:c r="J137" s="4" t="n">
        <x:f>COUNTIFS('Material routes'!$B$6:$B$1005,A137,'Material routes'!$C$6:$C$1005,"Output")</x:f>
        <x:v>1</x:v>
      </x:c>
      <x:c r="K137" s="4" t="n">
        <x:f>COUNTIFS('Material routes'!$B$6:$B$1005,A137,'Material routes'!$C$6:$C$1005,"Tool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Specialist workshop; tools, heat, power, tolerances and process conditions unresolved</x:v>
      </x:c>
      <x:c r="H138" s="4" t="str">
        <x:f>IF(I138=0,"Unassigned",IF(SUMIFS('Material routes'!$Q$6:$Q$1005,'Material routes'!$B$6:$B$1005,A138)&gt;0,"Unassigned","T"&amp;_xlfn.MAXIFS('Material routes'!$P$6:$P$1005,'Material routes'!$B$6:$B$1005,A138)))</x:f>
        <x:v>T2</x:v>
      </x:c>
      <x:c r="I138" s="4" t="n">
        <x:f>SUM(COUNTIFS('Material routes'!$B$6:$B$1005,A138,'Material routes'!$C$6:$C$1005,"Ingredient candidate"),COUNTIFS('Material routes'!$B$6:$B$1005,A138,'Material routes'!$C$6:$C$1005,"Consumed input"),COUNTIFS('Material routes'!$B$6:$B$1005,A138,'Material routes'!$C$6:$C$1005,"Contained input"),COUNTIFS('Material routes'!$B$6:$B$1005,A138,'Material routes'!$C$6:$C$1005,"Transform input"))</x:f>
        <x:v>3</x:v>
      </x:c>
      <x:c r="J138" s="4" t="n">
        <x:f>COUNTIFS('Material routes'!$B$6:$B$1005,A138,'Material routes'!$C$6:$C$1005,"Output")</x:f>
        <x:v>1</x:v>
      </x:c>
      <x:c r="K138" s="4" t="n">
        <x:f>COUNTIFS('Material routes'!$B$6:$B$1005,A138,'Material routes'!$C$6:$C$1005,"Tool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09391af7697a434b"/>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routes'!$E$6:$E$1005,MATCH(U6,'Material routes'!$A$6:$A$1005,0)),"MISSING ID")</x:f>
        <x:v>Magnetite-rich stone</x:v>
      </x:c>
      <x:c r="B6" s="4" t="str">
        <x:f>IFERROR(INDEX('Material routes'!$F$6:$F$1005,MATCH(U6,'Material routes'!$A$6:$A$1005,0)),"MISSING ID")</x:f>
        <x:v>T0</x:v>
      </x:c>
      <x:c r="C6" s="4" t="str">
        <x:f>IFERROR(INDEX('Material routes'!$H$6:$H$1005,MATCH(U6,'Material routes'!$A$6:$A$1005,0)),"MISSING ID")</x:f>
        <x:v>Raw material</x:v>
      </x:c>
      <x:c r="D6" s="4" t="str">
        <x:f>IFERROR(INDEX('Material routes'!$G$6:$G$1005,MATCH(U6,'Material routes'!$A$6:$A$1005,0)),"MISSING ID")</x:f>
        <x:v>Resources</x:v>
      </x:c>
      <x:c r="E6" s="4" t="str">
        <x:f>IFERROR(INDEX('Material routes'!$C$6:$C$1005,MATCH(U6,'Material routes'!$A$6:$A$1005,0)),"MISSING ID")</x:f>
        <x:v>Ingredient candidate</x:v>
      </x:c>
      <x:c r="F6" s="4" t="str">
        <x:f>IFERROR(INDEX('Material routes'!$E$6:$E$1005,MATCH(V6,'Material routes'!$A$6:$A$1005,0)),"MISSING ID")</x:f>
        <x:v>Iron-rich mineral feed</x:v>
      </x:c>
      <x:c r="G6" s="4" t="str">
        <x:f>IFERROR(INDEX('Material routes'!$F$6:$F$1005,MATCH(V6,'Material routes'!$A$6:$A$1005,0)),"MISSING ID")</x:f>
        <x:v>T1</x:v>
      </x:c>
      <x:c r="H6" s="4" t="str">
        <x:f>IFERROR(INDEX('Material routes'!$H$6:$H$1005,MATCH(V6,'Material routes'!$A$6:$A$1005,0)),"MISSING ID")</x:f>
        <x:v>Processed material</x:v>
      </x:c>
      <x:c r="I6" s="4" t="str">
        <x:f>IFERROR(INDEX('Material routes'!$G$6:$G$1005,MATCH(V6,'Material routes'!$A$6:$A$1005,0)),"MISSING ID")</x:f>
        <x:v>Resources</x:v>
      </x:c>
      <x:c r="J6" s="4" t="str">
        <x:f>IFERROR(INDEX('Material routes'!$B$6:$B$1005,MATCH(U6,'Material routes'!$A$6:$A$1005,0)),"MISSING ID")</x:f>
        <x:v>design.refine.natural.iron_feed</x:v>
      </x:c>
      <x:c r="K6" s="4" t="str">
        <x:f>IFERROR(INDEX('Crafting recipes'!$C$6:$C$1005,MATCH(J6,'Crafting recipes'!$A$6:$A$1005,0)),"MISSING ID")</x:f>
        <x:v>Material refinement</x:v>
      </x:c>
      <x:c r="L6" s="4" t="str">
        <x:f>IFERROR(INDEX('Material routes'!$K$6:$K$1005,MATCH(U6,'Material routes'!$A$6:$A$1005,0)),"MISSING ID")</x:f>
        <x:v>Proposal</x:v>
      </x:c>
      <x:c r="M6" s="4" t="str">
        <x:f>IFERROR(INDEX('Material routes'!$M$6:$M$1005,MATCH(U6,'Material routes'!$A$6:$A$1005,0)),"MISSING ID")</x:f>
        <x:v>Partial proposal</x:v>
      </x:c>
      <x:c r="N6" s="4" t="str">
        <x:f>IF(IFERROR(INDEX('Material routes'!$I$6:$I$1005,MATCH(U6,'Material routes'!$A$6:$A$1005,0)),"MISSING ID")=0,"",IFERROR(INDEX('Material routes'!$I$6:$I$1005,MATCH(U6,'Material routes'!$A$6:$A$1005,0)),"MISSING ID"))</x:f>
      </x:c>
      <x:c r="O6" s="4" t="str">
        <x:f>IFERROR(INDEX('Material routes'!$J$6:$J$1005,MATCH(U6,'Material routes'!$A$6:$A$1005,0)),"MISSING ID")</x:f>
        <x:v>Unspecified</x:v>
      </x:c>
      <x:c r="P6" s="4" t="str">
        <x:f>IF(IFERROR(INDEX('Material routes'!$I$6:$I$1005,MATCH(V6,'Material routes'!$A$6:$A$1005,0)),"MISSING ID")=0,"",IFERROR(INDEX('Material routes'!$I$6:$I$1005,MATCH(V6,'Material routes'!$A$6:$A$1005,0)),"MISSING ID"))</x:f>
      </x:c>
      <x:c r="Q6" s="4" t="str">
        <x:f>IFERROR(INDEX('Material routes'!$J$6:$J$1005,MATCH(V6,'Material routes'!$A$6:$A$1005,0)),"MISSING ID")</x:f>
        <x:v>Unspecified</x:v>
      </x:c>
      <x:c r="R6" s="4" t="str">
        <x:f>IF(L6="Withheld","Withheld premise",IF(E6="Tool candidate","Reusable prerequisite",IF(K6="Raw entry preparation","Entry-resource preparation",IF(G6="Not applicable","Finished endpoint",IF(OR(IFERROR(INDEX('Crafting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routes'!$D$6:$D$1005,MATCH(U6,'Material routes'!$A$6:$A$1005,0)),"MISSING ID")</x:f>
        <x:v>proposal.natural.magnetite</x:v>
      </x:c>
      <x:c r="T6" s="4" t="str">
        <x:f>IFERROR(INDEX('Material routes'!$D$6:$D$1005,MATCH(V6,'Material routes'!$A$6:$A$1005,0)),"MISSING ID")</x:f>
        <x:v>proposal.natural.iron_feed</x:v>
      </x:c>
      <x:c r="U6" s="4" t="str">
        <x:v>material.route.001</x:v>
      </x:c>
      <x:c r="V6" s="4" t="str">
        <x:v>output.design.refine.natural.iron_feed</x:v>
      </x:c>
    </x:row>
    <x:row r="7" ht="85" customHeight="1">
      <x:c r="A7" s="4" t="str">
        <x:f>IFERROR(INDEX('Material routes'!$E$6:$E$1005,MATCH(U7,'Material routes'!$A$6:$A$1005,0)),"MISSING ID")</x:f>
        <x:v>Emery-bearing lumps</x:v>
      </x:c>
      <x:c r="B7" s="4" t="str">
        <x:f>IFERROR(INDEX('Material routes'!$F$6:$F$1005,MATCH(U7,'Material routes'!$A$6:$A$1005,0)),"MISSING ID")</x:f>
        <x:v>T0</x:v>
      </x:c>
      <x:c r="C7" s="4" t="str">
        <x:f>IFERROR(INDEX('Material routes'!$H$6:$H$1005,MATCH(U7,'Material routes'!$A$6:$A$1005,0)),"MISSING ID")</x:f>
        <x:v>Raw material</x:v>
      </x:c>
      <x:c r="D7" s="4" t="str">
        <x:f>IFERROR(INDEX('Material routes'!$G$6:$G$1005,MATCH(U7,'Material routes'!$A$6:$A$1005,0)),"MISSING ID")</x:f>
        <x:v>Resources</x:v>
      </x:c>
      <x:c r="E7" s="4" t="str">
        <x:f>IFERROR(INDEX('Material routes'!$C$6:$C$1005,MATCH(U7,'Material routes'!$A$6:$A$1005,0)),"MISSING ID")</x:f>
        <x:v>Ingredient candidate</x:v>
      </x:c>
      <x:c r="F7" s="4" t="str">
        <x:f>IFERROR(INDEX('Material routes'!$E$6:$E$1005,MATCH(V7,'Material routes'!$A$6:$A$1005,0)),"MISSING ID")</x:f>
        <x:v>Graded abrasive grit</x:v>
      </x:c>
      <x:c r="G7" s="4" t="str">
        <x:f>IFERROR(INDEX('Material routes'!$F$6:$F$1005,MATCH(V7,'Material routes'!$A$6:$A$1005,0)),"MISSING ID")</x:f>
        <x:v>T1</x:v>
      </x:c>
      <x:c r="H7" s="4" t="str">
        <x:f>IFERROR(INDEX('Material routes'!$H$6:$H$1005,MATCH(V7,'Material routes'!$A$6:$A$1005,0)),"MISSING ID")</x:f>
        <x:v>Processed material</x:v>
      </x:c>
      <x:c r="I7" s="4" t="str">
        <x:f>IFERROR(INDEX('Material routes'!$G$6:$G$1005,MATCH(V7,'Material routes'!$A$6:$A$1005,0)),"MISSING ID")</x:f>
        <x:v>Resources</x:v>
      </x:c>
      <x:c r="J7" s="4" t="str">
        <x:f>IFERROR(INDEX('Material routes'!$B$6:$B$1005,MATCH(U7,'Material routes'!$A$6:$A$1005,0)),"MISSING ID")</x:f>
        <x:v>design.refine.natural.abrasive</x:v>
      </x:c>
      <x:c r="K7" s="4" t="str">
        <x:f>IFERROR(INDEX('Crafting recipes'!$C$6:$C$1005,MATCH(J7,'Crafting recipes'!$A$6:$A$1005,0)),"MISSING ID")</x:f>
        <x:v>Material refinement</x:v>
      </x:c>
      <x:c r="L7" s="4" t="str">
        <x:f>IFERROR(INDEX('Material routes'!$K$6:$K$1005,MATCH(U7,'Material routes'!$A$6:$A$1005,0)),"MISSING ID")</x:f>
        <x:v>Proposal</x:v>
      </x:c>
      <x:c r="M7" s="4" t="str">
        <x:f>IFERROR(INDEX('Material routes'!$M$6:$M$1005,MATCH(U7,'Material routes'!$A$6:$A$1005,0)),"MISSING ID")</x:f>
        <x:v>Partial proposal</x:v>
      </x:c>
      <x:c r="N7" s="4" t="str">
        <x:f>IF(IFERROR(INDEX('Material routes'!$I$6:$I$1005,MATCH(U7,'Material routes'!$A$6:$A$1005,0)),"MISSING ID")=0,"",IFERROR(INDEX('Material routes'!$I$6:$I$1005,MATCH(U7,'Material routes'!$A$6:$A$1005,0)),"MISSING ID"))</x:f>
      </x:c>
      <x:c r="O7" s="4" t="str">
        <x:f>IFERROR(INDEX('Material routes'!$J$6:$J$1005,MATCH(U7,'Material routes'!$A$6:$A$1005,0)),"MISSING ID")</x:f>
        <x:v>Unspecified</x:v>
      </x:c>
      <x:c r="P7" s="4" t="str">
        <x:f>IF(IFERROR(INDEX('Material routes'!$I$6:$I$1005,MATCH(V7,'Material routes'!$A$6:$A$1005,0)),"MISSING ID")=0,"",IFERROR(INDEX('Material routes'!$I$6:$I$1005,MATCH(V7,'Material routes'!$A$6:$A$1005,0)),"MISSING ID"))</x:f>
      </x:c>
      <x:c r="Q7" s="4" t="str">
        <x:f>IFERROR(INDEX('Material routes'!$J$6:$J$1005,MATCH(V7,'Material routes'!$A$6:$A$1005,0)),"MISSING ID")</x:f>
        <x:v>Unspecified</x:v>
      </x:c>
      <x:c r="R7" s="4" t="str">
        <x:f>IF(L7="Withheld","Withheld premise",IF(E7="Tool candidate","Reusable prerequisite",IF(K7="Raw entry preparation","Entry-resource preparation",IF(G7="Not applicable","Finished endpoint",IF(OR(IFERROR(INDEX('Crafting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routes'!$D$6:$D$1005,MATCH(U7,'Material routes'!$A$6:$A$1005,0)),"MISSING ID")</x:f>
        <x:v>proposal.raw.emery</x:v>
      </x:c>
      <x:c r="T7" s="4" t="str">
        <x:f>IFERROR(INDEX('Material routes'!$D$6:$D$1005,MATCH(V7,'Material routes'!$A$6:$A$1005,0)),"MISSING ID")</x:f>
        <x:v>proposal.natural.abrasive</x:v>
      </x:c>
      <x:c r="U7" s="4" t="str">
        <x:v>material.route.003</x:v>
      </x:c>
      <x:c r="V7" s="4" t="str">
        <x:v>output.design.refine.natural.abrasive</x:v>
      </x:c>
    </x:row>
    <x:row r="8" ht="85" customHeight="1">
      <x:c r="A8" s="4" t="str">
        <x:f>IFERROR(INDEX('Material routes'!$E$6:$E$1005,MATCH(U8,'Material routes'!$A$6:$A$1005,0)),"MISSING ID")</x:f>
        <x:v>Graphite-bearing stone</x:v>
      </x:c>
      <x:c r="B8" s="4" t="str">
        <x:f>IFERROR(INDEX('Material routes'!$F$6:$F$1005,MATCH(U8,'Material routes'!$A$6:$A$1005,0)),"MISSING ID")</x:f>
        <x:v>T0</x:v>
      </x:c>
      <x:c r="C8" s="4" t="str">
        <x:f>IFERROR(INDEX('Material routes'!$H$6:$H$1005,MATCH(U8,'Material routes'!$A$6:$A$1005,0)),"MISSING ID")</x:f>
        <x:v>Raw material</x:v>
      </x:c>
      <x:c r="D8" s="4" t="str">
        <x:f>IFERROR(INDEX('Material routes'!$G$6:$G$1005,MATCH(U8,'Material routes'!$A$6:$A$1005,0)),"MISSING ID")</x:f>
        <x:v>Resources</x:v>
      </x:c>
      <x:c r="E8" s="4" t="str">
        <x:f>IFERROR(INDEX('Material routes'!$C$6:$C$1005,MATCH(U8,'Material routes'!$A$6:$A$1005,0)),"MISSING ID")</x:f>
        <x:v>Ingredient candidate</x:v>
      </x:c>
      <x:c r="F8" s="4" t="str">
        <x:f>IFERROR(INDEX('Material routes'!$E$6:$E$1005,MATCH(V8,'Material routes'!$A$6:$A$1005,0)),"MISSING ID")</x:f>
        <x:v>Graded graphite flakes</x:v>
      </x:c>
      <x:c r="G8" s="4" t="str">
        <x:f>IFERROR(INDEX('Material routes'!$F$6:$F$1005,MATCH(V8,'Material routes'!$A$6:$A$1005,0)),"MISSING ID")</x:f>
        <x:v>T1</x:v>
      </x:c>
      <x:c r="H8" s="4" t="str">
        <x:f>IFERROR(INDEX('Material routes'!$H$6:$H$1005,MATCH(V8,'Material routes'!$A$6:$A$1005,0)),"MISSING ID")</x:f>
        <x:v>Processed material</x:v>
      </x:c>
      <x:c r="I8" s="4" t="str">
        <x:f>IFERROR(INDEX('Material routes'!$G$6:$G$1005,MATCH(V8,'Material routes'!$A$6:$A$1005,0)),"MISSING ID")</x:f>
        <x:v>Resources</x:v>
      </x:c>
      <x:c r="J8" s="4" t="str">
        <x:f>IFERROR(INDEX('Material routes'!$B$6:$B$1005,MATCH(U8,'Material routes'!$A$6:$A$1005,0)),"MISSING ID")</x:f>
        <x:v>design.refine.natural.carbon</x:v>
      </x:c>
      <x:c r="K8" s="4" t="str">
        <x:f>IFERROR(INDEX('Crafting recipes'!$C$6:$C$1005,MATCH(J8,'Crafting recipes'!$A$6:$A$1005,0)),"MISSING ID")</x:f>
        <x:v>Material refinement</x:v>
      </x:c>
      <x:c r="L8" s="4" t="str">
        <x:f>IFERROR(INDEX('Material routes'!$K$6:$K$1005,MATCH(U8,'Material routes'!$A$6:$A$1005,0)),"MISSING ID")</x:f>
        <x:v>Proposal</x:v>
      </x:c>
      <x:c r="M8" s="4" t="str">
        <x:f>IFERROR(INDEX('Material routes'!$M$6:$M$1005,MATCH(U8,'Material routes'!$A$6:$A$1005,0)),"MISSING ID")</x:f>
        <x:v>Partial proposal</x:v>
      </x:c>
      <x:c r="N8" s="4" t="str">
        <x:f>IF(IFERROR(INDEX('Material routes'!$I$6:$I$1005,MATCH(U8,'Material routes'!$A$6:$A$1005,0)),"MISSING ID")=0,"",IFERROR(INDEX('Material routes'!$I$6:$I$1005,MATCH(U8,'Material routes'!$A$6:$A$1005,0)),"MISSING ID"))</x:f>
      </x:c>
      <x:c r="O8" s="4" t="str">
        <x:f>IFERROR(INDEX('Material routes'!$J$6:$J$1005,MATCH(U8,'Material routes'!$A$6:$A$1005,0)),"MISSING ID")</x:f>
        <x:v>Unspecified</x:v>
      </x:c>
      <x:c r="P8" s="4" t="str">
        <x:f>IF(IFERROR(INDEX('Material routes'!$I$6:$I$1005,MATCH(V8,'Material routes'!$A$6:$A$1005,0)),"MISSING ID")=0,"",IFERROR(INDEX('Material routes'!$I$6:$I$1005,MATCH(V8,'Material routes'!$A$6:$A$1005,0)),"MISSING ID"))</x:f>
      </x:c>
      <x:c r="Q8" s="4" t="str">
        <x:f>IFERROR(INDEX('Material routes'!$J$6:$J$1005,MATCH(V8,'Material routes'!$A$6:$A$1005,0)),"MISSING ID")</x:f>
        <x:v>Unspecified</x:v>
      </x:c>
      <x:c r="R8" s="4" t="str">
        <x:f>IF(L8="Withheld","Withheld premise",IF(E8="Tool candidate","Reusable prerequisite",IF(K8="Raw entry preparation","Entry-resource preparation",IF(G8="Not applicable","Finished endpoint",IF(OR(IFERROR(INDEX('Crafting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routes'!$D$6:$D$1005,MATCH(U8,'Material routes'!$A$6:$A$1005,0)),"MISSING ID")</x:f>
        <x:v>proposal.natural.graphite</x:v>
      </x:c>
      <x:c r="T8" s="4" t="str">
        <x:f>IFERROR(INDEX('Material routes'!$D$6:$D$1005,MATCH(V8,'Material routes'!$A$6:$A$1005,0)),"MISSING ID")</x:f>
        <x:v>proposal.natural.carbon</x:v>
      </x:c>
      <x:c r="U8" s="4" t="str">
        <x:v>material.route.004</x:v>
      </x:c>
      <x:c r="V8" s="4" t="str">
        <x:v>output.design.refine.natural.carbon</x:v>
      </x:c>
    </x:row>
    <x:row r="9" ht="85" customHeight="1">
      <x:c r="A9" s="4" t="str">
        <x:f>IFERROR(INDEX('Material routes'!$E$6:$E$1005,MATCH(U9,'Material routes'!$A$6:$A$1005,0)),"MISSING ID")</x:f>
        <x:v>Carbonate stone</x:v>
      </x:c>
      <x:c r="B9" s="4" t="str">
        <x:f>IFERROR(INDEX('Material routes'!$F$6:$F$1005,MATCH(U9,'Material routes'!$A$6:$A$1005,0)),"MISSING ID")</x:f>
        <x:v>T0</x:v>
      </x:c>
      <x:c r="C9" s="4" t="str">
        <x:f>IFERROR(INDEX('Material routes'!$H$6:$H$1005,MATCH(U9,'Material routes'!$A$6:$A$1005,0)),"MISSING ID")</x:f>
        <x:v>Raw material</x:v>
      </x:c>
      <x:c r="D9" s="4" t="str">
        <x:f>IFERROR(INDEX('Material routes'!$G$6:$G$1005,MATCH(U9,'Material routes'!$A$6:$A$1005,0)),"MISSING ID")</x:f>
        <x:v>Resources</x:v>
      </x:c>
      <x:c r="E9" s="4" t="str">
        <x:f>IFERROR(INDEX('Material routes'!$C$6:$C$1005,MATCH(U9,'Material routes'!$A$6:$A$1005,0)),"MISSING ID")</x:f>
        <x:v>Ingredient candidate</x:v>
      </x:c>
      <x:c r="F9" s="4" t="str">
        <x:f>IFERROR(INDEX('Material routes'!$E$6:$E$1005,MATCH(V9,'Material routes'!$A$6:$A$1005,0)),"MISSING ID")</x:f>
        <x:v>Calcined mineral binder</x:v>
      </x:c>
      <x:c r="G9" s="4" t="str">
        <x:f>IFERROR(INDEX('Material routes'!$F$6:$F$1005,MATCH(V9,'Material routes'!$A$6:$A$1005,0)),"MISSING ID")</x:f>
        <x:v>T1</x:v>
      </x:c>
      <x:c r="H9" s="4" t="str">
        <x:f>IFERROR(INDEX('Material routes'!$H$6:$H$1005,MATCH(V9,'Material routes'!$A$6:$A$1005,0)),"MISSING ID")</x:f>
        <x:v>Processed material</x:v>
      </x:c>
      <x:c r="I9" s="4" t="str">
        <x:f>IFERROR(INDEX('Material routes'!$G$6:$G$1005,MATCH(V9,'Material routes'!$A$6:$A$1005,0)),"MISSING ID")</x:f>
        <x:v>Resources</x:v>
      </x:c>
      <x:c r="J9" s="4" t="str">
        <x:f>IFERROR(INDEX('Material routes'!$B$6:$B$1005,MATCH(U9,'Material routes'!$A$6:$A$1005,0)),"MISSING ID")</x:f>
        <x:v>design.refine.natural.lime</x:v>
      </x:c>
      <x:c r="K9" s="4" t="str">
        <x:f>IFERROR(INDEX('Crafting recipes'!$C$6:$C$1005,MATCH(J9,'Crafting recipes'!$A$6:$A$1005,0)),"MISSING ID")</x:f>
        <x:v>Material refinement</x:v>
      </x:c>
      <x:c r="L9" s="4" t="str">
        <x:f>IFERROR(INDEX('Material routes'!$K$6:$K$1005,MATCH(U9,'Material routes'!$A$6:$A$1005,0)),"MISSING ID")</x:f>
        <x:v>Proposal</x:v>
      </x:c>
      <x:c r="M9" s="4" t="str">
        <x:f>IFERROR(INDEX('Material routes'!$M$6:$M$1005,MATCH(U9,'Material routes'!$A$6:$A$1005,0)),"MISSING ID")</x:f>
        <x:v>Partial proposal</x:v>
      </x:c>
      <x:c r="N9" s="4" t="str">
        <x:f>IF(IFERROR(INDEX('Material routes'!$I$6:$I$1005,MATCH(U9,'Material routes'!$A$6:$A$1005,0)),"MISSING ID")=0,"",IFERROR(INDEX('Material routes'!$I$6:$I$1005,MATCH(U9,'Material routes'!$A$6:$A$1005,0)),"MISSING ID"))</x:f>
      </x:c>
      <x:c r="O9" s="4" t="str">
        <x:f>IFERROR(INDEX('Material routes'!$J$6:$J$1005,MATCH(U9,'Material routes'!$A$6:$A$1005,0)),"MISSING ID")</x:f>
        <x:v>Unspecified</x:v>
      </x:c>
      <x:c r="P9" s="4" t="str">
        <x:f>IF(IFERROR(INDEX('Material routes'!$I$6:$I$1005,MATCH(V9,'Material routes'!$A$6:$A$1005,0)),"MISSING ID")=0,"",IFERROR(INDEX('Material routes'!$I$6:$I$1005,MATCH(V9,'Material routes'!$A$6:$A$1005,0)),"MISSING ID"))</x:f>
      </x:c>
      <x:c r="Q9" s="4" t="str">
        <x:f>IFERROR(INDEX('Material routes'!$J$6:$J$1005,MATCH(V9,'Material routes'!$A$6:$A$1005,0)),"MISSING ID")</x:f>
        <x:v>Unspecified</x:v>
      </x:c>
      <x:c r="R9" s="4" t="str">
        <x:f>IF(L9="Withheld","Withheld premise",IF(E9="Tool candidate","Reusable prerequisite",IF(K9="Raw entry preparation","Entry-resource preparation",IF(G9="Not applicable","Finished endpoint",IF(OR(IFERROR(INDEX('Crafting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routes'!$D$6:$D$1005,MATCH(U9,'Material routes'!$A$6:$A$1005,0)),"MISSING ID")</x:f>
        <x:v>proposal.natural.carbonate</x:v>
      </x:c>
      <x:c r="T9" s="4" t="str">
        <x:f>IFERROR(INDEX('Material routes'!$D$6:$D$1005,MATCH(V9,'Material routes'!$A$6:$A$1005,0)),"MISSING ID")</x:f>
        <x:v>proposal.natural.lime</x:v>
      </x:c>
      <x:c r="U9" s="4" t="str">
        <x:v>material.route.005</x:v>
      </x:c>
      <x:c r="V9" s="4" t="str">
        <x:v>output.design.refine.natural.lime</x:v>
      </x:c>
    </x:row>
    <x:row r="10" ht="85" customHeight="1">
      <x:c r="A10" s="4" t="str">
        <x:f>IFERROR(INDEX('Material routes'!$E$6:$E$1005,MATCH(U10,'Material routes'!$A$6:$A$1005,0)),"MISSING ID")</x:f>
        <x:v>Broken ceramic shards</x:v>
      </x:c>
      <x:c r="B10" s="4" t="str">
        <x:f>IFERROR(INDEX('Material routes'!$F$6:$F$1005,MATCH(U10,'Material routes'!$A$6:$A$1005,0)),"MISSING ID")</x:f>
        <x:v>T0</x:v>
      </x:c>
      <x:c r="C10" s="4" t="str">
        <x:f>IFERROR(INDEX('Material routes'!$H$6:$H$1005,MATCH(U10,'Material routes'!$A$6:$A$1005,0)),"MISSING ID")</x:f>
        <x:v>Raw material</x:v>
      </x:c>
      <x:c r="D10" s="4" t="str">
        <x:f>IFERROR(INDEX('Material routes'!$G$6:$G$1005,MATCH(U10,'Material routes'!$A$6:$A$1005,0)),"MISSING ID")</x:f>
        <x:v>Resources</x:v>
      </x:c>
      <x:c r="E10" s="4" t="str">
        <x:f>IFERROR(INDEX('Material routes'!$C$6:$C$1005,MATCH(U10,'Material routes'!$A$6:$A$1005,0)),"MISSING ID")</x:f>
        <x:v>Ingredient candidate</x:v>
      </x:c>
      <x:c r="F10" s="4" t="str">
        <x:f>IFERROR(INDEX('Material routes'!$E$6:$E$1005,MATCH(V10,'Material routes'!$A$6:$A$1005,0)),"MISSING ID")</x:f>
        <x:v>Crushed fired ceramic grit</x:v>
      </x:c>
      <x:c r="G10" s="4" t="str">
        <x:f>IFERROR(INDEX('Material routes'!$F$6:$F$1005,MATCH(V10,'Material routes'!$A$6:$A$1005,0)),"MISSING ID")</x:f>
        <x:v>T1</x:v>
      </x:c>
      <x:c r="H10" s="4" t="str">
        <x:f>IFERROR(INDEX('Material routes'!$H$6:$H$1005,MATCH(V10,'Material routes'!$A$6:$A$1005,0)),"MISSING ID")</x:f>
        <x:v>Processed material</x:v>
      </x:c>
      <x:c r="I10" s="4" t="str">
        <x:f>IFERROR(INDEX('Material routes'!$G$6:$G$1005,MATCH(V10,'Material routes'!$A$6:$A$1005,0)),"MISSING ID")</x:f>
        <x:v>Resources</x:v>
      </x:c>
      <x:c r="J10" s="4" t="str">
        <x:f>IFERROR(INDEX('Material routes'!$B$6:$B$1005,MATCH(U10,'Material routes'!$A$6:$A$1005,0)),"MISSING ID")</x:f>
        <x:v>design.refine.ceramic.grog</x:v>
      </x:c>
      <x:c r="K10" s="4" t="str">
        <x:f>IFERROR(INDEX('Crafting recipes'!$C$6:$C$1005,MATCH(J10,'Crafting recipes'!$A$6:$A$1005,0)),"MISSING ID")</x:f>
        <x:v>Material refinement</x:v>
      </x:c>
      <x:c r="L10" s="4" t="str">
        <x:f>IFERROR(INDEX('Material routes'!$K$6:$K$1005,MATCH(U10,'Material routes'!$A$6:$A$1005,0)),"MISSING ID")</x:f>
        <x:v>Proposal</x:v>
      </x:c>
      <x:c r="M10" s="4" t="str">
        <x:f>IFERROR(INDEX('Material routes'!$M$6:$M$1005,MATCH(U10,'Material routes'!$A$6:$A$1005,0)),"MISSING ID")</x:f>
        <x:v>Partial proposal</x:v>
      </x:c>
      <x:c r="N10" s="4" t="str">
        <x:f>IF(IFERROR(INDEX('Material routes'!$I$6:$I$1005,MATCH(U10,'Material routes'!$A$6:$A$1005,0)),"MISSING ID")=0,"",IFERROR(INDEX('Material routes'!$I$6:$I$1005,MATCH(U10,'Material routes'!$A$6:$A$1005,0)),"MISSING ID"))</x:f>
      </x:c>
      <x:c r="O10" s="4" t="str">
        <x:f>IFERROR(INDEX('Material routes'!$J$6:$J$1005,MATCH(U10,'Material routes'!$A$6:$A$1005,0)),"MISSING ID")</x:f>
        <x:v>Unspecified</x:v>
      </x:c>
      <x:c r="P10" s="4" t="str">
        <x:f>IF(IFERROR(INDEX('Material routes'!$I$6:$I$1005,MATCH(V10,'Material routes'!$A$6:$A$1005,0)),"MISSING ID")=0,"",IFERROR(INDEX('Material routes'!$I$6:$I$1005,MATCH(V10,'Material routes'!$A$6:$A$1005,0)),"MISSING ID"))</x:f>
      </x:c>
      <x:c r="Q10" s="4" t="str">
        <x:f>IFERROR(INDEX('Material routes'!$J$6:$J$1005,MATCH(V10,'Material routes'!$A$6:$A$1005,0)),"MISSING ID")</x:f>
        <x:v>Unspecified</x:v>
      </x:c>
      <x:c r="R10" s="4" t="str">
        <x:f>IF(L10="Withheld","Withheld premise",IF(E10="Tool candidate","Reusable prerequisite",IF(K10="Raw entry preparation","Entry-resource preparation",IF(G10="Not applicable","Finished endpoint",IF(OR(IFERROR(INDEX('Crafting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routes'!$D$6:$D$1005,MATCH(U10,'Material routes'!$A$6:$A$1005,0)),"MISSING ID")</x:f>
        <x:v>proposal.raw.ceramic_shards</x:v>
      </x:c>
      <x:c r="T10" s="4" t="str">
        <x:f>IFERROR(INDEX('Material routes'!$D$6:$D$1005,MATCH(V10,'Material routes'!$A$6:$A$1005,0)),"MISSING ID")</x:f>
        <x:v>proposal.ceramic.grog</x:v>
      </x:c>
      <x:c r="U10" s="4" t="str">
        <x:v>material.route.006</x:v>
      </x:c>
      <x:c r="V10" s="4" t="str">
        <x:v>output.design.refine.ceramic.grog</x:v>
      </x:c>
    </x:row>
    <x:row r="11" ht="85" customHeight="1">
      <x:c r="A11" s="4" t="str">
        <x:f>IFERROR(INDEX('Material routes'!$E$6:$E$1005,MATCH(U11,'Material routes'!$A$6:$A$1005,0)),"MISSING ID")</x:f>
        <x:v>Claystone</x:v>
      </x:c>
      <x:c r="B11" s="4" t="str">
        <x:f>IFERROR(INDEX('Material routes'!$F$6:$F$1005,MATCH(U11,'Material routes'!$A$6:$A$1005,0)),"MISSING ID")</x:f>
        <x:v>T0</x:v>
      </x:c>
      <x:c r="C11" s="4" t="str">
        <x:f>IFERROR(INDEX('Material routes'!$H$6:$H$1005,MATCH(U11,'Material routes'!$A$6:$A$1005,0)),"MISSING ID")</x:f>
        <x:v>Raw material</x:v>
      </x:c>
      <x:c r="D11" s="4" t="str">
        <x:f>IFERROR(INDEX('Material routes'!$G$6:$G$1005,MATCH(U11,'Material routes'!$A$6:$A$1005,0)),"MISSING ID")</x:f>
        <x:v>Resources</x:v>
      </x:c>
      <x:c r="E11" s="4" t="str">
        <x:f>IFERROR(INDEX('Material routes'!$C$6:$C$1005,MATCH(U11,'Material routes'!$A$6:$A$1005,0)),"MISSING ID")</x:f>
        <x:v>Ingredient candidate</x:v>
      </x:c>
      <x:c r="F11" s="4" t="str">
        <x:f>IFERROR(INDEX('Material routes'!$E$6:$E$1005,MATCH(V11,'Material routes'!$A$6:$A$1005,0)),"MISSING ID")</x:f>
        <x:v>Prepared ceramic body feed</x:v>
      </x:c>
      <x:c r="G11" s="4" t="str">
        <x:f>IFERROR(INDEX('Material routes'!$F$6:$F$1005,MATCH(V11,'Material routes'!$A$6:$A$1005,0)),"MISSING ID")</x:f>
        <x:v>T1</x:v>
      </x:c>
      <x:c r="H11" s="4" t="str">
        <x:f>IFERROR(INDEX('Material routes'!$H$6:$H$1005,MATCH(V11,'Material routes'!$A$6:$A$1005,0)),"MISSING ID")</x:f>
        <x:v>Processed material</x:v>
      </x:c>
      <x:c r="I11" s="4" t="str">
        <x:f>IFERROR(INDEX('Material routes'!$G$6:$G$1005,MATCH(V11,'Material routes'!$A$6:$A$1005,0)),"MISSING ID")</x:f>
        <x:v>Resources</x:v>
      </x:c>
      <x:c r="J11" s="4" t="str">
        <x:f>IFERROR(INDEX('Material routes'!$B$6:$B$1005,MATCH(U11,'Material routes'!$A$6:$A$1005,0)),"MISSING ID")</x:f>
        <x:v>design.refine.ceramic.body_feed</x:v>
      </x:c>
      <x:c r="K11" s="4" t="str">
        <x:f>IFERROR(INDEX('Crafting recipes'!$C$6:$C$1005,MATCH(J11,'Crafting recipes'!$A$6:$A$1005,0)),"MISSING ID")</x:f>
        <x:v>Material refinement</x:v>
      </x:c>
      <x:c r="L11" s="4" t="str">
        <x:f>IFERROR(INDEX('Material routes'!$K$6:$K$1005,MATCH(U11,'Material routes'!$A$6:$A$1005,0)),"MISSING ID")</x:f>
        <x:v>Proposal</x:v>
      </x:c>
      <x:c r="M11" s="4" t="str">
        <x:f>IFERROR(INDEX('Material routes'!$M$6:$M$1005,MATCH(U11,'Material routes'!$A$6:$A$1005,0)),"MISSING ID")</x:f>
        <x:v>Partial proposal</x:v>
      </x:c>
      <x:c r="N11" s="4" t="str">
        <x:f>IF(IFERROR(INDEX('Material routes'!$I$6:$I$1005,MATCH(U11,'Material routes'!$A$6:$A$1005,0)),"MISSING ID")=0,"",IFERROR(INDEX('Material routes'!$I$6:$I$1005,MATCH(U11,'Material routes'!$A$6:$A$1005,0)),"MISSING ID"))</x:f>
      </x:c>
      <x:c r="O11" s="4" t="str">
        <x:f>IFERROR(INDEX('Material routes'!$J$6:$J$1005,MATCH(U11,'Material routes'!$A$6:$A$1005,0)),"MISSING ID")</x:f>
        <x:v>Unspecified</x:v>
      </x:c>
      <x:c r="P11" s="4" t="str">
        <x:f>IF(IFERROR(INDEX('Material routes'!$I$6:$I$1005,MATCH(V11,'Material routes'!$A$6:$A$1005,0)),"MISSING ID")=0,"",IFERROR(INDEX('Material routes'!$I$6:$I$1005,MATCH(V11,'Material routes'!$A$6:$A$1005,0)),"MISSING ID"))</x:f>
      </x:c>
      <x:c r="Q11" s="4" t="str">
        <x:f>IFERROR(INDEX('Material routes'!$J$6:$J$1005,MATCH(V11,'Material routes'!$A$6:$A$1005,0)),"MISSING ID")</x:f>
        <x:v>Unspecified</x:v>
      </x:c>
      <x:c r="R11" s="4" t="str">
        <x:f>IF(L11="Withheld","Withheld premise",IF(E11="Tool candidate","Reusable prerequisite",IF(K11="Raw entry preparation","Entry-resource preparation",IF(G11="Not applicable","Finished endpoint",IF(OR(IFERROR(INDEX('Crafting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routes'!$D$6:$D$1005,MATCH(U11,'Material routes'!$A$6:$A$1005,0)),"MISSING ID")</x:f>
        <x:v>proposal.natural.claystone</x:v>
      </x:c>
      <x:c r="T11" s="4" t="str">
        <x:f>IFERROR(INDEX('Material routes'!$D$6:$D$1005,MATCH(V11,'Material routes'!$A$6:$A$1005,0)),"MISSING ID")</x:f>
        <x:v>proposal.ceramic.body_feed</x:v>
      </x:c>
      <x:c r="U11" s="4" t="str">
        <x:v>material.route.007</x:v>
      </x:c>
      <x:c r="V11" s="4" t="str">
        <x:v>output.design.refine.ceramic.body_feed</x:v>
      </x:c>
    </x:row>
    <x:row r="12" ht="85" customHeight="1">
      <x:c r="A12" s="4" t="str">
        <x:f>IFERROR(INDEX('Material routes'!$E$6:$E$1005,MATCH(U12,'Material routes'!$A$6:$A$1005,0)),"MISSING ID")</x:f>
        <x:v>Raw borate minerals</x:v>
      </x:c>
      <x:c r="B12" s="4" t="str">
        <x:f>IFERROR(INDEX('Material routes'!$F$6:$F$1005,MATCH(U12,'Material routes'!$A$6:$A$1005,0)),"MISSING ID")</x:f>
        <x:v>T0</x:v>
      </x:c>
      <x:c r="C12" s="4" t="str">
        <x:f>IFERROR(INDEX('Material routes'!$H$6:$H$1005,MATCH(U12,'Material routes'!$A$6:$A$1005,0)),"MISSING ID")</x:f>
        <x:v>Raw material</x:v>
      </x:c>
      <x:c r="D12" s="4" t="str">
        <x:f>IFERROR(INDEX('Material routes'!$G$6:$G$1005,MATCH(U12,'Material routes'!$A$6:$A$1005,0)),"MISSING ID")</x:f>
        <x:v>Resources</x:v>
      </x:c>
      <x:c r="E12" s="4" t="str">
        <x:f>IFERROR(INDEX('Material routes'!$C$6:$C$1005,MATCH(U12,'Material routes'!$A$6:$A$1005,0)),"MISSING ID")</x:f>
        <x:v>Ingredient candidate</x:v>
      </x:c>
      <x:c r="F12" s="4" t="str">
        <x:f>IFERROR(INDEX('Material routes'!$E$6:$E$1005,MATCH(V12,'Material routes'!$A$6:$A$1005,0)),"MISSING ID")</x:f>
        <x:v>Prepared glaze feed</x:v>
      </x:c>
      <x:c r="G12" s="4" t="str">
        <x:f>IFERROR(INDEX('Material routes'!$F$6:$F$1005,MATCH(V12,'Material routes'!$A$6:$A$1005,0)),"MISSING ID")</x:f>
        <x:v>T1</x:v>
      </x:c>
      <x:c r="H12" s="4" t="str">
        <x:f>IFERROR(INDEX('Material routes'!$H$6:$H$1005,MATCH(V12,'Material routes'!$A$6:$A$1005,0)),"MISSING ID")</x:f>
        <x:v>Processed material</x:v>
      </x:c>
      <x:c r="I12" s="4" t="str">
        <x:f>IFERROR(INDEX('Material routes'!$G$6:$G$1005,MATCH(V12,'Material routes'!$A$6:$A$1005,0)),"MISSING ID")</x:f>
        <x:v>Resources</x:v>
      </x:c>
      <x:c r="J12" s="4" t="str">
        <x:f>IFERROR(INDEX('Material routes'!$B$6:$B$1005,MATCH(U12,'Material routes'!$A$6:$A$1005,0)),"MISSING ID")</x:f>
        <x:v>design.refine.ceramic.glaze_feed</x:v>
      </x:c>
      <x:c r="K12" s="4" t="str">
        <x:f>IFERROR(INDEX('Crafting recipes'!$C$6:$C$1005,MATCH(J12,'Crafting recipes'!$A$6:$A$1005,0)),"MISSING ID")</x:f>
        <x:v>Material refinement</x:v>
      </x:c>
      <x:c r="L12" s="4" t="str">
        <x:f>IFERROR(INDEX('Material routes'!$K$6:$K$1005,MATCH(U12,'Material routes'!$A$6:$A$1005,0)),"MISSING ID")</x:f>
        <x:v>Proposal</x:v>
      </x:c>
      <x:c r="M12" s="4" t="str">
        <x:f>IFERROR(INDEX('Material routes'!$M$6:$M$1005,MATCH(U12,'Material routes'!$A$6:$A$1005,0)),"MISSING ID")</x:f>
        <x:v>Partial proposal</x:v>
      </x:c>
      <x:c r="N12" s="4" t="str">
        <x:f>IF(IFERROR(INDEX('Material routes'!$I$6:$I$1005,MATCH(U12,'Material routes'!$A$6:$A$1005,0)),"MISSING ID")=0,"",IFERROR(INDEX('Material routes'!$I$6:$I$1005,MATCH(U12,'Material routes'!$A$6:$A$1005,0)),"MISSING ID"))</x:f>
      </x:c>
      <x:c r="O12" s="4" t="str">
        <x:f>IFERROR(INDEX('Material routes'!$J$6:$J$1005,MATCH(U12,'Material routes'!$A$6:$A$1005,0)),"MISSING ID")</x:f>
        <x:v>Unspecified</x:v>
      </x:c>
      <x:c r="P12" s="4" t="str">
        <x:f>IF(IFERROR(INDEX('Material routes'!$I$6:$I$1005,MATCH(V12,'Material routes'!$A$6:$A$1005,0)),"MISSING ID")=0,"",IFERROR(INDEX('Material routes'!$I$6:$I$1005,MATCH(V12,'Material routes'!$A$6:$A$1005,0)),"MISSING ID"))</x:f>
      </x:c>
      <x:c r="Q12" s="4" t="str">
        <x:f>IFERROR(INDEX('Material routes'!$J$6:$J$1005,MATCH(V12,'Material routes'!$A$6:$A$1005,0)),"MISSING ID")</x:f>
        <x:v>Unspecified</x:v>
      </x:c>
      <x:c r="R12" s="4" t="str">
        <x:f>IF(L12="Withheld","Withheld premise",IF(E12="Tool candidate","Reusable prerequisite",IF(K12="Raw entry preparation","Entry-resource preparation",IF(G12="Not applicable","Finished endpoint",IF(OR(IFERROR(INDEX('Crafting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routes'!$D$6:$D$1005,MATCH(U12,'Material routes'!$A$6:$A$1005,0)),"MISSING ID")</x:f>
        <x:v>proposal.natural.borate</x:v>
      </x:c>
      <x:c r="T12" s="4" t="str">
        <x:f>IFERROR(INDEX('Material routes'!$D$6:$D$1005,MATCH(V12,'Material routes'!$A$6:$A$1005,0)),"MISSING ID")</x:f>
        <x:v>proposal.ceramic.glaze_feed</x:v>
      </x:c>
      <x:c r="U12" s="4" t="str">
        <x:v>material.route.008</x:v>
      </x:c>
      <x:c r="V12" s="4" t="str">
        <x:v>output.design.refine.ceramic.glaze_feed</x:v>
      </x:c>
    </x:row>
    <x:row r="13" ht="85" customHeight="1">
      <x:c r="A13" s="4" t="str">
        <x:f>IFERROR(INDEX('Material routes'!$E$6:$E$1005,MATCH(U13,'Material routes'!$A$6:$A$1005,0)),"MISSING ID")</x:f>
        <x:v>Raw hide</x:v>
      </x:c>
      <x:c r="B13" s="4" t="str">
        <x:f>IFERROR(INDEX('Material routes'!$F$6:$F$1005,MATCH(U13,'Material routes'!$A$6:$A$1005,0)),"MISSING ID")</x:f>
        <x:v>T0</x:v>
      </x:c>
      <x:c r="C13" s="4" t="str">
        <x:f>IFERROR(INDEX('Material routes'!$H$6:$H$1005,MATCH(U13,'Material routes'!$A$6:$A$1005,0)),"MISSING ID")</x:f>
        <x:v>Raw material</x:v>
      </x:c>
      <x:c r="D13" s="4" t="str">
        <x:f>IFERROR(INDEX('Material routes'!$G$6:$G$1005,MATCH(U13,'Material routes'!$A$6:$A$1005,0)),"MISSING ID")</x:f>
        <x:v>Resources</x:v>
      </x:c>
      <x:c r="E13" s="4" t="str">
        <x:f>IFERROR(INDEX('Material routes'!$C$6:$C$1005,MATCH(U13,'Material routes'!$A$6:$A$1005,0)),"MISSING ID")</x:f>
        <x:v>Ingredient candidate</x:v>
      </x:c>
      <x:c r="F13" s="4" t="str">
        <x:f>IFERROR(INDEX('Material routes'!$E$6:$E$1005,MATCH(V13,'Material routes'!$A$6:$A$1005,0)),"MISSING ID")</x:f>
        <x:v>Processed hide material</x:v>
      </x:c>
      <x:c r="G13" s="4" t="str">
        <x:f>IFERROR(INDEX('Material routes'!$F$6:$F$1005,MATCH(V13,'Material routes'!$A$6:$A$1005,0)),"MISSING ID")</x:f>
        <x:v>T1</x:v>
      </x:c>
      <x:c r="H13" s="4" t="str">
        <x:f>IFERROR(INDEX('Material routes'!$H$6:$H$1005,MATCH(V13,'Material routes'!$A$6:$A$1005,0)),"MISSING ID")</x:f>
        <x:v>Processed material</x:v>
      </x:c>
      <x:c r="I13" s="4" t="str">
        <x:f>IFERROR(INDEX('Material routes'!$G$6:$G$1005,MATCH(V13,'Material routes'!$A$6:$A$1005,0)),"MISSING ID")</x:f>
        <x:v>Crafting components</x:v>
      </x:c>
      <x:c r="J13" s="4" t="str">
        <x:f>IFERROR(INDEX('Material routes'!$B$6:$B$1005,MATCH(U13,'Material routes'!$A$6:$A$1005,0)),"MISSING ID")</x:f>
        <x:v>design.refine.bio.hide_material</x:v>
      </x:c>
      <x:c r="K13" s="4" t="str">
        <x:f>IFERROR(INDEX('Crafting recipes'!$C$6:$C$1005,MATCH(J13,'Crafting recipes'!$A$6:$A$1005,0)),"MISSING ID")</x:f>
        <x:v>Material refinement</x:v>
      </x:c>
      <x:c r="L13" s="4" t="str">
        <x:f>IFERROR(INDEX('Material routes'!$K$6:$K$1005,MATCH(U13,'Material routes'!$A$6:$A$1005,0)),"MISSING ID")</x:f>
        <x:v>Proposal</x:v>
      </x:c>
      <x:c r="M13" s="4" t="str">
        <x:f>IFERROR(INDEX('Material routes'!$M$6:$M$1005,MATCH(U13,'Material routes'!$A$6:$A$1005,0)),"MISSING ID")</x:f>
        <x:v>Partial proposal</x:v>
      </x:c>
      <x:c r="N13" s="4" t="str">
        <x:f>IF(IFERROR(INDEX('Material routes'!$I$6:$I$1005,MATCH(U13,'Material routes'!$A$6:$A$1005,0)),"MISSING ID")=0,"",IFERROR(INDEX('Material routes'!$I$6:$I$1005,MATCH(U13,'Material routes'!$A$6:$A$1005,0)),"MISSING ID"))</x:f>
      </x:c>
      <x:c r="O13" s="4" t="str">
        <x:f>IFERROR(INDEX('Material routes'!$J$6:$J$1005,MATCH(U13,'Material routes'!$A$6:$A$1005,0)),"MISSING ID")</x:f>
        <x:v>Unspecified</x:v>
      </x:c>
      <x:c r="P13" s="4" t="str">
        <x:f>IF(IFERROR(INDEX('Material routes'!$I$6:$I$1005,MATCH(V13,'Material routes'!$A$6:$A$1005,0)),"MISSING ID")=0,"",IFERROR(INDEX('Material routes'!$I$6:$I$1005,MATCH(V13,'Material routes'!$A$6:$A$1005,0)),"MISSING ID"))</x:f>
      </x:c>
      <x:c r="Q13" s="4" t="str">
        <x:f>IFERROR(INDEX('Material routes'!$J$6:$J$1005,MATCH(V13,'Material routes'!$A$6:$A$1005,0)),"MISSING ID")</x:f>
        <x:v>Unspecified</x:v>
      </x:c>
      <x:c r="R13" s="4" t="str">
        <x:f>IF(L13="Withheld","Withheld premise",IF(E13="Tool candidate","Reusable prerequisite",IF(K13="Raw entry preparation","Entry-resource preparation",IF(G13="Not applicable","Finished endpoint",IF(OR(IFERROR(INDEX('Crafting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routes'!$D$6:$D$1005,MATCH(U13,'Material routes'!$A$6:$A$1005,0)),"MISSING ID")</x:f>
        <x:v>proposal.bio.hide</x:v>
      </x:c>
      <x:c r="T13" s="4" t="str">
        <x:f>IFERROR(INDEX('Material routes'!$D$6:$D$1005,MATCH(V13,'Material routes'!$A$6:$A$1005,0)),"MISSING ID")</x:f>
        <x:v>proposal.bio.hide_material</x:v>
      </x:c>
      <x:c r="U13" s="4" t="str">
        <x:v>material.route.009</x:v>
      </x:c>
      <x:c r="V13" s="4" t="str">
        <x:v>output.design.refine.bio.hide_material</x:v>
      </x:c>
    </x:row>
    <x:row r="14" ht="85" customHeight="1">
      <x:c r="A14" s="4" t="str">
        <x:f>IFERROR(INDEX('Material routes'!$E$6:$E$1005,MATCH(U14,'Material routes'!$A$6:$A$1005,0)),"MISSING ID")</x:f>
        <x:v>Shed underfur</x:v>
      </x:c>
      <x:c r="B14" s="4" t="str">
        <x:f>IFERROR(INDEX('Material routes'!$F$6:$F$1005,MATCH(U14,'Material routes'!$A$6:$A$1005,0)),"MISSING ID")</x:f>
        <x:v>T0</x:v>
      </x:c>
      <x:c r="C14" s="4" t="str">
        <x:f>IFERROR(INDEX('Material routes'!$H$6:$H$1005,MATCH(U14,'Material routes'!$A$6:$A$1005,0)),"MISSING ID")</x:f>
        <x:v>Raw material</x:v>
      </x:c>
      <x:c r="D14" s="4" t="str">
        <x:f>IFERROR(INDEX('Material routes'!$G$6:$G$1005,MATCH(U14,'Material routes'!$A$6:$A$1005,0)),"MISSING ID")</x:f>
        <x:v>Resources</x:v>
      </x:c>
      <x:c r="E14" s="4" t="str">
        <x:f>IFERROR(INDEX('Material routes'!$C$6:$C$1005,MATCH(U14,'Material routes'!$A$6:$A$1005,0)),"MISSING ID")</x:f>
        <x:v>Ingredient candidate</x:v>
      </x:c>
      <x:c r="F14" s="4" t="str">
        <x:f>IFERROR(INDEX('Material routes'!$E$6:$E$1005,MATCH(V14,'Material routes'!$A$6:$A$1005,0)),"MISSING ID")</x:f>
        <x:v>Pressed fur-fiber material</x:v>
      </x:c>
      <x:c r="G14" s="4" t="str">
        <x:f>IFERROR(INDEX('Material routes'!$F$6:$F$1005,MATCH(V14,'Material routes'!$A$6:$A$1005,0)),"MISSING ID")</x:f>
        <x:v>T1</x:v>
      </x:c>
      <x:c r="H14" s="4" t="str">
        <x:f>IFERROR(INDEX('Material routes'!$H$6:$H$1005,MATCH(V14,'Material routes'!$A$6:$A$1005,0)),"MISSING ID")</x:f>
        <x:v>Processed material</x:v>
      </x:c>
      <x:c r="I14" s="4" t="str">
        <x:f>IFERROR(INDEX('Material routes'!$G$6:$G$1005,MATCH(V14,'Material routes'!$A$6:$A$1005,0)),"MISSING ID")</x:f>
        <x:v>Crafting components</x:v>
      </x:c>
      <x:c r="J14" s="4" t="str">
        <x:f>IFERROR(INDEX('Material routes'!$B$6:$B$1005,MATCH(U14,'Material routes'!$A$6:$A$1005,0)),"MISSING ID")</x:f>
        <x:v>design.refine.bio.liner</x:v>
      </x:c>
      <x:c r="K14" s="4" t="str">
        <x:f>IFERROR(INDEX('Crafting recipes'!$C$6:$C$1005,MATCH(J14,'Crafting recipes'!$A$6:$A$1005,0)),"MISSING ID")</x:f>
        <x:v>Material refinement</x:v>
      </x:c>
      <x:c r="L14" s="4" t="str">
        <x:f>IFERROR(INDEX('Material routes'!$K$6:$K$1005,MATCH(U14,'Material routes'!$A$6:$A$1005,0)),"MISSING ID")</x:f>
        <x:v>Proposal</x:v>
      </x:c>
      <x:c r="M14" s="4" t="str">
        <x:f>IFERROR(INDEX('Material routes'!$M$6:$M$1005,MATCH(U14,'Material routes'!$A$6:$A$1005,0)),"MISSING ID")</x:f>
        <x:v>Partial proposal</x:v>
      </x:c>
      <x:c r="N14" s="4" t="str">
        <x:f>IF(IFERROR(INDEX('Material routes'!$I$6:$I$1005,MATCH(U14,'Material routes'!$A$6:$A$1005,0)),"MISSING ID")=0,"",IFERROR(INDEX('Material routes'!$I$6:$I$1005,MATCH(U14,'Material routes'!$A$6:$A$1005,0)),"MISSING ID"))</x:f>
      </x:c>
      <x:c r="O14" s="4" t="str">
        <x:f>IFERROR(INDEX('Material routes'!$J$6:$J$1005,MATCH(U14,'Material routes'!$A$6:$A$1005,0)),"MISSING ID")</x:f>
        <x:v>Unspecified</x:v>
      </x:c>
      <x:c r="P14" s="4" t="str">
        <x:f>IF(IFERROR(INDEX('Material routes'!$I$6:$I$1005,MATCH(V14,'Material routes'!$A$6:$A$1005,0)),"MISSING ID")=0,"",IFERROR(INDEX('Material routes'!$I$6:$I$1005,MATCH(V14,'Material routes'!$A$6:$A$1005,0)),"MISSING ID"))</x:f>
      </x:c>
      <x:c r="Q14" s="4" t="str">
        <x:f>IFERROR(INDEX('Material routes'!$J$6:$J$1005,MATCH(V14,'Material routes'!$A$6:$A$1005,0)),"MISSING ID")</x:f>
        <x:v>Unspecified</x:v>
      </x:c>
      <x:c r="R14" s="4" t="str">
        <x:f>IF(L14="Withheld","Withheld premise",IF(E14="Tool candidate","Reusable prerequisite",IF(K14="Raw entry preparation","Entry-resource preparation",IF(G14="Not applicable","Finished endpoint",IF(OR(IFERROR(INDEX('Crafting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routes'!$D$6:$D$1005,MATCH(U14,'Material routes'!$A$6:$A$1005,0)),"MISSING ID")</x:f>
        <x:v>proposal.bio.underfur</x:v>
      </x:c>
      <x:c r="T14" s="4" t="str">
        <x:f>IFERROR(INDEX('Material routes'!$D$6:$D$1005,MATCH(V14,'Material routes'!$A$6:$A$1005,0)),"MISSING ID")</x:f>
        <x:v>proposal.bio.liner</x:v>
      </x:c>
      <x:c r="U14" s="4" t="str">
        <x:v>material.route.010</x:v>
      </x:c>
      <x:c r="V14" s="4" t="str">
        <x:v>output.design.refine.bio.liner</x:v>
      </x:c>
    </x:row>
    <x:row r="15" ht="85" customHeight="1">
      <x:c r="A15" s="4" t="str">
        <x:f>IFERROR(INDEX('Material routes'!$E$6:$E$1005,MATCH(U15,'Material routes'!$A$6:$A$1005,0)),"MISSING ID")</x:f>
        <x:v>Dried tendon bundles</x:v>
      </x:c>
      <x:c r="B15" s="4" t="str">
        <x:f>IFERROR(INDEX('Material routes'!$F$6:$F$1005,MATCH(U15,'Material routes'!$A$6:$A$1005,0)),"MISSING ID")</x:f>
        <x:v>T0</x:v>
      </x:c>
      <x:c r="C15" s="4" t="str">
        <x:f>IFERROR(INDEX('Material routes'!$H$6:$H$1005,MATCH(U15,'Material routes'!$A$6:$A$1005,0)),"MISSING ID")</x:f>
        <x:v>Raw material</x:v>
      </x:c>
      <x:c r="D15" s="4" t="str">
        <x:f>IFERROR(INDEX('Material routes'!$G$6:$G$1005,MATCH(U15,'Material routes'!$A$6:$A$1005,0)),"MISSING ID")</x:f>
        <x:v>Resources</x:v>
      </x:c>
      <x:c r="E15" s="4" t="str">
        <x:f>IFERROR(INDEX('Material routes'!$C$6:$C$1005,MATCH(U15,'Material routes'!$A$6:$A$1005,0)),"MISSING ID")</x:f>
        <x:v>Ingredient candidate</x:v>
      </x:c>
      <x:c r="F15" s="4" t="str">
        <x:f>IFERROR(INDEX('Material routes'!$E$6:$E$1005,MATCH(V15,'Material routes'!$A$6:$A$1005,0)),"MISSING ID")</x:f>
        <x:v>Tendon cord</x:v>
      </x:c>
      <x:c r="G15" s="4" t="str">
        <x:f>IFERROR(INDEX('Material routes'!$F$6:$F$1005,MATCH(V15,'Material routes'!$A$6:$A$1005,0)),"MISSING ID")</x:f>
        <x:v>T1</x:v>
      </x:c>
      <x:c r="H15" s="4" t="str">
        <x:f>IFERROR(INDEX('Material routes'!$H$6:$H$1005,MATCH(V15,'Material routes'!$A$6:$A$1005,0)),"MISSING ID")</x:f>
        <x:v>Crafting component</x:v>
      </x:c>
      <x:c r="I15" s="4" t="str">
        <x:f>IFERROR(INDEX('Material routes'!$G$6:$G$1005,MATCH(V15,'Material routes'!$A$6:$A$1005,0)),"MISSING ID")</x:f>
        <x:v>Crafting components</x:v>
      </x:c>
      <x:c r="J15" s="4" t="str">
        <x:f>IFERROR(INDEX('Material routes'!$B$6:$B$1005,MATCH(U15,'Material routes'!$A$6:$A$1005,0)),"MISSING ID")</x:f>
        <x:v>design.refine.bio.cord</x:v>
      </x:c>
      <x:c r="K15" s="4" t="str">
        <x:f>IFERROR(INDEX('Crafting recipes'!$C$6:$C$1005,MATCH(J15,'Crafting recipes'!$A$6:$A$1005,0)),"MISSING ID")</x:f>
        <x:v>Material refinement</x:v>
      </x:c>
      <x:c r="L15" s="4" t="str">
        <x:f>IFERROR(INDEX('Material routes'!$K$6:$K$1005,MATCH(U15,'Material routes'!$A$6:$A$1005,0)),"MISSING ID")</x:f>
        <x:v>Proposal</x:v>
      </x:c>
      <x:c r="M15" s="4" t="str">
        <x:f>IFERROR(INDEX('Material routes'!$M$6:$M$1005,MATCH(U15,'Material routes'!$A$6:$A$1005,0)),"MISSING ID")</x:f>
        <x:v>Partial proposal</x:v>
      </x:c>
      <x:c r="N15" s="4" t="str">
        <x:f>IF(IFERROR(INDEX('Material routes'!$I$6:$I$1005,MATCH(U15,'Material routes'!$A$6:$A$1005,0)),"MISSING ID")=0,"",IFERROR(INDEX('Material routes'!$I$6:$I$1005,MATCH(U15,'Material routes'!$A$6:$A$1005,0)),"MISSING ID"))</x:f>
      </x:c>
      <x:c r="O15" s="4" t="str">
        <x:f>IFERROR(INDEX('Material routes'!$J$6:$J$1005,MATCH(U15,'Material routes'!$A$6:$A$1005,0)),"MISSING ID")</x:f>
        <x:v>Unspecified</x:v>
      </x:c>
      <x:c r="P15" s="4" t="str">
        <x:f>IF(IFERROR(INDEX('Material routes'!$I$6:$I$1005,MATCH(V15,'Material routes'!$A$6:$A$1005,0)),"MISSING ID")=0,"",IFERROR(INDEX('Material routes'!$I$6:$I$1005,MATCH(V15,'Material routes'!$A$6:$A$1005,0)),"MISSING ID"))</x:f>
      </x:c>
      <x:c r="Q15" s="4" t="str">
        <x:f>IFERROR(INDEX('Material routes'!$J$6:$J$1005,MATCH(V15,'Material routes'!$A$6:$A$1005,0)),"MISSING ID")</x:f>
        <x:v>Unspecified</x:v>
      </x:c>
      <x:c r="R15" s="4" t="str">
        <x:f>IF(L15="Withheld","Withheld premise",IF(E15="Tool candidate","Reusable prerequisite",IF(K15="Raw entry preparation","Entry-resource preparation",IF(G15="Not applicable","Finished endpoint",IF(OR(IFERROR(INDEX('Crafting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routes'!$D$6:$D$1005,MATCH(U15,'Material routes'!$A$6:$A$1005,0)),"MISSING ID")</x:f>
        <x:v>proposal.bio.tendon</x:v>
      </x:c>
      <x:c r="T15" s="4" t="str">
        <x:f>IFERROR(INDEX('Material routes'!$D$6:$D$1005,MATCH(V15,'Material routes'!$A$6:$A$1005,0)),"MISSING ID")</x:f>
        <x:v>proposal.bio.cord</x:v>
      </x:c>
      <x:c r="U15" s="4" t="str">
        <x:v>material.route.011</x:v>
      </x:c>
      <x:c r="V15" s="4" t="str">
        <x:v>output.design.refine.bio.cord</x:v>
      </x:c>
    </x:row>
    <x:row r="16" ht="85" customHeight="1">
      <x:c r="A16" s="4" t="str">
        <x:f>IFERROR(INDEX('Material routes'!$E$6:$E$1005,MATCH(U16,'Material routes'!$A$6:$A$1005,0)),"MISSING ID")</x:f>
        <x:v>Dried joint membrane</x:v>
      </x:c>
      <x:c r="B16" s="4" t="str">
        <x:f>IFERROR(INDEX('Material routes'!$F$6:$F$1005,MATCH(U16,'Material routes'!$A$6:$A$1005,0)),"MISSING ID")</x:f>
        <x:v>T0</x:v>
      </x:c>
      <x:c r="C16" s="4" t="str">
        <x:f>IFERROR(INDEX('Material routes'!$H$6:$H$1005,MATCH(U16,'Material routes'!$A$6:$A$1005,0)),"MISSING ID")</x:f>
        <x:v>Raw material</x:v>
      </x:c>
      <x:c r="D16" s="4" t="str">
        <x:f>IFERROR(INDEX('Material routes'!$G$6:$G$1005,MATCH(U16,'Material routes'!$A$6:$A$1005,0)),"MISSING ID")</x:f>
        <x:v>Resources</x:v>
      </x:c>
      <x:c r="E16" s="4" t="str">
        <x:f>IFERROR(INDEX('Material routes'!$C$6:$C$1005,MATCH(U16,'Material routes'!$A$6:$A$1005,0)),"MISSING ID")</x:f>
        <x:v>Ingredient candidate</x:v>
      </x:c>
      <x:c r="F16" s="4" t="str">
        <x:f>IFERROR(INDEX('Material routes'!$E$6:$E$1005,MATCH(V16,'Material routes'!$A$6:$A$1005,0)),"MISSING ID")</x:f>
        <x:v>Membrane seal patches</x:v>
      </x:c>
      <x:c r="G16" s="4" t="str">
        <x:f>IFERROR(INDEX('Material routes'!$F$6:$F$1005,MATCH(V16,'Material routes'!$A$6:$A$1005,0)),"MISSING ID")</x:f>
        <x:v>T1</x:v>
      </x:c>
      <x:c r="H16" s="4" t="str">
        <x:f>IFERROR(INDEX('Material routes'!$H$6:$H$1005,MATCH(V16,'Material routes'!$A$6:$A$1005,0)),"MISSING ID")</x:f>
        <x:v>Crafting component</x:v>
      </x:c>
      <x:c r="I16" s="4" t="str">
        <x:f>IFERROR(INDEX('Material routes'!$G$6:$G$1005,MATCH(V16,'Material routes'!$A$6:$A$1005,0)),"MISSING ID")</x:f>
        <x:v>Crafting components</x:v>
      </x:c>
      <x:c r="J16" s="4" t="str">
        <x:f>IFERROR(INDEX('Material routes'!$B$6:$B$1005,MATCH(U16,'Material routes'!$A$6:$A$1005,0)),"MISSING ID")</x:f>
        <x:v>design.refine.bio.seal</x:v>
      </x:c>
      <x:c r="K16" s="4" t="str">
        <x:f>IFERROR(INDEX('Crafting recipes'!$C$6:$C$1005,MATCH(J16,'Crafting recipes'!$A$6:$A$1005,0)),"MISSING ID")</x:f>
        <x:v>Material refinement</x:v>
      </x:c>
      <x:c r="L16" s="4" t="str">
        <x:f>IFERROR(INDEX('Material routes'!$K$6:$K$1005,MATCH(U16,'Material routes'!$A$6:$A$1005,0)),"MISSING ID")</x:f>
        <x:v>Proposal</x:v>
      </x:c>
      <x:c r="M16" s="4" t="str">
        <x:f>IFERROR(INDEX('Material routes'!$M$6:$M$1005,MATCH(U16,'Material routes'!$A$6:$A$1005,0)),"MISSING ID")</x:f>
        <x:v>Partial proposal</x:v>
      </x:c>
      <x:c r="N16" s="4" t="str">
        <x:f>IF(IFERROR(INDEX('Material routes'!$I$6:$I$1005,MATCH(U16,'Material routes'!$A$6:$A$1005,0)),"MISSING ID")=0,"",IFERROR(INDEX('Material routes'!$I$6:$I$1005,MATCH(U16,'Material routes'!$A$6:$A$1005,0)),"MISSING ID"))</x:f>
      </x:c>
      <x:c r="O16" s="4" t="str">
        <x:f>IFERROR(INDEX('Material routes'!$J$6:$J$1005,MATCH(U16,'Material routes'!$A$6:$A$1005,0)),"MISSING ID")</x:f>
        <x:v>Unspecified</x:v>
      </x:c>
      <x:c r="P16" s="4" t="str">
        <x:f>IF(IFERROR(INDEX('Material routes'!$I$6:$I$1005,MATCH(V16,'Material routes'!$A$6:$A$1005,0)),"MISSING ID")=0,"",IFERROR(INDEX('Material routes'!$I$6:$I$1005,MATCH(V16,'Material routes'!$A$6:$A$1005,0)),"MISSING ID"))</x:f>
      </x:c>
      <x:c r="Q16" s="4" t="str">
        <x:f>IFERROR(INDEX('Material routes'!$J$6:$J$1005,MATCH(V16,'Material routes'!$A$6:$A$1005,0)),"MISSING ID")</x:f>
        <x:v>Unspecified</x:v>
      </x:c>
      <x:c r="R16" s="4" t="str">
        <x:f>IF(L16="Withheld","Withheld premise",IF(E16="Tool candidate","Reusable prerequisite",IF(K16="Raw entry preparation","Entry-resource preparation",IF(G16="Not applicable","Finished endpoint",IF(OR(IFERROR(INDEX('Crafting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routes'!$D$6:$D$1005,MATCH(U16,'Material routes'!$A$6:$A$1005,0)),"MISSING ID")</x:f>
        <x:v>proposal.bio.membrane</x:v>
      </x:c>
      <x:c r="T16" s="4" t="str">
        <x:f>IFERROR(INDEX('Material routes'!$D$6:$D$1005,MATCH(V16,'Material routes'!$A$6:$A$1005,0)),"MISSING ID")</x:f>
        <x:v>proposal.bio.seal</x:v>
      </x:c>
      <x:c r="U16" s="4" t="str">
        <x:v>material.route.012</x:v>
      </x:c>
      <x:c r="V16" s="4" t="str">
        <x:v>output.design.refine.bio.seal</x:v>
      </x:c>
    </x:row>
    <x:row r="17" ht="85" customHeight="1">
      <x:c r="A17" s="4" t="str">
        <x:f>IFERROR(INDEX('Material routes'!$E$6:$E$1005,MATCH(U17,'Material routes'!$A$6:$A$1005,0)),"MISSING ID")</x:f>
        <x:v>Scraped icore fibers</x:v>
      </x:c>
      <x:c r="B17" s="4" t="str">
        <x:f>IFERROR(INDEX('Material routes'!$F$6:$F$1005,MATCH(U17,'Material routes'!$A$6:$A$1005,0)),"MISSING ID")</x:f>
        <x:v>T0</x:v>
      </x:c>
      <x:c r="C17" s="4" t="str">
        <x:f>IFERROR(INDEX('Material routes'!$H$6:$H$1005,MATCH(U17,'Material routes'!$A$6:$A$1005,0)),"MISSING ID")</x:f>
        <x:v>Raw material</x:v>
      </x:c>
      <x:c r="D17" s="4" t="str">
        <x:f>IFERROR(INDEX('Material routes'!$G$6:$G$1005,MATCH(U17,'Material routes'!$A$6:$A$1005,0)),"MISSING ID")</x:f>
        <x:v>Resources</x:v>
      </x:c>
      <x:c r="E17" s="4" t="str">
        <x:f>IFERROR(INDEX('Material routes'!$C$6:$C$1005,MATCH(U17,'Material routes'!$A$6:$A$1005,0)),"MISSING ID")</x:f>
        <x:v>Ingredient candidate</x:v>
      </x:c>
      <x:c r="F17" s="4" t="str">
        <x:f>IFERROR(INDEX('Material routes'!$E$6:$E$1005,MATCH(V17,'Material routes'!$A$6:$A$1005,0)),"MISSING ID")</x:f>
        <x:v>Pressed husk-fiber textile material</x:v>
      </x:c>
      <x:c r="G17" s="4" t="str">
        <x:f>IFERROR(INDEX('Material routes'!$F$6:$F$1005,MATCH(V17,'Material routes'!$A$6:$A$1005,0)),"MISSING ID")</x:f>
        <x:v>T1</x:v>
      </x:c>
      <x:c r="H17" s="4" t="str">
        <x:f>IFERROR(INDEX('Material routes'!$H$6:$H$1005,MATCH(V17,'Material routes'!$A$6:$A$1005,0)),"MISSING ID")</x:f>
        <x:v>Processed material</x:v>
      </x:c>
      <x:c r="I17" s="4" t="str">
        <x:f>IFERROR(INDEX('Material routes'!$G$6:$G$1005,MATCH(V17,'Material routes'!$A$6:$A$1005,0)),"MISSING ID")</x:f>
        <x:v>Crafting components</x:v>
      </x:c>
      <x:c r="J17" s="4" t="str">
        <x:f>IFERROR(INDEX('Material routes'!$B$6:$B$1005,MATCH(U17,'Material routes'!$A$6:$A$1005,0)),"MISSING ID")</x:f>
        <x:v>design.refine.bio.pressed_husk</x:v>
      </x:c>
      <x:c r="K17" s="4" t="str">
        <x:f>IFERROR(INDEX('Crafting recipes'!$C$6:$C$1005,MATCH(J17,'Crafting recipes'!$A$6:$A$1005,0)),"MISSING ID")</x:f>
        <x:v>Material refinement</x:v>
      </x:c>
      <x:c r="L17" s="4" t="str">
        <x:f>IFERROR(INDEX('Material routes'!$K$6:$K$1005,MATCH(U17,'Material routes'!$A$6:$A$1005,0)),"MISSING ID")</x:f>
        <x:v>Proposal</x:v>
      </x:c>
      <x:c r="M17" s="4" t="str">
        <x:f>IFERROR(INDEX('Material routes'!$M$6:$M$1005,MATCH(U17,'Material routes'!$A$6:$A$1005,0)),"MISSING ID")</x:f>
        <x:v>Partial proposal</x:v>
      </x:c>
      <x:c r="N17" s="4" t="str">
        <x:f>IF(IFERROR(INDEX('Material routes'!$I$6:$I$1005,MATCH(U17,'Material routes'!$A$6:$A$1005,0)),"MISSING ID")=0,"",IFERROR(INDEX('Material routes'!$I$6:$I$1005,MATCH(U17,'Material routes'!$A$6:$A$1005,0)),"MISSING ID"))</x:f>
      </x:c>
      <x:c r="O17" s="4" t="str">
        <x:f>IFERROR(INDEX('Material routes'!$J$6:$J$1005,MATCH(U17,'Material routes'!$A$6:$A$1005,0)),"MISSING ID")</x:f>
        <x:v>Unspecified</x:v>
      </x:c>
      <x:c r="P17" s="4" t="str">
        <x:f>IF(IFERROR(INDEX('Material routes'!$I$6:$I$1005,MATCH(V17,'Material routes'!$A$6:$A$1005,0)),"MISSING ID")=0,"",IFERROR(INDEX('Material routes'!$I$6:$I$1005,MATCH(V17,'Material routes'!$A$6:$A$1005,0)),"MISSING ID"))</x:f>
      </x:c>
      <x:c r="Q17" s="4" t="str">
        <x:f>IFERROR(INDEX('Material routes'!$J$6:$J$1005,MATCH(V17,'Material routes'!$A$6:$A$1005,0)),"MISSING ID")</x:f>
        <x:v>Unspecified</x:v>
      </x:c>
      <x:c r="R17" s="4" t="str">
        <x:f>IF(L17="Withheld","Withheld premise",IF(E17="Tool candidate","Reusable prerequisite",IF(K17="Raw entry preparation","Entry-resource preparation",IF(G17="Not applicable","Finished endpoint",IF(OR(IFERROR(INDEX('Crafting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routes'!$D$6:$D$1005,MATCH(U17,'Material routes'!$A$6:$A$1005,0)),"MISSING ID")</x:f>
        <x:v>proposal.bio.icore_fibers</x:v>
      </x:c>
      <x:c r="T17" s="4" t="str">
        <x:f>IFERROR(INDEX('Material routes'!$D$6:$D$1005,MATCH(V17,'Material routes'!$A$6:$A$1005,0)),"MISSING ID")</x:f>
        <x:v>proposal.bio.pressed_husk</x:v>
      </x:c>
      <x:c r="U17" s="4" t="str">
        <x:v>material.route.013</x:v>
      </x:c>
      <x:c r="V17" s="4" t="str">
        <x:v>output.design.refine.bio.pressed_husk</x:v>
      </x:c>
    </x:row>
    <x:row r="18" ht="85" customHeight="1">
      <x:c r="A18" s="4" t="str">
        <x:f>IFERROR(INDEX('Material routes'!$E$6:$E$1005,MATCH(U18,'Material routes'!$A$6:$A$1005,0)),"MISSING ID")</x:f>
        <x:v>Delicate inner wing</x:v>
      </x:c>
      <x:c r="B18" s="4" t="str">
        <x:f>IFERROR(INDEX('Material routes'!$F$6:$F$1005,MATCH(U18,'Material routes'!$A$6:$A$1005,0)),"MISSING ID")</x:f>
        <x:v>T0</x:v>
      </x:c>
      <x:c r="C18" s="4" t="str">
        <x:f>IFERROR(INDEX('Material routes'!$H$6:$H$1005,MATCH(U18,'Material routes'!$A$6:$A$1005,0)),"MISSING ID")</x:f>
        <x:v>Raw material</x:v>
      </x:c>
      <x:c r="D18" s="4" t="str">
        <x:f>IFERROR(INDEX('Material routes'!$G$6:$G$1005,MATCH(U18,'Material routes'!$A$6:$A$1005,0)),"MISSING ID")</x:f>
        <x:v>Resources</x:v>
      </x:c>
      <x:c r="E18" s="4" t="str">
        <x:f>IFERROR(INDEX('Material routes'!$C$6:$C$1005,MATCH(U18,'Material routes'!$A$6:$A$1005,0)),"MISSING ID")</x:f>
        <x:v>Ingredient candidate</x:v>
      </x:c>
      <x:c r="F18" s="4" t="str">
        <x:f>IFERROR(INDEX('Material routes'!$E$6:$E$1005,MATCH(V18,'Material routes'!$A$6:$A$1005,0)),"MISSING ID")</x:f>
        <x:v>Prepared wing shade panel</x:v>
      </x:c>
      <x:c r="G18" s="4" t="str">
        <x:f>IFERROR(INDEX('Material routes'!$F$6:$F$1005,MATCH(V18,'Material routes'!$A$6:$A$1005,0)),"MISSING ID")</x:f>
        <x:v>T1</x:v>
      </x:c>
      <x:c r="H18" s="4" t="str">
        <x:f>IFERROR(INDEX('Material routes'!$H$6:$H$1005,MATCH(V18,'Material routes'!$A$6:$A$1005,0)),"MISSING ID")</x:f>
        <x:v>Crafting component</x:v>
      </x:c>
      <x:c r="I18" s="4" t="str">
        <x:f>IFERROR(INDEX('Material routes'!$G$6:$G$1005,MATCH(V18,'Material routes'!$A$6:$A$1005,0)),"MISSING ID")</x:f>
        <x:v>Crafting components</x:v>
      </x:c>
      <x:c r="J18" s="4" t="str">
        <x:f>IFERROR(INDEX('Material routes'!$B$6:$B$1005,MATCH(U18,'Material routes'!$A$6:$A$1005,0)),"MISSING ID")</x:f>
        <x:v>design.refine.bio.wing_panel</x:v>
      </x:c>
      <x:c r="K18" s="4" t="str">
        <x:f>IFERROR(INDEX('Crafting recipes'!$C$6:$C$1005,MATCH(J18,'Crafting recipes'!$A$6:$A$1005,0)),"MISSING ID")</x:f>
        <x:v>Material refinement</x:v>
      </x:c>
      <x:c r="L18" s="4" t="str">
        <x:f>IFERROR(INDEX('Material routes'!$K$6:$K$1005,MATCH(U18,'Material routes'!$A$6:$A$1005,0)),"MISSING ID")</x:f>
        <x:v>Proposal</x:v>
      </x:c>
      <x:c r="M18" s="4" t="str">
        <x:f>IFERROR(INDEX('Material routes'!$M$6:$M$1005,MATCH(U18,'Material routes'!$A$6:$A$1005,0)),"MISSING ID")</x:f>
        <x:v>Partial proposal</x:v>
      </x:c>
      <x:c r="N18" s="4" t="str">
        <x:f>IF(IFERROR(INDEX('Material routes'!$I$6:$I$1005,MATCH(U18,'Material routes'!$A$6:$A$1005,0)),"MISSING ID")=0,"",IFERROR(INDEX('Material routes'!$I$6:$I$1005,MATCH(U18,'Material routes'!$A$6:$A$1005,0)),"MISSING ID"))</x:f>
      </x:c>
      <x:c r="O18" s="4" t="str">
        <x:f>IFERROR(INDEX('Material routes'!$J$6:$J$1005,MATCH(U18,'Material routes'!$A$6:$A$1005,0)),"MISSING ID")</x:f>
        <x:v>Unspecified</x:v>
      </x:c>
      <x:c r="P18" s="4" t="str">
        <x:f>IF(IFERROR(INDEX('Material routes'!$I$6:$I$1005,MATCH(V18,'Material routes'!$A$6:$A$1005,0)),"MISSING ID")=0,"",IFERROR(INDEX('Material routes'!$I$6:$I$1005,MATCH(V18,'Material routes'!$A$6:$A$1005,0)),"MISSING ID"))</x:f>
      </x:c>
      <x:c r="Q18" s="4" t="str">
        <x:f>IFERROR(INDEX('Material routes'!$J$6:$J$1005,MATCH(V18,'Material routes'!$A$6:$A$1005,0)),"MISSING ID")</x:f>
        <x:v>Unspecified</x:v>
      </x:c>
      <x:c r="R18" s="4" t="str">
        <x:f>IF(L18="Withheld","Withheld premise",IF(E18="Tool candidate","Reusable prerequisite",IF(K18="Raw entry preparation","Entry-resource preparation",IF(G18="Not applicable","Finished endpoint",IF(OR(IFERROR(INDEX('Crafting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routes'!$D$6:$D$1005,MATCH(U18,'Material routes'!$A$6:$A$1005,0)),"MISSING ID")</x:f>
        <x:v>proposal.bio.inner_wing</x:v>
      </x:c>
      <x:c r="T18" s="4" t="str">
        <x:f>IFERROR(INDEX('Material routes'!$D$6:$D$1005,MATCH(V18,'Material routes'!$A$6:$A$1005,0)),"MISSING ID")</x:f>
        <x:v>proposal.bio.wing_panel</x:v>
      </x:c>
      <x:c r="U18" s="4" t="str">
        <x:v>material.route.014</x:v>
      </x:c>
      <x:c r="V18" s="4" t="str">
        <x:v>output.design.refine.bio.wing_panel</x:v>
      </x:c>
    </x:row>
    <x:row r="19" ht="85" customHeight="1">
      <x:c r="A19" s="4" t="str">
        <x:f>IFERROR(INDEX('Material routes'!$E$6:$E$1005,MATCH(U19,'Material routes'!$A$6:$A$1005,0)),"MISSING ID")</x:f>
        <x:v>Delicate inner wing</x:v>
      </x:c>
      <x:c r="B19" s="4" t="str">
        <x:f>IFERROR(INDEX('Material routes'!$F$6:$F$1005,MATCH(U19,'Material routes'!$A$6:$A$1005,0)),"MISSING ID")</x:f>
        <x:v>T0</x:v>
      </x:c>
      <x:c r="C19" s="4" t="str">
        <x:f>IFERROR(INDEX('Material routes'!$H$6:$H$1005,MATCH(U19,'Material routes'!$A$6:$A$1005,0)),"MISSING ID")</x:f>
        <x:v>Raw material</x:v>
      </x:c>
      <x:c r="D19" s="4" t="str">
        <x:f>IFERROR(INDEX('Material routes'!$G$6:$G$1005,MATCH(U19,'Material routes'!$A$6:$A$1005,0)),"MISSING ID")</x:f>
        <x:v>Resources</x:v>
      </x:c>
      <x:c r="E19" s="4" t="str">
        <x:f>IFERROR(INDEX('Material routes'!$C$6:$C$1005,MATCH(U19,'Material routes'!$A$6:$A$1005,0)),"MISSING ID")</x:f>
        <x:v>Ingredient candidate</x:v>
      </x:c>
      <x:c r="F19" s="4" t="str">
        <x:f>IFERROR(INDEX('Material routes'!$E$6:$E$1005,MATCH(V19,'Material routes'!$A$6:$A$1005,0)),"MISSING ID")</x:f>
        <x:v>Prepared insect-wing sail panel</x:v>
      </x:c>
      <x:c r="G19" s="4" t="str">
        <x:f>IFERROR(INDEX('Material routes'!$F$6:$F$1005,MATCH(V19,'Material routes'!$A$6:$A$1005,0)),"MISSING ID")</x:f>
        <x:v>T1</x:v>
      </x:c>
      <x:c r="H19" s="4" t="str">
        <x:f>IFERROR(INDEX('Material routes'!$H$6:$H$1005,MATCH(V19,'Material routes'!$A$6:$A$1005,0)),"MISSING ID")</x:f>
        <x:v>Crafting component</x:v>
      </x:c>
      <x:c r="I19" s="4" t="str">
        <x:f>IFERROR(INDEX('Material routes'!$G$6:$G$1005,MATCH(V19,'Material routes'!$A$6:$A$1005,0)),"MISSING ID")</x:f>
        <x:v>Crafting components</x:v>
      </x:c>
      <x:c r="J19" s="4" t="str">
        <x:f>IFERROR(INDEX('Material routes'!$B$6:$B$1005,MATCH(U19,'Material routes'!$A$6:$A$1005,0)),"MISSING ID")</x:f>
        <x:v>design.refine.wind.sail_panel</x:v>
      </x:c>
      <x:c r="K19" s="4" t="str">
        <x:f>IFERROR(INDEX('Crafting recipes'!$C$6:$C$1005,MATCH(J19,'Crafting recipes'!$A$6:$A$1005,0)),"MISSING ID")</x:f>
        <x:v>Material refinement</x:v>
      </x:c>
      <x:c r="L19" s="4" t="str">
        <x:f>IFERROR(INDEX('Material routes'!$K$6:$K$1005,MATCH(U19,'Material routes'!$A$6:$A$1005,0)),"MISSING ID")</x:f>
        <x:v>Proposal</x:v>
      </x:c>
      <x:c r="M19" s="4" t="str">
        <x:f>IFERROR(INDEX('Material routes'!$M$6:$M$1005,MATCH(U19,'Material routes'!$A$6:$A$1005,0)),"MISSING ID")</x:f>
        <x:v>Partial proposal</x:v>
      </x:c>
      <x:c r="N19" s="4" t="str">
        <x:f>IF(IFERROR(INDEX('Material routes'!$I$6:$I$1005,MATCH(U19,'Material routes'!$A$6:$A$1005,0)),"MISSING ID")=0,"",IFERROR(INDEX('Material routes'!$I$6:$I$1005,MATCH(U19,'Material routes'!$A$6:$A$1005,0)),"MISSING ID"))</x:f>
      </x:c>
      <x:c r="O19" s="4" t="str">
        <x:f>IFERROR(INDEX('Material routes'!$J$6:$J$1005,MATCH(U19,'Material routes'!$A$6:$A$1005,0)),"MISSING ID")</x:f>
        <x:v>Unspecified</x:v>
      </x:c>
      <x:c r="P19" s="4" t="str">
        <x:f>IF(IFERROR(INDEX('Material routes'!$I$6:$I$1005,MATCH(V19,'Material routes'!$A$6:$A$1005,0)),"MISSING ID")=0,"",IFERROR(INDEX('Material routes'!$I$6:$I$1005,MATCH(V19,'Material routes'!$A$6:$A$1005,0)),"MISSING ID"))</x:f>
      </x:c>
      <x:c r="Q19" s="4" t="str">
        <x:f>IFERROR(INDEX('Material routes'!$J$6:$J$1005,MATCH(V19,'Material routes'!$A$6:$A$1005,0)),"MISSING ID")</x:f>
        <x:v>Unspecified</x:v>
      </x:c>
      <x:c r="R19" s="4" t="str">
        <x:f>IF(L19="Withheld","Withheld premise",IF(E19="Tool candidate","Reusable prerequisite",IF(K19="Raw entry preparation","Entry-resource preparation",IF(G19="Not applicable","Finished endpoint",IF(OR(IFERROR(INDEX('Crafting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routes'!$D$6:$D$1005,MATCH(U19,'Material routes'!$A$6:$A$1005,0)),"MISSING ID")</x:f>
        <x:v>proposal.bio.inner_wing</x:v>
      </x:c>
      <x:c r="T19" s="4" t="str">
        <x:f>IFERROR(INDEX('Material routes'!$D$6:$D$1005,MATCH(V19,'Material routes'!$A$6:$A$1005,0)),"MISSING ID")</x:f>
        <x:v>proposal.wind.sail_panel</x:v>
      </x:c>
      <x:c r="U19" s="4" t="str">
        <x:v>material.route.015</x:v>
      </x:c>
      <x:c r="V19" s="4" t="str">
        <x:v>output.design.refine.wind.sail_panel</x:v>
      </x:c>
    </x:row>
    <x:row r="20" ht="85" customHeight="1">
      <x:c r="A20" s="4" t="str">
        <x:f>IFERROR(INDEX('Material routes'!$E$6:$E$1005,MATCH(U20,'Material routes'!$A$6:$A$1005,0)),"MISSING ID")</x:f>
        <x:v>Joint-lubricating secretion</x:v>
      </x:c>
      <x:c r="B20" s="4" t="str">
        <x:f>IFERROR(INDEX('Material routes'!$F$6:$F$1005,MATCH(U20,'Material routes'!$A$6:$A$1005,0)),"MISSING ID")</x:f>
        <x:v>T0</x:v>
      </x:c>
      <x:c r="C20" s="4" t="str">
        <x:f>IFERROR(INDEX('Material routes'!$H$6:$H$1005,MATCH(U20,'Material routes'!$A$6:$A$1005,0)),"MISSING ID")</x:f>
        <x:v>Chemical material</x:v>
      </x:c>
      <x:c r="D20" s="4" t="str">
        <x:f>IFERROR(INDEX('Material routes'!$G$6:$G$1005,MATCH(U20,'Material routes'!$A$6:$A$1005,0)),"MISSING ID")</x:f>
        <x:v>Resources</x:v>
      </x:c>
      <x:c r="E20" s="4" t="str">
        <x:f>IFERROR(INDEX('Material routes'!$C$6:$C$1005,MATCH(U20,'Material routes'!$A$6:$A$1005,0)),"MISSING ID")</x:f>
        <x:v>Ingredient candidate</x:v>
      </x:c>
      <x:c r="F20" s="4" t="str">
        <x:f>IFERROR(INDEX('Material routes'!$E$6:$E$1005,MATCH(V20,'Material routes'!$A$6:$A$1005,0)),"MISSING ID")</x:f>
        <x:v>Clarified faunal lubricant base</x:v>
      </x:c>
      <x:c r="G20" s="4" t="str">
        <x:f>IFERROR(INDEX('Material routes'!$F$6:$F$1005,MATCH(V20,'Material routes'!$A$6:$A$1005,0)),"MISSING ID")</x:f>
        <x:v>T1</x:v>
      </x:c>
      <x:c r="H20" s="4" t="str">
        <x:f>IFERROR(INDEX('Material routes'!$H$6:$H$1005,MATCH(V20,'Material routes'!$A$6:$A$1005,0)),"MISSING ID")</x:f>
        <x:v>Chemical material</x:v>
      </x:c>
      <x:c r="I20" s="4" t="str">
        <x:f>IFERROR(INDEX('Material routes'!$G$6:$G$1005,MATCH(V20,'Material routes'!$A$6:$A$1005,0)),"MISSING ID")</x:f>
        <x:v>Resources</x:v>
      </x:c>
      <x:c r="J20" s="4" t="str">
        <x:f>IFERROR(INDEX('Material routes'!$B$6:$B$1005,MATCH(U20,'Material routes'!$A$6:$A$1005,0)),"MISSING ID")</x:f>
        <x:v>design.refine.lubricant.base</x:v>
      </x:c>
      <x:c r="K20" s="4" t="str">
        <x:f>IFERROR(INDEX('Crafting recipes'!$C$6:$C$1005,MATCH(J20,'Crafting recipes'!$A$6:$A$1005,0)),"MISSING ID")</x:f>
        <x:v>Material refinement</x:v>
      </x:c>
      <x:c r="L20" s="4" t="str">
        <x:f>IFERROR(INDEX('Material routes'!$K$6:$K$1005,MATCH(U20,'Material routes'!$A$6:$A$1005,0)),"MISSING ID")</x:f>
        <x:v>Proposal</x:v>
      </x:c>
      <x:c r="M20" s="4" t="str">
        <x:f>IFERROR(INDEX('Material routes'!$M$6:$M$1005,MATCH(U20,'Material routes'!$A$6:$A$1005,0)),"MISSING ID")</x:f>
        <x:v>Partial proposal</x:v>
      </x:c>
      <x:c r="N20" s="4" t="str">
        <x:f>IF(IFERROR(INDEX('Material routes'!$I$6:$I$1005,MATCH(U20,'Material routes'!$A$6:$A$1005,0)),"MISSING ID")=0,"",IFERROR(INDEX('Material routes'!$I$6:$I$1005,MATCH(U20,'Material routes'!$A$6:$A$1005,0)),"MISSING ID"))</x:f>
      </x:c>
      <x:c r="O20" s="4" t="str">
        <x:f>IFERROR(INDEX('Material routes'!$J$6:$J$1005,MATCH(U20,'Material routes'!$A$6:$A$1005,0)),"MISSING ID")</x:f>
        <x:v>Unspecified</x:v>
      </x:c>
      <x:c r="P20" s="4" t="str">
        <x:f>IF(IFERROR(INDEX('Material routes'!$I$6:$I$1005,MATCH(V20,'Material routes'!$A$6:$A$1005,0)),"MISSING ID")=0,"",IFERROR(INDEX('Material routes'!$I$6:$I$1005,MATCH(V20,'Material routes'!$A$6:$A$1005,0)),"MISSING ID"))</x:f>
      </x:c>
      <x:c r="Q20" s="4" t="str">
        <x:f>IFERROR(INDEX('Material routes'!$J$6:$J$1005,MATCH(V20,'Material routes'!$A$6:$A$1005,0)),"MISSING ID")</x:f>
        <x:v>Unspecified</x:v>
      </x:c>
      <x:c r="R20" s="4" t="str">
        <x:f>IF(L20="Withheld","Withheld premise",IF(E20="Tool candidate","Reusable prerequisite",IF(K20="Raw entry preparation","Entry-resource preparation",IF(G20="Not applicable","Finished endpoint",IF(OR(IFERROR(INDEX('Crafting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routes'!$D$6:$D$1005,MATCH(U20,'Material routes'!$A$6:$A$1005,0)),"MISSING ID")</x:f>
        <x:v>proposal.chemical.joint_lubricant</x:v>
      </x:c>
      <x:c r="T20" s="4" t="str">
        <x:f>IFERROR(INDEX('Material routes'!$D$6:$D$1005,MATCH(V20,'Material routes'!$A$6:$A$1005,0)),"MISSING ID")</x:f>
        <x:v>proposal.lubricant.base</x:v>
      </x:c>
      <x:c r="U20" s="4" t="str">
        <x:v>material.route.016</x:v>
      </x:c>
      <x:c r="V20" s="4" t="str">
        <x:v>output.design.refine.lubricant.base</x:v>
      </x:c>
    </x:row>
    <x:row r="21" ht="85" customHeight="1">
      <x:c r="A21" s="4" t="str">
        <x:f>IFERROR(INDEX('Material routes'!$E$6:$E$1005,MATCH(U21,'Material routes'!$A$6:$A$1005,0)),"MISSING ID")</x:f>
        <x:v>Faunal chemical material (unspecified)</x:v>
      </x:c>
      <x:c r="B21" s="4" t="str">
        <x:f>IFERROR(INDEX('Material routes'!$F$6:$F$1005,MATCH(U21,'Material routes'!$A$6:$A$1005,0)),"MISSING ID")</x:f>
        <x:v>T0</x:v>
      </x:c>
      <x:c r="C21" s="4" t="str">
        <x:f>IFERROR(INDEX('Material routes'!$H$6:$H$1005,MATCH(U21,'Material routes'!$A$6:$A$1005,0)),"MISSING ID")</x:f>
        <x:v>Chemical material</x:v>
      </x:c>
      <x:c r="D21" s="4" t="str">
        <x:f>IFERROR(INDEX('Material routes'!$G$6:$G$1005,MATCH(U21,'Material routes'!$A$6:$A$1005,0)),"MISSING ID")</x:f>
        <x:v>Resources</x:v>
      </x:c>
      <x:c r="E21" s="4" t="str">
        <x:f>IFERROR(INDEX('Material routes'!$C$6:$C$1005,MATCH(U21,'Material routes'!$A$6:$A$1005,0)),"MISSING ID")</x:f>
        <x:v>Ingredient candidate</x:v>
      </x:c>
      <x:c r="F21" s="4" t="str">
        <x:f>IFERROR(INDEX('Material routes'!$E$6:$E$1005,MATCH(V21,'Material routes'!$A$6:$A$1005,0)),"MISSING ID")</x:f>
        <x:v>Prepared secretion thickener</x:v>
      </x:c>
      <x:c r="G21" s="4" t="str">
        <x:f>IFERROR(INDEX('Material routes'!$F$6:$F$1005,MATCH(V21,'Material routes'!$A$6:$A$1005,0)),"MISSING ID")</x:f>
        <x:v>T1</x:v>
      </x:c>
      <x:c r="H21" s="4" t="str">
        <x:f>IFERROR(INDEX('Material routes'!$H$6:$H$1005,MATCH(V21,'Material routes'!$A$6:$A$1005,0)),"MISSING ID")</x:f>
        <x:v>Chemical material</x:v>
      </x:c>
      <x:c r="I21" s="4" t="str">
        <x:f>IFERROR(INDEX('Material routes'!$G$6:$G$1005,MATCH(V21,'Material routes'!$A$6:$A$1005,0)),"MISSING ID")</x:f>
        <x:v>Resources</x:v>
      </x:c>
      <x:c r="J21" s="4" t="str">
        <x:f>IFERROR(INDEX('Material routes'!$B$6:$B$1005,MATCH(U21,'Material routes'!$A$6:$A$1005,0)),"MISSING ID")</x:f>
        <x:v>design.refine.lubricant.thickener</x:v>
      </x:c>
      <x:c r="K21" s="4" t="str">
        <x:f>IFERROR(INDEX('Crafting recipes'!$C$6:$C$1005,MATCH(J21,'Crafting recipes'!$A$6:$A$1005,0)),"MISSING ID")</x:f>
        <x:v>Material refinement</x:v>
      </x:c>
      <x:c r="L21" s="4" t="str">
        <x:f>IFERROR(INDEX('Material routes'!$K$6:$K$1005,MATCH(U21,'Material routes'!$A$6:$A$1005,0)),"MISSING ID")</x:f>
        <x:v>Proposal</x:v>
      </x:c>
      <x:c r="M21" s="4" t="str">
        <x:f>IFERROR(INDEX('Material routes'!$M$6:$M$1005,MATCH(U21,'Material routes'!$A$6:$A$1005,0)),"MISSING ID")</x:f>
        <x:v>Partial proposal</x:v>
      </x:c>
      <x:c r="N21" s="4" t="str">
        <x:f>IF(IFERROR(INDEX('Material routes'!$I$6:$I$1005,MATCH(U21,'Material routes'!$A$6:$A$1005,0)),"MISSING ID")=0,"",IFERROR(INDEX('Material routes'!$I$6:$I$1005,MATCH(U21,'Material routes'!$A$6:$A$1005,0)),"MISSING ID"))</x:f>
      </x:c>
      <x:c r="O21" s="4" t="str">
        <x:f>IFERROR(INDEX('Material routes'!$J$6:$J$1005,MATCH(U21,'Material routes'!$A$6:$A$1005,0)),"MISSING ID")</x:f>
        <x:v>Unspecified</x:v>
      </x:c>
      <x:c r="P21" s="4" t="str">
        <x:f>IF(IFERROR(INDEX('Material routes'!$I$6:$I$1005,MATCH(V21,'Material routes'!$A$6:$A$1005,0)),"MISSING ID")=0,"",IFERROR(INDEX('Material routes'!$I$6:$I$1005,MATCH(V21,'Material routes'!$A$6:$A$1005,0)),"MISSING ID"))</x:f>
      </x:c>
      <x:c r="Q21" s="4" t="str">
        <x:f>IFERROR(INDEX('Material routes'!$J$6:$J$1005,MATCH(V21,'Material routes'!$A$6:$A$1005,0)),"MISSING ID")</x:f>
        <x:v>Unspecified</x:v>
      </x:c>
      <x:c r="R21" s="4" t="str">
        <x:f>IF(L21="Withheld","Withheld premise",IF(E21="Tool candidate","Reusable prerequisite",IF(K21="Raw entry preparation","Entry-resource preparation",IF(G21="Not applicable","Finished endpoint",IF(OR(IFERROR(INDEX('Crafting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routes'!$D$6:$D$1005,MATCH(U21,'Material routes'!$A$6:$A$1005,0)),"MISSING ID")</x:f>
        <x:v>proposal.bio.chemical_material</x:v>
      </x:c>
      <x:c r="T21" s="4" t="str">
        <x:f>IFERROR(INDEX('Material routes'!$D$6:$D$1005,MATCH(V21,'Material routes'!$A$6:$A$1005,0)),"MISSING ID")</x:f>
        <x:v>proposal.lubricant.thickener</x:v>
      </x:c>
      <x:c r="U21" s="4" t="str">
        <x:v>material.route.017</x:v>
      </x:c>
      <x:c r="V21" s="4" t="str">
        <x:v>output.design.refine.lubricant.thickener</x:v>
      </x:c>
    </x:row>
    <x:row r="22" ht="85" customHeight="1">
      <x:c r="A22" s="4" t="str">
        <x:f>IFERROR(INDEX('Material routes'!$E$6:$E$1005,MATCH(U22,'Material routes'!$A$6:$A$1005,0)),"MISSING ID")</x:f>
        <x:v>Ironstone Ore</x:v>
      </x:c>
      <x:c r="B22" s="4" t="str">
        <x:f>IFERROR(INDEX('Material routes'!$F$6:$F$1005,MATCH(U22,'Material routes'!$A$6:$A$1005,0)),"MISSING ID")</x:f>
        <x:v>T0</x:v>
      </x:c>
      <x:c r="C22" s="4" t="str">
        <x:f>IFERROR(INDEX('Material routes'!$H$6:$H$1005,MATCH(U22,'Material routes'!$A$6:$A$1005,0)),"MISSING ID")</x:f>
        <x:v>Raw material</x:v>
      </x:c>
      <x:c r="D22" s="4" t="str">
        <x:f>IFERROR(INDEX('Material routes'!$G$6:$G$1005,MATCH(U22,'Material routes'!$A$6:$A$1005,0)),"MISSING ID")</x:f>
        <x:v>Resources</x:v>
      </x:c>
      <x:c r="E22" s="4" t="str">
        <x:f>IFERROR(INDEX('Material routes'!$C$6:$C$1005,MATCH(U22,'Material routes'!$A$6:$A$1005,0)),"MISSING ID")</x:f>
        <x:v>Ingredient candidate</x:v>
      </x:c>
      <x:c r="F22" s="4" t="str">
        <x:f>IFERROR(INDEX('Material routes'!$E$6:$E$1005,MATCH(V22,'Material routes'!$A$6:$A$1005,0)),"MISSING ID")</x:f>
        <x:v>Smelted iron bloom</x:v>
      </x:c>
      <x:c r="G22" s="4" t="str">
        <x:f>IFERROR(INDEX('Material routes'!$F$6:$F$1005,MATCH(V22,'Material routes'!$A$6:$A$1005,0)),"MISSING ID")</x:f>
        <x:v>T1</x:v>
      </x:c>
      <x:c r="H22" s="4" t="str">
        <x:f>IFERROR(INDEX('Material routes'!$H$6:$H$1005,MATCH(V22,'Material routes'!$A$6:$A$1005,0)),"MISSING ID")</x:f>
        <x:v>Processed material</x:v>
      </x:c>
      <x:c r="I22" s="4" t="str">
        <x:f>IFERROR(INDEX('Material routes'!$G$6:$G$1005,MATCH(V22,'Material routes'!$A$6:$A$1005,0)),"MISSING ID")</x:f>
        <x:v>Resources</x:v>
      </x:c>
      <x:c r="J22" s="4" t="str">
        <x:f>IFERROR(INDEX('Material routes'!$B$6:$B$1005,MATCH(U22,'Material routes'!$A$6:$A$1005,0)),"MISSING ID")</x:f>
        <x:v>design.refine.t1.iron_bloom</x:v>
      </x:c>
      <x:c r="K22" s="4" t="str">
        <x:f>IFERROR(INDEX('Crafting recipes'!$C$6:$C$1005,MATCH(J22,'Crafting recipes'!$A$6:$A$1005,0)),"MISSING ID")</x:f>
        <x:v>Material refinement</x:v>
      </x:c>
      <x:c r="L22" s="4" t="str">
        <x:f>IFERROR(INDEX('Material routes'!$K$6:$K$1005,MATCH(U22,'Material routes'!$A$6:$A$1005,0)),"MISSING ID")</x:f>
        <x:v>Proposal</x:v>
      </x:c>
      <x:c r="M22" s="4" t="str">
        <x:f>IFERROR(INDEX('Material routes'!$M$6:$M$1005,MATCH(U22,'Material routes'!$A$6:$A$1005,0)),"MISSING ID")</x:f>
        <x:v>Partial proposal</x:v>
      </x:c>
      <x:c r="N22" s="4" t="str">
        <x:f>IF(IFERROR(INDEX('Material routes'!$I$6:$I$1005,MATCH(U22,'Material routes'!$A$6:$A$1005,0)),"MISSING ID")=0,"",IFERROR(INDEX('Material routes'!$I$6:$I$1005,MATCH(U22,'Material routes'!$A$6:$A$1005,0)),"MISSING ID"))</x:f>
      </x:c>
      <x:c r="O22" s="4" t="str">
        <x:f>IFERROR(INDEX('Material routes'!$J$6:$J$1005,MATCH(U22,'Material routes'!$A$6:$A$1005,0)),"MISSING ID")</x:f>
        <x:v>Unspecified</x:v>
      </x:c>
      <x:c r="P22" s="4" t="str">
        <x:f>IF(IFERROR(INDEX('Material routes'!$I$6:$I$1005,MATCH(V22,'Material routes'!$A$6:$A$1005,0)),"MISSING ID")=0,"",IFERROR(INDEX('Material routes'!$I$6:$I$1005,MATCH(V22,'Material routes'!$A$6:$A$1005,0)),"MISSING ID"))</x:f>
      </x:c>
      <x:c r="Q22" s="4" t="str">
        <x:f>IFERROR(INDEX('Material routes'!$J$6:$J$1005,MATCH(V22,'Material routes'!$A$6:$A$1005,0)),"MISSING ID")</x:f>
        <x:v>Unspecified</x:v>
      </x:c>
      <x:c r="R22" s="4" t="str">
        <x:f>IF(L22="Withheld","Withheld premise",IF(E22="Tool candidate","Reusable prerequisite",IF(K22="Raw entry preparation","Entry-resource preparation",IF(G22="Not applicable","Finished endpoint",IF(OR(IFERROR(INDEX('Crafting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routes'!$D$6:$D$1005,MATCH(U22,'Material routes'!$A$6:$A$1005,0)),"MISSING ID")</x:f>
        <x:v>resource.ironstone_ore</x:v>
      </x:c>
      <x:c r="T22" s="4" t="str">
        <x:f>IFERROR(INDEX('Material routes'!$D$6:$D$1005,MATCH(V22,'Material routes'!$A$6:$A$1005,0)),"MISSING ID")</x:f>
        <x:v>proposal.t1.iron_bloom</x:v>
      </x:c>
      <x:c r="U22" s="4" t="str">
        <x:v>material.route.018</x:v>
      </x:c>
      <x:c r="V22" s="4" t="str">
        <x:v>output.design.refine.t1.iron_bloom</x:v>
      </x:c>
    </x:row>
    <x:row r="23" ht="85" customHeight="1">
      <x:c r="A23" s="4" t="str">
        <x:f>IFERROR(INDEX('Material routes'!$E$6:$E$1005,MATCH(U23,'Material routes'!$A$6:$A$1005,0)),"MISSING ID")</x:f>
        <x:v>Raw copper lump</x:v>
      </x:c>
      <x:c r="B23" s="4" t="str">
        <x:f>IFERROR(INDEX('Material routes'!$F$6:$F$1005,MATCH(U23,'Material routes'!$A$6:$A$1005,0)),"MISSING ID")</x:f>
        <x:v>T0</x:v>
      </x:c>
      <x:c r="C23" s="4" t="str">
        <x:f>IFERROR(INDEX('Material routes'!$H$6:$H$1005,MATCH(U23,'Material routes'!$A$6:$A$1005,0)),"MISSING ID")</x:f>
        <x:v>Processed material</x:v>
      </x:c>
      <x:c r="D23" s="4" t="str">
        <x:f>IFERROR(INDEX('Material routes'!$G$6:$G$1005,MATCH(U23,'Material routes'!$A$6:$A$1005,0)),"MISSING ID")</x:f>
        <x:v>Resources</x:v>
      </x:c>
      <x:c r="E23" s="4" t="str">
        <x:f>IFERROR(INDEX('Material routes'!$C$6:$C$1005,MATCH(U23,'Material routes'!$A$6:$A$1005,0)),"MISSING ID")</x:f>
        <x:v>Ingredient candidate</x:v>
      </x:c>
      <x:c r="F23" s="4" t="str">
        <x:f>IFERROR(INDEX('Material routes'!$E$6:$E$1005,MATCH(V23,'Material routes'!$A$6:$A$1005,0)),"MISSING ID")</x:f>
        <x:v>Refined copper cake</x:v>
      </x:c>
      <x:c r="G23" s="4" t="str">
        <x:f>IFERROR(INDEX('Material routes'!$F$6:$F$1005,MATCH(V23,'Material routes'!$A$6:$A$1005,0)),"MISSING ID")</x:f>
        <x:v>T1</x:v>
      </x:c>
      <x:c r="H23" s="4" t="str">
        <x:f>IFERROR(INDEX('Material routes'!$H$6:$H$1005,MATCH(V23,'Material routes'!$A$6:$A$1005,0)),"MISSING ID")</x:f>
        <x:v>Processed material</x:v>
      </x:c>
      <x:c r="I23" s="4" t="str">
        <x:f>IFERROR(INDEX('Material routes'!$G$6:$G$1005,MATCH(V23,'Material routes'!$A$6:$A$1005,0)),"MISSING ID")</x:f>
        <x:v>Resources</x:v>
      </x:c>
      <x:c r="J23" s="4" t="str">
        <x:f>IFERROR(INDEX('Material routes'!$B$6:$B$1005,MATCH(U23,'Material routes'!$A$6:$A$1005,0)),"MISSING ID")</x:f>
        <x:v>design.refine.t1.copper_cake</x:v>
      </x:c>
      <x:c r="K23" s="4" t="str">
        <x:f>IFERROR(INDEX('Crafting recipes'!$C$6:$C$1005,MATCH(J23,'Crafting recipes'!$A$6:$A$1005,0)),"MISSING ID")</x:f>
        <x:v>Material refinement</x:v>
      </x:c>
      <x:c r="L23" s="4" t="str">
        <x:f>IFERROR(INDEX('Material routes'!$K$6:$K$1005,MATCH(U23,'Material routes'!$A$6:$A$1005,0)),"MISSING ID")</x:f>
        <x:v>Proposal</x:v>
      </x:c>
      <x:c r="M23" s="4" t="str">
        <x:f>IFERROR(INDEX('Material routes'!$M$6:$M$1005,MATCH(U23,'Material routes'!$A$6:$A$1005,0)),"MISSING ID")</x:f>
        <x:v>Partial proposal</x:v>
      </x:c>
      <x:c r="N23" s="4" t="str">
        <x:f>IF(IFERROR(INDEX('Material routes'!$I$6:$I$1005,MATCH(U23,'Material routes'!$A$6:$A$1005,0)),"MISSING ID")=0,"",IFERROR(INDEX('Material routes'!$I$6:$I$1005,MATCH(U23,'Material routes'!$A$6:$A$1005,0)),"MISSING ID"))</x:f>
      </x:c>
      <x:c r="O23" s="4" t="str">
        <x:f>IFERROR(INDEX('Material routes'!$J$6:$J$1005,MATCH(U23,'Material routes'!$A$6:$A$1005,0)),"MISSING ID")</x:f>
        <x:v>Unspecified</x:v>
      </x:c>
      <x:c r="P23" s="4" t="str">
        <x:f>IF(IFERROR(INDEX('Material routes'!$I$6:$I$1005,MATCH(V23,'Material routes'!$A$6:$A$1005,0)),"MISSING ID")=0,"",IFERROR(INDEX('Material routes'!$I$6:$I$1005,MATCH(V23,'Material routes'!$A$6:$A$1005,0)),"MISSING ID"))</x:f>
      </x:c>
      <x:c r="Q23" s="4" t="str">
        <x:f>IFERROR(INDEX('Material routes'!$J$6:$J$1005,MATCH(V23,'Material routes'!$A$6:$A$1005,0)),"MISSING ID")</x:f>
        <x:v>Unspecified</x:v>
      </x:c>
      <x:c r="R23" s="4" t="str">
        <x:f>IF(L23="Withheld","Withheld premise",IF(E23="Tool candidate","Reusable prerequisite",IF(K23="Raw entry preparation","Entry-resource preparation",IF(G23="Not applicable","Finished endpoint",IF(OR(IFERROR(INDEX('Crafting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routes'!$D$6:$D$1005,MATCH(U23,'Material routes'!$A$6:$A$1005,0)),"MISSING ID")</x:f>
        <x:v>proposal.natural.raw_copper</x:v>
      </x:c>
      <x:c r="T23" s="4" t="str">
        <x:f>IFERROR(INDEX('Material routes'!$D$6:$D$1005,MATCH(V23,'Material routes'!$A$6:$A$1005,0)),"MISSING ID")</x:f>
        <x:v>proposal.t1.copper_cake</x:v>
      </x:c>
      <x:c r="U23" s="4" t="str">
        <x:v>material.route.019</x:v>
      </x:c>
      <x:c r="V23" s="4" t="str">
        <x:v>output.design.refine.t1.copper_cake</x:v>
      </x:c>
    </x:row>
    <x:row r="24" ht="85" customHeight="1">
      <x:c r="A24" s="4" t="str">
        <x:f>IFERROR(INDEX('Material routes'!$E$6:$E$1005,MATCH(U24,'Material routes'!$A$6:$A$1005,0)),"MISSING ID")</x:f>
        <x:v>Salvaged brass fragments</x:v>
      </x:c>
      <x:c r="B24" s="4" t="str">
        <x:f>IFERROR(INDEX('Material routes'!$F$6:$F$1005,MATCH(U24,'Material routes'!$A$6:$A$1005,0)),"MISSING ID")</x:f>
        <x:v>T0</x:v>
      </x:c>
      <x:c r="C24" s="4" t="str">
        <x:f>IFERROR(INDEX('Material routes'!$H$6:$H$1005,MATCH(U24,'Material routes'!$A$6:$A$1005,0)),"MISSING ID")</x:f>
        <x:v>Raw material</x:v>
      </x:c>
      <x:c r="D24" s="4" t="str">
        <x:f>IFERROR(INDEX('Material routes'!$G$6:$G$1005,MATCH(U24,'Material routes'!$A$6:$A$1005,0)),"MISSING ID")</x:f>
        <x:v>Resources</x:v>
      </x:c>
      <x:c r="E24" s="4" t="str">
        <x:f>IFERROR(INDEX('Material routes'!$C$6:$C$1005,MATCH(U24,'Material routes'!$A$6:$A$1005,0)),"MISSING ID")</x:f>
        <x:v>Ingredient candidate</x:v>
      </x:c>
      <x:c r="F24" s="4" t="str">
        <x:f>IFERROR(INDEX('Material routes'!$E$6:$E$1005,MATCH(V24,'Material routes'!$A$6:$A$1005,0)),"MISSING ID")</x:f>
        <x:v>Reclaimed brass billet</x:v>
      </x:c>
      <x:c r="G24" s="4" t="str">
        <x:f>IFERROR(INDEX('Material routes'!$F$6:$F$1005,MATCH(V24,'Material routes'!$A$6:$A$1005,0)),"MISSING ID")</x:f>
        <x:v>T1</x:v>
      </x:c>
      <x:c r="H24" s="4" t="str">
        <x:f>IFERROR(INDEX('Material routes'!$H$6:$H$1005,MATCH(V24,'Material routes'!$A$6:$A$1005,0)),"MISSING ID")</x:f>
        <x:v>Processed material</x:v>
      </x:c>
      <x:c r="I24" s="4" t="str">
        <x:f>IFERROR(INDEX('Material routes'!$G$6:$G$1005,MATCH(V24,'Material routes'!$A$6:$A$1005,0)),"MISSING ID")</x:f>
        <x:v>Resources</x:v>
      </x:c>
      <x:c r="J24" s="4" t="str">
        <x:f>IFERROR(INDEX('Material routes'!$B$6:$B$1005,MATCH(U24,'Material routes'!$A$6:$A$1005,0)),"MISSING ID")</x:f>
        <x:v>design.refine.t1.brass_billet</x:v>
      </x:c>
      <x:c r="K24" s="4" t="str">
        <x:f>IFERROR(INDEX('Crafting recipes'!$C$6:$C$1005,MATCH(J24,'Crafting recipes'!$A$6:$A$1005,0)),"MISSING ID")</x:f>
        <x:v>Material refinement</x:v>
      </x:c>
      <x:c r="L24" s="4" t="str">
        <x:f>IFERROR(INDEX('Material routes'!$K$6:$K$1005,MATCH(U24,'Material routes'!$A$6:$A$1005,0)),"MISSING ID")</x:f>
        <x:v>Proposal</x:v>
      </x:c>
      <x:c r="M24" s="4" t="str">
        <x:f>IFERROR(INDEX('Material routes'!$M$6:$M$1005,MATCH(U24,'Material routes'!$A$6:$A$1005,0)),"MISSING ID")</x:f>
        <x:v>Partial proposal</x:v>
      </x:c>
      <x:c r="N24" s="4" t="str">
        <x:f>IF(IFERROR(INDEX('Material routes'!$I$6:$I$1005,MATCH(U24,'Material routes'!$A$6:$A$1005,0)),"MISSING ID")=0,"",IFERROR(INDEX('Material routes'!$I$6:$I$1005,MATCH(U24,'Material routes'!$A$6:$A$1005,0)),"MISSING ID"))</x:f>
      </x:c>
      <x:c r="O24" s="4" t="str">
        <x:f>IFERROR(INDEX('Material routes'!$J$6:$J$1005,MATCH(U24,'Material routes'!$A$6:$A$1005,0)),"MISSING ID")</x:f>
        <x:v>Unspecified</x:v>
      </x:c>
      <x:c r="P24" s="4" t="str">
        <x:f>IF(IFERROR(INDEX('Material routes'!$I$6:$I$1005,MATCH(V24,'Material routes'!$A$6:$A$1005,0)),"MISSING ID")=0,"",IFERROR(INDEX('Material routes'!$I$6:$I$1005,MATCH(V24,'Material routes'!$A$6:$A$1005,0)),"MISSING ID"))</x:f>
      </x:c>
      <x:c r="Q24" s="4" t="str">
        <x:f>IFERROR(INDEX('Material routes'!$J$6:$J$1005,MATCH(V24,'Material routes'!$A$6:$A$1005,0)),"MISSING ID")</x:f>
        <x:v>Unspecified</x:v>
      </x:c>
      <x:c r="R24" s="4" t="str">
        <x:f>IF(L24="Withheld","Withheld premise",IF(E24="Tool candidate","Reusable prerequisite",IF(K24="Raw entry preparation","Entry-resource preparation",IF(G24="Not applicable","Finished endpoint",IF(OR(IFERROR(INDEX('Crafting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routes'!$D$6:$D$1005,MATCH(U24,'Material routes'!$A$6:$A$1005,0)),"MISSING ID")</x:f>
        <x:v>proposal.raw.brass_scrap</x:v>
      </x:c>
      <x:c r="T24" s="4" t="str">
        <x:f>IFERROR(INDEX('Material routes'!$D$6:$D$1005,MATCH(V24,'Material routes'!$A$6:$A$1005,0)),"MISSING ID")</x:f>
        <x:v>proposal.t1.brass_billet</x:v>
      </x:c>
      <x:c r="U24" s="4" t="str">
        <x:v>material.route.020</x:v>
      </x:c>
      <x:c r="V24" s="4" t="str">
        <x:v>output.design.refine.t1.brass_billet</x:v>
      </x:c>
    </x:row>
    <x:row r="25" ht="85" customHeight="1">
      <x:c r="A25" s="4" t="str">
        <x:f>IFERROR(INDEX('Material routes'!$E$6:$E$1005,MATCH(U25,'Material routes'!$A$6:$A$1005,0)),"MISSING ID")</x:f>
        <x:v>Salvaged bronze fragments</x:v>
      </x:c>
      <x:c r="B25" s="4" t="str">
        <x:f>IFERROR(INDEX('Material routes'!$F$6:$F$1005,MATCH(U25,'Material routes'!$A$6:$A$1005,0)),"MISSING ID")</x:f>
        <x:v>T0</x:v>
      </x:c>
      <x:c r="C25" s="4" t="str">
        <x:f>IFERROR(INDEX('Material routes'!$H$6:$H$1005,MATCH(U25,'Material routes'!$A$6:$A$1005,0)),"MISSING ID")</x:f>
        <x:v>Raw material</x:v>
      </x:c>
      <x:c r="D25" s="4" t="str">
        <x:f>IFERROR(INDEX('Material routes'!$G$6:$G$1005,MATCH(U25,'Material routes'!$A$6:$A$1005,0)),"MISSING ID")</x:f>
        <x:v>Resources</x:v>
      </x:c>
      <x:c r="E25" s="4" t="str">
        <x:f>IFERROR(INDEX('Material routes'!$C$6:$C$1005,MATCH(U25,'Material routes'!$A$6:$A$1005,0)),"MISSING ID")</x:f>
        <x:v>Ingredient candidate</x:v>
      </x:c>
      <x:c r="F25" s="4" t="str">
        <x:f>IFERROR(INDEX('Material routes'!$E$6:$E$1005,MATCH(V25,'Material routes'!$A$6:$A$1005,0)),"MISSING ID")</x:f>
        <x:v>Reclaimed bronze billet</x:v>
      </x:c>
      <x:c r="G25" s="4" t="str">
        <x:f>IFERROR(INDEX('Material routes'!$F$6:$F$1005,MATCH(V25,'Material routes'!$A$6:$A$1005,0)),"MISSING ID")</x:f>
        <x:v>T1</x:v>
      </x:c>
      <x:c r="H25" s="4" t="str">
        <x:f>IFERROR(INDEX('Material routes'!$H$6:$H$1005,MATCH(V25,'Material routes'!$A$6:$A$1005,0)),"MISSING ID")</x:f>
        <x:v>Processed material</x:v>
      </x:c>
      <x:c r="I25" s="4" t="str">
        <x:f>IFERROR(INDEX('Material routes'!$G$6:$G$1005,MATCH(V25,'Material routes'!$A$6:$A$1005,0)),"MISSING ID")</x:f>
        <x:v>Resources</x:v>
      </x:c>
      <x:c r="J25" s="4" t="str">
        <x:f>IFERROR(INDEX('Material routes'!$B$6:$B$1005,MATCH(U25,'Material routes'!$A$6:$A$1005,0)),"MISSING ID")</x:f>
        <x:v>design.refine.t1.bronze_billet</x:v>
      </x:c>
      <x:c r="K25" s="4" t="str">
        <x:f>IFERROR(INDEX('Crafting recipes'!$C$6:$C$1005,MATCH(J25,'Crafting recipes'!$A$6:$A$1005,0)),"MISSING ID")</x:f>
        <x:v>Material refinement</x:v>
      </x:c>
      <x:c r="L25" s="4" t="str">
        <x:f>IFERROR(INDEX('Material routes'!$K$6:$K$1005,MATCH(U25,'Material routes'!$A$6:$A$1005,0)),"MISSING ID")</x:f>
        <x:v>Proposal</x:v>
      </x:c>
      <x:c r="M25" s="4" t="str">
        <x:f>IFERROR(INDEX('Material routes'!$M$6:$M$1005,MATCH(U25,'Material routes'!$A$6:$A$1005,0)),"MISSING ID")</x:f>
        <x:v>Partial proposal</x:v>
      </x:c>
      <x:c r="N25" s="4" t="str">
        <x:f>IF(IFERROR(INDEX('Material routes'!$I$6:$I$1005,MATCH(U25,'Material routes'!$A$6:$A$1005,0)),"MISSING ID")=0,"",IFERROR(INDEX('Material routes'!$I$6:$I$1005,MATCH(U25,'Material routes'!$A$6:$A$1005,0)),"MISSING ID"))</x:f>
      </x:c>
      <x:c r="O25" s="4" t="str">
        <x:f>IFERROR(INDEX('Material routes'!$J$6:$J$1005,MATCH(U25,'Material routes'!$A$6:$A$1005,0)),"MISSING ID")</x:f>
        <x:v>Unspecified</x:v>
      </x:c>
      <x:c r="P25" s="4" t="str">
        <x:f>IF(IFERROR(INDEX('Material routes'!$I$6:$I$1005,MATCH(V25,'Material routes'!$A$6:$A$1005,0)),"MISSING ID")=0,"",IFERROR(INDEX('Material routes'!$I$6:$I$1005,MATCH(V25,'Material routes'!$A$6:$A$1005,0)),"MISSING ID"))</x:f>
      </x:c>
      <x:c r="Q25" s="4" t="str">
        <x:f>IFERROR(INDEX('Material routes'!$J$6:$J$1005,MATCH(V25,'Material routes'!$A$6:$A$1005,0)),"MISSING ID")</x:f>
        <x:v>Unspecified</x:v>
      </x:c>
      <x:c r="R25" s="4" t="str">
        <x:f>IF(L25="Withheld","Withheld premise",IF(E25="Tool candidate","Reusable prerequisite",IF(K25="Raw entry preparation","Entry-resource preparation",IF(G25="Not applicable","Finished endpoint",IF(OR(IFERROR(INDEX('Crafting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routes'!$D$6:$D$1005,MATCH(U25,'Material routes'!$A$6:$A$1005,0)),"MISSING ID")</x:f>
        <x:v>proposal.raw.bronze_scrap</x:v>
      </x:c>
      <x:c r="T25" s="4" t="str">
        <x:f>IFERROR(INDEX('Material routes'!$D$6:$D$1005,MATCH(V25,'Material routes'!$A$6:$A$1005,0)),"MISSING ID")</x:f>
        <x:v>proposal.t1.bronze_billet</x:v>
      </x:c>
      <x:c r="U25" s="4" t="str">
        <x:v>material.route.021</x:v>
      </x:c>
      <x:c r="V25" s="4" t="str">
        <x:v>output.design.refine.t1.bronze_billet</x:v>
      </x:c>
    </x:row>
    <x:row r="26" ht="85" customHeight="1">
      <x:c r="A26" s="4" t="str">
        <x:f>IFERROR(INDEX('Material routes'!$E$6:$E$1005,MATCH(U26,'Material routes'!$A$6:$A$1005,0)),"MISSING ID")</x:f>
        <x:v>Silica-rich grit</x:v>
      </x:c>
      <x:c r="B26" s="4" t="str">
        <x:f>IFERROR(INDEX('Material routes'!$F$6:$F$1005,MATCH(U26,'Material routes'!$A$6:$A$1005,0)),"MISSING ID")</x:f>
        <x:v>T0</x:v>
      </x:c>
      <x:c r="C26" s="4" t="str">
        <x:f>IFERROR(INDEX('Material routes'!$H$6:$H$1005,MATCH(U26,'Material routes'!$A$6:$A$1005,0)),"MISSING ID")</x:f>
        <x:v>Raw material</x:v>
      </x:c>
      <x:c r="D26" s="4" t="str">
        <x:f>IFERROR(INDEX('Material routes'!$G$6:$G$1005,MATCH(U26,'Material routes'!$A$6:$A$1005,0)),"MISSING ID")</x:f>
        <x:v>Resources</x:v>
      </x:c>
      <x:c r="E26" s="4" t="str">
        <x:f>IFERROR(INDEX('Material routes'!$C$6:$C$1005,MATCH(U26,'Material routes'!$A$6:$A$1005,0)),"MISSING ID")</x:f>
        <x:v>Ingredient candidate</x:v>
      </x:c>
      <x:c r="F26" s="4" t="str">
        <x:f>IFERROR(INDEX('Material routes'!$E$6:$E$1005,MATCH(V26,'Material routes'!$A$6:$A$1005,0)),"MISSING ID")</x:f>
        <x:v>Opaque mineral-glass stock</x:v>
      </x:c>
      <x:c r="G26" s="4" t="str">
        <x:f>IFERROR(INDEX('Material routes'!$F$6:$F$1005,MATCH(V26,'Material routes'!$A$6:$A$1005,0)),"MISSING ID")</x:f>
        <x:v>T1</x:v>
      </x:c>
      <x:c r="H26" s="4" t="str">
        <x:f>IFERROR(INDEX('Material routes'!$H$6:$H$1005,MATCH(V26,'Material routes'!$A$6:$A$1005,0)),"MISSING ID")</x:f>
        <x:v>Processed material</x:v>
      </x:c>
      <x:c r="I26" s="4" t="str">
        <x:f>IFERROR(INDEX('Material routes'!$G$6:$G$1005,MATCH(V26,'Material routes'!$A$6:$A$1005,0)),"MISSING ID")</x:f>
        <x:v>Resources</x:v>
      </x:c>
      <x:c r="J26" s="4" t="str">
        <x:f>IFERROR(INDEX('Material routes'!$B$6:$B$1005,MATCH(U26,'Material routes'!$A$6:$A$1005,0)),"MISSING ID")</x:f>
        <x:v>design.refine.t1.opaque_glass</x:v>
      </x:c>
      <x:c r="K26" s="4" t="str">
        <x:f>IFERROR(INDEX('Crafting recipes'!$C$6:$C$1005,MATCH(J26,'Crafting recipes'!$A$6:$A$1005,0)),"MISSING ID")</x:f>
        <x:v>Material refinement</x:v>
      </x:c>
      <x:c r="L26" s="4" t="str">
        <x:f>IFERROR(INDEX('Material routes'!$K$6:$K$1005,MATCH(U26,'Material routes'!$A$6:$A$1005,0)),"MISSING ID")</x:f>
        <x:v>Proposal</x:v>
      </x:c>
      <x:c r="M26" s="4" t="str">
        <x:f>IFERROR(INDEX('Material routes'!$M$6:$M$1005,MATCH(U26,'Material routes'!$A$6:$A$1005,0)),"MISSING ID")</x:f>
        <x:v>Partial proposal</x:v>
      </x:c>
      <x:c r="N26" s="4" t="str">
        <x:f>IF(IFERROR(INDEX('Material routes'!$I$6:$I$1005,MATCH(U26,'Material routes'!$A$6:$A$1005,0)),"MISSING ID")=0,"",IFERROR(INDEX('Material routes'!$I$6:$I$1005,MATCH(U26,'Material routes'!$A$6:$A$1005,0)),"MISSING ID"))</x:f>
      </x:c>
      <x:c r="O26" s="4" t="str">
        <x:f>IFERROR(INDEX('Material routes'!$J$6:$J$1005,MATCH(U26,'Material routes'!$A$6:$A$1005,0)),"MISSING ID")</x:f>
        <x:v>Unspecified</x:v>
      </x:c>
      <x:c r="P26" s="4" t="str">
        <x:f>IF(IFERROR(INDEX('Material routes'!$I$6:$I$1005,MATCH(V26,'Material routes'!$A$6:$A$1005,0)),"MISSING ID")=0,"",IFERROR(INDEX('Material routes'!$I$6:$I$1005,MATCH(V26,'Material routes'!$A$6:$A$1005,0)),"MISSING ID"))</x:f>
      </x:c>
      <x:c r="Q26" s="4" t="str">
        <x:f>IFERROR(INDEX('Material routes'!$J$6:$J$1005,MATCH(V26,'Material routes'!$A$6:$A$1005,0)),"MISSING ID")</x:f>
        <x:v>Unspecified</x:v>
      </x:c>
      <x:c r="R26" s="4" t="str">
        <x:f>IF(L26="Withheld","Withheld premise",IF(E26="Tool candidate","Reusable prerequisite",IF(K26="Raw entry preparation","Entry-resource preparation",IF(G26="Not applicable","Finished endpoint",IF(OR(IFERROR(INDEX('Crafting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routes'!$D$6:$D$1005,MATCH(U26,'Material routes'!$A$6:$A$1005,0)),"MISSING ID")</x:f>
        <x:v>proposal.natural.silica</x:v>
      </x:c>
      <x:c r="T26" s="4" t="str">
        <x:f>IFERROR(INDEX('Material routes'!$D$6:$D$1005,MATCH(V26,'Material routes'!$A$6:$A$1005,0)),"MISSING ID")</x:f>
        <x:v>proposal.t1.opaque_glass</x:v>
      </x:c>
      <x:c r="U26" s="4" t="str">
        <x:v>material.route.022</x:v>
      </x:c>
      <x:c r="V26" s="4" t="str">
        <x:v>output.design.refine.t1.opaque_glass</x:v>
      </x:c>
    </x:row>
    <x:row r="27" ht="85" customHeight="1">
      <x:c r="A27" s="4" t="str">
        <x:f>IFERROR(INDEX('Material routes'!$E$6:$E$1005,MATCH(U27,'Material routes'!$A$6:$A$1005,0)),"MISSING ID")</x:f>
        <x:v>Silica-rich grit</x:v>
      </x:c>
      <x:c r="B27" s="4" t="str">
        <x:f>IFERROR(INDEX('Material routes'!$F$6:$F$1005,MATCH(U27,'Material routes'!$A$6:$A$1005,0)),"MISSING ID")</x:f>
        <x:v>T0</x:v>
      </x:c>
      <x:c r="C27" s="4" t="str">
        <x:f>IFERROR(INDEX('Material routes'!$H$6:$H$1005,MATCH(U27,'Material routes'!$A$6:$A$1005,0)),"MISSING ID")</x:f>
        <x:v>Raw material</x:v>
      </x:c>
      <x:c r="D27" s="4" t="str">
        <x:f>IFERROR(INDEX('Material routes'!$G$6:$G$1005,MATCH(U27,'Material routes'!$A$6:$A$1005,0)),"MISSING ID")</x:f>
        <x:v>Resources</x:v>
      </x:c>
      <x:c r="E27" s="4" t="str">
        <x:f>IFERROR(INDEX('Material routes'!$C$6:$C$1005,MATCH(U27,'Material routes'!$A$6:$A$1005,0)),"MISSING ID")</x:f>
        <x:v>Ingredient candidate</x:v>
      </x:c>
      <x:c r="F27" s="4" t="str">
        <x:f>IFERROR(INDEX('Material routes'!$E$6:$E$1005,MATCH(V27,'Material routes'!$A$6:$A$1005,0)),"MISSING ID")</x:f>
        <x:v>Rough clear-glass blank</x:v>
      </x:c>
      <x:c r="G27" s="4" t="str">
        <x:f>IFERROR(INDEX('Material routes'!$F$6:$F$1005,MATCH(V27,'Material routes'!$A$6:$A$1005,0)),"MISSING ID")</x:f>
        <x:v>T1</x:v>
      </x:c>
      <x:c r="H27" s="4" t="str">
        <x:f>IFERROR(INDEX('Material routes'!$H$6:$H$1005,MATCH(V27,'Material routes'!$A$6:$A$1005,0)),"MISSING ID")</x:f>
        <x:v>Processed material</x:v>
      </x:c>
      <x:c r="I27" s="4" t="str">
        <x:f>IFERROR(INDEX('Material routes'!$G$6:$G$1005,MATCH(V27,'Material routes'!$A$6:$A$1005,0)),"MISSING ID")</x:f>
        <x:v>Resources</x:v>
      </x:c>
      <x:c r="J27" s="4" t="str">
        <x:f>IFERROR(INDEX('Material routes'!$B$6:$B$1005,MATCH(U27,'Material routes'!$A$6:$A$1005,0)),"MISSING ID")</x:f>
        <x:v>design.refine.t1.clear_glass_blank</x:v>
      </x:c>
      <x:c r="K27" s="4" t="str">
        <x:f>IFERROR(INDEX('Crafting recipes'!$C$6:$C$1005,MATCH(J27,'Crafting recipes'!$A$6:$A$1005,0)),"MISSING ID")</x:f>
        <x:v>Material refinement</x:v>
      </x:c>
      <x:c r="L27" s="4" t="str">
        <x:f>IFERROR(INDEX('Material routes'!$K$6:$K$1005,MATCH(U27,'Material routes'!$A$6:$A$1005,0)),"MISSING ID")</x:f>
        <x:v>Proposal</x:v>
      </x:c>
      <x:c r="M27" s="4" t="str">
        <x:f>IFERROR(INDEX('Material routes'!$M$6:$M$1005,MATCH(U27,'Material routes'!$A$6:$A$1005,0)),"MISSING ID")</x:f>
        <x:v>Partial proposal</x:v>
      </x:c>
      <x:c r="N27" s="4" t="str">
        <x:f>IF(IFERROR(INDEX('Material routes'!$I$6:$I$1005,MATCH(U27,'Material routes'!$A$6:$A$1005,0)),"MISSING ID")=0,"",IFERROR(INDEX('Material routes'!$I$6:$I$1005,MATCH(U27,'Material routes'!$A$6:$A$1005,0)),"MISSING ID"))</x:f>
      </x:c>
      <x:c r="O27" s="4" t="str">
        <x:f>IFERROR(INDEX('Material routes'!$J$6:$J$1005,MATCH(U27,'Material routes'!$A$6:$A$1005,0)),"MISSING ID")</x:f>
        <x:v>Unspecified</x:v>
      </x:c>
      <x:c r="P27" s="4" t="str">
        <x:f>IF(IFERROR(INDEX('Material routes'!$I$6:$I$1005,MATCH(V27,'Material routes'!$A$6:$A$1005,0)),"MISSING ID")=0,"",IFERROR(INDEX('Material routes'!$I$6:$I$1005,MATCH(V27,'Material routes'!$A$6:$A$1005,0)),"MISSING ID"))</x:f>
      </x:c>
      <x:c r="Q27" s="4" t="str">
        <x:f>IFERROR(INDEX('Material routes'!$J$6:$J$1005,MATCH(V27,'Material routes'!$A$6:$A$1005,0)),"MISSING ID")</x:f>
        <x:v>Unspecified</x:v>
      </x:c>
      <x:c r="R27" s="4" t="str">
        <x:f>IF(L27="Withheld","Withheld premise",IF(E27="Tool candidate","Reusable prerequisite",IF(K27="Raw entry preparation","Entry-resource preparation",IF(G27="Not applicable","Finished endpoint",IF(OR(IFERROR(INDEX('Crafting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routes'!$D$6:$D$1005,MATCH(U27,'Material routes'!$A$6:$A$1005,0)),"MISSING ID")</x:f>
        <x:v>proposal.natural.silica</x:v>
      </x:c>
      <x:c r="T27" s="4" t="str">
        <x:f>IFERROR(INDEX('Material routes'!$D$6:$D$1005,MATCH(V27,'Material routes'!$A$6:$A$1005,0)),"MISSING ID")</x:f>
        <x:v>proposal.t1.clear_glass_blank</x:v>
      </x:c>
      <x:c r="U27" s="4" t="str">
        <x:v>material.route.023</x:v>
      </x:c>
      <x:c r="V27" s="4" t="str">
        <x:v>output.design.refine.t1.clear_glass_blank</x:v>
      </x:c>
    </x:row>
    <x:row r="28" ht="85" customHeight="1">
      <x:c r="A28" s="4" t="str">
        <x:f>IFERROR(INDEX('Material routes'!$E$6:$E$1005,MATCH(U28,'Material routes'!$A$6:$A$1005,0)),"MISSING ID")</x:f>
        <x:v>Basalt blocks</x:v>
      </x:c>
      <x:c r="B28" s="4" t="str">
        <x:f>IFERROR(INDEX('Material routes'!$F$6:$F$1005,MATCH(U28,'Material routes'!$A$6:$A$1005,0)),"MISSING ID")</x:f>
        <x:v>T0</x:v>
      </x:c>
      <x:c r="C28" s="4" t="str">
        <x:f>IFERROR(INDEX('Material routes'!$H$6:$H$1005,MATCH(U28,'Material routes'!$A$6:$A$1005,0)),"MISSING ID")</x:f>
        <x:v>Raw material</x:v>
      </x:c>
      <x:c r="D28" s="4" t="str">
        <x:f>IFERROR(INDEX('Material routes'!$G$6:$G$1005,MATCH(U28,'Material routes'!$A$6:$A$1005,0)),"MISSING ID")</x:f>
        <x:v>Resources</x:v>
      </x:c>
      <x:c r="E28" s="4" t="str">
        <x:f>IFERROR(INDEX('Material routes'!$C$6:$C$1005,MATCH(U28,'Material routes'!$A$6:$A$1005,0)),"MISSING ID")</x:f>
        <x:v>Ingredient candidate</x:v>
      </x:c>
      <x:c r="F28" s="4" t="str">
        <x:f>IFERROR(INDEX('Material routes'!$E$6:$E$1005,MATCH(V28,'Material routes'!$A$6:$A$1005,0)),"MISSING ID")</x:f>
        <x:v>Dressed building-stone stock</x:v>
      </x:c>
      <x:c r="G28" s="4" t="str">
        <x:f>IFERROR(INDEX('Material routes'!$F$6:$F$1005,MATCH(V28,'Material routes'!$A$6:$A$1005,0)),"MISSING ID")</x:f>
        <x:v>T1</x:v>
      </x:c>
      <x:c r="H28" s="4" t="str">
        <x:f>IFERROR(INDEX('Material routes'!$H$6:$H$1005,MATCH(V28,'Material routes'!$A$6:$A$1005,0)),"MISSING ID")</x:f>
        <x:v>Processed material</x:v>
      </x:c>
      <x:c r="I28" s="4" t="str">
        <x:f>IFERROR(INDEX('Material routes'!$G$6:$G$1005,MATCH(V28,'Material routes'!$A$6:$A$1005,0)),"MISSING ID")</x:f>
        <x:v>Resources</x:v>
      </x:c>
      <x:c r="J28" s="4" t="str">
        <x:f>IFERROR(INDEX('Material routes'!$B$6:$B$1005,MATCH(U28,'Material routes'!$A$6:$A$1005,0)),"MISSING ID")</x:f>
        <x:v>design.refine.t1.dressed_stone</x:v>
      </x:c>
      <x:c r="K28" s="4" t="str">
        <x:f>IFERROR(INDEX('Crafting recipes'!$C$6:$C$1005,MATCH(J28,'Crafting recipes'!$A$6:$A$1005,0)),"MISSING ID")</x:f>
        <x:v>Material refinement</x:v>
      </x:c>
      <x:c r="L28" s="4" t="str">
        <x:f>IFERROR(INDEX('Material routes'!$K$6:$K$1005,MATCH(U28,'Material routes'!$A$6:$A$1005,0)),"MISSING ID")</x:f>
        <x:v>Proposal</x:v>
      </x:c>
      <x:c r="M28" s="4" t="str">
        <x:f>IFERROR(INDEX('Material routes'!$M$6:$M$1005,MATCH(U28,'Material routes'!$A$6:$A$1005,0)),"MISSING ID")</x:f>
        <x:v>Partial proposal</x:v>
      </x:c>
      <x:c r="N28" s="4" t="str">
        <x:f>IF(IFERROR(INDEX('Material routes'!$I$6:$I$1005,MATCH(U28,'Material routes'!$A$6:$A$1005,0)),"MISSING ID")=0,"",IFERROR(INDEX('Material routes'!$I$6:$I$1005,MATCH(U28,'Material routes'!$A$6:$A$1005,0)),"MISSING ID"))</x:f>
      </x:c>
      <x:c r="O28" s="4" t="str">
        <x:f>IFERROR(INDEX('Material routes'!$J$6:$J$1005,MATCH(U28,'Material routes'!$A$6:$A$1005,0)),"MISSING ID")</x:f>
        <x:v>Unspecified</x:v>
      </x:c>
      <x:c r="P28" s="4" t="str">
        <x:f>IF(IFERROR(INDEX('Material routes'!$I$6:$I$1005,MATCH(V28,'Material routes'!$A$6:$A$1005,0)),"MISSING ID")=0,"",IFERROR(INDEX('Material routes'!$I$6:$I$1005,MATCH(V28,'Material routes'!$A$6:$A$1005,0)),"MISSING ID"))</x:f>
      </x:c>
      <x:c r="Q28" s="4" t="str">
        <x:f>IFERROR(INDEX('Material routes'!$J$6:$J$1005,MATCH(V28,'Material routes'!$A$6:$A$1005,0)),"MISSING ID")</x:f>
        <x:v>Unspecified</x:v>
      </x:c>
      <x:c r="R28" s="4" t="str">
        <x:f>IF(L28="Withheld","Withheld premise",IF(E28="Tool candidate","Reusable prerequisite",IF(K28="Raw entry preparation","Entry-resource preparation",IF(G28="Not applicable","Finished endpoint",IF(OR(IFERROR(INDEX('Crafting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routes'!$D$6:$D$1005,MATCH(U28,'Material routes'!$A$6:$A$1005,0)),"MISSING ID")</x:f>
        <x:v>proposal.raw.basalt</x:v>
      </x:c>
      <x:c r="T28" s="4" t="str">
        <x:f>IFERROR(INDEX('Material routes'!$D$6:$D$1005,MATCH(V28,'Material routes'!$A$6:$A$1005,0)),"MISSING ID")</x:f>
        <x:v>proposal.t1.dressed_stone</x:v>
      </x:c>
      <x:c r="U28" s="4" t="str">
        <x:v>material.route.024</x:v>
      </x:c>
      <x:c r="V28" s="4" t="str">
        <x:v>output.design.refine.t1.dressed_stone</x:v>
      </x:c>
    </x:row>
    <x:row r="29" ht="85" customHeight="1">
      <x:c r="A29" s="4" t="str">
        <x:f>IFERROR(INDEX('Material routes'!$E$6:$E$1005,MATCH(U29,'Material routes'!$A$6:$A$1005,0)),"MISSING ID")</x:f>
        <x:v>Slate plates</x:v>
      </x:c>
      <x:c r="B29" s="4" t="str">
        <x:f>IFERROR(INDEX('Material routes'!$F$6:$F$1005,MATCH(U29,'Material routes'!$A$6:$A$1005,0)),"MISSING ID")</x:f>
        <x:v>T0</x:v>
      </x:c>
      <x:c r="C29" s="4" t="str">
        <x:f>IFERROR(INDEX('Material routes'!$H$6:$H$1005,MATCH(U29,'Material routes'!$A$6:$A$1005,0)),"MISSING ID")</x:f>
        <x:v>Raw material</x:v>
      </x:c>
      <x:c r="D29" s="4" t="str">
        <x:f>IFERROR(INDEX('Material routes'!$G$6:$G$1005,MATCH(U29,'Material routes'!$A$6:$A$1005,0)),"MISSING ID")</x:f>
        <x:v>Resources</x:v>
      </x:c>
      <x:c r="E29" s="4" t="str">
        <x:f>IFERROR(INDEX('Material routes'!$C$6:$C$1005,MATCH(U29,'Material routes'!$A$6:$A$1005,0)),"MISSING ID")</x:f>
        <x:v>Ingredient candidate</x:v>
      </x:c>
      <x:c r="F29" s="4" t="str">
        <x:f>IFERROR(INDEX('Material routes'!$E$6:$E$1005,MATCH(V29,'Material routes'!$A$6:$A$1005,0)),"MISSING ID")</x:f>
        <x:v>Selected resonant-stone blank</x:v>
      </x:c>
      <x:c r="G29" s="4" t="str">
        <x:f>IFERROR(INDEX('Material routes'!$F$6:$F$1005,MATCH(V29,'Material routes'!$A$6:$A$1005,0)),"MISSING ID")</x:f>
        <x:v>T1</x:v>
      </x:c>
      <x:c r="H29" s="4" t="str">
        <x:f>IFERROR(INDEX('Material routes'!$H$6:$H$1005,MATCH(V29,'Material routes'!$A$6:$A$1005,0)),"MISSING ID")</x:f>
        <x:v>Processed material</x:v>
      </x:c>
      <x:c r="I29" s="4" t="str">
        <x:f>IFERROR(INDEX('Material routes'!$G$6:$G$1005,MATCH(V29,'Material routes'!$A$6:$A$1005,0)),"MISSING ID")</x:f>
        <x:v>Resources</x:v>
      </x:c>
      <x:c r="J29" s="4" t="str">
        <x:f>IFERROR(INDEX('Material routes'!$B$6:$B$1005,MATCH(U29,'Material routes'!$A$6:$A$1005,0)),"MISSING ID")</x:f>
        <x:v>design.refine.t1.resonant_blank</x:v>
      </x:c>
      <x:c r="K29" s="4" t="str">
        <x:f>IFERROR(INDEX('Crafting recipes'!$C$6:$C$1005,MATCH(J29,'Crafting recipes'!$A$6:$A$1005,0)),"MISSING ID")</x:f>
        <x:v>Material refinement</x:v>
      </x:c>
      <x:c r="L29" s="4" t="str">
        <x:f>IFERROR(INDEX('Material routes'!$K$6:$K$1005,MATCH(U29,'Material routes'!$A$6:$A$1005,0)),"MISSING ID")</x:f>
        <x:v>Proposal</x:v>
      </x:c>
      <x:c r="M29" s="4" t="str">
        <x:f>IFERROR(INDEX('Material routes'!$M$6:$M$1005,MATCH(U29,'Material routes'!$A$6:$A$1005,0)),"MISSING ID")</x:f>
        <x:v>Partial proposal</x:v>
      </x:c>
      <x:c r="N29" s="4" t="str">
        <x:f>IF(IFERROR(INDEX('Material routes'!$I$6:$I$1005,MATCH(U29,'Material routes'!$A$6:$A$1005,0)),"MISSING ID")=0,"",IFERROR(INDEX('Material routes'!$I$6:$I$1005,MATCH(U29,'Material routes'!$A$6:$A$1005,0)),"MISSING ID"))</x:f>
      </x:c>
      <x:c r="O29" s="4" t="str">
        <x:f>IFERROR(INDEX('Material routes'!$J$6:$J$1005,MATCH(U29,'Material routes'!$A$6:$A$1005,0)),"MISSING ID")</x:f>
        <x:v>Unspecified</x:v>
      </x:c>
      <x:c r="P29" s="4" t="str">
        <x:f>IF(IFERROR(INDEX('Material routes'!$I$6:$I$1005,MATCH(V29,'Material routes'!$A$6:$A$1005,0)),"MISSING ID")=0,"",IFERROR(INDEX('Material routes'!$I$6:$I$1005,MATCH(V29,'Material routes'!$A$6:$A$1005,0)),"MISSING ID"))</x:f>
      </x:c>
      <x:c r="Q29" s="4" t="str">
        <x:f>IFERROR(INDEX('Material routes'!$J$6:$J$1005,MATCH(V29,'Material routes'!$A$6:$A$1005,0)),"MISSING ID")</x:f>
        <x:v>Unspecified</x:v>
      </x:c>
      <x:c r="R29" s="4" t="str">
        <x:f>IF(L29="Withheld","Withheld premise",IF(E29="Tool candidate","Reusable prerequisite",IF(K29="Raw entry preparation","Entry-resource preparation",IF(G29="Not applicable","Finished endpoint",IF(OR(IFERROR(INDEX('Crafting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routes'!$D$6:$D$1005,MATCH(U29,'Material routes'!$A$6:$A$1005,0)),"MISSING ID")</x:f>
        <x:v>proposal.raw.slate</x:v>
      </x:c>
      <x:c r="T29" s="4" t="str">
        <x:f>IFERROR(INDEX('Material routes'!$D$6:$D$1005,MATCH(V29,'Material routes'!$A$6:$A$1005,0)),"MISSING ID")</x:f>
        <x:v>proposal.t1.resonant_blank</x:v>
      </x:c>
      <x:c r="U29" s="4" t="str">
        <x:v>material.route.025</x:v>
      </x:c>
      <x:c r="V29" s="4" t="str">
        <x:v>output.design.refine.t1.resonant_blank</x:v>
      </x:c>
    </x:row>
    <x:row r="30" ht="85" customHeight="1">
      <x:c r="A30" s="4" t="str">
        <x:f>IFERROR(INDEX('Material routes'!$E$6:$E$1005,MATCH(U30,'Material routes'!$A$6:$A$1005,0)),"MISSING ID")</x:f>
        <x:v>Yellow ochre clods</x:v>
      </x:c>
      <x:c r="B30" s="4" t="str">
        <x:f>IFERROR(INDEX('Material routes'!$F$6:$F$1005,MATCH(U30,'Material routes'!$A$6:$A$1005,0)),"MISSING ID")</x:f>
        <x:v>T0</x:v>
      </x:c>
      <x:c r="C30" s="4" t="str">
        <x:f>IFERROR(INDEX('Material routes'!$H$6:$H$1005,MATCH(U30,'Material routes'!$A$6:$A$1005,0)),"MISSING ID")</x:f>
        <x:v>Raw material</x:v>
      </x:c>
      <x:c r="D30" s="4" t="str">
        <x:f>IFERROR(INDEX('Material routes'!$G$6:$G$1005,MATCH(U30,'Material routes'!$A$6:$A$1005,0)),"MISSING ID")</x:f>
        <x:v>Resources</x:v>
      </x:c>
      <x:c r="E30" s="4" t="str">
        <x:f>IFERROR(INDEX('Material routes'!$C$6:$C$1005,MATCH(U30,'Material routes'!$A$6:$A$1005,0)),"MISSING ID")</x:f>
        <x:v>Ingredient candidate</x:v>
      </x:c>
      <x:c r="F30" s="4" t="str">
        <x:f>IFERROR(INDEX('Material routes'!$E$6:$E$1005,MATCH(V30,'Material routes'!$A$6:$A$1005,0)),"MISSING ID")</x:f>
        <x:v>Prepared mineral pigment powder</x:v>
      </x:c>
      <x:c r="G30" s="4" t="str">
        <x:f>IFERROR(INDEX('Material routes'!$F$6:$F$1005,MATCH(V30,'Material routes'!$A$6:$A$1005,0)),"MISSING ID")</x:f>
        <x:v>T1</x:v>
      </x:c>
      <x:c r="H30" s="4" t="str">
        <x:f>IFERROR(INDEX('Material routes'!$H$6:$H$1005,MATCH(V30,'Material routes'!$A$6:$A$1005,0)),"MISSING ID")</x:f>
        <x:v>Processed material</x:v>
      </x:c>
      <x:c r="I30" s="4" t="str">
        <x:f>IFERROR(INDEX('Material routes'!$G$6:$G$1005,MATCH(V30,'Material routes'!$A$6:$A$1005,0)),"MISSING ID")</x:f>
        <x:v>Resources</x:v>
      </x:c>
      <x:c r="J30" s="4" t="str">
        <x:f>IFERROR(INDEX('Material routes'!$B$6:$B$1005,MATCH(U30,'Material routes'!$A$6:$A$1005,0)),"MISSING ID")</x:f>
        <x:v>design.refine.t1.pigment_powder</x:v>
      </x:c>
      <x:c r="K30" s="4" t="str">
        <x:f>IFERROR(INDEX('Crafting recipes'!$C$6:$C$1005,MATCH(J30,'Crafting recipes'!$A$6:$A$1005,0)),"MISSING ID")</x:f>
        <x:v>Material refinement</x:v>
      </x:c>
      <x:c r="L30" s="4" t="str">
        <x:f>IFERROR(INDEX('Material routes'!$K$6:$K$1005,MATCH(U30,'Material routes'!$A$6:$A$1005,0)),"MISSING ID")</x:f>
        <x:v>Proposal</x:v>
      </x:c>
      <x:c r="M30" s="4" t="str">
        <x:f>IFERROR(INDEX('Material routes'!$M$6:$M$1005,MATCH(U30,'Material routes'!$A$6:$A$1005,0)),"MISSING ID")</x:f>
        <x:v>Partial proposal</x:v>
      </x:c>
      <x:c r="N30" s="4" t="str">
        <x:f>IF(IFERROR(INDEX('Material routes'!$I$6:$I$1005,MATCH(U30,'Material routes'!$A$6:$A$1005,0)),"MISSING ID")=0,"",IFERROR(INDEX('Material routes'!$I$6:$I$1005,MATCH(U30,'Material routes'!$A$6:$A$1005,0)),"MISSING ID"))</x:f>
      </x:c>
      <x:c r="O30" s="4" t="str">
        <x:f>IFERROR(INDEX('Material routes'!$J$6:$J$1005,MATCH(U30,'Material routes'!$A$6:$A$1005,0)),"MISSING ID")</x:f>
        <x:v>Unspecified</x:v>
      </x:c>
      <x:c r="P30" s="4" t="str">
        <x:f>IF(IFERROR(INDEX('Material routes'!$I$6:$I$1005,MATCH(V30,'Material routes'!$A$6:$A$1005,0)),"MISSING ID")=0,"",IFERROR(INDEX('Material routes'!$I$6:$I$1005,MATCH(V30,'Material routes'!$A$6:$A$1005,0)),"MISSING ID"))</x:f>
      </x:c>
      <x:c r="Q30" s="4" t="str">
        <x:f>IFERROR(INDEX('Material routes'!$J$6:$J$1005,MATCH(V30,'Material routes'!$A$6:$A$1005,0)),"MISSING ID")</x:f>
        <x:v>Unspecified</x:v>
      </x:c>
      <x:c r="R30" s="4" t="str">
        <x:f>IF(L30="Withheld","Withheld premise",IF(E30="Tool candidate","Reusable prerequisite",IF(K30="Raw entry preparation","Entry-resource preparation",IF(G30="Not applicable","Finished endpoint",IF(OR(IFERROR(INDEX('Crafting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routes'!$D$6:$D$1005,MATCH(U30,'Material routes'!$A$6:$A$1005,0)),"MISSING ID")</x:f>
        <x:v>proposal.raw.ochre</x:v>
      </x:c>
      <x:c r="T30" s="4" t="str">
        <x:f>IFERROR(INDEX('Material routes'!$D$6:$D$1005,MATCH(V30,'Material routes'!$A$6:$A$1005,0)),"MISSING ID")</x:f>
        <x:v>proposal.t1.pigment_powder</x:v>
      </x:c>
      <x:c r="U30" s="4" t="str">
        <x:v>material.route.026</x:v>
      </x:c>
      <x:c r="V30" s="4" t="str">
        <x:v>output.design.refine.t1.pigment_powder</x:v>
      </x:c>
    </x:row>
    <x:row r="31" ht="85" customHeight="1">
      <x:c r="A31" s="4" t="str">
        <x:f>IFERROR(INDEX('Material routes'!$E$6:$E$1005,MATCH(U31,'Material routes'!$A$6:$A$1005,0)),"MISSING ID")</x:f>
        <x:v>Dense barite lumps</x:v>
      </x:c>
      <x:c r="B31" s="4" t="str">
        <x:f>IFERROR(INDEX('Material routes'!$F$6:$F$1005,MATCH(U31,'Material routes'!$A$6:$A$1005,0)),"MISSING ID")</x:f>
        <x:v>T0</x:v>
      </x:c>
      <x:c r="C31" s="4" t="str">
        <x:f>IFERROR(INDEX('Material routes'!$H$6:$H$1005,MATCH(U31,'Material routes'!$A$6:$A$1005,0)),"MISSING ID")</x:f>
        <x:v>Raw material</x:v>
      </x:c>
      <x:c r="D31" s="4" t="str">
        <x:f>IFERROR(INDEX('Material routes'!$G$6:$G$1005,MATCH(U31,'Material routes'!$A$6:$A$1005,0)),"MISSING ID")</x:f>
        <x:v>Resources</x:v>
      </x:c>
      <x:c r="E31" s="4" t="str">
        <x:f>IFERROR(INDEX('Material routes'!$C$6:$C$1005,MATCH(U31,'Material routes'!$A$6:$A$1005,0)),"MISSING ID")</x:f>
        <x:v>Ingredient candidate</x:v>
      </x:c>
      <x:c r="F31" s="4" t="str">
        <x:f>IFERROR(INDEX('Material routes'!$E$6:$E$1005,MATCH(V31,'Material routes'!$A$6:$A$1005,0)),"MISSING ID")</x:f>
        <x:v>Graded mineral filler</x:v>
      </x:c>
      <x:c r="G31" s="4" t="str">
        <x:f>IFERROR(INDEX('Material routes'!$F$6:$F$1005,MATCH(V31,'Material routes'!$A$6:$A$1005,0)),"MISSING ID")</x:f>
        <x:v>T1</x:v>
      </x:c>
      <x:c r="H31" s="4" t="str">
        <x:f>IFERROR(INDEX('Material routes'!$H$6:$H$1005,MATCH(V31,'Material routes'!$A$6:$A$1005,0)),"MISSING ID")</x:f>
        <x:v>Processed material</x:v>
      </x:c>
      <x:c r="I31" s="4" t="str">
        <x:f>IFERROR(INDEX('Material routes'!$G$6:$G$1005,MATCH(V31,'Material routes'!$A$6:$A$1005,0)),"MISSING ID")</x:f>
        <x:v>Resources</x:v>
      </x:c>
      <x:c r="J31" s="4" t="str">
        <x:f>IFERROR(INDEX('Material routes'!$B$6:$B$1005,MATCH(U31,'Material routes'!$A$6:$A$1005,0)),"MISSING ID")</x:f>
        <x:v>design.refine.t1.mineral_filler</x:v>
      </x:c>
      <x:c r="K31" s="4" t="str">
        <x:f>IFERROR(INDEX('Crafting recipes'!$C$6:$C$1005,MATCH(J31,'Crafting recipes'!$A$6:$A$1005,0)),"MISSING ID")</x:f>
        <x:v>Material refinement</x:v>
      </x:c>
      <x:c r="L31" s="4" t="str">
        <x:f>IFERROR(INDEX('Material routes'!$K$6:$K$1005,MATCH(U31,'Material routes'!$A$6:$A$1005,0)),"MISSING ID")</x:f>
        <x:v>Proposal</x:v>
      </x:c>
      <x:c r="M31" s="4" t="str">
        <x:f>IFERROR(INDEX('Material routes'!$M$6:$M$1005,MATCH(U31,'Material routes'!$A$6:$A$1005,0)),"MISSING ID")</x:f>
        <x:v>Partial proposal</x:v>
      </x:c>
      <x:c r="N31" s="4" t="str">
        <x:f>IF(IFERROR(INDEX('Material routes'!$I$6:$I$1005,MATCH(U31,'Material routes'!$A$6:$A$1005,0)),"MISSING ID")=0,"",IFERROR(INDEX('Material routes'!$I$6:$I$1005,MATCH(U31,'Material routes'!$A$6:$A$1005,0)),"MISSING ID"))</x:f>
      </x:c>
      <x:c r="O31" s="4" t="str">
        <x:f>IFERROR(INDEX('Material routes'!$J$6:$J$1005,MATCH(U31,'Material routes'!$A$6:$A$1005,0)),"MISSING ID")</x:f>
        <x:v>Unspecified</x:v>
      </x:c>
      <x:c r="P31" s="4" t="str">
        <x:f>IF(IFERROR(INDEX('Material routes'!$I$6:$I$1005,MATCH(V31,'Material routes'!$A$6:$A$1005,0)),"MISSING ID")=0,"",IFERROR(INDEX('Material routes'!$I$6:$I$1005,MATCH(V31,'Material routes'!$A$6:$A$1005,0)),"MISSING ID"))</x:f>
      </x:c>
      <x:c r="Q31" s="4" t="str">
        <x:f>IFERROR(INDEX('Material routes'!$J$6:$J$1005,MATCH(V31,'Material routes'!$A$6:$A$1005,0)),"MISSING ID")</x:f>
        <x:v>Unspecified</x:v>
      </x:c>
      <x:c r="R31" s="4" t="str">
        <x:f>IF(L31="Withheld","Withheld premise",IF(E31="Tool candidate","Reusable prerequisite",IF(K31="Raw entry preparation","Entry-resource preparation",IF(G31="Not applicable","Finished endpoint",IF(OR(IFERROR(INDEX('Crafting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routes'!$D$6:$D$1005,MATCH(U31,'Material routes'!$A$6:$A$1005,0)),"MISSING ID")</x:f>
        <x:v>proposal.raw.barite</x:v>
      </x:c>
      <x:c r="T31" s="4" t="str">
        <x:f>IFERROR(INDEX('Material routes'!$D$6:$D$1005,MATCH(V31,'Material routes'!$A$6:$A$1005,0)),"MISSING ID")</x:f>
        <x:v>proposal.t1.mineral_filler</x:v>
      </x:c>
      <x:c r="U31" s="4" t="str">
        <x:v>material.route.027</x:v>
      </x:c>
      <x:c r="V31" s="4" t="str">
        <x:v>output.design.refine.t1.mineral_filler</x:v>
      </x:c>
    </x:row>
    <x:row r="32" ht="85" customHeight="1">
      <x:c r="A32" s="4" t="str">
        <x:f>IFERROR(INDEX('Material routes'!$E$6:$E$1005,MATCH(U32,'Material routes'!$A$6:$A$1005,0)),"MISSING ID")</x:f>
        <x:v>Broken glass pieces</x:v>
      </x:c>
      <x:c r="B32" s="4" t="str">
        <x:f>IFERROR(INDEX('Material routes'!$F$6:$F$1005,MATCH(U32,'Material routes'!$A$6:$A$1005,0)),"MISSING ID")</x:f>
        <x:v>T0</x:v>
      </x:c>
      <x:c r="C32" s="4" t="str">
        <x:f>IFERROR(INDEX('Material routes'!$H$6:$H$1005,MATCH(U32,'Material routes'!$A$6:$A$1005,0)),"MISSING ID")</x:f>
        <x:v>Raw material</x:v>
      </x:c>
      <x:c r="D32" s="4" t="str">
        <x:f>IFERROR(INDEX('Material routes'!$G$6:$G$1005,MATCH(U32,'Material routes'!$A$6:$A$1005,0)),"MISSING ID")</x:f>
        <x:v>Resources</x:v>
      </x:c>
      <x:c r="E32" s="4" t="str">
        <x:f>IFERROR(INDEX('Material routes'!$C$6:$C$1005,MATCH(U32,'Material routes'!$A$6:$A$1005,0)),"MISSING ID")</x:f>
        <x:v>Ingredient candidate</x:v>
      </x:c>
      <x:c r="F32" s="4" t="str">
        <x:f>IFERROR(INDEX('Material routes'!$E$6:$E$1005,MATCH(V32,'Material routes'!$A$6:$A$1005,0)),"MISSING ID")</x:f>
        <x:v>Sorted glass remelt feed</x:v>
      </x:c>
      <x:c r="G32" s="4" t="str">
        <x:f>IFERROR(INDEX('Material routes'!$F$6:$F$1005,MATCH(V32,'Material routes'!$A$6:$A$1005,0)),"MISSING ID")</x:f>
        <x:v>T1</x:v>
      </x:c>
      <x:c r="H32" s="4" t="str">
        <x:f>IFERROR(INDEX('Material routes'!$H$6:$H$1005,MATCH(V32,'Material routes'!$A$6:$A$1005,0)),"MISSING ID")</x:f>
        <x:v>Processed material</x:v>
      </x:c>
      <x:c r="I32" s="4" t="str">
        <x:f>IFERROR(INDEX('Material routes'!$G$6:$G$1005,MATCH(V32,'Material routes'!$A$6:$A$1005,0)),"MISSING ID")</x:f>
        <x:v>Resources</x:v>
      </x:c>
      <x:c r="J32" s="4" t="str">
        <x:f>IFERROR(INDEX('Material routes'!$B$6:$B$1005,MATCH(U32,'Material routes'!$A$6:$A$1005,0)),"MISSING ID")</x:f>
        <x:v>design.refine.t1.glass_feed</x:v>
      </x:c>
      <x:c r="K32" s="4" t="str">
        <x:f>IFERROR(INDEX('Crafting recipes'!$C$6:$C$1005,MATCH(J32,'Crafting recipes'!$A$6:$A$1005,0)),"MISSING ID")</x:f>
        <x:v>Material refinement</x:v>
      </x:c>
      <x:c r="L32" s="4" t="str">
        <x:f>IFERROR(INDEX('Material routes'!$K$6:$K$1005,MATCH(U32,'Material routes'!$A$6:$A$1005,0)),"MISSING ID")</x:f>
        <x:v>Proposal</x:v>
      </x:c>
      <x:c r="M32" s="4" t="str">
        <x:f>IFERROR(INDEX('Material routes'!$M$6:$M$1005,MATCH(U32,'Material routes'!$A$6:$A$1005,0)),"MISSING ID")</x:f>
        <x:v>Partial proposal</x:v>
      </x:c>
      <x:c r="N32" s="4" t="str">
        <x:f>IF(IFERROR(INDEX('Material routes'!$I$6:$I$1005,MATCH(U32,'Material routes'!$A$6:$A$1005,0)),"MISSING ID")=0,"",IFERROR(INDEX('Material routes'!$I$6:$I$1005,MATCH(U32,'Material routes'!$A$6:$A$1005,0)),"MISSING ID"))</x:f>
      </x:c>
      <x:c r="O32" s="4" t="str">
        <x:f>IFERROR(INDEX('Material routes'!$J$6:$J$1005,MATCH(U32,'Material routes'!$A$6:$A$1005,0)),"MISSING ID")</x:f>
        <x:v>Unspecified</x:v>
      </x:c>
      <x:c r="P32" s="4" t="str">
        <x:f>IF(IFERROR(INDEX('Material routes'!$I$6:$I$1005,MATCH(V32,'Material routes'!$A$6:$A$1005,0)),"MISSING ID")=0,"",IFERROR(INDEX('Material routes'!$I$6:$I$1005,MATCH(V32,'Material routes'!$A$6:$A$1005,0)),"MISSING ID"))</x:f>
      </x:c>
      <x:c r="Q32" s="4" t="str">
        <x:f>IFERROR(INDEX('Material routes'!$J$6:$J$1005,MATCH(V32,'Material routes'!$A$6:$A$1005,0)),"MISSING ID")</x:f>
        <x:v>Unspecified</x:v>
      </x:c>
      <x:c r="R32" s="4" t="str">
        <x:f>IF(L32="Withheld","Withheld premise",IF(E32="Tool candidate","Reusable prerequisite",IF(K32="Raw entry preparation","Entry-resource preparation",IF(G32="Not applicable","Finished endpoint",IF(OR(IFERROR(INDEX('Crafting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routes'!$D$6:$D$1005,MATCH(U32,'Material routes'!$A$6:$A$1005,0)),"MISSING ID")</x:f>
        <x:v>proposal.raw.glass_shards</x:v>
      </x:c>
      <x:c r="T32" s="4" t="str">
        <x:f>IFERROR(INDEX('Material routes'!$D$6:$D$1005,MATCH(V32,'Material routes'!$A$6:$A$1005,0)),"MISSING ID")</x:f>
        <x:v>proposal.t1.glass_feed</x:v>
      </x:c>
      <x:c r="U32" s="4" t="str">
        <x:v>material.route.028</x:v>
      </x:c>
      <x:c r="V32" s="4" t="str">
        <x:v>output.design.refine.t1.glass_feed</x:v>
      </x:c>
    </x:row>
    <x:row r="33" ht="85" customHeight="1">
      <x:c r="A33" s="4" t="str">
        <x:f>IFERROR(INDEX('Material routes'!$E$6:$E$1005,MATCH(U33,'Material routes'!$A$6:$A$1005,0)),"MISSING ID")</x:f>
        <x:v>Mica sheets</x:v>
      </x:c>
      <x:c r="B33" s="4" t="str">
        <x:f>IFERROR(INDEX('Material routes'!$F$6:$F$1005,MATCH(U33,'Material routes'!$A$6:$A$1005,0)),"MISSING ID")</x:f>
        <x:v>T0</x:v>
      </x:c>
      <x:c r="C33" s="4" t="str">
        <x:f>IFERROR(INDEX('Material routes'!$H$6:$H$1005,MATCH(U33,'Material routes'!$A$6:$A$1005,0)),"MISSING ID")</x:f>
        <x:v>Raw material</x:v>
      </x:c>
      <x:c r="D33" s="4" t="str">
        <x:f>IFERROR(INDEX('Material routes'!$G$6:$G$1005,MATCH(U33,'Material routes'!$A$6:$A$1005,0)),"MISSING ID")</x:f>
        <x:v>Resources</x:v>
      </x:c>
      <x:c r="E33" s="4" t="str">
        <x:f>IFERROR(INDEX('Material routes'!$C$6:$C$1005,MATCH(U33,'Material routes'!$A$6:$A$1005,0)),"MISSING ID")</x:f>
        <x:v>Ingredient candidate</x:v>
      </x:c>
      <x:c r="F33" s="4" t="str">
        <x:f>IFERROR(INDEX('Material routes'!$E$6:$E$1005,MATCH(V33,'Material routes'!$A$6:$A$1005,0)),"MISSING ID")</x:f>
        <x:v>Separated mica flake grade</x:v>
      </x:c>
      <x:c r="G33" s="4" t="str">
        <x:f>IFERROR(INDEX('Material routes'!$F$6:$F$1005,MATCH(V33,'Material routes'!$A$6:$A$1005,0)),"MISSING ID")</x:f>
        <x:v>T1</x:v>
      </x:c>
      <x:c r="H33" s="4" t="str">
        <x:f>IFERROR(INDEX('Material routes'!$H$6:$H$1005,MATCH(V33,'Material routes'!$A$6:$A$1005,0)),"MISSING ID")</x:f>
        <x:v>Processed material</x:v>
      </x:c>
      <x:c r="I33" s="4" t="str">
        <x:f>IFERROR(INDEX('Material routes'!$G$6:$G$1005,MATCH(V33,'Material routes'!$A$6:$A$1005,0)),"MISSING ID")</x:f>
        <x:v>Resources</x:v>
      </x:c>
      <x:c r="J33" s="4" t="str">
        <x:f>IFERROR(INDEX('Material routes'!$B$6:$B$1005,MATCH(U33,'Material routes'!$A$6:$A$1005,0)),"MISSING ID")</x:f>
        <x:v>design.refine.t1.mica_flakes</x:v>
      </x:c>
      <x:c r="K33" s="4" t="str">
        <x:f>IFERROR(INDEX('Crafting recipes'!$C$6:$C$1005,MATCH(J33,'Crafting recipes'!$A$6:$A$1005,0)),"MISSING ID")</x:f>
        <x:v>Material refinement</x:v>
      </x:c>
      <x:c r="L33" s="4" t="str">
        <x:f>IFERROR(INDEX('Material routes'!$K$6:$K$1005,MATCH(U33,'Material routes'!$A$6:$A$1005,0)),"MISSING ID")</x:f>
        <x:v>Proposal</x:v>
      </x:c>
      <x:c r="M33" s="4" t="str">
        <x:f>IFERROR(INDEX('Material routes'!$M$6:$M$1005,MATCH(U33,'Material routes'!$A$6:$A$1005,0)),"MISSING ID")</x:f>
        <x:v>Partial proposal</x:v>
      </x:c>
      <x:c r="N33" s="4" t="str">
        <x:f>IF(IFERROR(INDEX('Material routes'!$I$6:$I$1005,MATCH(U33,'Material routes'!$A$6:$A$1005,0)),"MISSING ID")=0,"",IFERROR(INDEX('Material routes'!$I$6:$I$1005,MATCH(U33,'Material routes'!$A$6:$A$1005,0)),"MISSING ID"))</x:f>
      </x:c>
      <x:c r="O33" s="4" t="str">
        <x:f>IFERROR(INDEX('Material routes'!$J$6:$J$1005,MATCH(U33,'Material routes'!$A$6:$A$1005,0)),"MISSING ID")</x:f>
        <x:v>Unspecified</x:v>
      </x:c>
      <x:c r="P33" s="4" t="str">
        <x:f>IF(IFERROR(INDEX('Material routes'!$I$6:$I$1005,MATCH(V33,'Material routes'!$A$6:$A$1005,0)),"MISSING ID")=0,"",IFERROR(INDEX('Material routes'!$I$6:$I$1005,MATCH(V33,'Material routes'!$A$6:$A$1005,0)),"MISSING ID"))</x:f>
      </x:c>
      <x:c r="Q33" s="4" t="str">
        <x:f>IFERROR(INDEX('Material routes'!$J$6:$J$1005,MATCH(V33,'Material routes'!$A$6:$A$1005,0)),"MISSING ID")</x:f>
        <x:v>Unspecified</x:v>
      </x:c>
      <x:c r="R33" s="4" t="str">
        <x:f>IF(L33="Withheld","Withheld premise",IF(E33="Tool candidate","Reusable prerequisite",IF(K33="Raw entry preparation","Entry-resource preparation",IF(G33="Not applicable","Finished endpoint",IF(OR(IFERROR(INDEX('Crafting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routes'!$D$6:$D$1005,MATCH(U33,'Material routes'!$A$6:$A$1005,0)),"MISSING ID")</x:f>
        <x:v>proposal.natural.mica</x:v>
      </x:c>
      <x:c r="T33" s="4" t="str">
        <x:f>IFERROR(INDEX('Material routes'!$D$6:$D$1005,MATCH(V33,'Material routes'!$A$6:$A$1005,0)),"MISSING ID")</x:f>
        <x:v>proposal.t1.mica_flakes</x:v>
      </x:c>
      <x:c r="U33" s="4" t="str">
        <x:v>material.route.029</x:v>
      </x:c>
      <x:c r="V33" s="4" t="str">
        <x:v>output.design.refine.t1.mica_flakes</x:v>
      </x:c>
    </x:row>
    <x:row r="34" ht="85" customHeight="1">
      <x:c r="A34" s="4" t="str">
        <x:f>IFERROR(INDEX('Material routes'!$E$6:$E$1005,MATCH(U34,'Material routes'!$A$6:$A$1005,0)),"MISSING ID")</x:f>
        <x:v>Scraped chitin fibers</x:v>
      </x:c>
      <x:c r="B34" s="4" t="str">
        <x:f>IFERROR(INDEX('Material routes'!$F$6:$F$1005,MATCH(U34,'Material routes'!$A$6:$A$1005,0)),"MISSING ID")</x:f>
        <x:v>T0</x:v>
      </x:c>
      <x:c r="C34" s="4" t="str">
        <x:f>IFERROR(INDEX('Material routes'!$H$6:$H$1005,MATCH(U34,'Material routes'!$A$6:$A$1005,0)),"MISSING ID")</x:f>
        <x:v>Raw material</x:v>
      </x:c>
      <x:c r="D34" s="4" t="str">
        <x:f>IFERROR(INDEX('Material routes'!$G$6:$G$1005,MATCH(U34,'Material routes'!$A$6:$A$1005,0)),"MISSING ID")</x:f>
        <x:v>Resources</x:v>
      </x:c>
      <x:c r="E34" s="4" t="str">
        <x:f>IFERROR(INDEX('Material routes'!$C$6:$C$1005,MATCH(U34,'Material routes'!$A$6:$A$1005,0)),"MISSING ID")</x:f>
        <x:v>Ingredient candidate</x:v>
      </x:c>
      <x:c r="F34" s="4" t="str">
        <x:f>IFERROR(INDEX('Material routes'!$E$6:$E$1005,MATCH(V34,'Material routes'!$A$6:$A$1005,0)),"MISSING ID")</x:f>
        <x:v>Prepared husk-fiber pulp</x:v>
      </x:c>
      <x:c r="G34" s="4" t="str">
        <x:f>IFERROR(INDEX('Material routes'!$F$6:$F$1005,MATCH(V34,'Material routes'!$A$6:$A$1005,0)),"MISSING ID")</x:f>
        <x:v>T1</x:v>
      </x:c>
      <x:c r="H34" s="4" t="str">
        <x:f>IFERROR(INDEX('Material routes'!$H$6:$H$1005,MATCH(V34,'Material routes'!$A$6:$A$1005,0)),"MISSING ID")</x:f>
        <x:v>Processed material</x:v>
      </x:c>
      <x:c r="I34" s="4" t="str">
        <x:f>IFERROR(INDEX('Material routes'!$G$6:$G$1005,MATCH(V34,'Material routes'!$A$6:$A$1005,0)),"MISSING ID")</x:f>
        <x:v>Resources</x:v>
      </x:c>
      <x:c r="J34" s="4" t="str">
        <x:f>IFERROR(INDEX('Material routes'!$B$6:$B$1005,MATCH(U34,'Material routes'!$A$6:$A$1005,0)),"MISSING ID")</x:f>
        <x:v>design.refine.t1.husk_pulp</x:v>
      </x:c>
      <x:c r="K34" s="4" t="str">
        <x:f>IFERROR(INDEX('Crafting recipes'!$C$6:$C$1005,MATCH(J34,'Crafting recipes'!$A$6:$A$1005,0)),"MISSING ID")</x:f>
        <x:v>Material refinement</x:v>
      </x:c>
      <x:c r="L34" s="4" t="str">
        <x:f>IFERROR(INDEX('Material routes'!$K$6:$K$1005,MATCH(U34,'Material routes'!$A$6:$A$1005,0)),"MISSING ID")</x:f>
        <x:v>Proposal</x:v>
      </x:c>
      <x:c r="M34" s="4" t="str">
        <x:f>IFERROR(INDEX('Material routes'!$M$6:$M$1005,MATCH(U34,'Material routes'!$A$6:$A$1005,0)),"MISSING ID")</x:f>
        <x:v>Partial proposal</x:v>
      </x:c>
      <x:c r="N34" s="4" t="str">
        <x:f>IF(IFERROR(INDEX('Material routes'!$I$6:$I$1005,MATCH(U34,'Material routes'!$A$6:$A$1005,0)),"MISSING ID")=0,"",IFERROR(INDEX('Material routes'!$I$6:$I$1005,MATCH(U34,'Material routes'!$A$6:$A$1005,0)),"MISSING ID"))</x:f>
      </x:c>
      <x:c r="O34" s="4" t="str">
        <x:f>IFERROR(INDEX('Material routes'!$J$6:$J$1005,MATCH(U34,'Material routes'!$A$6:$A$1005,0)),"MISSING ID")</x:f>
        <x:v>Unspecified</x:v>
      </x:c>
      <x:c r="P34" s="4" t="str">
        <x:f>IF(IFERROR(INDEX('Material routes'!$I$6:$I$1005,MATCH(V34,'Material routes'!$A$6:$A$1005,0)),"MISSING ID")=0,"",IFERROR(INDEX('Material routes'!$I$6:$I$1005,MATCH(V34,'Material routes'!$A$6:$A$1005,0)),"MISSING ID"))</x:f>
      </x:c>
      <x:c r="Q34" s="4" t="str">
        <x:f>IFERROR(INDEX('Material routes'!$J$6:$J$1005,MATCH(V34,'Material routes'!$A$6:$A$1005,0)),"MISSING ID")</x:f>
        <x:v>Unspecified</x:v>
      </x:c>
      <x:c r="R34" s="4" t="str">
        <x:f>IF(L34="Withheld","Withheld premise",IF(E34="Tool candidate","Reusable prerequisite",IF(K34="Raw entry preparation","Entry-resource preparation",IF(G34="Not applicable","Finished endpoint",IF(OR(IFERROR(INDEX('Crafting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routes'!$D$6:$D$1005,MATCH(U34,'Material routes'!$A$6:$A$1005,0)),"MISSING ID")</x:f>
        <x:v>proposal.bio.chitin_fibers</x:v>
      </x:c>
      <x:c r="T34" s="4" t="str">
        <x:f>IFERROR(INDEX('Material routes'!$D$6:$D$1005,MATCH(V34,'Material routes'!$A$6:$A$1005,0)),"MISSING ID")</x:f>
        <x:v>proposal.t1.husk_pulp</x:v>
      </x:c>
      <x:c r="U34" s="4" t="str">
        <x:v>material.route.030</x:v>
      </x:c>
      <x:c r="V34" s="4" t="str">
        <x:v>output.design.refine.t1.husk_pulp</x:v>
      </x:c>
    </x:row>
    <x:row r="35" ht="85" customHeight="1">
      <x:c r="A35" s="4" t="str">
        <x:f>IFERROR(INDEX('Material routes'!$E$6:$E$1005,MATCH(U35,'Material routes'!$A$6:$A$1005,0)),"MISSING ID")</x:f>
        <x:v>Coarse sensory bristles</x:v>
      </x:c>
      <x:c r="B35" s="4" t="str">
        <x:f>IFERROR(INDEX('Material routes'!$F$6:$F$1005,MATCH(U35,'Material routes'!$A$6:$A$1005,0)),"MISSING ID")</x:f>
        <x:v>T0</x:v>
      </x:c>
      <x:c r="C35" s="4" t="str">
        <x:f>IFERROR(INDEX('Material routes'!$H$6:$H$1005,MATCH(U35,'Material routes'!$A$6:$A$1005,0)),"MISSING ID")</x:f>
        <x:v>Raw material</x:v>
      </x:c>
      <x:c r="D35" s="4" t="str">
        <x:f>IFERROR(INDEX('Material routes'!$G$6:$G$1005,MATCH(U35,'Material routes'!$A$6:$A$1005,0)),"MISSING ID")</x:f>
        <x:v>Resources</x:v>
      </x:c>
      <x:c r="E35" s="4" t="str">
        <x:f>IFERROR(INDEX('Material routes'!$C$6:$C$1005,MATCH(U35,'Material routes'!$A$6:$A$1005,0)),"MISSING ID")</x:f>
        <x:v>Ingredient candidate</x:v>
      </x:c>
      <x:c r="F35" s="4" t="str">
        <x:f>IFERROR(INDEX('Material routes'!$E$6:$E$1005,MATCH(V35,'Material routes'!$A$6:$A$1005,0)),"MISSING ID")</x:f>
        <x:v>Clean graded bristle bundles</x:v>
      </x:c>
      <x:c r="G35" s="4" t="str">
        <x:f>IFERROR(INDEX('Material routes'!$F$6:$F$1005,MATCH(V35,'Material routes'!$A$6:$A$1005,0)),"MISSING ID")</x:f>
        <x:v>T1</x:v>
      </x:c>
      <x:c r="H35" s="4" t="str">
        <x:f>IFERROR(INDEX('Material routes'!$H$6:$H$1005,MATCH(V35,'Material routes'!$A$6:$A$1005,0)),"MISSING ID")</x:f>
        <x:v>Processed material</x:v>
      </x:c>
      <x:c r="I35" s="4" t="str">
        <x:f>IFERROR(INDEX('Material routes'!$G$6:$G$1005,MATCH(V35,'Material routes'!$A$6:$A$1005,0)),"MISSING ID")</x:f>
        <x:v>Resources</x:v>
      </x:c>
      <x:c r="J35" s="4" t="str">
        <x:f>IFERROR(INDEX('Material routes'!$B$6:$B$1005,MATCH(U35,'Material routes'!$A$6:$A$1005,0)),"MISSING ID")</x:f>
        <x:v>design.refine.t1.bristle_bundle</x:v>
      </x:c>
      <x:c r="K35" s="4" t="str">
        <x:f>IFERROR(INDEX('Crafting recipes'!$C$6:$C$1005,MATCH(J35,'Crafting recipes'!$A$6:$A$1005,0)),"MISSING ID")</x:f>
        <x:v>Material refinement</x:v>
      </x:c>
      <x:c r="L35" s="4" t="str">
        <x:f>IFERROR(INDEX('Material routes'!$K$6:$K$1005,MATCH(U35,'Material routes'!$A$6:$A$1005,0)),"MISSING ID")</x:f>
        <x:v>Proposal</x:v>
      </x:c>
      <x:c r="M35" s="4" t="str">
        <x:f>IFERROR(INDEX('Material routes'!$M$6:$M$1005,MATCH(U35,'Material routes'!$A$6:$A$1005,0)),"MISSING ID")</x:f>
        <x:v>Partial proposal</x:v>
      </x:c>
      <x:c r="N35" s="4" t="str">
        <x:f>IF(IFERROR(INDEX('Material routes'!$I$6:$I$1005,MATCH(U35,'Material routes'!$A$6:$A$1005,0)),"MISSING ID")=0,"",IFERROR(INDEX('Material routes'!$I$6:$I$1005,MATCH(U35,'Material routes'!$A$6:$A$1005,0)),"MISSING ID"))</x:f>
      </x:c>
      <x:c r="O35" s="4" t="str">
        <x:f>IFERROR(INDEX('Material routes'!$J$6:$J$1005,MATCH(U35,'Material routes'!$A$6:$A$1005,0)),"MISSING ID")</x:f>
        <x:v>Unspecified</x:v>
      </x:c>
      <x:c r="P35" s="4" t="str">
        <x:f>IF(IFERROR(INDEX('Material routes'!$I$6:$I$1005,MATCH(V35,'Material routes'!$A$6:$A$1005,0)),"MISSING ID")=0,"",IFERROR(INDEX('Material routes'!$I$6:$I$1005,MATCH(V35,'Material routes'!$A$6:$A$1005,0)),"MISSING ID"))</x:f>
      </x:c>
      <x:c r="Q35" s="4" t="str">
        <x:f>IFERROR(INDEX('Material routes'!$J$6:$J$1005,MATCH(V35,'Material routes'!$A$6:$A$1005,0)),"MISSING ID")</x:f>
        <x:v>Unspecified</x:v>
      </x:c>
      <x:c r="R35" s="4" t="str">
        <x:f>IF(L35="Withheld","Withheld premise",IF(E35="Tool candidate","Reusable prerequisite",IF(K35="Raw entry preparation","Entry-resource preparation",IF(G35="Not applicable","Finished endpoint",IF(OR(IFERROR(INDEX('Crafting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routes'!$D$6:$D$1005,MATCH(U35,'Material routes'!$A$6:$A$1005,0)),"MISSING ID")</x:f>
        <x:v>proposal.bio.bristles</x:v>
      </x:c>
      <x:c r="T35" s="4" t="str">
        <x:f>IFERROR(INDEX('Material routes'!$D$6:$D$1005,MATCH(V35,'Material routes'!$A$6:$A$1005,0)),"MISSING ID")</x:f>
        <x:v>proposal.t1.bristle_bundle</x:v>
      </x:c>
      <x:c r="U35" s="4" t="str">
        <x:v>material.route.031</x:v>
      </x:c>
      <x:c r="V35" s="4" t="str">
        <x:v>output.design.refine.t1.bristle_bundle</x:v>
      </x:c>
    </x:row>
    <x:row r="36" ht="85" customHeight="1">
      <x:c r="A36" s="4" t="str">
        <x:f>IFERROR(INDEX('Material routes'!$E$6:$E$1005,MATCH(U36,'Material routes'!$A$6:$A$1005,0)),"MISSING ID")</x:f>
        <x:v>Shell husks / shed plates</x:v>
      </x:c>
      <x:c r="B36" s="4" t="str">
        <x:f>IFERROR(INDEX('Material routes'!$F$6:$F$1005,MATCH(U36,'Material routes'!$A$6:$A$1005,0)),"MISSING ID")</x:f>
        <x:v>T0</x:v>
      </x:c>
      <x:c r="C36" s="4" t="str">
        <x:f>IFERROR(INDEX('Material routes'!$H$6:$H$1005,MATCH(U36,'Material routes'!$A$6:$A$1005,0)),"MISSING ID")</x:f>
        <x:v>Raw material</x:v>
      </x:c>
      <x:c r="D36" s="4" t="str">
        <x:f>IFERROR(INDEX('Material routes'!$G$6:$G$1005,MATCH(U36,'Material routes'!$A$6:$A$1005,0)),"MISSING ID")</x:f>
        <x:v>Resources</x:v>
      </x:c>
      <x:c r="E36" s="4" t="str">
        <x:f>IFERROR(INDEX('Material routes'!$C$6:$C$1005,MATCH(U36,'Material routes'!$A$6:$A$1005,0)),"MISSING ID")</x:f>
        <x:v>Ingredient candidate</x:v>
      </x:c>
      <x:c r="F36" s="4" t="str">
        <x:f>IFERROR(INDEX('Material routes'!$E$6:$E$1005,MATCH(V36,'Material routes'!$A$6:$A$1005,0)),"MISSING ID")</x:f>
        <x:v>Separated shell lamina stock</x:v>
      </x:c>
      <x:c r="G36" s="4" t="str">
        <x:f>IFERROR(INDEX('Material routes'!$F$6:$F$1005,MATCH(V36,'Material routes'!$A$6:$A$1005,0)),"MISSING ID")</x:f>
        <x:v>T1</x:v>
      </x:c>
      <x:c r="H36" s="4" t="str">
        <x:f>IFERROR(INDEX('Material routes'!$H$6:$H$1005,MATCH(V36,'Material routes'!$A$6:$A$1005,0)),"MISSING ID")</x:f>
        <x:v>Processed material</x:v>
      </x:c>
      <x:c r="I36" s="4" t="str">
        <x:f>IFERROR(INDEX('Material routes'!$G$6:$G$1005,MATCH(V36,'Material routes'!$A$6:$A$1005,0)),"MISSING ID")</x:f>
        <x:v>Resources</x:v>
      </x:c>
      <x:c r="J36" s="4" t="str">
        <x:f>IFERROR(INDEX('Material routes'!$B$6:$B$1005,MATCH(U36,'Material routes'!$A$6:$A$1005,0)),"MISSING ID")</x:f>
        <x:v>design.refine.t1.shell_lamina</x:v>
      </x:c>
      <x:c r="K36" s="4" t="str">
        <x:f>IFERROR(INDEX('Crafting recipes'!$C$6:$C$1005,MATCH(J36,'Crafting recipes'!$A$6:$A$1005,0)),"MISSING ID")</x:f>
        <x:v>Material refinement</x:v>
      </x:c>
      <x:c r="L36" s="4" t="str">
        <x:f>IFERROR(INDEX('Material routes'!$K$6:$K$1005,MATCH(U36,'Material routes'!$A$6:$A$1005,0)),"MISSING ID")</x:f>
        <x:v>Proposal</x:v>
      </x:c>
      <x:c r="M36" s="4" t="str">
        <x:f>IFERROR(INDEX('Material routes'!$M$6:$M$1005,MATCH(U36,'Material routes'!$A$6:$A$1005,0)),"MISSING ID")</x:f>
        <x:v>Partial proposal</x:v>
      </x:c>
      <x:c r="N36" s="4" t="str">
        <x:f>IF(IFERROR(INDEX('Material routes'!$I$6:$I$1005,MATCH(U36,'Material routes'!$A$6:$A$1005,0)),"MISSING ID")=0,"",IFERROR(INDEX('Material routes'!$I$6:$I$1005,MATCH(U36,'Material routes'!$A$6:$A$1005,0)),"MISSING ID"))</x:f>
      </x:c>
      <x:c r="O36" s="4" t="str">
        <x:f>IFERROR(INDEX('Material routes'!$J$6:$J$1005,MATCH(U36,'Material routes'!$A$6:$A$1005,0)),"MISSING ID")</x:f>
        <x:v>Unspecified</x:v>
      </x:c>
      <x:c r="P36" s="4" t="str">
        <x:f>IF(IFERROR(INDEX('Material routes'!$I$6:$I$1005,MATCH(V36,'Material routes'!$A$6:$A$1005,0)),"MISSING ID")=0,"",IFERROR(INDEX('Material routes'!$I$6:$I$1005,MATCH(V36,'Material routes'!$A$6:$A$1005,0)),"MISSING ID"))</x:f>
      </x:c>
      <x:c r="Q36" s="4" t="str">
        <x:f>IFERROR(INDEX('Material routes'!$J$6:$J$1005,MATCH(V36,'Material routes'!$A$6:$A$1005,0)),"MISSING ID")</x:f>
        <x:v>Unspecified</x:v>
      </x:c>
      <x:c r="R36" s="4" t="str">
        <x:f>IF(L36="Withheld","Withheld premise",IF(E36="Tool candidate","Reusable prerequisite",IF(K36="Raw entry preparation","Entry-resource preparation",IF(G36="Not applicable","Finished endpoint",IF(OR(IFERROR(INDEX('Crafting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routes'!$D$6:$D$1005,MATCH(U36,'Material routes'!$A$6:$A$1005,0)),"MISSING ID")</x:f>
        <x:v>proposal.bio.shell</x:v>
      </x:c>
      <x:c r="T36" s="4" t="str">
        <x:f>IFERROR(INDEX('Material routes'!$D$6:$D$1005,MATCH(V36,'Material routes'!$A$6:$A$1005,0)),"MISSING ID")</x:f>
        <x:v>proposal.t1.shell_lamina</x:v>
      </x:c>
      <x:c r="U36" s="4" t="str">
        <x:v>material.route.032</x:v>
      </x:c>
      <x:c r="V36" s="4" t="str">
        <x:v>output.design.refine.t1.shell_lamina</x:v>
      </x:c>
    </x:row>
    <x:row r="37" ht="85" customHeight="1">
      <x:c r="A37" s="4" t="str">
        <x:f>IFERROR(INDEX('Material routes'!$E$6:$E$1005,MATCH(U37,'Material routes'!$A$6:$A$1005,0)),"MISSING ID")</x:f>
        <x:v>Fauna horn cores</x:v>
      </x:c>
      <x:c r="B37" s="4" t="str">
        <x:f>IFERROR(INDEX('Material routes'!$F$6:$F$1005,MATCH(U37,'Material routes'!$A$6:$A$1005,0)),"MISSING ID")</x:f>
        <x:v>T0</x:v>
      </x:c>
      <x:c r="C37" s="4" t="str">
        <x:f>IFERROR(INDEX('Material routes'!$H$6:$H$1005,MATCH(U37,'Material routes'!$A$6:$A$1005,0)),"MISSING ID")</x:f>
        <x:v>Raw material</x:v>
      </x:c>
      <x:c r="D37" s="4" t="str">
        <x:f>IFERROR(INDEX('Material routes'!$G$6:$G$1005,MATCH(U37,'Material routes'!$A$6:$A$1005,0)),"MISSING ID")</x:f>
        <x:v>Resources</x:v>
      </x:c>
      <x:c r="E37" s="4" t="str">
        <x:f>IFERROR(INDEX('Material routes'!$C$6:$C$1005,MATCH(U37,'Material routes'!$A$6:$A$1005,0)),"MISSING ID")</x:f>
        <x:v>Ingredient candidate</x:v>
      </x:c>
      <x:c r="F37" s="4" t="str">
        <x:f>IFERROR(INDEX('Material routes'!$E$6:$E$1005,MATCH(V37,'Material routes'!$A$6:$A$1005,0)),"MISSING ID")</x:f>
        <x:v>Shaped fauna hard-part blanks</x:v>
      </x:c>
      <x:c r="G37" s="4" t="str">
        <x:f>IFERROR(INDEX('Material routes'!$F$6:$F$1005,MATCH(V37,'Material routes'!$A$6:$A$1005,0)),"MISSING ID")</x:f>
        <x:v>T1</x:v>
      </x:c>
      <x:c r="H37" s="4" t="str">
        <x:f>IFERROR(INDEX('Material routes'!$H$6:$H$1005,MATCH(V37,'Material routes'!$A$6:$A$1005,0)),"MISSING ID")</x:f>
        <x:v>Processed material</x:v>
      </x:c>
      <x:c r="I37" s="4" t="str">
        <x:f>IFERROR(INDEX('Material routes'!$G$6:$G$1005,MATCH(V37,'Material routes'!$A$6:$A$1005,0)),"MISSING ID")</x:f>
        <x:v>Resources</x:v>
      </x:c>
      <x:c r="J37" s="4" t="str">
        <x:f>IFERROR(INDEX('Material routes'!$B$6:$B$1005,MATCH(U37,'Material routes'!$A$6:$A$1005,0)),"MISSING ID")</x:f>
        <x:v>design.refine.t1.hardpart_blank</x:v>
      </x:c>
      <x:c r="K37" s="4" t="str">
        <x:f>IFERROR(INDEX('Crafting recipes'!$C$6:$C$1005,MATCH(J37,'Crafting recipes'!$A$6:$A$1005,0)),"MISSING ID")</x:f>
        <x:v>Material refinement</x:v>
      </x:c>
      <x:c r="L37" s="4" t="str">
        <x:f>IFERROR(INDEX('Material routes'!$K$6:$K$1005,MATCH(U37,'Material routes'!$A$6:$A$1005,0)),"MISSING ID")</x:f>
        <x:v>Proposal</x:v>
      </x:c>
      <x:c r="M37" s="4" t="str">
        <x:f>IFERROR(INDEX('Material routes'!$M$6:$M$1005,MATCH(U37,'Material routes'!$A$6:$A$1005,0)),"MISSING ID")</x:f>
        <x:v>Partial proposal</x:v>
      </x:c>
      <x:c r="N37" s="4" t="str">
        <x:f>IF(IFERROR(INDEX('Material routes'!$I$6:$I$1005,MATCH(U37,'Material routes'!$A$6:$A$1005,0)),"MISSING ID")=0,"",IFERROR(INDEX('Material routes'!$I$6:$I$1005,MATCH(U37,'Material routes'!$A$6:$A$1005,0)),"MISSING ID"))</x:f>
      </x:c>
      <x:c r="O37" s="4" t="str">
        <x:f>IFERROR(INDEX('Material routes'!$J$6:$J$1005,MATCH(U37,'Material routes'!$A$6:$A$1005,0)),"MISSING ID")</x:f>
        <x:v>Unspecified</x:v>
      </x:c>
      <x:c r="P37" s="4" t="str">
        <x:f>IF(IFERROR(INDEX('Material routes'!$I$6:$I$1005,MATCH(V37,'Material routes'!$A$6:$A$1005,0)),"MISSING ID")=0,"",IFERROR(INDEX('Material routes'!$I$6:$I$1005,MATCH(V37,'Material routes'!$A$6:$A$1005,0)),"MISSING ID"))</x:f>
      </x:c>
      <x:c r="Q37" s="4" t="str">
        <x:f>IFERROR(INDEX('Material routes'!$J$6:$J$1005,MATCH(V37,'Material routes'!$A$6:$A$1005,0)),"MISSING ID")</x:f>
        <x:v>Unspecified</x:v>
      </x:c>
      <x:c r="R37" s="4" t="str">
        <x:f>IF(L37="Withheld","Withheld premise",IF(E37="Tool candidate","Reusable prerequisite",IF(K37="Raw entry preparation","Entry-resource preparation",IF(G37="Not applicable","Finished endpoint",IF(OR(IFERROR(INDEX('Crafting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routes'!$D$6:$D$1005,MATCH(U37,'Material routes'!$A$6:$A$1005,0)),"MISSING ID")</x:f>
        <x:v>proposal.raw.horn_core</x:v>
      </x:c>
      <x:c r="T37" s="4" t="str">
        <x:f>IFERROR(INDEX('Material routes'!$D$6:$D$1005,MATCH(V37,'Material routes'!$A$6:$A$1005,0)),"MISSING ID")</x:f>
        <x:v>proposal.t1.hardpart_blank</x:v>
      </x:c>
      <x:c r="U37" s="4" t="str">
        <x:v>material.route.033</x:v>
      </x:c>
      <x:c r="V37" s="4" t="str">
        <x:v>output.design.refine.t1.hardpart_blank</x:v>
      </x:c>
    </x:row>
    <x:row r="38" ht="85" customHeight="1">
      <x:c r="A38" s="4" t="str">
        <x:f>IFERROR(INDEX('Material routes'!$E$6:$E$1005,MATCH(U38,'Material routes'!$A$6:$A$1005,0)),"MISSING ID")</x:f>
        <x:v>Dry mineral salts</x:v>
      </x:c>
      <x:c r="B38" s="4" t="str">
        <x:f>IFERROR(INDEX('Material routes'!$F$6:$F$1005,MATCH(U38,'Material routes'!$A$6:$A$1005,0)),"MISSING ID")</x:f>
        <x:v>T0</x:v>
      </x:c>
      <x:c r="C38" s="4" t="str">
        <x:f>IFERROR(INDEX('Material routes'!$H$6:$H$1005,MATCH(U38,'Material routes'!$A$6:$A$1005,0)),"MISSING ID")</x:f>
        <x:v>Raw material</x:v>
      </x:c>
      <x:c r="D38" s="4" t="str">
        <x:f>IFERROR(INDEX('Material routes'!$G$6:$G$1005,MATCH(U38,'Material routes'!$A$6:$A$1005,0)),"MISSING ID")</x:f>
        <x:v>Resources</x:v>
      </x:c>
      <x:c r="E38" s="4" t="str">
        <x:f>IFERROR(INDEX('Material routes'!$C$6:$C$1005,MATCH(U38,'Material routes'!$A$6:$A$1005,0)),"MISSING ID")</x:f>
        <x:v>Ingredient candidate</x:v>
      </x:c>
      <x:c r="F38" s="4" t="str">
        <x:f>IFERROR(INDEX('Material routes'!$E$6:$E$1005,MATCH(V38,'Material routes'!$A$6:$A$1005,0)),"MISSING ID")</x:f>
        <x:v>Graded process salts</x:v>
      </x:c>
      <x:c r="G38" s="4" t="str">
        <x:f>IFERROR(INDEX('Material routes'!$F$6:$F$1005,MATCH(V38,'Material routes'!$A$6:$A$1005,0)),"MISSING ID")</x:f>
        <x:v>T1</x:v>
      </x:c>
      <x:c r="H38" s="4" t="str">
        <x:f>IFERROR(INDEX('Material routes'!$H$6:$H$1005,MATCH(V38,'Material routes'!$A$6:$A$1005,0)),"MISSING ID")</x:f>
        <x:v>Processed material</x:v>
      </x:c>
      <x:c r="I38" s="4" t="str">
        <x:f>IFERROR(INDEX('Material routes'!$G$6:$G$1005,MATCH(V38,'Material routes'!$A$6:$A$1005,0)),"MISSING ID")</x:f>
        <x:v>Resources</x:v>
      </x:c>
      <x:c r="J38" s="4" t="str">
        <x:f>IFERROR(INDEX('Material routes'!$B$6:$B$1005,MATCH(U38,'Material routes'!$A$6:$A$1005,0)),"MISSING ID")</x:f>
        <x:v>design.refine.t1.process_salts</x:v>
      </x:c>
      <x:c r="K38" s="4" t="str">
        <x:f>IFERROR(INDEX('Crafting recipes'!$C$6:$C$1005,MATCH(J38,'Crafting recipes'!$A$6:$A$1005,0)),"MISSING ID")</x:f>
        <x:v>Material refinement</x:v>
      </x:c>
      <x:c r="L38" s="4" t="str">
        <x:f>IFERROR(INDEX('Material routes'!$K$6:$K$1005,MATCH(U38,'Material routes'!$A$6:$A$1005,0)),"MISSING ID")</x:f>
        <x:v>Proposal</x:v>
      </x:c>
      <x:c r="M38" s="4" t="str">
        <x:f>IFERROR(INDEX('Material routes'!$M$6:$M$1005,MATCH(U38,'Material routes'!$A$6:$A$1005,0)),"MISSING ID")</x:f>
        <x:v>Partial proposal</x:v>
      </x:c>
      <x:c r="N38" s="4" t="str">
        <x:f>IF(IFERROR(INDEX('Material routes'!$I$6:$I$1005,MATCH(U38,'Material routes'!$A$6:$A$1005,0)),"MISSING ID")=0,"",IFERROR(INDEX('Material routes'!$I$6:$I$1005,MATCH(U38,'Material routes'!$A$6:$A$1005,0)),"MISSING ID"))</x:f>
      </x:c>
      <x:c r="O38" s="4" t="str">
        <x:f>IFERROR(INDEX('Material routes'!$J$6:$J$1005,MATCH(U38,'Material routes'!$A$6:$A$1005,0)),"MISSING ID")</x:f>
        <x:v>Unspecified</x:v>
      </x:c>
      <x:c r="P38" s="4" t="str">
        <x:f>IF(IFERROR(INDEX('Material routes'!$I$6:$I$1005,MATCH(V38,'Material routes'!$A$6:$A$1005,0)),"MISSING ID")=0,"",IFERROR(INDEX('Material routes'!$I$6:$I$1005,MATCH(V38,'Material routes'!$A$6:$A$1005,0)),"MISSING ID"))</x:f>
      </x:c>
      <x:c r="Q38" s="4" t="str">
        <x:f>IFERROR(INDEX('Material routes'!$J$6:$J$1005,MATCH(V38,'Material routes'!$A$6:$A$1005,0)),"MISSING ID")</x:f>
        <x:v>Unspecified</x:v>
      </x:c>
      <x:c r="R38" s="4" t="str">
        <x:f>IF(L38="Withheld","Withheld premise",IF(E38="Tool candidate","Reusable prerequisite",IF(K38="Raw entry preparation","Entry-resource preparation",IF(G38="Not applicable","Finished endpoint",IF(OR(IFERROR(INDEX('Crafting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routes'!$D$6:$D$1005,MATCH(U38,'Material routes'!$A$6:$A$1005,0)),"MISSING ID")</x:f>
        <x:v>proposal.natural.salts</x:v>
      </x:c>
      <x:c r="T38" s="4" t="str">
        <x:f>IFERROR(INDEX('Material routes'!$D$6:$D$1005,MATCH(V38,'Material routes'!$A$6:$A$1005,0)),"MISSING ID")</x:f>
        <x:v>proposal.t1.process_salts</x:v>
      </x:c>
      <x:c r="U38" s="4" t="str">
        <x:v>material.route.034</x:v>
      </x:c>
      <x:c r="V38" s="4" t="str">
        <x:v>output.design.refine.t1.process_salts</x:v>
      </x:c>
    </x:row>
    <x:row r="39" ht="85" customHeight="1">
      <x:c r="A39" s="4" t="str">
        <x:f>IFERROR(INDEX('Material routes'!$E$6:$E$1005,MATCH(U39,'Material routes'!$A$6:$A$1005,0)),"MISSING ID")</x:f>
        <x:v>Faunal liquid material (unspecified)</x:v>
      </x:c>
      <x:c r="B39" s="4" t="str">
        <x:f>IFERROR(INDEX('Material routes'!$F$6:$F$1005,MATCH(U39,'Material routes'!$A$6:$A$1005,0)),"MISSING ID")</x:f>
        <x:v>T0</x:v>
      </x:c>
      <x:c r="C39" s="4" t="str">
        <x:f>IFERROR(INDEX('Material routes'!$H$6:$H$1005,MATCH(U39,'Material routes'!$A$6:$A$1005,0)),"MISSING ID")</x:f>
        <x:v>Chemical material</x:v>
      </x:c>
      <x:c r="D39" s="4" t="str">
        <x:f>IFERROR(INDEX('Material routes'!$G$6:$G$1005,MATCH(U39,'Material routes'!$A$6:$A$1005,0)),"MISSING ID")</x:f>
        <x:v>Resources</x:v>
      </x:c>
      <x:c r="E39" s="4" t="str">
        <x:f>IFERROR(INDEX('Material routes'!$C$6:$C$1005,MATCH(U39,'Material routes'!$A$6:$A$1005,0)),"MISSING ID")</x:f>
        <x:v>Ingredient candidate</x:v>
      </x:c>
      <x:c r="F39" s="4" t="str">
        <x:f>IFERROR(INDEX('Material routes'!$E$6:$E$1005,MATCH(V39,'Material routes'!$A$6:$A$1005,0)),"MISSING ID")</x:f>
        <x:v>Selected faunal carrier fraction</x:v>
      </x:c>
      <x:c r="G39" s="4" t="str">
        <x:f>IFERROR(INDEX('Material routes'!$F$6:$F$1005,MATCH(V39,'Material routes'!$A$6:$A$1005,0)),"MISSING ID")</x:f>
        <x:v>T1</x:v>
      </x:c>
      <x:c r="H39" s="4" t="str">
        <x:f>IFERROR(INDEX('Material routes'!$H$6:$H$1005,MATCH(V39,'Material routes'!$A$6:$A$1005,0)),"MISSING ID")</x:f>
        <x:v>Chemical material</x:v>
      </x:c>
      <x:c r="I39" s="4" t="str">
        <x:f>IFERROR(INDEX('Material routes'!$G$6:$G$1005,MATCH(V39,'Material routes'!$A$6:$A$1005,0)),"MISSING ID")</x:f>
        <x:v>Resources</x:v>
      </x:c>
      <x:c r="J39" s="4" t="str">
        <x:f>IFERROR(INDEX('Material routes'!$B$6:$B$1005,MATCH(U39,'Material routes'!$A$6:$A$1005,0)),"MISSING ID")</x:f>
        <x:v>design.refine.t1.faunal_carrier</x:v>
      </x:c>
      <x:c r="K39" s="4" t="str">
        <x:f>IFERROR(INDEX('Crafting recipes'!$C$6:$C$1005,MATCH(J39,'Crafting recipes'!$A$6:$A$1005,0)),"MISSING ID")</x:f>
        <x:v>Material refinement</x:v>
      </x:c>
      <x:c r="L39" s="4" t="str">
        <x:f>IFERROR(INDEX('Material routes'!$K$6:$K$1005,MATCH(U39,'Material routes'!$A$6:$A$1005,0)),"MISSING ID")</x:f>
        <x:v>Proposal</x:v>
      </x:c>
      <x:c r="M39" s="4" t="str">
        <x:f>IFERROR(INDEX('Material routes'!$M$6:$M$1005,MATCH(U39,'Material routes'!$A$6:$A$1005,0)),"MISSING ID")</x:f>
        <x:v>Partial proposal</x:v>
      </x:c>
      <x:c r="N39" s="4" t="str">
        <x:f>IF(IFERROR(INDEX('Material routes'!$I$6:$I$1005,MATCH(U39,'Material routes'!$A$6:$A$1005,0)),"MISSING ID")=0,"",IFERROR(INDEX('Material routes'!$I$6:$I$1005,MATCH(U39,'Material routes'!$A$6:$A$1005,0)),"MISSING ID"))</x:f>
      </x:c>
      <x:c r="O39" s="4" t="str">
        <x:f>IFERROR(INDEX('Material routes'!$J$6:$J$1005,MATCH(U39,'Material routes'!$A$6:$A$1005,0)),"MISSING ID")</x:f>
        <x:v>Unspecified</x:v>
      </x:c>
      <x:c r="P39" s="4" t="str">
        <x:f>IF(IFERROR(INDEX('Material routes'!$I$6:$I$1005,MATCH(V39,'Material routes'!$A$6:$A$1005,0)),"MISSING ID")=0,"",IFERROR(INDEX('Material routes'!$I$6:$I$1005,MATCH(V39,'Material routes'!$A$6:$A$1005,0)),"MISSING ID"))</x:f>
      </x:c>
      <x:c r="Q39" s="4" t="str">
        <x:f>IFERROR(INDEX('Material routes'!$J$6:$J$1005,MATCH(V39,'Material routes'!$A$6:$A$1005,0)),"MISSING ID")</x:f>
        <x:v>Unspecified</x:v>
      </x:c>
      <x:c r="R39" s="4" t="str">
        <x:f>IF(L39="Withheld","Withheld premise",IF(E39="Tool candidate","Reusable prerequisite",IF(K39="Raw entry preparation","Entry-resource preparation",IF(G39="Not applicable","Finished endpoint",IF(OR(IFERROR(INDEX('Crafting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routes'!$D$6:$D$1005,MATCH(U39,'Material routes'!$A$6:$A$1005,0)),"MISSING ID")</x:f>
        <x:v>proposal.bio.liquid_material</x:v>
      </x:c>
      <x:c r="T39" s="4" t="str">
        <x:f>IFERROR(INDEX('Material routes'!$D$6:$D$1005,MATCH(V39,'Material routes'!$A$6:$A$1005,0)),"MISSING ID")</x:f>
        <x:v>proposal.t1.faunal_carrier</x:v>
      </x:c>
      <x:c r="U39" s="4" t="str">
        <x:v>material.route.035</x:v>
      </x:c>
      <x:c r="V39" s="4" t="str">
        <x:v>output.design.refine.t1.faunal_carrier</x:v>
      </x:c>
    </x:row>
    <x:row r="40" ht="85" customHeight="1">
      <x:c r="A40" s="4" t="str">
        <x:f>IFERROR(INDEX('Material routes'!$E$6:$E$1005,MATCH(U40,'Material routes'!$A$6:$A$1005,0)),"MISSING ID")</x:f>
        <x:v>Shell-binding secretion</x:v>
      </x:c>
      <x:c r="B40" s="4" t="str">
        <x:f>IFERROR(INDEX('Material routes'!$F$6:$F$1005,MATCH(U40,'Material routes'!$A$6:$A$1005,0)),"MISSING ID")</x:f>
        <x:v>T0</x:v>
      </x:c>
      <x:c r="C40" s="4" t="str">
        <x:f>IFERROR(INDEX('Material routes'!$H$6:$H$1005,MATCH(U40,'Material routes'!$A$6:$A$1005,0)),"MISSING ID")</x:f>
        <x:v>Chemical material</x:v>
      </x:c>
      <x:c r="D40" s="4" t="str">
        <x:f>IFERROR(INDEX('Material routes'!$G$6:$G$1005,MATCH(U40,'Material routes'!$A$6:$A$1005,0)),"MISSING ID")</x:f>
        <x:v>Resources</x:v>
      </x:c>
      <x:c r="E40" s="4" t="str">
        <x:f>IFERROR(INDEX('Material routes'!$C$6:$C$1005,MATCH(U40,'Material routes'!$A$6:$A$1005,0)),"MISSING ID")</x:f>
        <x:v>Ingredient candidate</x:v>
      </x:c>
      <x:c r="F40" s="4" t="str">
        <x:f>IFERROR(INDEX('Material routes'!$E$6:$E$1005,MATCH(V40,'Material routes'!$A$6:$A$1005,0)),"MISSING ID")</x:f>
        <x:v>Prepared shell-binding adhesive</x:v>
      </x:c>
      <x:c r="G40" s="4" t="str">
        <x:f>IFERROR(INDEX('Material routes'!$F$6:$F$1005,MATCH(V40,'Material routes'!$A$6:$A$1005,0)),"MISSING ID")</x:f>
        <x:v>T1</x:v>
      </x:c>
      <x:c r="H40" s="4" t="str">
        <x:f>IFERROR(INDEX('Material routes'!$H$6:$H$1005,MATCH(V40,'Material routes'!$A$6:$A$1005,0)),"MISSING ID")</x:f>
        <x:v>Chemical material</x:v>
      </x:c>
      <x:c r="I40" s="4" t="str">
        <x:f>IFERROR(INDEX('Material routes'!$G$6:$G$1005,MATCH(V40,'Material routes'!$A$6:$A$1005,0)),"MISSING ID")</x:f>
        <x:v>Resources</x:v>
      </x:c>
      <x:c r="J40" s="4" t="str">
        <x:f>IFERROR(INDEX('Material routes'!$B$6:$B$1005,MATCH(U40,'Material routes'!$A$6:$A$1005,0)),"MISSING ID")</x:f>
        <x:v>design.refine.t1.shell_adhesive</x:v>
      </x:c>
      <x:c r="K40" s="4" t="str">
        <x:f>IFERROR(INDEX('Crafting recipes'!$C$6:$C$1005,MATCH(J40,'Crafting recipes'!$A$6:$A$1005,0)),"MISSING ID")</x:f>
        <x:v>Material refinement</x:v>
      </x:c>
      <x:c r="L40" s="4" t="str">
        <x:f>IFERROR(INDEX('Material routes'!$K$6:$K$1005,MATCH(U40,'Material routes'!$A$6:$A$1005,0)),"MISSING ID")</x:f>
        <x:v>Proposal</x:v>
      </x:c>
      <x:c r="M40" s="4" t="str">
        <x:f>IFERROR(INDEX('Material routes'!$M$6:$M$1005,MATCH(U40,'Material routes'!$A$6:$A$1005,0)),"MISSING ID")</x:f>
        <x:v>Partial proposal</x:v>
      </x:c>
      <x:c r="N40" s="4" t="str">
        <x:f>IF(IFERROR(INDEX('Material routes'!$I$6:$I$1005,MATCH(U40,'Material routes'!$A$6:$A$1005,0)),"MISSING ID")=0,"",IFERROR(INDEX('Material routes'!$I$6:$I$1005,MATCH(U40,'Material routes'!$A$6:$A$1005,0)),"MISSING ID"))</x:f>
      </x:c>
      <x:c r="O40" s="4" t="str">
        <x:f>IFERROR(INDEX('Material routes'!$J$6:$J$1005,MATCH(U40,'Material routes'!$A$6:$A$1005,0)),"MISSING ID")</x:f>
        <x:v>Unspecified</x:v>
      </x:c>
      <x:c r="P40" s="4" t="str">
        <x:f>IF(IFERROR(INDEX('Material routes'!$I$6:$I$1005,MATCH(V40,'Material routes'!$A$6:$A$1005,0)),"MISSING ID")=0,"",IFERROR(INDEX('Material routes'!$I$6:$I$1005,MATCH(V40,'Material routes'!$A$6:$A$1005,0)),"MISSING ID"))</x:f>
      </x:c>
      <x:c r="Q40" s="4" t="str">
        <x:f>IFERROR(INDEX('Material routes'!$J$6:$J$1005,MATCH(V40,'Material routes'!$A$6:$A$1005,0)),"MISSING ID")</x:f>
        <x:v>Unspecified</x:v>
      </x:c>
      <x:c r="R40" s="4" t="str">
        <x:f>IF(L40="Withheld","Withheld premise",IF(E40="Tool candidate","Reusable prerequisite",IF(K40="Raw entry preparation","Entry-resource preparation",IF(G40="Not applicable","Finished endpoint",IF(OR(IFERROR(INDEX('Crafting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routes'!$D$6:$D$1005,MATCH(U40,'Material routes'!$A$6:$A$1005,0)),"MISSING ID")</x:f>
        <x:v>proposal.chemical.shell_binder</x:v>
      </x:c>
      <x:c r="T40" s="4" t="str">
        <x:f>IFERROR(INDEX('Material routes'!$D$6:$D$1005,MATCH(V40,'Material routes'!$A$6:$A$1005,0)),"MISSING ID")</x:f>
        <x:v>proposal.t1.shell_adhesive</x:v>
      </x:c>
      <x:c r="U40" s="4" t="str">
        <x:v>material.route.036</x:v>
      </x:c>
      <x:c r="V40" s="4" t="str">
        <x:v>output.design.refine.t1.shell_adhesive</x:v>
      </x:c>
    </x:row>
    <x:row r="41" ht="85" customHeight="1">
      <x:c r="A41" s="4" t="str">
        <x:f>IFERROR(INDEX('Material routes'!$E$6:$E$1005,MATCH(U41,'Material routes'!$A$6:$A$1005,0)),"MISSING ID")</x:f>
        <x:v>Mineral clotting compound</x:v>
      </x:c>
      <x:c r="B41" s="4" t="str">
        <x:f>IFERROR(INDEX('Material routes'!$F$6:$F$1005,MATCH(U41,'Material routes'!$A$6:$A$1005,0)),"MISSING ID")</x:f>
        <x:v>T0</x:v>
      </x:c>
      <x:c r="C41" s="4" t="str">
        <x:f>IFERROR(INDEX('Material routes'!$H$6:$H$1005,MATCH(U41,'Material routes'!$A$6:$A$1005,0)),"MISSING ID")</x:f>
        <x:v>Chemical material</x:v>
      </x:c>
      <x:c r="D41" s="4" t="str">
        <x:f>IFERROR(INDEX('Material routes'!$G$6:$G$1005,MATCH(U41,'Material routes'!$A$6:$A$1005,0)),"MISSING ID")</x:f>
        <x:v>Resources</x:v>
      </x:c>
      <x:c r="E41" s="4" t="str">
        <x:f>IFERROR(INDEX('Material routes'!$C$6:$C$1005,MATCH(U41,'Material routes'!$A$6:$A$1005,0)),"MISSING ID")</x:f>
        <x:v>Ingredient candidate</x:v>
      </x:c>
      <x:c r="F41" s="4" t="str">
        <x:f>IFERROR(INDEX('Material routes'!$E$6:$E$1005,MATCH(V41,'Material routes'!$A$6:$A$1005,0)),"MISSING ID")</x:f>
        <x:v>Prepared clot-seal compound</x:v>
      </x:c>
      <x:c r="G41" s="4" t="str">
        <x:f>IFERROR(INDEX('Material routes'!$F$6:$F$1005,MATCH(V41,'Material routes'!$A$6:$A$1005,0)),"MISSING ID")</x:f>
        <x:v>T1</x:v>
      </x:c>
      <x:c r="H41" s="4" t="str">
        <x:f>IFERROR(INDEX('Material routes'!$H$6:$H$1005,MATCH(V41,'Material routes'!$A$6:$A$1005,0)),"MISSING ID")</x:f>
        <x:v>Chemical material</x:v>
      </x:c>
      <x:c r="I41" s="4" t="str">
        <x:f>IFERROR(INDEX('Material routes'!$G$6:$G$1005,MATCH(V41,'Material routes'!$A$6:$A$1005,0)),"MISSING ID")</x:f>
        <x:v>Resources</x:v>
      </x:c>
      <x:c r="J41" s="4" t="str">
        <x:f>IFERROR(INDEX('Material routes'!$B$6:$B$1005,MATCH(U41,'Material routes'!$A$6:$A$1005,0)),"MISSING ID")</x:f>
        <x:v>design.refine.t1.clot_seal</x:v>
      </x:c>
      <x:c r="K41" s="4" t="str">
        <x:f>IFERROR(INDEX('Crafting recipes'!$C$6:$C$1005,MATCH(J41,'Crafting recipes'!$A$6:$A$1005,0)),"MISSING ID")</x:f>
        <x:v>Material refinement</x:v>
      </x:c>
      <x:c r="L41" s="4" t="str">
        <x:f>IFERROR(INDEX('Material routes'!$K$6:$K$1005,MATCH(U41,'Material routes'!$A$6:$A$1005,0)),"MISSING ID")</x:f>
        <x:v>Proposal</x:v>
      </x:c>
      <x:c r="M41" s="4" t="str">
        <x:f>IFERROR(INDEX('Material routes'!$M$6:$M$1005,MATCH(U41,'Material routes'!$A$6:$A$1005,0)),"MISSING ID")</x:f>
        <x:v>Partial proposal</x:v>
      </x:c>
      <x:c r="N41" s="4" t="str">
        <x:f>IF(IFERROR(INDEX('Material routes'!$I$6:$I$1005,MATCH(U41,'Material routes'!$A$6:$A$1005,0)),"MISSING ID")=0,"",IFERROR(INDEX('Material routes'!$I$6:$I$1005,MATCH(U41,'Material routes'!$A$6:$A$1005,0)),"MISSING ID"))</x:f>
      </x:c>
      <x:c r="O41" s="4" t="str">
        <x:f>IFERROR(INDEX('Material routes'!$J$6:$J$1005,MATCH(U41,'Material routes'!$A$6:$A$1005,0)),"MISSING ID")</x:f>
        <x:v>Unspecified</x:v>
      </x:c>
      <x:c r="P41" s="4" t="str">
        <x:f>IF(IFERROR(INDEX('Material routes'!$I$6:$I$1005,MATCH(V41,'Material routes'!$A$6:$A$1005,0)),"MISSING ID")=0,"",IFERROR(INDEX('Material routes'!$I$6:$I$1005,MATCH(V41,'Material routes'!$A$6:$A$1005,0)),"MISSING ID"))</x:f>
      </x:c>
      <x:c r="Q41" s="4" t="str">
        <x:f>IFERROR(INDEX('Material routes'!$J$6:$J$1005,MATCH(V41,'Material routes'!$A$6:$A$1005,0)),"MISSING ID")</x:f>
        <x:v>Unspecified</x:v>
      </x:c>
      <x:c r="R41" s="4" t="str">
        <x:f>IF(L41="Withheld","Withheld premise",IF(E41="Tool candidate","Reusable prerequisite",IF(K41="Raw entry preparation","Entry-resource preparation",IF(G41="Not applicable","Finished endpoint",IF(OR(IFERROR(INDEX('Crafting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routes'!$D$6:$D$1005,MATCH(U41,'Material routes'!$A$6:$A$1005,0)),"MISSING ID")</x:f>
        <x:v>proposal.chemical.clotting_compound</x:v>
      </x:c>
      <x:c r="T41" s="4" t="str">
        <x:f>IFERROR(INDEX('Material routes'!$D$6:$D$1005,MATCH(V41,'Material routes'!$A$6:$A$1005,0)),"MISSING ID")</x:f>
        <x:v>proposal.t1.clot_seal</x:v>
      </x:c>
      <x:c r="U41" s="4" t="str">
        <x:v>material.route.037</x:v>
      </x:c>
      <x:c r="V41" s="4" t="str">
        <x:v>output.design.refine.t1.clot_seal</x:v>
      </x:c>
    </x:row>
    <x:row r="42" ht="85" customHeight="1">
      <x:c r="A42" s="4" t="str">
        <x:f>IFERROR(INDEX('Material routes'!$E$6:$E$1005,MATCH(U42,'Material routes'!$A$6:$A$1005,0)),"MISSING ID")</x:f>
        <x:v>Garnet</x:v>
      </x:c>
      <x:c r="B42" s="4" t="str">
        <x:f>IFERROR(INDEX('Material routes'!$F$6:$F$1005,MATCH(U42,'Material routes'!$A$6:$A$1005,0)),"MISSING ID")</x:f>
        <x:v>T0</x:v>
      </x:c>
      <x:c r="C42" s="4" t="str">
        <x:f>IFERROR(INDEX('Material routes'!$H$6:$H$1005,MATCH(U42,'Material routes'!$A$6:$A$1005,0)),"MISSING ID")</x:f>
        <x:v>Gem material</x:v>
      </x:c>
      <x:c r="D42" s="4" t="str">
        <x:f>IFERROR(INDEX('Material routes'!$G$6:$G$1005,MATCH(U42,'Material routes'!$A$6:$A$1005,0)),"MISSING ID")</x:f>
        <x:v>Resources</x:v>
      </x:c>
      <x:c r="E42" s="4" t="str">
        <x:f>IFERROR(INDEX('Material routes'!$C$6:$C$1005,MATCH(U42,'Material routes'!$A$6:$A$1005,0)),"MISSING ID")</x:f>
        <x:v>Ingredient candidate</x:v>
      </x:c>
      <x:c r="F42" s="4" t="str">
        <x:f>IFERROR(INDEX('Material routes'!$E$6:$E$1005,MATCH(V42,'Material routes'!$A$6:$A$1005,0)),"MISSING ID")</x:f>
        <x:v>Cut gemstone preform</x:v>
      </x:c>
      <x:c r="G42" s="4" t="str">
        <x:f>IFERROR(INDEX('Material routes'!$F$6:$F$1005,MATCH(V42,'Material routes'!$A$6:$A$1005,0)),"MISSING ID")</x:f>
        <x:v>T1</x:v>
      </x:c>
      <x:c r="H42" s="4" t="str">
        <x:f>IFERROR(INDEX('Material routes'!$H$6:$H$1005,MATCH(V42,'Material routes'!$A$6:$A$1005,0)),"MISSING ID")</x:f>
        <x:v>Processed material</x:v>
      </x:c>
      <x:c r="I42" s="4" t="str">
        <x:f>IFERROR(INDEX('Material routes'!$G$6:$G$1005,MATCH(V42,'Material routes'!$A$6:$A$1005,0)),"MISSING ID")</x:f>
        <x:v>Resources</x:v>
      </x:c>
      <x:c r="J42" s="4" t="str">
        <x:f>IFERROR(INDEX('Material routes'!$B$6:$B$1005,MATCH(U42,'Material routes'!$A$6:$A$1005,0)),"MISSING ID")</x:f>
        <x:v>design.refine.t1.gem_preform</x:v>
      </x:c>
      <x:c r="K42" s="4" t="str">
        <x:f>IFERROR(INDEX('Crafting recipes'!$C$6:$C$1005,MATCH(J42,'Crafting recipes'!$A$6:$A$1005,0)),"MISSING ID")</x:f>
        <x:v>Material refinement</x:v>
      </x:c>
      <x:c r="L42" s="4" t="str">
        <x:f>IFERROR(INDEX('Material routes'!$K$6:$K$1005,MATCH(U42,'Material routes'!$A$6:$A$1005,0)),"MISSING ID")</x:f>
        <x:v>Proposal</x:v>
      </x:c>
      <x:c r="M42" s="4" t="str">
        <x:f>IFERROR(INDEX('Material routes'!$M$6:$M$1005,MATCH(U42,'Material routes'!$A$6:$A$1005,0)),"MISSING ID")</x:f>
        <x:v>Partial proposal</x:v>
      </x:c>
      <x:c r="N42" s="4" t="str">
        <x:f>IF(IFERROR(INDEX('Material routes'!$I$6:$I$1005,MATCH(U42,'Material routes'!$A$6:$A$1005,0)),"MISSING ID")=0,"",IFERROR(INDEX('Material routes'!$I$6:$I$1005,MATCH(U42,'Material routes'!$A$6:$A$1005,0)),"MISSING ID"))</x:f>
      </x:c>
      <x:c r="O42" s="4" t="str">
        <x:f>IFERROR(INDEX('Material routes'!$J$6:$J$1005,MATCH(U42,'Material routes'!$A$6:$A$1005,0)),"MISSING ID")</x:f>
        <x:v>Unspecified</x:v>
      </x:c>
      <x:c r="P42" s="4" t="str">
        <x:f>IF(IFERROR(INDEX('Material routes'!$I$6:$I$1005,MATCH(V42,'Material routes'!$A$6:$A$1005,0)),"MISSING ID")=0,"",IFERROR(INDEX('Material routes'!$I$6:$I$1005,MATCH(V42,'Material routes'!$A$6:$A$1005,0)),"MISSING ID"))</x:f>
      </x:c>
      <x:c r="Q42" s="4" t="str">
        <x:f>IFERROR(INDEX('Material routes'!$J$6:$J$1005,MATCH(V42,'Material routes'!$A$6:$A$1005,0)),"MISSING ID")</x:f>
        <x:v>Unspecified</x:v>
      </x:c>
      <x:c r="R42" s="4" t="str">
        <x:f>IF(L42="Withheld","Withheld premise",IF(E42="Tool candidate","Reusable prerequisite",IF(K42="Raw entry preparation","Entry-resource preparation",IF(G42="Not applicable","Finished endpoint",IF(OR(IFERROR(INDEX('Crafting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routes'!$D$6:$D$1005,MATCH(U42,'Material routes'!$A$6:$A$1005,0)),"MISSING ID")</x:f>
        <x:v>proposal.gem.garnet</x:v>
      </x:c>
      <x:c r="T42" s="4" t="str">
        <x:f>IFERROR(INDEX('Material routes'!$D$6:$D$1005,MATCH(V42,'Material routes'!$A$6:$A$1005,0)),"MISSING ID")</x:f>
        <x:v>proposal.t1.gem_preform</x:v>
      </x:c>
      <x:c r="U42" s="4" t="str">
        <x:v>material.route.038</x:v>
      </x:c>
      <x:c r="V42" s="4" t="str">
        <x:v>output.design.refine.t1.gem_preform</x:v>
      </x:c>
    </x:row>
    <x:row r="43" ht="85" customHeight="1">
      <x:c r="A43" s="4" t="str">
        <x:f>IFERROR(INDEX('Material routes'!$E$6:$E$1005,MATCH(U43,'Material routes'!$A$6:$A$1005,0)),"MISSING ID")</x:f>
        <x:v>Clear quartz</x:v>
      </x:c>
      <x:c r="B43" s="4" t="str">
        <x:f>IFERROR(INDEX('Material routes'!$F$6:$F$1005,MATCH(U43,'Material routes'!$A$6:$A$1005,0)),"MISSING ID")</x:f>
        <x:v>T0</x:v>
      </x:c>
      <x:c r="C43" s="4" t="str">
        <x:f>IFERROR(INDEX('Material routes'!$H$6:$H$1005,MATCH(U43,'Material routes'!$A$6:$A$1005,0)),"MISSING ID")</x:f>
        <x:v>Gem material</x:v>
      </x:c>
      <x:c r="D43" s="4" t="str">
        <x:f>IFERROR(INDEX('Material routes'!$G$6:$G$1005,MATCH(U43,'Material routes'!$A$6:$A$1005,0)),"MISSING ID")</x:f>
        <x:v>Resources</x:v>
      </x:c>
      <x:c r="E43" s="4" t="str">
        <x:f>IFERROR(INDEX('Material routes'!$C$6:$C$1005,MATCH(U43,'Material routes'!$A$6:$A$1005,0)),"MISSING ID")</x:f>
        <x:v>Ingredient candidate</x:v>
      </x:c>
      <x:c r="F43" s="4" t="str">
        <x:f>IFERROR(INDEX('Material routes'!$E$6:$E$1005,MATCH(V43,'Material routes'!$A$6:$A$1005,0)),"MISSING ID")</x:f>
        <x:v>Graded stone inlay chips</x:v>
      </x:c>
      <x:c r="G43" s="4" t="str">
        <x:f>IFERROR(INDEX('Material routes'!$F$6:$F$1005,MATCH(V43,'Material routes'!$A$6:$A$1005,0)),"MISSING ID")</x:f>
        <x:v>T1</x:v>
      </x:c>
      <x:c r="H43" s="4" t="str">
        <x:f>IFERROR(INDEX('Material routes'!$H$6:$H$1005,MATCH(V43,'Material routes'!$A$6:$A$1005,0)),"MISSING ID")</x:f>
        <x:v>Processed material</x:v>
      </x:c>
      <x:c r="I43" s="4" t="str">
        <x:f>IFERROR(INDEX('Material routes'!$G$6:$G$1005,MATCH(V43,'Material routes'!$A$6:$A$1005,0)),"MISSING ID")</x:f>
        <x:v>Resources</x:v>
      </x:c>
      <x:c r="J43" s="4" t="str">
        <x:f>IFERROR(INDEX('Material routes'!$B$6:$B$1005,MATCH(U43,'Material routes'!$A$6:$A$1005,0)),"MISSING ID")</x:f>
        <x:v>design.refine.t1.gem_chips</x:v>
      </x:c>
      <x:c r="K43" s="4" t="str">
        <x:f>IFERROR(INDEX('Crafting recipes'!$C$6:$C$1005,MATCH(J43,'Crafting recipes'!$A$6:$A$1005,0)),"MISSING ID")</x:f>
        <x:v>Material refinement</x:v>
      </x:c>
      <x:c r="L43" s="4" t="str">
        <x:f>IFERROR(INDEX('Material routes'!$K$6:$K$1005,MATCH(U43,'Material routes'!$A$6:$A$1005,0)),"MISSING ID")</x:f>
        <x:v>Proposal</x:v>
      </x:c>
      <x:c r="M43" s="4" t="str">
        <x:f>IFERROR(INDEX('Material routes'!$M$6:$M$1005,MATCH(U43,'Material routes'!$A$6:$A$1005,0)),"MISSING ID")</x:f>
        <x:v>Partial proposal</x:v>
      </x:c>
      <x:c r="N43" s="4" t="str">
        <x:f>IF(IFERROR(INDEX('Material routes'!$I$6:$I$1005,MATCH(U43,'Material routes'!$A$6:$A$1005,0)),"MISSING ID")=0,"",IFERROR(INDEX('Material routes'!$I$6:$I$1005,MATCH(U43,'Material routes'!$A$6:$A$1005,0)),"MISSING ID"))</x:f>
      </x:c>
      <x:c r="O43" s="4" t="str">
        <x:f>IFERROR(INDEX('Material routes'!$J$6:$J$1005,MATCH(U43,'Material routes'!$A$6:$A$1005,0)),"MISSING ID")</x:f>
        <x:v>Unspecified</x:v>
      </x:c>
      <x:c r="P43" s="4" t="str">
        <x:f>IF(IFERROR(INDEX('Material routes'!$I$6:$I$1005,MATCH(V43,'Material routes'!$A$6:$A$1005,0)),"MISSING ID")=0,"",IFERROR(INDEX('Material routes'!$I$6:$I$1005,MATCH(V43,'Material routes'!$A$6:$A$1005,0)),"MISSING ID"))</x:f>
      </x:c>
      <x:c r="Q43" s="4" t="str">
        <x:f>IFERROR(INDEX('Material routes'!$J$6:$J$1005,MATCH(V43,'Material routes'!$A$6:$A$1005,0)),"MISSING ID")</x:f>
        <x:v>Unspecified</x:v>
      </x:c>
      <x:c r="R43" s="4" t="str">
        <x:f>IF(L43="Withheld","Withheld premise",IF(E43="Tool candidate","Reusable prerequisite",IF(K43="Raw entry preparation","Entry-resource preparation",IF(G43="Not applicable","Finished endpoint",IF(OR(IFERROR(INDEX('Crafting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routes'!$D$6:$D$1005,MATCH(U43,'Material routes'!$A$6:$A$1005,0)),"MISSING ID")</x:f>
        <x:v>proposal.gem.clear_quartz</x:v>
      </x:c>
      <x:c r="T43" s="4" t="str">
        <x:f>IFERROR(INDEX('Material routes'!$D$6:$D$1005,MATCH(V43,'Material routes'!$A$6:$A$1005,0)),"MISSING ID")</x:f>
        <x:v>proposal.t1.gem_chips</x:v>
      </x:c>
      <x:c r="U43" s="4" t="str">
        <x:v>material.route.039</x:v>
      </x:c>
      <x:c r="V43" s="4" t="str">
        <x:v>output.design.refine.t1.gem_chips</x:v>
      </x:c>
    </x:row>
    <x:row r="44" ht="85" customHeight="1">
      <x:c r="A44" s="4" t="str">
        <x:f>IFERROR(INDEX('Material routes'!$E$6:$E$1005,MATCH(U44,'Material routes'!$A$6:$A$1005,0)),"MISSING ID")</x:f>
        <x:v>Shell husks / shed plates</x:v>
      </x:c>
      <x:c r="B44" s="4" t="str">
        <x:f>IFERROR(INDEX('Material routes'!$F$6:$F$1005,MATCH(U44,'Material routes'!$A$6:$A$1005,0)),"MISSING ID")</x:f>
        <x:v>T0</x:v>
      </x:c>
      <x:c r="C44" s="4" t="str">
        <x:f>IFERROR(INDEX('Material routes'!$H$6:$H$1005,MATCH(U44,'Material routes'!$A$6:$A$1005,0)),"MISSING ID")</x:f>
        <x:v>Raw material</x:v>
      </x:c>
      <x:c r="D44" s="4" t="str">
        <x:f>IFERROR(INDEX('Material routes'!$G$6:$G$1005,MATCH(U44,'Material routes'!$A$6:$A$1005,0)),"MISSING ID")</x:f>
        <x:v>Resources</x:v>
      </x:c>
      <x:c r="E44" s="4" t="str">
        <x:f>IFERROR(INDEX('Material routes'!$C$6:$C$1005,MATCH(U44,'Material routes'!$A$6:$A$1005,0)),"MISSING ID")</x:f>
        <x:v>Ingredient candidate</x:v>
      </x:c>
      <x:c r="F44" s="4" t="str">
        <x:f>IFERROR(INDEX('Material routes'!$E$6:$E$1005,MATCH(V44,'Material routes'!$A$6:$A$1005,0)),"MISSING ID")</x:f>
        <x:v>Burnished shell inlay scales</x:v>
      </x:c>
      <x:c r="G44" s="4" t="str">
        <x:f>IFERROR(INDEX('Material routes'!$F$6:$F$1005,MATCH(V44,'Material routes'!$A$6:$A$1005,0)),"MISSING ID")</x:f>
        <x:v>T1</x:v>
      </x:c>
      <x:c r="H44" s="4" t="str">
        <x:f>IFERROR(INDEX('Material routes'!$H$6:$H$1005,MATCH(V44,'Material routes'!$A$6:$A$1005,0)),"MISSING ID")</x:f>
        <x:v>Processed material</x:v>
      </x:c>
      <x:c r="I44" s="4" t="str">
        <x:f>IFERROR(INDEX('Material routes'!$G$6:$G$1005,MATCH(V44,'Material routes'!$A$6:$A$1005,0)),"MISSING ID")</x:f>
        <x:v>Resources</x:v>
      </x:c>
      <x:c r="J44" s="4" t="str">
        <x:f>IFERROR(INDEX('Material routes'!$B$6:$B$1005,MATCH(U44,'Material routes'!$A$6:$A$1005,0)),"MISSING ID")</x:f>
        <x:v>design.refine.t1.shell_inlay</x:v>
      </x:c>
      <x:c r="K44" s="4" t="str">
        <x:f>IFERROR(INDEX('Crafting recipes'!$C$6:$C$1005,MATCH(J44,'Crafting recipes'!$A$6:$A$1005,0)),"MISSING ID")</x:f>
        <x:v>Material refinement</x:v>
      </x:c>
      <x:c r="L44" s="4" t="str">
        <x:f>IFERROR(INDEX('Material routes'!$K$6:$K$1005,MATCH(U44,'Material routes'!$A$6:$A$1005,0)),"MISSING ID")</x:f>
        <x:v>Proposal</x:v>
      </x:c>
      <x:c r="M44" s="4" t="str">
        <x:f>IFERROR(INDEX('Material routes'!$M$6:$M$1005,MATCH(U44,'Material routes'!$A$6:$A$1005,0)),"MISSING ID")</x:f>
        <x:v>Partial proposal</x:v>
      </x:c>
      <x:c r="N44" s="4" t="str">
        <x:f>IF(IFERROR(INDEX('Material routes'!$I$6:$I$1005,MATCH(U44,'Material routes'!$A$6:$A$1005,0)),"MISSING ID")=0,"",IFERROR(INDEX('Material routes'!$I$6:$I$1005,MATCH(U44,'Material routes'!$A$6:$A$1005,0)),"MISSING ID"))</x:f>
      </x:c>
      <x:c r="O44" s="4" t="str">
        <x:f>IFERROR(INDEX('Material routes'!$J$6:$J$1005,MATCH(U44,'Material routes'!$A$6:$A$1005,0)),"MISSING ID")</x:f>
        <x:v>Unspecified</x:v>
      </x:c>
      <x:c r="P44" s="4" t="str">
        <x:f>IF(IFERROR(INDEX('Material routes'!$I$6:$I$1005,MATCH(V44,'Material routes'!$A$6:$A$1005,0)),"MISSING ID")=0,"",IFERROR(INDEX('Material routes'!$I$6:$I$1005,MATCH(V44,'Material routes'!$A$6:$A$1005,0)),"MISSING ID"))</x:f>
      </x:c>
      <x:c r="Q44" s="4" t="str">
        <x:f>IFERROR(INDEX('Material routes'!$J$6:$J$1005,MATCH(V44,'Material routes'!$A$6:$A$1005,0)),"MISSING ID")</x:f>
        <x:v>Unspecified</x:v>
      </x:c>
      <x:c r="R44" s="4" t="str">
        <x:f>IF(L44="Withheld","Withheld premise",IF(E44="Tool candidate","Reusable prerequisite",IF(K44="Raw entry preparation","Entry-resource preparation",IF(G44="Not applicable","Finished endpoint",IF(OR(IFERROR(INDEX('Crafting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routes'!$D$6:$D$1005,MATCH(U44,'Material routes'!$A$6:$A$1005,0)),"MISSING ID")</x:f>
        <x:v>proposal.bio.shell</x:v>
      </x:c>
      <x:c r="T44" s="4" t="str">
        <x:f>IFERROR(INDEX('Material routes'!$D$6:$D$1005,MATCH(V44,'Material routes'!$A$6:$A$1005,0)),"MISSING ID")</x:f>
        <x:v>proposal.t1.shell_inlay</x:v>
      </x:c>
      <x:c r="U44" s="4" t="str">
        <x:v>material.route.040</x:v>
      </x:c>
      <x:c r="V44" s="4" t="str">
        <x:v>output.design.refine.t1.shell_inlay</x:v>
      </x:c>
    </x:row>
    <x:row r="45" ht="85" customHeight="1">
      <x:c r="A45" s="4" t="str">
        <x:f>IFERROR(INDEX('Material routes'!$E$6:$E$1005,MATCH(U45,'Material routes'!$A$6:$A$1005,0)),"MISSING ID")</x:f>
        <x:v>Mica sheets</x:v>
      </x:c>
      <x:c r="B45" s="4" t="str">
        <x:f>IFERROR(INDEX('Material routes'!$F$6:$F$1005,MATCH(U45,'Material routes'!$A$6:$A$1005,0)),"MISSING ID")</x:f>
        <x:v>T0</x:v>
      </x:c>
      <x:c r="C45" s="4" t="str">
        <x:f>IFERROR(INDEX('Material routes'!$H$6:$H$1005,MATCH(U45,'Material routes'!$A$6:$A$1005,0)),"MISSING ID")</x:f>
        <x:v>Raw material</x:v>
      </x:c>
      <x:c r="D45" s="4" t="str">
        <x:f>IFERROR(INDEX('Material routes'!$G$6:$G$1005,MATCH(U45,'Material routes'!$A$6:$A$1005,0)),"MISSING ID")</x:f>
        <x:v>Resources</x:v>
      </x:c>
      <x:c r="E45" s="4" t="str">
        <x:f>IFERROR(INDEX('Material routes'!$C$6:$C$1005,MATCH(U45,'Material routes'!$A$6:$A$1005,0)),"MISSING ID")</x:f>
        <x:v>Ingredient candidate</x:v>
      </x:c>
      <x:c r="F45" s="4" t="str">
        <x:f>IFERROR(INDEX('Material routes'!$E$6:$E$1005,MATCH(V45,'Material routes'!$A$6:$A$1005,0)),"MISSING ID")</x:f>
        <x:v>Sized mica viewing sheet</x:v>
      </x:c>
      <x:c r="G45" s="4" t="str">
        <x:f>IFERROR(INDEX('Material routes'!$F$6:$F$1005,MATCH(V45,'Material routes'!$A$6:$A$1005,0)),"MISSING ID")</x:f>
        <x:v>T1</x:v>
      </x:c>
      <x:c r="H45" s="4" t="str">
        <x:f>IFERROR(INDEX('Material routes'!$H$6:$H$1005,MATCH(V45,'Material routes'!$A$6:$A$1005,0)),"MISSING ID")</x:f>
        <x:v>Processed material</x:v>
      </x:c>
      <x:c r="I45" s="4" t="str">
        <x:f>IFERROR(INDEX('Material routes'!$G$6:$G$1005,MATCH(V45,'Material routes'!$A$6:$A$1005,0)),"MISSING ID")</x:f>
        <x:v>Resources</x:v>
      </x:c>
      <x:c r="J45" s="4" t="str">
        <x:f>IFERROR(INDEX('Material routes'!$B$6:$B$1005,MATCH(U45,'Material routes'!$A$6:$A$1005,0)),"MISSING ID")</x:f>
        <x:v>design.refine.t1.mica_window</x:v>
      </x:c>
      <x:c r="K45" s="4" t="str">
        <x:f>IFERROR(INDEX('Crafting recipes'!$C$6:$C$1005,MATCH(J45,'Crafting recipes'!$A$6:$A$1005,0)),"MISSING ID")</x:f>
        <x:v>Material refinement</x:v>
      </x:c>
      <x:c r="L45" s="4" t="str">
        <x:f>IFERROR(INDEX('Material routes'!$K$6:$K$1005,MATCH(U45,'Material routes'!$A$6:$A$1005,0)),"MISSING ID")</x:f>
        <x:v>Proposal</x:v>
      </x:c>
      <x:c r="M45" s="4" t="str">
        <x:f>IFERROR(INDEX('Material routes'!$M$6:$M$1005,MATCH(U45,'Material routes'!$A$6:$A$1005,0)),"MISSING ID")</x:f>
        <x:v>Partial proposal</x:v>
      </x:c>
      <x:c r="N45" s="4" t="str">
        <x:f>IF(IFERROR(INDEX('Material routes'!$I$6:$I$1005,MATCH(U45,'Material routes'!$A$6:$A$1005,0)),"MISSING ID")=0,"",IFERROR(INDEX('Material routes'!$I$6:$I$1005,MATCH(U45,'Material routes'!$A$6:$A$1005,0)),"MISSING ID"))</x:f>
      </x:c>
      <x:c r="O45" s="4" t="str">
        <x:f>IFERROR(INDEX('Material routes'!$J$6:$J$1005,MATCH(U45,'Material routes'!$A$6:$A$1005,0)),"MISSING ID")</x:f>
        <x:v>Unspecified</x:v>
      </x:c>
      <x:c r="P45" s="4" t="str">
        <x:f>IF(IFERROR(INDEX('Material routes'!$I$6:$I$1005,MATCH(V45,'Material routes'!$A$6:$A$1005,0)),"MISSING ID")=0,"",IFERROR(INDEX('Material routes'!$I$6:$I$1005,MATCH(V45,'Material routes'!$A$6:$A$1005,0)),"MISSING ID"))</x:f>
      </x:c>
      <x:c r="Q45" s="4" t="str">
        <x:f>IFERROR(INDEX('Material routes'!$J$6:$J$1005,MATCH(V45,'Material routes'!$A$6:$A$1005,0)),"MISSING ID")</x:f>
        <x:v>Unspecified</x:v>
      </x:c>
      <x:c r="R45" s="4" t="str">
        <x:f>IF(L45="Withheld","Withheld premise",IF(E45="Tool candidate","Reusable prerequisite",IF(K45="Raw entry preparation","Entry-resource preparation",IF(G45="Not applicable","Finished endpoint",IF(OR(IFERROR(INDEX('Crafting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routes'!$D$6:$D$1005,MATCH(U45,'Material routes'!$A$6:$A$1005,0)),"MISSING ID")</x:f>
        <x:v>proposal.natural.mica</x:v>
      </x:c>
      <x:c r="T45" s="4" t="str">
        <x:f>IFERROR(INDEX('Material routes'!$D$6:$D$1005,MATCH(V45,'Material routes'!$A$6:$A$1005,0)),"MISSING ID")</x:f>
        <x:v>proposal.t1.mica_window</x:v>
      </x:c>
      <x:c r="U45" s="4" t="str">
        <x:v>material.route.041</x:v>
      </x:c>
      <x:c r="V45" s="4" t="str">
        <x:v>output.design.refine.t1.mica_window</x:v>
      </x:c>
    </x:row>
    <x:row r="46" ht="85" customHeight="1">
      <x:c r="A46" s="4" t="str">
        <x:f>IFERROR(INDEX('Material routes'!$E$6:$E$1005,MATCH(U46,'Material routes'!$A$6:$A$1005,0)),"MISSING ID")</x:f>
        <x:v>Prepared husk-fiber pulp</x:v>
      </x:c>
      <x:c r="B46" s="4" t="str">
        <x:f>IFERROR(INDEX('Material routes'!$F$6:$F$1005,MATCH(U46,'Material routes'!$A$6:$A$1005,0)),"MISSING ID")</x:f>
        <x:v>T1</x:v>
      </x:c>
      <x:c r="C46" s="4" t="str">
        <x:f>IFERROR(INDEX('Material routes'!$H$6:$H$1005,MATCH(U46,'Material routes'!$A$6:$A$1005,0)),"MISSING ID")</x:f>
        <x:v>Processed material</x:v>
      </x:c>
      <x:c r="D46" s="4" t="str">
        <x:f>IFERROR(INDEX('Material routes'!$G$6:$G$1005,MATCH(U46,'Material routes'!$A$6:$A$1005,0)),"MISSING ID")</x:f>
        <x:v>Resources</x:v>
      </x:c>
      <x:c r="E46" s="4" t="str">
        <x:f>IFERROR(INDEX('Material routes'!$C$6:$C$1005,MATCH(U46,'Material routes'!$A$6:$A$1005,0)),"MISSING ID")</x:f>
        <x:v>Ingredient candidate</x:v>
      </x:c>
      <x:c r="F46" s="4" t="str">
        <x:f>IFERROR(INDEX('Material routes'!$E$6:$E$1005,MATCH(V46,'Material routes'!$A$6:$A$1005,0)),"MISSING ID")</x:f>
        <x:v>Husk-fiber paper</x:v>
      </x:c>
      <x:c r="G46" s="4" t="str">
        <x:f>IFERROR(INDEX('Material routes'!$F$6:$F$1005,MATCH(V46,'Material routes'!$A$6:$A$1005,0)),"MISSING ID")</x:f>
        <x:v>T2</x:v>
      </x:c>
      <x:c r="H46" s="4" t="str">
        <x:f>IFERROR(INDEX('Material routes'!$H$6:$H$1005,MATCH(V46,'Material routes'!$A$6:$A$1005,0)),"MISSING ID")</x:f>
        <x:v>Processed material</x:v>
      </x:c>
      <x:c r="I46" s="4" t="str">
        <x:f>IFERROR(INDEX('Material routes'!$G$6:$G$1005,MATCH(V46,'Material routes'!$A$6:$A$1005,0)),"MISSING ID")</x:f>
        <x:v>Crafting components</x:v>
      </x:c>
      <x:c r="J46" s="4" t="str">
        <x:f>IFERROR(INDEX('Material routes'!$B$6:$B$1005,MATCH(U46,'Material routes'!$A$6:$A$1005,0)),"MISSING ID")</x:f>
        <x:v>design.refine.bio.husk_paper</x:v>
      </x:c>
      <x:c r="K46" s="4" t="str">
        <x:f>IFERROR(INDEX('Crafting recipes'!$C$6:$C$1005,MATCH(J46,'Crafting recipes'!$A$6:$A$1005,0)),"MISSING ID")</x:f>
        <x:v>Material refinement</x:v>
      </x:c>
      <x:c r="L46" s="4" t="str">
        <x:f>IFERROR(INDEX('Material routes'!$K$6:$K$1005,MATCH(U46,'Material routes'!$A$6:$A$1005,0)),"MISSING ID")</x:f>
        <x:v>Proposal</x:v>
      </x:c>
      <x:c r="M46" s="4" t="str">
        <x:f>IFERROR(INDEX('Material routes'!$M$6:$M$1005,MATCH(U46,'Material routes'!$A$6:$A$1005,0)),"MISSING ID")</x:f>
        <x:v>Partial proposal</x:v>
      </x:c>
      <x:c r="N46" s="4" t="str">
        <x:f>IF(IFERROR(INDEX('Material routes'!$I$6:$I$1005,MATCH(U46,'Material routes'!$A$6:$A$1005,0)),"MISSING ID")=0,"",IFERROR(INDEX('Material routes'!$I$6:$I$1005,MATCH(U46,'Material routes'!$A$6:$A$1005,0)),"MISSING ID"))</x:f>
      </x:c>
      <x:c r="O46" s="4" t="str">
        <x:f>IFERROR(INDEX('Material routes'!$J$6:$J$1005,MATCH(U46,'Material routes'!$A$6:$A$1005,0)),"MISSING ID")</x:f>
        <x:v>Unspecified</x:v>
      </x:c>
      <x:c r="P46" s="4" t="str">
        <x:f>IF(IFERROR(INDEX('Material routes'!$I$6:$I$1005,MATCH(V46,'Material routes'!$A$6:$A$1005,0)),"MISSING ID")=0,"",IFERROR(INDEX('Material routes'!$I$6:$I$1005,MATCH(V46,'Material routes'!$A$6:$A$1005,0)),"MISSING ID"))</x:f>
      </x:c>
      <x:c r="Q46" s="4" t="str">
        <x:f>IFERROR(INDEX('Material routes'!$J$6:$J$1005,MATCH(V46,'Material routes'!$A$6:$A$1005,0)),"MISSING ID")</x:f>
        <x:v>Unspecified</x:v>
      </x:c>
      <x:c r="R46" s="4" t="str">
        <x:f>IF(L46="Withheld","Withheld premise",IF(E46="Tool candidate","Reusable prerequisite",IF(K46="Raw entry preparation","Entry-resource preparation",IF(G46="Not applicable","Finished endpoint",IF(OR(IFERROR(INDEX('Crafting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routes'!$D$6:$D$1005,MATCH(U46,'Material routes'!$A$6:$A$1005,0)),"MISSING ID")</x:f>
        <x:v>proposal.t1.husk_pulp</x:v>
      </x:c>
      <x:c r="T46" s="4" t="str">
        <x:f>IFERROR(INDEX('Material routes'!$D$6:$D$1005,MATCH(V46,'Material routes'!$A$6:$A$1005,0)),"MISSING ID")</x:f>
        <x:v>proposal.bio.husk_paper</x:v>
      </x:c>
      <x:c r="U46" s="4" t="str">
        <x:v>material.route.042</x:v>
      </x:c>
      <x:c r="V46" s="4" t="str">
        <x:v>output.design.refine.bio.husk_paper</x:v>
      </x:c>
    </x:row>
    <x:row r="47" ht="85" customHeight="1">
      <x:c r="A47" s="4" t="str">
        <x:f>IFERROR(INDEX('Material routes'!$E$6:$E$1005,MATCH(U47,'Material routes'!$A$6:$A$1005,0)),"MISSING ID")</x:f>
        <x:v>Smelted iron bloom</x:v>
      </x:c>
      <x:c r="B47" s="4" t="str">
        <x:f>IFERROR(INDEX('Material routes'!$F$6:$F$1005,MATCH(U47,'Material routes'!$A$6:$A$1005,0)),"MISSING ID")</x:f>
        <x:v>T1</x:v>
      </x:c>
      <x:c r="C47" s="4" t="str">
        <x:f>IFERROR(INDEX('Material routes'!$H$6:$H$1005,MATCH(U47,'Material routes'!$A$6:$A$1005,0)),"MISSING ID")</x:f>
        <x:v>Processed material</x:v>
      </x:c>
      <x:c r="D47" s="4" t="str">
        <x:f>IFERROR(INDEX('Material routes'!$G$6:$G$1005,MATCH(U47,'Material routes'!$A$6:$A$1005,0)),"MISSING ID")</x:f>
        <x:v>Resources</x:v>
      </x:c>
      <x:c r="E47" s="4" t="str">
        <x:f>IFERROR(INDEX('Material routes'!$C$6:$C$1005,MATCH(U47,'Material routes'!$A$6:$A$1005,0)),"MISSING ID")</x:f>
        <x:v>Ingredient candidate</x:v>
      </x:c>
      <x:c r="F47" s="4" t="str">
        <x:f>IFERROR(INDEX('Material routes'!$E$6:$E$1005,MATCH(V47,'Material routes'!$A$6:$A$1005,0)),"MISSING ID")</x:f>
        <x:v>Worked iron stock</x:v>
      </x:c>
      <x:c r="G47" s="4" t="str">
        <x:f>IFERROR(INDEX('Material routes'!$F$6:$F$1005,MATCH(V47,'Material routes'!$A$6:$A$1005,0)),"MISSING ID")</x:f>
        <x:v>T2</x:v>
      </x:c>
      <x:c r="H47" s="4" t="str">
        <x:f>IFERROR(INDEX('Material routes'!$H$6:$H$1005,MATCH(V47,'Material routes'!$A$6:$A$1005,0)),"MISSING ID")</x:f>
        <x:v>Processed material</x:v>
      </x:c>
      <x:c r="I47" s="4" t="str">
        <x:f>IFERROR(INDEX('Material routes'!$G$6:$G$1005,MATCH(V47,'Material routes'!$A$6:$A$1005,0)),"MISSING ID")</x:f>
        <x:v>Resources</x:v>
      </x:c>
      <x:c r="J47" s="4" t="str">
        <x:f>IFERROR(INDEX('Material routes'!$B$6:$B$1005,MATCH(U47,'Material routes'!$A$6:$A$1005,0)),"MISSING ID")</x:f>
        <x:v>design.refine.natural.iron_stock</x:v>
      </x:c>
      <x:c r="K47" s="4" t="str">
        <x:f>IFERROR(INDEX('Crafting recipes'!$C$6:$C$1005,MATCH(J47,'Crafting recipes'!$A$6:$A$1005,0)),"MISSING ID")</x:f>
        <x:v>Material refinement</x:v>
      </x:c>
      <x:c r="L47" s="4" t="str">
        <x:f>IFERROR(INDEX('Material routes'!$K$6:$K$1005,MATCH(U47,'Material routes'!$A$6:$A$1005,0)),"MISSING ID")</x:f>
        <x:v>Proposal</x:v>
      </x:c>
      <x:c r="M47" s="4" t="str">
        <x:f>IFERROR(INDEX('Material routes'!$M$6:$M$1005,MATCH(U47,'Material routes'!$A$6:$A$1005,0)),"MISSING ID")</x:f>
        <x:v>Partial proposal</x:v>
      </x:c>
      <x:c r="N47" s="4" t="str">
        <x:f>IF(IFERROR(INDEX('Material routes'!$I$6:$I$1005,MATCH(U47,'Material routes'!$A$6:$A$1005,0)),"MISSING ID")=0,"",IFERROR(INDEX('Material routes'!$I$6:$I$1005,MATCH(U47,'Material routes'!$A$6:$A$1005,0)),"MISSING ID"))</x:f>
      </x:c>
      <x:c r="O47" s="4" t="str">
        <x:f>IFERROR(INDEX('Material routes'!$J$6:$J$1005,MATCH(U47,'Material routes'!$A$6:$A$1005,0)),"MISSING ID")</x:f>
        <x:v>Unspecified</x:v>
      </x:c>
      <x:c r="P47" s="4" t="str">
        <x:f>IF(IFERROR(INDEX('Material routes'!$I$6:$I$1005,MATCH(V47,'Material routes'!$A$6:$A$1005,0)),"MISSING ID")=0,"",IFERROR(INDEX('Material routes'!$I$6:$I$1005,MATCH(V47,'Material routes'!$A$6:$A$1005,0)),"MISSING ID"))</x:f>
      </x:c>
      <x:c r="Q47" s="4" t="str">
        <x:f>IFERROR(INDEX('Material routes'!$J$6:$J$1005,MATCH(V47,'Material routes'!$A$6:$A$1005,0)),"MISSING ID")</x:f>
        <x:v>Unspecified</x:v>
      </x:c>
      <x:c r="R47" s="4" t="str">
        <x:f>IF(L47="Withheld","Withheld premise",IF(E47="Tool candidate","Reusable prerequisite",IF(K47="Raw entry preparation","Entry-resource preparation",IF(G47="Not applicable","Finished endpoint",IF(OR(IFERROR(INDEX('Crafting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routes'!$D$6:$D$1005,MATCH(U47,'Material routes'!$A$6:$A$1005,0)),"MISSING ID")</x:f>
        <x:v>proposal.t1.iron_bloom</x:v>
      </x:c>
      <x:c r="T47" s="4" t="str">
        <x:f>IFERROR(INDEX('Material routes'!$D$6:$D$1005,MATCH(V47,'Material routes'!$A$6:$A$1005,0)),"MISSING ID")</x:f>
        <x:v>proposal.natural.iron_stock</x:v>
      </x:c>
      <x:c r="U47" s="4" t="str">
        <x:v>material.route.043</x:v>
      </x:c>
      <x:c r="V47" s="4" t="str">
        <x:v>output.design.refine.natural.iron_stock</x:v>
      </x:c>
    </x:row>
    <x:row r="48" ht="85" customHeight="1">
      <x:c r="A48" s="4" t="str">
        <x:f>IFERROR(INDEX('Material routes'!$E$6:$E$1005,MATCH(U48,'Material routes'!$A$6:$A$1005,0)),"MISSING ID")</x:f>
        <x:v>Separated shell lamina stock</x:v>
      </x:c>
      <x:c r="B48" s="4" t="str">
        <x:f>IFERROR(INDEX('Material routes'!$F$6:$F$1005,MATCH(U48,'Material routes'!$A$6:$A$1005,0)),"MISSING ID")</x:f>
        <x:v>T1</x:v>
      </x:c>
      <x:c r="C48" s="4" t="str">
        <x:f>IFERROR(INDEX('Material routes'!$H$6:$H$1005,MATCH(U48,'Material routes'!$A$6:$A$1005,0)),"MISSING ID")</x:f>
        <x:v>Processed material</x:v>
      </x:c>
      <x:c r="D48" s="4" t="str">
        <x:f>IFERROR(INDEX('Material routes'!$G$6:$G$1005,MATCH(U48,'Material routes'!$A$6:$A$1005,0)),"MISSING ID")</x:f>
        <x:v>Resources</x:v>
      </x:c>
      <x:c r="E48" s="4" t="str">
        <x:f>IFERROR(INDEX('Material routes'!$C$6:$C$1005,MATCH(U48,'Material routes'!$A$6:$A$1005,0)),"MISSING ID")</x:f>
        <x:v>Ingredient candidate</x:v>
      </x:c>
      <x:c r="F48" s="4" t="str">
        <x:f>IFERROR(INDEX('Material routes'!$E$6:$E$1005,MATCH(V48,'Material routes'!$A$6:$A$1005,0)),"MISSING ID")</x:f>
        <x:v>Shell laminate</x:v>
      </x:c>
      <x:c r="G48" s="4" t="str">
        <x:f>IFERROR(INDEX('Material routes'!$F$6:$F$1005,MATCH(V48,'Material routes'!$A$6:$A$1005,0)),"MISSING ID")</x:f>
        <x:v>T2</x:v>
      </x:c>
      <x:c r="H48" s="4" t="str">
        <x:f>IFERROR(INDEX('Material routes'!$H$6:$H$1005,MATCH(V48,'Material routes'!$A$6:$A$1005,0)),"MISSING ID")</x:f>
        <x:v>Crafting component</x:v>
      </x:c>
      <x:c r="I48" s="4" t="str">
        <x:f>IFERROR(INDEX('Material routes'!$G$6:$G$1005,MATCH(V48,'Material routes'!$A$6:$A$1005,0)),"MISSING ID")</x:f>
        <x:v>Crafting components</x:v>
      </x:c>
      <x:c r="J48" s="4" t="str">
        <x:f>IFERROR(INDEX('Material routes'!$B$6:$B$1005,MATCH(U48,'Material routes'!$A$6:$A$1005,0)),"MISSING ID")</x:f>
        <x:v>design.refine.bio.laminate</x:v>
      </x:c>
      <x:c r="K48" s="4" t="str">
        <x:f>IFERROR(INDEX('Crafting recipes'!$C$6:$C$1005,MATCH(J48,'Crafting recipes'!$A$6:$A$1005,0)),"MISSING ID")</x:f>
        <x:v>Material refinement</x:v>
      </x:c>
      <x:c r="L48" s="4" t="str">
        <x:f>IFERROR(INDEX('Material routes'!$K$6:$K$1005,MATCH(U48,'Material routes'!$A$6:$A$1005,0)),"MISSING ID")</x:f>
        <x:v>Proposal</x:v>
      </x:c>
      <x:c r="M48" s="4" t="str">
        <x:f>IFERROR(INDEX('Material routes'!$M$6:$M$1005,MATCH(U48,'Material routes'!$A$6:$A$1005,0)),"MISSING ID")</x:f>
        <x:v>Partial proposal</x:v>
      </x:c>
      <x:c r="N48" s="4" t="str">
        <x:f>IF(IFERROR(INDEX('Material routes'!$I$6:$I$1005,MATCH(U48,'Material routes'!$A$6:$A$1005,0)),"MISSING ID")=0,"",IFERROR(INDEX('Material routes'!$I$6:$I$1005,MATCH(U48,'Material routes'!$A$6:$A$1005,0)),"MISSING ID"))</x:f>
      </x:c>
      <x:c r="O48" s="4" t="str">
        <x:f>IFERROR(INDEX('Material routes'!$J$6:$J$1005,MATCH(U48,'Material routes'!$A$6:$A$1005,0)),"MISSING ID")</x:f>
        <x:v>Unspecified</x:v>
      </x:c>
      <x:c r="P48" s="4" t="str">
        <x:f>IF(IFERROR(INDEX('Material routes'!$I$6:$I$1005,MATCH(V48,'Material routes'!$A$6:$A$1005,0)),"MISSING ID")=0,"",IFERROR(INDEX('Material routes'!$I$6:$I$1005,MATCH(V48,'Material routes'!$A$6:$A$1005,0)),"MISSING ID"))</x:f>
      </x:c>
      <x:c r="Q48" s="4" t="str">
        <x:f>IFERROR(INDEX('Material routes'!$J$6:$J$1005,MATCH(V48,'Material routes'!$A$6:$A$1005,0)),"MISSING ID")</x:f>
        <x:v>Unspecified</x:v>
      </x:c>
      <x:c r="R48" s="4" t="str">
        <x:f>IF(L48="Withheld","Withheld premise",IF(E48="Tool candidate","Reusable prerequisite",IF(K48="Raw entry preparation","Entry-resource preparation",IF(G48="Not applicable","Finished endpoint",IF(OR(IFERROR(INDEX('Crafting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routes'!$D$6:$D$1005,MATCH(U48,'Material routes'!$A$6:$A$1005,0)),"MISSING ID")</x:f>
        <x:v>proposal.t1.shell_lamina</x:v>
      </x:c>
      <x:c r="T48" s="4" t="str">
        <x:f>IFERROR(INDEX('Material routes'!$D$6:$D$1005,MATCH(V48,'Material routes'!$A$6:$A$1005,0)),"MISSING ID")</x:f>
        <x:v>proposal.bio.laminate</x:v>
      </x:c>
      <x:c r="U48" s="4" t="str">
        <x:v>material.route.044</x:v>
      </x:c>
      <x:c r="V48" s="4" t="str">
        <x:v>output.design.refine.bio.laminate</x:v>
      </x:c>
    </x:row>
    <x:row r="49" ht="85" customHeight="1">
      <x:c r="A49" s="4" t="str">
        <x:f>IFERROR(INDEX('Material routes'!$E$6:$E$1005,MATCH(U49,'Material routes'!$A$6:$A$1005,0)),"MISSING ID")</x:f>
        <x:v>Prepared shell-binding adhesive</x:v>
      </x:c>
      <x:c r="B49" s="4" t="str">
        <x:f>IFERROR(INDEX('Material routes'!$F$6:$F$1005,MATCH(U49,'Material routes'!$A$6:$A$1005,0)),"MISSING ID")</x:f>
        <x:v>T1</x:v>
      </x:c>
      <x:c r="C49" s="4" t="str">
        <x:f>IFERROR(INDEX('Material routes'!$H$6:$H$1005,MATCH(U49,'Material routes'!$A$6:$A$1005,0)),"MISSING ID")</x:f>
        <x:v>Chemical material</x:v>
      </x:c>
      <x:c r="D49" s="4" t="str">
        <x:f>IFERROR(INDEX('Material routes'!$G$6:$G$1005,MATCH(U49,'Material routes'!$A$6:$A$1005,0)),"MISSING ID")</x:f>
        <x:v>Resources</x:v>
      </x:c>
      <x:c r="E49" s="4" t="str">
        <x:f>IFERROR(INDEX('Material routes'!$C$6:$C$1005,MATCH(U49,'Material routes'!$A$6:$A$1005,0)),"MISSING ID")</x:f>
        <x:v>Ingredient candidate</x:v>
      </x:c>
      <x:c r="F49" s="4" t="str">
        <x:f>IFERROR(INDEX('Material routes'!$E$6:$E$1005,MATCH(V49,'Material routes'!$A$6:$A$1005,0)),"MISSING ID")</x:f>
        <x:v>Shell laminate</x:v>
      </x:c>
      <x:c r="G49" s="4" t="str">
        <x:f>IFERROR(INDEX('Material routes'!$F$6:$F$1005,MATCH(V49,'Material routes'!$A$6:$A$1005,0)),"MISSING ID")</x:f>
        <x:v>T2</x:v>
      </x:c>
      <x:c r="H49" s="4" t="str">
        <x:f>IFERROR(INDEX('Material routes'!$H$6:$H$1005,MATCH(V49,'Material routes'!$A$6:$A$1005,0)),"MISSING ID")</x:f>
        <x:v>Crafting component</x:v>
      </x:c>
      <x:c r="I49" s="4" t="str">
        <x:f>IFERROR(INDEX('Material routes'!$G$6:$G$1005,MATCH(V49,'Material routes'!$A$6:$A$1005,0)),"MISSING ID")</x:f>
        <x:v>Crafting components</x:v>
      </x:c>
      <x:c r="J49" s="4" t="str">
        <x:f>IFERROR(INDEX('Material routes'!$B$6:$B$1005,MATCH(U49,'Material routes'!$A$6:$A$1005,0)),"MISSING ID")</x:f>
        <x:v>design.refine.bio.laminate</x:v>
      </x:c>
      <x:c r="K49" s="4" t="str">
        <x:f>IFERROR(INDEX('Crafting recipes'!$C$6:$C$1005,MATCH(J49,'Crafting recipes'!$A$6:$A$1005,0)),"MISSING ID")</x:f>
        <x:v>Material refinement</x:v>
      </x:c>
      <x:c r="L49" s="4" t="str">
        <x:f>IFERROR(INDEX('Material routes'!$K$6:$K$1005,MATCH(U49,'Material routes'!$A$6:$A$1005,0)),"MISSING ID")</x:f>
        <x:v>Proposal</x:v>
      </x:c>
      <x:c r="M49" s="4" t="str">
        <x:f>IFERROR(INDEX('Material routes'!$M$6:$M$1005,MATCH(U49,'Material routes'!$A$6:$A$1005,0)),"MISSING ID")</x:f>
        <x:v>Partial proposal</x:v>
      </x:c>
      <x:c r="N49" s="4" t="str">
        <x:f>IF(IFERROR(INDEX('Material routes'!$I$6:$I$1005,MATCH(U49,'Material routes'!$A$6:$A$1005,0)),"MISSING ID")=0,"",IFERROR(INDEX('Material routes'!$I$6:$I$1005,MATCH(U49,'Material routes'!$A$6:$A$1005,0)),"MISSING ID"))</x:f>
      </x:c>
      <x:c r="O49" s="4" t="str">
        <x:f>IFERROR(INDEX('Material routes'!$J$6:$J$1005,MATCH(U49,'Material routes'!$A$6:$A$1005,0)),"MISSING ID")</x:f>
        <x:v>Unspecified</x:v>
      </x:c>
      <x:c r="P49" s="4" t="str">
        <x:f>IF(IFERROR(INDEX('Material routes'!$I$6:$I$1005,MATCH(V49,'Material routes'!$A$6:$A$1005,0)),"MISSING ID")=0,"",IFERROR(INDEX('Material routes'!$I$6:$I$1005,MATCH(V49,'Material routes'!$A$6:$A$1005,0)),"MISSING ID"))</x:f>
      </x:c>
      <x:c r="Q49" s="4" t="str">
        <x:f>IFERROR(INDEX('Material routes'!$J$6:$J$1005,MATCH(V49,'Material routes'!$A$6:$A$1005,0)),"MISSING ID")</x:f>
        <x:v>Unspecified</x:v>
      </x:c>
      <x:c r="R49" s="4" t="str">
        <x:f>IF(L49="Withheld","Withheld premise",IF(E49="Tool candidate","Reusable prerequisite",IF(K49="Raw entry preparation","Entry-resource preparation",IF(G49="Not applicable","Finished endpoint",IF(OR(IFERROR(INDEX('Crafting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routes'!$D$6:$D$1005,MATCH(U49,'Material routes'!$A$6:$A$1005,0)),"MISSING ID")</x:f>
        <x:v>proposal.t1.shell_adhesive</x:v>
      </x:c>
      <x:c r="T49" s="4" t="str">
        <x:f>IFERROR(INDEX('Material routes'!$D$6:$D$1005,MATCH(V49,'Material routes'!$A$6:$A$1005,0)),"MISSING ID")</x:f>
        <x:v>proposal.bio.laminate</x:v>
      </x:c>
      <x:c r="U49" s="4" t="str">
        <x:v>material.route.045</x:v>
      </x:c>
      <x:c r="V49" s="4" t="str">
        <x:v>output.design.refine.bio.laminate</x:v>
      </x:c>
    </x:row>
    <x:row r="50" ht="85" customHeight="1">
      <x:c r="A50" s="4" t="str">
        <x:f>IFERROR(INDEX('Material routes'!$E$6:$E$1005,MATCH(U50,'Material routes'!$A$6:$A$1005,0)),"MISSING ID")</x:f>
        <x:v>Clarified faunal lubricant base</x:v>
      </x:c>
      <x:c r="B50" s="4" t="str">
        <x:f>IFERROR(INDEX('Material routes'!$F$6:$F$1005,MATCH(U50,'Material routes'!$A$6:$A$1005,0)),"MISSING ID")</x:f>
        <x:v>T1</x:v>
      </x:c>
      <x:c r="C50" s="4" t="str">
        <x:f>IFERROR(INDEX('Material routes'!$H$6:$H$1005,MATCH(U50,'Material routes'!$A$6:$A$1005,0)),"MISSING ID")</x:f>
        <x:v>Chemical material</x:v>
      </x:c>
      <x:c r="D50" s="4" t="str">
        <x:f>IFERROR(INDEX('Material routes'!$G$6:$G$1005,MATCH(U50,'Material routes'!$A$6:$A$1005,0)),"MISSING ID")</x:f>
        <x:v>Resources</x:v>
      </x:c>
      <x:c r="E50" s="4" t="str">
        <x:f>IFERROR(INDEX('Material routes'!$C$6:$C$1005,MATCH(U50,'Material routes'!$A$6:$A$1005,0)),"MISSING ID")</x:f>
        <x:v>Ingredient candidate</x:v>
      </x:c>
      <x:c r="F50" s="4" t="str">
        <x:f>IFERROR(INDEX('Material routes'!$E$6:$E$1005,MATCH(V50,'Material routes'!$A$6:$A$1005,0)),"MISSING ID")</x:f>
        <x:v>Faunal joint grease</x:v>
      </x:c>
      <x:c r="G50" s="4" t="str">
        <x:f>IFERROR(INDEX('Material routes'!$F$6:$F$1005,MATCH(V50,'Material routes'!$A$6:$A$1005,0)),"MISSING ID")</x:f>
        <x:v>T2</x:v>
      </x:c>
      <x:c r="H50" s="4" t="str">
        <x:f>IFERROR(INDEX('Material routes'!$H$6:$H$1005,MATCH(V50,'Material routes'!$A$6:$A$1005,0)),"MISSING ID")</x:f>
        <x:v>Chemical material</x:v>
      </x:c>
      <x:c r="I50" s="4" t="str">
        <x:f>IFERROR(INDEX('Material routes'!$G$6:$G$1005,MATCH(V50,'Material routes'!$A$6:$A$1005,0)),"MISSING ID")</x:f>
        <x:v>Resources</x:v>
      </x:c>
      <x:c r="J50" s="4" t="str">
        <x:f>IFERROR(INDEX('Material routes'!$B$6:$B$1005,MATCH(U50,'Material routes'!$A$6:$A$1005,0)),"MISSING ID")</x:f>
        <x:v>design.refine.lubricant.joint_grease</x:v>
      </x:c>
      <x:c r="K50" s="4" t="str">
        <x:f>IFERROR(INDEX('Crafting recipes'!$C$6:$C$1005,MATCH(J50,'Crafting recipes'!$A$6:$A$1005,0)),"MISSING ID")</x:f>
        <x:v>Material refinement</x:v>
      </x:c>
      <x:c r="L50" s="4" t="str">
        <x:f>IFERROR(INDEX('Material routes'!$K$6:$K$1005,MATCH(U50,'Material routes'!$A$6:$A$1005,0)),"MISSING ID")</x:f>
        <x:v>Proposal</x:v>
      </x:c>
      <x:c r="M50" s="4" t="str">
        <x:f>IFERROR(INDEX('Material routes'!$M$6:$M$1005,MATCH(U50,'Material routes'!$A$6:$A$1005,0)),"MISSING ID")</x:f>
        <x:v>Partial proposal</x:v>
      </x:c>
      <x:c r="N50" s="4" t="str">
        <x:f>IF(IFERROR(INDEX('Material routes'!$I$6:$I$1005,MATCH(U50,'Material routes'!$A$6:$A$1005,0)),"MISSING ID")=0,"",IFERROR(INDEX('Material routes'!$I$6:$I$1005,MATCH(U50,'Material routes'!$A$6:$A$1005,0)),"MISSING ID"))</x:f>
      </x:c>
      <x:c r="O50" s="4" t="str">
        <x:f>IFERROR(INDEX('Material routes'!$J$6:$J$1005,MATCH(U50,'Material routes'!$A$6:$A$1005,0)),"MISSING ID")</x:f>
        <x:v>Unspecified</x:v>
      </x:c>
      <x:c r="P50" s="4" t="str">
        <x:f>IF(IFERROR(INDEX('Material routes'!$I$6:$I$1005,MATCH(V50,'Material routes'!$A$6:$A$1005,0)),"MISSING ID")=0,"",IFERROR(INDEX('Material routes'!$I$6:$I$1005,MATCH(V50,'Material routes'!$A$6:$A$1005,0)),"MISSING ID"))</x:f>
      </x:c>
      <x:c r="Q50" s="4" t="str">
        <x:f>IFERROR(INDEX('Material routes'!$J$6:$J$1005,MATCH(V50,'Material routes'!$A$6:$A$1005,0)),"MISSING ID")</x:f>
        <x:v>Unspecified</x:v>
      </x:c>
      <x:c r="R50" s="4" t="str">
        <x:f>IF(L50="Withheld","Withheld premise",IF(E50="Tool candidate","Reusable prerequisite",IF(K50="Raw entry preparation","Entry-resource preparation",IF(G50="Not applicable","Finished endpoint",IF(OR(IFERROR(INDEX('Crafting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routes'!$D$6:$D$1005,MATCH(U50,'Material routes'!$A$6:$A$1005,0)),"MISSING ID")</x:f>
        <x:v>proposal.lubricant.base</x:v>
      </x:c>
      <x:c r="T50" s="4" t="str">
        <x:f>IFERROR(INDEX('Material routes'!$D$6:$D$1005,MATCH(V50,'Material routes'!$A$6:$A$1005,0)),"MISSING ID")</x:f>
        <x:v>proposal.lubricant.joint_grease</x:v>
      </x:c>
      <x:c r="U50" s="4" t="str">
        <x:v>material.route.046</x:v>
      </x:c>
      <x:c r="V50" s="4" t="str">
        <x:v>output.design.refine.lubricant.joint_grease</x:v>
      </x:c>
    </x:row>
    <x:row r="51" ht="85" customHeight="1">
      <x:c r="A51" s="4" t="str">
        <x:f>IFERROR(INDEX('Material routes'!$E$6:$E$1005,MATCH(U51,'Material routes'!$A$6:$A$1005,0)),"MISSING ID")</x:f>
        <x:v>Prepared secretion thickener</x:v>
      </x:c>
      <x:c r="B51" s="4" t="str">
        <x:f>IFERROR(INDEX('Material routes'!$F$6:$F$1005,MATCH(U51,'Material routes'!$A$6:$A$1005,0)),"MISSING ID")</x:f>
        <x:v>T1</x:v>
      </x:c>
      <x:c r="C51" s="4" t="str">
        <x:f>IFERROR(INDEX('Material routes'!$H$6:$H$1005,MATCH(U51,'Material routes'!$A$6:$A$1005,0)),"MISSING ID")</x:f>
        <x:v>Chemical material</x:v>
      </x:c>
      <x:c r="D51" s="4" t="str">
        <x:f>IFERROR(INDEX('Material routes'!$G$6:$G$1005,MATCH(U51,'Material routes'!$A$6:$A$1005,0)),"MISSING ID")</x:f>
        <x:v>Resources</x:v>
      </x:c>
      <x:c r="E51" s="4" t="str">
        <x:f>IFERROR(INDEX('Material routes'!$C$6:$C$1005,MATCH(U51,'Material routes'!$A$6:$A$1005,0)),"MISSING ID")</x:f>
        <x:v>Ingredient candidate</x:v>
      </x:c>
      <x:c r="F51" s="4" t="str">
        <x:f>IFERROR(INDEX('Material routes'!$E$6:$E$1005,MATCH(V51,'Material routes'!$A$6:$A$1005,0)),"MISSING ID")</x:f>
        <x:v>Faunal joint grease</x:v>
      </x:c>
      <x:c r="G51" s="4" t="str">
        <x:f>IFERROR(INDEX('Material routes'!$F$6:$F$1005,MATCH(V51,'Material routes'!$A$6:$A$1005,0)),"MISSING ID")</x:f>
        <x:v>T2</x:v>
      </x:c>
      <x:c r="H51" s="4" t="str">
        <x:f>IFERROR(INDEX('Material routes'!$H$6:$H$1005,MATCH(V51,'Material routes'!$A$6:$A$1005,0)),"MISSING ID")</x:f>
        <x:v>Chemical material</x:v>
      </x:c>
      <x:c r="I51" s="4" t="str">
        <x:f>IFERROR(INDEX('Material routes'!$G$6:$G$1005,MATCH(V51,'Material routes'!$A$6:$A$1005,0)),"MISSING ID")</x:f>
        <x:v>Resources</x:v>
      </x:c>
      <x:c r="J51" s="4" t="str">
        <x:f>IFERROR(INDEX('Material routes'!$B$6:$B$1005,MATCH(U51,'Material routes'!$A$6:$A$1005,0)),"MISSING ID")</x:f>
        <x:v>design.refine.lubricant.joint_grease</x:v>
      </x:c>
      <x:c r="K51" s="4" t="str">
        <x:f>IFERROR(INDEX('Crafting recipes'!$C$6:$C$1005,MATCH(J51,'Crafting recipes'!$A$6:$A$1005,0)),"MISSING ID")</x:f>
        <x:v>Material refinement</x:v>
      </x:c>
      <x:c r="L51" s="4" t="str">
        <x:f>IFERROR(INDEX('Material routes'!$K$6:$K$1005,MATCH(U51,'Material routes'!$A$6:$A$1005,0)),"MISSING ID")</x:f>
        <x:v>Proposal</x:v>
      </x:c>
      <x:c r="M51" s="4" t="str">
        <x:f>IFERROR(INDEX('Material routes'!$M$6:$M$1005,MATCH(U51,'Material routes'!$A$6:$A$1005,0)),"MISSING ID")</x:f>
        <x:v>Partial proposal</x:v>
      </x:c>
      <x:c r="N51" s="4" t="str">
        <x:f>IF(IFERROR(INDEX('Material routes'!$I$6:$I$1005,MATCH(U51,'Material routes'!$A$6:$A$1005,0)),"MISSING ID")=0,"",IFERROR(INDEX('Material routes'!$I$6:$I$1005,MATCH(U51,'Material routes'!$A$6:$A$1005,0)),"MISSING ID"))</x:f>
      </x:c>
      <x:c r="O51" s="4" t="str">
        <x:f>IFERROR(INDEX('Material routes'!$J$6:$J$1005,MATCH(U51,'Material routes'!$A$6:$A$1005,0)),"MISSING ID")</x:f>
        <x:v>Unspecified</x:v>
      </x:c>
      <x:c r="P51" s="4" t="str">
        <x:f>IF(IFERROR(INDEX('Material routes'!$I$6:$I$1005,MATCH(V51,'Material routes'!$A$6:$A$1005,0)),"MISSING ID")=0,"",IFERROR(INDEX('Material routes'!$I$6:$I$1005,MATCH(V51,'Material routes'!$A$6:$A$1005,0)),"MISSING ID"))</x:f>
      </x:c>
      <x:c r="Q51" s="4" t="str">
        <x:f>IFERROR(INDEX('Material routes'!$J$6:$J$1005,MATCH(V51,'Material routes'!$A$6:$A$1005,0)),"MISSING ID")</x:f>
        <x:v>Unspecified</x:v>
      </x:c>
      <x:c r="R51" s="4" t="str">
        <x:f>IF(L51="Withheld","Withheld premise",IF(E51="Tool candidate","Reusable prerequisite",IF(K51="Raw entry preparation","Entry-resource preparation",IF(G51="Not applicable","Finished endpoint",IF(OR(IFERROR(INDEX('Crafting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routes'!$D$6:$D$1005,MATCH(U51,'Material routes'!$A$6:$A$1005,0)),"MISSING ID")</x:f>
        <x:v>proposal.lubricant.thickener</x:v>
      </x:c>
      <x:c r="T51" s="4" t="str">
        <x:f>IFERROR(INDEX('Material routes'!$D$6:$D$1005,MATCH(V51,'Material routes'!$A$6:$A$1005,0)),"MISSING ID")</x:f>
        <x:v>proposal.lubricant.joint_grease</x:v>
      </x:c>
      <x:c r="U51" s="4" t="str">
        <x:v>material.route.047</x:v>
      </x:c>
      <x:c r="V51" s="4" t="str">
        <x:v>output.design.refine.lubricant.joint_grease</x:v>
      </x:c>
    </x:row>
    <x:row r="52" ht="85" customHeight="1">
      <x:c r="A52" s="4" t="str">
        <x:f>IFERROR(INDEX('Material routes'!$E$6:$E$1005,MATCH(U52,'Material routes'!$A$6:$A$1005,0)),"MISSING ID")</x:f>
        <x:v>Ironstone Ore</x:v>
      </x:c>
      <x:c r="B52" s="4" t="str">
        <x:f>IFERROR(INDEX('Material routes'!$F$6:$F$1005,MATCH(U52,'Material routes'!$A$6:$A$1005,0)),"MISSING ID")</x:f>
        <x:v>T0</x:v>
      </x:c>
      <x:c r="C52" s="4" t="str">
        <x:f>IFERROR(INDEX('Material routes'!$H$6:$H$1005,MATCH(U52,'Material routes'!$A$6:$A$1005,0)),"MISSING ID")</x:f>
        <x:v>Raw material</x:v>
      </x:c>
      <x:c r="D52" s="4" t="str">
        <x:f>IFERROR(INDEX('Material routes'!$G$6:$G$1005,MATCH(U52,'Material routes'!$A$6:$A$1005,0)),"MISSING ID")</x:f>
        <x:v>Resources</x:v>
      </x:c>
      <x:c r="E52" s="4" t="str">
        <x:f>IFERROR(INDEX('Material routes'!$C$6:$C$1005,MATCH(U52,'Material routes'!$A$6:$A$1005,0)),"MISSING ID")</x:f>
        <x:v>Consumed input</x:v>
      </x:c>
      <x:c r="F52" s="4" t="str">
        <x:f>IFERROR(INDEX('Material routes'!$E$6:$E$1005,MATCH(V52,'Material routes'!$A$6:$A$1005,0)),"MISSING ID")</x:f>
        <x:v>Empty Arc Battery</x:v>
      </x:c>
      <x:c r="G52" s="4" t="str">
        <x:f>IFERROR(INDEX('Material routes'!$F$6:$F$1005,MATCH(V52,'Material routes'!$A$6:$A$1005,0)),"MISSING ID")</x:f>
        <x:v>Not applicable</x:v>
      </x:c>
      <x:c r="H52" s="4" t="str">
        <x:f>IFERROR(INDEX('Material routes'!$H$6:$H$1005,MATCH(V52,'Material routes'!$A$6:$A$1005,0)),"MISSING ID")</x:f>
        <x:v>Energy storage</x:v>
      </x:c>
      <x:c r="I52" s="4" t="str">
        <x:f>IFERROR(INDEX('Material routes'!$G$6:$G$1005,MATCH(V52,'Material routes'!$A$6:$A$1005,0)),"MISSING ID")</x:f>
        <x:v>Field supplies</x:v>
      </x:c>
      <x:c r="J52" s="4" t="str">
        <x:f>IFERROR(INDEX('Material routes'!$B$6:$B$1005,MATCH(U52,'Material routes'!$A$6:$A$1005,0)),"MISSING ID")</x:f>
        <x:v>camp.empty-arc-battery.v1</x:v>
      </x:c>
      <x:c r="K52" s="4" t="str">
        <x:f>IFERROR(INDEX('Crafting recipes'!$C$6:$C$1005,MATCH(J52,'Crafting recipes'!$A$6:$A$1005,0)),"MISSING ID")</x:f>
        <x:v>Existing trial craft</x:v>
      </x:c>
      <x:c r="L52" s="4" t="str">
        <x:f>IFERROR(INDEX('Material routes'!$K$6:$K$1005,MATCH(U52,'Material routes'!$A$6:$A$1005,0)),"MISSING ID")</x:f>
        <x:v>Existing recipe</x:v>
      </x:c>
      <x:c r="M52" s="4" t="str">
        <x:f>IFERROR(INDEX('Material routes'!$M$6:$M$1005,MATCH(U52,'Material routes'!$A$6:$A$1005,0)),"MISSING ID")</x:f>
        <x:v>Authored recipe list</x:v>
      </x:c>
      <x:c r="N52" s="4" t="n">
        <x:f>IF(IFERROR(INDEX('Material routes'!$I$6:$I$1005,MATCH(U52,'Material routes'!$A$6:$A$1005,0)),"MISSING ID")=0,"",IFERROR(INDEX('Material routes'!$I$6:$I$1005,MATCH(U52,'Material routes'!$A$6:$A$1005,0)),"MISSING ID"))</x:f>
        <x:v>4</x:v>
      </x:c>
      <x:c r="O52" s="4" t="str">
        <x:f>IFERROR(INDEX('Material routes'!$J$6:$J$1005,MATCH(U52,'Material routes'!$A$6:$A$1005,0)),"MISSING ID")</x:f>
        <x:v>Item</x:v>
      </x:c>
      <x:c r="P52" s="4" t="n">
        <x:f>IF(IFERROR(INDEX('Material routes'!$I$6:$I$1005,MATCH(V52,'Material routes'!$A$6:$A$1005,0)),"MISSING ID")=0,"",IFERROR(INDEX('Material routes'!$I$6:$I$1005,MATCH(V52,'Material routes'!$A$6:$A$1005,0)),"MISSING ID"))</x:f>
        <x:v>1</x:v>
      </x:c>
      <x:c r="Q52" s="4" t="str">
        <x:f>IFERROR(INDEX('Material routes'!$J$6:$J$1005,MATCH(V52,'Material routes'!$A$6:$A$1005,0)),"MISSING ID")</x:f>
        <x:v>Item</x:v>
      </x:c>
      <x:c r="R52" s="4" t="str">
        <x:f>IF(L52="Withheld","Withheld premise",IF(E52="Tool candidate","Reusable prerequisite",IF(K52="Raw entry preparation","Entry-resource preparation",IF(G52="Not applicable","Finished endpoint",IF(OR(IFERROR(INDEX('Crafting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routes'!$D$6:$D$1005,MATCH(U52,'Material routes'!$A$6:$A$1005,0)),"MISSING ID")</x:f>
        <x:v>resource.ironstone_ore</x:v>
      </x:c>
      <x:c r="T52" s="4" t="str">
        <x:f>IFERROR(INDEX('Material routes'!$D$6:$D$1005,MATCH(V52,'Material routes'!$A$6:$A$1005,0)),"MISSING ID")</x:f>
        <x:v>equipment.arc_battery_empty</x:v>
      </x:c>
      <x:c r="U52" s="4" t="str">
        <x:v>source.recipe.line.6</x:v>
      </x:c>
      <x:c r="V52" s="4" t="str">
        <x:v>source.recipe.line.7</x:v>
      </x:c>
    </x:row>
    <x:row r="53" ht="85" customHeight="1">
      <x:c r="A53" s="4" t="str">
        <x:f>IFERROR(INDEX('Material routes'!$E$6:$E$1005,MATCH(U53,'Material routes'!$A$6:$A$1005,0)),"MISSING ID")</x:f>
        <x:v>Ironstone Ore</x:v>
      </x:c>
      <x:c r="B53" s="4" t="str">
        <x:f>IFERROR(INDEX('Material routes'!$F$6:$F$1005,MATCH(U53,'Material routes'!$A$6:$A$1005,0)),"MISSING ID")</x:f>
        <x:v>T0</x:v>
      </x:c>
      <x:c r="C53" s="4" t="str">
        <x:f>IFERROR(INDEX('Material routes'!$H$6:$H$1005,MATCH(U53,'Material routes'!$A$6:$A$1005,0)),"MISSING ID")</x:f>
        <x:v>Raw material</x:v>
      </x:c>
      <x:c r="D53" s="4" t="str">
        <x:f>IFERROR(INDEX('Material routes'!$G$6:$G$1005,MATCH(U53,'Material routes'!$A$6:$A$1005,0)),"MISSING ID")</x:f>
        <x:v>Resources</x:v>
      </x:c>
      <x:c r="E53" s="4" t="str">
        <x:f>IFERROR(INDEX('Material routes'!$C$6:$C$1005,MATCH(U53,'Material routes'!$A$6:$A$1005,0)),"MISSING ID")</x:f>
        <x:v>Consumed input</x:v>
      </x:c>
      <x:c r="F53" s="4" t="str">
        <x:f>IFERROR(INDEX('Material routes'!$E$6:$E$1005,MATCH(V53,'Material routes'!$A$6:$A$1005,0)),"MISSING ID")</x:f>
        <x:v>Coarse Aggregate</x:v>
      </x:c>
      <x:c r="G53" s="4" t="str">
        <x:f>IFERROR(INDEX('Material routes'!$F$6:$F$1005,MATCH(V53,'Material routes'!$A$6:$A$1005,0)),"MISSING ID")</x:f>
        <x:v>Unassigned</x:v>
      </x:c>
      <x:c r="H53" s="4" t="str">
        <x:f>IFERROR(INDEX('Material routes'!$H$6:$H$1005,MATCH(V53,'Material routes'!$A$6:$A$1005,0)),"MISSING ID")</x:f>
        <x:v>Processed material</x:v>
      </x:c>
      <x:c r="I53" s="4" t="str">
        <x:f>IFERROR(INDEX('Material routes'!$G$6:$G$1005,MATCH(V53,'Material routes'!$A$6:$A$1005,0)),"MISSING ID")</x:f>
        <x:v>Resources</x:v>
      </x:c>
      <x:c r="J53" s="4" t="str">
        <x:f>IFERROR(INDEX('Material routes'!$B$6:$B$1005,MATCH(U53,'Material routes'!$A$6:$A$1005,0)),"MISSING ID")</x:f>
        <x:v>lab.ironstone.dry-sort</x:v>
      </x:c>
      <x:c r="K53" s="4" t="str">
        <x:f>IFERROR(INDEX('Crafting recipes'!$C$6:$C$1005,MATCH(J53,'Crafting recipes'!$A$6:$A$1005,0)),"MISSING ID")</x:f>
        <x:v>Existing trial craft</x:v>
      </x:c>
      <x:c r="L53" s="4" t="str">
        <x:f>IFERROR(INDEX('Material routes'!$K$6:$K$1005,MATCH(U53,'Material routes'!$A$6:$A$1005,0)),"MISSING ID")</x:f>
        <x:v>Existing recipe</x:v>
      </x:c>
      <x:c r="M53" s="4" t="str">
        <x:f>IFERROR(INDEX('Material routes'!$M$6:$M$1005,MATCH(U53,'Material routes'!$A$6:$A$1005,0)),"MISSING ID")</x:f>
        <x:v>Authored recipe list</x:v>
      </x:c>
      <x:c r="N53" s="4" t="n">
        <x:f>IF(IFERROR(INDEX('Material routes'!$I$6:$I$1005,MATCH(U53,'Material routes'!$A$6:$A$1005,0)),"MISSING ID")=0,"",IFERROR(INDEX('Material routes'!$I$6:$I$1005,MATCH(U53,'Material routes'!$A$6:$A$1005,0)),"MISSING ID"))</x:f>
        <x:v>4</x:v>
      </x:c>
      <x:c r="O53" s="4" t="str">
        <x:f>IFERROR(INDEX('Material routes'!$J$6:$J$1005,MATCH(U53,'Material routes'!$A$6:$A$1005,0)),"MISSING ID")</x:f>
        <x:v>Item</x:v>
      </x:c>
      <x:c r="P53" s="4" t="n">
        <x:f>IF(IFERROR(INDEX('Material routes'!$I$6:$I$1005,MATCH(V53,'Material routes'!$A$6:$A$1005,0)),"MISSING ID")=0,"",IFERROR(INDEX('Material routes'!$I$6:$I$1005,MATCH(V53,'Material routes'!$A$6:$A$1005,0)),"MISSING ID"))</x:f>
        <x:v>2</x:v>
      </x:c>
      <x:c r="Q53" s="4" t="str">
        <x:f>IFERROR(INDEX('Material routes'!$J$6:$J$1005,MATCH(V53,'Material routes'!$A$6:$A$1005,0)),"MISSING ID")</x:f>
        <x:v>Item</x:v>
      </x:c>
      <x:c r="R53" s="4" t="str">
        <x:f>IF(L53="Withheld","Withheld premise",IF(E53="Tool candidate","Reusable prerequisite",IF(K53="Raw entry preparation","Entry-resource preparation",IF(G53="Not applicable","Finished endpoint",IF(OR(IFERROR(INDEX('Crafting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Tier unresolved</x:v>
      </x:c>
      <x:c r="S53" s="4" t="str">
        <x:f>IFERROR(INDEX('Material routes'!$D$6:$D$1005,MATCH(U53,'Material routes'!$A$6:$A$1005,0)),"MISSING ID")</x:f>
        <x:v>resource.ironstone_ore</x:v>
      </x:c>
      <x:c r="T53" s="4" t="str">
        <x:f>IFERROR(INDEX('Material routes'!$D$6:$D$1005,MATCH(V53,'Material routes'!$A$6:$A$1005,0)),"MISSING ID")</x:f>
        <x:v>lab.ironstone.aggregate</x:v>
      </x:c>
      <x:c r="U53" s="4" t="str">
        <x:v>material.route.002</x:v>
      </x:c>
      <x:c r="V53" s="4" t="str">
        <x:v>source.recipe.line.9</x:v>
      </x:c>
    </x:row>
    <x:row r="54" ht="85" customHeight="1">
      <x:c r="A54" s="4" t="str">
        <x:f>IFERROR(INDEX('Material routes'!$E$6:$E$1005,MATCH(U54,'Material routes'!$A$6:$A$1005,0)),"MISSING ID")</x:f>
        <x:v>Ironstone Ore</x:v>
      </x:c>
      <x:c r="B54" s="4" t="str">
        <x:f>IFERROR(INDEX('Material routes'!$F$6:$F$1005,MATCH(U54,'Material routes'!$A$6:$A$1005,0)),"MISSING ID")</x:f>
        <x:v>T0</x:v>
      </x:c>
      <x:c r="C54" s="4" t="str">
        <x:f>IFERROR(INDEX('Material routes'!$H$6:$H$1005,MATCH(U54,'Material routes'!$A$6:$A$1005,0)),"MISSING ID")</x:f>
        <x:v>Raw material</x:v>
      </x:c>
      <x:c r="D54" s="4" t="str">
        <x:f>IFERROR(INDEX('Material routes'!$G$6:$G$1005,MATCH(U54,'Material routes'!$A$6:$A$1005,0)),"MISSING ID")</x:f>
        <x:v>Resources</x:v>
      </x:c>
      <x:c r="E54" s="4" t="str">
        <x:f>IFERROR(INDEX('Material routes'!$C$6:$C$1005,MATCH(U54,'Material routes'!$A$6:$A$1005,0)),"MISSING ID")</x:f>
        <x:v>Consumed input</x:v>
      </x:c>
      <x:c r="F54" s="4" t="str">
        <x:f>IFERROR(INDEX('Material routes'!$E$6:$E$1005,MATCH(V54,'Material routes'!$A$6:$A$1005,0)),"MISSING ID")</x:f>
        <x:v>Iron-rich Concentrate</x:v>
      </x:c>
      <x:c r="G54" s="4" t="str">
        <x:f>IFERROR(INDEX('Material routes'!$F$6:$F$1005,MATCH(V54,'Material routes'!$A$6:$A$1005,0)),"MISSING ID")</x:f>
        <x:v>T1</x:v>
      </x:c>
      <x:c r="H54" s="4" t="str">
        <x:f>IFERROR(INDEX('Material routes'!$H$6:$H$1005,MATCH(V54,'Material routes'!$A$6:$A$1005,0)),"MISSING ID")</x:f>
        <x:v>Processed material</x:v>
      </x:c>
      <x:c r="I54" s="4" t="str">
        <x:f>IFERROR(INDEX('Material routes'!$G$6:$G$1005,MATCH(V54,'Material routes'!$A$6:$A$1005,0)),"MISSING ID")</x:f>
        <x:v>Resources</x:v>
      </x:c>
      <x:c r="J54" s="4" t="str">
        <x:f>IFERROR(INDEX('Material routes'!$B$6:$B$1005,MATCH(U54,'Material routes'!$A$6:$A$1005,0)),"MISSING ID")</x:f>
        <x:v>lab.ironstone.dry-sort</x:v>
      </x:c>
      <x:c r="K54" s="4" t="str">
        <x:f>IFERROR(INDEX('Crafting recipes'!$C$6:$C$1005,MATCH(J54,'Crafting recipes'!$A$6:$A$1005,0)),"MISSING ID")</x:f>
        <x:v>Existing trial craft</x:v>
      </x:c>
      <x:c r="L54" s="4" t="str">
        <x:f>IFERROR(INDEX('Material routes'!$K$6:$K$1005,MATCH(U54,'Material routes'!$A$6:$A$1005,0)),"MISSING ID")</x:f>
        <x:v>Existing recipe</x:v>
      </x:c>
      <x:c r="M54" s="4" t="str">
        <x:f>IFERROR(INDEX('Material routes'!$M$6:$M$1005,MATCH(U54,'Material routes'!$A$6:$A$1005,0)),"MISSING ID")</x:f>
        <x:v>Authored recipe list</x:v>
      </x:c>
      <x:c r="N54" s="4" t="n">
        <x:f>IF(IFERROR(INDEX('Material routes'!$I$6:$I$1005,MATCH(U54,'Material routes'!$A$6:$A$1005,0)),"MISSING ID")=0,"",IFERROR(INDEX('Material routes'!$I$6:$I$1005,MATCH(U54,'Material routes'!$A$6:$A$1005,0)),"MISSING ID"))</x:f>
        <x:v>4</x:v>
      </x:c>
      <x:c r="O54" s="4" t="str">
        <x:f>IFERROR(INDEX('Material routes'!$J$6:$J$1005,MATCH(U54,'Material routes'!$A$6:$A$1005,0)),"MISSING ID")</x:f>
        <x:v>Item</x:v>
      </x:c>
      <x:c r="P54" s="4" t="n">
        <x:f>IF(IFERROR(INDEX('Material routes'!$I$6:$I$1005,MATCH(V54,'Material routes'!$A$6:$A$1005,0)),"MISSING ID")=0,"",IFERROR(INDEX('Material routes'!$I$6:$I$1005,MATCH(V54,'Material routes'!$A$6:$A$1005,0)),"MISSING ID"))</x:f>
        <x:v>1</x:v>
      </x:c>
      <x:c r="Q54" s="4" t="str">
        <x:f>IFERROR(INDEX('Material routes'!$J$6:$J$1005,MATCH(V54,'Material routes'!$A$6:$A$1005,0)),"MISSING ID")</x:f>
        <x:v>Item</x:v>
      </x:c>
      <x:c r="R54" s="4" t="str">
        <x:f>IF(L54="Withheld","Withheld premise",IF(E54="Tool candidate","Reusable prerequisite",IF(K54="Raw entry preparation","Entry-resource preparation",IF(G54="Not applicable","Finished endpoint",IF(OR(IFERROR(INDEX('Crafting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routes'!$D$6:$D$1005,MATCH(U54,'Material routes'!$A$6:$A$1005,0)),"MISSING ID")</x:f>
        <x:v>resource.ironstone_ore</x:v>
      </x:c>
      <x:c r="T54" s="4" t="str">
        <x:f>IFERROR(INDEX('Material routes'!$D$6:$D$1005,MATCH(V54,'Material routes'!$A$6:$A$1005,0)),"MISSING ID")</x:f>
        <x:v>lab.ironstone.concentrate</x:v>
      </x:c>
      <x:c r="U54" s="4" t="str">
        <x:v>material.route.002</x:v>
      </x:c>
      <x:c r="V54" s="4" t="str">
        <x:v>source.recipe.line.10</x:v>
      </x:c>
    </x:row>
    <x:row r="55" ht="85" customHeight="1">
      <x:c r="A55" s="4" t="str">
        <x:f>IFERROR(INDEX('Material routes'!$E$6:$E$1005,MATCH(U55,'Material routes'!$A$6:$A$1005,0)),"MISSING ID")</x:f>
        <x:v>Ironstone Ore</x:v>
      </x:c>
      <x:c r="B55" s="4" t="str">
        <x:f>IFERROR(INDEX('Material routes'!$F$6:$F$1005,MATCH(U55,'Material routes'!$A$6:$A$1005,0)),"MISSING ID")</x:f>
        <x:v>T0</x:v>
      </x:c>
      <x:c r="C55" s="4" t="str">
        <x:f>IFERROR(INDEX('Material routes'!$H$6:$H$1005,MATCH(U55,'Material routes'!$A$6:$A$1005,0)),"MISSING ID")</x:f>
        <x:v>Raw material</x:v>
      </x:c>
      <x:c r="D55" s="4" t="str">
        <x:f>IFERROR(INDEX('Material routes'!$G$6:$G$1005,MATCH(U55,'Material routes'!$A$6:$A$1005,0)),"MISSING ID")</x:f>
        <x:v>Resources</x:v>
      </x:c>
      <x:c r="E55" s="4" t="str">
        <x:f>IFERROR(INDEX('Material routes'!$C$6:$C$1005,MATCH(U55,'Material routes'!$A$6:$A$1005,0)),"MISSING ID")</x:f>
        <x:v>Consumed input</x:v>
      </x:c>
      <x:c r="F55" s="4" t="str">
        <x:f>IFERROR(INDEX('Material routes'!$E$6:$E$1005,MATCH(V55,'Material routes'!$A$6:$A$1005,0)),"MISSING ID")</x:f>
        <x:v>Mineral Sand</x:v>
      </x:c>
      <x:c r="G55" s="4" t="str">
        <x:f>IFERROR(INDEX('Material routes'!$F$6:$F$1005,MATCH(V55,'Material routes'!$A$6:$A$1005,0)),"MISSING ID")</x:f>
        <x:v>Unassigned</x:v>
      </x:c>
      <x:c r="H55" s="4" t="str">
        <x:f>IFERROR(INDEX('Material routes'!$H$6:$H$1005,MATCH(V55,'Material routes'!$A$6:$A$1005,0)),"MISSING ID")</x:f>
        <x:v>Processed material</x:v>
      </x:c>
      <x:c r="I55" s="4" t="str">
        <x:f>IFERROR(INDEX('Material routes'!$G$6:$G$1005,MATCH(V55,'Material routes'!$A$6:$A$1005,0)),"MISSING ID")</x:f>
        <x:v>Resources</x:v>
      </x:c>
      <x:c r="J55" s="4" t="str">
        <x:f>IFERROR(INDEX('Material routes'!$B$6:$B$1005,MATCH(U55,'Material routes'!$A$6:$A$1005,0)),"MISSING ID")</x:f>
        <x:v>lab.ironstone.dry-sort</x:v>
      </x:c>
      <x:c r="K55" s="4" t="str">
        <x:f>IFERROR(INDEX('Crafting recipes'!$C$6:$C$1005,MATCH(J55,'Crafting recipes'!$A$6:$A$1005,0)),"MISSING ID")</x:f>
        <x:v>Existing trial craft</x:v>
      </x:c>
      <x:c r="L55" s="4" t="str">
        <x:f>IFERROR(INDEX('Material routes'!$K$6:$K$1005,MATCH(U55,'Material routes'!$A$6:$A$1005,0)),"MISSING ID")</x:f>
        <x:v>Existing recipe</x:v>
      </x:c>
      <x:c r="M55" s="4" t="str">
        <x:f>IFERROR(INDEX('Material routes'!$M$6:$M$1005,MATCH(U55,'Material routes'!$A$6:$A$1005,0)),"MISSING ID")</x:f>
        <x:v>Authored recipe list</x:v>
      </x:c>
      <x:c r="N55" s="4" t="n">
        <x:f>IF(IFERROR(INDEX('Material routes'!$I$6:$I$1005,MATCH(U55,'Material routes'!$A$6:$A$1005,0)),"MISSING ID")=0,"",IFERROR(INDEX('Material routes'!$I$6:$I$1005,MATCH(U55,'Material routes'!$A$6:$A$1005,0)),"MISSING ID"))</x:f>
        <x:v>4</x:v>
      </x:c>
      <x:c r="O55" s="4" t="str">
        <x:f>IFERROR(INDEX('Material routes'!$J$6:$J$1005,MATCH(U55,'Material routes'!$A$6:$A$1005,0)),"MISSING ID")</x:f>
        <x:v>Item</x:v>
      </x:c>
      <x:c r="P55" s="4" t="n">
        <x:f>IF(IFERROR(INDEX('Material routes'!$I$6:$I$1005,MATCH(V55,'Material routes'!$A$6:$A$1005,0)),"MISSING ID")=0,"",IFERROR(INDEX('Material routes'!$I$6:$I$1005,MATCH(V55,'Material routes'!$A$6:$A$1005,0)),"MISSING ID"))</x:f>
        <x:v>1</x:v>
      </x:c>
      <x:c r="Q55" s="4" t="str">
        <x:f>IFERROR(INDEX('Material routes'!$J$6:$J$1005,MATCH(V55,'Material routes'!$A$6:$A$1005,0)),"MISSING ID")</x:f>
        <x:v>Item</x:v>
      </x:c>
      <x:c r="R55" s="4" t="str">
        <x:f>IF(L55="Withheld","Withheld premise",IF(E55="Tool candidate","Reusable prerequisite",IF(K55="Raw entry preparation","Entry-resource preparation",IF(G55="Not applicable","Finished endpoint",IF(OR(IFERROR(INDEX('Crafting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Tier unresolved</x:v>
      </x:c>
      <x:c r="S55" s="4" t="str">
        <x:f>IFERROR(INDEX('Material routes'!$D$6:$D$1005,MATCH(U55,'Material routes'!$A$6:$A$1005,0)),"MISSING ID")</x:f>
        <x:v>resource.ironstone_ore</x:v>
      </x:c>
      <x:c r="T55" s="4" t="str">
        <x:f>IFERROR(INDEX('Material routes'!$D$6:$D$1005,MATCH(V55,'Material routes'!$A$6:$A$1005,0)),"MISSING ID")</x:f>
        <x:v>lab.ironstone.sand</x:v>
      </x:c>
      <x:c r="U55" s="4" t="str">
        <x:v>material.route.002</x:v>
      </x:c>
      <x:c r="V55" s="4" t="str">
        <x:v>source.recipe.line.11</x:v>
      </x:c>
    </x:row>
    <x:row r="56" ht="85" customHeight="1">
      <x:c r="A56" s="4" t="str">
        <x:f>IFERROR(INDEX('Material routes'!$E$6:$E$1005,MATCH(U56,'Material routes'!$A$6:$A$1005,0)),"MISSING ID")</x:f>
        <x:v>Ironstone Ore</x:v>
      </x:c>
      <x:c r="B56" s="4" t="str">
        <x:f>IFERROR(INDEX('Material routes'!$F$6:$F$1005,MATCH(U56,'Material routes'!$A$6:$A$1005,0)),"MISSING ID")</x:f>
        <x:v>T0</x:v>
      </x:c>
      <x:c r="C56" s="4" t="str">
        <x:f>IFERROR(INDEX('Material routes'!$H$6:$H$1005,MATCH(U56,'Material routes'!$A$6:$A$1005,0)),"MISSING ID")</x:f>
        <x:v>Raw material</x:v>
      </x:c>
      <x:c r="D56" s="4" t="str">
        <x:f>IFERROR(INDEX('Material routes'!$G$6:$G$1005,MATCH(U56,'Material routes'!$A$6:$A$1005,0)),"MISSING ID")</x:f>
        <x:v>Resources</x:v>
      </x:c>
      <x:c r="E56" s="4" t="str">
        <x:f>IFERROR(INDEX('Material routes'!$C$6:$C$1005,MATCH(U56,'Material routes'!$A$6:$A$1005,0)),"MISSING ID")</x:f>
        <x:v>Consumed input</x:v>
      </x:c>
      <x:c r="F56" s="4" t="str">
        <x:f>IFERROR(INDEX('Material routes'!$E$6:$E$1005,MATCH(V56,'Material routes'!$A$6:$A$1005,0)),"MISSING ID")</x:f>
        <x:v>Mineral Dust</x:v>
      </x:c>
      <x:c r="G56" s="4" t="str">
        <x:f>IFERROR(INDEX('Material routes'!$F$6:$F$1005,MATCH(V56,'Material routes'!$A$6:$A$1005,0)),"MISSING ID")</x:f>
        <x:v>Unassigned</x:v>
      </x:c>
      <x:c r="H56" s="4" t="str">
        <x:f>IFERROR(INDEX('Material routes'!$H$6:$H$1005,MATCH(V56,'Material routes'!$A$6:$A$1005,0)),"MISSING ID")</x:f>
        <x:v>Processed material</x:v>
      </x:c>
      <x:c r="I56" s="4" t="str">
        <x:f>IFERROR(INDEX('Material routes'!$G$6:$G$1005,MATCH(V56,'Material routes'!$A$6:$A$1005,0)),"MISSING ID")</x:f>
        <x:v>Resources</x:v>
      </x:c>
      <x:c r="J56" s="4" t="str">
        <x:f>IFERROR(INDEX('Material routes'!$B$6:$B$1005,MATCH(U56,'Material routes'!$A$6:$A$1005,0)),"MISSING ID")</x:f>
        <x:v>lab.ironstone.dry-sort</x:v>
      </x:c>
      <x:c r="K56" s="4" t="str">
        <x:f>IFERROR(INDEX('Crafting recipes'!$C$6:$C$1005,MATCH(J56,'Crafting recipes'!$A$6:$A$1005,0)),"MISSING ID")</x:f>
        <x:v>Existing trial craft</x:v>
      </x:c>
      <x:c r="L56" s="4" t="str">
        <x:f>IFERROR(INDEX('Material routes'!$K$6:$K$1005,MATCH(U56,'Material routes'!$A$6:$A$1005,0)),"MISSING ID")</x:f>
        <x:v>Existing recipe</x:v>
      </x:c>
      <x:c r="M56" s="4" t="str">
        <x:f>IFERROR(INDEX('Material routes'!$M$6:$M$1005,MATCH(U56,'Material routes'!$A$6:$A$1005,0)),"MISSING ID")</x:f>
        <x:v>Authored recipe list</x:v>
      </x:c>
      <x:c r="N56" s="4" t="n">
        <x:f>IF(IFERROR(INDEX('Material routes'!$I$6:$I$1005,MATCH(U56,'Material routes'!$A$6:$A$1005,0)),"MISSING ID")=0,"",IFERROR(INDEX('Material routes'!$I$6:$I$1005,MATCH(U56,'Material routes'!$A$6:$A$1005,0)),"MISSING ID"))</x:f>
        <x:v>4</x:v>
      </x:c>
      <x:c r="O56" s="4" t="str">
        <x:f>IFERROR(INDEX('Material routes'!$J$6:$J$1005,MATCH(U56,'Material routes'!$A$6:$A$1005,0)),"MISSING ID")</x:f>
        <x:v>Item</x:v>
      </x:c>
      <x:c r="P56" s="4" t="n">
        <x:f>IF(IFERROR(INDEX('Material routes'!$I$6:$I$1005,MATCH(V56,'Material routes'!$A$6:$A$1005,0)),"MISSING ID")=0,"",IFERROR(INDEX('Material routes'!$I$6:$I$1005,MATCH(V56,'Material routes'!$A$6:$A$1005,0)),"MISSING ID"))</x:f>
        <x:v>2</x:v>
      </x:c>
      <x:c r="Q56" s="4" t="str">
        <x:f>IFERROR(INDEX('Material routes'!$J$6:$J$1005,MATCH(V56,'Material routes'!$A$6:$A$1005,0)),"MISSING ID")</x:f>
        <x:v>Item</x:v>
      </x:c>
      <x:c r="R56" s="4" t="str">
        <x:f>IF(L56="Withheld","Withheld premise",IF(E56="Tool candidate","Reusable prerequisite",IF(K56="Raw entry preparation","Entry-resource preparation",IF(G56="Not applicable","Finished endpoint",IF(OR(IFERROR(INDEX('Crafting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Tier unresolved</x:v>
      </x:c>
      <x:c r="S56" s="4" t="str">
        <x:f>IFERROR(INDEX('Material routes'!$D$6:$D$1005,MATCH(U56,'Material routes'!$A$6:$A$1005,0)),"MISSING ID")</x:f>
        <x:v>resource.ironstone_ore</x:v>
      </x:c>
      <x:c r="T56" s="4" t="str">
        <x:f>IFERROR(INDEX('Material routes'!$D$6:$D$1005,MATCH(V56,'Material routes'!$A$6:$A$1005,0)),"MISSING ID")</x:f>
        <x:v>lab.ironstone.mineral_dust</x:v>
      </x:c>
      <x:c r="U56" s="4" t="str">
        <x:v>material.route.002</x:v>
      </x:c>
      <x:c r="V56" s="4" t="str">
        <x:v>source.recipe.line.12</x:v>
      </x:c>
    </x:row>
    <x:row r="57" ht="85" customHeight="1">
      <x:c r="A57" s="4" t="str">
        <x:f>IFERROR(INDEX('Material routes'!$E$6:$E$1005,MATCH(U57,'Material routes'!$A$6:$A$1005,0)),"MISSING ID")</x:f>
        <x:v>Empty Arc Battery</x:v>
      </x:c>
      <x:c r="B57" s="4" t="str">
        <x:f>IFERROR(INDEX('Material routes'!$F$6:$F$1005,MATCH(U57,'Material routes'!$A$6:$A$1005,0)),"MISSING ID")</x:f>
        <x:v>Not applicable</x:v>
      </x:c>
      <x:c r="C57" s="4" t="str">
        <x:f>IFERROR(INDEX('Material routes'!$H$6:$H$1005,MATCH(U57,'Material routes'!$A$6:$A$1005,0)),"MISSING ID")</x:f>
        <x:v>Energy storage</x:v>
      </x:c>
      <x:c r="D57" s="4" t="str">
        <x:f>IFERROR(INDEX('Material routes'!$G$6:$G$1005,MATCH(U57,'Material routes'!$A$6:$A$1005,0)),"MISSING ID")</x:f>
        <x:v>Field supplies</x:v>
      </x:c>
      <x:c r="E57" s="4" t="str">
        <x:f>IFERROR(INDEX('Material routes'!$C$6:$C$1005,MATCH(U57,'Material routes'!$A$6:$A$1005,0)),"MISSING ID")</x:f>
        <x:v>Transform input</x:v>
      </x:c>
      <x:c r="F57" s="4" t="str">
        <x:f>IFERROR(INDEX('Material routes'!$E$6:$E$1005,MATCH(V57,'Material routes'!$A$6:$A$1005,0)),"MISSING ID")</x:f>
        <x:v>Charged Arc Battery</x:v>
      </x:c>
      <x:c r="G57" s="4" t="str">
        <x:f>IFERROR(INDEX('Material routes'!$F$6:$F$1005,MATCH(V57,'Material routes'!$A$6:$A$1005,0)),"MISSING ID")</x:f>
        <x:v>Not applicable</x:v>
      </x:c>
      <x:c r="H57" s="4" t="str">
        <x:f>IFERROR(INDEX('Material routes'!$H$6:$H$1005,MATCH(V57,'Material routes'!$A$6:$A$1005,0)),"MISSING ID")</x:f>
        <x:v>Energy storage</x:v>
      </x:c>
      <x:c r="I57" s="4" t="str">
        <x:f>IFERROR(INDEX('Material routes'!$G$6:$G$1005,MATCH(V57,'Material routes'!$A$6:$A$1005,0)),"MISSING ID")</x:f>
        <x:v>Field supplies</x:v>
      </x:c>
      <x:c r="J57" s="4" t="str">
        <x:f>IFERROR(INDEX('Material routes'!$B$6:$B$1005,MATCH(U57,'Material routes'!$A$6:$A$1005,0)),"MISSING ID")</x:f>
        <x:v>reference.refinery-charge</x:v>
      </x:c>
      <x:c r="K57" s="4" t="str">
        <x:f>IFERROR(INDEX('Crafting recipes'!$C$6:$C$1005,MATCH(J57,'Crafting recipes'!$A$6:$A$1005,0)),"MISSING ID")</x:f>
        <x:v>Contained-content refill</x:v>
      </x:c>
      <x:c r="L57" s="4" t="str">
        <x:f>IFERROR(INDEX('Material routes'!$K$6:$K$1005,MATCH(U57,'Material routes'!$A$6:$A$1005,0)),"MISSING ID")</x:f>
        <x:v>Existing process reference</x:v>
      </x:c>
      <x:c r="M57" s="4" t="str">
        <x:f>IFERROR(INDEX('Material routes'!$M$6:$M$1005,MATCH(U57,'Material routes'!$A$6:$A$1005,0)),"MISSING ID")</x:f>
        <x:v>Documented process reference</x:v>
      </x:c>
      <x:c r="N57" s="4" t="n">
        <x:f>IF(IFERROR(INDEX('Material routes'!$I$6:$I$1005,MATCH(U57,'Material routes'!$A$6:$A$1005,0)),"MISSING ID")=0,"",IFERROR(INDEX('Material routes'!$I$6:$I$1005,MATCH(U57,'Material routes'!$A$6:$A$1005,0)),"MISSING ID"))</x:f>
        <x:v>1</x:v>
      </x:c>
      <x:c r="O57" s="4" t="str">
        <x:f>IFERROR(INDEX('Material routes'!$J$6:$J$1005,MATCH(U57,'Material routes'!$A$6:$A$1005,0)),"MISSING ID")</x:f>
        <x:v>Item</x:v>
      </x:c>
      <x:c r="P57" s="4" t="n">
        <x:f>IF(IFERROR(INDEX('Material routes'!$I$6:$I$1005,MATCH(V57,'Material routes'!$A$6:$A$1005,0)),"MISSING ID")=0,"",IFERROR(INDEX('Material routes'!$I$6:$I$1005,MATCH(V57,'Material routes'!$A$6:$A$1005,0)),"MISSING ID"))</x:f>
        <x:v>1</x:v>
      </x:c>
      <x:c r="Q57" s="4" t="str">
        <x:f>IFERROR(INDEX('Material routes'!$J$6:$J$1005,MATCH(V57,'Material routes'!$A$6:$A$1005,0)),"MISSING ID")</x:f>
        <x:v>Item</x:v>
      </x:c>
      <x:c r="R57" s="4" t="str">
        <x:f>IF(L57="Withheld","Withheld premise",IF(E57="Tool candidate","Reusable prerequisite",IF(K57="Raw entry preparation","Entry-resource preparation",IF(G57="Not applicable","Finished endpoint",IF(OR(IFERROR(INDEX('Crafting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routes'!$D$6:$D$1005,MATCH(U57,'Material routes'!$A$6:$A$1005,0)),"MISSING ID")</x:f>
        <x:v>equipment.arc_battery_empty</x:v>
      </x:c>
      <x:c r="T57" s="4" t="str">
        <x:f>IFERROR(INDEX('Material routes'!$D$6:$D$1005,MATCH(V57,'Material routes'!$A$6:$A$1005,0)),"MISSING ID")</x:f>
        <x:v>equipment.arc_battery_charged</x:v>
      </x:c>
      <x:c r="U57" s="4" t="str">
        <x:v>source.recipe.line.13</x:v>
      </x:c>
      <x:c r="V57" s="4" t="str">
        <x:v>source.recipe.line.15</x:v>
      </x:c>
    </x:row>
    <x:row r="58" ht="85" customHeight="1">
      <x:c r="A58" s="4" t="str">
        <x:f>IFERROR(INDEX('Material routes'!$E$6:$E$1005,MATCH(U58,'Material routes'!$A$6:$A$1005,0)),"MISSING ID")</x:f>
        <x:v>Airborne Dust</x:v>
      </x:c>
      <x:c r="B58" s="4" t="str">
        <x:f>IFERROR(INDEX('Material routes'!$F$6:$F$1005,MATCH(U58,'Material routes'!$A$6:$A$1005,0)),"MISSING ID")</x:f>
        <x:v>T0</x:v>
      </x:c>
      <x:c r="C58" s="4" t="str">
        <x:f>IFERROR(INDEX('Material routes'!$H$6:$H$1005,MATCH(U58,'Material routes'!$A$6:$A$1005,0)),"MISSING ID")</x:f>
        <x:v>Raw material</x:v>
      </x:c>
      <x:c r="D58" s="4" t="str">
        <x:f>IFERROR(INDEX('Material routes'!$G$6:$G$1005,MATCH(U58,'Material routes'!$A$6:$A$1005,0)),"MISSING ID")</x:f>
        <x:v>Resources</x:v>
      </x:c>
      <x:c r="E58" s="4" t="str">
        <x:f>IFERROR(INDEX('Material routes'!$C$6:$C$1005,MATCH(U58,'Material routes'!$A$6:$A$1005,0)),"MISSING ID")</x:f>
        <x:v>Contained input</x:v>
      </x:c>
      <x:c r="F58" s="4" t="str">
        <x:f>IFERROR(INDEX('Material routes'!$E$6:$E$1005,MATCH(V58,'Material routes'!$A$6:$A$1005,0)),"MISSING ID")</x:f>
        <x:v>Charged Arc Battery</x:v>
      </x:c>
      <x:c r="G58" s="4" t="str">
        <x:f>IFERROR(INDEX('Material routes'!$F$6:$F$1005,MATCH(V58,'Material routes'!$A$6:$A$1005,0)),"MISSING ID")</x:f>
        <x:v>Not applicable</x:v>
      </x:c>
      <x:c r="H58" s="4" t="str">
        <x:f>IFERROR(INDEX('Material routes'!$H$6:$H$1005,MATCH(V58,'Material routes'!$A$6:$A$1005,0)),"MISSING ID")</x:f>
        <x:v>Energy storage</x:v>
      </x:c>
      <x:c r="I58" s="4" t="str">
        <x:f>IFERROR(INDEX('Material routes'!$G$6:$G$1005,MATCH(V58,'Material routes'!$A$6:$A$1005,0)),"MISSING ID")</x:f>
        <x:v>Field supplies</x:v>
      </x:c>
      <x:c r="J58" s="4" t="str">
        <x:f>IFERROR(INDEX('Material routes'!$B$6:$B$1005,MATCH(U58,'Material routes'!$A$6:$A$1005,0)),"MISSING ID")</x:f>
        <x:v>reference.refinery-charge</x:v>
      </x:c>
      <x:c r="K58" s="4" t="str">
        <x:f>IFERROR(INDEX('Crafting recipes'!$C$6:$C$1005,MATCH(J58,'Crafting recipes'!$A$6:$A$1005,0)),"MISSING ID")</x:f>
        <x:v>Contained-content refill</x:v>
      </x:c>
      <x:c r="L58" s="4" t="str">
        <x:f>IFERROR(INDEX('Material routes'!$K$6:$K$1005,MATCH(U58,'Material routes'!$A$6:$A$1005,0)),"MISSING ID")</x:f>
        <x:v>Existing process reference</x:v>
      </x:c>
      <x:c r="M58" s="4" t="str">
        <x:f>IFERROR(INDEX('Material routes'!$M$6:$M$1005,MATCH(U58,'Material routes'!$A$6:$A$1005,0)),"MISSING ID")</x:f>
        <x:v>Documented process reference</x:v>
      </x:c>
      <x:c r="N58" s="4" t="n">
        <x:f>IF(IFERROR(INDEX('Material routes'!$I$6:$I$1005,MATCH(U58,'Material routes'!$A$6:$A$1005,0)),"MISSING ID")=0,"",IFERROR(INDEX('Material routes'!$I$6:$I$1005,MATCH(U58,'Material routes'!$A$6:$A$1005,0)),"MISSING ID"))</x:f>
        <x:v>10</x:v>
      </x:c>
      <x:c r="O58" s="4" t="str">
        <x:f>IFERROR(INDEX('Material routes'!$J$6:$J$1005,MATCH(U58,'Material routes'!$A$6:$A$1005,0)),"MISSING ID")</x:f>
        <x:v>Contained game units</x:v>
      </x:c>
      <x:c r="P58" s="4" t="n">
        <x:f>IF(IFERROR(INDEX('Material routes'!$I$6:$I$1005,MATCH(V58,'Material routes'!$A$6:$A$1005,0)),"MISSING ID")=0,"",IFERROR(INDEX('Material routes'!$I$6:$I$1005,MATCH(V58,'Material routes'!$A$6:$A$1005,0)),"MISSING ID"))</x:f>
        <x:v>1</x:v>
      </x:c>
      <x:c r="Q58" s="4" t="str">
        <x:f>IFERROR(INDEX('Material routes'!$J$6:$J$1005,MATCH(V58,'Material routes'!$A$6:$A$1005,0)),"MISSING ID")</x:f>
        <x:v>Item</x:v>
      </x:c>
      <x:c r="R58" s="4" t="str">
        <x:f>IF(L58="Withheld","Withheld premise",IF(E58="Tool candidate","Reusable prerequisite",IF(K58="Raw entry preparation","Entry-resource preparation",IF(G58="Not applicable","Finished endpoint",IF(OR(IFERROR(INDEX('Crafting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routes'!$D$6:$D$1005,MATCH(U58,'Material routes'!$A$6:$A$1005,0)),"MISSING ID")</x:f>
        <x:v>resource.airborne_dust</x:v>
      </x:c>
      <x:c r="T58" s="4" t="str">
        <x:f>IFERROR(INDEX('Material routes'!$D$6:$D$1005,MATCH(V58,'Material routes'!$A$6:$A$1005,0)),"MISSING ID")</x:f>
        <x:v>equipment.arc_battery_charged</x:v>
      </x:c>
      <x:c r="U58" s="4" t="str">
        <x:v>source.recipe.line.14</x:v>
      </x:c>
      <x:c r="V58" s="4" t="str">
        <x:v>source.recipe.line.15</x:v>
      </x:c>
    </x:row>
    <x:row r="59" ht="85" customHeight="1">
      <x:c r="A59" s="4" t="str">
        <x:f>IFERROR(INDEX('Material routes'!$E$6:$E$1005,MATCH(U59,'Material routes'!$A$6:$A$1005,0)),"MISSING ID")</x:f>
        <x:v>Iron-rich mineral feed</x:v>
      </x:c>
      <x:c r="B59" s="4" t="str">
        <x:f>IFERROR(INDEX('Material routes'!$F$6:$F$1005,MATCH(U59,'Material routes'!$A$6:$A$1005,0)),"MISSING ID")</x:f>
        <x:v>T1</x:v>
      </x:c>
      <x:c r="C59" s="4" t="str">
        <x:f>IFERROR(INDEX('Material routes'!$H$6:$H$1005,MATCH(U59,'Material routes'!$A$6:$A$1005,0)),"MISSING ID")</x:f>
        <x:v>Processed material</x:v>
      </x:c>
      <x:c r="D59" s="4" t="str">
        <x:f>IFERROR(INDEX('Material routes'!$G$6:$G$1005,MATCH(U59,'Material routes'!$A$6:$A$1005,0)),"MISSING ID")</x:f>
        <x:v>Resources</x:v>
      </x:c>
      <x:c r="E59" s="4" t="str">
        <x:f>IFERROR(INDEX('Material routes'!$C$6:$C$1005,MATCH(U59,'Material routes'!$A$6:$A$1005,0)),"MISSING ID")</x:f>
        <x:v>Ingredient candidate</x:v>
      </x:c>
      <x:c r="F59" s="4" t="str">
        <x:f>IFERROR(INDEX('Material routes'!$E$6:$E$1005,MATCH(V59,'Material routes'!$A$6:$A$1005,0)),"MISSING ID")</x:f>
        <x:v>Worked iron stock</x:v>
      </x:c>
      <x:c r="G59" s="4" t="str">
        <x:f>IFERROR(INDEX('Material routes'!$F$6:$F$1005,MATCH(V59,'Material routes'!$A$6:$A$1005,0)),"MISSING ID")</x:f>
        <x:v>T2</x:v>
      </x:c>
      <x:c r="H59" s="4" t="str">
        <x:f>IFERROR(INDEX('Material routes'!$H$6:$H$1005,MATCH(V59,'Material routes'!$A$6:$A$1005,0)),"MISSING ID")</x:f>
        <x:v>Processed material</x:v>
      </x:c>
      <x:c r="I59" s="4" t="str">
        <x:f>IFERROR(INDEX('Material routes'!$G$6:$G$1005,MATCH(V59,'Material routes'!$A$6:$A$1005,0)),"MISSING ID")</x:f>
        <x:v>Resources</x:v>
      </x:c>
      <x:c r="J59" s="4" t="str">
        <x:f>IFERROR(INDEX('Material routes'!$B$6:$B$1005,MATCH(U59,'Material routes'!$A$6:$A$1005,0)),"MISSING ID")</x:f>
        <x:v>outline.resource_chain.7</x:v>
      </x:c>
      <x:c r="K59" s="4" t="str">
        <x:f>IFERROR(INDEX('Crafting recipes'!$C$6:$C$1005,MATCH(J59,'Crafting recipes'!$A$6:$A$1005,0)),"MISSING ID")</x:f>
        <x:v>Material refinement</x:v>
      </x:c>
      <x:c r="L59" s="4" t="str">
        <x:f>IFERROR(INDEX('Material routes'!$K$6:$K$1005,MATCH(U59,'Material routes'!$A$6:$A$1005,0)),"MISSING ID")</x:f>
        <x:v>Concept outline</x:v>
      </x:c>
      <x:c r="M59" s="4" t="str">
        <x:f>IFERROR(INDEX('Material routes'!$M$6:$M$1005,MATCH(U59,'Material routes'!$A$6:$A$1005,0)),"MISSING ID")</x:f>
        <x:v>Concept outline</x:v>
      </x:c>
      <x:c r="N59" s="4" t="str">
        <x:f>IF(IFERROR(INDEX('Material routes'!$I$6:$I$1005,MATCH(U59,'Material routes'!$A$6:$A$1005,0)),"MISSING ID")=0,"",IFERROR(INDEX('Material routes'!$I$6:$I$1005,MATCH(U59,'Material routes'!$A$6:$A$1005,0)),"MISSING ID"))</x:f>
      </x:c>
      <x:c r="O59" s="4" t="str">
        <x:f>IFERROR(INDEX('Material routes'!$J$6:$J$1005,MATCH(U59,'Material routes'!$A$6:$A$1005,0)),"MISSING ID")</x:f>
        <x:v>Unspecified</x:v>
      </x:c>
      <x:c r="P59" s="4" t="str">
        <x:f>IF(IFERROR(INDEX('Material routes'!$I$6:$I$1005,MATCH(V59,'Material routes'!$A$6:$A$1005,0)),"MISSING ID")=0,"",IFERROR(INDEX('Material routes'!$I$6:$I$1005,MATCH(V59,'Material routes'!$A$6:$A$1005,0)),"MISSING ID"))</x:f>
      </x:c>
      <x:c r="Q59" s="4" t="str">
        <x:f>IFERROR(INDEX('Material routes'!$J$6:$J$1005,MATCH(V59,'Material routes'!$A$6:$A$1005,0)),"MISSING ID")</x:f>
        <x:v>Unspecified</x:v>
      </x:c>
      <x:c r="R59" s="4" t="str">
        <x:f>IF(L59="Withheld","Withheld premise",IF(E59="Tool candidate","Reusable prerequisite",IF(K59="Raw entry preparation","Entry-resource preparation",IF(G59="Not applicable","Finished endpoint",IF(OR(IFERROR(INDEX('Crafting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routes'!$D$6:$D$1005,MATCH(U59,'Material routes'!$A$6:$A$1005,0)),"MISSING ID")</x:f>
        <x:v>proposal.natural.iron_feed</x:v>
      </x:c>
      <x:c r="T59" s="4" t="str">
        <x:f>IFERROR(INDEX('Material routes'!$D$6:$D$1005,MATCH(V59,'Material routes'!$A$6:$A$1005,0)),"MISSING ID")</x:f>
        <x:v>proposal.natural.iron_stock</x:v>
      </x:c>
      <x:c r="U59" s="4" t="str">
        <x:v>outline.input.7</x:v>
      </x:c>
      <x:c r="V59" s="4" t="str">
        <x:v>outline.output.7</x:v>
      </x:c>
    </x:row>
    <x:row r="60" ht="85" customHeight="1">
      <x:c r="A60" s="4" t="str">
        <x:f>IFERROR(INDEX('Material routes'!$E$6:$E$1005,MATCH(U60,'Material routes'!$A$6:$A$1005,0)),"MISSING ID")</x:f>
        <x:v>Silica-rich grit</x:v>
      </x:c>
      <x:c r="B60" s="4" t="str">
        <x:f>IFERROR(INDEX('Material routes'!$F$6:$F$1005,MATCH(U60,'Material routes'!$A$6:$A$1005,0)),"MISSING ID")</x:f>
        <x:v>T0</x:v>
      </x:c>
      <x:c r="C60" s="4" t="str">
        <x:f>IFERROR(INDEX('Material routes'!$H$6:$H$1005,MATCH(U60,'Material routes'!$A$6:$A$1005,0)),"MISSING ID")</x:f>
        <x:v>Raw material</x:v>
      </x:c>
      <x:c r="D60" s="4" t="str">
        <x:f>IFERROR(INDEX('Material routes'!$G$6:$G$1005,MATCH(U60,'Material routes'!$A$6:$A$1005,0)),"MISSING ID")</x:f>
        <x:v>Resources</x:v>
      </x:c>
      <x:c r="E60" s="4" t="str">
        <x:f>IFERROR(INDEX('Material routes'!$C$6:$C$1005,MATCH(U60,'Material routes'!$A$6:$A$1005,0)),"MISSING ID")</x:f>
        <x:v>Ingredient candidate</x:v>
      </x:c>
      <x:c r="F60" s="4" t="str">
        <x:f>IFERROR(INDEX('Material routes'!$E$6:$E$1005,MATCH(V60,'Material routes'!$A$6:$A$1005,0)),"MISSING ID")</x:f>
        <x:v>Graded abrasive grit</x:v>
      </x:c>
      <x:c r="G60" s="4" t="str">
        <x:f>IFERROR(INDEX('Material routes'!$F$6:$F$1005,MATCH(V60,'Material routes'!$A$6:$A$1005,0)),"MISSING ID")</x:f>
        <x:v>T1</x:v>
      </x:c>
      <x:c r="H60" s="4" t="str">
        <x:f>IFERROR(INDEX('Material routes'!$H$6:$H$1005,MATCH(V60,'Material routes'!$A$6:$A$1005,0)),"MISSING ID")</x:f>
        <x:v>Processed material</x:v>
      </x:c>
      <x:c r="I60" s="4" t="str">
        <x:f>IFERROR(INDEX('Material routes'!$G$6:$G$1005,MATCH(V60,'Material routes'!$A$6:$A$1005,0)),"MISSING ID")</x:f>
        <x:v>Resources</x:v>
      </x:c>
      <x:c r="J60" s="4" t="str">
        <x:f>IFERROR(INDEX('Material routes'!$B$6:$B$1005,MATCH(U60,'Material routes'!$A$6:$A$1005,0)),"MISSING ID")</x:f>
        <x:v>outline.resource_chain.8</x:v>
      </x:c>
      <x:c r="K60" s="4" t="str">
        <x:f>IFERROR(INDEX('Crafting recipes'!$C$6:$C$1005,MATCH(J60,'Crafting recipes'!$A$6:$A$1005,0)),"MISSING ID")</x:f>
        <x:v>Material refinement</x:v>
      </x:c>
      <x:c r="L60" s="4" t="str">
        <x:f>IFERROR(INDEX('Material routes'!$K$6:$K$1005,MATCH(U60,'Material routes'!$A$6:$A$1005,0)),"MISSING ID")</x:f>
        <x:v>Concept outline</x:v>
      </x:c>
      <x:c r="M60" s="4" t="str">
        <x:f>IFERROR(INDEX('Material routes'!$M$6:$M$1005,MATCH(U60,'Material routes'!$A$6:$A$1005,0)),"MISSING ID")</x:f>
        <x:v>Concept outline</x:v>
      </x:c>
      <x:c r="N60" s="4" t="str">
        <x:f>IF(IFERROR(INDEX('Material routes'!$I$6:$I$1005,MATCH(U60,'Material routes'!$A$6:$A$1005,0)),"MISSING ID")=0,"",IFERROR(INDEX('Material routes'!$I$6:$I$1005,MATCH(U60,'Material routes'!$A$6:$A$1005,0)),"MISSING ID"))</x:f>
      </x:c>
      <x:c r="O60" s="4" t="str">
        <x:f>IFERROR(INDEX('Material routes'!$J$6:$J$1005,MATCH(U60,'Material routes'!$A$6:$A$1005,0)),"MISSING ID")</x:f>
        <x:v>Unspecified</x:v>
      </x:c>
      <x:c r="P60" s="4" t="str">
        <x:f>IF(IFERROR(INDEX('Material routes'!$I$6:$I$1005,MATCH(V60,'Material routes'!$A$6:$A$1005,0)),"MISSING ID")=0,"",IFERROR(INDEX('Material routes'!$I$6:$I$1005,MATCH(V60,'Material routes'!$A$6:$A$1005,0)),"MISSING ID"))</x:f>
      </x:c>
      <x:c r="Q60" s="4" t="str">
        <x:f>IFERROR(INDEX('Material routes'!$J$6:$J$1005,MATCH(V60,'Material routes'!$A$6:$A$1005,0)),"MISSING ID")</x:f>
        <x:v>Unspecified</x:v>
      </x:c>
      <x:c r="R60" s="4" t="str">
        <x:f>IF(L60="Withheld","Withheld premise",IF(E60="Tool candidate","Reusable prerequisite",IF(K60="Raw entry preparation","Entry-resource preparation",IF(G60="Not applicable","Finished endpoint",IF(OR(IFERROR(INDEX('Crafting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routes'!$D$6:$D$1005,MATCH(U60,'Material routes'!$A$6:$A$1005,0)),"MISSING ID")</x:f>
        <x:v>proposal.natural.silica</x:v>
      </x:c>
      <x:c r="T60" s="4" t="str">
        <x:f>IFERROR(INDEX('Material routes'!$D$6:$D$1005,MATCH(V60,'Material routes'!$A$6:$A$1005,0)),"MISSING ID")</x:f>
        <x:v>proposal.natural.abrasive</x:v>
      </x:c>
      <x:c r="U60" s="4" t="str">
        <x:v>outline.input.8</x:v>
      </x:c>
      <x:c r="V60" s="4" t="str">
        <x:v>outline.output.8</x:v>
      </x:c>
    </x:row>
    <x:row r="61" ht="85" customHeight="1">
      <x:c r="A61" s="4" t="str">
        <x:f>IFERROR(INDEX('Material routes'!$E$6:$E$1005,MATCH(U61,'Material routes'!$A$6:$A$1005,0)),"MISSING ID")</x:f>
        <x:v>Alumina-rich rock</x:v>
      </x:c>
      <x:c r="B61" s="4" t="str">
        <x:f>IFERROR(INDEX('Material routes'!$F$6:$F$1005,MATCH(U61,'Material routes'!$A$6:$A$1005,0)),"MISSING ID")</x:f>
        <x:v>T0</x:v>
      </x:c>
      <x:c r="C61" s="4" t="str">
        <x:f>IFERROR(INDEX('Material routes'!$H$6:$H$1005,MATCH(U61,'Material routes'!$A$6:$A$1005,0)),"MISSING ID")</x:f>
        <x:v>Raw material</x:v>
      </x:c>
      <x:c r="D61" s="4" t="str">
        <x:f>IFERROR(INDEX('Material routes'!$G$6:$G$1005,MATCH(U61,'Material routes'!$A$6:$A$1005,0)),"MISSING ID")</x:f>
        <x:v>Resources</x:v>
      </x:c>
      <x:c r="E61" s="4" t="str">
        <x:f>IFERROR(INDEX('Material routes'!$C$6:$C$1005,MATCH(U61,'Material routes'!$A$6:$A$1005,0)),"MISSING ID")</x:f>
        <x:v>Ingredient candidate</x:v>
      </x:c>
      <x:c r="F61" s="4" t="str">
        <x:f>IFERROR(INDEX('Material routes'!$E$6:$E$1005,MATCH(V61,'Material routes'!$A$6:$A$1005,0)),"MISSING ID")</x:f>
        <x:v>Insulating ceramic blanks</x:v>
      </x:c>
      <x:c r="G61" s="4" t="str">
        <x:f>IFERROR(INDEX('Material routes'!$F$6:$F$1005,MATCH(V61,'Material routes'!$A$6:$A$1005,0)),"MISSING ID")</x:f>
        <x:v>T2</x:v>
      </x:c>
      <x:c r="H61" s="4" t="str">
        <x:f>IFERROR(INDEX('Material routes'!$H$6:$H$1005,MATCH(V61,'Material routes'!$A$6:$A$1005,0)),"MISSING ID")</x:f>
        <x:v>Processed material</x:v>
      </x:c>
      <x:c r="I61" s="4" t="str">
        <x:f>IFERROR(INDEX('Material routes'!$G$6:$G$1005,MATCH(V61,'Material routes'!$A$6:$A$1005,0)),"MISSING ID")</x:f>
        <x:v>Resources</x:v>
      </x:c>
      <x:c r="J61" s="4" t="str">
        <x:f>IFERROR(INDEX('Material routes'!$B$6:$B$1005,MATCH(U61,'Material routes'!$A$6:$A$1005,0)),"MISSING ID")</x:f>
        <x:v>outline.resource_chain.9</x:v>
      </x:c>
      <x:c r="K61" s="4" t="str">
        <x:f>IFERROR(INDEX('Crafting recipes'!$C$6:$C$1005,MATCH(J61,'Crafting recipes'!$A$6:$A$1005,0)),"MISSING ID")</x:f>
        <x:v>Material refinement</x:v>
      </x:c>
      <x:c r="L61" s="4" t="str">
        <x:f>IFERROR(INDEX('Material routes'!$K$6:$K$1005,MATCH(U61,'Material routes'!$A$6:$A$1005,0)),"MISSING ID")</x:f>
        <x:v>Needs tier review</x:v>
      </x:c>
      <x:c r="M61" s="4" t="str">
        <x:f>IFERROR(INDEX('Material routes'!$M$6:$M$1005,MATCH(U61,'Material routes'!$A$6:$A$1005,0)),"MISSING ID")</x:f>
        <x:v>Concept outline</x:v>
      </x:c>
      <x:c r="N61" s="4" t="str">
        <x:f>IF(IFERROR(INDEX('Material routes'!$I$6:$I$1005,MATCH(U61,'Material routes'!$A$6:$A$1005,0)),"MISSING ID")=0,"",IFERROR(INDEX('Material routes'!$I$6:$I$1005,MATCH(U61,'Material routes'!$A$6:$A$1005,0)),"MISSING ID"))</x:f>
      </x:c>
      <x:c r="O61" s="4" t="str">
        <x:f>IFERROR(INDEX('Material routes'!$J$6:$J$1005,MATCH(U61,'Material routes'!$A$6:$A$1005,0)),"MISSING ID")</x:f>
        <x:v>Unspecified</x:v>
      </x:c>
      <x:c r="P61" s="4" t="str">
        <x:f>IF(IFERROR(INDEX('Material routes'!$I$6:$I$1005,MATCH(V61,'Material routes'!$A$6:$A$1005,0)),"MISSING ID")=0,"",IFERROR(INDEX('Material routes'!$I$6:$I$1005,MATCH(V61,'Material routes'!$A$6:$A$1005,0)),"MISSING ID"))</x:f>
      </x:c>
      <x:c r="Q61" s="4" t="str">
        <x:f>IFERROR(INDEX('Material routes'!$J$6:$J$1005,MATCH(V61,'Material routes'!$A$6:$A$1005,0)),"MISSING ID")</x:f>
        <x:v>Unspecified</x:v>
      </x:c>
      <x:c r="R61" s="4" t="str">
        <x:f>IF(L61="Withheld","Withheld premise",IF(E61="Tool candidate","Reusable prerequisite",IF(K61="Raw entry preparation","Entry-resource preparation",IF(G61="Not applicable","Finished endpoint",IF(OR(IFERROR(INDEX('Crafting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routes'!$D$6:$D$1005,MATCH(U61,'Material routes'!$A$6:$A$1005,0)),"MISSING ID")</x:f>
        <x:v>proposal.natural.alumina</x:v>
      </x:c>
      <x:c r="T61" s="4" t="str">
        <x:f>IFERROR(INDEX('Material routes'!$D$6:$D$1005,MATCH(V61,'Material routes'!$A$6:$A$1005,0)),"MISSING ID")</x:f>
        <x:v>proposal.natural.ceramic</x:v>
      </x:c>
      <x:c r="U61" s="4" t="str">
        <x:v>outline.input.9</x:v>
      </x:c>
      <x:c r="V61" s="4" t="str">
        <x:v>outline.output.9</x:v>
      </x:c>
    </x:row>
    <x:row r="62" ht="85" customHeight="1">
      <x:c r="A62" s="4" t="str">
        <x:f>IFERROR(INDEX('Material routes'!$E$6:$E$1005,MATCH(U62,'Material routes'!$A$6:$A$1005,0)),"MISSING ID")</x:f>
        <x:v>Shell husks / shed plates</x:v>
      </x:c>
      <x:c r="B62" s="4" t="str">
        <x:f>IFERROR(INDEX('Material routes'!$F$6:$F$1005,MATCH(U62,'Material routes'!$A$6:$A$1005,0)),"MISSING ID")</x:f>
        <x:v>T0</x:v>
      </x:c>
      <x:c r="C62" s="4" t="str">
        <x:f>IFERROR(INDEX('Material routes'!$H$6:$H$1005,MATCH(U62,'Material routes'!$A$6:$A$1005,0)),"MISSING ID")</x:f>
        <x:v>Raw material</x:v>
      </x:c>
      <x:c r="D62" s="4" t="str">
        <x:f>IFERROR(INDEX('Material routes'!$G$6:$G$1005,MATCH(U62,'Material routes'!$A$6:$A$1005,0)),"MISSING ID")</x:f>
        <x:v>Resources</x:v>
      </x:c>
      <x:c r="E62" s="4" t="str">
        <x:f>IFERROR(INDEX('Material routes'!$C$6:$C$1005,MATCH(U62,'Material routes'!$A$6:$A$1005,0)),"MISSING ID")</x:f>
        <x:v>Ingredient candidate</x:v>
      </x:c>
      <x:c r="F62" s="4" t="str">
        <x:f>IFERROR(INDEX('Material routes'!$E$6:$E$1005,MATCH(V62,'Material routes'!$A$6:$A$1005,0)),"MISSING ID")</x:f>
        <x:v>Shell laminate</x:v>
      </x:c>
      <x:c r="G62" s="4" t="str">
        <x:f>IFERROR(INDEX('Material routes'!$F$6:$F$1005,MATCH(V62,'Material routes'!$A$6:$A$1005,0)),"MISSING ID")</x:f>
        <x:v>T2</x:v>
      </x:c>
      <x:c r="H62" s="4" t="str">
        <x:f>IFERROR(INDEX('Material routes'!$H$6:$H$1005,MATCH(V62,'Material routes'!$A$6:$A$1005,0)),"MISSING ID")</x:f>
        <x:v>Crafting component</x:v>
      </x:c>
      <x:c r="I62" s="4" t="str">
        <x:f>IFERROR(INDEX('Material routes'!$G$6:$G$1005,MATCH(V62,'Material routes'!$A$6:$A$1005,0)),"MISSING ID")</x:f>
        <x:v>Crafting components</x:v>
      </x:c>
      <x:c r="J62" s="4" t="str">
        <x:f>IFERROR(INDEX('Material routes'!$B$6:$B$1005,MATCH(U62,'Material routes'!$A$6:$A$1005,0)),"MISSING ID")</x:f>
        <x:v>outline.resource_chain.12</x:v>
      </x:c>
      <x:c r="K62" s="4" t="str">
        <x:f>IFERROR(INDEX('Crafting recipes'!$C$6:$C$1005,MATCH(J62,'Crafting recipes'!$A$6:$A$1005,0)),"MISSING ID")</x:f>
        <x:v>Material refinement</x:v>
      </x:c>
      <x:c r="L62" s="4" t="str">
        <x:f>IFERROR(INDEX('Material routes'!$K$6:$K$1005,MATCH(U62,'Material routes'!$A$6:$A$1005,0)),"MISSING ID")</x:f>
        <x:v>Needs tier review</x:v>
      </x:c>
      <x:c r="M62" s="4" t="str">
        <x:f>IFERROR(INDEX('Material routes'!$M$6:$M$1005,MATCH(U62,'Material routes'!$A$6:$A$1005,0)),"MISSING ID")</x:f>
        <x:v>Concept outline</x:v>
      </x:c>
      <x:c r="N62" s="4" t="str">
        <x:f>IF(IFERROR(INDEX('Material routes'!$I$6:$I$1005,MATCH(U62,'Material routes'!$A$6:$A$1005,0)),"MISSING ID")=0,"",IFERROR(INDEX('Material routes'!$I$6:$I$1005,MATCH(U62,'Material routes'!$A$6:$A$1005,0)),"MISSING ID"))</x:f>
      </x:c>
      <x:c r="O62" s="4" t="str">
        <x:f>IFERROR(INDEX('Material routes'!$J$6:$J$1005,MATCH(U62,'Material routes'!$A$6:$A$1005,0)),"MISSING ID")</x:f>
        <x:v>Unspecified</x:v>
      </x:c>
      <x:c r="P62" s="4" t="str">
        <x:f>IF(IFERROR(INDEX('Material routes'!$I$6:$I$1005,MATCH(V62,'Material routes'!$A$6:$A$1005,0)),"MISSING ID")=0,"",IFERROR(INDEX('Material routes'!$I$6:$I$1005,MATCH(V62,'Material routes'!$A$6:$A$1005,0)),"MISSING ID"))</x:f>
      </x:c>
      <x:c r="Q62" s="4" t="str">
        <x:f>IFERROR(INDEX('Material routes'!$J$6:$J$1005,MATCH(V62,'Material routes'!$A$6:$A$1005,0)),"MISSING ID")</x:f>
        <x:v>Unspecified</x:v>
      </x:c>
      <x:c r="R62" s="4" t="str">
        <x:f>IF(L62="Withheld","Withheld premise",IF(E62="Tool candidate","Reusable prerequisite",IF(K62="Raw entry preparation","Entry-resource preparation",IF(G62="Not applicable","Finished endpoint",IF(OR(IFERROR(INDEX('Crafting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routes'!$D$6:$D$1005,MATCH(U62,'Material routes'!$A$6:$A$1005,0)),"MISSING ID")</x:f>
        <x:v>proposal.bio.shell</x:v>
      </x:c>
      <x:c r="T62" s="4" t="str">
        <x:f>IFERROR(INDEX('Material routes'!$D$6:$D$1005,MATCH(V62,'Material routes'!$A$6:$A$1005,0)),"MISSING ID")</x:f>
        <x:v>proposal.bio.laminate</x:v>
      </x:c>
      <x:c r="U62" s="4" t="str">
        <x:v>outline.input.12</x:v>
      </x:c>
      <x:c r="V62" s="4" t="str">
        <x:v>outline.output.12</x:v>
      </x:c>
    </x:row>
    <x:row r="63" ht="85" customHeight="1">
      <x:c r="A63" s="4" t="str">
        <x:f>IFERROR(INDEX('Material routes'!$E$6:$E$1005,MATCH(U63,'Material routes'!$A$6:$A$1005,0)),"MISSING ID")</x:f>
        <x:v>Coarse sensory bristles</x:v>
      </x:c>
      <x:c r="B63" s="4" t="str">
        <x:f>IFERROR(INDEX('Material routes'!$F$6:$F$1005,MATCH(U63,'Material routes'!$A$6:$A$1005,0)),"MISSING ID")</x:f>
        <x:v>T0</x:v>
      </x:c>
      <x:c r="C63" s="4" t="str">
        <x:f>IFERROR(INDEX('Material routes'!$H$6:$H$1005,MATCH(U63,'Material routes'!$A$6:$A$1005,0)),"MISSING ID")</x:f>
        <x:v>Raw material</x:v>
      </x:c>
      <x:c r="D63" s="4" t="str">
        <x:f>IFERROR(INDEX('Material routes'!$G$6:$G$1005,MATCH(U63,'Material routes'!$A$6:$A$1005,0)),"MISSING ID")</x:f>
        <x:v>Resources</x:v>
      </x:c>
      <x:c r="E63" s="4" t="str">
        <x:f>IFERROR(INDEX('Material routes'!$C$6:$C$1005,MATCH(U63,'Material routes'!$A$6:$A$1005,0)),"MISSING ID")</x:f>
        <x:v>Ingredient candidate</x:v>
      </x:c>
      <x:c r="F63" s="4" t="str">
        <x:f>IFERROR(INDEX('Material routes'!$E$6:$E$1005,MATCH(V63,'Material routes'!$A$6:$A$1005,0)),"MISSING ID")</x:f>
        <x:v>Bristle brush strips</x:v>
      </x:c>
      <x:c r="G63" s="4" t="str">
        <x:f>IFERROR(INDEX('Material routes'!$F$6:$F$1005,MATCH(V63,'Material routes'!$A$6:$A$1005,0)),"MISSING ID")</x:f>
        <x:v>Unassigned</x:v>
      </x:c>
      <x:c r="H63" s="4" t="str">
        <x:f>IFERROR(INDEX('Material routes'!$H$6:$H$1005,MATCH(V63,'Material routes'!$A$6:$A$1005,0)),"MISSING ID")</x:f>
        <x:v>Crafting component</x:v>
      </x:c>
      <x:c r="I63" s="4" t="str">
        <x:f>IFERROR(INDEX('Material routes'!$G$6:$G$1005,MATCH(V63,'Material routes'!$A$6:$A$1005,0)),"MISSING ID")</x:f>
        <x:v>Crafting components</x:v>
      </x:c>
      <x:c r="J63" s="4" t="str">
        <x:f>IFERROR(INDEX('Material routes'!$B$6:$B$1005,MATCH(U63,'Material routes'!$A$6:$A$1005,0)),"MISSING ID")</x:f>
        <x:v>outline.resource_chain.14</x:v>
      </x:c>
      <x:c r="K63" s="4" t="str">
        <x:f>IFERROR(INDEX('Crafting recipes'!$C$6:$C$1005,MATCH(J63,'Crafting recipes'!$A$6:$A$1005,0)),"MISSING ID")</x:f>
        <x:v>Material refinement</x:v>
      </x:c>
      <x:c r="L63" s="4" t="str">
        <x:f>IFERROR(INDEX('Material routes'!$K$6:$K$1005,MATCH(U63,'Material routes'!$A$6:$A$1005,0)),"MISSING ID")</x:f>
        <x:v>Concept outline</x:v>
      </x:c>
      <x:c r="M63" s="4" t="str">
        <x:f>IFERROR(INDEX('Material routes'!$M$6:$M$1005,MATCH(U63,'Material routes'!$A$6:$A$1005,0)),"MISSING ID")</x:f>
        <x:v>Concept outline</x:v>
      </x:c>
      <x:c r="N63" s="4" t="str">
        <x:f>IF(IFERROR(INDEX('Material routes'!$I$6:$I$1005,MATCH(U63,'Material routes'!$A$6:$A$1005,0)),"MISSING ID")=0,"",IFERROR(INDEX('Material routes'!$I$6:$I$1005,MATCH(U63,'Material routes'!$A$6:$A$1005,0)),"MISSING ID"))</x:f>
      </x:c>
      <x:c r="O63" s="4" t="str">
        <x:f>IFERROR(INDEX('Material routes'!$J$6:$J$1005,MATCH(U63,'Material routes'!$A$6:$A$1005,0)),"MISSING ID")</x:f>
        <x:v>Unspecified</x:v>
      </x:c>
      <x:c r="P63" s="4" t="str">
        <x:f>IF(IFERROR(INDEX('Material routes'!$I$6:$I$1005,MATCH(V63,'Material routes'!$A$6:$A$1005,0)),"MISSING ID")=0,"",IFERROR(INDEX('Material routes'!$I$6:$I$1005,MATCH(V63,'Material routes'!$A$6:$A$1005,0)),"MISSING ID"))</x:f>
      </x:c>
      <x:c r="Q63" s="4" t="str">
        <x:f>IFERROR(INDEX('Material routes'!$J$6:$J$1005,MATCH(V63,'Material routes'!$A$6:$A$1005,0)),"MISSING ID")</x:f>
        <x:v>Unspecified</x:v>
      </x:c>
      <x:c r="R63" s="4" t="str">
        <x:f>IF(L63="Withheld","Withheld premise",IF(E63="Tool candidate","Reusable prerequisite",IF(K63="Raw entry preparation","Entry-resource preparation",IF(G63="Not applicable","Finished endpoint",IF(OR(IFERROR(INDEX('Crafting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Tier unresolved</x:v>
      </x:c>
      <x:c r="S63" s="4" t="str">
        <x:f>IFERROR(INDEX('Material routes'!$D$6:$D$1005,MATCH(U63,'Material routes'!$A$6:$A$1005,0)),"MISSING ID")</x:f>
        <x:v>proposal.bio.bristles</x:v>
      </x:c>
      <x:c r="T63" s="4" t="str">
        <x:f>IFERROR(INDEX('Material routes'!$D$6:$D$1005,MATCH(V63,'Material routes'!$A$6:$A$1005,0)),"MISSING ID")</x:f>
        <x:v>proposal.bio.brush</x:v>
      </x:c>
      <x:c r="U63" s="4" t="str">
        <x:v>outline.input.14</x:v>
      </x:c>
      <x:c r="V63" s="4" t="str">
        <x:v>outline.output.14</x:v>
      </x:c>
    </x:row>
    <x:row r="64" ht="85" customHeight="1">
      <x:c r="A64" s="4" t="str">
        <x:f>IFERROR(INDEX('Material routes'!$E$6:$E$1005,MATCH(U64,'Material routes'!$A$6:$A$1005,0)),"MISSING ID")</x:f>
        <x:v>Dense jaw plates</x:v>
      </x:c>
      <x:c r="B64" s="4" t="str">
        <x:f>IFERROR(INDEX('Material routes'!$F$6:$F$1005,MATCH(U64,'Material routes'!$A$6:$A$1005,0)),"MISSING ID")</x:f>
        <x:v>T0</x:v>
      </x:c>
      <x:c r="C64" s="4" t="str">
        <x:f>IFERROR(INDEX('Material routes'!$H$6:$H$1005,MATCH(U64,'Material routes'!$A$6:$A$1005,0)),"MISSING ID")</x:f>
        <x:v>Raw material</x:v>
      </x:c>
      <x:c r="D64" s="4" t="str">
        <x:f>IFERROR(INDEX('Material routes'!$G$6:$G$1005,MATCH(U64,'Material routes'!$A$6:$A$1005,0)),"MISSING ID")</x:f>
        <x:v>Resources</x:v>
      </x:c>
      <x:c r="E64" s="4" t="str">
        <x:f>IFERROR(INDEX('Material routes'!$C$6:$C$1005,MATCH(U64,'Material routes'!$A$6:$A$1005,0)),"MISSING ID")</x:f>
        <x:v>Ingredient candidate</x:v>
      </x:c>
      <x:c r="F64" s="4" t="str">
        <x:f>IFERROR(INDEX('Material routes'!$E$6:$E$1005,MATCH(V64,'Material routes'!$A$6:$A$1005,0)),"MISSING ID")</x:f>
        <x:v>Jaw cutting insert</x:v>
      </x:c>
      <x:c r="G64" s="4" t="str">
        <x:f>IFERROR(INDEX('Material routes'!$F$6:$F$1005,MATCH(V64,'Material routes'!$A$6:$A$1005,0)),"MISSING ID")</x:f>
        <x:v>Unassigned</x:v>
      </x:c>
      <x:c r="H64" s="4" t="str">
        <x:f>IFERROR(INDEX('Material routes'!$H$6:$H$1005,MATCH(V64,'Material routes'!$A$6:$A$1005,0)),"MISSING ID")</x:f>
        <x:v>Crafting component</x:v>
      </x:c>
      <x:c r="I64" s="4" t="str">
        <x:f>IFERROR(INDEX('Material routes'!$G$6:$G$1005,MATCH(V64,'Material routes'!$A$6:$A$1005,0)),"MISSING ID")</x:f>
        <x:v>Crafting components</x:v>
      </x:c>
      <x:c r="J64" s="4" t="str">
        <x:f>IFERROR(INDEX('Material routes'!$B$6:$B$1005,MATCH(U64,'Material routes'!$A$6:$A$1005,0)),"MISSING ID")</x:f>
        <x:v>outline.resource_chain.16</x:v>
      </x:c>
      <x:c r="K64" s="4" t="str">
        <x:f>IFERROR(INDEX('Crafting recipes'!$C$6:$C$1005,MATCH(J64,'Crafting recipes'!$A$6:$A$1005,0)),"MISSING ID")</x:f>
        <x:v>Material refinement</x:v>
      </x:c>
      <x:c r="L64" s="4" t="str">
        <x:f>IFERROR(INDEX('Material routes'!$K$6:$K$1005,MATCH(U64,'Material routes'!$A$6:$A$1005,0)),"MISSING ID")</x:f>
        <x:v>Concept outline</x:v>
      </x:c>
      <x:c r="M64" s="4" t="str">
        <x:f>IFERROR(INDEX('Material routes'!$M$6:$M$1005,MATCH(U64,'Material routes'!$A$6:$A$1005,0)),"MISSING ID")</x:f>
        <x:v>Concept outline</x:v>
      </x:c>
      <x:c r="N64" s="4" t="str">
        <x:f>IF(IFERROR(INDEX('Material routes'!$I$6:$I$1005,MATCH(U64,'Material routes'!$A$6:$A$1005,0)),"MISSING ID")=0,"",IFERROR(INDEX('Material routes'!$I$6:$I$1005,MATCH(U64,'Material routes'!$A$6:$A$1005,0)),"MISSING ID"))</x:f>
      </x:c>
      <x:c r="O64" s="4" t="str">
        <x:f>IFERROR(INDEX('Material routes'!$J$6:$J$1005,MATCH(U64,'Material routes'!$A$6:$A$1005,0)),"MISSING ID")</x:f>
        <x:v>Unspecified</x:v>
      </x:c>
      <x:c r="P64" s="4" t="str">
        <x:f>IF(IFERROR(INDEX('Material routes'!$I$6:$I$1005,MATCH(V64,'Material routes'!$A$6:$A$1005,0)),"MISSING ID")=0,"",IFERROR(INDEX('Material routes'!$I$6:$I$1005,MATCH(V64,'Material routes'!$A$6:$A$1005,0)),"MISSING ID"))</x:f>
      </x:c>
      <x:c r="Q64" s="4" t="str">
        <x:f>IFERROR(INDEX('Material routes'!$J$6:$J$1005,MATCH(V64,'Material routes'!$A$6:$A$1005,0)),"MISSING ID")</x:f>
        <x:v>Unspecified</x:v>
      </x:c>
      <x:c r="R64" s="4" t="str">
        <x:f>IF(L64="Withheld","Withheld premise",IF(E64="Tool candidate","Reusable prerequisite",IF(K64="Raw entry preparation","Entry-resource preparation",IF(G64="Not applicable","Finished endpoint",IF(OR(IFERROR(INDEX('Crafting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Tier unresolved</x:v>
      </x:c>
      <x:c r="S64" s="4" t="str">
        <x:f>IFERROR(INDEX('Material routes'!$D$6:$D$1005,MATCH(U64,'Material routes'!$A$6:$A$1005,0)),"MISSING ID")</x:f>
        <x:v>proposal.bio.jaw</x:v>
      </x:c>
      <x:c r="T64" s="4" t="str">
        <x:f>IFERROR(INDEX('Material routes'!$D$6:$D$1005,MATCH(V64,'Material routes'!$A$6:$A$1005,0)),"MISSING ID")</x:f>
        <x:v>proposal.bio.insert</x:v>
      </x:c>
      <x:c r="U64" s="4" t="str">
        <x:v>outline.input.16</x:v>
      </x:c>
      <x:c r="V64" s="4" t="str">
        <x:v>outline.output.16</x:v>
      </x:c>
    </x:row>
    <x:row r="65" ht="85" customHeight="1">
      <x:c r="A65" s="4" t="str">
        <x:f>IFERROR(INDEX('Material routes'!$E$6:$E$1005,MATCH(U65,'Material routes'!$A$6:$A$1005,0)),"MISSING ID")</x:f>
        <x:v>Unverified fat-like tissue concept</x:v>
      </x:c>
      <x:c r="B65" s="4" t="str">
        <x:f>IFERROR(INDEX('Material routes'!$F$6:$F$1005,MATCH(U65,'Material routes'!$A$6:$A$1005,0)),"MISSING ID")</x:f>
        <x:v>Unassigned</x:v>
      </x:c>
      <x:c r="C65" s="4" t="str">
        <x:f>IFERROR(INDEX('Material routes'!$H$6:$H$1005,MATCH(U65,'Material routes'!$A$6:$A$1005,0)),"MISSING ID")</x:f>
        <x:v>Raw material</x:v>
      </x:c>
      <x:c r="D65" s="4" t="str">
        <x:f>IFERROR(INDEX('Material routes'!$G$6:$G$1005,MATCH(U65,'Material routes'!$A$6:$A$1005,0)),"MISSING ID")</x:f>
        <x:v>Resources</x:v>
      </x:c>
      <x:c r="E65" s="4" t="str">
        <x:f>IFERROR(INDEX('Material routes'!$C$6:$C$1005,MATCH(U65,'Material routes'!$A$6:$A$1005,0)),"MISSING ID")</x:f>
        <x:v>Ingredient candidate</x:v>
      </x:c>
      <x:c r="F65" s="4" t="str">
        <x:f>IFERROR(INDEX('Material routes'!$E$6:$E$1005,MATCH(V65,'Material routes'!$A$6:$A$1005,0)),"MISSING ID")</x:f>
        <x:v>Solid biological wax</x:v>
      </x:c>
      <x:c r="G65" s="4" t="str">
        <x:f>IFERROR(INDEX('Material routes'!$F$6:$F$1005,MATCH(V65,'Material routes'!$A$6:$A$1005,0)),"MISSING ID")</x:f>
        <x:v>Unassigned</x:v>
      </x:c>
      <x:c r="H65" s="4" t="str">
        <x:f>IFERROR(INDEX('Material routes'!$H$6:$H$1005,MATCH(V65,'Material routes'!$A$6:$A$1005,0)),"MISSING ID")</x:f>
        <x:v>Processed material</x:v>
      </x:c>
      <x:c r="I65" s="4" t="str">
        <x:f>IFERROR(INDEX('Material routes'!$G$6:$G$1005,MATCH(V65,'Material routes'!$A$6:$A$1005,0)),"MISSING ID")</x:f>
        <x:v>Crafting components</x:v>
      </x:c>
      <x:c r="J65" s="4" t="str">
        <x:f>IFERROR(INDEX('Material routes'!$B$6:$B$1005,MATCH(U65,'Material routes'!$A$6:$A$1005,0)),"MISSING ID")</x:f>
        <x:v>outline.resource_chain.18</x:v>
      </x:c>
      <x:c r="K65" s="4" t="str">
        <x:f>IFERROR(INDEX('Crafting recipes'!$C$6:$C$1005,MATCH(J65,'Crafting recipes'!$A$6:$A$1005,0)),"MISSING ID")</x:f>
        <x:v>Material refinement</x:v>
      </x:c>
      <x:c r="L65" s="4" t="str">
        <x:f>IFERROR(INDEX('Material routes'!$K$6:$K$1005,MATCH(U65,'Material routes'!$A$6:$A$1005,0)),"MISSING ID")</x:f>
        <x:v>Withheld</x:v>
      </x:c>
      <x:c r="M65" s="4" t="str">
        <x:f>IFERROR(INDEX('Material routes'!$M$6:$M$1005,MATCH(U65,'Material routes'!$A$6:$A$1005,0)),"MISSING ID")</x:f>
        <x:v>Withheld</x:v>
      </x:c>
      <x:c r="N65" s="4" t="str">
        <x:f>IF(IFERROR(INDEX('Material routes'!$I$6:$I$1005,MATCH(U65,'Material routes'!$A$6:$A$1005,0)),"MISSING ID")=0,"",IFERROR(INDEX('Material routes'!$I$6:$I$1005,MATCH(U65,'Material routes'!$A$6:$A$1005,0)),"MISSING ID"))</x:f>
      </x:c>
      <x:c r="O65" s="4" t="str">
        <x:f>IFERROR(INDEX('Material routes'!$J$6:$J$1005,MATCH(U65,'Material routes'!$A$6:$A$1005,0)),"MISSING ID")</x:f>
        <x:v>Unspecified</x:v>
      </x:c>
      <x:c r="P65" s="4" t="str">
        <x:f>IF(IFERROR(INDEX('Material routes'!$I$6:$I$1005,MATCH(V65,'Material routes'!$A$6:$A$1005,0)),"MISSING ID")=0,"",IFERROR(INDEX('Material routes'!$I$6:$I$1005,MATCH(V65,'Material routes'!$A$6:$A$1005,0)),"MISSING ID"))</x:f>
      </x:c>
      <x:c r="Q65" s="4" t="str">
        <x:f>IFERROR(INDEX('Material routes'!$J$6:$J$1005,MATCH(V65,'Material routes'!$A$6:$A$1005,0)),"MISSING ID")</x:f>
        <x:v>Unspecified</x:v>
      </x:c>
      <x:c r="R65" s="4" t="str">
        <x:f>IF(L65="Withheld","Withheld premise",IF(E65="Tool candidate","Reusable prerequisite",IF(K65="Raw entry preparation","Entry-resource preparation",IF(G65="Not applicable","Finished endpoint",IF(OR(IFERROR(INDEX('Crafting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routes'!$D$6:$D$1005,MATCH(U65,'Material routes'!$A$6:$A$1005,0)),"MISSING ID")</x:f>
        <x:v>proposal.bio.fat</x:v>
      </x:c>
      <x:c r="T65" s="4" t="str">
        <x:f>IFERROR(INDEX('Material routes'!$D$6:$D$1005,MATCH(V65,'Material routes'!$A$6:$A$1005,0)),"MISSING ID")</x:f>
        <x:v>proposal.bio.wax</x:v>
      </x:c>
      <x:c r="U65" s="4" t="str">
        <x:v>outline.input.18</x:v>
      </x:c>
      <x:c r="V65" s="4" t="str">
        <x:v>outline.output.18</x:v>
      </x:c>
    </x:row>
    <x:row r="66" ht="85" customHeight="1">
      <x:c r="A66" s="4" t="str">
        <x:f>IFERROR(INDEX('Material routes'!$E$6:$E$1005,MATCH(U66,'Material routes'!$A$6:$A$1005,0)),"MISSING ID")</x:f>
        <x:v>Charge-organ tissue</x:v>
      </x:c>
      <x:c r="B66" s="4" t="str">
        <x:f>IFERROR(INDEX('Material routes'!$F$6:$F$1005,MATCH(U66,'Material routes'!$A$6:$A$1005,0)),"MISSING ID")</x:f>
        <x:v>T0</x:v>
      </x:c>
      <x:c r="C66" s="4" t="str">
        <x:f>IFERROR(INDEX('Material routes'!$H$6:$H$1005,MATCH(U66,'Material routes'!$A$6:$A$1005,0)),"MISSING ID")</x:f>
        <x:v>Raw material</x:v>
      </x:c>
      <x:c r="D66" s="4" t="str">
        <x:f>IFERROR(INDEX('Material routes'!$G$6:$G$1005,MATCH(U66,'Material routes'!$A$6:$A$1005,0)),"MISSING ID")</x:f>
        <x:v>Resources</x:v>
      </x:c>
      <x:c r="E66" s="4" t="str">
        <x:f>IFERROR(INDEX('Material routes'!$C$6:$C$1005,MATCH(U66,'Material routes'!$A$6:$A$1005,0)),"MISSING ID")</x:f>
        <x:v>Ingredient candidate</x:v>
      </x:c>
      <x:c r="F66" s="4" t="str">
        <x:f>IFERROR(INDEX('Material routes'!$E$6:$E$1005,MATCH(V66,'Material routes'!$A$6:$A$1005,0)),"MISSING ID")</x:f>
        <x:v>Dry organ electrode scaffold</x:v>
      </x:c>
      <x:c r="G66" s="4" t="str">
        <x:f>IFERROR(INDEX('Material routes'!$F$6:$F$1005,MATCH(V66,'Material routes'!$A$6:$A$1005,0)),"MISSING ID")</x:f>
        <x:v>Unassigned</x:v>
      </x:c>
      <x:c r="H66" s="4" t="str">
        <x:f>IFERROR(INDEX('Material routes'!$H$6:$H$1005,MATCH(V66,'Material routes'!$A$6:$A$1005,0)),"MISSING ID")</x:f>
        <x:v>Crafting component</x:v>
      </x:c>
      <x:c r="I66" s="4" t="str">
        <x:f>IFERROR(INDEX('Material routes'!$G$6:$G$1005,MATCH(V66,'Material routes'!$A$6:$A$1005,0)),"MISSING ID")</x:f>
        <x:v>Crafting components</x:v>
      </x:c>
      <x:c r="J66" s="4" t="str">
        <x:f>IFERROR(INDEX('Material routes'!$B$6:$B$1005,MATCH(U66,'Material routes'!$A$6:$A$1005,0)),"MISSING ID")</x:f>
        <x:v>outline.resource_chain.19</x:v>
      </x:c>
      <x:c r="K66" s="4" t="str">
        <x:f>IFERROR(INDEX('Crafting recipes'!$C$6:$C$1005,MATCH(J66,'Crafting recipes'!$A$6:$A$1005,0)),"MISSING ID")</x:f>
        <x:v>Material refinement</x:v>
      </x:c>
      <x:c r="L66" s="4" t="str">
        <x:f>IFERROR(INDEX('Material routes'!$K$6:$K$1005,MATCH(U66,'Material routes'!$A$6:$A$1005,0)),"MISSING ID")</x:f>
        <x:v>Concept outline</x:v>
      </x:c>
      <x:c r="M66" s="4" t="str">
        <x:f>IFERROR(INDEX('Material routes'!$M$6:$M$1005,MATCH(U66,'Material routes'!$A$6:$A$1005,0)),"MISSING ID")</x:f>
        <x:v>Concept outline</x:v>
      </x:c>
      <x:c r="N66" s="4" t="str">
        <x:f>IF(IFERROR(INDEX('Material routes'!$I$6:$I$1005,MATCH(U66,'Material routes'!$A$6:$A$1005,0)),"MISSING ID")=0,"",IFERROR(INDEX('Material routes'!$I$6:$I$1005,MATCH(U66,'Material routes'!$A$6:$A$1005,0)),"MISSING ID"))</x:f>
      </x:c>
      <x:c r="O66" s="4" t="str">
        <x:f>IFERROR(INDEX('Material routes'!$J$6:$J$1005,MATCH(U66,'Material routes'!$A$6:$A$1005,0)),"MISSING ID")</x:f>
        <x:v>Unspecified</x:v>
      </x:c>
      <x:c r="P66" s="4" t="str">
        <x:f>IF(IFERROR(INDEX('Material routes'!$I$6:$I$1005,MATCH(V66,'Material routes'!$A$6:$A$1005,0)),"MISSING ID")=0,"",IFERROR(INDEX('Material routes'!$I$6:$I$1005,MATCH(V66,'Material routes'!$A$6:$A$1005,0)),"MISSING ID"))</x:f>
      </x:c>
      <x:c r="Q66" s="4" t="str">
        <x:f>IFERROR(INDEX('Material routes'!$J$6:$J$1005,MATCH(V66,'Material routes'!$A$6:$A$1005,0)),"MISSING ID")</x:f>
        <x:v>Unspecified</x:v>
      </x:c>
      <x:c r="R66" s="4" t="str">
        <x:f>IF(L66="Withheld","Withheld premise",IF(E66="Tool candidate","Reusable prerequisite",IF(K66="Raw entry preparation","Entry-resource preparation",IF(G66="Not applicable","Finished endpoint",IF(OR(IFERROR(INDEX('Crafting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Tier unresolved</x:v>
      </x:c>
      <x:c r="S66" s="4" t="str">
        <x:f>IFERROR(INDEX('Material routes'!$D$6:$D$1005,MATCH(U66,'Material routes'!$A$6:$A$1005,0)),"MISSING ID")</x:f>
        <x:v>proposal.bio.organ</x:v>
      </x:c>
      <x:c r="T66" s="4" t="str">
        <x:f>IFERROR(INDEX('Material routes'!$D$6:$D$1005,MATCH(V66,'Material routes'!$A$6:$A$1005,0)),"MISSING ID")</x:f>
        <x:v>proposal.bio.electrode</x:v>
      </x:c>
      <x:c r="U66" s="4" t="str">
        <x:v>outline.input.19</x:v>
      </x:c>
      <x:c r="V66" s="4" t="str">
        <x:v>outline.output.19</x:v>
      </x:c>
    </x:row>
    <x:row r="67" ht="85" customHeight="1">
      <x:c r="A67" s="4" t="str">
        <x:f>IFERROR(INDEX('Material routes'!$E$6:$E$1005,MATCH(U67,'Material routes'!$A$6:$A$1005,0)),"MISSING ID")</x:f>
        <x:v>Mica sheets</x:v>
      </x:c>
      <x:c r="B67" s="4" t="str">
        <x:f>IFERROR(INDEX('Material routes'!$F$6:$F$1005,MATCH(U67,'Material routes'!$A$6:$A$1005,0)),"MISSING ID")</x:f>
        <x:v>T0</x:v>
      </x:c>
      <x:c r="C67" s="4" t="str">
        <x:f>IFERROR(INDEX('Material routes'!$H$6:$H$1005,MATCH(U67,'Material routes'!$A$6:$A$1005,0)),"MISSING ID")</x:f>
        <x:v>Raw material</x:v>
      </x:c>
      <x:c r="D67" s="4" t="str">
        <x:f>IFERROR(INDEX('Material routes'!$G$6:$G$1005,MATCH(U67,'Material routes'!$A$6:$A$1005,0)),"MISSING ID")</x:f>
        <x:v>Resources</x:v>
      </x:c>
      <x:c r="E67" s="4" t="str">
        <x:f>IFERROR(INDEX('Material routes'!$C$6:$C$1005,MATCH(U67,'Material routes'!$A$6:$A$1005,0)),"MISSING ID")</x:f>
        <x:v>Ingredient candidate</x:v>
      </x:c>
      <x:c r="F67" s="4" t="str">
        <x:f>IFERROR(INDEX('Material routes'!$E$6:$E$1005,MATCH(V67,'Material routes'!$A$6:$A$1005,0)),"MISSING ID")</x:f>
        <x:v>Static grounding kit</x:v>
      </x:c>
      <x:c r="G67" s="4" t="str">
        <x:f>IFERROR(INDEX('Material routes'!$F$6:$F$1005,MATCH(V67,'Material routes'!$A$6:$A$1005,0)),"MISSING ID")</x:f>
        <x:v>Not applicable</x:v>
      </x:c>
      <x:c r="H67" s="4" t="str">
        <x:f>IFERROR(INDEX('Material routes'!$H$6:$H$1005,MATCH(V67,'Material routes'!$A$6:$A$1005,0)),"MISSING ID")</x:f>
        <x:v>Tool</x:v>
      </x:c>
      <x:c r="I67" s="4" t="str">
        <x:f>IFERROR(INDEX('Material routes'!$G$6:$G$1005,MATCH(V67,'Material routes'!$A$6:$A$1005,0)),"MISSING ID")</x:f>
        <x:v>Equipment</x:v>
      </x:c>
      <x:c r="J67" s="4" t="str">
        <x:f>IFERROR(INDEX('Material routes'!$B$6:$B$1005,MATCH(U67,'Material routes'!$A$6:$A$1005,0)),"MISSING ID")</x:f>
        <x:v>outline.resource_chain.20</x:v>
      </x:c>
      <x:c r="K67" s="4" t="str">
        <x:f>IFERROR(INDEX('Crafting recipes'!$C$6:$C$1005,MATCH(J67,'Crafting recipes'!$A$6:$A$1005,0)),"MISSING ID")</x:f>
        <x:v>Finished-item crafting</x:v>
      </x:c>
      <x:c r="L67" s="4" t="str">
        <x:f>IFERROR(INDEX('Material routes'!$K$6:$K$1005,MATCH(U67,'Material routes'!$A$6:$A$1005,0)),"MISSING ID")</x:f>
        <x:v>Concept outline</x:v>
      </x:c>
      <x:c r="M67" s="4" t="str">
        <x:f>IFERROR(INDEX('Material routes'!$M$6:$M$1005,MATCH(U67,'Material routes'!$A$6:$A$1005,0)),"MISSING ID")</x:f>
        <x:v>Concept outline</x:v>
      </x:c>
      <x:c r="N67" s="4" t="str">
        <x:f>IF(IFERROR(INDEX('Material routes'!$I$6:$I$1005,MATCH(U67,'Material routes'!$A$6:$A$1005,0)),"MISSING ID")=0,"",IFERROR(INDEX('Material routes'!$I$6:$I$1005,MATCH(U67,'Material routes'!$A$6:$A$1005,0)),"MISSING ID"))</x:f>
      </x:c>
      <x:c r="O67" s="4" t="str">
        <x:f>IFERROR(INDEX('Material routes'!$J$6:$J$1005,MATCH(U67,'Material routes'!$A$6:$A$1005,0)),"MISSING ID")</x:f>
        <x:v>Unspecified</x:v>
      </x:c>
      <x:c r="P67" s="4" t="str">
        <x:f>IF(IFERROR(INDEX('Material routes'!$I$6:$I$1005,MATCH(V67,'Material routes'!$A$6:$A$1005,0)),"MISSING ID")=0,"",IFERROR(INDEX('Material routes'!$I$6:$I$1005,MATCH(V67,'Material routes'!$A$6:$A$1005,0)),"MISSING ID"))</x:f>
      </x:c>
      <x:c r="Q67" s="4" t="str">
        <x:f>IFERROR(INDEX('Material routes'!$J$6:$J$1005,MATCH(V67,'Material routes'!$A$6:$A$1005,0)),"MISSING ID")</x:f>
        <x:v>Unspecified</x:v>
      </x:c>
      <x:c r="R67" s="4" t="str">
        <x:f>IF(L67="Withheld","Withheld premise",IF(E67="Tool candidate","Reusable prerequisite",IF(K67="Raw entry preparation","Entry-resource preparation",IF(G67="Not applicable","Finished endpoint",IF(OR(IFERROR(INDEX('Crafting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routes'!$D$6:$D$1005,MATCH(U67,'Material routes'!$A$6:$A$1005,0)),"MISSING ID")</x:f>
        <x:v>proposal.natural.mica</x:v>
      </x:c>
      <x:c r="T67" s="4" t="str">
        <x:f>IFERROR(INDEX('Material routes'!$D$6:$D$1005,MATCH(V67,'Material routes'!$A$6:$A$1005,0)),"MISSING ID")</x:f>
        <x:v>proposal.gear.grounding_kit</x:v>
      </x:c>
      <x:c r="U67" s="4" t="str">
        <x:v>outline.input.20</x:v>
      </x:c>
      <x:c r="V67" s="4" t="str">
        <x:v>outline.output.20</x:v>
      </x:c>
    </x:row>
    <x:row r="68" ht="85" customHeight="1">
      <x:c r="A68" s="4" t="str">
        <x:f>IFERROR(INDEX('Material routes'!$E$6:$E$1005,MATCH(U68,'Material routes'!$A$6:$A$1005,0)),"MISSING ID")</x:f>
        <x:v>Graded graphite flakes</x:v>
      </x:c>
      <x:c r="B68" s="4" t="str">
        <x:f>IFERROR(INDEX('Material routes'!$F$6:$F$1005,MATCH(U68,'Material routes'!$A$6:$A$1005,0)),"MISSING ID")</x:f>
        <x:v>T1</x:v>
      </x:c>
      <x:c r="C68" s="4" t="str">
        <x:f>IFERROR(INDEX('Material routes'!$H$6:$H$1005,MATCH(U68,'Material routes'!$A$6:$A$1005,0)),"MISSING ID")</x:f>
        <x:v>Processed material</x:v>
      </x:c>
      <x:c r="D68" s="4" t="str">
        <x:f>IFERROR(INDEX('Material routes'!$G$6:$G$1005,MATCH(U68,'Material routes'!$A$6:$A$1005,0)),"MISSING ID")</x:f>
        <x:v>Resources</x:v>
      </x:c>
      <x:c r="E68" s="4" t="str">
        <x:f>IFERROR(INDEX('Material routes'!$C$6:$C$1005,MATCH(U68,'Material routes'!$A$6:$A$1005,0)),"MISSING ID")</x:f>
        <x:v>Ingredient candidate</x:v>
      </x:c>
      <x:c r="F68" s="4" t="str">
        <x:f>IFERROR(INDEX('Material routes'!$E$6:$E$1005,MATCH(V68,'Material routes'!$A$6:$A$1005,0)),"MISSING ID")</x:f>
        <x:v>Static grounding kit</x:v>
      </x:c>
      <x:c r="G68" s="4" t="str">
        <x:f>IFERROR(INDEX('Material routes'!$F$6:$F$1005,MATCH(V68,'Material routes'!$A$6:$A$1005,0)),"MISSING ID")</x:f>
        <x:v>Not applicable</x:v>
      </x:c>
      <x:c r="H68" s="4" t="str">
        <x:f>IFERROR(INDEX('Material routes'!$H$6:$H$1005,MATCH(V68,'Material routes'!$A$6:$A$1005,0)),"MISSING ID")</x:f>
        <x:v>Tool</x:v>
      </x:c>
      <x:c r="I68" s="4" t="str">
        <x:f>IFERROR(INDEX('Material routes'!$G$6:$G$1005,MATCH(V68,'Material routes'!$A$6:$A$1005,0)),"MISSING ID")</x:f>
        <x:v>Equipment</x:v>
      </x:c>
      <x:c r="J68" s="4" t="str">
        <x:f>IFERROR(INDEX('Material routes'!$B$6:$B$1005,MATCH(U68,'Material routes'!$A$6:$A$1005,0)),"MISSING ID")</x:f>
        <x:v>outline.resource_chain.21</x:v>
      </x:c>
      <x:c r="K68" s="4" t="str">
        <x:f>IFERROR(INDEX('Crafting recipes'!$C$6:$C$1005,MATCH(J68,'Crafting recipes'!$A$6:$A$1005,0)),"MISSING ID")</x:f>
        <x:v>Finished-item crafting</x:v>
      </x:c>
      <x:c r="L68" s="4" t="str">
        <x:f>IFERROR(INDEX('Material routes'!$K$6:$K$1005,MATCH(U68,'Material routes'!$A$6:$A$1005,0)),"MISSING ID")</x:f>
        <x:v>Concept outline</x:v>
      </x:c>
      <x:c r="M68" s="4" t="str">
        <x:f>IFERROR(INDEX('Material routes'!$M$6:$M$1005,MATCH(U68,'Material routes'!$A$6:$A$1005,0)),"MISSING ID")</x:f>
        <x:v>Concept outline</x:v>
      </x:c>
      <x:c r="N68" s="4" t="str">
        <x:f>IF(IFERROR(INDEX('Material routes'!$I$6:$I$1005,MATCH(U68,'Material routes'!$A$6:$A$1005,0)),"MISSING ID")=0,"",IFERROR(INDEX('Material routes'!$I$6:$I$1005,MATCH(U68,'Material routes'!$A$6:$A$1005,0)),"MISSING ID"))</x:f>
      </x:c>
      <x:c r="O68" s="4" t="str">
        <x:f>IFERROR(INDEX('Material routes'!$J$6:$J$1005,MATCH(U68,'Material routes'!$A$6:$A$1005,0)),"MISSING ID")</x:f>
        <x:v>Unspecified</x:v>
      </x:c>
      <x:c r="P68" s="4" t="str">
        <x:f>IF(IFERROR(INDEX('Material routes'!$I$6:$I$1005,MATCH(V68,'Material routes'!$A$6:$A$1005,0)),"MISSING ID")=0,"",IFERROR(INDEX('Material routes'!$I$6:$I$1005,MATCH(V68,'Material routes'!$A$6:$A$1005,0)),"MISSING ID"))</x:f>
      </x:c>
      <x:c r="Q68" s="4" t="str">
        <x:f>IFERROR(INDEX('Material routes'!$J$6:$J$1005,MATCH(V68,'Material routes'!$A$6:$A$1005,0)),"MISSING ID")</x:f>
        <x:v>Unspecified</x:v>
      </x:c>
      <x:c r="R68" s="4" t="str">
        <x:f>IF(L68="Withheld","Withheld premise",IF(E68="Tool candidate","Reusable prerequisite",IF(K68="Raw entry preparation","Entry-resource preparation",IF(G68="Not applicable","Finished endpoint",IF(OR(IFERROR(INDEX('Crafting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routes'!$D$6:$D$1005,MATCH(U68,'Material routes'!$A$6:$A$1005,0)),"MISSING ID")</x:f>
        <x:v>proposal.natural.carbon</x:v>
      </x:c>
      <x:c r="T68" s="4" t="str">
        <x:f>IFERROR(INDEX('Material routes'!$D$6:$D$1005,MATCH(V68,'Material routes'!$A$6:$A$1005,0)),"MISSING ID")</x:f>
        <x:v>proposal.gear.grounding_kit</x:v>
      </x:c>
      <x:c r="U68" s="4" t="str">
        <x:v>outline.input.21</x:v>
      </x:c>
      <x:c r="V68" s="4" t="str">
        <x:v>outline.output.21</x:v>
      </x:c>
    </x:row>
    <x:row r="69" ht="85" customHeight="1">
      <x:c r="A69" s="4" t="str">
        <x:f>IFERROR(INDEX('Material routes'!$E$6:$E$1005,MATCH(U69,'Material routes'!$A$6:$A$1005,0)),"MISSING ID")</x:f>
        <x:v>Unprocessed copper-rich stone</x:v>
      </x:c>
      <x:c r="B69" s="4" t="str">
        <x:f>IFERROR(INDEX('Material routes'!$F$6:$F$1005,MATCH(U69,'Material routes'!$A$6:$A$1005,0)),"MISSING ID")</x:f>
        <x:v>T0</x:v>
      </x:c>
      <x:c r="C69" s="4" t="str">
        <x:f>IFERROR(INDEX('Material routes'!$H$6:$H$1005,MATCH(U69,'Material routes'!$A$6:$A$1005,0)),"MISSING ID")</x:f>
        <x:v>Raw material</x:v>
      </x:c>
      <x:c r="D69" s="4" t="str">
        <x:f>IFERROR(INDEX('Material routes'!$G$6:$G$1005,MATCH(U69,'Material routes'!$A$6:$A$1005,0)),"MISSING ID")</x:f>
        <x:v>Resources</x:v>
      </x:c>
      <x:c r="E69" s="4" t="str">
        <x:f>IFERROR(INDEX('Material routes'!$C$6:$C$1005,MATCH(U69,'Material routes'!$A$6:$A$1005,0)),"MISSING ID")</x:f>
        <x:v>Ingredient candidate</x:v>
      </x:c>
      <x:c r="F69" s="4" t="str">
        <x:f>IFERROR(INDEX('Material routes'!$E$6:$E$1005,MATCH(V69,'Material routes'!$A$6:$A$1005,0)),"MISSING ID")</x:f>
        <x:v>Copper ore</x:v>
      </x:c>
      <x:c r="G69" s="4" t="str">
        <x:f>IFERROR(INDEX('Material routes'!$F$6:$F$1005,MATCH(V69,'Material routes'!$A$6:$A$1005,0)),"MISSING ID")</x:f>
        <x:v>Unassigned</x:v>
      </x:c>
      <x:c r="H69" s="4" t="str">
        <x:f>IFERROR(INDEX('Material routes'!$H$6:$H$1005,MATCH(V69,'Material routes'!$A$6:$A$1005,0)),"MISSING ID")</x:f>
        <x:v>Raw material</x:v>
      </x:c>
      <x:c r="I69" s="4" t="str">
        <x:f>IFERROR(INDEX('Material routes'!$G$6:$G$1005,MATCH(V69,'Material routes'!$A$6:$A$1005,0)),"MISSING ID")</x:f>
        <x:v>Resources</x:v>
      </x:c>
      <x:c r="J69" s="4" t="str">
        <x:f>IFERROR(INDEX('Material routes'!$B$6:$B$1005,MATCH(U69,'Material routes'!$A$6:$A$1005,0)),"MISSING ID")</x:f>
        <x:v>outline.resource_chain.22</x:v>
      </x:c>
      <x:c r="K69" s="4" t="str">
        <x:f>IFERROR(INDEX('Crafting recipes'!$C$6:$C$1005,MATCH(J69,'Crafting recipes'!$A$6:$A$1005,0)),"MISSING ID")</x:f>
        <x:v>Material refinement</x:v>
      </x:c>
      <x:c r="L69" s="4" t="str">
        <x:f>IFERROR(INDEX('Material routes'!$K$6:$K$1005,MATCH(U69,'Material routes'!$A$6:$A$1005,0)),"MISSING ID")</x:f>
        <x:v>Concept outline</x:v>
      </x:c>
      <x:c r="M69" s="4" t="str">
        <x:f>IFERROR(INDEX('Material routes'!$M$6:$M$1005,MATCH(U69,'Material routes'!$A$6:$A$1005,0)),"MISSING ID")</x:f>
        <x:v>Concept outline</x:v>
      </x:c>
      <x:c r="N69" s="4" t="str">
        <x:f>IF(IFERROR(INDEX('Material routes'!$I$6:$I$1005,MATCH(U69,'Material routes'!$A$6:$A$1005,0)),"MISSING ID")=0,"",IFERROR(INDEX('Material routes'!$I$6:$I$1005,MATCH(U69,'Material routes'!$A$6:$A$1005,0)),"MISSING ID"))</x:f>
      </x:c>
      <x:c r="O69" s="4" t="str">
        <x:f>IFERROR(INDEX('Material routes'!$J$6:$J$1005,MATCH(U69,'Material routes'!$A$6:$A$1005,0)),"MISSING ID")</x:f>
        <x:v>Unspecified</x:v>
      </x:c>
      <x:c r="P69" s="4" t="str">
        <x:f>IF(IFERROR(INDEX('Material routes'!$I$6:$I$1005,MATCH(V69,'Material routes'!$A$6:$A$1005,0)),"MISSING ID")=0,"",IFERROR(INDEX('Material routes'!$I$6:$I$1005,MATCH(V69,'Material routes'!$A$6:$A$1005,0)),"MISSING ID"))</x:f>
      </x:c>
      <x:c r="Q69" s="4" t="str">
        <x:f>IFERROR(INDEX('Material routes'!$J$6:$J$1005,MATCH(V69,'Material routes'!$A$6:$A$1005,0)),"MISSING ID")</x:f>
        <x:v>Unspecified</x:v>
      </x:c>
      <x:c r="R69" s="4" t="str">
        <x:f>IF(L69="Withheld","Withheld premise",IF(E69="Tool candidate","Reusable prerequisite",IF(K69="Raw entry preparation","Entry-resource preparation",IF(G69="Not applicable","Finished endpoint",IF(OR(IFERROR(INDEX('Crafting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Tier unresolved</x:v>
      </x:c>
      <x:c r="S69" s="4" t="str">
        <x:f>IFERROR(INDEX('Material routes'!$D$6:$D$1005,MATCH(U69,'Material routes'!$A$6:$A$1005,0)),"MISSING ID")</x:f>
        <x:v>proposal.natural.copper_stone</x:v>
      </x:c>
      <x:c r="T69" s="4" t="str">
        <x:f>IFERROR(INDEX('Material routes'!$D$6:$D$1005,MATCH(V69,'Material routes'!$A$6:$A$1005,0)),"MISSING ID")</x:f>
        <x:v>proposal.natural.copper_ore</x:v>
      </x:c>
      <x:c r="U69" s="4" t="str">
        <x:v>outline.input.22</x:v>
      </x:c>
      <x:c r="V69" s="4" t="str">
        <x:v>outline.output.22</x:v>
      </x:c>
    </x:row>
    <x:row r="70" ht="85" customHeight="1">
      <x:c r="A70" s="4" t="str">
        <x:f>IFERROR(INDEX('Material routes'!$E$6:$E$1005,MATCH(U70,'Material routes'!$A$6:$A$1005,0)),"MISSING ID")</x:f>
        <x:v>Copper ore</x:v>
      </x:c>
      <x:c r="B70" s="4" t="str">
        <x:f>IFERROR(INDEX('Material routes'!$F$6:$F$1005,MATCH(U70,'Material routes'!$A$6:$A$1005,0)),"MISSING ID")</x:f>
        <x:v>Unassigned</x:v>
      </x:c>
      <x:c r="C70" s="4" t="str">
        <x:f>IFERROR(INDEX('Material routes'!$H$6:$H$1005,MATCH(U70,'Material routes'!$A$6:$A$1005,0)),"MISSING ID")</x:f>
        <x:v>Raw material</x:v>
      </x:c>
      <x:c r="D70" s="4" t="str">
        <x:f>IFERROR(INDEX('Material routes'!$G$6:$G$1005,MATCH(U70,'Material routes'!$A$6:$A$1005,0)),"MISSING ID")</x:f>
        <x:v>Resources</x:v>
      </x:c>
      <x:c r="E70" s="4" t="str">
        <x:f>IFERROR(INDEX('Material routes'!$C$6:$C$1005,MATCH(U70,'Material routes'!$A$6:$A$1005,0)),"MISSING ID")</x:f>
        <x:v>Ingredient candidate</x:v>
      </x:c>
      <x:c r="F70" s="4" t="str">
        <x:f>IFERROR(INDEX('Material routes'!$E$6:$E$1005,MATCH(V70,'Material routes'!$A$6:$A$1005,0)),"MISSING ID")</x:f>
        <x:v>Raw copper lump</x:v>
      </x:c>
      <x:c r="G70" s="4" t="str">
        <x:f>IFERROR(INDEX('Material routes'!$F$6:$F$1005,MATCH(V70,'Material routes'!$A$6:$A$1005,0)),"MISSING ID")</x:f>
        <x:v>T0</x:v>
      </x:c>
      <x:c r="H70" s="4" t="str">
        <x:f>IFERROR(INDEX('Material routes'!$H$6:$H$1005,MATCH(V70,'Material routes'!$A$6:$A$1005,0)),"MISSING ID")</x:f>
        <x:v>Processed material</x:v>
      </x:c>
      <x:c r="I70" s="4" t="str">
        <x:f>IFERROR(INDEX('Material routes'!$G$6:$G$1005,MATCH(V70,'Material routes'!$A$6:$A$1005,0)),"MISSING ID")</x:f>
        <x:v>Resources</x:v>
      </x:c>
      <x:c r="J70" s="4" t="str">
        <x:f>IFERROR(INDEX('Material routes'!$B$6:$B$1005,MATCH(U70,'Material routes'!$A$6:$A$1005,0)),"MISSING ID")</x:f>
        <x:v>outline.resource_chain.23</x:v>
      </x:c>
      <x:c r="K70" s="4" t="str">
        <x:f>IFERROR(INDEX('Crafting recipes'!$C$6:$C$1005,MATCH(J70,'Crafting recipes'!$A$6:$A$1005,0)),"MISSING ID")</x:f>
        <x:v>Material refinement</x:v>
      </x:c>
      <x:c r="L70" s="4" t="str">
        <x:f>IFERROR(INDEX('Material routes'!$K$6:$K$1005,MATCH(U70,'Material routes'!$A$6:$A$1005,0)),"MISSING ID")</x:f>
        <x:v>Concept outline</x:v>
      </x:c>
      <x:c r="M70" s="4" t="str">
        <x:f>IFERROR(INDEX('Material routes'!$M$6:$M$1005,MATCH(U70,'Material routes'!$A$6:$A$1005,0)),"MISSING ID")</x:f>
        <x:v>Concept outline</x:v>
      </x:c>
      <x:c r="N70" s="4" t="str">
        <x:f>IF(IFERROR(INDEX('Material routes'!$I$6:$I$1005,MATCH(U70,'Material routes'!$A$6:$A$1005,0)),"MISSING ID")=0,"",IFERROR(INDEX('Material routes'!$I$6:$I$1005,MATCH(U70,'Material routes'!$A$6:$A$1005,0)),"MISSING ID"))</x:f>
      </x:c>
      <x:c r="O70" s="4" t="str">
        <x:f>IFERROR(INDEX('Material routes'!$J$6:$J$1005,MATCH(U70,'Material routes'!$A$6:$A$1005,0)),"MISSING ID")</x:f>
        <x:v>Unspecified</x:v>
      </x:c>
      <x:c r="P70" s="4" t="str">
        <x:f>IF(IFERROR(INDEX('Material routes'!$I$6:$I$1005,MATCH(V70,'Material routes'!$A$6:$A$1005,0)),"MISSING ID")=0,"",IFERROR(INDEX('Material routes'!$I$6:$I$1005,MATCH(V70,'Material routes'!$A$6:$A$1005,0)),"MISSING ID"))</x:f>
      </x:c>
      <x:c r="Q70" s="4" t="str">
        <x:f>IFERROR(INDEX('Material routes'!$J$6:$J$1005,MATCH(V70,'Material routes'!$A$6:$A$1005,0)),"MISSING ID")</x:f>
        <x:v>Unspecified</x:v>
      </x:c>
      <x:c r="R70" s="4" t="str">
        <x:f>IF(L70="Withheld","Withheld premise",IF(E70="Tool candidate","Reusable prerequisite",IF(K70="Raw entry preparation","Entry-resource preparation",IF(G70="Not applicable","Finished endpoint",IF(OR(IFERROR(INDEX('Crafting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Tier unresolved</x:v>
      </x:c>
      <x:c r="S70" s="4" t="str">
        <x:f>IFERROR(INDEX('Material routes'!$D$6:$D$1005,MATCH(U70,'Material routes'!$A$6:$A$1005,0)),"MISSING ID")</x:f>
        <x:v>proposal.natural.copper_ore</x:v>
      </x:c>
      <x:c r="T70" s="4" t="str">
        <x:f>IFERROR(INDEX('Material routes'!$D$6:$D$1005,MATCH(V70,'Material routes'!$A$6:$A$1005,0)),"MISSING ID")</x:f>
        <x:v>proposal.natural.raw_copper</x:v>
      </x:c>
      <x:c r="U70" s="4" t="str">
        <x:v>outline.input.23</x:v>
      </x:c>
      <x:c r="V70" s="4" t="str">
        <x:v>outline.output.23</x:v>
      </x:c>
    </x:row>
    <x:row r="71" ht="85" customHeight="1">
      <x:c r="A71" s="4" t="str">
        <x:f>IFERROR(INDEX('Material routes'!$E$6:$E$1005,MATCH(U71,'Material routes'!$A$6:$A$1005,0)),"MISSING ID")</x:f>
        <x:v>Magnesium-bearing rock</x:v>
      </x:c>
      <x:c r="B71" s="4" t="str">
        <x:f>IFERROR(INDEX('Material routes'!$F$6:$F$1005,MATCH(U71,'Material routes'!$A$6:$A$1005,0)),"MISSING ID")</x:f>
        <x:v>T0</x:v>
      </x:c>
      <x:c r="C71" s="4" t="str">
        <x:f>IFERROR(INDEX('Material routes'!$H$6:$H$1005,MATCH(U71,'Material routes'!$A$6:$A$1005,0)),"MISSING ID")</x:f>
        <x:v>Raw material</x:v>
      </x:c>
      <x:c r="D71" s="4" t="str">
        <x:f>IFERROR(INDEX('Material routes'!$G$6:$G$1005,MATCH(U71,'Material routes'!$A$6:$A$1005,0)),"MISSING ID")</x:f>
        <x:v>Resources</x:v>
      </x:c>
      <x:c r="E71" s="4" t="str">
        <x:f>IFERROR(INDEX('Material routes'!$C$6:$C$1005,MATCH(U71,'Material routes'!$A$6:$A$1005,0)),"MISSING ID")</x:f>
        <x:v>Ingredient candidate</x:v>
      </x:c>
      <x:c r="F71" s="4" t="str">
        <x:f>IFERROR(INDEX('Material routes'!$E$6:$E$1005,MATCH(V71,'Material routes'!$A$6:$A$1005,0)),"MISSING ID")</x:f>
        <x:v>Raw magnesium metal</x:v>
      </x:c>
      <x:c r="G71" s="4" t="str">
        <x:f>IFERROR(INDEX('Material routes'!$F$6:$F$1005,MATCH(V71,'Material routes'!$A$6:$A$1005,0)),"MISSING ID")</x:f>
        <x:v>T0</x:v>
      </x:c>
      <x:c r="H71" s="4" t="str">
        <x:f>IFERROR(INDEX('Material routes'!$H$6:$H$1005,MATCH(V71,'Material routes'!$A$6:$A$1005,0)),"MISSING ID")</x:f>
        <x:v>Processed material</x:v>
      </x:c>
      <x:c r="I71" s="4" t="str">
        <x:f>IFERROR(INDEX('Material routes'!$G$6:$G$1005,MATCH(V71,'Material routes'!$A$6:$A$1005,0)),"MISSING ID")</x:f>
        <x:v>Resources</x:v>
      </x:c>
      <x:c r="J71" s="4" t="str">
        <x:f>IFERROR(INDEX('Material routes'!$B$6:$B$1005,MATCH(U71,'Material routes'!$A$6:$A$1005,0)),"MISSING ID")</x:f>
        <x:v>outline.resource_chain.24</x:v>
      </x:c>
      <x:c r="K71" s="4" t="str">
        <x:f>IFERROR(INDEX('Crafting recipes'!$C$6:$C$1005,MATCH(J71,'Crafting recipes'!$A$6:$A$1005,0)),"MISSING ID")</x:f>
        <x:v>Material refinement</x:v>
      </x:c>
      <x:c r="L71" s="4" t="str">
        <x:f>IFERROR(INDEX('Material routes'!$K$6:$K$1005,MATCH(U71,'Material routes'!$A$6:$A$1005,0)),"MISSING ID")</x:f>
        <x:v>Needs tier review</x:v>
      </x:c>
      <x:c r="M71" s="4" t="str">
        <x:f>IFERROR(INDEX('Material routes'!$M$6:$M$1005,MATCH(U71,'Material routes'!$A$6:$A$1005,0)),"MISSING ID")</x:f>
        <x:v>Concept outline</x:v>
      </x:c>
      <x:c r="N71" s="4" t="str">
        <x:f>IF(IFERROR(INDEX('Material routes'!$I$6:$I$1005,MATCH(U71,'Material routes'!$A$6:$A$1005,0)),"MISSING ID")=0,"",IFERROR(INDEX('Material routes'!$I$6:$I$1005,MATCH(U71,'Material routes'!$A$6:$A$1005,0)),"MISSING ID"))</x:f>
      </x:c>
      <x:c r="O71" s="4" t="str">
        <x:f>IFERROR(INDEX('Material routes'!$J$6:$J$1005,MATCH(U71,'Material routes'!$A$6:$A$1005,0)),"MISSING ID")</x:f>
        <x:v>Unspecified</x:v>
      </x:c>
      <x:c r="P71" s="4" t="str">
        <x:f>IF(IFERROR(INDEX('Material routes'!$I$6:$I$1005,MATCH(V71,'Material routes'!$A$6:$A$1005,0)),"MISSING ID")=0,"",IFERROR(INDEX('Material routes'!$I$6:$I$1005,MATCH(V71,'Material routes'!$A$6:$A$1005,0)),"MISSING ID"))</x:f>
      </x:c>
      <x:c r="Q71" s="4" t="str">
        <x:f>IFERROR(INDEX('Material routes'!$J$6:$J$1005,MATCH(V71,'Material routes'!$A$6:$A$1005,0)),"MISSING ID")</x:f>
        <x:v>Unspecified</x:v>
      </x:c>
      <x:c r="R71" s="4" t="str">
        <x:f>IF(L71="Withheld","Withheld premise",IF(E71="Tool candidate","Reusable prerequisite",IF(K71="Raw entry preparation","Entry-resource preparation",IF(G71="Not applicable","Finished endpoint",IF(OR(IFERROR(INDEX('Crafting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routes'!$D$6:$D$1005,MATCH(U71,'Material routes'!$A$6:$A$1005,0)),"MISSING ID")</x:f>
        <x:v>proposal.natural.magnesium_rock</x:v>
      </x:c>
      <x:c r="T71" s="4" t="str">
        <x:f>IFERROR(INDEX('Material routes'!$D$6:$D$1005,MATCH(V71,'Material routes'!$A$6:$A$1005,0)),"MISSING ID")</x:f>
        <x:v>proposal.natural.raw_magnesium</x:v>
      </x:c>
      <x:c r="U71" s="4" t="str">
        <x:v>outline.input.24</x:v>
      </x:c>
      <x:c r="V71" s="4" t="str">
        <x:v>outline.output.24</x:v>
      </x:c>
    </x:row>
    <x:row r="72" ht="85" customHeight="1">
      <x:c r="A72" s="4" t="str">
        <x:f>IFERROR(INDEX('Material routes'!$E$6:$E$1005,MATCH(U72,'Material routes'!$A$6:$A$1005,0)),"MISSING ID")</x:f>
        <x:v>Raw hematite</x:v>
      </x:c>
      <x:c r="B72" s="4" t="str">
        <x:f>IFERROR(INDEX('Material routes'!$F$6:$F$1005,MATCH(U72,'Material routes'!$A$6:$A$1005,0)),"MISSING ID")</x:f>
        <x:v>T0</x:v>
      </x:c>
      <x:c r="C72" s="4" t="str">
        <x:f>IFERROR(INDEX('Material routes'!$H$6:$H$1005,MATCH(U72,'Material routes'!$A$6:$A$1005,0)),"MISSING ID")</x:f>
        <x:v>Raw material</x:v>
      </x:c>
      <x:c r="D72" s="4" t="str">
        <x:f>IFERROR(INDEX('Material routes'!$G$6:$G$1005,MATCH(U72,'Material routes'!$A$6:$A$1005,0)),"MISSING ID")</x:f>
        <x:v>Resources</x:v>
      </x:c>
      <x:c r="E72" s="4" t="str">
        <x:f>IFERROR(INDEX('Material routes'!$C$6:$C$1005,MATCH(U72,'Material routes'!$A$6:$A$1005,0)),"MISSING ID")</x:f>
        <x:v>Ingredient candidate</x:v>
      </x:c>
      <x:c r="F72" s="4" t="str">
        <x:f>IFERROR(INDEX('Material routes'!$E$6:$E$1005,MATCH(V72,'Material routes'!$A$6:$A$1005,0)),"MISSING ID")</x:f>
        <x:v>Iron-rich mineral feed</x:v>
      </x:c>
      <x:c r="G72" s="4" t="str">
        <x:f>IFERROR(INDEX('Material routes'!$F$6:$F$1005,MATCH(V72,'Material routes'!$A$6:$A$1005,0)),"MISSING ID")</x:f>
        <x:v>T1</x:v>
      </x:c>
      <x:c r="H72" s="4" t="str">
        <x:f>IFERROR(INDEX('Material routes'!$H$6:$H$1005,MATCH(V72,'Material routes'!$A$6:$A$1005,0)),"MISSING ID")</x:f>
        <x:v>Processed material</x:v>
      </x:c>
      <x:c r="I72" s="4" t="str">
        <x:f>IFERROR(INDEX('Material routes'!$G$6:$G$1005,MATCH(V72,'Material routes'!$A$6:$A$1005,0)),"MISSING ID")</x:f>
        <x:v>Resources</x:v>
      </x:c>
      <x:c r="J72" s="4" t="str">
        <x:f>IFERROR(INDEX('Material routes'!$B$6:$B$1005,MATCH(U72,'Material routes'!$A$6:$A$1005,0)),"MISSING ID")</x:f>
        <x:v>outline.resource_chain.25</x:v>
      </x:c>
      <x:c r="K72" s="4" t="str">
        <x:f>IFERROR(INDEX('Crafting recipes'!$C$6:$C$1005,MATCH(J72,'Crafting recipes'!$A$6:$A$1005,0)),"MISSING ID")</x:f>
        <x:v>Material refinement</x:v>
      </x:c>
      <x:c r="L72" s="4" t="str">
        <x:f>IFERROR(INDEX('Material routes'!$K$6:$K$1005,MATCH(U72,'Material routes'!$A$6:$A$1005,0)),"MISSING ID")</x:f>
        <x:v>Concept outline</x:v>
      </x:c>
      <x:c r="M72" s="4" t="str">
        <x:f>IFERROR(INDEX('Material routes'!$M$6:$M$1005,MATCH(U72,'Material routes'!$A$6:$A$1005,0)),"MISSING ID")</x:f>
        <x:v>Concept outline</x:v>
      </x:c>
      <x:c r="N72" s="4" t="str">
        <x:f>IF(IFERROR(INDEX('Material routes'!$I$6:$I$1005,MATCH(U72,'Material routes'!$A$6:$A$1005,0)),"MISSING ID")=0,"",IFERROR(INDEX('Material routes'!$I$6:$I$1005,MATCH(U72,'Material routes'!$A$6:$A$1005,0)),"MISSING ID"))</x:f>
      </x:c>
      <x:c r="O72" s="4" t="str">
        <x:f>IFERROR(INDEX('Material routes'!$J$6:$J$1005,MATCH(U72,'Material routes'!$A$6:$A$1005,0)),"MISSING ID")</x:f>
        <x:v>Unspecified</x:v>
      </x:c>
      <x:c r="P72" s="4" t="str">
        <x:f>IF(IFERROR(INDEX('Material routes'!$I$6:$I$1005,MATCH(V72,'Material routes'!$A$6:$A$1005,0)),"MISSING ID")=0,"",IFERROR(INDEX('Material routes'!$I$6:$I$1005,MATCH(V72,'Material routes'!$A$6:$A$1005,0)),"MISSING ID"))</x:f>
      </x:c>
      <x:c r="Q72" s="4" t="str">
        <x:f>IFERROR(INDEX('Material routes'!$J$6:$J$1005,MATCH(V72,'Material routes'!$A$6:$A$1005,0)),"MISSING ID")</x:f>
        <x:v>Unspecified</x:v>
      </x:c>
      <x:c r="R72" s="4" t="str">
        <x:f>IF(L72="Withheld","Withheld premise",IF(E72="Tool candidate","Reusable prerequisite",IF(K72="Raw entry preparation","Entry-resource preparation",IF(G72="Not applicable","Finished endpoint",IF(OR(IFERROR(INDEX('Crafting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routes'!$D$6:$D$1005,MATCH(U72,'Material routes'!$A$6:$A$1005,0)),"MISSING ID")</x:f>
        <x:v>proposal.natural.hematite</x:v>
      </x:c>
      <x:c r="T72" s="4" t="str">
        <x:f>IFERROR(INDEX('Material routes'!$D$6:$D$1005,MATCH(V72,'Material routes'!$A$6:$A$1005,0)),"MISSING ID")</x:f>
        <x:v>proposal.natural.iron_feed</x:v>
      </x:c>
      <x:c r="U72" s="4" t="str">
        <x:v>outline.input.25</x:v>
      </x:c>
      <x:c r="V72" s="4" t="str">
        <x:v>outline.output.25</x:v>
      </x:c>
    </x:row>
    <x:row r="73" ht="85" customHeight="1">
      <x:c r="A73" s="4" t="str">
        <x:f>IFERROR(INDEX('Material routes'!$E$6:$E$1005,MATCH(U73,'Material routes'!$A$6:$A$1005,0)),"MISSING ID")</x:f>
        <x:v>Dried tendon bundles</x:v>
      </x:c>
      <x:c r="B73" s="4" t="str">
        <x:f>IFERROR(INDEX('Material routes'!$F$6:$F$1005,MATCH(U73,'Material routes'!$A$6:$A$1005,0)),"MISSING ID")</x:f>
        <x:v>T0</x:v>
      </x:c>
      <x:c r="C73" s="4" t="str">
        <x:f>IFERROR(INDEX('Material routes'!$H$6:$H$1005,MATCH(U73,'Material routes'!$A$6:$A$1005,0)),"MISSING ID")</x:f>
        <x:v>Raw material</x:v>
      </x:c>
      <x:c r="D73" s="4" t="str">
        <x:f>IFERROR(INDEX('Material routes'!$G$6:$G$1005,MATCH(U73,'Material routes'!$A$6:$A$1005,0)),"MISSING ID")</x:f>
        <x:v>Resources</x:v>
      </x:c>
      <x:c r="E73" s="4" t="str">
        <x:f>IFERROR(INDEX('Material routes'!$C$6:$C$1005,MATCH(U73,'Material routes'!$A$6:$A$1005,0)),"MISSING ID")</x:f>
        <x:v>Ingredient candidate</x:v>
      </x:c>
      <x:c r="F73" s="4" t="str">
        <x:f>IFERROR(INDEX('Material routes'!$E$6:$E$1005,MATCH(V73,'Material routes'!$A$6:$A$1005,0)),"MISSING ID")</x:f>
        <x:v>Charcoal</x:v>
      </x:c>
      <x:c r="G73" s="4" t="str">
        <x:f>IFERROR(INDEX('Material routes'!$F$6:$F$1005,MATCH(V73,'Material routes'!$A$6:$A$1005,0)),"MISSING ID")</x:f>
        <x:v>Unassigned</x:v>
      </x:c>
      <x:c r="H73" s="4" t="str">
        <x:f>IFERROR(INDEX('Material routes'!$H$6:$H$1005,MATCH(V73,'Material routes'!$A$6:$A$1005,0)),"MISSING ID")</x:f>
        <x:v>Processed material</x:v>
      </x:c>
      <x:c r="I73" s="4" t="str">
        <x:f>IFERROR(INDEX('Material routes'!$G$6:$G$1005,MATCH(V73,'Material routes'!$A$6:$A$1005,0)),"MISSING ID")</x:f>
        <x:v>Resources</x:v>
      </x:c>
      <x:c r="J73" s="4" t="str">
        <x:f>IFERROR(INDEX('Material routes'!$B$6:$B$1005,MATCH(U73,'Material routes'!$A$6:$A$1005,0)),"MISSING ID")</x:f>
        <x:v>outline.resource_chain.26</x:v>
      </x:c>
      <x:c r="K73" s="4" t="str">
        <x:f>IFERROR(INDEX('Crafting recipes'!$C$6:$C$1005,MATCH(J73,'Crafting recipes'!$A$6:$A$1005,0)),"MISSING ID")</x:f>
        <x:v>Material refinement</x:v>
      </x:c>
      <x:c r="L73" s="4" t="str">
        <x:f>IFERROR(INDEX('Material routes'!$K$6:$K$1005,MATCH(U73,'Material routes'!$A$6:$A$1005,0)),"MISSING ID")</x:f>
        <x:v>Concept outline</x:v>
      </x:c>
      <x:c r="M73" s="4" t="str">
        <x:f>IFERROR(INDEX('Material routes'!$M$6:$M$1005,MATCH(U73,'Material routes'!$A$6:$A$1005,0)),"MISSING ID")</x:f>
        <x:v>Concept outline</x:v>
      </x:c>
      <x:c r="N73" s="4" t="str">
        <x:f>IF(IFERROR(INDEX('Material routes'!$I$6:$I$1005,MATCH(U73,'Material routes'!$A$6:$A$1005,0)),"MISSING ID")=0,"",IFERROR(INDEX('Material routes'!$I$6:$I$1005,MATCH(U73,'Material routes'!$A$6:$A$1005,0)),"MISSING ID"))</x:f>
      </x:c>
      <x:c r="O73" s="4" t="str">
        <x:f>IFERROR(INDEX('Material routes'!$J$6:$J$1005,MATCH(U73,'Material routes'!$A$6:$A$1005,0)),"MISSING ID")</x:f>
        <x:v>Unspecified</x:v>
      </x:c>
      <x:c r="P73" s="4" t="str">
        <x:f>IF(IFERROR(INDEX('Material routes'!$I$6:$I$1005,MATCH(V73,'Material routes'!$A$6:$A$1005,0)),"MISSING ID")=0,"",IFERROR(INDEX('Material routes'!$I$6:$I$1005,MATCH(V73,'Material routes'!$A$6:$A$1005,0)),"MISSING ID"))</x:f>
      </x:c>
      <x:c r="Q73" s="4" t="str">
        <x:f>IFERROR(INDEX('Material routes'!$J$6:$J$1005,MATCH(V73,'Material routes'!$A$6:$A$1005,0)),"MISSING ID")</x:f>
        <x:v>Unspecified</x:v>
      </x:c>
      <x:c r="R73" s="4" t="str">
        <x:f>IF(L73="Withheld","Withheld premise",IF(E73="Tool candidate","Reusable prerequisite",IF(K73="Raw entry preparation","Entry-resource preparation",IF(G73="Not applicable","Finished endpoint",IF(OR(IFERROR(INDEX('Crafting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Tier unresolved</x:v>
      </x:c>
      <x:c r="S73" s="4" t="str">
        <x:f>IFERROR(INDEX('Material routes'!$D$6:$D$1005,MATCH(U73,'Material routes'!$A$6:$A$1005,0)),"MISSING ID")</x:f>
        <x:v>proposal.bio.tendon</x:v>
      </x:c>
      <x:c r="T73" s="4" t="str">
        <x:f>IFERROR(INDEX('Material routes'!$D$6:$D$1005,MATCH(V73,'Material routes'!$A$6:$A$1005,0)),"MISSING ID")</x:f>
        <x:v>proposal.natural.charcoal</x:v>
      </x:c>
      <x:c r="U73" s="4" t="str">
        <x:v>outline.input.26</x:v>
      </x:c>
      <x:c r="V73" s="4" t="str">
        <x:v>outline.output.26</x:v>
      </x:c>
    </x:row>
    <x:row r="74" ht="85" customHeight="1">
      <x:c r="A74" s="4" t="str">
        <x:f>IFERROR(INDEX('Material routes'!$E$6:$E$1005,MATCH(U74,'Material routes'!$A$6:$A$1005,0)),"MISSING ID")</x:f>
        <x:v>Raw copper lump</x:v>
      </x:c>
      <x:c r="B74" s="4" t="str">
        <x:f>IFERROR(INDEX('Material routes'!$F$6:$F$1005,MATCH(U74,'Material routes'!$A$6:$A$1005,0)),"MISSING ID")</x:f>
        <x:v>T0</x:v>
      </x:c>
      <x:c r="C74" s="4" t="str">
        <x:f>IFERROR(INDEX('Material routes'!$H$6:$H$1005,MATCH(U74,'Material routes'!$A$6:$A$1005,0)),"MISSING ID")</x:f>
        <x:v>Processed material</x:v>
      </x:c>
      <x:c r="D74" s="4" t="str">
        <x:f>IFERROR(INDEX('Material routes'!$G$6:$G$1005,MATCH(U74,'Material routes'!$A$6:$A$1005,0)),"MISSING ID")</x:f>
        <x:v>Resources</x:v>
      </x:c>
      <x:c r="E74" s="4" t="str">
        <x:f>IFERROR(INDEX('Material routes'!$C$6:$C$1005,MATCH(U74,'Material routes'!$A$6:$A$1005,0)),"MISSING ID")</x:f>
        <x:v>Ingredient candidate</x:v>
      </x:c>
      <x:c r="F74" s="4" t="str">
        <x:f>IFERROR(INDEX('Material routes'!$E$6:$E$1005,MATCH(V74,'Material routes'!$A$6:$A$1005,0)),"MISSING ID")</x:f>
        <x:v>Static grounding kit</x:v>
      </x:c>
      <x:c r="G74" s="4" t="str">
        <x:f>IFERROR(INDEX('Material routes'!$F$6:$F$1005,MATCH(V74,'Material routes'!$A$6:$A$1005,0)),"MISSING ID")</x:f>
        <x:v>Not applicable</x:v>
      </x:c>
      <x:c r="H74" s="4" t="str">
        <x:f>IFERROR(INDEX('Material routes'!$H$6:$H$1005,MATCH(V74,'Material routes'!$A$6:$A$1005,0)),"MISSING ID")</x:f>
        <x:v>Tool</x:v>
      </x:c>
      <x:c r="I74" s="4" t="str">
        <x:f>IFERROR(INDEX('Material routes'!$G$6:$G$1005,MATCH(V74,'Material routes'!$A$6:$A$1005,0)),"MISSING ID")</x:f>
        <x:v>Equipment</x:v>
      </x:c>
      <x:c r="J74" s="4" t="str">
        <x:f>IFERROR(INDEX('Material routes'!$B$6:$B$1005,MATCH(U74,'Material routes'!$A$6:$A$1005,0)),"MISSING ID")</x:f>
        <x:v>outline.resource_chain.27</x:v>
      </x:c>
      <x:c r="K74" s="4" t="str">
        <x:f>IFERROR(INDEX('Crafting recipes'!$C$6:$C$1005,MATCH(J74,'Crafting recipes'!$A$6:$A$1005,0)),"MISSING ID")</x:f>
        <x:v>Finished-item crafting</x:v>
      </x:c>
      <x:c r="L74" s="4" t="str">
        <x:f>IFERROR(INDEX('Material routes'!$K$6:$K$1005,MATCH(U74,'Material routes'!$A$6:$A$1005,0)),"MISSING ID")</x:f>
        <x:v>Concept outline</x:v>
      </x:c>
      <x:c r="M74" s="4" t="str">
        <x:f>IFERROR(INDEX('Material routes'!$M$6:$M$1005,MATCH(U74,'Material routes'!$A$6:$A$1005,0)),"MISSING ID")</x:f>
        <x:v>Concept outline</x:v>
      </x:c>
      <x:c r="N74" s="4" t="str">
        <x:f>IF(IFERROR(INDEX('Material routes'!$I$6:$I$1005,MATCH(U74,'Material routes'!$A$6:$A$1005,0)),"MISSING ID")=0,"",IFERROR(INDEX('Material routes'!$I$6:$I$1005,MATCH(U74,'Material routes'!$A$6:$A$1005,0)),"MISSING ID"))</x:f>
      </x:c>
      <x:c r="O74" s="4" t="str">
        <x:f>IFERROR(INDEX('Material routes'!$J$6:$J$1005,MATCH(U74,'Material routes'!$A$6:$A$1005,0)),"MISSING ID")</x:f>
        <x:v>Unspecified</x:v>
      </x:c>
      <x:c r="P74" s="4" t="str">
        <x:f>IF(IFERROR(INDEX('Material routes'!$I$6:$I$1005,MATCH(V74,'Material routes'!$A$6:$A$1005,0)),"MISSING ID")=0,"",IFERROR(INDEX('Material routes'!$I$6:$I$1005,MATCH(V74,'Material routes'!$A$6:$A$1005,0)),"MISSING ID"))</x:f>
      </x:c>
      <x:c r="Q74" s="4" t="str">
        <x:f>IFERROR(INDEX('Material routes'!$J$6:$J$1005,MATCH(V74,'Material routes'!$A$6:$A$1005,0)),"MISSING ID")</x:f>
        <x:v>Unspecified</x:v>
      </x:c>
      <x:c r="R74" s="4" t="str">
        <x:f>IF(L74="Withheld","Withheld premise",IF(E74="Tool candidate","Reusable prerequisite",IF(K74="Raw entry preparation","Entry-resource preparation",IF(G74="Not applicable","Finished endpoint",IF(OR(IFERROR(INDEX('Crafting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routes'!$D$6:$D$1005,MATCH(U74,'Material routes'!$A$6:$A$1005,0)),"MISSING ID")</x:f>
        <x:v>proposal.natural.raw_copper</x:v>
      </x:c>
      <x:c r="T74" s="4" t="str">
        <x:f>IFERROR(INDEX('Material routes'!$D$6:$D$1005,MATCH(V74,'Material routes'!$A$6:$A$1005,0)),"MISSING ID")</x:f>
        <x:v>proposal.gear.grounding_kit</x:v>
      </x:c>
      <x:c r="U74" s="4" t="str">
        <x:v>outline.input.27</x:v>
      </x:c>
      <x:c r="V74" s="4" t="str">
        <x:v>outline.output.27</x:v>
      </x:c>
    </x:row>
    <x:row r="75" ht="85" customHeight="1">
      <x:c r="A75" s="4" t="str">
        <x:f>IFERROR(INDEX('Material routes'!$E$6:$E$1005,MATCH(U75,'Material routes'!$A$6:$A$1005,0)),"MISSING ID")</x:f>
        <x:v>Shell husks / shed plates</x:v>
      </x:c>
      <x:c r="B75" s="4" t="str">
        <x:f>IFERROR(INDEX('Material routes'!$F$6:$F$1005,MATCH(U75,'Material routes'!$A$6:$A$1005,0)),"MISSING ID")</x:f>
        <x:v>T0</x:v>
      </x:c>
      <x:c r="C75" s="4" t="str">
        <x:f>IFERROR(INDEX('Material routes'!$H$6:$H$1005,MATCH(U75,'Material routes'!$A$6:$A$1005,0)),"MISSING ID")</x:f>
        <x:v>Raw material</x:v>
      </x:c>
      <x:c r="D75" s="4" t="str">
        <x:f>IFERROR(INDEX('Material routes'!$G$6:$G$1005,MATCH(U75,'Material routes'!$A$6:$A$1005,0)),"MISSING ID")</x:f>
        <x:v>Resources</x:v>
      </x:c>
      <x:c r="E75" s="4" t="str">
        <x:f>IFERROR(INDEX('Material routes'!$C$6:$C$1005,MATCH(U75,'Material routes'!$A$6:$A$1005,0)),"MISSING ID")</x:f>
        <x:v>Ingredient candidate</x:v>
      </x:c>
      <x:c r="F75" s="4" t="str">
        <x:f>IFERROR(INDEX('Material routes'!$E$6:$E$1005,MATCH(V75,'Material routes'!$A$6:$A$1005,0)),"MISSING ID")</x:f>
        <x:v>Scraped chitin fibers</x:v>
      </x:c>
      <x:c r="G75" s="4" t="str">
        <x:f>IFERROR(INDEX('Material routes'!$F$6:$F$1005,MATCH(V75,'Material routes'!$A$6:$A$1005,0)),"MISSING ID")</x:f>
        <x:v>T0</x:v>
      </x:c>
      <x:c r="H75" s="4" t="str">
        <x:f>IFERROR(INDEX('Material routes'!$H$6:$H$1005,MATCH(V75,'Material routes'!$A$6:$A$1005,0)),"MISSING ID")</x:f>
        <x:v>Raw material</x:v>
      </x:c>
      <x:c r="I75" s="4" t="str">
        <x:f>IFERROR(INDEX('Material routes'!$G$6:$G$1005,MATCH(V75,'Material routes'!$A$6:$A$1005,0)),"MISSING ID")</x:f>
        <x:v>Resources</x:v>
      </x:c>
      <x:c r="J75" s="4" t="str">
        <x:f>IFERROR(INDEX('Material routes'!$B$6:$B$1005,MATCH(U75,'Material routes'!$A$6:$A$1005,0)),"MISSING ID")</x:f>
        <x:v>outline.resource_chain.28</x:v>
      </x:c>
      <x:c r="K75" s="4" t="str">
        <x:f>IFERROR(INDEX('Crafting recipes'!$C$6:$C$1005,MATCH(J75,'Crafting recipes'!$A$6:$A$1005,0)),"MISSING ID")</x:f>
        <x:v>Raw entry preparation</x:v>
      </x:c>
      <x:c r="L75" s="4" t="str">
        <x:f>IFERROR(INDEX('Material routes'!$K$6:$K$1005,MATCH(U75,'Material routes'!$A$6:$A$1005,0)),"MISSING ID")</x:f>
        <x:v>Concept outline</x:v>
      </x:c>
      <x:c r="M75" s="4" t="str">
        <x:f>IFERROR(INDEX('Material routes'!$M$6:$M$1005,MATCH(U75,'Material routes'!$A$6:$A$1005,0)),"MISSING ID")</x:f>
        <x:v>Concept outline</x:v>
      </x:c>
      <x:c r="N75" s="4" t="str">
        <x:f>IF(IFERROR(INDEX('Material routes'!$I$6:$I$1005,MATCH(U75,'Material routes'!$A$6:$A$1005,0)),"MISSING ID")=0,"",IFERROR(INDEX('Material routes'!$I$6:$I$1005,MATCH(U75,'Material routes'!$A$6:$A$1005,0)),"MISSING ID"))</x:f>
      </x:c>
      <x:c r="O75" s="4" t="str">
        <x:f>IFERROR(INDEX('Material routes'!$J$6:$J$1005,MATCH(U75,'Material routes'!$A$6:$A$1005,0)),"MISSING ID")</x:f>
        <x:v>Unspecified</x:v>
      </x:c>
      <x:c r="P75" s="4" t="str">
        <x:f>IF(IFERROR(INDEX('Material routes'!$I$6:$I$1005,MATCH(V75,'Material routes'!$A$6:$A$1005,0)),"MISSING ID")=0,"",IFERROR(INDEX('Material routes'!$I$6:$I$1005,MATCH(V75,'Material routes'!$A$6:$A$1005,0)),"MISSING ID"))</x:f>
      </x:c>
      <x:c r="Q75" s="4" t="str">
        <x:f>IFERROR(INDEX('Material routes'!$J$6:$J$1005,MATCH(V75,'Material routes'!$A$6:$A$1005,0)),"MISSING ID")</x:f>
        <x:v>Unspecified</x:v>
      </x:c>
      <x:c r="R75" s="4" t="str">
        <x:f>IF(L75="Withheld","Withheld premise",IF(E75="Tool candidate","Reusable prerequisite",IF(K75="Raw entry preparation","Entry-resource preparation",IF(G75="Not applicable","Finished endpoint",IF(OR(IFERROR(INDEX('Crafting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routes'!$D$6:$D$1005,MATCH(U75,'Material routes'!$A$6:$A$1005,0)),"MISSING ID")</x:f>
        <x:v>proposal.bio.shell</x:v>
      </x:c>
      <x:c r="T75" s="4" t="str">
        <x:f>IFERROR(INDEX('Material routes'!$D$6:$D$1005,MATCH(V75,'Material routes'!$A$6:$A$1005,0)),"MISSING ID")</x:f>
        <x:v>proposal.bio.chitin_fibers</x:v>
      </x:c>
      <x:c r="U75" s="4" t="str">
        <x:v>outline.input.28</x:v>
      </x:c>
      <x:c r="V75" s="4" t="str">
        <x:v>outline.output.28</x:v>
      </x:c>
    </x:row>
    <x:row r="76" ht="85" customHeight="1">
      <x:c r="A76" s="4" t="str">
        <x:f>IFERROR(INDEX('Material routes'!$E$6:$E$1005,MATCH(U76,'Material routes'!$A$6:$A$1005,0)),"MISSING ID")</x:f>
        <x:v>Shell husks / shed plates</x:v>
      </x:c>
      <x:c r="B76" s="4" t="str">
        <x:f>IFERROR(INDEX('Material routes'!$F$6:$F$1005,MATCH(U76,'Material routes'!$A$6:$A$1005,0)),"MISSING ID")</x:f>
        <x:v>T0</x:v>
      </x:c>
      <x:c r="C76" s="4" t="str">
        <x:f>IFERROR(INDEX('Material routes'!$H$6:$H$1005,MATCH(U76,'Material routes'!$A$6:$A$1005,0)),"MISSING ID")</x:f>
        <x:v>Raw material</x:v>
      </x:c>
      <x:c r="D76" s="4" t="str">
        <x:f>IFERROR(INDEX('Material routes'!$G$6:$G$1005,MATCH(U76,'Material routes'!$A$6:$A$1005,0)),"MISSING ID")</x:f>
        <x:v>Resources</x:v>
      </x:c>
      <x:c r="E76" s="4" t="str">
        <x:f>IFERROR(INDEX('Material routes'!$C$6:$C$1005,MATCH(U76,'Material routes'!$A$6:$A$1005,0)),"MISSING ID")</x:f>
        <x:v>Ingredient candidate</x:v>
      </x:c>
      <x:c r="F76" s="4" t="str">
        <x:f>IFERROR(INDEX('Material routes'!$E$6:$E$1005,MATCH(V76,'Material routes'!$A$6:$A$1005,0)),"MISSING ID")</x:f>
        <x:v>Scraped icore fibers</x:v>
      </x:c>
      <x:c r="G76" s="4" t="str">
        <x:f>IFERROR(INDEX('Material routes'!$F$6:$F$1005,MATCH(V76,'Material routes'!$A$6:$A$1005,0)),"MISSING ID")</x:f>
        <x:v>T0</x:v>
      </x:c>
      <x:c r="H76" s="4" t="str">
        <x:f>IFERROR(INDEX('Material routes'!$H$6:$H$1005,MATCH(V76,'Material routes'!$A$6:$A$1005,0)),"MISSING ID")</x:f>
        <x:v>Raw material</x:v>
      </x:c>
      <x:c r="I76" s="4" t="str">
        <x:f>IFERROR(INDEX('Material routes'!$G$6:$G$1005,MATCH(V76,'Material routes'!$A$6:$A$1005,0)),"MISSING ID")</x:f>
        <x:v>Resources</x:v>
      </x:c>
      <x:c r="J76" s="4" t="str">
        <x:f>IFERROR(INDEX('Material routes'!$B$6:$B$1005,MATCH(U76,'Material routes'!$A$6:$A$1005,0)),"MISSING ID")</x:f>
        <x:v>outline.resource_chain.29</x:v>
      </x:c>
      <x:c r="K76" s="4" t="str">
        <x:f>IFERROR(INDEX('Crafting recipes'!$C$6:$C$1005,MATCH(J76,'Crafting recipes'!$A$6:$A$1005,0)),"MISSING ID")</x:f>
        <x:v>Raw entry preparation</x:v>
      </x:c>
      <x:c r="L76" s="4" t="str">
        <x:f>IFERROR(INDEX('Material routes'!$K$6:$K$1005,MATCH(U76,'Material routes'!$A$6:$A$1005,0)),"MISSING ID")</x:f>
        <x:v>Concept outline</x:v>
      </x:c>
      <x:c r="M76" s="4" t="str">
        <x:f>IFERROR(INDEX('Material routes'!$M$6:$M$1005,MATCH(U76,'Material routes'!$A$6:$A$1005,0)),"MISSING ID")</x:f>
        <x:v>Concept outline</x:v>
      </x:c>
      <x:c r="N76" s="4" t="str">
        <x:f>IF(IFERROR(INDEX('Material routes'!$I$6:$I$1005,MATCH(U76,'Material routes'!$A$6:$A$1005,0)),"MISSING ID")=0,"",IFERROR(INDEX('Material routes'!$I$6:$I$1005,MATCH(U76,'Material routes'!$A$6:$A$1005,0)),"MISSING ID"))</x:f>
      </x:c>
      <x:c r="O76" s="4" t="str">
        <x:f>IFERROR(INDEX('Material routes'!$J$6:$J$1005,MATCH(U76,'Material routes'!$A$6:$A$1005,0)),"MISSING ID")</x:f>
        <x:v>Unspecified</x:v>
      </x:c>
      <x:c r="P76" s="4" t="str">
        <x:f>IF(IFERROR(INDEX('Material routes'!$I$6:$I$1005,MATCH(V76,'Material routes'!$A$6:$A$1005,0)),"MISSING ID")=0,"",IFERROR(INDEX('Material routes'!$I$6:$I$1005,MATCH(V76,'Material routes'!$A$6:$A$1005,0)),"MISSING ID"))</x:f>
      </x:c>
      <x:c r="Q76" s="4" t="str">
        <x:f>IFERROR(INDEX('Material routes'!$J$6:$J$1005,MATCH(V76,'Material routes'!$A$6:$A$1005,0)),"MISSING ID")</x:f>
        <x:v>Unspecified</x:v>
      </x:c>
      <x:c r="R76" s="4" t="str">
        <x:f>IF(L76="Withheld","Withheld premise",IF(E76="Tool candidate","Reusable prerequisite",IF(K76="Raw entry preparation","Entry-resource preparation",IF(G76="Not applicable","Finished endpoint",IF(OR(IFERROR(INDEX('Crafting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routes'!$D$6:$D$1005,MATCH(U76,'Material routes'!$A$6:$A$1005,0)),"MISSING ID")</x:f>
        <x:v>proposal.bio.shell</x:v>
      </x:c>
      <x:c r="T76" s="4" t="str">
        <x:f>IFERROR(INDEX('Material routes'!$D$6:$D$1005,MATCH(V76,'Material routes'!$A$6:$A$1005,0)),"MISSING ID")</x:f>
        <x:v>proposal.bio.icore_fibers</x:v>
      </x:c>
      <x:c r="U76" s="4" t="str">
        <x:v>outline.input.29</x:v>
      </x:c>
      <x:c r="V76" s="4" t="str">
        <x:v>outline.output.29</x:v>
      </x:c>
    </x:row>
    <x:row r="77" ht="85" customHeight="1">
      <x:c r="A77" s="4" t="str">
        <x:f>IFERROR(INDEX('Material routes'!$E$6:$E$1005,MATCH(U77,'Material routes'!$A$6:$A$1005,0)),"MISSING ID")</x:f>
        <x:v>Scraped chitin fibers</x:v>
      </x:c>
      <x:c r="B77" s="4" t="str">
        <x:f>IFERROR(INDEX('Material routes'!$F$6:$F$1005,MATCH(U77,'Material routes'!$A$6:$A$1005,0)),"MISSING ID")</x:f>
        <x:v>T0</x:v>
      </x:c>
      <x:c r="C77" s="4" t="str">
        <x:f>IFERROR(INDEX('Material routes'!$H$6:$H$1005,MATCH(U77,'Material routes'!$A$6:$A$1005,0)),"MISSING ID")</x:f>
        <x:v>Raw material</x:v>
      </x:c>
      <x:c r="D77" s="4" t="str">
        <x:f>IFERROR(INDEX('Material routes'!$G$6:$G$1005,MATCH(U77,'Material routes'!$A$6:$A$1005,0)),"MISSING ID")</x:f>
        <x:v>Resources</x:v>
      </x:c>
      <x:c r="E77" s="4" t="str">
        <x:f>IFERROR(INDEX('Material routes'!$C$6:$C$1005,MATCH(U77,'Material routes'!$A$6:$A$1005,0)),"MISSING ID")</x:f>
        <x:v>Ingredient candidate</x:v>
      </x:c>
      <x:c r="F77" s="4" t="str">
        <x:f>IFERROR(INDEX('Material routes'!$E$6:$E$1005,MATCH(V77,'Material routes'!$A$6:$A$1005,0)),"MISSING ID")</x:f>
        <x:v>Husk-fiber paper</x:v>
      </x:c>
      <x:c r="G77" s="4" t="str">
        <x:f>IFERROR(INDEX('Material routes'!$F$6:$F$1005,MATCH(V77,'Material routes'!$A$6:$A$1005,0)),"MISSING ID")</x:f>
        <x:v>T2</x:v>
      </x:c>
      <x:c r="H77" s="4" t="str">
        <x:f>IFERROR(INDEX('Material routes'!$H$6:$H$1005,MATCH(V77,'Material routes'!$A$6:$A$1005,0)),"MISSING ID")</x:f>
        <x:v>Processed material</x:v>
      </x:c>
      <x:c r="I77" s="4" t="str">
        <x:f>IFERROR(INDEX('Material routes'!$G$6:$G$1005,MATCH(V77,'Material routes'!$A$6:$A$1005,0)),"MISSING ID")</x:f>
        <x:v>Crafting components</x:v>
      </x:c>
      <x:c r="J77" s="4" t="str">
        <x:f>IFERROR(INDEX('Material routes'!$B$6:$B$1005,MATCH(U77,'Material routes'!$A$6:$A$1005,0)),"MISSING ID")</x:f>
        <x:v>outline.resource_chain.30</x:v>
      </x:c>
      <x:c r="K77" s="4" t="str">
        <x:f>IFERROR(INDEX('Crafting recipes'!$C$6:$C$1005,MATCH(J77,'Crafting recipes'!$A$6:$A$1005,0)),"MISSING ID")</x:f>
        <x:v>Material refinement</x:v>
      </x:c>
      <x:c r="L77" s="4" t="str">
        <x:f>IFERROR(INDEX('Material routes'!$K$6:$K$1005,MATCH(U77,'Material routes'!$A$6:$A$1005,0)),"MISSING ID")</x:f>
        <x:v>Needs tier review</x:v>
      </x:c>
      <x:c r="M77" s="4" t="str">
        <x:f>IFERROR(INDEX('Material routes'!$M$6:$M$1005,MATCH(U77,'Material routes'!$A$6:$A$1005,0)),"MISSING ID")</x:f>
        <x:v>Concept outline</x:v>
      </x:c>
      <x:c r="N77" s="4" t="str">
        <x:f>IF(IFERROR(INDEX('Material routes'!$I$6:$I$1005,MATCH(U77,'Material routes'!$A$6:$A$1005,0)),"MISSING ID")=0,"",IFERROR(INDEX('Material routes'!$I$6:$I$1005,MATCH(U77,'Material routes'!$A$6:$A$1005,0)),"MISSING ID"))</x:f>
      </x:c>
      <x:c r="O77" s="4" t="str">
        <x:f>IFERROR(INDEX('Material routes'!$J$6:$J$1005,MATCH(U77,'Material routes'!$A$6:$A$1005,0)),"MISSING ID")</x:f>
        <x:v>Unspecified</x:v>
      </x:c>
      <x:c r="P77" s="4" t="str">
        <x:f>IF(IFERROR(INDEX('Material routes'!$I$6:$I$1005,MATCH(V77,'Material routes'!$A$6:$A$1005,0)),"MISSING ID")=0,"",IFERROR(INDEX('Material routes'!$I$6:$I$1005,MATCH(V77,'Material routes'!$A$6:$A$1005,0)),"MISSING ID"))</x:f>
      </x:c>
      <x:c r="Q77" s="4" t="str">
        <x:f>IFERROR(INDEX('Material routes'!$J$6:$J$1005,MATCH(V77,'Material routes'!$A$6:$A$1005,0)),"MISSING ID")</x:f>
        <x:v>Unspecified</x:v>
      </x:c>
      <x:c r="R77" s="4" t="str">
        <x:f>IF(L77="Withheld","Withheld premise",IF(E77="Tool candidate","Reusable prerequisite",IF(K77="Raw entry preparation","Entry-resource preparation",IF(G77="Not applicable","Finished endpoint",IF(OR(IFERROR(INDEX('Crafting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routes'!$D$6:$D$1005,MATCH(U77,'Material routes'!$A$6:$A$1005,0)),"MISSING ID")</x:f>
        <x:v>proposal.bio.chitin_fibers</x:v>
      </x:c>
      <x:c r="T77" s="4" t="str">
        <x:f>IFERROR(INDEX('Material routes'!$D$6:$D$1005,MATCH(V77,'Material routes'!$A$6:$A$1005,0)),"MISSING ID")</x:f>
        <x:v>proposal.bio.husk_paper</x:v>
      </x:c>
      <x:c r="U77" s="4" t="str">
        <x:v>outline.input.30</x:v>
      </x:c>
      <x:c r="V77" s="4" t="str">
        <x:v>outline.output.30</x:v>
      </x:c>
    </x:row>
    <x:row r="78" ht="85" customHeight="1">
      <x:c r="A78" s="4" t="str">
        <x:f>IFERROR(INDEX('Material routes'!$E$6:$E$1005,MATCH(U78,'Material routes'!$A$6:$A$1005,0)),"MISSING ID")</x:f>
        <x:v>Scraped icore fibers</x:v>
      </x:c>
      <x:c r="B78" s="4" t="str">
        <x:f>IFERROR(INDEX('Material routes'!$F$6:$F$1005,MATCH(U78,'Material routes'!$A$6:$A$1005,0)),"MISSING ID")</x:f>
        <x:v>T0</x:v>
      </x:c>
      <x:c r="C78" s="4" t="str">
        <x:f>IFERROR(INDEX('Material routes'!$H$6:$H$1005,MATCH(U78,'Material routes'!$A$6:$A$1005,0)),"MISSING ID")</x:f>
        <x:v>Raw material</x:v>
      </x:c>
      <x:c r="D78" s="4" t="str">
        <x:f>IFERROR(INDEX('Material routes'!$G$6:$G$1005,MATCH(U78,'Material routes'!$A$6:$A$1005,0)),"MISSING ID")</x:f>
        <x:v>Resources</x:v>
      </x:c>
      <x:c r="E78" s="4" t="str">
        <x:f>IFERROR(INDEX('Material routes'!$C$6:$C$1005,MATCH(U78,'Material routes'!$A$6:$A$1005,0)),"MISSING ID")</x:f>
        <x:v>Ingredient candidate</x:v>
      </x:c>
      <x:c r="F78" s="4" t="str">
        <x:f>IFERROR(INDEX('Material routes'!$E$6:$E$1005,MATCH(V78,'Material routes'!$A$6:$A$1005,0)),"MISSING ID")</x:f>
        <x:v>Husk-fiber paper</x:v>
      </x:c>
      <x:c r="G78" s="4" t="str">
        <x:f>IFERROR(INDEX('Material routes'!$F$6:$F$1005,MATCH(V78,'Material routes'!$A$6:$A$1005,0)),"MISSING ID")</x:f>
        <x:v>T2</x:v>
      </x:c>
      <x:c r="H78" s="4" t="str">
        <x:f>IFERROR(INDEX('Material routes'!$H$6:$H$1005,MATCH(V78,'Material routes'!$A$6:$A$1005,0)),"MISSING ID")</x:f>
        <x:v>Processed material</x:v>
      </x:c>
      <x:c r="I78" s="4" t="str">
        <x:f>IFERROR(INDEX('Material routes'!$G$6:$G$1005,MATCH(V78,'Material routes'!$A$6:$A$1005,0)),"MISSING ID")</x:f>
        <x:v>Crafting components</x:v>
      </x:c>
      <x:c r="J78" s="4" t="str">
        <x:f>IFERROR(INDEX('Material routes'!$B$6:$B$1005,MATCH(U78,'Material routes'!$A$6:$A$1005,0)),"MISSING ID")</x:f>
        <x:v>outline.resource_chain.31</x:v>
      </x:c>
      <x:c r="K78" s="4" t="str">
        <x:f>IFERROR(INDEX('Crafting recipes'!$C$6:$C$1005,MATCH(J78,'Crafting recipes'!$A$6:$A$1005,0)),"MISSING ID")</x:f>
        <x:v>Material refinement</x:v>
      </x:c>
      <x:c r="L78" s="4" t="str">
        <x:f>IFERROR(INDEX('Material routes'!$K$6:$K$1005,MATCH(U78,'Material routes'!$A$6:$A$1005,0)),"MISSING ID")</x:f>
        <x:v>Needs tier review</x:v>
      </x:c>
      <x:c r="M78" s="4" t="str">
        <x:f>IFERROR(INDEX('Material routes'!$M$6:$M$1005,MATCH(U78,'Material routes'!$A$6:$A$1005,0)),"MISSING ID")</x:f>
        <x:v>Concept outline</x:v>
      </x:c>
      <x:c r="N78" s="4" t="str">
        <x:f>IF(IFERROR(INDEX('Material routes'!$I$6:$I$1005,MATCH(U78,'Material routes'!$A$6:$A$1005,0)),"MISSING ID")=0,"",IFERROR(INDEX('Material routes'!$I$6:$I$1005,MATCH(U78,'Material routes'!$A$6:$A$1005,0)),"MISSING ID"))</x:f>
      </x:c>
      <x:c r="O78" s="4" t="str">
        <x:f>IFERROR(INDEX('Material routes'!$J$6:$J$1005,MATCH(U78,'Material routes'!$A$6:$A$1005,0)),"MISSING ID")</x:f>
        <x:v>Unspecified</x:v>
      </x:c>
      <x:c r="P78" s="4" t="str">
        <x:f>IF(IFERROR(INDEX('Material routes'!$I$6:$I$1005,MATCH(V78,'Material routes'!$A$6:$A$1005,0)),"MISSING ID")=0,"",IFERROR(INDEX('Material routes'!$I$6:$I$1005,MATCH(V78,'Material routes'!$A$6:$A$1005,0)),"MISSING ID"))</x:f>
      </x:c>
      <x:c r="Q78" s="4" t="str">
        <x:f>IFERROR(INDEX('Material routes'!$J$6:$J$1005,MATCH(V78,'Material routes'!$A$6:$A$1005,0)),"MISSING ID")</x:f>
        <x:v>Unspecified</x:v>
      </x:c>
      <x:c r="R78" s="4" t="str">
        <x:f>IF(L78="Withheld","Withheld premise",IF(E78="Tool candidate","Reusable prerequisite",IF(K78="Raw entry preparation","Entry-resource preparation",IF(G78="Not applicable","Finished endpoint",IF(OR(IFERROR(INDEX('Crafting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routes'!$D$6:$D$1005,MATCH(U78,'Material routes'!$A$6:$A$1005,0)),"MISSING ID")</x:f>
        <x:v>proposal.bio.icore_fibers</x:v>
      </x:c>
      <x:c r="T78" s="4" t="str">
        <x:f>IFERROR(INDEX('Material routes'!$D$6:$D$1005,MATCH(V78,'Material routes'!$A$6:$A$1005,0)),"MISSING ID")</x:f>
        <x:v>proposal.bio.husk_paper</x:v>
      </x:c>
      <x:c r="U78" s="4" t="str">
        <x:v>outline.input.31</x:v>
      </x:c>
      <x:c r="V78" s="4" t="str">
        <x:v>outline.output.31</x:v>
      </x:c>
    </x:row>
    <x:row r="79" ht="85" customHeight="1">
      <x:c r="A79" s="4" t="str">
        <x:f>IFERROR(INDEX('Material routes'!$E$6:$E$1005,MATCH(U79,'Material routes'!$A$6:$A$1005,0)),"MISSING ID")</x:f>
        <x:v>Scraped chitin fibers</x:v>
      </x:c>
      <x:c r="B79" s="4" t="str">
        <x:f>IFERROR(INDEX('Material routes'!$F$6:$F$1005,MATCH(U79,'Material routes'!$A$6:$A$1005,0)),"MISSING ID")</x:f>
        <x:v>T0</x:v>
      </x:c>
      <x:c r="C79" s="4" t="str">
        <x:f>IFERROR(INDEX('Material routes'!$H$6:$H$1005,MATCH(U79,'Material routes'!$A$6:$A$1005,0)),"MISSING ID")</x:f>
        <x:v>Raw material</x:v>
      </x:c>
      <x:c r="D79" s="4" t="str">
        <x:f>IFERROR(INDEX('Material routes'!$G$6:$G$1005,MATCH(U79,'Material routes'!$A$6:$A$1005,0)),"MISSING ID")</x:f>
        <x:v>Resources</x:v>
      </x:c>
      <x:c r="E79" s="4" t="str">
        <x:f>IFERROR(INDEX('Material routes'!$C$6:$C$1005,MATCH(U79,'Material routes'!$A$6:$A$1005,0)),"MISSING ID")</x:f>
        <x:v>Ingredient candidate</x:v>
      </x:c>
      <x:c r="F79" s="4" t="str">
        <x:f>IFERROR(INDEX('Material routes'!$E$6:$E$1005,MATCH(V79,'Material routes'!$A$6:$A$1005,0)),"MISSING ID")</x:f>
        <x:v>Pressed husk-fiber textile material</x:v>
      </x:c>
      <x:c r="G79" s="4" t="str">
        <x:f>IFERROR(INDEX('Material routes'!$F$6:$F$1005,MATCH(V79,'Material routes'!$A$6:$A$1005,0)),"MISSING ID")</x:f>
        <x:v>T1</x:v>
      </x:c>
      <x:c r="H79" s="4" t="str">
        <x:f>IFERROR(INDEX('Material routes'!$H$6:$H$1005,MATCH(V79,'Material routes'!$A$6:$A$1005,0)),"MISSING ID")</x:f>
        <x:v>Processed material</x:v>
      </x:c>
      <x:c r="I79" s="4" t="str">
        <x:f>IFERROR(INDEX('Material routes'!$G$6:$G$1005,MATCH(V79,'Material routes'!$A$6:$A$1005,0)),"MISSING ID")</x:f>
        <x:v>Crafting components</x:v>
      </x:c>
      <x:c r="J79" s="4" t="str">
        <x:f>IFERROR(INDEX('Material routes'!$B$6:$B$1005,MATCH(U79,'Material routes'!$A$6:$A$1005,0)),"MISSING ID")</x:f>
        <x:v>outline.resource_chain.32</x:v>
      </x:c>
      <x:c r="K79" s="4" t="str">
        <x:f>IFERROR(INDEX('Crafting recipes'!$C$6:$C$1005,MATCH(J79,'Crafting recipes'!$A$6:$A$1005,0)),"MISSING ID")</x:f>
        <x:v>Material refinement</x:v>
      </x:c>
      <x:c r="L79" s="4" t="str">
        <x:f>IFERROR(INDEX('Material routes'!$K$6:$K$1005,MATCH(U79,'Material routes'!$A$6:$A$1005,0)),"MISSING ID")</x:f>
        <x:v>Concept outline</x:v>
      </x:c>
      <x:c r="M79" s="4" t="str">
        <x:f>IFERROR(INDEX('Material routes'!$M$6:$M$1005,MATCH(U79,'Material routes'!$A$6:$A$1005,0)),"MISSING ID")</x:f>
        <x:v>Concept outline</x:v>
      </x:c>
      <x:c r="N79" s="4" t="str">
        <x:f>IF(IFERROR(INDEX('Material routes'!$I$6:$I$1005,MATCH(U79,'Material routes'!$A$6:$A$1005,0)),"MISSING ID")=0,"",IFERROR(INDEX('Material routes'!$I$6:$I$1005,MATCH(U79,'Material routes'!$A$6:$A$1005,0)),"MISSING ID"))</x:f>
      </x:c>
      <x:c r="O79" s="4" t="str">
        <x:f>IFERROR(INDEX('Material routes'!$J$6:$J$1005,MATCH(U79,'Material routes'!$A$6:$A$1005,0)),"MISSING ID")</x:f>
        <x:v>Unspecified</x:v>
      </x:c>
      <x:c r="P79" s="4" t="str">
        <x:f>IF(IFERROR(INDEX('Material routes'!$I$6:$I$1005,MATCH(V79,'Material routes'!$A$6:$A$1005,0)),"MISSING ID")=0,"",IFERROR(INDEX('Material routes'!$I$6:$I$1005,MATCH(V79,'Material routes'!$A$6:$A$1005,0)),"MISSING ID"))</x:f>
      </x:c>
      <x:c r="Q79" s="4" t="str">
        <x:f>IFERROR(INDEX('Material routes'!$J$6:$J$1005,MATCH(V79,'Material routes'!$A$6:$A$1005,0)),"MISSING ID")</x:f>
        <x:v>Unspecified</x:v>
      </x:c>
      <x:c r="R79" s="4" t="str">
        <x:f>IF(L79="Withheld","Withheld premise",IF(E79="Tool candidate","Reusable prerequisite",IF(K79="Raw entry preparation","Entry-resource preparation",IF(G79="Not applicable","Finished endpoint",IF(OR(IFERROR(INDEX('Crafting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routes'!$D$6:$D$1005,MATCH(U79,'Material routes'!$A$6:$A$1005,0)),"MISSING ID")</x:f>
        <x:v>proposal.bio.chitin_fibers</x:v>
      </x:c>
      <x:c r="T79" s="4" t="str">
        <x:f>IFERROR(INDEX('Material routes'!$D$6:$D$1005,MATCH(V79,'Material routes'!$A$6:$A$1005,0)),"MISSING ID")</x:f>
        <x:v>proposal.bio.pressed_husk</x:v>
      </x:c>
      <x:c r="U79" s="4" t="str">
        <x:v>outline.input.32</x:v>
      </x:c>
      <x:c r="V79" s="4" t="str">
        <x:v>outline.output.32</x:v>
      </x:c>
    </x:row>
    <x:row r="80" ht="85" customHeight="1">
      <x:c r="A80" s="4" t="str">
        <x:f>IFERROR(INDEX('Material routes'!$E$6:$E$1005,MATCH(U80,'Material routes'!$A$6:$A$1005,0)),"MISSING ID")</x:f>
        <x:v>Husk-fiber paper</x:v>
      </x:c>
      <x:c r="B80" s="4" t="str">
        <x:f>IFERROR(INDEX('Material routes'!$F$6:$F$1005,MATCH(U80,'Material routes'!$A$6:$A$1005,0)),"MISSING ID")</x:f>
        <x:v>T2</x:v>
      </x:c>
      <x:c r="C80" s="4" t="str">
        <x:f>IFERROR(INDEX('Material routes'!$H$6:$H$1005,MATCH(U80,'Material routes'!$A$6:$A$1005,0)),"MISSING ID")</x:f>
        <x:v>Processed material</x:v>
      </x:c>
      <x:c r="D80" s="4" t="str">
        <x:f>IFERROR(INDEX('Material routes'!$G$6:$G$1005,MATCH(U80,'Material routes'!$A$6:$A$1005,0)),"MISSING ID")</x:f>
        <x:v>Crafting components</x:v>
      </x:c>
      <x:c r="E80" s="4" t="str">
        <x:f>IFERROR(INDEX('Material routes'!$C$6:$C$1005,MATCH(U80,'Material routes'!$A$6:$A$1005,0)),"MISSING ID")</x:f>
        <x:v>Ingredient candidate</x:v>
      </x:c>
      <x:c r="F80" s="4" t="str">
        <x:f>IFERROR(INDEX('Material routes'!$E$6:$E$1005,MATCH(V80,'Material routes'!$A$6:$A$1005,0)),"MISSING ID")</x:f>
        <x:v>Husk-paper prayer leaf</x:v>
      </x:c>
      <x:c r="G80" s="4" t="str">
        <x:f>IFERROR(INDEX('Material routes'!$F$6:$F$1005,MATCH(V80,'Material routes'!$A$6:$A$1005,0)),"MISSING ID")</x:f>
        <x:v>Not applicable</x:v>
      </x:c>
      <x:c r="H80" s="4" t="str">
        <x:f>IFERROR(INDEX('Material routes'!$H$6:$H$1005,MATCH(V80,'Material routes'!$A$6:$A$1005,0)),"MISSING ID")</x:f>
        <x:v>Document</x:v>
      </x:c>
      <x:c r="I80" s="4" t="str">
        <x:f>IFERROR(INDEX('Material routes'!$G$6:$G$1005,MATCH(V80,'Material routes'!$A$6:$A$1005,0)),"MISSING ID")</x:f>
        <x:v>Cultural objects</x:v>
      </x:c>
      <x:c r="J80" s="4" t="str">
        <x:f>IFERROR(INDEX('Material routes'!$B$6:$B$1005,MATCH(U80,'Material routes'!$A$6:$A$1005,0)),"MISSING ID")</x:f>
        <x:v>design.finished.prayer_leaf</x:v>
      </x:c>
      <x:c r="K80" s="4" t="str">
        <x:f>IFERROR(INDEX('Crafting recipes'!$C$6:$C$1005,MATCH(J80,'Crafting recipes'!$A$6:$A$1005,0)),"MISSING ID")</x:f>
        <x:v>Finished-item crafting</x:v>
      </x:c>
      <x:c r="L80" s="4" t="str">
        <x:f>IFERROR(INDEX('Material routes'!$K$6:$K$1005,MATCH(U80,'Material routes'!$A$6:$A$1005,0)),"MISSING ID")</x:f>
        <x:v>Proposal</x:v>
      </x:c>
      <x:c r="M80" s="4" t="str">
        <x:f>IFERROR(INDEX('Material routes'!$M$6:$M$1005,MATCH(U80,'Material routes'!$A$6:$A$1005,0)),"MISSING ID")</x:f>
        <x:v>Partial proposal</x:v>
      </x:c>
      <x:c r="N80" s="4" t="str">
        <x:f>IF(IFERROR(INDEX('Material routes'!$I$6:$I$1005,MATCH(U80,'Material routes'!$A$6:$A$1005,0)),"MISSING ID")=0,"",IFERROR(INDEX('Material routes'!$I$6:$I$1005,MATCH(U80,'Material routes'!$A$6:$A$1005,0)),"MISSING ID"))</x:f>
      </x:c>
      <x:c r="O80" s="4" t="str">
        <x:f>IFERROR(INDEX('Material routes'!$J$6:$J$1005,MATCH(U80,'Material routes'!$A$6:$A$1005,0)),"MISSING ID")</x:f>
        <x:v>Unspecified</x:v>
      </x:c>
      <x:c r="P80" s="4" t="str">
        <x:f>IF(IFERROR(INDEX('Material routes'!$I$6:$I$1005,MATCH(V80,'Material routes'!$A$6:$A$1005,0)),"MISSING ID")=0,"",IFERROR(INDEX('Material routes'!$I$6:$I$1005,MATCH(V80,'Material routes'!$A$6:$A$1005,0)),"MISSING ID"))</x:f>
      </x:c>
      <x:c r="Q80" s="4" t="str">
        <x:f>IFERROR(INDEX('Material routes'!$J$6:$J$1005,MATCH(V80,'Material routes'!$A$6:$A$1005,0)),"MISSING ID")</x:f>
        <x:v>Unspecified</x:v>
      </x:c>
      <x:c r="R80" s="4" t="str">
        <x:f>IF(L80="Withheld","Withheld premise",IF(E80="Tool candidate","Reusable prerequisite",IF(K80="Raw entry preparation","Entry-resource preparation",IF(G80="Not applicable","Finished endpoint",IF(OR(IFERROR(INDEX('Crafting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routes'!$D$6:$D$1005,MATCH(U80,'Material routes'!$A$6:$A$1005,0)),"MISSING ID")</x:f>
        <x:v>proposal.bio.husk_paper</x:v>
      </x:c>
      <x:c r="T80" s="4" t="str">
        <x:f>IFERROR(INDEX('Material routes'!$D$6:$D$1005,MATCH(V80,'Material routes'!$A$6:$A$1005,0)),"MISSING ID")</x:f>
        <x:v>proposal.culture.prayer_leaf</x:v>
      </x:c>
      <x:c r="U80" s="4" t="str">
        <x:v>finished.input.prayer_leaf</x:v>
      </x:c>
      <x:c r="V80" s="4" t="str">
        <x:v>finished.output.prayer_leaf</x:v>
      </x:c>
    </x:row>
    <x:row r="81" ht="85" customHeight="1">
      <x:c r="A81" s="4" t="str">
        <x:f>IFERROR(INDEX('Material routes'!$E$6:$E$1005,MATCH(U81,'Material routes'!$A$6:$A$1005,0)),"MISSING ID")</x:f>
        <x:v>Shell laminate</x:v>
      </x:c>
      <x:c r="B81" s="4" t="str">
        <x:f>IFERROR(INDEX('Material routes'!$F$6:$F$1005,MATCH(U81,'Material routes'!$A$6:$A$1005,0)),"MISSING ID")</x:f>
        <x:v>T2</x:v>
      </x:c>
      <x:c r="C81" s="4" t="str">
        <x:f>IFERROR(INDEX('Material routes'!$H$6:$H$1005,MATCH(U81,'Material routes'!$A$6:$A$1005,0)),"MISSING ID")</x:f>
        <x:v>Crafting component</x:v>
      </x:c>
      <x:c r="D81" s="4" t="str">
        <x:f>IFERROR(INDEX('Material routes'!$G$6:$G$1005,MATCH(U81,'Material routes'!$A$6:$A$1005,0)),"MISSING ID")</x:f>
        <x:v>Crafting components</x:v>
      </x:c>
      <x:c r="E81" s="4" t="str">
        <x:f>IFERROR(INDEX('Material routes'!$C$6:$C$1005,MATCH(U81,'Material routes'!$A$6:$A$1005,0)),"MISSING ID")</x:f>
        <x:v>Ingredient candidate</x:v>
      </x:c>
      <x:c r="F81" s="4" t="str">
        <x:f>IFERROR(INDEX('Material routes'!$E$6:$E$1005,MATCH(V81,'Material routes'!$A$6:$A$1005,0)),"MISSING ID")</x:f>
        <x:v>Chest armor</x:v>
      </x:c>
      <x:c r="G81" s="4" t="str">
        <x:f>IFERROR(INDEX('Material routes'!$F$6:$F$1005,MATCH(V81,'Material routes'!$A$6:$A$1005,0)),"MISSING ID")</x:f>
        <x:v>Not applicable</x:v>
      </x:c>
      <x:c r="H81" s="4" t="str">
        <x:f>IFERROR(INDEX('Material routes'!$H$6:$H$1005,MATCH(V81,'Material routes'!$A$6:$A$1005,0)),"MISSING ID")</x:f>
        <x:v>Armor</x:v>
      </x:c>
      <x:c r="I81" s="4" t="str">
        <x:f>IFERROR(INDEX('Material routes'!$G$6:$G$1005,MATCH(V81,'Material routes'!$A$6:$A$1005,0)),"MISSING ID")</x:f>
        <x:v>Equipment</x:v>
      </x:c>
      <x:c r="J81" s="4" t="str">
        <x:f>IFERROR(INDEX('Material routes'!$B$6:$B$1005,MATCH(U81,'Material routes'!$A$6:$A$1005,0)),"MISSING ID")</x:f>
        <x:v>design.finished.shell_armor</x:v>
      </x:c>
      <x:c r="K81" s="4" t="str">
        <x:f>IFERROR(INDEX('Crafting recipes'!$C$6:$C$1005,MATCH(J81,'Crafting recipes'!$A$6:$A$1005,0)),"MISSING ID")</x:f>
        <x:v>Finished-item crafting</x:v>
      </x:c>
      <x:c r="L81" s="4" t="str">
        <x:f>IFERROR(INDEX('Material routes'!$K$6:$K$1005,MATCH(U81,'Material routes'!$A$6:$A$1005,0)),"MISSING ID")</x:f>
        <x:v>Proposal</x:v>
      </x:c>
      <x:c r="M81" s="4" t="str">
        <x:f>IFERROR(INDEX('Material routes'!$M$6:$M$1005,MATCH(U81,'Material routes'!$A$6:$A$1005,0)),"MISSING ID")</x:f>
        <x:v>Partial proposal</x:v>
      </x:c>
      <x:c r="N81" s="4" t="str">
        <x:f>IF(IFERROR(INDEX('Material routes'!$I$6:$I$1005,MATCH(U81,'Material routes'!$A$6:$A$1005,0)),"MISSING ID")=0,"",IFERROR(INDEX('Material routes'!$I$6:$I$1005,MATCH(U81,'Material routes'!$A$6:$A$1005,0)),"MISSING ID"))</x:f>
      </x:c>
      <x:c r="O81" s="4" t="str">
        <x:f>IFERROR(INDEX('Material routes'!$J$6:$J$1005,MATCH(U81,'Material routes'!$A$6:$A$1005,0)),"MISSING ID")</x:f>
        <x:v>Unspecified</x:v>
      </x:c>
      <x:c r="P81" s="4" t="str">
        <x:f>IF(IFERROR(INDEX('Material routes'!$I$6:$I$1005,MATCH(V81,'Material routes'!$A$6:$A$1005,0)),"MISSING ID")=0,"",IFERROR(INDEX('Material routes'!$I$6:$I$1005,MATCH(V81,'Material routes'!$A$6:$A$1005,0)),"MISSING ID"))</x:f>
      </x:c>
      <x:c r="Q81" s="4" t="str">
        <x:f>IFERROR(INDEX('Material routes'!$J$6:$J$1005,MATCH(V81,'Material routes'!$A$6:$A$1005,0)),"MISSING ID")</x:f>
        <x:v>Unspecified</x:v>
      </x:c>
      <x:c r="R81" s="4" t="str">
        <x:f>IF(L81="Withheld","Withheld premise",IF(E81="Tool candidate","Reusable prerequisite",IF(K81="Raw entry preparation","Entry-resource preparation",IF(G81="Not applicable","Finished endpoint",IF(OR(IFERROR(INDEX('Crafting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routes'!$D$6:$D$1005,MATCH(U81,'Material routes'!$A$6:$A$1005,0)),"MISSING ID")</x:f>
        <x:v>proposal.bio.laminate</x:v>
      </x:c>
      <x:c r="T81" s="4" t="str">
        <x:f>IFERROR(INDEX('Material routes'!$D$6:$D$1005,MATCH(V81,'Material routes'!$A$6:$A$1005,0)),"MISSING ID")</x:f>
        <x:v>proposal.gear.chest_armor</x:v>
      </x:c>
      <x:c r="U81" s="4" t="str">
        <x:v>finished.input.shell_armor</x:v>
      </x:c>
      <x:c r="V81" s="4" t="str">
        <x:v>finished.output.shell_armor</x:v>
      </x:c>
    </x:row>
    <x:row r="82" ht="85" customHeight="1">
      <x:c r="A82" s="4" t="str">
        <x:f>IFERROR(INDEX('Material routes'!$E$6:$E$1005,MATCH(U82,'Material routes'!$A$6:$A$1005,0)),"MISSING ID")</x:f>
        <x:v>Prepared ceramic body feed</x:v>
      </x:c>
      <x:c r="B82" s="4" t="str">
        <x:f>IFERROR(INDEX('Material routes'!$F$6:$F$1005,MATCH(U82,'Material routes'!$A$6:$A$1005,0)),"MISSING ID")</x:f>
        <x:v>T1</x:v>
      </x:c>
      <x:c r="C82" s="4" t="str">
        <x:f>IFERROR(INDEX('Material routes'!$H$6:$H$1005,MATCH(U82,'Material routes'!$A$6:$A$1005,0)),"MISSING ID")</x:f>
        <x:v>Processed material</x:v>
      </x:c>
      <x:c r="D82" s="4" t="str">
        <x:f>IFERROR(INDEX('Material routes'!$G$6:$G$1005,MATCH(U82,'Material routes'!$A$6:$A$1005,0)),"MISSING ID")</x:f>
        <x:v>Resources</x:v>
      </x:c>
      <x:c r="E82" s="4" t="str">
        <x:f>IFERROR(INDEX('Material routes'!$C$6:$C$1005,MATCH(U82,'Material routes'!$A$6:$A$1005,0)),"MISSING ID")</x:f>
        <x:v>Ingredient candidate</x:v>
      </x:c>
      <x:c r="F82" s="4" t="str">
        <x:f>IFERROR(INDEX('Material routes'!$E$6:$E$1005,MATCH(V82,'Material routes'!$A$6:$A$1005,0)),"MISSING ID")</x:f>
        <x:v>Plain ceramic eating bowl</x:v>
      </x:c>
      <x:c r="G82" s="4" t="str">
        <x:f>IFERROR(INDEX('Material routes'!$F$6:$F$1005,MATCH(V82,'Material routes'!$A$6:$A$1005,0)),"MISSING ID")</x:f>
        <x:v>Not applicable</x:v>
      </x:c>
      <x:c r="H82" s="4" t="str">
        <x:f>IFERROR(INDEX('Material routes'!$H$6:$H$1005,MATCH(V82,'Material routes'!$A$6:$A$1005,0)),"MISSING ID")</x:f>
        <x:v>Household utensil</x:v>
      </x:c>
      <x:c r="I82" s="4" t="str">
        <x:f>IFERROR(INDEX('Material routes'!$G$6:$G$1005,MATCH(V82,'Material routes'!$A$6:$A$1005,0)),"MISSING ID")</x:f>
        <x:v>Everyday objects</x:v>
      </x:c>
      <x:c r="J82" s="4" t="str">
        <x:f>IFERROR(INDEX('Material routes'!$B$6:$B$1005,MATCH(U82,'Material routes'!$A$6:$A$1005,0)),"MISSING ID")</x:f>
        <x:v>design.finished.ceramic_bowl</x:v>
      </x:c>
      <x:c r="K82" s="4" t="str">
        <x:f>IFERROR(INDEX('Crafting recipes'!$C$6:$C$1005,MATCH(J82,'Crafting recipes'!$A$6:$A$1005,0)),"MISSING ID")</x:f>
        <x:v>Finished-item crafting</x:v>
      </x:c>
      <x:c r="L82" s="4" t="str">
        <x:f>IFERROR(INDEX('Material routes'!$K$6:$K$1005,MATCH(U82,'Material routes'!$A$6:$A$1005,0)),"MISSING ID")</x:f>
        <x:v>Proposal</x:v>
      </x:c>
      <x:c r="M82" s="4" t="str">
        <x:f>IFERROR(INDEX('Material routes'!$M$6:$M$1005,MATCH(U82,'Material routes'!$A$6:$A$1005,0)),"MISSING ID")</x:f>
        <x:v>Partial proposal</x:v>
      </x:c>
      <x:c r="N82" s="4" t="str">
        <x:f>IF(IFERROR(INDEX('Material routes'!$I$6:$I$1005,MATCH(U82,'Material routes'!$A$6:$A$1005,0)),"MISSING ID")=0,"",IFERROR(INDEX('Material routes'!$I$6:$I$1005,MATCH(U82,'Material routes'!$A$6:$A$1005,0)),"MISSING ID"))</x:f>
      </x:c>
      <x:c r="O82" s="4" t="str">
        <x:f>IFERROR(INDEX('Material routes'!$J$6:$J$1005,MATCH(U82,'Material routes'!$A$6:$A$1005,0)),"MISSING ID")</x:f>
        <x:v>Unspecified</x:v>
      </x:c>
      <x:c r="P82" s="4" t="str">
        <x:f>IF(IFERROR(INDEX('Material routes'!$I$6:$I$1005,MATCH(V82,'Material routes'!$A$6:$A$1005,0)),"MISSING ID")=0,"",IFERROR(INDEX('Material routes'!$I$6:$I$1005,MATCH(V82,'Material routes'!$A$6:$A$1005,0)),"MISSING ID"))</x:f>
      </x:c>
      <x:c r="Q82" s="4" t="str">
        <x:f>IFERROR(INDEX('Material routes'!$J$6:$J$1005,MATCH(V82,'Material routes'!$A$6:$A$1005,0)),"MISSING ID")</x:f>
        <x:v>Unspecified</x:v>
      </x:c>
      <x:c r="R82" s="4" t="str">
        <x:f>IF(L82="Withheld","Withheld premise",IF(E82="Tool candidate","Reusable prerequisite",IF(K82="Raw entry preparation","Entry-resource preparation",IF(G82="Not applicable","Finished endpoint",IF(OR(IFERROR(INDEX('Crafting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routes'!$D$6:$D$1005,MATCH(U82,'Material routes'!$A$6:$A$1005,0)),"MISSING ID")</x:f>
        <x:v>proposal.ceramic.body_feed</x:v>
      </x:c>
      <x:c r="T82" s="4" t="str">
        <x:f>IFERROR(INDEX('Material routes'!$D$6:$D$1005,MATCH(V82,'Material routes'!$A$6:$A$1005,0)),"MISSING ID")</x:f>
        <x:v>proposal.ceramic.bowl</x:v>
      </x:c>
      <x:c r="U82" s="4" t="str">
        <x:v>finished.input.ceramic_bowl</x:v>
      </x:c>
      <x:c r="V82" s="4" t="str">
        <x:v>finished.output.ceramic_bowl</x:v>
      </x:c>
    </x:row>
    <x:row r="83" ht="85" customHeight="1">
      <x:c r="A83" s="4" t="str">
        <x:f>IFERROR(INDEX('Material routes'!$E$6:$E$1005,MATCH(U83,'Material routes'!$A$6:$A$1005,0)),"MISSING ID")</x:f>
        <x:v>Steel stock</x:v>
      </x:c>
      <x:c r="B83" s="4" t="str">
        <x:f>IFERROR(INDEX('Material routes'!$F$6:$F$1005,MATCH(U83,'Material routes'!$A$6:$A$1005,0)),"MISSING ID")</x:f>
        <x:v>T2</x:v>
      </x:c>
      <x:c r="C83" s="4" t="str">
        <x:f>IFERROR(INDEX('Material routes'!$H$6:$H$1005,MATCH(U83,'Material routes'!$A$6:$A$1005,0)),"MISSING ID")</x:f>
        <x:v>Processed material</x:v>
      </x:c>
      <x:c r="D83" s="4" t="str">
        <x:f>IFERROR(INDEX('Material routes'!$G$6:$G$1005,MATCH(U83,'Material routes'!$A$6:$A$1005,0)),"MISSING ID")</x:f>
        <x:v>Resources</x:v>
      </x:c>
      <x:c r="E83" s="4" t="str">
        <x:f>IFERROR(INDEX('Material routes'!$C$6:$C$1005,MATCH(U83,'Material routes'!$A$6:$A$1005,0)),"MISSING ID")</x:f>
        <x:v>Ingredient candidate</x:v>
      </x:c>
      <x:c r="F83" s="4" t="str">
        <x:f>IFERROR(INDEX('Material routes'!$E$6:$E$1005,MATCH(V83,'Material routes'!$A$6:$A$1005,0)),"MISSING ID")</x:f>
        <x:v>Forging hammer</x:v>
      </x:c>
      <x:c r="G83" s="4" t="str">
        <x:f>IFERROR(INDEX('Material routes'!$F$6:$F$1005,MATCH(V83,'Material routes'!$A$6:$A$1005,0)),"MISSING ID")</x:f>
        <x:v>Not applicable</x:v>
      </x:c>
      <x:c r="H83" s="4" t="str">
        <x:f>IFERROR(INDEX('Material routes'!$H$6:$H$1005,MATCH(V83,'Material routes'!$A$6:$A$1005,0)),"MISSING ID")</x:f>
        <x:v>Tool</x:v>
      </x:c>
      <x:c r="I83" s="4" t="str">
        <x:f>IFERROR(INDEX('Material routes'!$G$6:$G$1005,MATCH(V83,'Material routes'!$A$6:$A$1005,0)),"MISSING ID")</x:f>
        <x:v>Equipment</x:v>
      </x:c>
      <x:c r="J83" s="4" t="str">
        <x:f>IFERROR(INDEX('Material routes'!$B$6:$B$1005,MATCH(U83,'Material routes'!$A$6:$A$1005,0)),"MISSING ID")</x:f>
        <x:v>design.finished.steel_hammer</x:v>
      </x:c>
      <x:c r="K83" s="4" t="str">
        <x:f>IFERROR(INDEX('Crafting recipes'!$C$6:$C$1005,MATCH(J83,'Crafting recipes'!$A$6:$A$1005,0)),"MISSING ID")</x:f>
        <x:v>Finished-item crafting</x:v>
      </x:c>
      <x:c r="L83" s="4" t="str">
        <x:f>IFERROR(INDEX('Material routes'!$K$6:$K$1005,MATCH(U83,'Material routes'!$A$6:$A$1005,0)),"MISSING ID")</x:f>
        <x:v>Proposal</x:v>
      </x:c>
      <x:c r="M83" s="4" t="str">
        <x:f>IFERROR(INDEX('Material routes'!$M$6:$M$1005,MATCH(U83,'Material routes'!$A$6:$A$1005,0)),"MISSING ID")</x:f>
        <x:v>Partial proposal</x:v>
      </x:c>
      <x:c r="N83" s="4" t="str">
        <x:f>IF(IFERROR(INDEX('Material routes'!$I$6:$I$1005,MATCH(U83,'Material routes'!$A$6:$A$1005,0)),"MISSING ID")=0,"",IFERROR(INDEX('Material routes'!$I$6:$I$1005,MATCH(U83,'Material routes'!$A$6:$A$1005,0)),"MISSING ID"))</x:f>
      </x:c>
      <x:c r="O83" s="4" t="str">
        <x:f>IFERROR(INDEX('Material routes'!$J$6:$J$1005,MATCH(U83,'Material routes'!$A$6:$A$1005,0)),"MISSING ID")</x:f>
        <x:v>Unspecified</x:v>
      </x:c>
      <x:c r="P83" s="4" t="str">
        <x:f>IF(IFERROR(INDEX('Material routes'!$I$6:$I$1005,MATCH(V83,'Material routes'!$A$6:$A$1005,0)),"MISSING ID")=0,"",IFERROR(INDEX('Material routes'!$I$6:$I$1005,MATCH(V83,'Material routes'!$A$6:$A$1005,0)),"MISSING ID"))</x:f>
      </x:c>
      <x:c r="Q83" s="4" t="str">
        <x:f>IFERROR(INDEX('Material routes'!$J$6:$J$1005,MATCH(V83,'Material routes'!$A$6:$A$1005,0)),"MISSING ID")</x:f>
        <x:v>Unspecified</x:v>
      </x:c>
      <x:c r="R83" s="4" t="str">
        <x:f>IF(L83="Withheld","Withheld premise",IF(E83="Tool candidate","Reusable prerequisite",IF(K83="Raw entry preparation","Entry-resource preparation",IF(G83="Not applicable","Finished endpoint",IF(OR(IFERROR(INDEX('Crafting recipes'!$H$6:$H$1005,MATCH(J83,'Crafting recipes'!$A$6:$A$1005,0)),"Unassigned")="Unassigned",G83="Unassigned"),"Tier unresolved",IF(IFERROR(VALUE(RIGHT(G83,1))-VALUE(RIGHT(IFERROR(INDEX('Crafting recipes'!$H$6:$H$1005,MATCH(J83,'Crafting recipes'!$A$6:$A$1005,0)),"Unassigned"),1)),0)=1,IF(B83=IFERROR(INDEX('Crafting recipes'!$H$6:$H$1005,MATCH(J83,'Crafting recipes'!$A$6:$A$1005,0)),"Unassigned"),"Advances one material tier","Lower-tier ingredient; route advances one tier"),"Needs tier review"))))))</x:f>
        <x:v>Finished endpoint</x:v>
      </x:c>
      <x:c r="S83" s="4" t="str">
        <x:f>IFERROR(INDEX('Material routes'!$D$6:$D$1005,MATCH(U83,'Material routes'!$A$6:$A$1005,0)),"MISSING ID")</x:f>
        <x:v>author.metallurgy.steel_stock</x:v>
      </x:c>
      <x:c r="T83" s="4" t="str">
        <x:f>IFERROR(INDEX('Material routes'!$D$6:$D$1005,MATCH(V83,'Material routes'!$A$6:$A$1005,0)),"MISSING ID")</x:f>
        <x:v>author.forging.hammer</x:v>
      </x:c>
      <x:c r="U83" s="4" t="str">
        <x:v>finished.input.steel_hammer</x:v>
      </x:c>
      <x:c r="V83" s="4" t="str">
        <x:v>finished.output.steel_hammer</x:v>
      </x:c>
    </x:row>
    <x:row r="84" ht="85" customHeight="1">
      <x:c r="A84" s="4" t="str">
        <x:f>IFERROR(INDEX('Material routes'!$E$6:$E$1005,MATCH(U84,'Material routes'!$A$6:$A$1005,0)),"MISSING ID")</x:f>
        <x:v>Anvil</x:v>
      </x:c>
      <x:c r="B84" s="4" t="str">
        <x:f>IFERROR(INDEX('Material routes'!$F$6:$F$1005,MATCH(U84,'Material routes'!$A$6:$A$1005,0)),"MISSING ID")</x:f>
        <x:v>Not applicable</x:v>
      </x:c>
      <x:c r="C84" s="4" t="str">
        <x:f>IFERROR(INDEX('Material routes'!$H$6:$H$1005,MATCH(U84,'Material routes'!$A$6:$A$1005,0)),"MISSING ID")</x:f>
        <x:v>Tool</x:v>
      </x:c>
      <x:c r="D84" s="4" t="str">
        <x:f>IFERROR(INDEX('Material routes'!$G$6:$G$1005,MATCH(U84,'Material routes'!$A$6:$A$1005,0)),"MISSING ID")</x:f>
        <x:v>Equipment</x:v>
      </x:c>
      <x:c r="E84" s="4" t="str">
        <x:f>IFERROR(INDEX('Material routes'!$C$6:$C$1005,MATCH(U84,'Material routes'!$A$6:$A$1005,0)),"MISSING ID")</x:f>
        <x:v>Tool candidate</x:v>
      </x:c>
      <x:c r="F84" s="4" t="str">
        <x:f>IFERROR(INDEX('Material routes'!$E$6:$E$1005,MATCH(V84,'Material routes'!$A$6:$A$1005,0)),"MISSING ID")</x:f>
        <x:v>Forging hammer</x:v>
      </x:c>
      <x:c r="G84" s="4" t="str">
        <x:f>IFERROR(INDEX('Material routes'!$F$6:$F$1005,MATCH(V84,'Material routes'!$A$6:$A$1005,0)),"MISSING ID")</x:f>
        <x:v>Not applicable</x:v>
      </x:c>
      <x:c r="H84" s="4" t="str">
        <x:f>IFERROR(INDEX('Material routes'!$H$6:$H$1005,MATCH(V84,'Material routes'!$A$6:$A$1005,0)),"MISSING ID")</x:f>
        <x:v>Tool</x:v>
      </x:c>
      <x:c r="I84" s="4" t="str">
        <x:f>IFERROR(INDEX('Material routes'!$G$6:$G$1005,MATCH(V84,'Material routes'!$A$6:$A$1005,0)),"MISSING ID")</x:f>
        <x:v>Equipment</x:v>
      </x:c>
      <x:c r="J84" s="4" t="str">
        <x:f>IFERROR(INDEX('Material routes'!$B$6:$B$1005,MATCH(U84,'Material routes'!$A$6:$A$1005,0)),"MISSING ID")</x:f>
        <x:v>design.finished.steel_hammer</x:v>
      </x:c>
      <x:c r="K84" s="4" t="str">
        <x:f>IFERROR(INDEX('Crafting recipes'!$C$6:$C$1005,MATCH(J84,'Crafting recipes'!$A$6:$A$1005,0)),"MISSING ID")</x:f>
        <x:v>Finished-item crafting</x:v>
      </x:c>
      <x:c r="L84" s="4" t="str">
        <x:f>IFERROR(INDEX('Material routes'!$K$6:$K$1005,MATCH(U84,'Material routes'!$A$6:$A$1005,0)),"MISSING ID")</x:f>
        <x:v>Proposal</x:v>
      </x:c>
      <x:c r="M84" s="4" t="str">
        <x:f>IFERROR(INDEX('Material routes'!$M$6:$M$1005,MATCH(U84,'Material routes'!$A$6:$A$1005,0)),"MISSING ID")</x:f>
        <x:v>Partial proposal</x:v>
      </x:c>
      <x:c r="N84" s="4" t="str">
        <x:f>IF(IFERROR(INDEX('Material routes'!$I$6:$I$1005,MATCH(U84,'Material routes'!$A$6:$A$1005,0)),"MISSING ID")=0,"",IFERROR(INDEX('Material routes'!$I$6:$I$1005,MATCH(U84,'Material routes'!$A$6:$A$1005,0)),"MISSING ID"))</x:f>
      </x:c>
      <x:c r="O84" s="4" t="str">
        <x:f>IFERROR(INDEX('Material routes'!$J$6:$J$1005,MATCH(U84,'Material routes'!$A$6:$A$1005,0)),"MISSING ID")</x:f>
        <x:v>Unspecified</x:v>
      </x:c>
      <x:c r="P84" s="4" t="str">
        <x:f>IF(IFERROR(INDEX('Material routes'!$I$6:$I$1005,MATCH(V84,'Material routes'!$A$6:$A$1005,0)),"MISSING ID")=0,"",IFERROR(INDEX('Material routes'!$I$6:$I$1005,MATCH(V84,'Material routes'!$A$6:$A$1005,0)),"MISSING ID"))</x:f>
      </x:c>
      <x:c r="Q84" s="4" t="str">
        <x:f>IFERROR(INDEX('Material routes'!$J$6:$J$1005,MATCH(V84,'Material routes'!$A$6:$A$1005,0)),"MISSING ID")</x:f>
        <x:v>Unspecified</x:v>
      </x:c>
      <x:c r="R84" s="4" t="str">
        <x:f>IF(L84="Withheld","Withheld premise",IF(E84="Tool candidate","Reusable prerequisite",IF(K84="Raw entry preparation","Entry-resource preparation",IF(G84="Not applicable","Finished endpoint",IF(OR(IFERROR(INDEX('Crafting recipes'!$H$6:$H$1005,MATCH(J84,'Crafting recipes'!$A$6:$A$1005,0)),"Unassigned")="Unassigned",G84="Unassigned"),"Tier unresolved",IF(IFERROR(VALUE(RIGHT(G84,1))-VALUE(RIGHT(IFERROR(INDEX('Crafting recipes'!$H$6:$H$1005,MATCH(J84,'Crafting recipes'!$A$6:$A$1005,0)),"Unassigned"),1)),0)=1,IF(B84=IFERROR(INDEX('Crafting recipes'!$H$6:$H$1005,MATCH(J84,'Crafting recipes'!$A$6:$A$1005,0)),"Unassigned"),"Advances one material tier","Lower-tier ingredient; route advances one tier"),"Needs tier review"))))))</x:f>
        <x:v>Reusable prerequisite</x:v>
      </x:c>
      <x:c r="S84" s="4" t="str">
        <x:f>IFERROR(INDEX('Material routes'!$D$6:$D$1005,MATCH(U84,'Material routes'!$A$6:$A$1005,0)),"MISSING ID")</x:f>
        <x:v>author.forging.anvil</x:v>
      </x:c>
      <x:c r="T84" s="4" t="str">
        <x:f>IFERROR(INDEX('Material routes'!$D$6:$D$1005,MATCH(V84,'Material routes'!$A$6:$A$1005,0)),"MISSING ID")</x:f>
        <x:v>author.forging.hammer</x:v>
      </x:c>
      <x:c r="U84" s="4" t="str">
        <x:v>finished.tool.anvil</x:v>
      </x:c>
      <x:c r="V84" s="4" t="str">
        <x:v>finished.output.steel_hammer</x:v>
      </x:c>
    </x:row>
    <x:row r="85" ht="105" customHeight="1">
      <x:c r="A85" s="4" t="str">
        <x:f>IFERROR(INDEX('Material routes'!$E$6:$E$1005,MATCH(U85,'Material routes'!$A$6:$A$1005,0)),"MISSING ID")</x:f>
        <x:v>Raw borate minerals</x:v>
      </x:c>
      <x:c r="B85" s="4" t="str">
        <x:f>IFERROR(INDEX('Material routes'!$F$6:$F$1005,MATCH(U85,'Material routes'!$A$6:$A$1005,0)),"MISSING ID")</x:f>
        <x:v>T0</x:v>
      </x:c>
      <x:c r="C85" s="4" t="str">
        <x:f>IFERROR(INDEX('Material routes'!$H$6:$H$1005,MATCH(U85,'Material routes'!$A$6:$A$1005,0)),"MISSING ID")</x:f>
        <x:v>Raw material</x:v>
      </x:c>
      <x:c r="D85" s="4" t="str">
        <x:f>IFERROR(INDEX('Material routes'!$G$6:$G$1005,MATCH(U85,'Material routes'!$A$6:$A$1005,0)),"MISSING ID")</x:f>
        <x:v>Resources</x:v>
      </x:c>
      <x:c r="E85" s="4" t="str">
        <x:f>IFERROR(INDEX('Material routes'!$C$6:$C$1005,MATCH(U85,'Material routes'!$A$6:$A$1005,0)),"MISSING ID")</x:f>
        <x:v>Ingredient candidate</x:v>
      </x:c>
      <x:c r="F85" s="4" t="str">
        <x:f>IFERROR(INDEX('Material routes'!$E$6:$E$1005,MATCH(V85,'Material routes'!$A$6:$A$1005,0)),"MISSING ID")</x:f>
        <x:v>Prepared metallurgical flux</x:v>
      </x:c>
      <x:c r="G85" s="4" t="str">
        <x:f>IFERROR(INDEX('Material routes'!$F$6:$F$1005,MATCH(V85,'Material routes'!$A$6:$A$1005,0)),"MISSING ID")</x:f>
        <x:v>T1</x:v>
      </x:c>
      <x:c r="H85" s="4" t="str">
        <x:f>IFERROR(INDEX('Material routes'!$H$6:$H$1005,MATCH(V85,'Material routes'!$A$6:$A$1005,0)),"MISSING ID")</x:f>
        <x:v>Processed material</x:v>
      </x:c>
      <x:c r="I85" s="4" t="str">
        <x:f>IFERROR(INDEX('Material routes'!$G$6:$G$1005,MATCH(V85,'Material routes'!$A$6:$A$1005,0)),"MISSING ID")</x:f>
        <x:v>Resources</x:v>
      </x:c>
      <x:c r="J85" s="4" t="str">
        <x:f>IFERROR(INDEX('Material routes'!$B$6:$B$1005,MATCH(U85,'Material routes'!$A$6:$A$1005,0)),"MISSING ID")</x:f>
        <x:v>design.branch.branch.flux</x:v>
      </x:c>
      <x:c r="K85" s="4" t="str">
        <x:f>IFERROR(INDEX('Crafting recipes'!$C$6:$C$1005,MATCH(J85,'Crafting recipes'!$A$6:$A$1005,0)),"MISSING ID")</x:f>
        <x:v>Material refinement</x:v>
      </x:c>
      <x:c r="L85" s="4" t="str">
        <x:f>IFERROR(INDEX('Material routes'!$K$6:$K$1005,MATCH(U85,'Material routes'!$A$6:$A$1005,0)),"MISSING ID")</x:f>
        <x:v>Proposal</x:v>
      </x:c>
      <x:c r="M85" s="4" t="str">
        <x:f>IFERROR(INDEX('Material routes'!$M$6:$M$1005,MATCH(U85,'Material routes'!$A$6:$A$1005,0)),"MISSING ID")</x:f>
        <x:v>Partial proposal</x:v>
      </x:c>
      <x:c r="N85" s="4" t="str">
        <x:f>IF(IFERROR(INDEX('Material routes'!$I$6:$I$1005,MATCH(U85,'Material routes'!$A$6:$A$1005,0)),"MISSING ID")=0,"",IFERROR(INDEX('Material routes'!$I$6:$I$1005,MATCH(U85,'Material routes'!$A$6:$A$1005,0)),"MISSING ID"))</x:f>
      </x:c>
      <x:c r="O85" s="4" t="str">
        <x:f>IFERROR(INDEX('Material routes'!$J$6:$J$1005,MATCH(U85,'Material routes'!$A$6:$A$1005,0)),"MISSING ID")</x:f>
        <x:v>Unspecified</x:v>
      </x:c>
      <x:c r="P85" s="4" t="str">
        <x:f>IF(IFERROR(INDEX('Material routes'!$I$6:$I$1005,MATCH(V85,'Material routes'!$A$6:$A$1005,0)),"MISSING ID")=0,"",IFERROR(INDEX('Material routes'!$I$6:$I$1005,MATCH(V85,'Material routes'!$A$6:$A$1005,0)),"MISSING ID"))</x:f>
      </x:c>
      <x:c r="Q85" s="4" t="str">
        <x:f>IFERROR(INDEX('Material routes'!$J$6:$J$1005,MATCH(V85,'Material routes'!$A$6:$A$1005,0)),"MISSING ID")</x:f>
        <x:v>Unspecified</x:v>
      </x:c>
      <x:c r="R85" s="4" t="str">
        <x:f>IF(L85="Withheld","Withheld premise",IF(E85="Tool candidate","Reusable prerequisite",IF(K85="Raw entry preparation","Entry-resource preparation",IF(G85="Not applicable","Finished endpoint",IF(OR(IFERROR(INDEX('Crafting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routes'!$D$6:$D$1005,MATCH(U85,'Material routes'!$A$6:$A$1005,0)),"MISSING ID")</x:f>
        <x:v>proposal.natural.borate</x:v>
      </x:c>
      <x:c r="T85" s="4" t="str">
        <x:f>IFERROR(INDEX('Material routes'!$D$6:$D$1005,MATCH(V85,'Material routes'!$A$6:$A$1005,0)),"MISSING ID")</x:f>
        <x:v>proposal.branch.flux</x:v>
      </x:c>
      <x:c r="U85" s="4" t="str">
        <x:v>design.branch.branch.flux.in.1</x:v>
      </x:c>
      <x:c r="V85" s="4" t="str">
        <x:v>design.branch.branch.flux.out</x:v>
      </x:c>
    </x:row>
    <x:row r="86" ht="105" customHeight="1">
      <x:c r="A86" s="4" t="str">
        <x:f>IFERROR(INDEX('Material routes'!$E$6:$E$1005,MATCH(U86,'Material routes'!$A$6:$A$1005,0)),"MISSING ID")</x:f>
        <x:v>Carbonate stone</x:v>
      </x:c>
      <x:c r="B86" s="4" t="str">
        <x:f>IFERROR(INDEX('Material routes'!$F$6:$F$1005,MATCH(U86,'Material routes'!$A$6:$A$1005,0)),"MISSING ID")</x:f>
        <x:v>T0</x:v>
      </x:c>
      <x:c r="C86" s="4" t="str">
        <x:f>IFERROR(INDEX('Material routes'!$H$6:$H$1005,MATCH(U86,'Material routes'!$A$6:$A$1005,0)),"MISSING ID")</x:f>
        <x:v>Raw material</x:v>
      </x:c>
      <x:c r="D86" s="4" t="str">
        <x:f>IFERROR(INDEX('Material routes'!$G$6:$G$1005,MATCH(U86,'Material routes'!$A$6:$A$1005,0)),"MISSING ID")</x:f>
        <x:v>Resources</x:v>
      </x:c>
      <x:c r="E86" s="4" t="str">
        <x:f>IFERROR(INDEX('Material routes'!$C$6:$C$1005,MATCH(U86,'Material routes'!$A$6:$A$1005,0)),"MISSING ID")</x:f>
        <x:v>Ingredient candidate</x:v>
      </x:c>
      <x:c r="F86" s="4" t="str">
        <x:f>IFERROR(INDEX('Material routes'!$E$6:$E$1005,MATCH(V86,'Material routes'!$A$6:$A$1005,0)),"MISSING ID")</x:f>
        <x:v>Prepared metallurgical flux</x:v>
      </x:c>
      <x:c r="G86" s="4" t="str">
        <x:f>IFERROR(INDEX('Material routes'!$F$6:$F$1005,MATCH(V86,'Material routes'!$A$6:$A$1005,0)),"MISSING ID")</x:f>
        <x:v>T1</x:v>
      </x:c>
      <x:c r="H86" s="4" t="str">
        <x:f>IFERROR(INDEX('Material routes'!$H$6:$H$1005,MATCH(V86,'Material routes'!$A$6:$A$1005,0)),"MISSING ID")</x:f>
        <x:v>Processed material</x:v>
      </x:c>
      <x:c r="I86" s="4" t="str">
        <x:f>IFERROR(INDEX('Material routes'!$G$6:$G$1005,MATCH(V86,'Material routes'!$A$6:$A$1005,0)),"MISSING ID")</x:f>
        <x:v>Resources</x:v>
      </x:c>
      <x:c r="J86" s="4" t="str">
        <x:f>IFERROR(INDEX('Material routes'!$B$6:$B$1005,MATCH(U86,'Material routes'!$A$6:$A$1005,0)),"MISSING ID")</x:f>
        <x:v>design.branch.branch.flux</x:v>
      </x:c>
      <x:c r="K86" s="4" t="str">
        <x:f>IFERROR(INDEX('Crafting recipes'!$C$6:$C$1005,MATCH(J86,'Crafting recipes'!$A$6:$A$1005,0)),"MISSING ID")</x:f>
        <x:v>Material refinement</x:v>
      </x:c>
      <x:c r="L86" s="4" t="str">
        <x:f>IFERROR(INDEX('Material routes'!$K$6:$K$1005,MATCH(U86,'Material routes'!$A$6:$A$1005,0)),"MISSING ID")</x:f>
        <x:v>Proposal</x:v>
      </x:c>
      <x:c r="M86" s="4" t="str">
        <x:f>IFERROR(INDEX('Material routes'!$M$6:$M$1005,MATCH(U86,'Material routes'!$A$6:$A$1005,0)),"MISSING ID")</x:f>
        <x:v>Partial proposal</x:v>
      </x:c>
      <x:c r="N86" s="4" t="str">
        <x:f>IF(IFERROR(INDEX('Material routes'!$I$6:$I$1005,MATCH(U86,'Material routes'!$A$6:$A$1005,0)),"MISSING ID")=0,"",IFERROR(INDEX('Material routes'!$I$6:$I$1005,MATCH(U86,'Material routes'!$A$6:$A$1005,0)),"MISSING ID"))</x:f>
      </x:c>
      <x:c r="O86" s="4" t="str">
        <x:f>IFERROR(INDEX('Material routes'!$J$6:$J$1005,MATCH(U86,'Material routes'!$A$6:$A$1005,0)),"MISSING ID")</x:f>
        <x:v>Unspecified</x:v>
      </x:c>
      <x:c r="P86" s="4" t="str">
        <x:f>IF(IFERROR(INDEX('Material routes'!$I$6:$I$1005,MATCH(V86,'Material routes'!$A$6:$A$1005,0)),"MISSING ID")=0,"",IFERROR(INDEX('Material routes'!$I$6:$I$1005,MATCH(V86,'Material routes'!$A$6:$A$1005,0)),"MISSING ID"))</x:f>
      </x:c>
      <x:c r="Q86" s="4" t="str">
        <x:f>IFERROR(INDEX('Material routes'!$J$6:$J$1005,MATCH(V86,'Material routes'!$A$6:$A$1005,0)),"MISSING ID")</x:f>
        <x:v>Unspecified</x:v>
      </x:c>
      <x:c r="R86" s="4" t="str">
        <x:f>IF(L86="Withheld","Withheld premise",IF(E86="Tool candidate","Reusable prerequisite",IF(K86="Raw entry preparation","Entry-resource preparation",IF(G86="Not applicable","Finished endpoint",IF(OR(IFERROR(INDEX('Crafting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routes'!$D$6:$D$1005,MATCH(U86,'Material routes'!$A$6:$A$1005,0)),"MISSING ID")</x:f>
        <x:v>proposal.natural.carbonate</x:v>
      </x:c>
      <x:c r="T86" s="4" t="str">
        <x:f>IFERROR(INDEX('Material routes'!$D$6:$D$1005,MATCH(V86,'Material routes'!$A$6:$A$1005,0)),"MISSING ID")</x:f>
        <x:v>proposal.branch.flux</x:v>
      </x:c>
      <x:c r="U86" s="4" t="str">
        <x:v>design.branch.branch.flux.in.2</x:v>
      </x:c>
      <x:c r="V86" s="4" t="str">
        <x:v>design.branch.branch.flux.out</x:v>
      </x:c>
    </x:row>
    <x:row r="87" ht="105" customHeight="1">
      <x:c r="A87" s="4" t="str">
        <x:f>IFERROR(INDEX('Material routes'!$E$6:$E$1005,MATCH(U87,'Material routes'!$A$6:$A$1005,0)),"MISSING ID")</x:f>
        <x:v>Alumina-rich rock</x:v>
      </x:c>
      <x:c r="B87" s="4" t="str">
        <x:f>IFERROR(INDEX('Material routes'!$F$6:$F$1005,MATCH(U87,'Material routes'!$A$6:$A$1005,0)),"MISSING ID")</x:f>
        <x:v>T0</x:v>
      </x:c>
      <x:c r="C87" s="4" t="str">
        <x:f>IFERROR(INDEX('Material routes'!$H$6:$H$1005,MATCH(U87,'Material routes'!$A$6:$A$1005,0)),"MISSING ID")</x:f>
        <x:v>Raw material</x:v>
      </x:c>
      <x:c r="D87" s="4" t="str">
        <x:f>IFERROR(INDEX('Material routes'!$G$6:$G$1005,MATCH(U87,'Material routes'!$A$6:$A$1005,0)),"MISSING ID")</x:f>
        <x:v>Resources</x:v>
      </x:c>
      <x:c r="E87" s="4" t="str">
        <x:f>IFERROR(INDEX('Material routes'!$C$6:$C$1005,MATCH(U87,'Material routes'!$A$6:$A$1005,0)),"MISSING ID")</x:f>
        <x:v>Ingredient candidate</x:v>
      </x:c>
      <x:c r="F87" s="4" t="str">
        <x:f>IFERROR(INDEX('Material routes'!$E$6:$E$1005,MATCH(V87,'Material routes'!$A$6:$A$1005,0)),"MISSING ID")</x:f>
        <x:v>Graded refractory mineral feed</x:v>
      </x:c>
      <x:c r="G87" s="4" t="str">
        <x:f>IFERROR(INDEX('Material routes'!$F$6:$F$1005,MATCH(V87,'Material routes'!$A$6:$A$1005,0)),"MISSING ID")</x:f>
        <x:v>T1</x:v>
      </x:c>
      <x:c r="H87" s="4" t="str">
        <x:f>IFERROR(INDEX('Material routes'!$H$6:$H$1005,MATCH(V87,'Material routes'!$A$6:$A$1005,0)),"MISSING ID")</x:f>
        <x:v>Processed material</x:v>
      </x:c>
      <x:c r="I87" s="4" t="str">
        <x:f>IFERROR(INDEX('Material routes'!$G$6:$G$1005,MATCH(V87,'Material routes'!$A$6:$A$1005,0)),"MISSING ID")</x:f>
        <x:v>Resources</x:v>
      </x:c>
      <x:c r="J87" s="4" t="str">
        <x:f>IFERROR(INDEX('Material routes'!$B$6:$B$1005,MATCH(U87,'Material routes'!$A$6:$A$1005,0)),"MISSING ID")</x:f>
        <x:v>design.branch.branch.refractory_feed</x:v>
      </x:c>
      <x:c r="K87" s="4" t="str">
        <x:f>IFERROR(INDEX('Crafting recipes'!$C$6:$C$1005,MATCH(J87,'Crafting recipes'!$A$6:$A$1005,0)),"MISSING ID")</x:f>
        <x:v>Material refinement</x:v>
      </x:c>
      <x:c r="L87" s="4" t="str">
        <x:f>IFERROR(INDEX('Material routes'!$K$6:$K$1005,MATCH(U87,'Material routes'!$A$6:$A$1005,0)),"MISSING ID")</x:f>
        <x:v>Proposal</x:v>
      </x:c>
      <x:c r="M87" s="4" t="str">
        <x:f>IFERROR(INDEX('Material routes'!$M$6:$M$1005,MATCH(U87,'Material routes'!$A$6:$A$1005,0)),"MISSING ID")</x:f>
        <x:v>Partial proposal</x:v>
      </x:c>
      <x:c r="N87" s="4" t="str">
        <x:f>IF(IFERROR(INDEX('Material routes'!$I$6:$I$1005,MATCH(U87,'Material routes'!$A$6:$A$1005,0)),"MISSING ID")=0,"",IFERROR(INDEX('Material routes'!$I$6:$I$1005,MATCH(U87,'Material routes'!$A$6:$A$1005,0)),"MISSING ID"))</x:f>
      </x:c>
      <x:c r="O87" s="4" t="str">
        <x:f>IFERROR(INDEX('Material routes'!$J$6:$J$1005,MATCH(U87,'Material routes'!$A$6:$A$1005,0)),"MISSING ID")</x:f>
        <x:v>Unspecified</x:v>
      </x:c>
      <x:c r="P87" s="4" t="str">
        <x:f>IF(IFERROR(INDEX('Material routes'!$I$6:$I$1005,MATCH(V87,'Material routes'!$A$6:$A$1005,0)),"MISSING ID")=0,"",IFERROR(INDEX('Material routes'!$I$6:$I$1005,MATCH(V87,'Material routes'!$A$6:$A$1005,0)),"MISSING ID"))</x:f>
      </x:c>
      <x:c r="Q87" s="4" t="str">
        <x:f>IFERROR(INDEX('Material routes'!$J$6:$J$1005,MATCH(V87,'Material routes'!$A$6:$A$1005,0)),"MISSING ID")</x:f>
        <x:v>Unspecified</x:v>
      </x:c>
      <x:c r="R87" s="4" t="str">
        <x:f>IF(L87="Withheld","Withheld premise",IF(E87="Tool candidate","Reusable prerequisite",IF(K87="Raw entry preparation","Entry-resource preparation",IF(G87="Not applicable","Finished endpoint",IF(OR(IFERROR(INDEX('Crafting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routes'!$D$6:$D$1005,MATCH(U87,'Material routes'!$A$6:$A$1005,0)),"MISSING ID")</x:f>
        <x:v>proposal.natural.alumina</x:v>
      </x:c>
      <x:c r="T87" s="4" t="str">
        <x:f>IFERROR(INDEX('Material routes'!$D$6:$D$1005,MATCH(V87,'Material routes'!$A$6:$A$1005,0)),"MISSING ID")</x:f>
        <x:v>proposal.branch.refractory_feed</x:v>
      </x:c>
      <x:c r="U87" s="4" t="str">
        <x:v>design.branch.branch.refractory_feed.in.1</x:v>
      </x:c>
      <x:c r="V87" s="4" t="str">
        <x:v>design.branch.branch.refractory_feed.out</x:v>
      </x:c>
    </x:row>
    <x:row r="88" ht="105" customHeight="1">
      <x:c r="A88" s="4" t="str">
        <x:f>IFERROR(INDEX('Material routes'!$E$6:$E$1005,MATCH(U88,'Material routes'!$A$6:$A$1005,0)),"MISSING ID")</x:f>
        <x:v>Manganese-bearing ore</x:v>
      </x:c>
      <x:c r="B88" s="4" t="str">
        <x:f>IFERROR(INDEX('Material routes'!$F$6:$F$1005,MATCH(U88,'Material routes'!$A$6:$A$1005,0)),"MISSING ID")</x:f>
        <x:v>T0</x:v>
      </x:c>
      <x:c r="C88" s="4" t="str">
        <x:f>IFERROR(INDEX('Material routes'!$H$6:$H$1005,MATCH(U88,'Material routes'!$A$6:$A$1005,0)),"MISSING ID")</x:f>
        <x:v>Raw material</x:v>
      </x:c>
      <x:c r="D88" s="4" t="str">
        <x:f>IFERROR(INDEX('Material routes'!$G$6:$G$1005,MATCH(U88,'Material routes'!$A$6:$A$1005,0)),"MISSING ID")</x:f>
        <x:v>Resources</x:v>
      </x:c>
      <x:c r="E88" s="4" t="str">
        <x:f>IFERROR(INDEX('Material routes'!$C$6:$C$1005,MATCH(U88,'Material routes'!$A$6:$A$1005,0)),"MISSING ID")</x:f>
        <x:v>Ingredient candidate</x:v>
      </x:c>
      <x:c r="F88" s="4" t="str">
        <x:f>IFERROR(INDEX('Material routes'!$E$6:$E$1005,MATCH(V88,'Material routes'!$A$6:$A$1005,0)),"MISSING ID")</x:f>
        <x:v>Manganese-bearing alloy feed</x:v>
      </x:c>
      <x:c r="G88" s="4" t="str">
        <x:f>IFERROR(INDEX('Material routes'!$F$6:$F$1005,MATCH(V88,'Material routes'!$A$6:$A$1005,0)),"MISSING ID")</x:f>
        <x:v>T1</x:v>
      </x:c>
      <x:c r="H88" s="4" t="str">
        <x:f>IFERROR(INDEX('Material routes'!$H$6:$H$1005,MATCH(V88,'Material routes'!$A$6:$A$1005,0)),"MISSING ID")</x:f>
        <x:v>Processed material</x:v>
      </x:c>
      <x:c r="I88" s="4" t="str">
        <x:f>IFERROR(INDEX('Material routes'!$G$6:$G$1005,MATCH(V88,'Material routes'!$A$6:$A$1005,0)),"MISSING ID")</x:f>
        <x:v>Resources</x:v>
      </x:c>
      <x:c r="J88" s="4" t="str">
        <x:f>IFERROR(INDEX('Material routes'!$B$6:$B$1005,MATCH(U88,'Material routes'!$A$6:$A$1005,0)),"MISSING ID")</x:f>
        <x:v>design.branch.branch.manganese_feed</x:v>
      </x:c>
      <x:c r="K88" s="4" t="str">
        <x:f>IFERROR(INDEX('Crafting recipes'!$C$6:$C$1005,MATCH(J88,'Crafting recipes'!$A$6:$A$1005,0)),"MISSING ID")</x:f>
        <x:v>Material refinement</x:v>
      </x:c>
      <x:c r="L88" s="4" t="str">
        <x:f>IFERROR(INDEX('Material routes'!$K$6:$K$1005,MATCH(U88,'Material routes'!$A$6:$A$1005,0)),"MISSING ID")</x:f>
        <x:v>Proposal</x:v>
      </x:c>
      <x:c r="M88" s="4" t="str">
        <x:f>IFERROR(INDEX('Material routes'!$M$6:$M$1005,MATCH(U88,'Material routes'!$A$6:$A$1005,0)),"MISSING ID")</x:f>
        <x:v>Partial proposal</x:v>
      </x:c>
      <x:c r="N88" s="4" t="str">
        <x:f>IF(IFERROR(INDEX('Material routes'!$I$6:$I$1005,MATCH(U88,'Material routes'!$A$6:$A$1005,0)),"MISSING ID")=0,"",IFERROR(INDEX('Material routes'!$I$6:$I$1005,MATCH(U88,'Material routes'!$A$6:$A$1005,0)),"MISSING ID"))</x:f>
      </x:c>
      <x:c r="O88" s="4" t="str">
        <x:f>IFERROR(INDEX('Material routes'!$J$6:$J$1005,MATCH(U88,'Material routes'!$A$6:$A$1005,0)),"MISSING ID")</x:f>
        <x:v>Unspecified</x:v>
      </x:c>
      <x:c r="P88" s="4" t="str">
        <x:f>IF(IFERROR(INDEX('Material routes'!$I$6:$I$1005,MATCH(V88,'Material routes'!$A$6:$A$1005,0)),"MISSING ID")=0,"",IFERROR(INDEX('Material routes'!$I$6:$I$1005,MATCH(V88,'Material routes'!$A$6:$A$1005,0)),"MISSING ID"))</x:f>
      </x:c>
      <x:c r="Q88" s="4" t="str">
        <x:f>IFERROR(INDEX('Material routes'!$J$6:$J$1005,MATCH(V88,'Material routes'!$A$6:$A$1005,0)),"MISSING ID")</x:f>
        <x:v>Unspecified</x:v>
      </x:c>
      <x:c r="R88" s="4" t="str">
        <x:f>IF(L88="Withheld","Withheld premise",IF(E88="Tool candidate","Reusable prerequisite",IF(K88="Raw entry preparation","Entry-resource preparation",IF(G88="Not applicable","Finished endpoint",IF(OR(IFERROR(INDEX('Crafting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routes'!$D$6:$D$1005,MATCH(U88,'Material routes'!$A$6:$A$1005,0)),"MISSING ID")</x:f>
        <x:v>proposal.natural.manganese_ore</x:v>
      </x:c>
      <x:c r="T88" s="4" t="str">
        <x:f>IFERROR(INDEX('Material routes'!$D$6:$D$1005,MATCH(V88,'Material routes'!$A$6:$A$1005,0)),"MISSING ID")</x:f>
        <x:v>proposal.branch.manganese_feed</x:v>
      </x:c>
      <x:c r="U88" s="4" t="str">
        <x:v>design.branch.branch.manganese_feed.in.1</x:v>
      </x:c>
      <x:c r="V88" s="4" t="str">
        <x:v>design.branch.branch.manganese_feed.out</x:v>
      </x:c>
    </x:row>
    <x:row r="89" ht="105" customHeight="1">
      <x:c r="A89" s="4" t="str">
        <x:f>IFERROR(INDEX('Material routes'!$E$6:$E$1005,MATCH(U89,'Material routes'!$A$6:$A$1005,0)),"MISSING ID")</x:f>
        <x:v>Elastic-joint secretion</x:v>
      </x:c>
      <x:c r="B89" s="4" t="str">
        <x:f>IFERROR(INDEX('Material routes'!$F$6:$F$1005,MATCH(U89,'Material routes'!$A$6:$A$1005,0)),"MISSING ID")</x:f>
        <x:v>T0</x:v>
      </x:c>
      <x:c r="C89" s="4" t="str">
        <x:f>IFERROR(INDEX('Material routes'!$H$6:$H$1005,MATCH(U89,'Material routes'!$A$6:$A$1005,0)),"MISSING ID")</x:f>
        <x:v>Chemical material</x:v>
      </x:c>
      <x:c r="D89" s="4" t="str">
        <x:f>IFERROR(INDEX('Material routes'!$G$6:$G$1005,MATCH(U89,'Material routes'!$A$6:$A$1005,0)),"MISSING ID")</x:f>
        <x:v>Resources</x:v>
      </x:c>
      <x:c r="E89" s="4" t="str">
        <x:f>IFERROR(INDEX('Material routes'!$C$6:$C$1005,MATCH(U89,'Material routes'!$A$6:$A$1005,0)),"MISSING ID")</x:f>
        <x:v>Ingredient candidate</x:v>
      </x:c>
      <x:c r="F89" s="4" t="str">
        <x:f>IFERROR(INDEX('Material routes'!$E$6:$E$1005,MATCH(V89,'Material routes'!$A$6:$A$1005,0)),"MISSING ID")</x:f>
        <x:v>Prepared flexible faunal binder</x:v>
      </x:c>
      <x:c r="G89" s="4" t="str">
        <x:f>IFERROR(INDEX('Material routes'!$F$6:$F$1005,MATCH(V89,'Material routes'!$A$6:$A$1005,0)),"MISSING ID")</x:f>
        <x:v>T1</x:v>
      </x:c>
      <x:c r="H89" s="4" t="str">
        <x:f>IFERROR(INDEX('Material routes'!$H$6:$H$1005,MATCH(V89,'Material routes'!$A$6:$A$1005,0)),"MISSING ID")</x:f>
        <x:v>Chemical material</x:v>
      </x:c>
      <x:c r="I89" s="4" t="str">
        <x:f>IFERROR(INDEX('Material routes'!$G$6:$G$1005,MATCH(V89,'Material routes'!$A$6:$A$1005,0)),"MISSING ID")</x:f>
        <x:v>Resources</x:v>
      </x:c>
      <x:c r="J89" s="4" t="str">
        <x:f>IFERROR(INDEX('Material routes'!$B$6:$B$1005,MATCH(U89,'Material routes'!$A$6:$A$1005,0)),"MISSING ID")</x:f>
        <x:v>design.branch.branch.flex_binder</x:v>
      </x:c>
      <x:c r="K89" s="4" t="str">
        <x:f>IFERROR(INDEX('Crafting recipes'!$C$6:$C$1005,MATCH(J89,'Crafting recipes'!$A$6:$A$1005,0)),"MISSING ID")</x:f>
        <x:v>Material refinement</x:v>
      </x:c>
      <x:c r="L89" s="4" t="str">
        <x:f>IFERROR(INDEX('Material routes'!$K$6:$K$1005,MATCH(U89,'Material routes'!$A$6:$A$1005,0)),"MISSING ID")</x:f>
        <x:v>Proposal</x:v>
      </x:c>
      <x:c r="M89" s="4" t="str">
        <x:f>IFERROR(INDEX('Material routes'!$M$6:$M$1005,MATCH(U89,'Material routes'!$A$6:$A$1005,0)),"MISSING ID")</x:f>
        <x:v>Partial proposal</x:v>
      </x:c>
      <x:c r="N89" s="4" t="str">
        <x:f>IF(IFERROR(INDEX('Material routes'!$I$6:$I$1005,MATCH(U89,'Material routes'!$A$6:$A$1005,0)),"MISSING ID")=0,"",IFERROR(INDEX('Material routes'!$I$6:$I$1005,MATCH(U89,'Material routes'!$A$6:$A$1005,0)),"MISSING ID"))</x:f>
      </x:c>
      <x:c r="O89" s="4" t="str">
        <x:f>IFERROR(INDEX('Material routes'!$J$6:$J$1005,MATCH(U89,'Material routes'!$A$6:$A$1005,0)),"MISSING ID")</x:f>
        <x:v>Unspecified</x:v>
      </x:c>
      <x:c r="P89" s="4" t="str">
        <x:f>IF(IFERROR(INDEX('Material routes'!$I$6:$I$1005,MATCH(V89,'Material routes'!$A$6:$A$1005,0)),"MISSING ID")=0,"",IFERROR(INDEX('Material routes'!$I$6:$I$1005,MATCH(V89,'Material routes'!$A$6:$A$1005,0)),"MISSING ID"))</x:f>
      </x:c>
      <x:c r="Q89" s="4" t="str">
        <x:f>IFERROR(INDEX('Material routes'!$J$6:$J$1005,MATCH(V89,'Material routes'!$A$6:$A$1005,0)),"MISSING ID")</x:f>
        <x:v>Unspecified</x:v>
      </x:c>
      <x:c r="R89" s="4" t="str">
        <x:f>IF(L89="Withheld","Withheld premise",IF(E89="Tool candidate","Reusable prerequisite",IF(K89="Raw entry preparation","Entry-resource preparation",IF(G89="Not applicable","Finished endpoint",IF(OR(IFERROR(INDEX('Crafting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routes'!$D$6:$D$1005,MATCH(U89,'Material routes'!$A$6:$A$1005,0)),"MISSING ID")</x:f>
        <x:v>proposal.branch.elastic_secretion</x:v>
      </x:c>
      <x:c r="T89" s="4" t="str">
        <x:f>IFERROR(INDEX('Material routes'!$D$6:$D$1005,MATCH(V89,'Material routes'!$A$6:$A$1005,0)),"MISSING ID")</x:f>
        <x:v>proposal.branch.flex_binder</x:v>
      </x:c>
      <x:c r="U89" s="4" t="str">
        <x:v>design.branch.branch.flex_binder.in.1</x:v>
      </x:c>
      <x:c r="V89" s="4" t="str">
        <x:v>design.branch.branch.flex_binder.out</x:v>
      </x:c>
    </x:row>
    <x:row r="90" ht="105" customHeight="1">
      <x:c r="A90" s="4" t="str">
        <x:f>IFERROR(INDEX('Material routes'!$E$6:$E$1005,MATCH(U90,'Material routes'!$A$6:$A$1005,0)),"MISSING ID")</x:f>
        <x:v>Digestive etchant</x:v>
      </x:c>
      <x:c r="B90" s="4" t="str">
        <x:f>IFERROR(INDEX('Material routes'!$F$6:$F$1005,MATCH(U90,'Material routes'!$A$6:$A$1005,0)),"MISSING ID")</x:f>
        <x:v>T0</x:v>
      </x:c>
      <x:c r="C90" s="4" t="str">
        <x:f>IFERROR(INDEX('Material routes'!$H$6:$H$1005,MATCH(U90,'Material routes'!$A$6:$A$1005,0)),"MISSING ID")</x:f>
        <x:v>Chemical material</x:v>
      </x:c>
      <x:c r="D90" s="4" t="str">
        <x:f>IFERROR(INDEX('Material routes'!$G$6:$G$1005,MATCH(U90,'Material routes'!$A$6:$A$1005,0)),"MISSING ID")</x:f>
        <x:v>Resources</x:v>
      </x:c>
      <x:c r="E90" s="4" t="str">
        <x:f>IFERROR(INDEX('Material routes'!$C$6:$C$1005,MATCH(U90,'Material routes'!$A$6:$A$1005,0)),"MISSING ID")</x:f>
        <x:v>Ingredient candidate</x:v>
      </x:c>
      <x:c r="F90" s="4" t="str">
        <x:f>IFERROR(INDEX('Material routes'!$E$6:$E$1005,MATCH(V90,'Material routes'!$A$6:$A$1005,0)),"MISSING ID")</x:f>
        <x:v>Conditioned faunal etchant</x:v>
      </x:c>
      <x:c r="G90" s="4" t="str">
        <x:f>IFERROR(INDEX('Material routes'!$F$6:$F$1005,MATCH(V90,'Material routes'!$A$6:$A$1005,0)),"MISSING ID")</x:f>
        <x:v>T1</x:v>
      </x:c>
      <x:c r="H90" s="4" t="str">
        <x:f>IFERROR(INDEX('Material routes'!$H$6:$H$1005,MATCH(V90,'Material routes'!$A$6:$A$1005,0)),"MISSING ID")</x:f>
        <x:v>Chemical material</x:v>
      </x:c>
      <x:c r="I90" s="4" t="str">
        <x:f>IFERROR(INDEX('Material routes'!$G$6:$G$1005,MATCH(V90,'Material routes'!$A$6:$A$1005,0)),"MISSING ID")</x:f>
        <x:v>Resources</x:v>
      </x:c>
      <x:c r="J90" s="4" t="str">
        <x:f>IFERROR(INDEX('Material routes'!$B$6:$B$1005,MATCH(U90,'Material routes'!$A$6:$A$1005,0)),"MISSING ID")</x:f>
        <x:v>design.branch.branch.etchant</x:v>
      </x:c>
      <x:c r="K90" s="4" t="str">
        <x:f>IFERROR(INDEX('Crafting recipes'!$C$6:$C$1005,MATCH(J90,'Crafting recipes'!$A$6:$A$1005,0)),"MISSING ID")</x:f>
        <x:v>Material refinement</x:v>
      </x:c>
      <x:c r="L90" s="4" t="str">
        <x:f>IFERROR(INDEX('Material routes'!$K$6:$K$1005,MATCH(U90,'Material routes'!$A$6:$A$1005,0)),"MISSING ID")</x:f>
        <x:v>Proposal</x:v>
      </x:c>
      <x:c r="M90" s="4" t="str">
        <x:f>IFERROR(INDEX('Material routes'!$M$6:$M$1005,MATCH(U90,'Material routes'!$A$6:$A$1005,0)),"MISSING ID")</x:f>
        <x:v>Partial proposal</x:v>
      </x:c>
      <x:c r="N90" s="4" t="str">
        <x:f>IF(IFERROR(INDEX('Material routes'!$I$6:$I$1005,MATCH(U90,'Material routes'!$A$6:$A$1005,0)),"MISSING ID")=0,"",IFERROR(INDEX('Material routes'!$I$6:$I$1005,MATCH(U90,'Material routes'!$A$6:$A$1005,0)),"MISSING ID"))</x:f>
      </x:c>
      <x:c r="O90" s="4" t="str">
        <x:f>IFERROR(INDEX('Material routes'!$J$6:$J$1005,MATCH(U90,'Material routes'!$A$6:$A$1005,0)),"MISSING ID")</x:f>
        <x:v>Unspecified</x:v>
      </x:c>
      <x:c r="P90" s="4" t="str">
        <x:f>IF(IFERROR(INDEX('Material routes'!$I$6:$I$1005,MATCH(V90,'Material routes'!$A$6:$A$1005,0)),"MISSING ID")=0,"",IFERROR(INDEX('Material routes'!$I$6:$I$1005,MATCH(V90,'Material routes'!$A$6:$A$1005,0)),"MISSING ID"))</x:f>
      </x:c>
      <x:c r="Q90" s="4" t="str">
        <x:f>IFERROR(INDEX('Material routes'!$J$6:$J$1005,MATCH(V90,'Material routes'!$A$6:$A$1005,0)),"MISSING ID")</x:f>
        <x:v>Unspecified</x:v>
      </x:c>
      <x:c r="R90" s="4" t="str">
        <x:f>IF(L90="Withheld","Withheld premise",IF(E90="Tool candidate","Reusable prerequisite",IF(K90="Raw entry preparation","Entry-resource preparation",IF(G90="Not applicable","Finished endpoint",IF(OR(IFERROR(INDEX('Crafting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routes'!$D$6:$D$1005,MATCH(U90,'Material routes'!$A$6:$A$1005,0)),"MISSING ID")</x:f>
        <x:v>proposal.chemical.digestive_etchant</x:v>
      </x:c>
      <x:c r="T90" s="4" t="str">
        <x:f>IFERROR(INDEX('Material routes'!$D$6:$D$1005,MATCH(V90,'Material routes'!$A$6:$A$1005,0)),"MISSING ID")</x:f>
        <x:v>proposal.branch.etchant</x:v>
      </x:c>
      <x:c r="U90" s="4" t="str">
        <x:v>design.branch.branch.etchant.in.1</x:v>
      </x:c>
      <x:c r="V90" s="4" t="str">
        <x:v>design.branch.branch.etchant.out</x:v>
      </x:c>
    </x:row>
    <x:row r="91" ht="105" customHeight="1">
      <x:c r="A91" s="4" t="str">
        <x:f>IFERROR(INDEX('Material routes'!$E$6:$E$1005,MATCH(U91,'Material routes'!$A$6:$A$1005,0)),"MISSING ID")</x:f>
        <x:v>Smelted iron bloom</x:v>
      </x:c>
      <x:c r="B91" s="4" t="str">
        <x:f>IFERROR(INDEX('Material routes'!$F$6:$F$1005,MATCH(U91,'Material routes'!$A$6:$A$1005,0)),"MISSING ID")</x:f>
        <x:v>T1</x:v>
      </x:c>
      <x:c r="C91" s="4" t="str">
        <x:f>IFERROR(INDEX('Material routes'!$H$6:$H$1005,MATCH(U91,'Material routes'!$A$6:$A$1005,0)),"MISSING ID")</x:f>
        <x:v>Processed material</x:v>
      </x:c>
      <x:c r="D91" s="4" t="str">
        <x:f>IFERROR(INDEX('Material routes'!$G$6:$G$1005,MATCH(U91,'Material routes'!$A$6:$A$1005,0)),"MISSING ID")</x:f>
        <x:v>Resources</x:v>
      </x:c>
      <x:c r="E91" s="4" t="str">
        <x:f>IFERROR(INDEX('Material routes'!$C$6:$C$1005,MATCH(U91,'Material routes'!$A$6:$A$1005,0)),"MISSING ID")</x:f>
        <x:v>Ingredient candidate</x:v>
      </x:c>
      <x:c r="F91" s="4" t="str">
        <x:f>IFERROR(INDEX('Material routes'!$E$6:$E$1005,MATCH(V91,'Material routes'!$A$6:$A$1005,0)),"MISSING ID")</x:f>
        <x:v>Steel stock</x:v>
      </x:c>
      <x:c r="G91" s="4" t="str">
        <x:f>IFERROR(INDEX('Material routes'!$F$6:$F$1005,MATCH(V91,'Material routes'!$A$6:$A$1005,0)),"MISSING ID")</x:f>
        <x:v>T2</x:v>
      </x:c>
      <x:c r="H91" s="4" t="str">
        <x:f>IFERROR(INDEX('Material routes'!$H$6:$H$1005,MATCH(V91,'Material routes'!$A$6:$A$1005,0)),"MISSING ID")</x:f>
        <x:v>Processed material</x:v>
      </x:c>
      <x:c r="I91" s="4" t="str">
        <x:f>IFERROR(INDEX('Material routes'!$G$6:$G$1005,MATCH(V91,'Material routes'!$A$6:$A$1005,0)),"MISSING ID")</x:f>
        <x:v>Resources</x:v>
      </x:c>
      <x:c r="J91" s="4" t="str">
        <x:f>IFERROR(INDEX('Material routes'!$B$6:$B$1005,MATCH(U91,'Material routes'!$A$6:$A$1005,0)),"MISSING ID")</x:f>
        <x:v>design.branch.metallurgy.steel_stock</x:v>
      </x:c>
      <x:c r="K91" s="4" t="str">
        <x:f>IFERROR(INDEX('Crafting recipes'!$C$6:$C$1005,MATCH(J91,'Crafting recipes'!$A$6:$A$1005,0)),"MISSING ID")</x:f>
        <x:v>Material refinement</x:v>
      </x:c>
      <x:c r="L91" s="4" t="str">
        <x:f>IFERROR(INDEX('Material routes'!$K$6:$K$1005,MATCH(U91,'Material routes'!$A$6:$A$1005,0)),"MISSING ID")</x:f>
        <x:v>Proposal</x:v>
      </x:c>
      <x:c r="M91" s="4" t="str">
        <x:f>IFERROR(INDEX('Material routes'!$M$6:$M$1005,MATCH(U91,'Material routes'!$A$6:$A$1005,0)),"MISSING ID")</x:f>
        <x:v>Partial proposal</x:v>
      </x:c>
      <x:c r="N91" s="4" t="str">
        <x:f>IF(IFERROR(INDEX('Material routes'!$I$6:$I$1005,MATCH(U91,'Material routes'!$A$6:$A$1005,0)),"MISSING ID")=0,"",IFERROR(INDEX('Material routes'!$I$6:$I$1005,MATCH(U91,'Material routes'!$A$6:$A$1005,0)),"MISSING ID"))</x:f>
      </x:c>
      <x:c r="O91" s="4" t="str">
        <x:f>IFERROR(INDEX('Material routes'!$J$6:$J$1005,MATCH(U91,'Material routes'!$A$6:$A$1005,0)),"MISSING ID")</x:f>
        <x:v>Unspecified</x:v>
      </x:c>
      <x:c r="P91" s="4" t="str">
        <x:f>IF(IFERROR(INDEX('Material routes'!$I$6:$I$1005,MATCH(V91,'Material routes'!$A$6:$A$1005,0)),"MISSING ID")=0,"",IFERROR(INDEX('Material routes'!$I$6:$I$1005,MATCH(V91,'Material routes'!$A$6:$A$1005,0)),"MISSING ID"))</x:f>
      </x:c>
      <x:c r="Q91" s="4" t="str">
        <x:f>IFERROR(INDEX('Material routes'!$J$6:$J$1005,MATCH(V91,'Material routes'!$A$6:$A$1005,0)),"MISSING ID")</x:f>
        <x:v>Unspecified</x:v>
      </x:c>
      <x:c r="R91" s="4" t="str">
        <x:f>IF(L91="Withheld","Withheld premise",IF(E91="Tool candidate","Reusable prerequisite",IF(K91="Raw entry preparation","Entry-resource preparation",IF(G91="Not applicable","Finished endpoint",IF(OR(IFERROR(INDEX('Crafting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routes'!$D$6:$D$1005,MATCH(U91,'Material routes'!$A$6:$A$1005,0)),"MISSING ID")</x:f>
        <x:v>proposal.t1.iron_bloom</x:v>
      </x:c>
      <x:c r="T91" s="4" t="str">
        <x:f>IFERROR(INDEX('Material routes'!$D$6:$D$1005,MATCH(V91,'Material routes'!$A$6:$A$1005,0)),"MISSING ID")</x:f>
        <x:v>author.metallurgy.steel_stock</x:v>
      </x:c>
      <x:c r="U91" s="4" t="str">
        <x:v>design.branch.metallurgy.steel_stock.in.1</x:v>
      </x:c>
      <x:c r="V91" s="4" t="str">
        <x:v>design.branch.metallurgy.steel_stock.out</x:v>
      </x:c>
    </x:row>
    <x:row r="92" ht="105" customHeight="1">
      <x:c r="A92" s="4" t="str">
        <x:f>IFERROR(INDEX('Material routes'!$E$6:$E$1005,MATCH(U92,'Material routes'!$A$6:$A$1005,0)),"MISSING ID")</x:f>
        <x:v>Graded graphite flakes</x:v>
      </x:c>
      <x:c r="B92" s="4" t="str">
        <x:f>IFERROR(INDEX('Material routes'!$F$6:$F$1005,MATCH(U92,'Material routes'!$A$6:$A$1005,0)),"MISSING ID")</x:f>
        <x:v>T1</x:v>
      </x:c>
      <x:c r="C92" s="4" t="str">
        <x:f>IFERROR(INDEX('Material routes'!$H$6:$H$1005,MATCH(U92,'Material routes'!$A$6:$A$1005,0)),"MISSING ID")</x:f>
        <x:v>Processed material</x:v>
      </x:c>
      <x:c r="D92" s="4" t="str">
        <x:f>IFERROR(INDEX('Material routes'!$G$6:$G$1005,MATCH(U92,'Material routes'!$A$6:$A$1005,0)),"MISSING ID")</x:f>
        <x:v>Resources</x:v>
      </x:c>
      <x:c r="E92" s="4" t="str">
        <x:f>IFERROR(INDEX('Material routes'!$C$6:$C$1005,MATCH(U92,'Material routes'!$A$6:$A$1005,0)),"MISSING ID")</x:f>
        <x:v>Ingredient candidate</x:v>
      </x:c>
      <x:c r="F92" s="4" t="str">
        <x:f>IFERROR(INDEX('Material routes'!$E$6:$E$1005,MATCH(V92,'Material routes'!$A$6:$A$1005,0)),"MISSING ID")</x:f>
        <x:v>Steel stock</x:v>
      </x:c>
      <x:c r="G92" s="4" t="str">
        <x:f>IFERROR(INDEX('Material routes'!$F$6:$F$1005,MATCH(V92,'Material routes'!$A$6:$A$1005,0)),"MISSING ID")</x:f>
        <x:v>T2</x:v>
      </x:c>
      <x:c r="H92" s="4" t="str">
        <x:f>IFERROR(INDEX('Material routes'!$H$6:$H$1005,MATCH(V92,'Material routes'!$A$6:$A$1005,0)),"MISSING ID")</x:f>
        <x:v>Processed material</x:v>
      </x:c>
      <x:c r="I92" s="4" t="str">
        <x:f>IFERROR(INDEX('Material routes'!$G$6:$G$1005,MATCH(V92,'Material routes'!$A$6:$A$1005,0)),"MISSING ID")</x:f>
        <x:v>Resources</x:v>
      </x:c>
      <x:c r="J92" s="4" t="str">
        <x:f>IFERROR(INDEX('Material routes'!$B$6:$B$1005,MATCH(U92,'Material routes'!$A$6:$A$1005,0)),"MISSING ID")</x:f>
        <x:v>design.branch.metallurgy.steel_stock</x:v>
      </x:c>
      <x:c r="K92" s="4" t="str">
        <x:f>IFERROR(INDEX('Crafting recipes'!$C$6:$C$1005,MATCH(J92,'Crafting recipes'!$A$6:$A$1005,0)),"MISSING ID")</x:f>
        <x:v>Material refinement</x:v>
      </x:c>
      <x:c r="L92" s="4" t="str">
        <x:f>IFERROR(INDEX('Material routes'!$K$6:$K$1005,MATCH(U92,'Material routes'!$A$6:$A$1005,0)),"MISSING ID")</x:f>
        <x:v>Proposal</x:v>
      </x:c>
      <x:c r="M92" s="4" t="str">
        <x:f>IFERROR(INDEX('Material routes'!$M$6:$M$1005,MATCH(U92,'Material routes'!$A$6:$A$1005,0)),"MISSING ID")</x:f>
        <x:v>Partial proposal</x:v>
      </x:c>
      <x:c r="N92" s="4" t="str">
        <x:f>IF(IFERROR(INDEX('Material routes'!$I$6:$I$1005,MATCH(U92,'Material routes'!$A$6:$A$1005,0)),"MISSING ID")=0,"",IFERROR(INDEX('Material routes'!$I$6:$I$1005,MATCH(U92,'Material routes'!$A$6:$A$1005,0)),"MISSING ID"))</x:f>
      </x:c>
      <x:c r="O92" s="4" t="str">
        <x:f>IFERROR(INDEX('Material routes'!$J$6:$J$1005,MATCH(U92,'Material routes'!$A$6:$A$1005,0)),"MISSING ID")</x:f>
        <x:v>Unspecified</x:v>
      </x:c>
      <x:c r="P92" s="4" t="str">
        <x:f>IF(IFERROR(INDEX('Material routes'!$I$6:$I$1005,MATCH(V92,'Material routes'!$A$6:$A$1005,0)),"MISSING ID")=0,"",IFERROR(INDEX('Material routes'!$I$6:$I$1005,MATCH(V92,'Material routes'!$A$6:$A$1005,0)),"MISSING ID"))</x:f>
      </x:c>
      <x:c r="Q92" s="4" t="str">
        <x:f>IFERROR(INDEX('Material routes'!$J$6:$J$1005,MATCH(V92,'Material routes'!$A$6:$A$1005,0)),"MISSING ID")</x:f>
        <x:v>Unspecified</x:v>
      </x:c>
      <x:c r="R92" s="4" t="str">
        <x:f>IF(L92="Withheld","Withheld premise",IF(E92="Tool candidate","Reusable prerequisite",IF(K92="Raw entry preparation","Entry-resource preparation",IF(G92="Not applicable","Finished endpoint",IF(OR(IFERROR(INDEX('Crafting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routes'!$D$6:$D$1005,MATCH(U92,'Material routes'!$A$6:$A$1005,0)),"MISSING ID")</x:f>
        <x:v>proposal.natural.carbon</x:v>
      </x:c>
      <x:c r="T92" s="4" t="str">
        <x:f>IFERROR(INDEX('Material routes'!$D$6:$D$1005,MATCH(V92,'Material routes'!$A$6:$A$1005,0)),"MISSING ID")</x:f>
        <x:v>author.metallurgy.steel_stock</x:v>
      </x:c>
      <x:c r="U92" s="4" t="str">
        <x:v>design.branch.metallurgy.steel_stock.in.2</x:v>
      </x:c>
      <x:c r="V92" s="4" t="str">
        <x:v>design.branch.metallurgy.steel_stock.out</x:v>
      </x:c>
    </x:row>
    <x:row r="93" ht="105" customHeight="1">
      <x:c r="A93" s="4" t="str">
        <x:f>IFERROR(INDEX('Material routes'!$E$6:$E$1005,MATCH(U93,'Material routes'!$A$6:$A$1005,0)),"MISSING ID")</x:f>
        <x:v>Prepared metallurgical flux</x:v>
      </x:c>
      <x:c r="B93" s="4" t="str">
        <x:f>IFERROR(INDEX('Material routes'!$F$6:$F$1005,MATCH(U93,'Material routes'!$A$6:$A$1005,0)),"MISSING ID")</x:f>
        <x:v>T1</x:v>
      </x:c>
      <x:c r="C93" s="4" t="str">
        <x:f>IFERROR(INDEX('Material routes'!$H$6:$H$1005,MATCH(U93,'Material routes'!$A$6:$A$1005,0)),"MISSING ID")</x:f>
        <x:v>Processed material</x:v>
      </x:c>
      <x:c r="D93" s="4" t="str">
        <x:f>IFERROR(INDEX('Material routes'!$G$6:$G$1005,MATCH(U93,'Material routes'!$A$6:$A$1005,0)),"MISSING ID")</x:f>
        <x:v>Resources</x:v>
      </x:c>
      <x:c r="E93" s="4" t="str">
        <x:f>IFERROR(INDEX('Material routes'!$C$6:$C$1005,MATCH(U93,'Material routes'!$A$6:$A$1005,0)),"MISSING ID")</x:f>
        <x:v>Ingredient candidate</x:v>
      </x:c>
      <x:c r="F93" s="4" t="str">
        <x:f>IFERROR(INDEX('Material routes'!$E$6:$E$1005,MATCH(V93,'Material routes'!$A$6:$A$1005,0)),"MISSING ID")</x:f>
        <x:v>Steel stock</x:v>
      </x:c>
      <x:c r="G93" s="4" t="str">
        <x:f>IFERROR(INDEX('Material routes'!$F$6:$F$1005,MATCH(V93,'Material routes'!$A$6:$A$1005,0)),"MISSING ID")</x:f>
        <x:v>T2</x:v>
      </x:c>
      <x:c r="H93" s="4" t="str">
        <x:f>IFERROR(INDEX('Material routes'!$H$6:$H$1005,MATCH(V93,'Material routes'!$A$6:$A$1005,0)),"MISSING ID")</x:f>
        <x:v>Processed material</x:v>
      </x:c>
      <x:c r="I93" s="4" t="str">
        <x:f>IFERROR(INDEX('Material routes'!$G$6:$G$1005,MATCH(V93,'Material routes'!$A$6:$A$1005,0)),"MISSING ID")</x:f>
        <x:v>Resources</x:v>
      </x:c>
      <x:c r="J93" s="4" t="str">
        <x:f>IFERROR(INDEX('Material routes'!$B$6:$B$1005,MATCH(U93,'Material routes'!$A$6:$A$1005,0)),"MISSING ID")</x:f>
        <x:v>design.branch.metallurgy.steel_stock</x:v>
      </x:c>
      <x:c r="K93" s="4" t="str">
        <x:f>IFERROR(INDEX('Crafting recipes'!$C$6:$C$1005,MATCH(J93,'Crafting recipes'!$A$6:$A$1005,0)),"MISSING ID")</x:f>
        <x:v>Material refinement</x:v>
      </x:c>
      <x:c r="L93" s="4" t="str">
        <x:f>IFERROR(INDEX('Material routes'!$K$6:$K$1005,MATCH(U93,'Material routes'!$A$6:$A$1005,0)),"MISSING ID")</x:f>
        <x:v>Proposal</x:v>
      </x:c>
      <x:c r="M93" s="4" t="str">
        <x:f>IFERROR(INDEX('Material routes'!$M$6:$M$1005,MATCH(U93,'Material routes'!$A$6:$A$1005,0)),"MISSING ID")</x:f>
        <x:v>Partial proposal</x:v>
      </x:c>
      <x:c r="N93" s="4" t="str">
        <x:f>IF(IFERROR(INDEX('Material routes'!$I$6:$I$1005,MATCH(U93,'Material routes'!$A$6:$A$1005,0)),"MISSING ID")=0,"",IFERROR(INDEX('Material routes'!$I$6:$I$1005,MATCH(U93,'Material routes'!$A$6:$A$1005,0)),"MISSING ID"))</x:f>
      </x:c>
      <x:c r="O93" s="4" t="str">
        <x:f>IFERROR(INDEX('Material routes'!$J$6:$J$1005,MATCH(U93,'Material routes'!$A$6:$A$1005,0)),"MISSING ID")</x:f>
        <x:v>Unspecified</x:v>
      </x:c>
      <x:c r="P93" s="4" t="str">
        <x:f>IF(IFERROR(INDEX('Material routes'!$I$6:$I$1005,MATCH(V93,'Material routes'!$A$6:$A$1005,0)),"MISSING ID")=0,"",IFERROR(INDEX('Material routes'!$I$6:$I$1005,MATCH(V93,'Material routes'!$A$6:$A$1005,0)),"MISSING ID"))</x:f>
      </x:c>
      <x:c r="Q93" s="4" t="str">
        <x:f>IFERROR(INDEX('Material routes'!$J$6:$J$1005,MATCH(V93,'Material routes'!$A$6:$A$1005,0)),"MISSING ID")</x:f>
        <x:v>Unspecified</x:v>
      </x:c>
      <x:c r="R93" s="4" t="str">
        <x:f>IF(L93="Withheld","Withheld premise",IF(E93="Tool candidate","Reusable prerequisite",IF(K93="Raw entry preparation","Entry-resource preparation",IF(G93="Not applicable","Finished endpoint",IF(OR(IFERROR(INDEX('Crafting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routes'!$D$6:$D$1005,MATCH(U93,'Material routes'!$A$6:$A$1005,0)),"MISSING ID")</x:f>
        <x:v>proposal.branch.flux</x:v>
      </x:c>
      <x:c r="T93" s="4" t="str">
        <x:f>IFERROR(INDEX('Material routes'!$D$6:$D$1005,MATCH(V93,'Material routes'!$A$6:$A$1005,0)),"MISSING ID")</x:f>
        <x:v>author.metallurgy.steel_stock</x:v>
      </x:c>
      <x:c r="U93" s="4" t="str">
        <x:v>design.branch.metallurgy.steel_stock.in.3</x:v>
      </x:c>
      <x:c r="V93" s="4" t="str">
        <x:v>design.branch.metallurgy.steel_stock.out</x:v>
      </x:c>
    </x:row>
    <x:row r="94" ht="105" customHeight="1">
      <x:c r="A94" s="4" t="str">
        <x:f>IFERROR(INDEX('Material routes'!$E$6:$E$1005,MATCH(U94,'Material routes'!$A$6:$A$1005,0)),"MISSING ID")</x:f>
        <x:v>Manganese-bearing alloy feed</x:v>
      </x:c>
      <x:c r="B94" s="4" t="str">
        <x:f>IFERROR(INDEX('Material routes'!$F$6:$F$1005,MATCH(U94,'Material routes'!$A$6:$A$1005,0)),"MISSING ID")</x:f>
        <x:v>T1</x:v>
      </x:c>
      <x:c r="C94" s="4" t="str">
        <x:f>IFERROR(INDEX('Material routes'!$H$6:$H$1005,MATCH(U94,'Material routes'!$A$6:$A$1005,0)),"MISSING ID")</x:f>
        <x:v>Processed material</x:v>
      </x:c>
      <x:c r="D94" s="4" t="str">
        <x:f>IFERROR(INDEX('Material routes'!$G$6:$G$1005,MATCH(U94,'Material routes'!$A$6:$A$1005,0)),"MISSING ID")</x:f>
        <x:v>Resources</x:v>
      </x:c>
      <x:c r="E94" s="4" t="str">
        <x:f>IFERROR(INDEX('Material routes'!$C$6:$C$1005,MATCH(U94,'Material routes'!$A$6:$A$1005,0)),"MISSING ID")</x:f>
        <x:v>Ingredient candidate</x:v>
      </x:c>
      <x:c r="F94" s="4" t="str">
        <x:f>IFERROR(INDEX('Material routes'!$E$6:$E$1005,MATCH(V94,'Material routes'!$A$6:$A$1005,0)),"MISSING ID")</x:f>
        <x:v>Prepared manganese alloying stock</x:v>
      </x:c>
      <x:c r="G94" s="4" t="str">
        <x:f>IFERROR(INDEX('Material routes'!$F$6:$F$1005,MATCH(V94,'Material routes'!$A$6:$A$1005,0)),"MISSING ID")</x:f>
        <x:v>T2</x:v>
      </x:c>
      <x:c r="H94" s="4" t="str">
        <x:f>IFERROR(INDEX('Material routes'!$H$6:$H$1005,MATCH(V94,'Material routes'!$A$6:$A$1005,0)),"MISSING ID")</x:f>
        <x:v>Processed material</x:v>
      </x:c>
      <x:c r="I94" s="4" t="str">
        <x:f>IFERROR(INDEX('Material routes'!$G$6:$G$1005,MATCH(V94,'Material routes'!$A$6:$A$1005,0)),"MISSING ID")</x:f>
        <x:v>Resources</x:v>
      </x:c>
      <x:c r="J94" s="4" t="str">
        <x:f>IFERROR(INDEX('Material routes'!$B$6:$B$1005,MATCH(U94,'Material routes'!$A$6:$A$1005,0)),"MISSING ID")</x:f>
        <x:v>design.branch.branch.alloy_addition</x:v>
      </x:c>
      <x:c r="K94" s="4" t="str">
        <x:f>IFERROR(INDEX('Crafting recipes'!$C$6:$C$1005,MATCH(J94,'Crafting recipes'!$A$6:$A$1005,0)),"MISSING ID")</x:f>
        <x:v>Material refinement</x:v>
      </x:c>
      <x:c r="L94" s="4" t="str">
        <x:f>IFERROR(INDEX('Material routes'!$K$6:$K$1005,MATCH(U94,'Material routes'!$A$6:$A$1005,0)),"MISSING ID")</x:f>
        <x:v>Proposal</x:v>
      </x:c>
      <x:c r="M94" s="4" t="str">
        <x:f>IFERROR(INDEX('Material routes'!$M$6:$M$1005,MATCH(U94,'Material routes'!$A$6:$A$1005,0)),"MISSING ID")</x:f>
        <x:v>Partial proposal</x:v>
      </x:c>
      <x:c r="N94" s="4" t="str">
        <x:f>IF(IFERROR(INDEX('Material routes'!$I$6:$I$1005,MATCH(U94,'Material routes'!$A$6:$A$1005,0)),"MISSING ID")=0,"",IFERROR(INDEX('Material routes'!$I$6:$I$1005,MATCH(U94,'Material routes'!$A$6:$A$1005,0)),"MISSING ID"))</x:f>
      </x:c>
      <x:c r="O94" s="4" t="str">
        <x:f>IFERROR(INDEX('Material routes'!$J$6:$J$1005,MATCH(U94,'Material routes'!$A$6:$A$1005,0)),"MISSING ID")</x:f>
        <x:v>Unspecified</x:v>
      </x:c>
      <x:c r="P94" s="4" t="str">
        <x:f>IF(IFERROR(INDEX('Material routes'!$I$6:$I$1005,MATCH(V94,'Material routes'!$A$6:$A$1005,0)),"MISSING ID")=0,"",IFERROR(INDEX('Material routes'!$I$6:$I$1005,MATCH(V94,'Material routes'!$A$6:$A$1005,0)),"MISSING ID"))</x:f>
      </x:c>
      <x:c r="Q94" s="4" t="str">
        <x:f>IFERROR(INDEX('Material routes'!$J$6:$J$1005,MATCH(V94,'Material routes'!$A$6:$A$1005,0)),"MISSING ID")</x:f>
        <x:v>Unspecified</x:v>
      </x:c>
      <x:c r="R94" s="4" t="str">
        <x:f>IF(L94="Withheld","Withheld premise",IF(E94="Tool candidate","Reusable prerequisite",IF(K94="Raw entry preparation","Entry-resource preparation",IF(G94="Not applicable","Finished endpoint",IF(OR(IFERROR(INDEX('Crafting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routes'!$D$6:$D$1005,MATCH(U94,'Material routes'!$A$6:$A$1005,0)),"MISSING ID")</x:f>
        <x:v>proposal.branch.manganese_feed</x:v>
      </x:c>
      <x:c r="T94" s="4" t="str">
        <x:f>IFERROR(INDEX('Material routes'!$D$6:$D$1005,MATCH(V94,'Material routes'!$A$6:$A$1005,0)),"MISSING ID")</x:f>
        <x:v>proposal.branch.alloy_addition</x:v>
      </x:c>
      <x:c r="U94" s="4" t="str">
        <x:v>design.branch.branch.alloy_addition.in.1</x:v>
      </x:c>
      <x:c r="V94" s="4" t="str">
        <x:v>design.branch.branch.alloy_addition.out</x:v>
      </x:c>
    </x:row>
    <x:row r="95" ht="105" customHeight="1">
      <x:c r="A95" s="4" t="str">
        <x:f>IFERROR(INDEX('Material routes'!$E$6:$E$1005,MATCH(U95,'Material routes'!$A$6:$A$1005,0)),"MISSING ID")</x:f>
        <x:v>Graded graphite flakes</x:v>
      </x:c>
      <x:c r="B95" s="4" t="str">
        <x:f>IFERROR(INDEX('Material routes'!$F$6:$F$1005,MATCH(U95,'Material routes'!$A$6:$A$1005,0)),"MISSING ID")</x:f>
        <x:v>T1</x:v>
      </x:c>
      <x:c r="C95" s="4" t="str">
        <x:f>IFERROR(INDEX('Material routes'!$H$6:$H$1005,MATCH(U95,'Material routes'!$A$6:$A$1005,0)),"MISSING ID")</x:f>
        <x:v>Processed material</x:v>
      </x:c>
      <x:c r="D95" s="4" t="str">
        <x:f>IFERROR(INDEX('Material routes'!$G$6:$G$1005,MATCH(U95,'Material routes'!$A$6:$A$1005,0)),"MISSING ID")</x:f>
        <x:v>Resources</x:v>
      </x:c>
      <x:c r="E95" s="4" t="str">
        <x:f>IFERROR(INDEX('Material routes'!$C$6:$C$1005,MATCH(U95,'Material routes'!$A$6:$A$1005,0)),"MISSING ID")</x:f>
        <x:v>Ingredient candidate</x:v>
      </x:c>
      <x:c r="F95" s="4" t="str">
        <x:f>IFERROR(INDEX('Material routes'!$E$6:$E$1005,MATCH(V95,'Material routes'!$A$6:$A$1005,0)),"MISSING ID")</x:f>
        <x:v>Prepared manganese alloying stock</x:v>
      </x:c>
      <x:c r="G95" s="4" t="str">
        <x:f>IFERROR(INDEX('Material routes'!$F$6:$F$1005,MATCH(V95,'Material routes'!$A$6:$A$1005,0)),"MISSING ID")</x:f>
        <x:v>T2</x:v>
      </x:c>
      <x:c r="H95" s="4" t="str">
        <x:f>IFERROR(INDEX('Material routes'!$H$6:$H$1005,MATCH(V95,'Material routes'!$A$6:$A$1005,0)),"MISSING ID")</x:f>
        <x:v>Processed material</x:v>
      </x:c>
      <x:c r="I95" s="4" t="str">
        <x:f>IFERROR(INDEX('Material routes'!$G$6:$G$1005,MATCH(V95,'Material routes'!$A$6:$A$1005,0)),"MISSING ID")</x:f>
        <x:v>Resources</x:v>
      </x:c>
      <x:c r="J95" s="4" t="str">
        <x:f>IFERROR(INDEX('Material routes'!$B$6:$B$1005,MATCH(U95,'Material routes'!$A$6:$A$1005,0)),"MISSING ID")</x:f>
        <x:v>design.branch.branch.alloy_addition</x:v>
      </x:c>
      <x:c r="K95" s="4" t="str">
        <x:f>IFERROR(INDEX('Crafting recipes'!$C$6:$C$1005,MATCH(J95,'Crafting recipes'!$A$6:$A$1005,0)),"MISSING ID")</x:f>
        <x:v>Material refinement</x:v>
      </x:c>
      <x:c r="L95" s="4" t="str">
        <x:f>IFERROR(INDEX('Material routes'!$K$6:$K$1005,MATCH(U95,'Material routes'!$A$6:$A$1005,0)),"MISSING ID")</x:f>
        <x:v>Proposal</x:v>
      </x:c>
      <x:c r="M95" s="4" t="str">
        <x:f>IFERROR(INDEX('Material routes'!$M$6:$M$1005,MATCH(U95,'Material routes'!$A$6:$A$1005,0)),"MISSING ID")</x:f>
        <x:v>Partial proposal</x:v>
      </x:c>
      <x:c r="N95" s="4" t="str">
        <x:f>IF(IFERROR(INDEX('Material routes'!$I$6:$I$1005,MATCH(U95,'Material routes'!$A$6:$A$1005,0)),"MISSING ID")=0,"",IFERROR(INDEX('Material routes'!$I$6:$I$1005,MATCH(U95,'Material routes'!$A$6:$A$1005,0)),"MISSING ID"))</x:f>
      </x:c>
      <x:c r="O95" s="4" t="str">
        <x:f>IFERROR(INDEX('Material routes'!$J$6:$J$1005,MATCH(U95,'Material routes'!$A$6:$A$1005,0)),"MISSING ID")</x:f>
        <x:v>Unspecified</x:v>
      </x:c>
      <x:c r="P95" s="4" t="str">
        <x:f>IF(IFERROR(INDEX('Material routes'!$I$6:$I$1005,MATCH(V95,'Material routes'!$A$6:$A$1005,0)),"MISSING ID")=0,"",IFERROR(INDEX('Material routes'!$I$6:$I$1005,MATCH(V95,'Material routes'!$A$6:$A$1005,0)),"MISSING ID"))</x:f>
      </x:c>
      <x:c r="Q95" s="4" t="str">
        <x:f>IFERROR(INDEX('Material routes'!$J$6:$J$1005,MATCH(V95,'Material routes'!$A$6:$A$1005,0)),"MISSING ID")</x:f>
        <x:v>Unspecified</x:v>
      </x:c>
      <x:c r="R95" s="4" t="str">
        <x:f>IF(L95="Withheld","Withheld premise",IF(E95="Tool candidate","Reusable prerequisite",IF(K95="Raw entry preparation","Entry-resource preparation",IF(G95="Not applicable","Finished endpoint",IF(OR(IFERROR(INDEX('Crafting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routes'!$D$6:$D$1005,MATCH(U95,'Material routes'!$A$6:$A$1005,0)),"MISSING ID")</x:f>
        <x:v>proposal.natural.carbon</x:v>
      </x:c>
      <x:c r="T95" s="4" t="str">
        <x:f>IFERROR(INDEX('Material routes'!$D$6:$D$1005,MATCH(V95,'Material routes'!$A$6:$A$1005,0)),"MISSING ID")</x:f>
        <x:v>proposal.branch.alloy_addition</x:v>
      </x:c>
      <x:c r="U95" s="4" t="str">
        <x:v>design.branch.branch.alloy_addition.in.2</x:v>
      </x:c>
      <x:c r="V95" s="4" t="str">
        <x:v>design.branch.branch.alloy_addition.out</x:v>
      </x:c>
    </x:row>
    <x:row r="96" ht="105" customHeight="1">
      <x:c r="A96" s="4" t="str">
        <x:f>IFERROR(INDEX('Material routes'!$E$6:$E$1005,MATCH(U96,'Material routes'!$A$6:$A$1005,0)),"MISSING ID")</x:f>
        <x:v>Prepared metallurgical flux</x:v>
      </x:c>
      <x:c r="B96" s="4" t="str">
        <x:f>IFERROR(INDEX('Material routes'!$F$6:$F$1005,MATCH(U96,'Material routes'!$A$6:$A$1005,0)),"MISSING ID")</x:f>
        <x:v>T1</x:v>
      </x:c>
      <x:c r="C96" s="4" t="str">
        <x:f>IFERROR(INDEX('Material routes'!$H$6:$H$1005,MATCH(U96,'Material routes'!$A$6:$A$1005,0)),"MISSING ID")</x:f>
        <x:v>Processed material</x:v>
      </x:c>
      <x:c r="D96" s="4" t="str">
        <x:f>IFERROR(INDEX('Material routes'!$G$6:$G$1005,MATCH(U96,'Material routes'!$A$6:$A$1005,0)),"MISSING ID")</x:f>
        <x:v>Resources</x:v>
      </x:c>
      <x:c r="E96" s="4" t="str">
        <x:f>IFERROR(INDEX('Material routes'!$C$6:$C$1005,MATCH(U96,'Material routes'!$A$6:$A$1005,0)),"MISSING ID")</x:f>
        <x:v>Ingredient candidate</x:v>
      </x:c>
      <x:c r="F96" s="4" t="str">
        <x:f>IFERROR(INDEX('Material routes'!$E$6:$E$1005,MATCH(V96,'Material routes'!$A$6:$A$1005,0)),"MISSING ID")</x:f>
        <x:v>Prepared manganese alloying stock</x:v>
      </x:c>
      <x:c r="G96" s="4" t="str">
        <x:f>IFERROR(INDEX('Material routes'!$F$6:$F$1005,MATCH(V96,'Material routes'!$A$6:$A$1005,0)),"MISSING ID")</x:f>
        <x:v>T2</x:v>
      </x:c>
      <x:c r="H96" s="4" t="str">
        <x:f>IFERROR(INDEX('Material routes'!$H$6:$H$1005,MATCH(V96,'Material routes'!$A$6:$A$1005,0)),"MISSING ID")</x:f>
        <x:v>Processed material</x:v>
      </x:c>
      <x:c r="I96" s="4" t="str">
        <x:f>IFERROR(INDEX('Material routes'!$G$6:$G$1005,MATCH(V96,'Material routes'!$A$6:$A$1005,0)),"MISSING ID")</x:f>
        <x:v>Resources</x:v>
      </x:c>
      <x:c r="J96" s="4" t="str">
        <x:f>IFERROR(INDEX('Material routes'!$B$6:$B$1005,MATCH(U96,'Material routes'!$A$6:$A$1005,0)),"MISSING ID")</x:f>
        <x:v>design.branch.branch.alloy_addition</x:v>
      </x:c>
      <x:c r="K96" s="4" t="str">
        <x:f>IFERROR(INDEX('Crafting recipes'!$C$6:$C$1005,MATCH(J96,'Crafting recipes'!$A$6:$A$1005,0)),"MISSING ID")</x:f>
        <x:v>Material refinement</x:v>
      </x:c>
      <x:c r="L96" s="4" t="str">
        <x:f>IFERROR(INDEX('Material routes'!$K$6:$K$1005,MATCH(U96,'Material routes'!$A$6:$A$1005,0)),"MISSING ID")</x:f>
        <x:v>Proposal</x:v>
      </x:c>
      <x:c r="M96" s="4" t="str">
        <x:f>IFERROR(INDEX('Material routes'!$M$6:$M$1005,MATCH(U96,'Material routes'!$A$6:$A$1005,0)),"MISSING ID")</x:f>
        <x:v>Partial proposal</x:v>
      </x:c>
      <x:c r="N96" s="4" t="str">
        <x:f>IF(IFERROR(INDEX('Material routes'!$I$6:$I$1005,MATCH(U96,'Material routes'!$A$6:$A$1005,0)),"MISSING ID")=0,"",IFERROR(INDEX('Material routes'!$I$6:$I$1005,MATCH(U96,'Material routes'!$A$6:$A$1005,0)),"MISSING ID"))</x:f>
      </x:c>
      <x:c r="O96" s="4" t="str">
        <x:f>IFERROR(INDEX('Material routes'!$J$6:$J$1005,MATCH(U96,'Material routes'!$A$6:$A$1005,0)),"MISSING ID")</x:f>
        <x:v>Unspecified</x:v>
      </x:c>
      <x:c r="P96" s="4" t="str">
        <x:f>IF(IFERROR(INDEX('Material routes'!$I$6:$I$1005,MATCH(V96,'Material routes'!$A$6:$A$1005,0)),"MISSING ID")=0,"",IFERROR(INDEX('Material routes'!$I$6:$I$1005,MATCH(V96,'Material routes'!$A$6:$A$1005,0)),"MISSING ID"))</x:f>
      </x:c>
      <x:c r="Q96" s="4" t="str">
        <x:f>IFERROR(INDEX('Material routes'!$J$6:$J$1005,MATCH(V96,'Material routes'!$A$6:$A$1005,0)),"MISSING ID")</x:f>
        <x:v>Unspecified</x:v>
      </x:c>
      <x:c r="R96" s="4" t="str">
        <x:f>IF(L96="Withheld","Withheld premise",IF(E96="Tool candidate","Reusable prerequisite",IF(K96="Raw entry preparation","Entry-resource preparation",IF(G96="Not applicable","Finished endpoint",IF(OR(IFERROR(INDEX('Crafting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routes'!$D$6:$D$1005,MATCH(U96,'Material routes'!$A$6:$A$1005,0)),"MISSING ID")</x:f>
        <x:v>proposal.branch.flux</x:v>
      </x:c>
      <x:c r="T96" s="4" t="str">
        <x:f>IFERROR(INDEX('Material routes'!$D$6:$D$1005,MATCH(V96,'Material routes'!$A$6:$A$1005,0)),"MISSING ID")</x:f>
        <x:v>proposal.branch.alloy_addition</x:v>
      </x:c>
      <x:c r="U96" s="4" t="str">
        <x:v>design.branch.branch.alloy_addition.in.3</x:v>
      </x:c>
      <x:c r="V96" s="4" t="str">
        <x:v>design.branch.branch.alloy_addition.out</x:v>
      </x:c>
    </x:row>
    <x:row r="97" ht="105" customHeight="1">
      <x:c r="A97" s="4" t="str">
        <x:f>IFERROR(INDEX('Material routes'!$E$6:$E$1005,MATCH(U97,'Material routes'!$A$6:$A$1005,0)),"MISSING ID")</x:f>
        <x:v>Refined copper cake</x:v>
      </x:c>
      <x:c r="B97" s="4" t="str">
        <x:f>IFERROR(INDEX('Material routes'!$F$6:$F$1005,MATCH(U97,'Material routes'!$A$6:$A$1005,0)),"MISSING ID")</x:f>
        <x:v>T1</x:v>
      </x:c>
      <x:c r="C97" s="4" t="str">
        <x:f>IFERROR(INDEX('Material routes'!$H$6:$H$1005,MATCH(U97,'Material routes'!$A$6:$A$1005,0)),"MISSING ID")</x:f>
        <x:v>Processed material</x:v>
      </x:c>
      <x:c r="D97" s="4" t="str">
        <x:f>IFERROR(INDEX('Material routes'!$G$6:$G$1005,MATCH(U97,'Material routes'!$A$6:$A$1005,0)),"MISSING ID")</x:f>
        <x:v>Resources</x:v>
      </x:c>
      <x:c r="E97" s="4" t="str">
        <x:f>IFERROR(INDEX('Material routes'!$C$6:$C$1005,MATCH(U97,'Material routes'!$A$6:$A$1005,0)),"MISSING ID")</x:f>
        <x:v>Ingredient candidate</x:v>
      </x:c>
      <x:c r="F97" s="4" t="str">
        <x:f>IFERROR(INDEX('Material routes'!$E$6:$E$1005,MATCH(V97,'Material routes'!$A$6:$A$1005,0)),"MISSING ID")</x:f>
        <x:v>Drawn copper stock</x:v>
      </x:c>
      <x:c r="G97" s="4" t="str">
        <x:f>IFERROR(INDEX('Material routes'!$F$6:$F$1005,MATCH(V97,'Material routes'!$A$6:$A$1005,0)),"MISSING ID")</x:f>
        <x:v>T2</x:v>
      </x:c>
      <x:c r="H97" s="4" t="str">
        <x:f>IFERROR(INDEX('Material routes'!$H$6:$H$1005,MATCH(V97,'Material routes'!$A$6:$A$1005,0)),"MISSING ID")</x:f>
        <x:v>Processed material</x:v>
      </x:c>
      <x:c r="I97" s="4" t="str">
        <x:f>IFERROR(INDEX('Material routes'!$G$6:$G$1005,MATCH(V97,'Material routes'!$A$6:$A$1005,0)),"MISSING ID")</x:f>
        <x:v>Resources</x:v>
      </x:c>
      <x:c r="J97" s="4" t="str">
        <x:f>IFERROR(INDEX('Material routes'!$B$6:$B$1005,MATCH(U97,'Material routes'!$A$6:$A$1005,0)),"MISSING ID")</x:f>
        <x:v>design.branch.branch.drawn_copper</x:v>
      </x:c>
      <x:c r="K97" s="4" t="str">
        <x:f>IFERROR(INDEX('Crafting recipes'!$C$6:$C$1005,MATCH(J97,'Crafting recipes'!$A$6:$A$1005,0)),"MISSING ID")</x:f>
        <x:v>Material refinement</x:v>
      </x:c>
      <x:c r="L97" s="4" t="str">
        <x:f>IFERROR(INDEX('Material routes'!$K$6:$K$1005,MATCH(U97,'Material routes'!$A$6:$A$1005,0)),"MISSING ID")</x:f>
        <x:v>Proposal</x:v>
      </x:c>
      <x:c r="M97" s="4" t="str">
        <x:f>IFERROR(INDEX('Material routes'!$M$6:$M$1005,MATCH(U97,'Material routes'!$A$6:$A$1005,0)),"MISSING ID")</x:f>
        <x:v>Partial proposal</x:v>
      </x:c>
      <x:c r="N97" s="4" t="str">
        <x:f>IF(IFERROR(INDEX('Material routes'!$I$6:$I$1005,MATCH(U97,'Material routes'!$A$6:$A$1005,0)),"MISSING ID")=0,"",IFERROR(INDEX('Material routes'!$I$6:$I$1005,MATCH(U97,'Material routes'!$A$6:$A$1005,0)),"MISSING ID"))</x:f>
      </x:c>
      <x:c r="O97" s="4" t="str">
        <x:f>IFERROR(INDEX('Material routes'!$J$6:$J$1005,MATCH(U97,'Material routes'!$A$6:$A$1005,0)),"MISSING ID")</x:f>
        <x:v>Unspecified</x:v>
      </x:c>
      <x:c r="P97" s="4" t="str">
        <x:f>IF(IFERROR(INDEX('Material routes'!$I$6:$I$1005,MATCH(V97,'Material routes'!$A$6:$A$1005,0)),"MISSING ID")=0,"",IFERROR(INDEX('Material routes'!$I$6:$I$1005,MATCH(V97,'Material routes'!$A$6:$A$1005,0)),"MISSING ID"))</x:f>
      </x:c>
      <x:c r="Q97" s="4" t="str">
        <x:f>IFERROR(INDEX('Material routes'!$J$6:$J$1005,MATCH(V97,'Material routes'!$A$6:$A$1005,0)),"MISSING ID")</x:f>
        <x:v>Unspecified</x:v>
      </x:c>
      <x:c r="R97" s="4" t="str">
        <x:f>IF(L97="Withheld","Withheld premise",IF(E97="Tool candidate","Reusable prerequisite",IF(K97="Raw entry preparation","Entry-resource preparation",IF(G97="Not applicable","Finished endpoint",IF(OR(IFERROR(INDEX('Crafting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routes'!$D$6:$D$1005,MATCH(U97,'Material routes'!$A$6:$A$1005,0)),"MISSING ID")</x:f>
        <x:v>proposal.t1.copper_cake</x:v>
      </x:c>
      <x:c r="T97" s="4" t="str">
        <x:f>IFERROR(INDEX('Material routes'!$D$6:$D$1005,MATCH(V97,'Material routes'!$A$6:$A$1005,0)),"MISSING ID")</x:f>
        <x:v>proposal.branch.drawn_copper</x:v>
      </x:c>
      <x:c r="U97" s="4" t="str">
        <x:v>design.branch.branch.drawn_copper.in.1</x:v>
      </x:c>
      <x:c r="V97" s="4" t="str">
        <x:v>design.branch.branch.drawn_copper.out</x:v>
      </x:c>
    </x:row>
    <x:row r="98" ht="105" customHeight="1">
      <x:c r="A98" s="4" t="str">
        <x:f>IFERROR(INDEX('Material routes'!$E$6:$E$1005,MATCH(U98,'Material routes'!$A$6:$A$1005,0)),"MISSING ID")</x:f>
        <x:v>Reclaimed bronze billet</x:v>
      </x:c>
      <x:c r="B98" s="4" t="str">
        <x:f>IFERROR(INDEX('Material routes'!$F$6:$F$1005,MATCH(U98,'Material routes'!$A$6:$A$1005,0)),"MISSING ID")</x:f>
        <x:v>T1</x:v>
      </x:c>
      <x:c r="C98" s="4" t="str">
        <x:f>IFERROR(INDEX('Material routes'!$H$6:$H$1005,MATCH(U98,'Material routes'!$A$6:$A$1005,0)),"MISSING ID")</x:f>
        <x:v>Processed material</x:v>
      </x:c>
      <x:c r="D98" s="4" t="str">
        <x:f>IFERROR(INDEX('Material routes'!$G$6:$G$1005,MATCH(U98,'Material routes'!$A$6:$A$1005,0)),"MISSING ID")</x:f>
        <x:v>Resources</x:v>
      </x:c>
      <x:c r="E98" s="4" t="str">
        <x:f>IFERROR(INDEX('Material routes'!$C$6:$C$1005,MATCH(U98,'Material routes'!$A$6:$A$1005,0)),"MISSING ID")</x:f>
        <x:v>Ingredient candidate</x:v>
      </x:c>
      <x:c r="F98" s="4" t="str">
        <x:f>IFERROR(INDEX('Material routes'!$E$6:$E$1005,MATCH(V98,'Material routes'!$A$6:$A$1005,0)),"MISSING ID")</x:f>
        <x:v>Prepared bronze bearing stock</x:v>
      </x:c>
      <x:c r="G98" s="4" t="str">
        <x:f>IFERROR(INDEX('Material routes'!$F$6:$F$1005,MATCH(V98,'Material routes'!$A$6:$A$1005,0)),"MISSING ID")</x:f>
        <x:v>T2</x:v>
      </x:c>
      <x:c r="H98" s="4" t="str">
        <x:f>IFERROR(INDEX('Material routes'!$H$6:$H$1005,MATCH(V98,'Material routes'!$A$6:$A$1005,0)),"MISSING ID")</x:f>
        <x:v>Processed material</x:v>
      </x:c>
      <x:c r="I98" s="4" t="str">
        <x:f>IFERROR(INDEX('Material routes'!$G$6:$G$1005,MATCH(V98,'Material routes'!$A$6:$A$1005,0)),"MISSING ID")</x:f>
        <x:v>Resources</x:v>
      </x:c>
      <x:c r="J98" s="4" t="str">
        <x:f>IFERROR(INDEX('Material routes'!$B$6:$B$1005,MATCH(U98,'Material routes'!$A$6:$A$1005,0)),"MISSING ID")</x:f>
        <x:v>design.branch.branch.bearing_bronze</x:v>
      </x:c>
      <x:c r="K98" s="4" t="str">
        <x:f>IFERROR(INDEX('Crafting recipes'!$C$6:$C$1005,MATCH(J98,'Crafting recipes'!$A$6:$A$1005,0)),"MISSING ID")</x:f>
        <x:v>Material refinement</x:v>
      </x:c>
      <x:c r="L98" s="4" t="str">
        <x:f>IFERROR(INDEX('Material routes'!$K$6:$K$1005,MATCH(U98,'Material routes'!$A$6:$A$1005,0)),"MISSING ID")</x:f>
        <x:v>Proposal</x:v>
      </x:c>
      <x:c r="M98" s="4" t="str">
        <x:f>IFERROR(INDEX('Material routes'!$M$6:$M$1005,MATCH(U98,'Material routes'!$A$6:$A$1005,0)),"MISSING ID")</x:f>
        <x:v>Partial proposal</x:v>
      </x:c>
      <x:c r="N98" s="4" t="str">
        <x:f>IF(IFERROR(INDEX('Material routes'!$I$6:$I$1005,MATCH(U98,'Material routes'!$A$6:$A$1005,0)),"MISSING ID")=0,"",IFERROR(INDEX('Material routes'!$I$6:$I$1005,MATCH(U98,'Material routes'!$A$6:$A$1005,0)),"MISSING ID"))</x:f>
      </x:c>
      <x:c r="O98" s="4" t="str">
        <x:f>IFERROR(INDEX('Material routes'!$J$6:$J$1005,MATCH(U98,'Material routes'!$A$6:$A$1005,0)),"MISSING ID")</x:f>
        <x:v>Unspecified</x:v>
      </x:c>
      <x:c r="P98" s="4" t="str">
        <x:f>IF(IFERROR(INDEX('Material routes'!$I$6:$I$1005,MATCH(V98,'Material routes'!$A$6:$A$1005,0)),"MISSING ID")=0,"",IFERROR(INDEX('Material routes'!$I$6:$I$1005,MATCH(V98,'Material routes'!$A$6:$A$1005,0)),"MISSING ID"))</x:f>
      </x:c>
      <x:c r="Q98" s="4" t="str">
        <x:f>IFERROR(INDEX('Material routes'!$J$6:$J$1005,MATCH(V98,'Material routes'!$A$6:$A$1005,0)),"MISSING ID")</x:f>
        <x:v>Unspecified</x:v>
      </x:c>
      <x:c r="R98" s="4" t="str">
        <x:f>IF(L98="Withheld","Withheld premise",IF(E98="Tool candidate","Reusable prerequisite",IF(K98="Raw entry preparation","Entry-resource preparation",IF(G98="Not applicable","Finished endpoint",IF(OR(IFERROR(INDEX('Crafting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routes'!$D$6:$D$1005,MATCH(U98,'Material routes'!$A$6:$A$1005,0)),"MISSING ID")</x:f>
        <x:v>proposal.t1.bronze_billet</x:v>
      </x:c>
      <x:c r="T98" s="4" t="str">
        <x:f>IFERROR(INDEX('Material routes'!$D$6:$D$1005,MATCH(V98,'Material routes'!$A$6:$A$1005,0)),"MISSING ID")</x:f>
        <x:v>proposal.branch.bearing_bronze</x:v>
      </x:c>
      <x:c r="U98" s="4" t="str">
        <x:v>design.branch.branch.bearing_bronze.in.1</x:v>
      </x:c>
      <x:c r="V98" s="4" t="str">
        <x:v>design.branch.branch.bearing_bronze.out</x:v>
      </x:c>
    </x:row>
    <x:row r="99" ht="105" customHeight="1">
      <x:c r="A99" s="4" t="str">
        <x:f>IFERROR(INDEX('Material routes'!$E$6:$E$1005,MATCH(U99,'Material routes'!$A$6:$A$1005,0)),"MISSING ID")</x:f>
        <x:v>Prepared ceramic body feed</x:v>
      </x:c>
      <x:c r="B99" s="4" t="str">
        <x:f>IFERROR(INDEX('Material routes'!$F$6:$F$1005,MATCH(U99,'Material routes'!$A$6:$A$1005,0)),"MISSING ID")</x:f>
        <x:v>T1</x:v>
      </x:c>
      <x:c r="C99" s="4" t="str">
        <x:f>IFERROR(INDEX('Material routes'!$H$6:$H$1005,MATCH(U99,'Material routes'!$A$6:$A$1005,0)),"MISSING ID")</x:f>
        <x:v>Processed material</x:v>
      </x:c>
      <x:c r="D99" s="4" t="str">
        <x:f>IFERROR(INDEX('Material routes'!$G$6:$G$1005,MATCH(U99,'Material routes'!$A$6:$A$1005,0)),"MISSING ID")</x:f>
        <x:v>Resources</x:v>
      </x:c>
      <x:c r="E99" s="4" t="str">
        <x:f>IFERROR(INDEX('Material routes'!$C$6:$C$1005,MATCH(U99,'Material routes'!$A$6:$A$1005,0)),"MISSING ID")</x:f>
        <x:v>Ingredient candidate</x:v>
      </x:c>
      <x:c r="F99" s="4" t="str">
        <x:f>IFERROR(INDEX('Material routes'!$E$6:$E$1005,MATCH(V99,'Material routes'!$A$6:$A$1005,0)),"MISSING ID")</x:f>
        <x:v>Insulating ceramic blanks</x:v>
      </x:c>
      <x:c r="G99" s="4" t="str">
        <x:f>IFERROR(INDEX('Material routes'!$F$6:$F$1005,MATCH(V99,'Material routes'!$A$6:$A$1005,0)),"MISSING ID")</x:f>
        <x:v>T2</x:v>
      </x:c>
      <x:c r="H99" s="4" t="str">
        <x:f>IFERROR(INDEX('Material routes'!$H$6:$H$1005,MATCH(V99,'Material routes'!$A$6:$A$1005,0)),"MISSING ID")</x:f>
        <x:v>Processed material</x:v>
      </x:c>
      <x:c r="I99" s="4" t="str">
        <x:f>IFERROR(INDEX('Material routes'!$G$6:$G$1005,MATCH(V99,'Material routes'!$A$6:$A$1005,0)),"MISSING ID")</x:f>
        <x:v>Resources</x:v>
      </x:c>
      <x:c r="J99" s="4" t="str">
        <x:f>IFERROR(INDEX('Material routes'!$B$6:$B$1005,MATCH(U99,'Material routes'!$A$6:$A$1005,0)),"MISSING ID")</x:f>
        <x:v>design.branch.natural.ceramic</x:v>
      </x:c>
      <x:c r="K99" s="4" t="str">
        <x:f>IFERROR(INDEX('Crafting recipes'!$C$6:$C$1005,MATCH(J99,'Crafting recipes'!$A$6:$A$1005,0)),"MISSING ID")</x:f>
        <x:v>Material refinement</x:v>
      </x:c>
      <x:c r="L99" s="4" t="str">
        <x:f>IFERROR(INDEX('Material routes'!$K$6:$K$1005,MATCH(U99,'Material routes'!$A$6:$A$1005,0)),"MISSING ID")</x:f>
        <x:v>Proposal</x:v>
      </x:c>
      <x:c r="M99" s="4" t="str">
        <x:f>IFERROR(INDEX('Material routes'!$M$6:$M$1005,MATCH(U99,'Material routes'!$A$6:$A$1005,0)),"MISSING ID")</x:f>
        <x:v>Partial proposal</x:v>
      </x:c>
      <x:c r="N99" s="4" t="str">
        <x:f>IF(IFERROR(INDEX('Material routes'!$I$6:$I$1005,MATCH(U99,'Material routes'!$A$6:$A$1005,0)),"MISSING ID")=0,"",IFERROR(INDEX('Material routes'!$I$6:$I$1005,MATCH(U99,'Material routes'!$A$6:$A$1005,0)),"MISSING ID"))</x:f>
      </x:c>
      <x:c r="O99" s="4" t="str">
        <x:f>IFERROR(INDEX('Material routes'!$J$6:$J$1005,MATCH(U99,'Material routes'!$A$6:$A$1005,0)),"MISSING ID")</x:f>
        <x:v>Unspecified</x:v>
      </x:c>
      <x:c r="P99" s="4" t="str">
        <x:f>IF(IFERROR(INDEX('Material routes'!$I$6:$I$1005,MATCH(V99,'Material routes'!$A$6:$A$1005,0)),"MISSING ID")=0,"",IFERROR(INDEX('Material routes'!$I$6:$I$1005,MATCH(V99,'Material routes'!$A$6:$A$1005,0)),"MISSING ID"))</x:f>
      </x:c>
      <x:c r="Q99" s="4" t="str">
        <x:f>IFERROR(INDEX('Material routes'!$J$6:$J$1005,MATCH(V99,'Material routes'!$A$6:$A$1005,0)),"MISSING ID")</x:f>
        <x:v>Unspecified</x:v>
      </x:c>
      <x:c r="R99" s="4" t="str">
        <x:f>IF(L99="Withheld","Withheld premise",IF(E99="Tool candidate","Reusable prerequisite",IF(K99="Raw entry preparation","Entry-resource preparation",IF(G99="Not applicable","Finished endpoint",IF(OR(IFERROR(INDEX('Crafting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routes'!$D$6:$D$1005,MATCH(U99,'Material routes'!$A$6:$A$1005,0)),"MISSING ID")</x:f>
        <x:v>proposal.ceramic.body_feed</x:v>
      </x:c>
      <x:c r="T99" s="4" t="str">
        <x:f>IFERROR(INDEX('Material routes'!$D$6:$D$1005,MATCH(V99,'Material routes'!$A$6:$A$1005,0)),"MISSING ID")</x:f>
        <x:v>proposal.natural.ceramic</x:v>
      </x:c>
      <x:c r="U99" s="4" t="str">
        <x:v>design.branch.natural.ceramic.in.1</x:v>
      </x:c>
      <x:c r="V99" s="4" t="str">
        <x:v>design.branch.natural.ceramic.out</x:v>
      </x:c>
    </x:row>
    <x:row r="100" ht="105" customHeight="1">
      <x:c r="A100" s="4" t="str">
        <x:f>IFERROR(INDEX('Material routes'!$E$6:$E$1005,MATCH(U100,'Material routes'!$A$6:$A$1005,0)),"MISSING ID")</x:f>
        <x:v>Prepared glaze feed</x:v>
      </x:c>
      <x:c r="B100" s="4" t="str">
        <x:f>IFERROR(INDEX('Material routes'!$F$6:$F$1005,MATCH(U100,'Material routes'!$A$6:$A$1005,0)),"MISSING ID")</x:f>
        <x:v>T1</x:v>
      </x:c>
      <x:c r="C100" s="4" t="str">
        <x:f>IFERROR(INDEX('Material routes'!$H$6:$H$1005,MATCH(U100,'Material routes'!$A$6:$A$1005,0)),"MISSING ID")</x:f>
        <x:v>Processed material</x:v>
      </x:c>
      <x:c r="D100" s="4" t="str">
        <x:f>IFERROR(INDEX('Material routes'!$G$6:$G$1005,MATCH(U100,'Material routes'!$A$6:$A$1005,0)),"MISSING ID")</x:f>
        <x:v>Resources</x:v>
      </x:c>
      <x:c r="E100" s="4" t="str">
        <x:f>IFERROR(INDEX('Material routes'!$C$6:$C$1005,MATCH(U100,'Material routes'!$A$6:$A$1005,0)),"MISSING ID")</x:f>
        <x:v>Ingredient candidate</x:v>
      </x:c>
      <x:c r="F100" s="4" t="str">
        <x:f>IFERROR(INDEX('Material routes'!$E$6:$E$1005,MATCH(V100,'Material routes'!$A$6:$A$1005,0)),"MISSING ID")</x:f>
        <x:v>Insulating ceramic blanks</x:v>
      </x:c>
      <x:c r="G100" s="4" t="str">
        <x:f>IFERROR(INDEX('Material routes'!$F$6:$F$1005,MATCH(V100,'Material routes'!$A$6:$A$1005,0)),"MISSING ID")</x:f>
        <x:v>T2</x:v>
      </x:c>
      <x:c r="H100" s="4" t="str">
        <x:f>IFERROR(INDEX('Material routes'!$H$6:$H$1005,MATCH(V100,'Material routes'!$A$6:$A$1005,0)),"MISSING ID")</x:f>
        <x:v>Processed material</x:v>
      </x:c>
      <x:c r="I100" s="4" t="str">
        <x:f>IFERROR(INDEX('Material routes'!$G$6:$G$1005,MATCH(V100,'Material routes'!$A$6:$A$1005,0)),"MISSING ID")</x:f>
        <x:v>Resources</x:v>
      </x:c>
      <x:c r="J100" s="4" t="str">
        <x:f>IFERROR(INDEX('Material routes'!$B$6:$B$1005,MATCH(U100,'Material routes'!$A$6:$A$1005,0)),"MISSING ID")</x:f>
        <x:v>design.branch.natural.ceramic</x:v>
      </x:c>
      <x:c r="K100" s="4" t="str">
        <x:f>IFERROR(INDEX('Crafting recipes'!$C$6:$C$1005,MATCH(J100,'Crafting recipes'!$A$6:$A$1005,0)),"MISSING ID")</x:f>
        <x:v>Material refinement</x:v>
      </x:c>
      <x:c r="L100" s="4" t="str">
        <x:f>IFERROR(INDEX('Material routes'!$K$6:$K$1005,MATCH(U100,'Material routes'!$A$6:$A$1005,0)),"MISSING ID")</x:f>
        <x:v>Proposal</x:v>
      </x:c>
      <x:c r="M100" s="4" t="str">
        <x:f>IFERROR(INDEX('Material routes'!$M$6:$M$1005,MATCH(U100,'Material routes'!$A$6:$A$1005,0)),"MISSING ID")</x:f>
        <x:v>Partial proposal</x:v>
      </x:c>
      <x:c r="N100" s="4" t="str">
        <x:f>IF(IFERROR(INDEX('Material routes'!$I$6:$I$1005,MATCH(U100,'Material routes'!$A$6:$A$1005,0)),"MISSING ID")=0,"",IFERROR(INDEX('Material routes'!$I$6:$I$1005,MATCH(U100,'Material routes'!$A$6:$A$1005,0)),"MISSING ID"))</x:f>
      </x:c>
      <x:c r="O100" s="4" t="str">
        <x:f>IFERROR(INDEX('Material routes'!$J$6:$J$1005,MATCH(U100,'Material routes'!$A$6:$A$1005,0)),"MISSING ID")</x:f>
        <x:v>Unspecified</x:v>
      </x:c>
      <x:c r="P100" s="4" t="str">
        <x:f>IF(IFERROR(INDEX('Material routes'!$I$6:$I$1005,MATCH(V100,'Material routes'!$A$6:$A$1005,0)),"MISSING ID")=0,"",IFERROR(INDEX('Material routes'!$I$6:$I$1005,MATCH(V100,'Material routes'!$A$6:$A$1005,0)),"MISSING ID"))</x:f>
      </x:c>
      <x:c r="Q100" s="4" t="str">
        <x:f>IFERROR(INDEX('Material routes'!$J$6:$J$1005,MATCH(V100,'Material routes'!$A$6:$A$1005,0)),"MISSING ID")</x:f>
        <x:v>Unspecified</x:v>
      </x:c>
      <x:c r="R100" s="4" t="str">
        <x:f>IF(L100="Withheld","Withheld premise",IF(E100="Tool candidate","Reusable prerequisite",IF(K100="Raw entry preparation","Entry-resource preparation",IF(G100="Not applicable","Finished endpoint",IF(OR(IFERROR(INDEX('Crafting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routes'!$D$6:$D$1005,MATCH(U100,'Material routes'!$A$6:$A$1005,0)),"MISSING ID")</x:f>
        <x:v>proposal.ceramic.glaze_feed</x:v>
      </x:c>
      <x:c r="T100" s="4" t="str">
        <x:f>IFERROR(INDEX('Material routes'!$D$6:$D$1005,MATCH(V100,'Material routes'!$A$6:$A$1005,0)),"MISSING ID")</x:f>
        <x:v>proposal.natural.ceramic</x:v>
      </x:c>
      <x:c r="U100" s="4" t="str">
        <x:v>design.branch.natural.ceramic.in.2</x:v>
      </x:c>
      <x:c r="V100" s="4" t="str">
        <x:v>design.branch.natural.ceramic.out</x:v>
      </x:c>
    </x:row>
    <x:row r="101" ht="105" customHeight="1">
      <x:c r="A101" s="4" t="str">
        <x:f>IFERROR(INDEX('Material routes'!$E$6:$E$1005,MATCH(U101,'Material routes'!$A$6:$A$1005,0)),"MISSING ID")</x:f>
        <x:v>Graded refractory mineral feed</x:v>
      </x:c>
      <x:c r="B101" s="4" t="str">
        <x:f>IFERROR(INDEX('Material routes'!$F$6:$F$1005,MATCH(U101,'Material routes'!$A$6:$A$1005,0)),"MISSING ID")</x:f>
        <x:v>T1</x:v>
      </x:c>
      <x:c r="C101" s="4" t="str">
        <x:f>IFERROR(INDEX('Material routes'!$H$6:$H$1005,MATCH(U101,'Material routes'!$A$6:$A$1005,0)),"MISSING ID")</x:f>
        <x:v>Processed material</x:v>
      </x:c>
      <x:c r="D101" s="4" t="str">
        <x:f>IFERROR(INDEX('Material routes'!$G$6:$G$1005,MATCH(U101,'Material routes'!$A$6:$A$1005,0)),"MISSING ID")</x:f>
        <x:v>Resources</x:v>
      </x:c>
      <x:c r="E101" s="4" t="str">
        <x:f>IFERROR(INDEX('Material routes'!$C$6:$C$1005,MATCH(U101,'Material routes'!$A$6:$A$1005,0)),"MISSING ID")</x:f>
        <x:v>Ingredient candidate</x:v>
      </x:c>
      <x:c r="F101" s="4" t="str">
        <x:f>IFERROR(INDEX('Material routes'!$E$6:$E$1005,MATCH(V101,'Material routes'!$A$6:$A$1005,0)),"MISSING ID")</x:f>
        <x:v>Refractory ceramic stock</x:v>
      </x:c>
      <x:c r="G101" s="4" t="str">
        <x:f>IFERROR(INDEX('Material routes'!$F$6:$F$1005,MATCH(V101,'Material routes'!$A$6:$A$1005,0)),"MISSING ID")</x:f>
        <x:v>T2</x:v>
      </x:c>
      <x:c r="H101" s="4" t="str">
        <x:f>IFERROR(INDEX('Material routes'!$H$6:$H$1005,MATCH(V101,'Material routes'!$A$6:$A$1005,0)),"MISSING ID")</x:f>
        <x:v>Processed material</x:v>
      </x:c>
      <x:c r="I101" s="4" t="str">
        <x:f>IFERROR(INDEX('Material routes'!$G$6:$G$1005,MATCH(V101,'Material routes'!$A$6:$A$1005,0)),"MISSING ID")</x:f>
        <x:v>Resources</x:v>
      </x:c>
      <x:c r="J101" s="4" t="str">
        <x:f>IFERROR(INDEX('Material routes'!$B$6:$B$1005,MATCH(U101,'Material routes'!$A$6:$A$1005,0)),"MISSING ID")</x:f>
        <x:v>design.branch.branch.refractory_ceramic</x:v>
      </x:c>
      <x:c r="K101" s="4" t="str">
        <x:f>IFERROR(INDEX('Crafting recipes'!$C$6:$C$1005,MATCH(J101,'Crafting recipes'!$A$6:$A$1005,0)),"MISSING ID")</x:f>
        <x:v>Material refinement</x:v>
      </x:c>
      <x:c r="L101" s="4" t="str">
        <x:f>IFERROR(INDEX('Material routes'!$K$6:$K$1005,MATCH(U101,'Material routes'!$A$6:$A$1005,0)),"MISSING ID")</x:f>
        <x:v>Proposal</x:v>
      </x:c>
      <x:c r="M101" s="4" t="str">
        <x:f>IFERROR(INDEX('Material routes'!$M$6:$M$1005,MATCH(U101,'Material routes'!$A$6:$A$1005,0)),"MISSING ID")</x:f>
        <x:v>Partial proposal</x:v>
      </x:c>
      <x:c r="N101" s="4" t="str">
        <x:f>IF(IFERROR(INDEX('Material routes'!$I$6:$I$1005,MATCH(U101,'Material routes'!$A$6:$A$1005,0)),"MISSING ID")=0,"",IFERROR(INDEX('Material routes'!$I$6:$I$1005,MATCH(U101,'Material routes'!$A$6:$A$1005,0)),"MISSING ID"))</x:f>
      </x:c>
      <x:c r="O101" s="4" t="str">
        <x:f>IFERROR(INDEX('Material routes'!$J$6:$J$1005,MATCH(U101,'Material routes'!$A$6:$A$1005,0)),"MISSING ID")</x:f>
        <x:v>Unspecified</x:v>
      </x:c>
      <x:c r="P101" s="4" t="str">
        <x:f>IF(IFERROR(INDEX('Material routes'!$I$6:$I$1005,MATCH(V101,'Material routes'!$A$6:$A$1005,0)),"MISSING ID")=0,"",IFERROR(INDEX('Material routes'!$I$6:$I$1005,MATCH(V101,'Material routes'!$A$6:$A$1005,0)),"MISSING ID"))</x:f>
      </x:c>
      <x:c r="Q101" s="4" t="str">
        <x:f>IFERROR(INDEX('Material routes'!$J$6:$J$1005,MATCH(V101,'Material routes'!$A$6:$A$1005,0)),"MISSING ID")</x:f>
        <x:v>Unspecified</x:v>
      </x:c>
      <x:c r="R101" s="4" t="str">
        <x:f>IF(L101="Withheld","Withheld premise",IF(E101="Tool candidate","Reusable prerequisite",IF(K101="Raw entry preparation","Entry-resource preparation",IF(G101="Not applicable","Finished endpoint",IF(OR(IFERROR(INDEX('Crafting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routes'!$D$6:$D$1005,MATCH(U101,'Material routes'!$A$6:$A$1005,0)),"MISSING ID")</x:f>
        <x:v>proposal.branch.refractory_feed</x:v>
      </x:c>
      <x:c r="T101" s="4" t="str">
        <x:f>IFERROR(INDEX('Material routes'!$D$6:$D$1005,MATCH(V101,'Material routes'!$A$6:$A$1005,0)),"MISSING ID")</x:f>
        <x:v>proposal.branch.refractory_ceramic</x:v>
      </x:c>
      <x:c r="U101" s="4" t="str">
        <x:v>design.branch.branch.refractory_ceramic.in.1</x:v>
      </x:c>
      <x:c r="V101" s="4" t="str">
        <x:v>design.branch.branch.refractory_ceramic.out</x:v>
      </x:c>
    </x:row>
    <x:row r="102" ht="105" customHeight="1">
      <x:c r="A102" s="4" t="str">
        <x:f>IFERROR(INDEX('Material routes'!$E$6:$E$1005,MATCH(U102,'Material routes'!$A$6:$A$1005,0)),"MISSING ID")</x:f>
        <x:v>Crushed fired ceramic grit</x:v>
      </x:c>
      <x:c r="B102" s="4" t="str">
        <x:f>IFERROR(INDEX('Material routes'!$F$6:$F$1005,MATCH(U102,'Material routes'!$A$6:$A$1005,0)),"MISSING ID")</x:f>
        <x:v>T1</x:v>
      </x:c>
      <x:c r="C102" s="4" t="str">
        <x:f>IFERROR(INDEX('Material routes'!$H$6:$H$1005,MATCH(U102,'Material routes'!$A$6:$A$1005,0)),"MISSING ID")</x:f>
        <x:v>Processed material</x:v>
      </x:c>
      <x:c r="D102" s="4" t="str">
        <x:f>IFERROR(INDEX('Material routes'!$G$6:$G$1005,MATCH(U102,'Material routes'!$A$6:$A$1005,0)),"MISSING ID")</x:f>
        <x:v>Resources</x:v>
      </x:c>
      <x:c r="E102" s="4" t="str">
        <x:f>IFERROR(INDEX('Material routes'!$C$6:$C$1005,MATCH(U102,'Material routes'!$A$6:$A$1005,0)),"MISSING ID")</x:f>
        <x:v>Ingredient candidate</x:v>
      </x:c>
      <x:c r="F102" s="4" t="str">
        <x:f>IFERROR(INDEX('Material routes'!$E$6:$E$1005,MATCH(V102,'Material routes'!$A$6:$A$1005,0)),"MISSING ID")</x:f>
        <x:v>Refractory ceramic stock</x:v>
      </x:c>
      <x:c r="G102" s="4" t="str">
        <x:f>IFERROR(INDEX('Material routes'!$F$6:$F$1005,MATCH(V102,'Material routes'!$A$6:$A$1005,0)),"MISSING ID")</x:f>
        <x:v>T2</x:v>
      </x:c>
      <x:c r="H102" s="4" t="str">
        <x:f>IFERROR(INDEX('Material routes'!$H$6:$H$1005,MATCH(V102,'Material routes'!$A$6:$A$1005,0)),"MISSING ID")</x:f>
        <x:v>Processed material</x:v>
      </x:c>
      <x:c r="I102" s="4" t="str">
        <x:f>IFERROR(INDEX('Material routes'!$G$6:$G$1005,MATCH(V102,'Material routes'!$A$6:$A$1005,0)),"MISSING ID")</x:f>
        <x:v>Resources</x:v>
      </x:c>
      <x:c r="J102" s="4" t="str">
        <x:f>IFERROR(INDEX('Material routes'!$B$6:$B$1005,MATCH(U102,'Material routes'!$A$6:$A$1005,0)),"MISSING ID")</x:f>
        <x:v>design.branch.branch.refractory_ceramic</x:v>
      </x:c>
      <x:c r="K102" s="4" t="str">
        <x:f>IFERROR(INDEX('Crafting recipes'!$C$6:$C$1005,MATCH(J102,'Crafting recipes'!$A$6:$A$1005,0)),"MISSING ID")</x:f>
        <x:v>Material refinement</x:v>
      </x:c>
      <x:c r="L102" s="4" t="str">
        <x:f>IFERROR(INDEX('Material routes'!$K$6:$K$1005,MATCH(U102,'Material routes'!$A$6:$A$1005,0)),"MISSING ID")</x:f>
        <x:v>Proposal</x:v>
      </x:c>
      <x:c r="M102" s="4" t="str">
        <x:f>IFERROR(INDEX('Material routes'!$M$6:$M$1005,MATCH(U102,'Material routes'!$A$6:$A$1005,0)),"MISSING ID")</x:f>
        <x:v>Partial proposal</x:v>
      </x:c>
      <x:c r="N102" s="4" t="str">
        <x:f>IF(IFERROR(INDEX('Material routes'!$I$6:$I$1005,MATCH(U102,'Material routes'!$A$6:$A$1005,0)),"MISSING ID")=0,"",IFERROR(INDEX('Material routes'!$I$6:$I$1005,MATCH(U102,'Material routes'!$A$6:$A$1005,0)),"MISSING ID"))</x:f>
      </x:c>
      <x:c r="O102" s="4" t="str">
        <x:f>IFERROR(INDEX('Material routes'!$J$6:$J$1005,MATCH(U102,'Material routes'!$A$6:$A$1005,0)),"MISSING ID")</x:f>
        <x:v>Unspecified</x:v>
      </x:c>
      <x:c r="P102" s="4" t="str">
        <x:f>IF(IFERROR(INDEX('Material routes'!$I$6:$I$1005,MATCH(V102,'Material routes'!$A$6:$A$1005,0)),"MISSING ID")=0,"",IFERROR(INDEX('Material routes'!$I$6:$I$1005,MATCH(V102,'Material routes'!$A$6:$A$1005,0)),"MISSING ID"))</x:f>
      </x:c>
      <x:c r="Q102" s="4" t="str">
        <x:f>IFERROR(INDEX('Material routes'!$J$6:$J$1005,MATCH(V102,'Material routes'!$A$6:$A$1005,0)),"MISSING ID")</x:f>
        <x:v>Unspecified</x:v>
      </x:c>
      <x:c r="R102" s="4" t="str">
        <x:f>IF(L102="Withheld","Withheld premise",IF(E102="Tool candidate","Reusable prerequisite",IF(K102="Raw entry preparation","Entry-resource preparation",IF(G102="Not applicable","Finished endpoint",IF(OR(IFERROR(INDEX('Crafting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routes'!$D$6:$D$1005,MATCH(U102,'Material routes'!$A$6:$A$1005,0)),"MISSING ID")</x:f>
        <x:v>proposal.ceramic.grog</x:v>
      </x:c>
      <x:c r="T102" s="4" t="str">
        <x:f>IFERROR(INDEX('Material routes'!$D$6:$D$1005,MATCH(V102,'Material routes'!$A$6:$A$1005,0)),"MISSING ID")</x:f>
        <x:v>proposal.branch.refractory_ceramic</x:v>
      </x:c>
      <x:c r="U102" s="4" t="str">
        <x:v>design.branch.branch.refractory_ceramic.in.2</x:v>
      </x:c>
      <x:c r="V102" s="4" t="str">
        <x:v>design.branch.branch.refractory_ceramic.out</x:v>
      </x:c>
    </x:row>
    <x:row r="103" ht="105" customHeight="1">
      <x:c r="A103" s="4" t="str">
        <x:f>IFERROR(INDEX('Material routes'!$E$6:$E$1005,MATCH(U103,'Material routes'!$A$6:$A$1005,0)),"MISSING ID")</x:f>
        <x:v>Calcined mineral binder</x:v>
      </x:c>
      <x:c r="B103" s="4" t="str">
        <x:f>IFERROR(INDEX('Material routes'!$F$6:$F$1005,MATCH(U103,'Material routes'!$A$6:$A$1005,0)),"MISSING ID")</x:f>
        <x:v>T1</x:v>
      </x:c>
      <x:c r="C103" s="4" t="str">
        <x:f>IFERROR(INDEX('Material routes'!$H$6:$H$1005,MATCH(U103,'Material routes'!$A$6:$A$1005,0)),"MISSING ID")</x:f>
        <x:v>Processed material</x:v>
      </x:c>
      <x:c r="D103" s="4" t="str">
        <x:f>IFERROR(INDEX('Material routes'!$G$6:$G$1005,MATCH(U103,'Material routes'!$A$6:$A$1005,0)),"MISSING ID")</x:f>
        <x:v>Resources</x:v>
      </x:c>
      <x:c r="E103" s="4" t="str">
        <x:f>IFERROR(INDEX('Material routes'!$C$6:$C$1005,MATCH(U103,'Material routes'!$A$6:$A$1005,0)),"MISSING ID")</x:f>
        <x:v>Ingredient candidate</x:v>
      </x:c>
      <x:c r="F103" s="4" t="str">
        <x:f>IFERROR(INDEX('Material routes'!$E$6:$E$1005,MATCH(V103,'Material routes'!$A$6:$A$1005,0)),"MISSING ID")</x:f>
        <x:v>Refractory ceramic stock</x:v>
      </x:c>
      <x:c r="G103" s="4" t="str">
        <x:f>IFERROR(INDEX('Material routes'!$F$6:$F$1005,MATCH(V103,'Material routes'!$A$6:$A$1005,0)),"MISSING ID")</x:f>
        <x:v>T2</x:v>
      </x:c>
      <x:c r="H103" s="4" t="str">
        <x:f>IFERROR(INDEX('Material routes'!$H$6:$H$1005,MATCH(V103,'Material routes'!$A$6:$A$1005,0)),"MISSING ID")</x:f>
        <x:v>Processed material</x:v>
      </x:c>
      <x:c r="I103" s="4" t="str">
        <x:f>IFERROR(INDEX('Material routes'!$G$6:$G$1005,MATCH(V103,'Material routes'!$A$6:$A$1005,0)),"MISSING ID")</x:f>
        <x:v>Resources</x:v>
      </x:c>
      <x:c r="J103" s="4" t="str">
        <x:f>IFERROR(INDEX('Material routes'!$B$6:$B$1005,MATCH(U103,'Material routes'!$A$6:$A$1005,0)),"MISSING ID")</x:f>
        <x:v>design.branch.branch.refractory_ceramic</x:v>
      </x:c>
      <x:c r="K103" s="4" t="str">
        <x:f>IFERROR(INDEX('Crafting recipes'!$C$6:$C$1005,MATCH(J103,'Crafting recipes'!$A$6:$A$1005,0)),"MISSING ID")</x:f>
        <x:v>Material refinement</x:v>
      </x:c>
      <x:c r="L103" s="4" t="str">
        <x:f>IFERROR(INDEX('Material routes'!$K$6:$K$1005,MATCH(U103,'Material routes'!$A$6:$A$1005,0)),"MISSING ID")</x:f>
        <x:v>Proposal</x:v>
      </x:c>
      <x:c r="M103" s="4" t="str">
        <x:f>IFERROR(INDEX('Material routes'!$M$6:$M$1005,MATCH(U103,'Material routes'!$A$6:$A$1005,0)),"MISSING ID")</x:f>
        <x:v>Partial proposal</x:v>
      </x:c>
      <x:c r="N103" s="4" t="str">
        <x:f>IF(IFERROR(INDEX('Material routes'!$I$6:$I$1005,MATCH(U103,'Material routes'!$A$6:$A$1005,0)),"MISSING ID")=0,"",IFERROR(INDEX('Material routes'!$I$6:$I$1005,MATCH(U103,'Material routes'!$A$6:$A$1005,0)),"MISSING ID"))</x:f>
      </x:c>
      <x:c r="O103" s="4" t="str">
        <x:f>IFERROR(INDEX('Material routes'!$J$6:$J$1005,MATCH(U103,'Material routes'!$A$6:$A$1005,0)),"MISSING ID")</x:f>
        <x:v>Unspecified</x:v>
      </x:c>
      <x:c r="P103" s="4" t="str">
        <x:f>IF(IFERROR(INDEX('Material routes'!$I$6:$I$1005,MATCH(V103,'Material routes'!$A$6:$A$1005,0)),"MISSING ID")=0,"",IFERROR(INDEX('Material routes'!$I$6:$I$1005,MATCH(V103,'Material routes'!$A$6:$A$1005,0)),"MISSING ID"))</x:f>
      </x:c>
      <x:c r="Q103" s="4" t="str">
        <x:f>IFERROR(INDEX('Material routes'!$J$6:$J$1005,MATCH(V103,'Material routes'!$A$6:$A$1005,0)),"MISSING ID")</x:f>
        <x:v>Unspecified</x:v>
      </x:c>
      <x:c r="R103" s="4" t="str">
        <x:f>IF(L103="Withheld","Withheld premise",IF(E103="Tool candidate","Reusable prerequisite",IF(K103="Raw entry preparation","Entry-resource preparation",IF(G103="Not applicable","Finished endpoint",IF(OR(IFERROR(INDEX('Crafting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routes'!$D$6:$D$1005,MATCH(U103,'Material routes'!$A$6:$A$1005,0)),"MISSING ID")</x:f>
        <x:v>proposal.natural.lime</x:v>
      </x:c>
      <x:c r="T103" s="4" t="str">
        <x:f>IFERROR(INDEX('Material routes'!$D$6:$D$1005,MATCH(V103,'Material routes'!$A$6:$A$1005,0)),"MISSING ID")</x:f>
        <x:v>proposal.branch.refractory_ceramic</x:v>
      </x:c>
      <x:c r="U103" s="4" t="str">
        <x:v>design.branch.branch.refractory_ceramic.in.3</x:v>
      </x:c>
      <x:c r="V103" s="4" t="str">
        <x:v>design.branch.branch.refractory_ceramic.out</x:v>
      </x:c>
    </x:row>
    <x:row r="104" ht="105" customHeight="1">
      <x:c r="A104" s="4" t="str">
        <x:f>IFERROR(INDEX('Material routes'!$E$6:$E$1005,MATCH(U104,'Material routes'!$A$6:$A$1005,0)),"MISSING ID")</x:f>
        <x:v>Opaque mineral-glass stock</x:v>
      </x:c>
      <x:c r="B104" s="4" t="str">
        <x:f>IFERROR(INDEX('Material routes'!$F$6:$F$1005,MATCH(U104,'Material routes'!$A$6:$A$1005,0)),"MISSING ID")</x:f>
        <x:v>T1</x:v>
      </x:c>
      <x:c r="C104" s="4" t="str">
        <x:f>IFERROR(INDEX('Material routes'!$H$6:$H$1005,MATCH(U104,'Material routes'!$A$6:$A$1005,0)),"MISSING ID")</x:f>
        <x:v>Processed material</x:v>
      </x:c>
      <x:c r="D104" s="4" t="str">
        <x:f>IFERROR(INDEX('Material routes'!$G$6:$G$1005,MATCH(U104,'Material routes'!$A$6:$A$1005,0)),"MISSING ID")</x:f>
        <x:v>Resources</x:v>
      </x:c>
      <x:c r="E104" s="4" t="str">
        <x:f>IFERROR(INDEX('Material routes'!$C$6:$C$1005,MATCH(U104,'Material routes'!$A$6:$A$1005,0)),"MISSING ID")</x:f>
        <x:v>Ingredient candidate</x:v>
      </x:c>
      <x:c r="F104" s="4" t="str">
        <x:f>IFERROR(INDEX('Material routes'!$E$6:$E$1005,MATCH(V104,'Material routes'!$A$6:$A$1005,0)),"MISSING ID")</x:f>
        <x:v>Formed opaque glass sheet</x:v>
      </x:c>
      <x:c r="G104" s="4" t="str">
        <x:f>IFERROR(INDEX('Material routes'!$F$6:$F$1005,MATCH(V104,'Material routes'!$A$6:$A$1005,0)),"MISSING ID")</x:f>
        <x:v>T2</x:v>
      </x:c>
      <x:c r="H104" s="4" t="str">
        <x:f>IFERROR(INDEX('Material routes'!$H$6:$H$1005,MATCH(V104,'Material routes'!$A$6:$A$1005,0)),"MISSING ID")</x:f>
        <x:v>Processed material</x:v>
      </x:c>
      <x:c r="I104" s="4" t="str">
        <x:f>IFERROR(INDEX('Material routes'!$G$6:$G$1005,MATCH(V104,'Material routes'!$A$6:$A$1005,0)),"MISSING ID")</x:f>
        <x:v>Resources</x:v>
      </x:c>
      <x:c r="J104" s="4" t="str">
        <x:f>IFERROR(INDEX('Material routes'!$B$6:$B$1005,MATCH(U104,'Material routes'!$A$6:$A$1005,0)),"MISSING ID")</x:f>
        <x:v>design.branch.branch.opaque_sheet</x:v>
      </x:c>
      <x:c r="K104" s="4" t="str">
        <x:f>IFERROR(INDEX('Crafting recipes'!$C$6:$C$1005,MATCH(J104,'Crafting recipes'!$A$6:$A$1005,0)),"MISSING ID")</x:f>
        <x:v>Material refinement</x:v>
      </x:c>
      <x:c r="L104" s="4" t="str">
        <x:f>IFERROR(INDEX('Material routes'!$K$6:$K$1005,MATCH(U104,'Material routes'!$A$6:$A$1005,0)),"MISSING ID")</x:f>
        <x:v>Proposal</x:v>
      </x:c>
      <x:c r="M104" s="4" t="str">
        <x:f>IFERROR(INDEX('Material routes'!$M$6:$M$1005,MATCH(U104,'Material routes'!$A$6:$A$1005,0)),"MISSING ID")</x:f>
        <x:v>Partial proposal</x:v>
      </x:c>
      <x:c r="N104" s="4" t="str">
        <x:f>IF(IFERROR(INDEX('Material routes'!$I$6:$I$1005,MATCH(U104,'Material routes'!$A$6:$A$1005,0)),"MISSING ID")=0,"",IFERROR(INDEX('Material routes'!$I$6:$I$1005,MATCH(U104,'Material routes'!$A$6:$A$1005,0)),"MISSING ID"))</x:f>
      </x:c>
      <x:c r="O104" s="4" t="str">
        <x:f>IFERROR(INDEX('Material routes'!$J$6:$J$1005,MATCH(U104,'Material routes'!$A$6:$A$1005,0)),"MISSING ID")</x:f>
        <x:v>Unspecified</x:v>
      </x:c>
      <x:c r="P104" s="4" t="str">
        <x:f>IF(IFERROR(INDEX('Material routes'!$I$6:$I$1005,MATCH(V104,'Material routes'!$A$6:$A$1005,0)),"MISSING ID")=0,"",IFERROR(INDEX('Material routes'!$I$6:$I$1005,MATCH(V104,'Material routes'!$A$6:$A$1005,0)),"MISSING ID"))</x:f>
      </x:c>
      <x:c r="Q104" s="4" t="str">
        <x:f>IFERROR(INDEX('Material routes'!$J$6:$J$1005,MATCH(V104,'Material routes'!$A$6:$A$1005,0)),"MISSING ID")</x:f>
        <x:v>Unspecified</x:v>
      </x:c>
      <x:c r="R104" s="4" t="str">
        <x:f>IF(L104="Withheld","Withheld premise",IF(E104="Tool candidate","Reusable prerequisite",IF(K104="Raw entry preparation","Entry-resource preparation",IF(G104="Not applicable","Finished endpoint",IF(OR(IFERROR(INDEX('Crafting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routes'!$D$6:$D$1005,MATCH(U104,'Material routes'!$A$6:$A$1005,0)),"MISSING ID")</x:f>
        <x:v>proposal.t1.opaque_glass</x:v>
      </x:c>
      <x:c r="T104" s="4" t="str">
        <x:f>IFERROR(INDEX('Material routes'!$D$6:$D$1005,MATCH(V104,'Material routes'!$A$6:$A$1005,0)),"MISSING ID")</x:f>
        <x:v>proposal.branch.opaque_sheet</x:v>
      </x:c>
      <x:c r="U104" s="4" t="str">
        <x:v>design.branch.branch.opaque_sheet.in.1</x:v>
      </x:c>
      <x:c r="V104" s="4" t="str">
        <x:v>design.branch.branch.opaque_sheet.out</x:v>
      </x:c>
    </x:row>
    <x:row r="105" ht="105" customHeight="1">
      <x:c r="A105" s="4" t="str">
        <x:f>IFERROR(INDEX('Material routes'!$E$6:$E$1005,MATCH(U105,'Material routes'!$A$6:$A$1005,0)),"MISSING ID")</x:f>
        <x:v>Rough clear-glass blank</x:v>
      </x:c>
      <x:c r="B105" s="4" t="str">
        <x:f>IFERROR(INDEX('Material routes'!$F$6:$F$1005,MATCH(U105,'Material routes'!$A$6:$A$1005,0)),"MISSING ID")</x:f>
        <x:v>T1</x:v>
      </x:c>
      <x:c r="C105" s="4" t="str">
        <x:f>IFERROR(INDEX('Material routes'!$H$6:$H$1005,MATCH(U105,'Material routes'!$A$6:$A$1005,0)),"MISSING ID")</x:f>
        <x:v>Processed material</x:v>
      </x:c>
      <x:c r="D105" s="4" t="str">
        <x:f>IFERROR(INDEX('Material routes'!$G$6:$G$1005,MATCH(U105,'Material routes'!$A$6:$A$1005,0)),"MISSING ID")</x:f>
        <x:v>Resources</x:v>
      </x:c>
      <x:c r="E105" s="4" t="str">
        <x:f>IFERROR(INDEX('Material routes'!$C$6:$C$1005,MATCH(U105,'Material routes'!$A$6:$A$1005,0)),"MISSING ID")</x:f>
        <x:v>Ingredient candidate</x:v>
      </x:c>
      <x:c r="F105" s="4" t="str">
        <x:f>IFERROR(INDEX('Material routes'!$E$6:$E$1005,MATCH(V105,'Material routes'!$A$6:$A$1005,0)),"MISSING ID")</x:f>
        <x:v>Selected viewing-glass stock</x:v>
      </x:c>
      <x:c r="G105" s="4" t="str">
        <x:f>IFERROR(INDEX('Material routes'!$F$6:$F$1005,MATCH(V105,'Material routes'!$A$6:$A$1005,0)),"MISSING ID")</x:f>
        <x:v>T2</x:v>
      </x:c>
      <x:c r="H105" s="4" t="str">
        <x:f>IFERROR(INDEX('Material routes'!$H$6:$H$1005,MATCH(V105,'Material routes'!$A$6:$A$1005,0)),"MISSING ID")</x:f>
        <x:v>Processed material</x:v>
      </x:c>
      <x:c r="I105" s="4" t="str">
        <x:f>IFERROR(INDEX('Material routes'!$G$6:$G$1005,MATCH(V105,'Material routes'!$A$6:$A$1005,0)),"MISSING ID")</x:f>
        <x:v>Resources</x:v>
      </x:c>
      <x:c r="J105" s="4" t="str">
        <x:f>IFERROR(INDEX('Material routes'!$B$6:$B$1005,MATCH(U105,'Material routes'!$A$6:$A$1005,0)),"MISSING ID")</x:f>
        <x:v>design.branch.branch.viewing_glass</x:v>
      </x:c>
      <x:c r="K105" s="4" t="str">
        <x:f>IFERROR(INDEX('Crafting recipes'!$C$6:$C$1005,MATCH(J105,'Crafting recipes'!$A$6:$A$1005,0)),"MISSING ID")</x:f>
        <x:v>Material refinement</x:v>
      </x:c>
      <x:c r="L105" s="4" t="str">
        <x:f>IFERROR(INDEX('Material routes'!$K$6:$K$1005,MATCH(U105,'Material routes'!$A$6:$A$1005,0)),"MISSING ID")</x:f>
        <x:v>Proposal</x:v>
      </x:c>
      <x:c r="M105" s="4" t="str">
        <x:f>IFERROR(INDEX('Material routes'!$M$6:$M$1005,MATCH(U105,'Material routes'!$A$6:$A$1005,0)),"MISSING ID")</x:f>
        <x:v>Partial proposal</x:v>
      </x:c>
      <x:c r="N105" s="4" t="str">
        <x:f>IF(IFERROR(INDEX('Material routes'!$I$6:$I$1005,MATCH(U105,'Material routes'!$A$6:$A$1005,0)),"MISSING ID")=0,"",IFERROR(INDEX('Material routes'!$I$6:$I$1005,MATCH(U105,'Material routes'!$A$6:$A$1005,0)),"MISSING ID"))</x:f>
      </x:c>
      <x:c r="O105" s="4" t="str">
        <x:f>IFERROR(INDEX('Material routes'!$J$6:$J$1005,MATCH(U105,'Material routes'!$A$6:$A$1005,0)),"MISSING ID")</x:f>
        <x:v>Unspecified</x:v>
      </x:c>
      <x:c r="P105" s="4" t="str">
        <x:f>IF(IFERROR(INDEX('Material routes'!$I$6:$I$1005,MATCH(V105,'Material routes'!$A$6:$A$1005,0)),"MISSING ID")=0,"",IFERROR(INDEX('Material routes'!$I$6:$I$1005,MATCH(V105,'Material routes'!$A$6:$A$1005,0)),"MISSING ID"))</x:f>
      </x:c>
      <x:c r="Q105" s="4" t="str">
        <x:f>IFERROR(INDEX('Material routes'!$J$6:$J$1005,MATCH(V105,'Material routes'!$A$6:$A$1005,0)),"MISSING ID")</x:f>
        <x:v>Unspecified</x:v>
      </x:c>
      <x:c r="R105" s="4" t="str">
        <x:f>IF(L105="Withheld","Withheld premise",IF(E105="Tool candidate","Reusable prerequisite",IF(K105="Raw entry preparation","Entry-resource preparation",IF(G105="Not applicable","Finished endpoint",IF(OR(IFERROR(INDEX('Crafting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routes'!$D$6:$D$1005,MATCH(U105,'Material routes'!$A$6:$A$1005,0)),"MISSING ID")</x:f>
        <x:v>proposal.t1.clear_glass_blank</x:v>
      </x:c>
      <x:c r="T105" s="4" t="str">
        <x:f>IFERROR(INDEX('Material routes'!$D$6:$D$1005,MATCH(V105,'Material routes'!$A$6:$A$1005,0)),"MISSING ID")</x:f>
        <x:v>proposal.branch.viewing_glass</x:v>
      </x:c>
      <x:c r="U105" s="4" t="str">
        <x:v>design.branch.branch.viewing_glass.in.1</x:v>
      </x:c>
      <x:c r="V105" s="4" t="str">
        <x:v>design.branch.branch.viewing_glass.out</x:v>
      </x:c>
    </x:row>
    <x:row r="106" ht="105" customHeight="1">
      <x:c r="A106" s="4" t="str">
        <x:f>IFERROR(INDEX('Material routes'!$E$6:$E$1005,MATCH(U106,'Material routes'!$A$6:$A$1005,0)),"MISSING ID")</x:f>
        <x:v>Pressed husk-fiber textile material</x:v>
      </x:c>
      <x:c r="B106" s="4" t="str">
        <x:f>IFERROR(INDEX('Material routes'!$F$6:$F$1005,MATCH(U106,'Material routes'!$A$6:$A$1005,0)),"MISSING ID")</x:f>
        <x:v>T1</x:v>
      </x:c>
      <x:c r="C106" s="4" t="str">
        <x:f>IFERROR(INDEX('Material routes'!$H$6:$H$1005,MATCH(U106,'Material routes'!$A$6:$A$1005,0)),"MISSING ID")</x:f>
        <x:v>Processed material</x:v>
      </x:c>
      <x:c r="D106" s="4" t="str">
        <x:f>IFERROR(INDEX('Material routes'!$G$6:$G$1005,MATCH(U106,'Material routes'!$A$6:$A$1005,0)),"MISSING ID")</x:f>
        <x:v>Crafting components</x:v>
      </x:c>
      <x:c r="E106" s="4" t="str">
        <x:f>IFERROR(INDEX('Material routes'!$C$6:$C$1005,MATCH(U106,'Material routes'!$A$6:$A$1005,0)),"MISSING ID")</x:f>
        <x:v>Ingredient candidate</x:v>
      </x:c>
      <x:c r="F106" s="4" t="str">
        <x:f>IFERROR(INDEX('Material routes'!$E$6:$E$1005,MATCH(V106,'Material routes'!$A$6:$A$1005,0)),"MISSING ID")</x:f>
        <x:v>Bonded husk sheet</x:v>
      </x:c>
      <x:c r="G106" s="4" t="str">
        <x:f>IFERROR(INDEX('Material routes'!$F$6:$F$1005,MATCH(V106,'Material routes'!$A$6:$A$1005,0)),"MISSING ID")</x:f>
        <x:v>T2</x:v>
      </x:c>
      <x:c r="H106" s="4" t="str">
        <x:f>IFERROR(INDEX('Material routes'!$H$6:$H$1005,MATCH(V106,'Material routes'!$A$6:$A$1005,0)),"MISSING ID")</x:f>
        <x:v>Processed material</x:v>
      </x:c>
      <x:c r="I106" s="4" t="str">
        <x:f>IFERROR(INDEX('Material routes'!$G$6:$G$1005,MATCH(V106,'Material routes'!$A$6:$A$1005,0)),"MISSING ID")</x:f>
        <x:v>Resources</x:v>
      </x:c>
      <x:c r="J106" s="4" t="str">
        <x:f>IFERROR(INDEX('Material routes'!$B$6:$B$1005,MATCH(U106,'Material routes'!$A$6:$A$1005,0)),"MISSING ID")</x:f>
        <x:v>design.branch.branch.husk_sheet</x:v>
      </x:c>
      <x:c r="K106" s="4" t="str">
        <x:f>IFERROR(INDEX('Crafting recipes'!$C$6:$C$1005,MATCH(J106,'Crafting recipes'!$A$6:$A$1005,0)),"MISSING ID")</x:f>
        <x:v>Material refinement</x:v>
      </x:c>
      <x:c r="L106" s="4" t="str">
        <x:f>IFERROR(INDEX('Material routes'!$K$6:$K$1005,MATCH(U106,'Material routes'!$A$6:$A$1005,0)),"MISSING ID")</x:f>
        <x:v>Proposal</x:v>
      </x:c>
      <x:c r="M106" s="4" t="str">
        <x:f>IFERROR(INDEX('Material routes'!$M$6:$M$1005,MATCH(U106,'Material routes'!$A$6:$A$1005,0)),"MISSING ID")</x:f>
        <x:v>Partial proposal</x:v>
      </x:c>
      <x:c r="N106" s="4" t="str">
        <x:f>IF(IFERROR(INDEX('Material routes'!$I$6:$I$1005,MATCH(U106,'Material routes'!$A$6:$A$1005,0)),"MISSING ID")=0,"",IFERROR(INDEX('Material routes'!$I$6:$I$1005,MATCH(U106,'Material routes'!$A$6:$A$1005,0)),"MISSING ID"))</x:f>
      </x:c>
      <x:c r="O106" s="4" t="str">
        <x:f>IFERROR(INDEX('Material routes'!$J$6:$J$1005,MATCH(U106,'Material routes'!$A$6:$A$1005,0)),"MISSING ID")</x:f>
        <x:v>Unspecified</x:v>
      </x:c>
      <x:c r="P106" s="4" t="str">
        <x:f>IF(IFERROR(INDEX('Material routes'!$I$6:$I$1005,MATCH(V106,'Material routes'!$A$6:$A$1005,0)),"MISSING ID")=0,"",IFERROR(INDEX('Material routes'!$I$6:$I$1005,MATCH(V106,'Material routes'!$A$6:$A$1005,0)),"MISSING ID"))</x:f>
      </x:c>
      <x:c r="Q106" s="4" t="str">
        <x:f>IFERROR(INDEX('Material routes'!$J$6:$J$1005,MATCH(V106,'Material routes'!$A$6:$A$1005,0)),"MISSING ID")</x:f>
        <x:v>Unspecified</x:v>
      </x:c>
      <x:c r="R106" s="4" t="str">
        <x:f>IF(L106="Withheld","Withheld premise",IF(E106="Tool candidate","Reusable prerequisite",IF(K106="Raw entry preparation","Entry-resource preparation",IF(G106="Not applicable","Finished endpoint",IF(OR(IFERROR(INDEX('Crafting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routes'!$D$6:$D$1005,MATCH(U106,'Material routes'!$A$6:$A$1005,0)),"MISSING ID")</x:f>
        <x:v>proposal.bio.pressed_husk</x:v>
      </x:c>
      <x:c r="T106" s="4" t="str">
        <x:f>IFERROR(INDEX('Material routes'!$D$6:$D$1005,MATCH(V106,'Material routes'!$A$6:$A$1005,0)),"MISSING ID")</x:f>
        <x:v>proposal.branch.husk_sheet</x:v>
      </x:c>
      <x:c r="U106" s="4" t="str">
        <x:v>design.branch.branch.husk_sheet.in.1</x:v>
      </x:c>
      <x:c r="V106" s="4" t="str">
        <x:v>design.branch.branch.husk_sheet.out</x:v>
      </x:c>
    </x:row>
    <x:row r="107" ht="105" customHeight="1">
      <x:c r="A107" s="4" t="str">
        <x:f>IFERROR(INDEX('Material routes'!$E$6:$E$1005,MATCH(U107,'Material routes'!$A$6:$A$1005,0)),"MISSING ID")</x:f>
        <x:v>Prepared shell-binding adhesive</x:v>
      </x:c>
      <x:c r="B107" s="4" t="str">
        <x:f>IFERROR(INDEX('Material routes'!$F$6:$F$1005,MATCH(U107,'Material routes'!$A$6:$A$1005,0)),"MISSING ID")</x:f>
        <x:v>T1</x:v>
      </x:c>
      <x:c r="C107" s="4" t="str">
        <x:f>IFERROR(INDEX('Material routes'!$H$6:$H$1005,MATCH(U107,'Material routes'!$A$6:$A$1005,0)),"MISSING ID")</x:f>
        <x:v>Chemical material</x:v>
      </x:c>
      <x:c r="D107" s="4" t="str">
        <x:f>IFERROR(INDEX('Material routes'!$G$6:$G$1005,MATCH(U107,'Material routes'!$A$6:$A$1005,0)),"MISSING ID")</x:f>
        <x:v>Resources</x:v>
      </x:c>
      <x:c r="E107" s="4" t="str">
        <x:f>IFERROR(INDEX('Material routes'!$C$6:$C$1005,MATCH(U107,'Material routes'!$A$6:$A$1005,0)),"MISSING ID")</x:f>
        <x:v>Ingredient candidate</x:v>
      </x:c>
      <x:c r="F107" s="4" t="str">
        <x:f>IFERROR(INDEX('Material routes'!$E$6:$E$1005,MATCH(V107,'Material routes'!$A$6:$A$1005,0)),"MISSING ID")</x:f>
        <x:v>Bonded husk sheet</x:v>
      </x:c>
      <x:c r="G107" s="4" t="str">
        <x:f>IFERROR(INDEX('Material routes'!$F$6:$F$1005,MATCH(V107,'Material routes'!$A$6:$A$1005,0)),"MISSING ID")</x:f>
        <x:v>T2</x:v>
      </x:c>
      <x:c r="H107" s="4" t="str">
        <x:f>IFERROR(INDEX('Material routes'!$H$6:$H$1005,MATCH(V107,'Material routes'!$A$6:$A$1005,0)),"MISSING ID")</x:f>
        <x:v>Processed material</x:v>
      </x:c>
      <x:c r="I107" s="4" t="str">
        <x:f>IFERROR(INDEX('Material routes'!$G$6:$G$1005,MATCH(V107,'Material routes'!$A$6:$A$1005,0)),"MISSING ID")</x:f>
        <x:v>Resources</x:v>
      </x:c>
      <x:c r="J107" s="4" t="str">
        <x:f>IFERROR(INDEX('Material routes'!$B$6:$B$1005,MATCH(U107,'Material routes'!$A$6:$A$1005,0)),"MISSING ID")</x:f>
        <x:v>design.branch.branch.husk_sheet</x:v>
      </x:c>
      <x:c r="K107" s="4" t="str">
        <x:f>IFERROR(INDEX('Crafting recipes'!$C$6:$C$1005,MATCH(J107,'Crafting recipes'!$A$6:$A$1005,0)),"MISSING ID")</x:f>
        <x:v>Material refinement</x:v>
      </x:c>
      <x:c r="L107" s="4" t="str">
        <x:f>IFERROR(INDEX('Material routes'!$K$6:$K$1005,MATCH(U107,'Material routes'!$A$6:$A$1005,0)),"MISSING ID")</x:f>
        <x:v>Proposal</x:v>
      </x:c>
      <x:c r="M107" s="4" t="str">
        <x:f>IFERROR(INDEX('Material routes'!$M$6:$M$1005,MATCH(U107,'Material routes'!$A$6:$A$1005,0)),"MISSING ID")</x:f>
        <x:v>Partial proposal</x:v>
      </x:c>
      <x:c r="N107" s="4" t="str">
        <x:f>IF(IFERROR(INDEX('Material routes'!$I$6:$I$1005,MATCH(U107,'Material routes'!$A$6:$A$1005,0)),"MISSING ID")=0,"",IFERROR(INDEX('Material routes'!$I$6:$I$1005,MATCH(U107,'Material routes'!$A$6:$A$1005,0)),"MISSING ID"))</x:f>
      </x:c>
      <x:c r="O107" s="4" t="str">
        <x:f>IFERROR(INDEX('Material routes'!$J$6:$J$1005,MATCH(U107,'Material routes'!$A$6:$A$1005,0)),"MISSING ID")</x:f>
        <x:v>Unspecified</x:v>
      </x:c>
      <x:c r="P107" s="4" t="str">
        <x:f>IF(IFERROR(INDEX('Material routes'!$I$6:$I$1005,MATCH(V107,'Material routes'!$A$6:$A$1005,0)),"MISSING ID")=0,"",IFERROR(INDEX('Material routes'!$I$6:$I$1005,MATCH(V107,'Material routes'!$A$6:$A$1005,0)),"MISSING ID"))</x:f>
      </x:c>
      <x:c r="Q107" s="4" t="str">
        <x:f>IFERROR(INDEX('Material routes'!$J$6:$J$1005,MATCH(V107,'Material routes'!$A$6:$A$1005,0)),"MISSING ID")</x:f>
        <x:v>Unspecified</x:v>
      </x:c>
      <x:c r="R107" s="4" t="str">
        <x:f>IF(L107="Withheld","Withheld premise",IF(E107="Tool candidate","Reusable prerequisite",IF(K107="Raw entry preparation","Entry-resource preparation",IF(G107="Not applicable","Finished endpoint",IF(OR(IFERROR(INDEX('Crafting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routes'!$D$6:$D$1005,MATCH(U107,'Material routes'!$A$6:$A$1005,0)),"MISSING ID")</x:f>
        <x:v>proposal.t1.shell_adhesive</x:v>
      </x:c>
      <x:c r="T107" s="4" t="str">
        <x:f>IFERROR(INDEX('Material routes'!$D$6:$D$1005,MATCH(V107,'Material routes'!$A$6:$A$1005,0)),"MISSING ID")</x:f>
        <x:v>proposal.branch.husk_sheet</x:v>
      </x:c>
      <x:c r="U107" s="4" t="str">
        <x:v>design.branch.branch.husk_sheet.in.2</x:v>
      </x:c>
      <x:c r="V107" s="4" t="str">
        <x:v>design.branch.branch.husk_sheet.out</x:v>
      </x:c>
    </x:row>
    <x:row r="108" ht="105" customHeight="1">
      <x:c r="A108" s="4" t="str">
        <x:f>IFERROR(INDEX('Material routes'!$E$6:$E$1005,MATCH(U108,'Material routes'!$A$6:$A$1005,0)),"MISSING ID")</x:f>
        <x:v>Prepared insect-wing sail panel</x:v>
      </x:c>
      <x:c r="B108" s="4" t="str">
        <x:f>IFERROR(INDEX('Material routes'!$F$6:$F$1005,MATCH(U108,'Material routes'!$A$6:$A$1005,0)),"MISSING ID")</x:f>
        <x:v>T1</x:v>
      </x:c>
      <x:c r="C108" s="4" t="str">
        <x:f>IFERROR(INDEX('Material routes'!$H$6:$H$1005,MATCH(U108,'Material routes'!$A$6:$A$1005,0)),"MISSING ID")</x:f>
        <x:v>Crafting component</x:v>
      </x:c>
      <x:c r="D108" s="4" t="str">
        <x:f>IFERROR(INDEX('Material routes'!$G$6:$G$1005,MATCH(U108,'Material routes'!$A$6:$A$1005,0)),"MISSING ID")</x:f>
        <x:v>Crafting components</x:v>
      </x:c>
      <x:c r="E108" s="4" t="str">
        <x:f>IFERROR(INDEX('Material routes'!$C$6:$C$1005,MATCH(U108,'Material routes'!$A$6:$A$1005,0)),"MISSING ID")</x:f>
        <x:v>Ingredient candidate</x:v>
      </x:c>
      <x:c r="F108" s="4" t="str">
        <x:f>IFERROR(INDEX('Material routes'!$E$6:$E$1005,MATCH(V108,'Material routes'!$A$6:$A$1005,0)),"MISSING ID")</x:f>
        <x:v>Reinforced wing membrane</x:v>
      </x:c>
      <x:c r="G108" s="4" t="str">
        <x:f>IFERROR(INDEX('Material routes'!$F$6:$F$1005,MATCH(V108,'Material routes'!$A$6:$A$1005,0)),"MISSING ID")</x:f>
        <x:v>T2</x:v>
      </x:c>
      <x:c r="H108" s="4" t="str">
        <x:f>IFERROR(INDEX('Material routes'!$H$6:$H$1005,MATCH(V108,'Material routes'!$A$6:$A$1005,0)),"MISSING ID")</x:f>
        <x:v>Processed material</x:v>
      </x:c>
      <x:c r="I108" s="4" t="str">
        <x:f>IFERROR(INDEX('Material routes'!$G$6:$G$1005,MATCH(V108,'Material routes'!$A$6:$A$1005,0)),"MISSING ID")</x:f>
        <x:v>Resources</x:v>
      </x:c>
      <x:c r="J108" s="4" t="str">
        <x:f>IFERROR(INDEX('Material routes'!$B$6:$B$1005,MATCH(U108,'Material routes'!$A$6:$A$1005,0)),"MISSING ID")</x:f>
        <x:v>design.branch.branch.wing_membrane</x:v>
      </x:c>
      <x:c r="K108" s="4" t="str">
        <x:f>IFERROR(INDEX('Crafting recipes'!$C$6:$C$1005,MATCH(J108,'Crafting recipes'!$A$6:$A$1005,0)),"MISSING ID")</x:f>
        <x:v>Material refinement</x:v>
      </x:c>
      <x:c r="L108" s="4" t="str">
        <x:f>IFERROR(INDEX('Material routes'!$K$6:$K$1005,MATCH(U108,'Material routes'!$A$6:$A$1005,0)),"MISSING ID")</x:f>
        <x:v>Proposal</x:v>
      </x:c>
      <x:c r="M108" s="4" t="str">
        <x:f>IFERROR(INDEX('Material routes'!$M$6:$M$1005,MATCH(U108,'Material routes'!$A$6:$A$1005,0)),"MISSING ID")</x:f>
        <x:v>Partial proposal</x:v>
      </x:c>
      <x:c r="N108" s="4" t="str">
        <x:f>IF(IFERROR(INDEX('Material routes'!$I$6:$I$1005,MATCH(U108,'Material routes'!$A$6:$A$1005,0)),"MISSING ID")=0,"",IFERROR(INDEX('Material routes'!$I$6:$I$1005,MATCH(U108,'Material routes'!$A$6:$A$1005,0)),"MISSING ID"))</x:f>
      </x:c>
      <x:c r="O108" s="4" t="str">
        <x:f>IFERROR(INDEX('Material routes'!$J$6:$J$1005,MATCH(U108,'Material routes'!$A$6:$A$1005,0)),"MISSING ID")</x:f>
        <x:v>Unspecified</x:v>
      </x:c>
      <x:c r="P108" s="4" t="str">
        <x:f>IF(IFERROR(INDEX('Material routes'!$I$6:$I$1005,MATCH(V108,'Material routes'!$A$6:$A$1005,0)),"MISSING ID")=0,"",IFERROR(INDEX('Material routes'!$I$6:$I$1005,MATCH(V108,'Material routes'!$A$6:$A$1005,0)),"MISSING ID"))</x:f>
      </x:c>
      <x:c r="Q108" s="4" t="str">
        <x:f>IFERROR(INDEX('Material routes'!$J$6:$J$1005,MATCH(V108,'Material routes'!$A$6:$A$1005,0)),"MISSING ID")</x:f>
        <x:v>Unspecified</x:v>
      </x:c>
      <x:c r="R108" s="4" t="str">
        <x:f>IF(L108="Withheld","Withheld premise",IF(E108="Tool candidate","Reusable prerequisite",IF(K108="Raw entry preparation","Entry-resource preparation",IF(G108="Not applicable","Finished endpoint",IF(OR(IFERROR(INDEX('Crafting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routes'!$D$6:$D$1005,MATCH(U108,'Material routes'!$A$6:$A$1005,0)),"MISSING ID")</x:f>
        <x:v>proposal.wind.sail_panel</x:v>
      </x:c>
      <x:c r="T108" s="4" t="str">
        <x:f>IFERROR(INDEX('Material routes'!$D$6:$D$1005,MATCH(V108,'Material routes'!$A$6:$A$1005,0)),"MISSING ID")</x:f>
        <x:v>proposal.branch.wing_membrane</x:v>
      </x:c>
      <x:c r="U108" s="4" t="str">
        <x:v>design.branch.branch.wing_membrane.in.1</x:v>
      </x:c>
      <x:c r="V108" s="4" t="str">
        <x:v>design.branch.branch.wing_membrane.out</x:v>
      </x:c>
    </x:row>
    <x:row r="109" ht="105" customHeight="1">
      <x:c r="A109" s="4" t="str">
        <x:f>IFERROR(INDEX('Material routes'!$E$6:$E$1005,MATCH(U109,'Material routes'!$A$6:$A$1005,0)),"MISSING ID")</x:f>
        <x:v>Tendon cord</x:v>
      </x:c>
      <x:c r="B109" s="4" t="str">
        <x:f>IFERROR(INDEX('Material routes'!$F$6:$F$1005,MATCH(U109,'Material routes'!$A$6:$A$1005,0)),"MISSING ID")</x:f>
        <x:v>T1</x:v>
      </x:c>
      <x:c r="C109" s="4" t="str">
        <x:f>IFERROR(INDEX('Material routes'!$H$6:$H$1005,MATCH(U109,'Material routes'!$A$6:$A$1005,0)),"MISSING ID")</x:f>
        <x:v>Crafting component</x:v>
      </x:c>
      <x:c r="D109" s="4" t="str">
        <x:f>IFERROR(INDEX('Material routes'!$G$6:$G$1005,MATCH(U109,'Material routes'!$A$6:$A$1005,0)),"MISSING ID")</x:f>
        <x:v>Crafting components</x:v>
      </x:c>
      <x:c r="E109" s="4" t="str">
        <x:f>IFERROR(INDEX('Material routes'!$C$6:$C$1005,MATCH(U109,'Material routes'!$A$6:$A$1005,0)),"MISSING ID")</x:f>
        <x:v>Ingredient candidate</x:v>
      </x:c>
      <x:c r="F109" s="4" t="str">
        <x:f>IFERROR(INDEX('Material routes'!$E$6:$E$1005,MATCH(V109,'Material routes'!$A$6:$A$1005,0)),"MISSING ID")</x:f>
        <x:v>Reinforced wing membrane</x:v>
      </x:c>
      <x:c r="G109" s="4" t="str">
        <x:f>IFERROR(INDEX('Material routes'!$F$6:$F$1005,MATCH(V109,'Material routes'!$A$6:$A$1005,0)),"MISSING ID")</x:f>
        <x:v>T2</x:v>
      </x:c>
      <x:c r="H109" s="4" t="str">
        <x:f>IFERROR(INDEX('Material routes'!$H$6:$H$1005,MATCH(V109,'Material routes'!$A$6:$A$1005,0)),"MISSING ID")</x:f>
        <x:v>Processed material</x:v>
      </x:c>
      <x:c r="I109" s="4" t="str">
        <x:f>IFERROR(INDEX('Material routes'!$G$6:$G$1005,MATCH(V109,'Material routes'!$A$6:$A$1005,0)),"MISSING ID")</x:f>
        <x:v>Resources</x:v>
      </x:c>
      <x:c r="J109" s="4" t="str">
        <x:f>IFERROR(INDEX('Material routes'!$B$6:$B$1005,MATCH(U109,'Material routes'!$A$6:$A$1005,0)),"MISSING ID")</x:f>
        <x:v>design.branch.branch.wing_membrane</x:v>
      </x:c>
      <x:c r="K109" s="4" t="str">
        <x:f>IFERROR(INDEX('Crafting recipes'!$C$6:$C$1005,MATCH(J109,'Crafting recipes'!$A$6:$A$1005,0)),"MISSING ID")</x:f>
        <x:v>Material refinement</x:v>
      </x:c>
      <x:c r="L109" s="4" t="str">
        <x:f>IFERROR(INDEX('Material routes'!$K$6:$K$1005,MATCH(U109,'Material routes'!$A$6:$A$1005,0)),"MISSING ID")</x:f>
        <x:v>Proposal</x:v>
      </x:c>
      <x:c r="M109" s="4" t="str">
        <x:f>IFERROR(INDEX('Material routes'!$M$6:$M$1005,MATCH(U109,'Material routes'!$A$6:$A$1005,0)),"MISSING ID")</x:f>
        <x:v>Partial proposal</x:v>
      </x:c>
      <x:c r="N109" s="4" t="str">
        <x:f>IF(IFERROR(INDEX('Material routes'!$I$6:$I$1005,MATCH(U109,'Material routes'!$A$6:$A$1005,0)),"MISSING ID")=0,"",IFERROR(INDEX('Material routes'!$I$6:$I$1005,MATCH(U109,'Material routes'!$A$6:$A$1005,0)),"MISSING ID"))</x:f>
      </x:c>
      <x:c r="O109" s="4" t="str">
        <x:f>IFERROR(INDEX('Material routes'!$J$6:$J$1005,MATCH(U109,'Material routes'!$A$6:$A$1005,0)),"MISSING ID")</x:f>
        <x:v>Unspecified</x:v>
      </x:c>
      <x:c r="P109" s="4" t="str">
        <x:f>IF(IFERROR(INDEX('Material routes'!$I$6:$I$1005,MATCH(V109,'Material routes'!$A$6:$A$1005,0)),"MISSING ID")=0,"",IFERROR(INDEX('Material routes'!$I$6:$I$1005,MATCH(V109,'Material routes'!$A$6:$A$1005,0)),"MISSING ID"))</x:f>
      </x:c>
      <x:c r="Q109" s="4" t="str">
        <x:f>IFERROR(INDEX('Material routes'!$J$6:$J$1005,MATCH(V109,'Material routes'!$A$6:$A$1005,0)),"MISSING ID")</x:f>
        <x:v>Unspecified</x:v>
      </x:c>
      <x:c r="R109" s="4" t="str">
        <x:f>IF(L109="Withheld","Withheld premise",IF(E109="Tool candidate","Reusable prerequisite",IF(K109="Raw entry preparation","Entry-resource preparation",IF(G109="Not applicable","Finished endpoint",IF(OR(IFERROR(INDEX('Crafting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routes'!$D$6:$D$1005,MATCH(U109,'Material routes'!$A$6:$A$1005,0)),"MISSING ID")</x:f>
        <x:v>proposal.bio.cord</x:v>
      </x:c>
      <x:c r="T109" s="4" t="str">
        <x:f>IFERROR(INDEX('Material routes'!$D$6:$D$1005,MATCH(V109,'Material routes'!$A$6:$A$1005,0)),"MISSING ID")</x:f>
        <x:v>proposal.branch.wing_membrane</x:v>
      </x:c>
      <x:c r="U109" s="4" t="str">
        <x:v>design.branch.branch.wing_membrane.in.2</x:v>
      </x:c>
      <x:c r="V109" s="4" t="str">
        <x:v>design.branch.branch.wing_membrane.out</x:v>
      </x:c>
    </x:row>
    <x:row r="110" ht="105" customHeight="1">
      <x:c r="A110" s="4" t="str">
        <x:f>IFERROR(INDEX('Material routes'!$E$6:$E$1005,MATCH(U110,'Material routes'!$A$6:$A$1005,0)),"MISSING ID")</x:f>
        <x:v>Prepared flexible faunal binder</x:v>
      </x:c>
      <x:c r="B110" s="4" t="str">
        <x:f>IFERROR(INDEX('Material routes'!$F$6:$F$1005,MATCH(U110,'Material routes'!$A$6:$A$1005,0)),"MISSING ID")</x:f>
        <x:v>T1</x:v>
      </x:c>
      <x:c r="C110" s="4" t="str">
        <x:f>IFERROR(INDEX('Material routes'!$H$6:$H$1005,MATCH(U110,'Material routes'!$A$6:$A$1005,0)),"MISSING ID")</x:f>
        <x:v>Chemical material</x:v>
      </x:c>
      <x:c r="D110" s="4" t="str">
        <x:f>IFERROR(INDEX('Material routes'!$G$6:$G$1005,MATCH(U110,'Material routes'!$A$6:$A$1005,0)),"MISSING ID")</x:f>
        <x:v>Resources</x:v>
      </x:c>
      <x:c r="E110" s="4" t="str">
        <x:f>IFERROR(INDEX('Material routes'!$C$6:$C$1005,MATCH(U110,'Material routes'!$A$6:$A$1005,0)),"MISSING ID")</x:f>
        <x:v>Ingredient candidate</x:v>
      </x:c>
      <x:c r="F110" s="4" t="str">
        <x:f>IFERROR(INDEX('Material routes'!$E$6:$E$1005,MATCH(V110,'Material routes'!$A$6:$A$1005,0)),"MISSING ID")</x:f>
        <x:v>Reinforced wing membrane</x:v>
      </x:c>
      <x:c r="G110" s="4" t="str">
        <x:f>IFERROR(INDEX('Material routes'!$F$6:$F$1005,MATCH(V110,'Material routes'!$A$6:$A$1005,0)),"MISSING ID")</x:f>
        <x:v>T2</x:v>
      </x:c>
      <x:c r="H110" s="4" t="str">
        <x:f>IFERROR(INDEX('Material routes'!$H$6:$H$1005,MATCH(V110,'Material routes'!$A$6:$A$1005,0)),"MISSING ID")</x:f>
        <x:v>Processed material</x:v>
      </x:c>
      <x:c r="I110" s="4" t="str">
        <x:f>IFERROR(INDEX('Material routes'!$G$6:$G$1005,MATCH(V110,'Material routes'!$A$6:$A$1005,0)),"MISSING ID")</x:f>
        <x:v>Resources</x:v>
      </x:c>
      <x:c r="J110" s="4" t="str">
        <x:f>IFERROR(INDEX('Material routes'!$B$6:$B$1005,MATCH(U110,'Material routes'!$A$6:$A$1005,0)),"MISSING ID")</x:f>
        <x:v>design.branch.branch.wing_membrane</x:v>
      </x:c>
      <x:c r="K110" s="4" t="str">
        <x:f>IFERROR(INDEX('Crafting recipes'!$C$6:$C$1005,MATCH(J110,'Crafting recipes'!$A$6:$A$1005,0)),"MISSING ID")</x:f>
        <x:v>Material refinement</x:v>
      </x:c>
      <x:c r="L110" s="4" t="str">
        <x:f>IFERROR(INDEX('Material routes'!$K$6:$K$1005,MATCH(U110,'Material routes'!$A$6:$A$1005,0)),"MISSING ID")</x:f>
        <x:v>Proposal</x:v>
      </x:c>
      <x:c r="M110" s="4" t="str">
        <x:f>IFERROR(INDEX('Material routes'!$M$6:$M$1005,MATCH(U110,'Material routes'!$A$6:$A$1005,0)),"MISSING ID")</x:f>
        <x:v>Partial proposal</x:v>
      </x:c>
      <x:c r="N110" s="4" t="str">
        <x:f>IF(IFERROR(INDEX('Material routes'!$I$6:$I$1005,MATCH(U110,'Material routes'!$A$6:$A$1005,0)),"MISSING ID")=0,"",IFERROR(INDEX('Material routes'!$I$6:$I$1005,MATCH(U110,'Material routes'!$A$6:$A$1005,0)),"MISSING ID"))</x:f>
      </x:c>
      <x:c r="O110" s="4" t="str">
        <x:f>IFERROR(INDEX('Material routes'!$J$6:$J$1005,MATCH(U110,'Material routes'!$A$6:$A$1005,0)),"MISSING ID")</x:f>
        <x:v>Unspecified</x:v>
      </x:c>
      <x:c r="P110" s="4" t="str">
        <x:f>IF(IFERROR(INDEX('Material routes'!$I$6:$I$1005,MATCH(V110,'Material routes'!$A$6:$A$1005,0)),"MISSING ID")=0,"",IFERROR(INDEX('Material routes'!$I$6:$I$1005,MATCH(V110,'Material routes'!$A$6:$A$1005,0)),"MISSING ID"))</x:f>
      </x:c>
      <x:c r="Q110" s="4" t="str">
        <x:f>IFERROR(INDEX('Material routes'!$J$6:$J$1005,MATCH(V110,'Material routes'!$A$6:$A$1005,0)),"MISSING ID")</x:f>
        <x:v>Unspecified</x:v>
      </x:c>
      <x:c r="R110" s="4" t="str">
        <x:f>IF(L110="Withheld","Withheld premise",IF(E110="Tool candidate","Reusable prerequisite",IF(K110="Raw entry preparation","Entry-resource preparation",IF(G110="Not applicable","Finished endpoint",IF(OR(IFERROR(INDEX('Crafting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routes'!$D$6:$D$1005,MATCH(U110,'Material routes'!$A$6:$A$1005,0)),"MISSING ID")</x:f>
        <x:v>proposal.branch.flex_binder</x:v>
      </x:c>
      <x:c r="T110" s="4" t="str">
        <x:f>IFERROR(INDEX('Material routes'!$D$6:$D$1005,MATCH(V110,'Material routes'!$A$6:$A$1005,0)),"MISSING ID")</x:f>
        <x:v>proposal.branch.wing_membrane</x:v>
      </x:c>
      <x:c r="U110" s="4" t="str">
        <x:v>design.branch.branch.wing_membrane.in.3</x:v>
      </x:c>
      <x:c r="V110" s="4" t="str">
        <x:v>design.branch.branch.wing_membrane.out</x:v>
      </x:c>
    </x:row>
    <x:row r="111" ht="105" customHeight="1">
      <x:c r="A111" s="4" t="str">
        <x:f>IFERROR(INDEX('Material routes'!$E$6:$E$1005,MATCH(U111,'Material routes'!$A$6:$A$1005,0)),"MISSING ID")</x:f>
        <x:v>Prepared clot-seal compound</x:v>
      </x:c>
      <x:c r="B111" s="4" t="str">
        <x:f>IFERROR(INDEX('Material routes'!$F$6:$F$1005,MATCH(U111,'Material routes'!$A$6:$A$1005,0)),"MISSING ID")</x:f>
        <x:v>T1</x:v>
      </x:c>
      <x:c r="C111" s="4" t="str">
        <x:f>IFERROR(INDEX('Material routes'!$H$6:$H$1005,MATCH(U111,'Material routes'!$A$6:$A$1005,0)),"MISSING ID")</x:f>
        <x:v>Chemical material</x:v>
      </x:c>
      <x:c r="D111" s="4" t="str">
        <x:f>IFERROR(INDEX('Material routes'!$G$6:$G$1005,MATCH(U111,'Material routes'!$A$6:$A$1005,0)),"MISSING ID")</x:f>
        <x:v>Resources</x:v>
      </x:c>
      <x:c r="E111" s="4" t="str">
        <x:f>IFERROR(INDEX('Material routes'!$C$6:$C$1005,MATCH(U111,'Material routes'!$A$6:$A$1005,0)),"MISSING ID")</x:f>
        <x:v>Ingredient candidate</x:v>
      </x:c>
      <x:c r="F111" s="4" t="str">
        <x:f>IFERROR(INDEX('Material routes'!$E$6:$E$1005,MATCH(V111,'Material routes'!$A$6:$A$1005,0)),"MISSING ID")</x:f>
        <x:v>Filled faunal seal compound</x:v>
      </x:c>
      <x:c r="G111" s="4" t="str">
        <x:f>IFERROR(INDEX('Material routes'!$F$6:$F$1005,MATCH(V111,'Material routes'!$A$6:$A$1005,0)),"MISSING ID")</x:f>
        <x:v>T2</x:v>
      </x:c>
      <x:c r="H111" s="4" t="str">
        <x:f>IFERROR(INDEX('Material routes'!$H$6:$H$1005,MATCH(V111,'Material routes'!$A$6:$A$1005,0)),"MISSING ID")</x:f>
        <x:v>Chemical material</x:v>
      </x:c>
      <x:c r="I111" s="4" t="str">
        <x:f>IFERROR(INDEX('Material routes'!$G$6:$G$1005,MATCH(V111,'Material routes'!$A$6:$A$1005,0)),"MISSING ID")</x:f>
        <x:v>Resources</x:v>
      </x:c>
      <x:c r="J111" s="4" t="str">
        <x:f>IFERROR(INDEX('Material routes'!$B$6:$B$1005,MATCH(U111,'Material routes'!$A$6:$A$1005,0)),"MISSING ID")</x:f>
        <x:v>design.branch.branch.filled_seal</x:v>
      </x:c>
      <x:c r="K111" s="4" t="str">
        <x:f>IFERROR(INDEX('Crafting recipes'!$C$6:$C$1005,MATCH(J111,'Crafting recipes'!$A$6:$A$1005,0)),"MISSING ID")</x:f>
        <x:v>Material refinement</x:v>
      </x:c>
      <x:c r="L111" s="4" t="str">
        <x:f>IFERROR(INDEX('Material routes'!$K$6:$K$1005,MATCH(U111,'Material routes'!$A$6:$A$1005,0)),"MISSING ID")</x:f>
        <x:v>Proposal</x:v>
      </x:c>
      <x:c r="M111" s="4" t="str">
        <x:f>IFERROR(INDEX('Material routes'!$M$6:$M$1005,MATCH(U111,'Material routes'!$A$6:$A$1005,0)),"MISSING ID")</x:f>
        <x:v>Partial proposal</x:v>
      </x:c>
      <x:c r="N111" s="4" t="str">
        <x:f>IF(IFERROR(INDEX('Material routes'!$I$6:$I$1005,MATCH(U111,'Material routes'!$A$6:$A$1005,0)),"MISSING ID")=0,"",IFERROR(INDEX('Material routes'!$I$6:$I$1005,MATCH(U111,'Material routes'!$A$6:$A$1005,0)),"MISSING ID"))</x:f>
      </x:c>
      <x:c r="O111" s="4" t="str">
        <x:f>IFERROR(INDEX('Material routes'!$J$6:$J$1005,MATCH(U111,'Material routes'!$A$6:$A$1005,0)),"MISSING ID")</x:f>
        <x:v>Unspecified</x:v>
      </x:c>
      <x:c r="P111" s="4" t="str">
        <x:f>IF(IFERROR(INDEX('Material routes'!$I$6:$I$1005,MATCH(V111,'Material routes'!$A$6:$A$1005,0)),"MISSING ID")=0,"",IFERROR(INDEX('Material routes'!$I$6:$I$1005,MATCH(V111,'Material routes'!$A$6:$A$1005,0)),"MISSING ID"))</x:f>
      </x:c>
      <x:c r="Q111" s="4" t="str">
        <x:f>IFERROR(INDEX('Material routes'!$J$6:$J$1005,MATCH(V111,'Material routes'!$A$6:$A$1005,0)),"MISSING ID")</x:f>
        <x:v>Unspecified</x:v>
      </x:c>
      <x:c r="R111" s="4" t="str">
        <x:f>IF(L111="Withheld","Withheld premise",IF(E111="Tool candidate","Reusable prerequisite",IF(K111="Raw entry preparation","Entry-resource preparation",IF(G111="Not applicable","Finished endpoint",IF(OR(IFERROR(INDEX('Crafting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routes'!$D$6:$D$1005,MATCH(U111,'Material routes'!$A$6:$A$1005,0)),"MISSING ID")</x:f>
        <x:v>proposal.t1.clot_seal</x:v>
      </x:c>
      <x:c r="T111" s="4" t="str">
        <x:f>IFERROR(INDEX('Material routes'!$D$6:$D$1005,MATCH(V111,'Material routes'!$A$6:$A$1005,0)),"MISSING ID")</x:f>
        <x:v>proposal.branch.filled_seal</x:v>
      </x:c>
      <x:c r="U111" s="4" t="str">
        <x:v>design.branch.branch.filled_seal.in.1</x:v>
      </x:c>
      <x:c r="V111" s="4" t="str">
        <x:v>design.branch.branch.filled_seal.out</x:v>
      </x:c>
    </x:row>
    <x:row r="112" ht="105" customHeight="1">
      <x:c r="A112" s="4" t="str">
        <x:f>IFERROR(INDEX('Material routes'!$E$6:$E$1005,MATCH(U112,'Material routes'!$A$6:$A$1005,0)),"MISSING ID")</x:f>
        <x:v>Graded mineral filler</x:v>
      </x:c>
      <x:c r="B112" s="4" t="str">
        <x:f>IFERROR(INDEX('Material routes'!$F$6:$F$1005,MATCH(U112,'Material routes'!$A$6:$A$1005,0)),"MISSING ID")</x:f>
        <x:v>T1</x:v>
      </x:c>
      <x:c r="C112" s="4" t="str">
        <x:f>IFERROR(INDEX('Material routes'!$H$6:$H$1005,MATCH(U112,'Material routes'!$A$6:$A$1005,0)),"MISSING ID")</x:f>
        <x:v>Processed material</x:v>
      </x:c>
      <x:c r="D112" s="4" t="str">
        <x:f>IFERROR(INDEX('Material routes'!$G$6:$G$1005,MATCH(U112,'Material routes'!$A$6:$A$1005,0)),"MISSING ID")</x:f>
        <x:v>Resources</x:v>
      </x:c>
      <x:c r="E112" s="4" t="str">
        <x:f>IFERROR(INDEX('Material routes'!$C$6:$C$1005,MATCH(U112,'Material routes'!$A$6:$A$1005,0)),"MISSING ID")</x:f>
        <x:v>Ingredient candidate</x:v>
      </x:c>
      <x:c r="F112" s="4" t="str">
        <x:f>IFERROR(INDEX('Material routes'!$E$6:$E$1005,MATCH(V112,'Material routes'!$A$6:$A$1005,0)),"MISSING ID")</x:f>
        <x:v>Filled faunal seal compound</x:v>
      </x:c>
      <x:c r="G112" s="4" t="str">
        <x:f>IFERROR(INDEX('Material routes'!$F$6:$F$1005,MATCH(V112,'Material routes'!$A$6:$A$1005,0)),"MISSING ID")</x:f>
        <x:v>T2</x:v>
      </x:c>
      <x:c r="H112" s="4" t="str">
        <x:f>IFERROR(INDEX('Material routes'!$H$6:$H$1005,MATCH(V112,'Material routes'!$A$6:$A$1005,0)),"MISSING ID")</x:f>
        <x:v>Chemical material</x:v>
      </x:c>
      <x:c r="I112" s="4" t="str">
        <x:f>IFERROR(INDEX('Material routes'!$G$6:$G$1005,MATCH(V112,'Material routes'!$A$6:$A$1005,0)),"MISSING ID")</x:f>
        <x:v>Resources</x:v>
      </x:c>
      <x:c r="J112" s="4" t="str">
        <x:f>IFERROR(INDEX('Material routes'!$B$6:$B$1005,MATCH(U112,'Material routes'!$A$6:$A$1005,0)),"MISSING ID")</x:f>
        <x:v>design.branch.branch.filled_seal</x:v>
      </x:c>
      <x:c r="K112" s="4" t="str">
        <x:f>IFERROR(INDEX('Crafting recipes'!$C$6:$C$1005,MATCH(J112,'Crafting recipes'!$A$6:$A$1005,0)),"MISSING ID")</x:f>
        <x:v>Material refinement</x:v>
      </x:c>
      <x:c r="L112" s="4" t="str">
        <x:f>IFERROR(INDEX('Material routes'!$K$6:$K$1005,MATCH(U112,'Material routes'!$A$6:$A$1005,0)),"MISSING ID")</x:f>
        <x:v>Proposal</x:v>
      </x:c>
      <x:c r="M112" s="4" t="str">
        <x:f>IFERROR(INDEX('Material routes'!$M$6:$M$1005,MATCH(U112,'Material routes'!$A$6:$A$1005,0)),"MISSING ID")</x:f>
        <x:v>Partial proposal</x:v>
      </x:c>
      <x:c r="N112" s="4" t="str">
        <x:f>IF(IFERROR(INDEX('Material routes'!$I$6:$I$1005,MATCH(U112,'Material routes'!$A$6:$A$1005,0)),"MISSING ID")=0,"",IFERROR(INDEX('Material routes'!$I$6:$I$1005,MATCH(U112,'Material routes'!$A$6:$A$1005,0)),"MISSING ID"))</x:f>
      </x:c>
      <x:c r="O112" s="4" t="str">
        <x:f>IFERROR(INDEX('Material routes'!$J$6:$J$1005,MATCH(U112,'Material routes'!$A$6:$A$1005,0)),"MISSING ID")</x:f>
        <x:v>Unspecified</x:v>
      </x:c>
      <x:c r="P112" s="4" t="str">
        <x:f>IF(IFERROR(INDEX('Material routes'!$I$6:$I$1005,MATCH(V112,'Material routes'!$A$6:$A$1005,0)),"MISSING ID")=0,"",IFERROR(INDEX('Material routes'!$I$6:$I$1005,MATCH(V112,'Material routes'!$A$6:$A$1005,0)),"MISSING ID"))</x:f>
      </x:c>
      <x:c r="Q112" s="4" t="str">
        <x:f>IFERROR(INDEX('Material routes'!$J$6:$J$1005,MATCH(V112,'Material routes'!$A$6:$A$1005,0)),"MISSING ID")</x:f>
        <x:v>Unspecified</x:v>
      </x:c>
      <x:c r="R112" s="4" t="str">
        <x:f>IF(L112="Withheld","Withheld premise",IF(E112="Tool candidate","Reusable prerequisite",IF(K112="Raw entry preparation","Entry-resource preparation",IF(G112="Not applicable","Finished endpoint",IF(OR(IFERROR(INDEX('Crafting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routes'!$D$6:$D$1005,MATCH(U112,'Material routes'!$A$6:$A$1005,0)),"MISSING ID")</x:f>
        <x:v>proposal.t1.mineral_filler</x:v>
      </x:c>
      <x:c r="T112" s="4" t="str">
        <x:f>IFERROR(INDEX('Material routes'!$D$6:$D$1005,MATCH(V112,'Material routes'!$A$6:$A$1005,0)),"MISSING ID")</x:f>
        <x:v>proposal.branch.filled_seal</x:v>
      </x:c>
      <x:c r="U112" s="4" t="str">
        <x:v>design.branch.branch.filled_seal.in.2</x:v>
      </x:c>
      <x:c r="V112" s="4" t="str">
        <x:v>design.branch.branch.filled_seal.out</x:v>
      </x:c>
    </x:row>
    <x:row r="113" ht="105" customHeight="1">
      <x:c r="A113" s="4" t="str">
        <x:f>IFERROR(INDEX('Material routes'!$E$6:$E$1005,MATCH(U113,'Material routes'!$A$6:$A$1005,0)),"MISSING ID")</x:f>
        <x:v>Prepared flexible faunal binder</x:v>
      </x:c>
      <x:c r="B113" s="4" t="str">
        <x:f>IFERROR(INDEX('Material routes'!$F$6:$F$1005,MATCH(U113,'Material routes'!$A$6:$A$1005,0)),"MISSING ID")</x:f>
        <x:v>T1</x:v>
      </x:c>
      <x:c r="C113" s="4" t="str">
        <x:f>IFERROR(INDEX('Material routes'!$H$6:$H$1005,MATCH(U113,'Material routes'!$A$6:$A$1005,0)),"MISSING ID")</x:f>
        <x:v>Chemical material</x:v>
      </x:c>
      <x:c r="D113" s="4" t="str">
        <x:f>IFERROR(INDEX('Material routes'!$G$6:$G$1005,MATCH(U113,'Material routes'!$A$6:$A$1005,0)),"MISSING ID")</x:f>
        <x:v>Resources</x:v>
      </x:c>
      <x:c r="E113" s="4" t="str">
        <x:f>IFERROR(INDEX('Material routes'!$C$6:$C$1005,MATCH(U113,'Material routes'!$A$6:$A$1005,0)),"MISSING ID")</x:f>
        <x:v>Ingredient candidate</x:v>
      </x:c>
      <x:c r="F113" s="4" t="str">
        <x:f>IFERROR(INDEX('Material routes'!$E$6:$E$1005,MATCH(V113,'Material routes'!$A$6:$A$1005,0)),"MISSING ID")</x:f>
        <x:v>Flexible membrane-bonding compound</x:v>
      </x:c>
      <x:c r="G113" s="4" t="str">
        <x:f>IFERROR(INDEX('Material routes'!$F$6:$F$1005,MATCH(V113,'Material routes'!$A$6:$A$1005,0)),"MISSING ID")</x:f>
        <x:v>T2</x:v>
      </x:c>
      <x:c r="H113" s="4" t="str">
        <x:f>IFERROR(INDEX('Material routes'!$H$6:$H$1005,MATCH(V113,'Material routes'!$A$6:$A$1005,0)),"MISSING ID")</x:f>
        <x:v>Chemical material</x:v>
      </x:c>
      <x:c r="I113" s="4" t="str">
        <x:f>IFERROR(INDEX('Material routes'!$G$6:$G$1005,MATCH(V113,'Material routes'!$A$6:$A$1005,0)),"MISSING ID")</x:f>
        <x:v>Resources</x:v>
      </x:c>
      <x:c r="J113" s="4" t="str">
        <x:f>IFERROR(INDEX('Material routes'!$B$6:$B$1005,MATCH(U113,'Material routes'!$A$6:$A$1005,0)),"MISSING ID")</x:f>
        <x:v>design.branch.branch.flex_bond</x:v>
      </x:c>
      <x:c r="K113" s="4" t="str">
        <x:f>IFERROR(INDEX('Crafting recipes'!$C$6:$C$1005,MATCH(J113,'Crafting recipes'!$A$6:$A$1005,0)),"MISSING ID")</x:f>
        <x:v>Material refinement</x:v>
      </x:c>
      <x:c r="L113" s="4" t="str">
        <x:f>IFERROR(INDEX('Material routes'!$K$6:$K$1005,MATCH(U113,'Material routes'!$A$6:$A$1005,0)),"MISSING ID")</x:f>
        <x:v>Proposal</x:v>
      </x:c>
      <x:c r="M113" s="4" t="str">
        <x:f>IFERROR(INDEX('Material routes'!$M$6:$M$1005,MATCH(U113,'Material routes'!$A$6:$A$1005,0)),"MISSING ID")</x:f>
        <x:v>Partial proposal</x:v>
      </x:c>
      <x:c r="N113" s="4" t="str">
        <x:f>IF(IFERROR(INDEX('Material routes'!$I$6:$I$1005,MATCH(U113,'Material routes'!$A$6:$A$1005,0)),"MISSING ID")=0,"",IFERROR(INDEX('Material routes'!$I$6:$I$1005,MATCH(U113,'Material routes'!$A$6:$A$1005,0)),"MISSING ID"))</x:f>
      </x:c>
      <x:c r="O113" s="4" t="str">
        <x:f>IFERROR(INDEX('Material routes'!$J$6:$J$1005,MATCH(U113,'Material routes'!$A$6:$A$1005,0)),"MISSING ID")</x:f>
        <x:v>Unspecified</x:v>
      </x:c>
      <x:c r="P113" s="4" t="str">
        <x:f>IF(IFERROR(INDEX('Material routes'!$I$6:$I$1005,MATCH(V113,'Material routes'!$A$6:$A$1005,0)),"MISSING ID")=0,"",IFERROR(INDEX('Material routes'!$I$6:$I$1005,MATCH(V113,'Material routes'!$A$6:$A$1005,0)),"MISSING ID"))</x:f>
      </x:c>
      <x:c r="Q113" s="4" t="str">
        <x:f>IFERROR(INDEX('Material routes'!$J$6:$J$1005,MATCH(V113,'Material routes'!$A$6:$A$1005,0)),"MISSING ID")</x:f>
        <x:v>Unspecified</x:v>
      </x:c>
      <x:c r="R113" s="4" t="str">
        <x:f>IF(L113="Withheld","Withheld premise",IF(E113="Tool candidate","Reusable prerequisite",IF(K113="Raw entry preparation","Entry-resource preparation",IF(G113="Not applicable","Finished endpoint",IF(OR(IFERROR(INDEX('Crafting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routes'!$D$6:$D$1005,MATCH(U113,'Material routes'!$A$6:$A$1005,0)),"MISSING ID")</x:f>
        <x:v>proposal.branch.flex_binder</x:v>
      </x:c>
      <x:c r="T113" s="4" t="str">
        <x:f>IFERROR(INDEX('Material routes'!$D$6:$D$1005,MATCH(V113,'Material routes'!$A$6:$A$1005,0)),"MISSING ID")</x:f>
        <x:v>proposal.branch.flex_bond</x:v>
      </x:c>
      <x:c r="U113" s="4" t="str">
        <x:v>design.branch.branch.flex_bond.in.1</x:v>
      </x:c>
      <x:c r="V113" s="4" t="str">
        <x:v>design.branch.branch.flex_bond.out</x:v>
      </x:c>
    </x:row>
    <x:row r="114" ht="105" customHeight="1">
      <x:c r="A114" s="4" t="str">
        <x:f>IFERROR(INDEX('Material routes'!$E$6:$E$1005,MATCH(U114,'Material routes'!$A$6:$A$1005,0)),"MISSING ID")</x:f>
        <x:v>Selected faunal carrier fraction</x:v>
      </x:c>
      <x:c r="B114" s="4" t="str">
        <x:f>IFERROR(INDEX('Material routes'!$F$6:$F$1005,MATCH(U114,'Material routes'!$A$6:$A$1005,0)),"MISSING ID")</x:f>
        <x:v>T1</x:v>
      </x:c>
      <x:c r="C114" s="4" t="str">
        <x:f>IFERROR(INDEX('Material routes'!$H$6:$H$1005,MATCH(U114,'Material routes'!$A$6:$A$1005,0)),"MISSING ID")</x:f>
        <x:v>Chemical material</x:v>
      </x:c>
      <x:c r="D114" s="4" t="str">
        <x:f>IFERROR(INDEX('Material routes'!$G$6:$G$1005,MATCH(U114,'Material routes'!$A$6:$A$1005,0)),"MISSING ID")</x:f>
        <x:v>Resources</x:v>
      </x:c>
      <x:c r="E114" s="4" t="str">
        <x:f>IFERROR(INDEX('Material routes'!$C$6:$C$1005,MATCH(U114,'Material routes'!$A$6:$A$1005,0)),"MISSING ID")</x:f>
        <x:v>Ingredient candidate</x:v>
      </x:c>
      <x:c r="F114" s="4" t="str">
        <x:f>IFERROR(INDEX('Material routes'!$E$6:$E$1005,MATCH(V114,'Material routes'!$A$6:$A$1005,0)),"MISSING ID")</x:f>
        <x:v>Flexible membrane-bonding compound</x:v>
      </x:c>
      <x:c r="G114" s="4" t="str">
        <x:f>IFERROR(INDEX('Material routes'!$F$6:$F$1005,MATCH(V114,'Material routes'!$A$6:$A$1005,0)),"MISSING ID")</x:f>
        <x:v>T2</x:v>
      </x:c>
      <x:c r="H114" s="4" t="str">
        <x:f>IFERROR(INDEX('Material routes'!$H$6:$H$1005,MATCH(V114,'Material routes'!$A$6:$A$1005,0)),"MISSING ID")</x:f>
        <x:v>Chemical material</x:v>
      </x:c>
      <x:c r="I114" s="4" t="str">
        <x:f>IFERROR(INDEX('Material routes'!$G$6:$G$1005,MATCH(V114,'Material routes'!$A$6:$A$1005,0)),"MISSING ID")</x:f>
        <x:v>Resources</x:v>
      </x:c>
      <x:c r="J114" s="4" t="str">
        <x:f>IFERROR(INDEX('Material routes'!$B$6:$B$1005,MATCH(U114,'Material routes'!$A$6:$A$1005,0)),"MISSING ID")</x:f>
        <x:v>design.branch.branch.flex_bond</x:v>
      </x:c>
      <x:c r="K114" s="4" t="str">
        <x:f>IFERROR(INDEX('Crafting recipes'!$C$6:$C$1005,MATCH(J114,'Crafting recipes'!$A$6:$A$1005,0)),"MISSING ID")</x:f>
        <x:v>Material refinement</x:v>
      </x:c>
      <x:c r="L114" s="4" t="str">
        <x:f>IFERROR(INDEX('Material routes'!$K$6:$K$1005,MATCH(U114,'Material routes'!$A$6:$A$1005,0)),"MISSING ID")</x:f>
        <x:v>Proposal</x:v>
      </x:c>
      <x:c r="M114" s="4" t="str">
        <x:f>IFERROR(INDEX('Material routes'!$M$6:$M$1005,MATCH(U114,'Material routes'!$A$6:$A$1005,0)),"MISSING ID")</x:f>
        <x:v>Partial proposal</x:v>
      </x:c>
      <x:c r="N114" s="4" t="str">
        <x:f>IF(IFERROR(INDEX('Material routes'!$I$6:$I$1005,MATCH(U114,'Material routes'!$A$6:$A$1005,0)),"MISSING ID")=0,"",IFERROR(INDEX('Material routes'!$I$6:$I$1005,MATCH(U114,'Material routes'!$A$6:$A$1005,0)),"MISSING ID"))</x:f>
      </x:c>
      <x:c r="O114" s="4" t="str">
        <x:f>IFERROR(INDEX('Material routes'!$J$6:$J$1005,MATCH(U114,'Material routes'!$A$6:$A$1005,0)),"MISSING ID")</x:f>
        <x:v>Unspecified</x:v>
      </x:c>
      <x:c r="P114" s="4" t="str">
        <x:f>IF(IFERROR(INDEX('Material routes'!$I$6:$I$1005,MATCH(V114,'Material routes'!$A$6:$A$1005,0)),"MISSING ID")=0,"",IFERROR(INDEX('Material routes'!$I$6:$I$1005,MATCH(V114,'Material routes'!$A$6:$A$1005,0)),"MISSING ID"))</x:f>
      </x:c>
      <x:c r="Q114" s="4" t="str">
        <x:f>IFERROR(INDEX('Material routes'!$J$6:$J$1005,MATCH(V114,'Material routes'!$A$6:$A$1005,0)),"MISSING ID")</x:f>
        <x:v>Unspecified</x:v>
      </x:c>
      <x:c r="R114" s="4" t="str">
        <x:f>IF(L114="Withheld","Withheld premise",IF(E114="Tool candidate","Reusable prerequisite",IF(K114="Raw entry preparation","Entry-resource preparation",IF(G114="Not applicable","Finished endpoint",IF(OR(IFERROR(INDEX('Crafting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routes'!$D$6:$D$1005,MATCH(U114,'Material routes'!$A$6:$A$1005,0)),"MISSING ID")</x:f>
        <x:v>proposal.t1.faunal_carrier</x:v>
      </x:c>
      <x:c r="T114" s="4" t="str">
        <x:f>IFERROR(INDEX('Material routes'!$D$6:$D$1005,MATCH(V114,'Material routes'!$A$6:$A$1005,0)),"MISSING ID")</x:f>
        <x:v>proposal.branch.flex_bond</x:v>
      </x:c>
      <x:c r="U114" s="4" t="str">
        <x:v>design.branch.branch.flex_bond.in.2</x:v>
      </x:c>
      <x:c r="V114" s="4" t="str">
        <x:v>design.branch.branch.flex_bond.out</x:v>
      </x:c>
    </x:row>
    <x:row r="115" ht="105" customHeight="1">
      <x:c r="A115" s="4" t="str">
        <x:f>IFERROR(INDEX('Material routes'!$E$6:$E$1005,MATCH(U115,'Material routes'!$A$6:$A$1005,0)),"MISSING ID")</x:f>
        <x:v>Prepared mineral pigment powder</x:v>
      </x:c>
      <x:c r="B115" s="4" t="str">
        <x:f>IFERROR(INDEX('Material routes'!$F$6:$F$1005,MATCH(U115,'Material routes'!$A$6:$A$1005,0)),"MISSING ID")</x:f>
        <x:v>T1</x:v>
      </x:c>
      <x:c r="C115" s="4" t="str">
        <x:f>IFERROR(INDEX('Material routes'!$H$6:$H$1005,MATCH(U115,'Material routes'!$A$6:$A$1005,0)),"MISSING ID")</x:f>
        <x:v>Processed material</x:v>
      </x:c>
      <x:c r="D115" s="4" t="str">
        <x:f>IFERROR(INDEX('Material routes'!$G$6:$G$1005,MATCH(U115,'Material routes'!$A$6:$A$1005,0)),"MISSING ID")</x:f>
        <x:v>Resources</x:v>
      </x:c>
      <x:c r="E115" s="4" t="str">
        <x:f>IFERROR(INDEX('Material routes'!$C$6:$C$1005,MATCH(U115,'Material routes'!$A$6:$A$1005,0)),"MISSING ID")</x:f>
        <x:v>Ingredient candidate</x:v>
      </x:c>
      <x:c r="F115" s="4" t="str">
        <x:f>IFERROR(INDEX('Material routes'!$E$6:$E$1005,MATCH(V115,'Material routes'!$A$6:$A$1005,0)),"MISSING ID")</x:f>
        <x:v>Mineral pigment coating</x:v>
      </x:c>
      <x:c r="G115" s="4" t="str">
        <x:f>IFERROR(INDEX('Material routes'!$F$6:$F$1005,MATCH(V115,'Material routes'!$A$6:$A$1005,0)),"MISSING ID")</x:f>
        <x:v>T2</x:v>
      </x:c>
      <x:c r="H115" s="4" t="str">
        <x:f>IFERROR(INDEX('Material routes'!$H$6:$H$1005,MATCH(V115,'Material routes'!$A$6:$A$1005,0)),"MISSING ID")</x:f>
        <x:v>Processed material</x:v>
      </x:c>
      <x:c r="I115" s="4" t="str">
        <x:f>IFERROR(INDEX('Material routes'!$G$6:$G$1005,MATCH(V115,'Material routes'!$A$6:$A$1005,0)),"MISSING ID")</x:f>
        <x:v>Resources</x:v>
      </x:c>
      <x:c r="J115" s="4" t="str">
        <x:f>IFERROR(INDEX('Material routes'!$B$6:$B$1005,MATCH(U115,'Material routes'!$A$6:$A$1005,0)),"MISSING ID")</x:f>
        <x:v>design.branch.branch.pigment_coating</x:v>
      </x:c>
      <x:c r="K115" s="4" t="str">
        <x:f>IFERROR(INDEX('Crafting recipes'!$C$6:$C$1005,MATCH(J115,'Crafting recipes'!$A$6:$A$1005,0)),"MISSING ID")</x:f>
        <x:v>Material refinement</x:v>
      </x:c>
      <x:c r="L115" s="4" t="str">
        <x:f>IFERROR(INDEX('Material routes'!$K$6:$K$1005,MATCH(U115,'Material routes'!$A$6:$A$1005,0)),"MISSING ID")</x:f>
        <x:v>Proposal</x:v>
      </x:c>
      <x:c r="M115" s="4" t="str">
        <x:f>IFERROR(INDEX('Material routes'!$M$6:$M$1005,MATCH(U115,'Material routes'!$A$6:$A$1005,0)),"MISSING ID")</x:f>
        <x:v>Partial proposal</x:v>
      </x:c>
      <x:c r="N115" s="4" t="str">
        <x:f>IF(IFERROR(INDEX('Material routes'!$I$6:$I$1005,MATCH(U115,'Material routes'!$A$6:$A$1005,0)),"MISSING ID")=0,"",IFERROR(INDEX('Material routes'!$I$6:$I$1005,MATCH(U115,'Material routes'!$A$6:$A$1005,0)),"MISSING ID"))</x:f>
      </x:c>
      <x:c r="O115" s="4" t="str">
        <x:f>IFERROR(INDEX('Material routes'!$J$6:$J$1005,MATCH(U115,'Material routes'!$A$6:$A$1005,0)),"MISSING ID")</x:f>
        <x:v>Unspecified</x:v>
      </x:c>
      <x:c r="P115" s="4" t="str">
        <x:f>IF(IFERROR(INDEX('Material routes'!$I$6:$I$1005,MATCH(V115,'Material routes'!$A$6:$A$1005,0)),"MISSING ID")=0,"",IFERROR(INDEX('Material routes'!$I$6:$I$1005,MATCH(V115,'Material routes'!$A$6:$A$1005,0)),"MISSING ID"))</x:f>
      </x:c>
      <x:c r="Q115" s="4" t="str">
        <x:f>IFERROR(INDEX('Material routes'!$J$6:$J$1005,MATCH(V115,'Material routes'!$A$6:$A$1005,0)),"MISSING ID")</x:f>
        <x:v>Unspecified</x:v>
      </x:c>
      <x:c r="R115" s="4" t="str">
        <x:f>IF(L115="Withheld","Withheld premise",IF(E115="Tool candidate","Reusable prerequisite",IF(K115="Raw entry preparation","Entry-resource preparation",IF(G115="Not applicable","Finished endpoint",IF(OR(IFERROR(INDEX('Crafting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routes'!$D$6:$D$1005,MATCH(U115,'Material routes'!$A$6:$A$1005,0)),"MISSING ID")</x:f>
        <x:v>proposal.t1.pigment_powder</x:v>
      </x:c>
      <x:c r="T115" s="4" t="str">
        <x:f>IFERROR(INDEX('Material routes'!$D$6:$D$1005,MATCH(V115,'Material routes'!$A$6:$A$1005,0)),"MISSING ID")</x:f>
        <x:v>proposal.branch.pigment_coating</x:v>
      </x:c>
      <x:c r="U115" s="4" t="str">
        <x:v>design.branch.branch.pigment_coating.in.1</x:v>
      </x:c>
      <x:c r="V115" s="4" t="str">
        <x:v>design.branch.branch.pigment_coating.out</x:v>
      </x:c>
    </x:row>
    <x:row r="116" ht="105" customHeight="1">
      <x:c r="A116" s="4" t="str">
        <x:f>IFERROR(INDEX('Material routes'!$E$6:$E$1005,MATCH(U116,'Material routes'!$A$6:$A$1005,0)),"MISSING ID")</x:f>
        <x:v>Selected faunal carrier fraction</x:v>
      </x:c>
      <x:c r="B116" s="4" t="str">
        <x:f>IFERROR(INDEX('Material routes'!$F$6:$F$1005,MATCH(U116,'Material routes'!$A$6:$A$1005,0)),"MISSING ID")</x:f>
        <x:v>T1</x:v>
      </x:c>
      <x:c r="C116" s="4" t="str">
        <x:f>IFERROR(INDEX('Material routes'!$H$6:$H$1005,MATCH(U116,'Material routes'!$A$6:$A$1005,0)),"MISSING ID")</x:f>
        <x:v>Chemical material</x:v>
      </x:c>
      <x:c r="D116" s="4" t="str">
        <x:f>IFERROR(INDEX('Material routes'!$G$6:$G$1005,MATCH(U116,'Material routes'!$A$6:$A$1005,0)),"MISSING ID")</x:f>
        <x:v>Resources</x:v>
      </x:c>
      <x:c r="E116" s="4" t="str">
        <x:f>IFERROR(INDEX('Material routes'!$C$6:$C$1005,MATCH(U116,'Material routes'!$A$6:$A$1005,0)),"MISSING ID")</x:f>
        <x:v>Ingredient candidate</x:v>
      </x:c>
      <x:c r="F116" s="4" t="str">
        <x:f>IFERROR(INDEX('Material routes'!$E$6:$E$1005,MATCH(V116,'Material routes'!$A$6:$A$1005,0)),"MISSING ID")</x:f>
        <x:v>Mineral pigment coating</x:v>
      </x:c>
      <x:c r="G116" s="4" t="str">
        <x:f>IFERROR(INDEX('Material routes'!$F$6:$F$1005,MATCH(V116,'Material routes'!$A$6:$A$1005,0)),"MISSING ID")</x:f>
        <x:v>T2</x:v>
      </x:c>
      <x:c r="H116" s="4" t="str">
        <x:f>IFERROR(INDEX('Material routes'!$H$6:$H$1005,MATCH(V116,'Material routes'!$A$6:$A$1005,0)),"MISSING ID")</x:f>
        <x:v>Processed material</x:v>
      </x:c>
      <x:c r="I116" s="4" t="str">
        <x:f>IFERROR(INDEX('Material routes'!$G$6:$G$1005,MATCH(V116,'Material routes'!$A$6:$A$1005,0)),"MISSING ID")</x:f>
        <x:v>Resources</x:v>
      </x:c>
      <x:c r="J116" s="4" t="str">
        <x:f>IFERROR(INDEX('Material routes'!$B$6:$B$1005,MATCH(U116,'Material routes'!$A$6:$A$1005,0)),"MISSING ID")</x:f>
        <x:v>design.branch.branch.pigment_coating</x:v>
      </x:c>
      <x:c r="K116" s="4" t="str">
        <x:f>IFERROR(INDEX('Crafting recipes'!$C$6:$C$1005,MATCH(J116,'Crafting recipes'!$A$6:$A$1005,0)),"MISSING ID")</x:f>
        <x:v>Material refinement</x:v>
      </x:c>
      <x:c r="L116" s="4" t="str">
        <x:f>IFERROR(INDEX('Material routes'!$K$6:$K$1005,MATCH(U116,'Material routes'!$A$6:$A$1005,0)),"MISSING ID")</x:f>
        <x:v>Proposal</x:v>
      </x:c>
      <x:c r="M116" s="4" t="str">
        <x:f>IFERROR(INDEX('Material routes'!$M$6:$M$1005,MATCH(U116,'Material routes'!$A$6:$A$1005,0)),"MISSING ID")</x:f>
        <x:v>Partial proposal</x:v>
      </x:c>
      <x:c r="N116" s="4" t="str">
        <x:f>IF(IFERROR(INDEX('Material routes'!$I$6:$I$1005,MATCH(U116,'Material routes'!$A$6:$A$1005,0)),"MISSING ID")=0,"",IFERROR(INDEX('Material routes'!$I$6:$I$1005,MATCH(U116,'Material routes'!$A$6:$A$1005,0)),"MISSING ID"))</x:f>
      </x:c>
      <x:c r="O116" s="4" t="str">
        <x:f>IFERROR(INDEX('Material routes'!$J$6:$J$1005,MATCH(U116,'Material routes'!$A$6:$A$1005,0)),"MISSING ID")</x:f>
        <x:v>Unspecified</x:v>
      </x:c>
      <x:c r="P116" s="4" t="str">
        <x:f>IF(IFERROR(INDEX('Material routes'!$I$6:$I$1005,MATCH(V116,'Material routes'!$A$6:$A$1005,0)),"MISSING ID")=0,"",IFERROR(INDEX('Material routes'!$I$6:$I$1005,MATCH(V116,'Material routes'!$A$6:$A$1005,0)),"MISSING ID"))</x:f>
      </x:c>
      <x:c r="Q116" s="4" t="str">
        <x:f>IFERROR(INDEX('Material routes'!$J$6:$J$1005,MATCH(V116,'Material routes'!$A$6:$A$1005,0)),"MISSING ID")</x:f>
        <x:v>Unspecified</x:v>
      </x:c>
      <x:c r="R116" s="4" t="str">
        <x:f>IF(L116="Withheld","Withheld premise",IF(E116="Tool candidate","Reusable prerequisite",IF(K116="Raw entry preparation","Entry-resource preparation",IF(G116="Not applicable","Finished endpoint",IF(OR(IFERROR(INDEX('Crafting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routes'!$D$6:$D$1005,MATCH(U116,'Material routes'!$A$6:$A$1005,0)),"MISSING ID")</x:f>
        <x:v>proposal.t1.faunal_carrier</x:v>
      </x:c>
      <x:c r="T116" s="4" t="str">
        <x:f>IFERROR(INDEX('Material routes'!$D$6:$D$1005,MATCH(V116,'Material routes'!$A$6:$A$1005,0)),"MISSING ID")</x:f>
        <x:v>proposal.branch.pigment_coating</x:v>
      </x:c>
      <x:c r="U116" s="4" t="str">
        <x:v>design.branch.branch.pigment_coating.in.2</x:v>
      </x:c>
      <x:c r="V116" s="4" t="str">
        <x:v>design.branch.branch.pigment_coating.out</x:v>
      </x:c>
    </x:row>
    <x:row r="117" ht="105" customHeight="1">
      <x:c r="A117" s="4" t="str">
        <x:f>IFERROR(INDEX('Material routes'!$E$6:$E$1005,MATCH(U117,'Material routes'!$A$6:$A$1005,0)),"MISSING ID")</x:f>
        <x:v>Prepared shell-binding adhesive</x:v>
      </x:c>
      <x:c r="B117" s="4" t="str">
        <x:f>IFERROR(INDEX('Material routes'!$F$6:$F$1005,MATCH(U117,'Material routes'!$A$6:$A$1005,0)),"MISSING ID")</x:f>
        <x:v>T1</x:v>
      </x:c>
      <x:c r="C117" s="4" t="str">
        <x:f>IFERROR(INDEX('Material routes'!$H$6:$H$1005,MATCH(U117,'Material routes'!$A$6:$A$1005,0)),"MISSING ID")</x:f>
        <x:v>Chemical material</x:v>
      </x:c>
      <x:c r="D117" s="4" t="str">
        <x:f>IFERROR(INDEX('Material routes'!$G$6:$G$1005,MATCH(U117,'Material routes'!$A$6:$A$1005,0)),"MISSING ID")</x:f>
        <x:v>Resources</x:v>
      </x:c>
      <x:c r="E117" s="4" t="str">
        <x:f>IFERROR(INDEX('Material routes'!$C$6:$C$1005,MATCH(U117,'Material routes'!$A$6:$A$1005,0)),"MISSING ID")</x:f>
        <x:v>Ingredient candidate</x:v>
      </x:c>
      <x:c r="F117" s="4" t="str">
        <x:f>IFERROR(INDEX('Material routes'!$E$6:$E$1005,MATCH(V117,'Material routes'!$A$6:$A$1005,0)),"MISSING ID")</x:f>
        <x:v>Filled shell-binding compound</x:v>
      </x:c>
      <x:c r="G117" s="4" t="str">
        <x:f>IFERROR(INDEX('Material routes'!$F$6:$F$1005,MATCH(V117,'Material routes'!$A$6:$A$1005,0)),"MISSING ID")</x:f>
        <x:v>T2</x:v>
      </x:c>
      <x:c r="H117" s="4" t="str">
        <x:f>IFERROR(INDEX('Material routes'!$H$6:$H$1005,MATCH(V117,'Material routes'!$A$6:$A$1005,0)),"MISSING ID")</x:f>
        <x:v>Chemical material</x:v>
      </x:c>
      <x:c r="I117" s="4" t="str">
        <x:f>IFERROR(INDEX('Material routes'!$G$6:$G$1005,MATCH(V117,'Material routes'!$A$6:$A$1005,0)),"MISSING ID")</x:f>
        <x:v>Resources</x:v>
      </x:c>
      <x:c r="J117" s="4" t="str">
        <x:f>IFERROR(INDEX('Material routes'!$B$6:$B$1005,MATCH(U117,'Material routes'!$A$6:$A$1005,0)),"MISSING ID")</x:f>
        <x:v>design.branch.branch.filled_binder</x:v>
      </x:c>
      <x:c r="K117" s="4" t="str">
        <x:f>IFERROR(INDEX('Crafting recipes'!$C$6:$C$1005,MATCH(J117,'Crafting recipes'!$A$6:$A$1005,0)),"MISSING ID")</x:f>
        <x:v>Material refinement</x:v>
      </x:c>
      <x:c r="L117" s="4" t="str">
        <x:f>IFERROR(INDEX('Material routes'!$K$6:$K$1005,MATCH(U117,'Material routes'!$A$6:$A$1005,0)),"MISSING ID")</x:f>
        <x:v>Proposal</x:v>
      </x:c>
      <x:c r="M117" s="4" t="str">
        <x:f>IFERROR(INDEX('Material routes'!$M$6:$M$1005,MATCH(U117,'Material routes'!$A$6:$A$1005,0)),"MISSING ID")</x:f>
        <x:v>Partial proposal</x:v>
      </x:c>
      <x:c r="N117" s="4" t="str">
        <x:f>IF(IFERROR(INDEX('Material routes'!$I$6:$I$1005,MATCH(U117,'Material routes'!$A$6:$A$1005,0)),"MISSING ID")=0,"",IFERROR(INDEX('Material routes'!$I$6:$I$1005,MATCH(U117,'Material routes'!$A$6:$A$1005,0)),"MISSING ID"))</x:f>
      </x:c>
      <x:c r="O117" s="4" t="str">
        <x:f>IFERROR(INDEX('Material routes'!$J$6:$J$1005,MATCH(U117,'Material routes'!$A$6:$A$1005,0)),"MISSING ID")</x:f>
        <x:v>Unspecified</x:v>
      </x:c>
      <x:c r="P117" s="4" t="str">
        <x:f>IF(IFERROR(INDEX('Material routes'!$I$6:$I$1005,MATCH(V117,'Material routes'!$A$6:$A$1005,0)),"MISSING ID")=0,"",IFERROR(INDEX('Material routes'!$I$6:$I$1005,MATCH(V117,'Material routes'!$A$6:$A$1005,0)),"MISSING ID"))</x:f>
      </x:c>
      <x:c r="Q117" s="4" t="str">
        <x:f>IFERROR(INDEX('Material routes'!$J$6:$J$1005,MATCH(V117,'Material routes'!$A$6:$A$1005,0)),"MISSING ID")</x:f>
        <x:v>Unspecified</x:v>
      </x:c>
      <x:c r="R117" s="4" t="str">
        <x:f>IF(L117="Withheld","Withheld premise",IF(E117="Tool candidate","Reusable prerequisite",IF(K117="Raw entry preparation","Entry-resource preparation",IF(G117="Not applicable","Finished endpoint",IF(OR(IFERROR(INDEX('Crafting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routes'!$D$6:$D$1005,MATCH(U117,'Material routes'!$A$6:$A$1005,0)),"MISSING ID")</x:f>
        <x:v>proposal.t1.shell_adhesive</x:v>
      </x:c>
      <x:c r="T117" s="4" t="str">
        <x:f>IFERROR(INDEX('Material routes'!$D$6:$D$1005,MATCH(V117,'Material routes'!$A$6:$A$1005,0)),"MISSING ID")</x:f>
        <x:v>proposal.branch.filled_binder</x:v>
      </x:c>
      <x:c r="U117" s="4" t="str">
        <x:v>design.branch.branch.filled_binder.in.1</x:v>
      </x:c>
      <x:c r="V117" s="4" t="str">
        <x:v>design.branch.branch.filled_binder.out</x:v>
      </x:c>
    </x:row>
    <x:row r="118" ht="105" customHeight="1">
      <x:c r="A118" s="4" t="str">
        <x:f>IFERROR(INDEX('Material routes'!$E$6:$E$1005,MATCH(U118,'Material routes'!$A$6:$A$1005,0)),"MISSING ID")</x:f>
        <x:v>Graded mineral filler</x:v>
      </x:c>
      <x:c r="B118" s="4" t="str">
        <x:f>IFERROR(INDEX('Material routes'!$F$6:$F$1005,MATCH(U118,'Material routes'!$A$6:$A$1005,0)),"MISSING ID")</x:f>
        <x:v>T1</x:v>
      </x:c>
      <x:c r="C118" s="4" t="str">
        <x:f>IFERROR(INDEX('Material routes'!$H$6:$H$1005,MATCH(U118,'Material routes'!$A$6:$A$1005,0)),"MISSING ID")</x:f>
        <x:v>Processed material</x:v>
      </x:c>
      <x:c r="D118" s="4" t="str">
        <x:f>IFERROR(INDEX('Material routes'!$G$6:$G$1005,MATCH(U118,'Material routes'!$A$6:$A$1005,0)),"MISSING ID")</x:f>
        <x:v>Resources</x:v>
      </x:c>
      <x:c r="E118" s="4" t="str">
        <x:f>IFERROR(INDEX('Material routes'!$C$6:$C$1005,MATCH(U118,'Material routes'!$A$6:$A$1005,0)),"MISSING ID")</x:f>
        <x:v>Ingredient candidate</x:v>
      </x:c>
      <x:c r="F118" s="4" t="str">
        <x:f>IFERROR(INDEX('Material routes'!$E$6:$E$1005,MATCH(V118,'Material routes'!$A$6:$A$1005,0)),"MISSING ID")</x:f>
        <x:v>Filled shell-binding compound</x:v>
      </x:c>
      <x:c r="G118" s="4" t="str">
        <x:f>IFERROR(INDEX('Material routes'!$F$6:$F$1005,MATCH(V118,'Material routes'!$A$6:$A$1005,0)),"MISSING ID")</x:f>
        <x:v>T2</x:v>
      </x:c>
      <x:c r="H118" s="4" t="str">
        <x:f>IFERROR(INDEX('Material routes'!$H$6:$H$1005,MATCH(V118,'Material routes'!$A$6:$A$1005,0)),"MISSING ID")</x:f>
        <x:v>Chemical material</x:v>
      </x:c>
      <x:c r="I118" s="4" t="str">
        <x:f>IFERROR(INDEX('Material routes'!$G$6:$G$1005,MATCH(V118,'Material routes'!$A$6:$A$1005,0)),"MISSING ID")</x:f>
        <x:v>Resources</x:v>
      </x:c>
      <x:c r="J118" s="4" t="str">
        <x:f>IFERROR(INDEX('Material routes'!$B$6:$B$1005,MATCH(U118,'Material routes'!$A$6:$A$1005,0)),"MISSING ID")</x:f>
        <x:v>design.branch.branch.filled_binder</x:v>
      </x:c>
      <x:c r="K118" s="4" t="str">
        <x:f>IFERROR(INDEX('Crafting recipes'!$C$6:$C$1005,MATCH(J118,'Crafting recipes'!$A$6:$A$1005,0)),"MISSING ID")</x:f>
        <x:v>Material refinement</x:v>
      </x:c>
      <x:c r="L118" s="4" t="str">
        <x:f>IFERROR(INDEX('Material routes'!$K$6:$K$1005,MATCH(U118,'Material routes'!$A$6:$A$1005,0)),"MISSING ID")</x:f>
        <x:v>Proposal</x:v>
      </x:c>
      <x:c r="M118" s="4" t="str">
        <x:f>IFERROR(INDEX('Material routes'!$M$6:$M$1005,MATCH(U118,'Material routes'!$A$6:$A$1005,0)),"MISSING ID")</x:f>
        <x:v>Partial proposal</x:v>
      </x:c>
      <x:c r="N118" s="4" t="str">
        <x:f>IF(IFERROR(INDEX('Material routes'!$I$6:$I$1005,MATCH(U118,'Material routes'!$A$6:$A$1005,0)),"MISSING ID")=0,"",IFERROR(INDEX('Material routes'!$I$6:$I$1005,MATCH(U118,'Material routes'!$A$6:$A$1005,0)),"MISSING ID"))</x:f>
      </x:c>
      <x:c r="O118" s="4" t="str">
        <x:f>IFERROR(INDEX('Material routes'!$J$6:$J$1005,MATCH(U118,'Material routes'!$A$6:$A$1005,0)),"MISSING ID")</x:f>
        <x:v>Unspecified</x:v>
      </x:c>
      <x:c r="P118" s="4" t="str">
        <x:f>IF(IFERROR(INDEX('Material routes'!$I$6:$I$1005,MATCH(V118,'Material routes'!$A$6:$A$1005,0)),"MISSING ID")=0,"",IFERROR(INDEX('Material routes'!$I$6:$I$1005,MATCH(V118,'Material routes'!$A$6:$A$1005,0)),"MISSING ID"))</x:f>
      </x:c>
      <x:c r="Q118" s="4" t="str">
        <x:f>IFERROR(INDEX('Material routes'!$J$6:$J$1005,MATCH(V118,'Material routes'!$A$6:$A$1005,0)),"MISSING ID")</x:f>
        <x:v>Unspecified</x:v>
      </x:c>
      <x:c r="R118" s="4" t="str">
        <x:f>IF(L118="Withheld","Withheld premise",IF(E118="Tool candidate","Reusable prerequisite",IF(K118="Raw entry preparation","Entry-resource preparation",IF(G118="Not applicable","Finished endpoint",IF(OR(IFERROR(INDEX('Crafting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routes'!$D$6:$D$1005,MATCH(U118,'Material routes'!$A$6:$A$1005,0)),"MISSING ID")</x:f>
        <x:v>proposal.t1.mineral_filler</x:v>
      </x:c>
      <x:c r="T118" s="4" t="str">
        <x:f>IFERROR(INDEX('Material routes'!$D$6:$D$1005,MATCH(V118,'Material routes'!$A$6:$A$1005,0)),"MISSING ID")</x:f>
        <x:v>proposal.branch.filled_binder</x:v>
      </x:c>
      <x:c r="U118" s="4" t="str">
        <x:v>design.branch.branch.filled_binder.in.2</x:v>
      </x:c>
      <x:c r="V118" s="4" t="str">
        <x:v>design.branch.branch.filled_binder.out</x:v>
      </x:c>
    </x:row>
    <x:row r="119" ht="105" customHeight="1">
      <x:c r="A119" s="4" t="str">
        <x:f>IFERROR(INDEX('Material routes'!$E$6:$E$1005,MATCH(U119,'Material routes'!$A$6:$A$1005,0)),"MISSING ID")</x:f>
        <x:v>Separated mica flake grade</x:v>
      </x:c>
      <x:c r="B119" s="4" t="str">
        <x:f>IFERROR(INDEX('Material routes'!$F$6:$F$1005,MATCH(U119,'Material routes'!$A$6:$A$1005,0)),"MISSING ID")</x:f>
        <x:v>T1</x:v>
      </x:c>
      <x:c r="C119" s="4" t="str">
        <x:f>IFERROR(INDEX('Material routes'!$H$6:$H$1005,MATCH(U119,'Material routes'!$A$6:$A$1005,0)),"MISSING ID")</x:f>
        <x:v>Processed material</x:v>
      </x:c>
      <x:c r="D119" s="4" t="str">
        <x:f>IFERROR(INDEX('Material routes'!$G$6:$G$1005,MATCH(U119,'Material routes'!$A$6:$A$1005,0)),"MISSING ID")</x:f>
        <x:v>Resources</x:v>
      </x:c>
      <x:c r="E119" s="4" t="str">
        <x:f>IFERROR(INDEX('Material routes'!$C$6:$C$1005,MATCH(U119,'Material routes'!$A$6:$A$1005,0)),"MISSING ID")</x:f>
        <x:v>Ingredient candidate</x:v>
      </x:c>
      <x:c r="F119" s="4" t="str">
        <x:f>IFERROR(INDEX('Material routes'!$E$6:$E$1005,MATCH(V119,'Material routes'!$A$6:$A$1005,0)),"MISSING ID")</x:f>
        <x:v>Mica composite sheet</x:v>
      </x:c>
      <x:c r="G119" s="4" t="str">
        <x:f>IFERROR(INDEX('Material routes'!$F$6:$F$1005,MATCH(V119,'Material routes'!$A$6:$A$1005,0)),"MISSING ID")</x:f>
        <x:v>T2</x:v>
      </x:c>
      <x:c r="H119" s="4" t="str">
        <x:f>IFERROR(INDEX('Material routes'!$H$6:$H$1005,MATCH(V119,'Material routes'!$A$6:$A$1005,0)),"MISSING ID")</x:f>
        <x:v>Processed material</x:v>
      </x:c>
      <x:c r="I119" s="4" t="str">
        <x:f>IFERROR(INDEX('Material routes'!$G$6:$G$1005,MATCH(V119,'Material routes'!$A$6:$A$1005,0)),"MISSING ID")</x:f>
        <x:v>Resources</x:v>
      </x:c>
      <x:c r="J119" s="4" t="str">
        <x:f>IFERROR(INDEX('Material routes'!$B$6:$B$1005,MATCH(U119,'Material routes'!$A$6:$A$1005,0)),"MISSING ID")</x:f>
        <x:v>design.branch.branch.mica_sheet</x:v>
      </x:c>
      <x:c r="K119" s="4" t="str">
        <x:f>IFERROR(INDEX('Crafting recipes'!$C$6:$C$1005,MATCH(J119,'Crafting recipes'!$A$6:$A$1005,0)),"MISSING ID")</x:f>
        <x:v>Material refinement</x:v>
      </x:c>
      <x:c r="L119" s="4" t="str">
        <x:f>IFERROR(INDEX('Material routes'!$K$6:$K$1005,MATCH(U119,'Material routes'!$A$6:$A$1005,0)),"MISSING ID")</x:f>
        <x:v>Proposal</x:v>
      </x:c>
      <x:c r="M119" s="4" t="str">
        <x:f>IFERROR(INDEX('Material routes'!$M$6:$M$1005,MATCH(U119,'Material routes'!$A$6:$A$1005,0)),"MISSING ID")</x:f>
        <x:v>Partial proposal</x:v>
      </x:c>
      <x:c r="N119" s="4" t="str">
        <x:f>IF(IFERROR(INDEX('Material routes'!$I$6:$I$1005,MATCH(U119,'Material routes'!$A$6:$A$1005,0)),"MISSING ID")=0,"",IFERROR(INDEX('Material routes'!$I$6:$I$1005,MATCH(U119,'Material routes'!$A$6:$A$1005,0)),"MISSING ID"))</x:f>
      </x:c>
      <x:c r="O119" s="4" t="str">
        <x:f>IFERROR(INDEX('Material routes'!$J$6:$J$1005,MATCH(U119,'Material routes'!$A$6:$A$1005,0)),"MISSING ID")</x:f>
        <x:v>Unspecified</x:v>
      </x:c>
      <x:c r="P119" s="4" t="str">
        <x:f>IF(IFERROR(INDEX('Material routes'!$I$6:$I$1005,MATCH(V119,'Material routes'!$A$6:$A$1005,0)),"MISSING ID")=0,"",IFERROR(INDEX('Material routes'!$I$6:$I$1005,MATCH(V119,'Material routes'!$A$6:$A$1005,0)),"MISSING ID"))</x:f>
      </x:c>
      <x:c r="Q119" s="4" t="str">
        <x:f>IFERROR(INDEX('Material routes'!$J$6:$J$1005,MATCH(V119,'Material routes'!$A$6:$A$1005,0)),"MISSING ID")</x:f>
        <x:v>Unspecified</x:v>
      </x:c>
      <x:c r="R119" s="4" t="str">
        <x:f>IF(L119="Withheld","Withheld premise",IF(E119="Tool candidate","Reusable prerequisite",IF(K119="Raw entry preparation","Entry-resource preparation",IF(G119="Not applicable","Finished endpoint",IF(OR(IFERROR(INDEX('Crafting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routes'!$D$6:$D$1005,MATCH(U119,'Material routes'!$A$6:$A$1005,0)),"MISSING ID")</x:f>
        <x:v>proposal.t1.mica_flakes</x:v>
      </x:c>
      <x:c r="T119" s="4" t="str">
        <x:f>IFERROR(INDEX('Material routes'!$D$6:$D$1005,MATCH(V119,'Material routes'!$A$6:$A$1005,0)),"MISSING ID")</x:f>
        <x:v>proposal.branch.mica_sheet</x:v>
      </x:c>
      <x:c r="U119" s="4" t="str">
        <x:v>design.branch.branch.mica_sheet.in.1</x:v>
      </x:c>
      <x:c r="V119" s="4" t="str">
        <x:v>design.branch.branch.mica_sheet.out</x:v>
      </x:c>
    </x:row>
    <x:row r="120" ht="105" customHeight="1">
      <x:c r="A120" s="4" t="str">
        <x:f>IFERROR(INDEX('Material routes'!$E$6:$E$1005,MATCH(U120,'Material routes'!$A$6:$A$1005,0)),"MISSING ID")</x:f>
        <x:v>Prepared shell-binding adhesive</x:v>
      </x:c>
      <x:c r="B120" s="4" t="str">
        <x:f>IFERROR(INDEX('Material routes'!$F$6:$F$1005,MATCH(U120,'Material routes'!$A$6:$A$1005,0)),"MISSING ID")</x:f>
        <x:v>T1</x:v>
      </x:c>
      <x:c r="C120" s="4" t="str">
        <x:f>IFERROR(INDEX('Material routes'!$H$6:$H$1005,MATCH(U120,'Material routes'!$A$6:$A$1005,0)),"MISSING ID")</x:f>
        <x:v>Chemical material</x:v>
      </x:c>
      <x:c r="D120" s="4" t="str">
        <x:f>IFERROR(INDEX('Material routes'!$G$6:$G$1005,MATCH(U120,'Material routes'!$A$6:$A$1005,0)),"MISSING ID")</x:f>
        <x:v>Resources</x:v>
      </x:c>
      <x:c r="E120" s="4" t="str">
        <x:f>IFERROR(INDEX('Material routes'!$C$6:$C$1005,MATCH(U120,'Material routes'!$A$6:$A$1005,0)),"MISSING ID")</x:f>
        <x:v>Ingredient candidate</x:v>
      </x:c>
      <x:c r="F120" s="4" t="str">
        <x:f>IFERROR(INDEX('Material routes'!$E$6:$E$1005,MATCH(V120,'Material routes'!$A$6:$A$1005,0)),"MISSING ID")</x:f>
        <x:v>Mica composite sheet</x:v>
      </x:c>
      <x:c r="G120" s="4" t="str">
        <x:f>IFERROR(INDEX('Material routes'!$F$6:$F$1005,MATCH(V120,'Material routes'!$A$6:$A$1005,0)),"MISSING ID")</x:f>
        <x:v>T2</x:v>
      </x:c>
      <x:c r="H120" s="4" t="str">
        <x:f>IFERROR(INDEX('Material routes'!$H$6:$H$1005,MATCH(V120,'Material routes'!$A$6:$A$1005,0)),"MISSING ID")</x:f>
        <x:v>Processed material</x:v>
      </x:c>
      <x:c r="I120" s="4" t="str">
        <x:f>IFERROR(INDEX('Material routes'!$G$6:$G$1005,MATCH(V120,'Material routes'!$A$6:$A$1005,0)),"MISSING ID")</x:f>
        <x:v>Resources</x:v>
      </x:c>
      <x:c r="J120" s="4" t="str">
        <x:f>IFERROR(INDEX('Material routes'!$B$6:$B$1005,MATCH(U120,'Material routes'!$A$6:$A$1005,0)),"MISSING ID")</x:f>
        <x:v>design.branch.branch.mica_sheet</x:v>
      </x:c>
      <x:c r="K120" s="4" t="str">
        <x:f>IFERROR(INDEX('Crafting recipes'!$C$6:$C$1005,MATCH(J120,'Crafting recipes'!$A$6:$A$1005,0)),"MISSING ID")</x:f>
        <x:v>Material refinement</x:v>
      </x:c>
      <x:c r="L120" s="4" t="str">
        <x:f>IFERROR(INDEX('Material routes'!$K$6:$K$1005,MATCH(U120,'Material routes'!$A$6:$A$1005,0)),"MISSING ID")</x:f>
        <x:v>Proposal</x:v>
      </x:c>
      <x:c r="M120" s="4" t="str">
        <x:f>IFERROR(INDEX('Material routes'!$M$6:$M$1005,MATCH(U120,'Material routes'!$A$6:$A$1005,0)),"MISSING ID")</x:f>
        <x:v>Partial proposal</x:v>
      </x:c>
      <x:c r="N120" s="4" t="str">
        <x:f>IF(IFERROR(INDEX('Material routes'!$I$6:$I$1005,MATCH(U120,'Material routes'!$A$6:$A$1005,0)),"MISSING ID")=0,"",IFERROR(INDEX('Material routes'!$I$6:$I$1005,MATCH(U120,'Material routes'!$A$6:$A$1005,0)),"MISSING ID"))</x:f>
      </x:c>
      <x:c r="O120" s="4" t="str">
        <x:f>IFERROR(INDEX('Material routes'!$J$6:$J$1005,MATCH(U120,'Material routes'!$A$6:$A$1005,0)),"MISSING ID")</x:f>
        <x:v>Unspecified</x:v>
      </x:c>
      <x:c r="P120" s="4" t="str">
        <x:f>IF(IFERROR(INDEX('Material routes'!$I$6:$I$1005,MATCH(V120,'Material routes'!$A$6:$A$1005,0)),"MISSING ID")=0,"",IFERROR(INDEX('Material routes'!$I$6:$I$1005,MATCH(V120,'Material routes'!$A$6:$A$1005,0)),"MISSING ID"))</x:f>
      </x:c>
      <x:c r="Q120" s="4" t="str">
        <x:f>IFERROR(INDEX('Material routes'!$J$6:$J$1005,MATCH(V120,'Material routes'!$A$6:$A$1005,0)),"MISSING ID")</x:f>
        <x:v>Unspecified</x:v>
      </x:c>
      <x:c r="R120" s="4" t="str">
        <x:f>IF(L120="Withheld","Withheld premise",IF(E120="Tool candidate","Reusable prerequisite",IF(K120="Raw entry preparation","Entry-resource preparation",IF(G120="Not applicable","Finished endpoint",IF(OR(IFERROR(INDEX('Crafting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routes'!$D$6:$D$1005,MATCH(U120,'Material routes'!$A$6:$A$1005,0)),"MISSING ID")</x:f>
        <x:v>proposal.t1.shell_adhesive</x:v>
      </x:c>
      <x:c r="T120" s="4" t="str">
        <x:f>IFERROR(INDEX('Material routes'!$D$6:$D$1005,MATCH(V120,'Material routes'!$A$6:$A$1005,0)),"MISSING ID")</x:f>
        <x:v>proposal.branch.mica_sheet</x:v>
      </x:c>
      <x:c r="U120" s="4" t="str">
        <x:v>design.branch.branch.mica_sheet.in.2</x:v>
      </x:c>
      <x:c r="V120" s="4" t="str">
        <x:v>design.branch.branch.mica_sheet.out</x:v>
      </x:c>
    </x:row>
    <x:row r="121" ht="105" customHeight="1">
      <x:c r="A121" s="4" t="str">
        <x:f>IFERROR(INDEX('Material routes'!$E$6:$E$1005,MATCH(U121,'Material routes'!$A$6:$A$1005,0)),"MISSING ID")</x:f>
        <x:v>Selected resonant-stone blank</x:v>
      </x:c>
      <x:c r="B121" s="4" t="str">
        <x:f>IFERROR(INDEX('Material routes'!$F$6:$F$1005,MATCH(U121,'Material routes'!$A$6:$A$1005,0)),"MISSING ID")</x:f>
        <x:v>T1</x:v>
      </x:c>
      <x:c r="C121" s="4" t="str">
        <x:f>IFERROR(INDEX('Material routes'!$H$6:$H$1005,MATCH(U121,'Material routes'!$A$6:$A$1005,0)),"MISSING ID")</x:f>
        <x:v>Processed material</x:v>
      </x:c>
      <x:c r="D121" s="4" t="str">
        <x:f>IFERROR(INDEX('Material routes'!$G$6:$G$1005,MATCH(U121,'Material routes'!$A$6:$A$1005,0)),"MISSING ID")</x:f>
        <x:v>Resources</x:v>
      </x:c>
      <x:c r="E121" s="4" t="str">
        <x:f>IFERROR(INDEX('Material routes'!$C$6:$C$1005,MATCH(U121,'Material routes'!$A$6:$A$1005,0)),"MISSING ID")</x:f>
        <x:v>Ingredient candidate</x:v>
      </x:c>
      <x:c r="F121" s="4" t="str">
        <x:f>IFERROR(INDEX('Material routes'!$E$6:$E$1005,MATCH(V121,'Material routes'!$A$6:$A$1005,0)),"MISSING ID")</x:f>
        <x:v>Tuned stone stock</x:v>
      </x:c>
      <x:c r="G121" s="4" t="str">
        <x:f>IFERROR(INDEX('Material routes'!$F$6:$F$1005,MATCH(V121,'Material routes'!$A$6:$A$1005,0)),"MISSING ID")</x:f>
        <x:v>T2</x:v>
      </x:c>
      <x:c r="H121" s="4" t="str">
        <x:f>IFERROR(INDEX('Material routes'!$H$6:$H$1005,MATCH(V121,'Material routes'!$A$6:$A$1005,0)),"MISSING ID")</x:f>
        <x:v>Processed material</x:v>
      </x:c>
      <x:c r="I121" s="4" t="str">
        <x:f>IFERROR(INDEX('Material routes'!$G$6:$G$1005,MATCH(V121,'Material routes'!$A$6:$A$1005,0)),"MISSING ID")</x:f>
        <x:v>Resources</x:v>
      </x:c>
      <x:c r="J121" s="4" t="str">
        <x:f>IFERROR(INDEX('Material routes'!$B$6:$B$1005,MATCH(U121,'Material routes'!$A$6:$A$1005,0)),"MISSING ID")</x:f>
        <x:v>design.branch.branch.tuned_stone</x:v>
      </x:c>
      <x:c r="K121" s="4" t="str">
        <x:f>IFERROR(INDEX('Crafting recipes'!$C$6:$C$1005,MATCH(J121,'Crafting recipes'!$A$6:$A$1005,0)),"MISSING ID")</x:f>
        <x:v>Material refinement</x:v>
      </x:c>
      <x:c r="L121" s="4" t="str">
        <x:f>IFERROR(INDEX('Material routes'!$K$6:$K$1005,MATCH(U121,'Material routes'!$A$6:$A$1005,0)),"MISSING ID")</x:f>
        <x:v>Proposal</x:v>
      </x:c>
      <x:c r="M121" s="4" t="str">
        <x:f>IFERROR(INDEX('Material routes'!$M$6:$M$1005,MATCH(U121,'Material routes'!$A$6:$A$1005,0)),"MISSING ID")</x:f>
        <x:v>Partial proposal</x:v>
      </x:c>
      <x:c r="N121" s="4" t="str">
        <x:f>IF(IFERROR(INDEX('Material routes'!$I$6:$I$1005,MATCH(U121,'Material routes'!$A$6:$A$1005,0)),"MISSING ID")=0,"",IFERROR(INDEX('Material routes'!$I$6:$I$1005,MATCH(U121,'Material routes'!$A$6:$A$1005,0)),"MISSING ID"))</x:f>
      </x:c>
      <x:c r="O121" s="4" t="str">
        <x:f>IFERROR(INDEX('Material routes'!$J$6:$J$1005,MATCH(U121,'Material routes'!$A$6:$A$1005,0)),"MISSING ID")</x:f>
        <x:v>Unspecified</x:v>
      </x:c>
      <x:c r="P121" s="4" t="str">
        <x:f>IF(IFERROR(INDEX('Material routes'!$I$6:$I$1005,MATCH(V121,'Material routes'!$A$6:$A$1005,0)),"MISSING ID")=0,"",IFERROR(INDEX('Material routes'!$I$6:$I$1005,MATCH(V121,'Material routes'!$A$6:$A$1005,0)),"MISSING ID"))</x:f>
      </x:c>
      <x:c r="Q121" s="4" t="str">
        <x:f>IFERROR(INDEX('Material routes'!$J$6:$J$1005,MATCH(V121,'Material routes'!$A$6:$A$1005,0)),"MISSING ID")</x:f>
        <x:v>Unspecified</x:v>
      </x:c>
      <x:c r="R121" s="4" t="str">
        <x:f>IF(L121="Withheld","Withheld premise",IF(E121="Tool candidate","Reusable prerequisite",IF(K121="Raw entry preparation","Entry-resource preparation",IF(G121="Not applicable","Finished endpoint",IF(OR(IFERROR(INDEX('Crafting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routes'!$D$6:$D$1005,MATCH(U121,'Material routes'!$A$6:$A$1005,0)),"MISSING ID")</x:f>
        <x:v>proposal.t1.resonant_blank</x:v>
      </x:c>
      <x:c r="T121" s="4" t="str">
        <x:f>IFERROR(INDEX('Material routes'!$D$6:$D$1005,MATCH(V121,'Material routes'!$A$6:$A$1005,0)),"MISSING ID")</x:f>
        <x:v>proposal.branch.tuned_stone</x:v>
      </x:c>
      <x:c r="U121" s="4" t="str">
        <x:v>design.branch.branch.tuned_stone.in.1</x:v>
      </x:c>
      <x:c r="V121" s="4" t="str">
        <x:v>design.branch.branch.tuned_stone.out</x:v>
      </x:c>
    </x:row>
    <x:row r="122" ht="105" customHeight="1">
      <x:c r="A122" s="4" t="str">
        <x:f>IFERROR(INDEX('Material routes'!$E$6:$E$1005,MATCH(U122,'Material routes'!$A$6:$A$1005,0)),"MISSING ID")</x:f>
        <x:v>Graded abrasive grit</x:v>
      </x:c>
      <x:c r="B122" s="4" t="str">
        <x:f>IFERROR(INDEX('Material routes'!$F$6:$F$1005,MATCH(U122,'Material routes'!$A$6:$A$1005,0)),"MISSING ID")</x:f>
        <x:v>T1</x:v>
      </x:c>
      <x:c r="C122" s="4" t="str">
        <x:f>IFERROR(INDEX('Material routes'!$H$6:$H$1005,MATCH(U122,'Material routes'!$A$6:$A$1005,0)),"MISSING ID")</x:f>
        <x:v>Processed material</x:v>
      </x:c>
      <x:c r="D122" s="4" t="str">
        <x:f>IFERROR(INDEX('Material routes'!$G$6:$G$1005,MATCH(U122,'Material routes'!$A$6:$A$1005,0)),"MISSING ID")</x:f>
        <x:v>Resources</x:v>
      </x:c>
      <x:c r="E122" s="4" t="str">
        <x:f>IFERROR(INDEX('Material routes'!$C$6:$C$1005,MATCH(U122,'Material routes'!$A$6:$A$1005,0)),"MISSING ID")</x:f>
        <x:v>Ingredient candidate</x:v>
      </x:c>
      <x:c r="F122" s="4" t="str">
        <x:f>IFERROR(INDEX('Material routes'!$E$6:$E$1005,MATCH(V122,'Material routes'!$A$6:$A$1005,0)),"MISSING ID")</x:f>
        <x:v>Tuned stone stock</x:v>
      </x:c>
      <x:c r="G122" s="4" t="str">
        <x:f>IFERROR(INDEX('Material routes'!$F$6:$F$1005,MATCH(V122,'Material routes'!$A$6:$A$1005,0)),"MISSING ID")</x:f>
        <x:v>T2</x:v>
      </x:c>
      <x:c r="H122" s="4" t="str">
        <x:f>IFERROR(INDEX('Material routes'!$H$6:$H$1005,MATCH(V122,'Material routes'!$A$6:$A$1005,0)),"MISSING ID")</x:f>
        <x:v>Processed material</x:v>
      </x:c>
      <x:c r="I122" s="4" t="str">
        <x:f>IFERROR(INDEX('Material routes'!$G$6:$G$1005,MATCH(V122,'Material routes'!$A$6:$A$1005,0)),"MISSING ID")</x:f>
        <x:v>Resources</x:v>
      </x:c>
      <x:c r="J122" s="4" t="str">
        <x:f>IFERROR(INDEX('Material routes'!$B$6:$B$1005,MATCH(U122,'Material routes'!$A$6:$A$1005,0)),"MISSING ID")</x:f>
        <x:v>design.branch.branch.tuned_stone</x:v>
      </x:c>
      <x:c r="K122" s="4" t="str">
        <x:f>IFERROR(INDEX('Crafting recipes'!$C$6:$C$1005,MATCH(J122,'Crafting recipes'!$A$6:$A$1005,0)),"MISSING ID")</x:f>
        <x:v>Material refinement</x:v>
      </x:c>
      <x:c r="L122" s="4" t="str">
        <x:f>IFERROR(INDEX('Material routes'!$K$6:$K$1005,MATCH(U122,'Material routes'!$A$6:$A$1005,0)),"MISSING ID")</x:f>
        <x:v>Proposal</x:v>
      </x:c>
      <x:c r="M122" s="4" t="str">
        <x:f>IFERROR(INDEX('Material routes'!$M$6:$M$1005,MATCH(U122,'Material routes'!$A$6:$A$1005,0)),"MISSING ID")</x:f>
        <x:v>Partial proposal</x:v>
      </x:c>
      <x:c r="N122" s="4" t="str">
        <x:f>IF(IFERROR(INDEX('Material routes'!$I$6:$I$1005,MATCH(U122,'Material routes'!$A$6:$A$1005,0)),"MISSING ID")=0,"",IFERROR(INDEX('Material routes'!$I$6:$I$1005,MATCH(U122,'Material routes'!$A$6:$A$1005,0)),"MISSING ID"))</x:f>
      </x:c>
      <x:c r="O122" s="4" t="str">
        <x:f>IFERROR(INDEX('Material routes'!$J$6:$J$1005,MATCH(U122,'Material routes'!$A$6:$A$1005,0)),"MISSING ID")</x:f>
        <x:v>Unspecified</x:v>
      </x:c>
      <x:c r="P122" s="4" t="str">
        <x:f>IF(IFERROR(INDEX('Material routes'!$I$6:$I$1005,MATCH(V122,'Material routes'!$A$6:$A$1005,0)),"MISSING ID")=0,"",IFERROR(INDEX('Material routes'!$I$6:$I$1005,MATCH(V122,'Material routes'!$A$6:$A$1005,0)),"MISSING ID"))</x:f>
      </x:c>
      <x:c r="Q122" s="4" t="str">
        <x:f>IFERROR(INDEX('Material routes'!$J$6:$J$1005,MATCH(V122,'Material routes'!$A$6:$A$1005,0)),"MISSING ID")</x:f>
        <x:v>Unspecified</x:v>
      </x:c>
      <x:c r="R122" s="4" t="str">
        <x:f>IF(L122="Withheld","Withheld premise",IF(E122="Tool candidate","Reusable prerequisite",IF(K122="Raw entry preparation","Entry-resource preparation",IF(G122="Not applicable","Finished endpoint",IF(OR(IFERROR(INDEX('Crafting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routes'!$D$6:$D$1005,MATCH(U122,'Material routes'!$A$6:$A$1005,0)),"MISSING ID")</x:f>
        <x:v>proposal.natural.abrasive</x:v>
      </x:c>
      <x:c r="T122" s="4" t="str">
        <x:f>IFERROR(INDEX('Material routes'!$D$6:$D$1005,MATCH(V122,'Material routes'!$A$6:$A$1005,0)),"MISSING ID")</x:f>
        <x:v>proposal.branch.tuned_stone</x:v>
      </x:c>
      <x:c r="U122" s="4" t="str">
        <x:v>design.branch.branch.tuned_stone.in.2</x:v>
      </x:c>
      <x:c r="V122" s="4" t="str">
        <x:v>design.branch.branch.tuned_stone.out</x:v>
      </x:c>
    </x:row>
    <x:row r="123" ht="105" customHeight="1">
      <x:c r="A123" s="4" t="str">
        <x:f>IFERROR(INDEX('Material routes'!$E$6:$E$1005,MATCH(U123,'Material routes'!$A$6:$A$1005,0)),"MISSING ID")</x:f>
        <x:v>Cut gemstone preform</x:v>
      </x:c>
      <x:c r="B123" s="4" t="str">
        <x:f>IFERROR(INDEX('Material routes'!$F$6:$F$1005,MATCH(U123,'Material routes'!$A$6:$A$1005,0)),"MISSING ID")</x:f>
        <x:v>T1</x:v>
      </x:c>
      <x:c r="C123" s="4" t="str">
        <x:f>IFERROR(INDEX('Material routes'!$H$6:$H$1005,MATCH(U123,'Material routes'!$A$6:$A$1005,0)),"MISSING ID")</x:f>
        <x:v>Processed material</x:v>
      </x:c>
      <x:c r="D123" s="4" t="str">
        <x:f>IFERROR(INDEX('Material routes'!$G$6:$G$1005,MATCH(U123,'Material routes'!$A$6:$A$1005,0)),"MISSING ID")</x:f>
        <x:v>Resources</x:v>
      </x:c>
      <x:c r="E123" s="4" t="str">
        <x:f>IFERROR(INDEX('Material routes'!$C$6:$C$1005,MATCH(U123,'Material routes'!$A$6:$A$1005,0)),"MISSING ID")</x:f>
        <x:v>Ingredient candidate</x:v>
      </x:c>
      <x:c r="F123" s="4" t="str">
        <x:f>IFERROR(INDEX('Material routes'!$E$6:$E$1005,MATCH(V123,'Material routes'!$A$6:$A$1005,0)),"MISSING ID")</x:f>
        <x:v>Polished gemstone blanks</x:v>
      </x:c>
      <x:c r="G123" s="4" t="str">
        <x:f>IFERROR(INDEX('Material routes'!$F$6:$F$1005,MATCH(V123,'Material routes'!$A$6:$A$1005,0)),"MISSING ID")</x:f>
        <x:v>T2</x:v>
      </x:c>
      <x:c r="H123" s="4" t="str">
        <x:f>IFERROR(INDEX('Material routes'!$H$6:$H$1005,MATCH(V123,'Material routes'!$A$6:$A$1005,0)),"MISSING ID")</x:f>
        <x:v>Processed material</x:v>
      </x:c>
      <x:c r="I123" s="4" t="str">
        <x:f>IFERROR(INDEX('Material routes'!$G$6:$G$1005,MATCH(V123,'Material routes'!$A$6:$A$1005,0)),"MISSING ID")</x:f>
        <x:v>Resources</x:v>
      </x:c>
      <x:c r="J123" s="4" t="str">
        <x:f>IFERROR(INDEX('Material routes'!$B$6:$B$1005,MATCH(U123,'Material routes'!$A$6:$A$1005,0)),"MISSING ID")</x:f>
        <x:v>design.branch.branch.polished_gem</x:v>
      </x:c>
      <x:c r="K123" s="4" t="str">
        <x:f>IFERROR(INDEX('Crafting recipes'!$C$6:$C$1005,MATCH(J123,'Crafting recipes'!$A$6:$A$1005,0)),"MISSING ID")</x:f>
        <x:v>Material refinement</x:v>
      </x:c>
      <x:c r="L123" s="4" t="str">
        <x:f>IFERROR(INDEX('Material routes'!$K$6:$K$1005,MATCH(U123,'Material routes'!$A$6:$A$1005,0)),"MISSING ID")</x:f>
        <x:v>Proposal</x:v>
      </x:c>
      <x:c r="M123" s="4" t="str">
        <x:f>IFERROR(INDEX('Material routes'!$M$6:$M$1005,MATCH(U123,'Material routes'!$A$6:$A$1005,0)),"MISSING ID")</x:f>
        <x:v>Partial proposal</x:v>
      </x:c>
      <x:c r="N123" s="4" t="str">
        <x:f>IF(IFERROR(INDEX('Material routes'!$I$6:$I$1005,MATCH(U123,'Material routes'!$A$6:$A$1005,0)),"MISSING ID")=0,"",IFERROR(INDEX('Material routes'!$I$6:$I$1005,MATCH(U123,'Material routes'!$A$6:$A$1005,0)),"MISSING ID"))</x:f>
      </x:c>
      <x:c r="O123" s="4" t="str">
        <x:f>IFERROR(INDEX('Material routes'!$J$6:$J$1005,MATCH(U123,'Material routes'!$A$6:$A$1005,0)),"MISSING ID")</x:f>
        <x:v>Unspecified</x:v>
      </x:c>
      <x:c r="P123" s="4" t="str">
        <x:f>IF(IFERROR(INDEX('Material routes'!$I$6:$I$1005,MATCH(V123,'Material routes'!$A$6:$A$1005,0)),"MISSING ID")=0,"",IFERROR(INDEX('Material routes'!$I$6:$I$1005,MATCH(V123,'Material routes'!$A$6:$A$1005,0)),"MISSING ID"))</x:f>
      </x:c>
      <x:c r="Q123" s="4" t="str">
        <x:f>IFERROR(INDEX('Material routes'!$J$6:$J$1005,MATCH(V123,'Material routes'!$A$6:$A$1005,0)),"MISSING ID")</x:f>
        <x:v>Unspecified</x:v>
      </x:c>
      <x:c r="R123" s="4" t="str">
        <x:f>IF(L123="Withheld","Withheld premise",IF(E123="Tool candidate","Reusable prerequisite",IF(K123="Raw entry preparation","Entry-resource preparation",IF(G123="Not applicable","Finished endpoint",IF(OR(IFERROR(INDEX('Crafting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routes'!$D$6:$D$1005,MATCH(U123,'Material routes'!$A$6:$A$1005,0)),"MISSING ID")</x:f>
        <x:v>proposal.t1.gem_preform</x:v>
      </x:c>
      <x:c r="T123" s="4" t="str">
        <x:f>IFERROR(INDEX('Material routes'!$D$6:$D$1005,MATCH(V123,'Material routes'!$A$6:$A$1005,0)),"MISSING ID")</x:f>
        <x:v>proposal.branch.polished_gem</x:v>
      </x:c>
      <x:c r="U123" s="4" t="str">
        <x:v>design.branch.branch.polished_gem.in.1</x:v>
      </x:c>
      <x:c r="V123" s="4" t="str">
        <x:v>design.branch.branch.polished_gem.out</x:v>
      </x:c>
    </x:row>
    <x:row r="124" ht="105" customHeight="1">
      <x:c r="A124" s="4" t="str">
        <x:f>IFERROR(INDEX('Material routes'!$E$6:$E$1005,MATCH(U124,'Material routes'!$A$6:$A$1005,0)),"MISSING ID")</x:f>
        <x:v>Graded abrasive grit</x:v>
      </x:c>
      <x:c r="B124" s="4" t="str">
        <x:f>IFERROR(INDEX('Material routes'!$F$6:$F$1005,MATCH(U124,'Material routes'!$A$6:$A$1005,0)),"MISSING ID")</x:f>
        <x:v>T1</x:v>
      </x:c>
      <x:c r="C124" s="4" t="str">
        <x:f>IFERROR(INDEX('Material routes'!$H$6:$H$1005,MATCH(U124,'Material routes'!$A$6:$A$1005,0)),"MISSING ID")</x:f>
        <x:v>Processed material</x:v>
      </x:c>
      <x:c r="D124" s="4" t="str">
        <x:f>IFERROR(INDEX('Material routes'!$G$6:$G$1005,MATCH(U124,'Material routes'!$A$6:$A$1005,0)),"MISSING ID")</x:f>
        <x:v>Resources</x:v>
      </x:c>
      <x:c r="E124" s="4" t="str">
        <x:f>IFERROR(INDEX('Material routes'!$C$6:$C$1005,MATCH(U124,'Material routes'!$A$6:$A$1005,0)),"MISSING ID")</x:f>
        <x:v>Ingredient candidate</x:v>
      </x:c>
      <x:c r="F124" s="4" t="str">
        <x:f>IFERROR(INDEX('Material routes'!$E$6:$E$1005,MATCH(V124,'Material routes'!$A$6:$A$1005,0)),"MISSING ID")</x:f>
        <x:v>Polished gemstone blanks</x:v>
      </x:c>
      <x:c r="G124" s="4" t="str">
        <x:f>IFERROR(INDEX('Material routes'!$F$6:$F$1005,MATCH(V124,'Material routes'!$A$6:$A$1005,0)),"MISSING ID")</x:f>
        <x:v>T2</x:v>
      </x:c>
      <x:c r="H124" s="4" t="str">
        <x:f>IFERROR(INDEX('Material routes'!$H$6:$H$1005,MATCH(V124,'Material routes'!$A$6:$A$1005,0)),"MISSING ID")</x:f>
        <x:v>Processed material</x:v>
      </x:c>
      <x:c r="I124" s="4" t="str">
        <x:f>IFERROR(INDEX('Material routes'!$G$6:$G$1005,MATCH(V124,'Material routes'!$A$6:$A$1005,0)),"MISSING ID")</x:f>
        <x:v>Resources</x:v>
      </x:c>
      <x:c r="J124" s="4" t="str">
        <x:f>IFERROR(INDEX('Material routes'!$B$6:$B$1005,MATCH(U124,'Material routes'!$A$6:$A$1005,0)),"MISSING ID")</x:f>
        <x:v>design.branch.branch.polished_gem</x:v>
      </x:c>
      <x:c r="K124" s="4" t="str">
        <x:f>IFERROR(INDEX('Crafting recipes'!$C$6:$C$1005,MATCH(J124,'Crafting recipes'!$A$6:$A$1005,0)),"MISSING ID")</x:f>
        <x:v>Material refinement</x:v>
      </x:c>
      <x:c r="L124" s="4" t="str">
        <x:f>IFERROR(INDEX('Material routes'!$K$6:$K$1005,MATCH(U124,'Material routes'!$A$6:$A$1005,0)),"MISSING ID")</x:f>
        <x:v>Proposal</x:v>
      </x:c>
      <x:c r="M124" s="4" t="str">
        <x:f>IFERROR(INDEX('Material routes'!$M$6:$M$1005,MATCH(U124,'Material routes'!$A$6:$A$1005,0)),"MISSING ID")</x:f>
        <x:v>Partial proposal</x:v>
      </x:c>
      <x:c r="N124" s="4" t="str">
        <x:f>IF(IFERROR(INDEX('Material routes'!$I$6:$I$1005,MATCH(U124,'Material routes'!$A$6:$A$1005,0)),"MISSING ID")=0,"",IFERROR(INDEX('Material routes'!$I$6:$I$1005,MATCH(U124,'Material routes'!$A$6:$A$1005,0)),"MISSING ID"))</x:f>
      </x:c>
      <x:c r="O124" s="4" t="str">
        <x:f>IFERROR(INDEX('Material routes'!$J$6:$J$1005,MATCH(U124,'Material routes'!$A$6:$A$1005,0)),"MISSING ID")</x:f>
        <x:v>Unspecified</x:v>
      </x:c>
      <x:c r="P124" s="4" t="str">
        <x:f>IF(IFERROR(INDEX('Material routes'!$I$6:$I$1005,MATCH(V124,'Material routes'!$A$6:$A$1005,0)),"MISSING ID")=0,"",IFERROR(INDEX('Material routes'!$I$6:$I$1005,MATCH(V124,'Material routes'!$A$6:$A$1005,0)),"MISSING ID"))</x:f>
      </x:c>
      <x:c r="Q124" s="4" t="str">
        <x:f>IFERROR(INDEX('Material routes'!$J$6:$J$1005,MATCH(V124,'Material routes'!$A$6:$A$1005,0)),"MISSING ID")</x:f>
        <x:v>Unspecified</x:v>
      </x:c>
      <x:c r="R124" s="4" t="str">
        <x:f>IF(L124="Withheld","Withheld premise",IF(E124="Tool candidate","Reusable prerequisite",IF(K124="Raw entry preparation","Entry-resource preparation",IF(G124="Not applicable","Finished endpoint",IF(OR(IFERROR(INDEX('Crafting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routes'!$D$6:$D$1005,MATCH(U124,'Material routes'!$A$6:$A$1005,0)),"MISSING ID")</x:f>
        <x:v>proposal.natural.abrasive</x:v>
      </x:c>
      <x:c r="T124" s="4" t="str">
        <x:f>IFERROR(INDEX('Material routes'!$D$6:$D$1005,MATCH(V124,'Material routes'!$A$6:$A$1005,0)),"MISSING ID")</x:f>
        <x:v>proposal.branch.polished_gem</x:v>
      </x:c>
      <x:c r="U124" s="4" t="str">
        <x:v>design.branch.branch.polished_gem.in.2</x:v>
      </x:c>
      <x:c r="V124" s="4" t="str">
        <x:v>design.branch.branch.polished_gem.out</x:v>
      </x:c>
    </x:row>
    <x:row r="125" ht="105" customHeight="1">
      <x:c r="A125" s="4" t="str">
        <x:f>IFERROR(INDEX('Material routes'!$E$6:$E$1005,MATCH(U125,'Material routes'!$A$6:$A$1005,0)),"MISSING ID")</x:f>
        <x:v>Conditioned faunal etchant</x:v>
      </x:c>
      <x:c r="B125" s="4" t="str">
        <x:f>IFERROR(INDEX('Material routes'!$F$6:$F$1005,MATCH(U125,'Material routes'!$A$6:$A$1005,0)),"MISSING ID")</x:f>
        <x:v>T1</x:v>
      </x:c>
      <x:c r="C125" s="4" t="str">
        <x:f>IFERROR(INDEX('Material routes'!$H$6:$H$1005,MATCH(U125,'Material routes'!$A$6:$A$1005,0)),"MISSING ID")</x:f>
        <x:v>Chemical material</x:v>
      </x:c>
      <x:c r="D125" s="4" t="str">
        <x:f>IFERROR(INDEX('Material routes'!$G$6:$G$1005,MATCH(U125,'Material routes'!$A$6:$A$1005,0)),"MISSING ID")</x:f>
        <x:v>Resources</x:v>
      </x:c>
      <x:c r="E125" s="4" t="str">
        <x:f>IFERROR(INDEX('Material routes'!$C$6:$C$1005,MATCH(U125,'Material routes'!$A$6:$A$1005,0)),"MISSING ID")</x:f>
        <x:v>Ingredient candidate</x:v>
      </x:c>
      <x:c r="F125" s="4" t="str">
        <x:f>IFERROR(INDEX('Material routes'!$E$6:$E$1005,MATCH(V125,'Material routes'!$A$6:$A$1005,0)),"MISSING ID")</x:f>
        <x:v>Advanced rust-removal compound</x:v>
      </x:c>
      <x:c r="G125" s="4" t="str">
        <x:f>IFERROR(INDEX('Material routes'!$F$6:$F$1005,MATCH(V125,'Material routes'!$A$6:$A$1005,0)),"MISSING ID")</x:f>
        <x:v>T2</x:v>
      </x:c>
      <x:c r="H125" s="4" t="str">
        <x:f>IFERROR(INDEX('Material routes'!$H$6:$H$1005,MATCH(V125,'Material routes'!$A$6:$A$1005,0)),"MISSING ID")</x:f>
        <x:v>Chemical material</x:v>
      </x:c>
      <x:c r="I125" s="4" t="str">
        <x:f>IFERROR(INDEX('Material routes'!$G$6:$G$1005,MATCH(V125,'Material routes'!$A$6:$A$1005,0)),"MISSING ID")</x:f>
        <x:v>Resources</x:v>
      </x:c>
      <x:c r="J125" s="4" t="str">
        <x:f>IFERROR(INDEX('Material routes'!$B$6:$B$1005,MATCH(U125,'Material routes'!$A$6:$A$1005,0)),"MISSING ID")</x:f>
        <x:v>design.branch.corrosion.advanced_remover</x:v>
      </x:c>
      <x:c r="K125" s="4" t="str">
        <x:f>IFERROR(INDEX('Crafting recipes'!$C$6:$C$1005,MATCH(J125,'Crafting recipes'!$A$6:$A$1005,0)),"MISSING ID")</x:f>
        <x:v>Material refinement</x:v>
      </x:c>
      <x:c r="L125" s="4" t="str">
        <x:f>IFERROR(INDEX('Material routes'!$K$6:$K$1005,MATCH(U125,'Material routes'!$A$6:$A$1005,0)),"MISSING ID")</x:f>
        <x:v>Proposal</x:v>
      </x:c>
      <x:c r="M125" s="4" t="str">
        <x:f>IFERROR(INDEX('Material routes'!$M$6:$M$1005,MATCH(U125,'Material routes'!$A$6:$A$1005,0)),"MISSING ID")</x:f>
        <x:v>Partial proposal</x:v>
      </x:c>
      <x:c r="N125" s="4" t="str">
        <x:f>IF(IFERROR(INDEX('Material routes'!$I$6:$I$1005,MATCH(U125,'Material routes'!$A$6:$A$1005,0)),"MISSING ID")=0,"",IFERROR(INDEX('Material routes'!$I$6:$I$1005,MATCH(U125,'Material routes'!$A$6:$A$1005,0)),"MISSING ID"))</x:f>
      </x:c>
      <x:c r="O125" s="4" t="str">
        <x:f>IFERROR(INDEX('Material routes'!$J$6:$J$1005,MATCH(U125,'Material routes'!$A$6:$A$1005,0)),"MISSING ID")</x:f>
        <x:v>Unspecified</x:v>
      </x:c>
      <x:c r="P125" s="4" t="str">
        <x:f>IF(IFERROR(INDEX('Material routes'!$I$6:$I$1005,MATCH(V125,'Material routes'!$A$6:$A$1005,0)),"MISSING ID")=0,"",IFERROR(INDEX('Material routes'!$I$6:$I$1005,MATCH(V125,'Material routes'!$A$6:$A$1005,0)),"MISSING ID"))</x:f>
      </x:c>
      <x:c r="Q125" s="4" t="str">
        <x:f>IFERROR(INDEX('Material routes'!$J$6:$J$1005,MATCH(V125,'Material routes'!$A$6:$A$1005,0)),"MISSING ID")</x:f>
        <x:v>Unspecified</x:v>
      </x:c>
      <x:c r="R125" s="4" t="str">
        <x:f>IF(L125="Withheld","Withheld premise",IF(E125="Tool candidate","Reusable prerequisite",IF(K125="Raw entry preparation","Entry-resource preparation",IF(G125="Not applicable","Finished endpoint",IF(OR(IFERROR(INDEX('Crafting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routes'!$D$6:$D$1005,MATCH(U125,'Material routes'!$A$6:$A$1005,0)),"MISSING ID")</x:f>
        <x:v>proposal.branch.etchant</x:v>
      </x:c>
      <x:c r="T125" s="4" t="str">
        <x:f>IFERROR(INDEX('Material routes'!$D$6:$D$1005,MATCH(V125,'Material routes'!$A$6:$A$1005,0)),"MISSING ID")</x:f>
        <x:v>author.corrosion.advanced_remover</x:v>
      </x:c>
      <x:c r="U125" s="4" t="str">
        <x:v>design.branch.corrosion.advanced_remover.in.1</x:v>
      </x:c>
      <x:c r="V125" s="4" t="str">
        <x:v>design.branch.corrosion.advanced_remover.out</x:v>
      </x:c>
    </x:row>
    <x:row r="126" ht="105" customHeight="1">
      <x:c r="A126" s="4" t="str">
        <x:f>IFERROR(INDEX('Material routes'!$E$6:$E$1005,MATCH(U126,'Material routes'!$A$6:$A$1005,0)),"MISSING ID")</x:f>
        <x:v>Selected faunal carrier fraction</x:v>
      </x:c>
      <x:c r="B126" s="4" t="str">
        <x:f>IFERROR(INDEX('Material routes'!$F$6:$F$1005,MATCH(U126,'Material routes'!$A$6:$A$1005,0)),"MISSING ID")</x:f>
        <x:v>T1</x:v>
      </x:c>
      <x:c r="C126" s="4" t="str">
        <x:f>IFERROR(INDEX('Material routes'!$H$6:$H$1005,MATCH(U126,'Material routes'!$A$6:$A$1005,0)),"MISSING ID")</x:f>
        <x:v>Chemical material</x:v>
      </x:c>
      <x:c r="D126" s="4" t="str">
        <x:f>IFERROR(INDEX('Material routes'!$G$6:$G$1005,MATCH(U126,'Material routes'!$A$6:$A$1005,0)),"MISSING ID")</x:f>
        <x:v>Resources</x:v>
      </x:c>
      <x:c r="E126" s="4" t="str">
        <x:f>IFERROR(INDEX('Material routes'!$C$6:$C$1005,MATCH(U126,'Material routes'!$A$6:$A$1005,0)),"MISSING ID")</x:f>
        <x:v>Ingredient candidate</x:v>
      </x:c>
      <x:c r="F126" s="4" t="str">
        <x:f>IFERROR(INDEX('Material routes'!$E$6:$E$1005,MATCH(V126,'Material routes'!$A$6:$A$1005,0)),"MISSING ID")</x:f>
        <x:v>Advanced rust-removal compound</x:v>
      </x:c>
      <x:c r="G126" s="4" t="str">
        <x:f>IFERROR(INDEX('Material routes'!$F$6:$F$1005,MATCH(V126,'Material routes'!$A$6:$A$1005,0)),"MISSING ID")</x:f>
        <x:v>T2</x:v>
      </x:c>
      <x:c r="H126" s="4" t="str">
        <x:f>IFERROR(INDEX('Material routes'!$H$6:$H$1005,MATCH(V126,'Material routes'!$A$6:$A$1005,0)),"MISSING ID")</x:f>
        <x:v>Chemical material</x:v>
      </x:c>
      <x:c r="I126" s="4" t="str">
        <x:f>IFERROR(INDEX('Material routes'!$G$6:$G$1005,MATCH(V126,'Material routes'!$A$6:$A$1005,0)),"MISSING ID")</x:f>
        <x:v>Resources</x:v>
      </x:c>
      <x:c r="J126" s="4" t="str">
        <x:f>IFERROR(INDEX('Material routes'!$B$6:$B$1005,MATCH(U126,'Material routes'!$A$6:$A$1005,0)),"MISSING ID")</x:f>
        <x:v>design.branch.corrosion.advanced_remover</x:v>
      </x:c>
      <x:c r="K126" s="4" t="str">
        <x:f>IFERROR(INDEX('Crafting recipes'!$C$6:$C$1005,MATCH(J126,'Crafting recipes'!$A$6:$A$1005,0)),"MISSING ID")</x:f>
        <x:v>Material refinement</x:v>
      </x:c>
      <x:c r="L126" s="4" t="str">
        <x:f>IFERROR(INDEX('Material routes'!$K$6:$K$1005,MATCH(U126,'Material routes'!$A$6:$A$1005,0)),"MISSING ID")</x:f>
        <x:v>Proposal</x:v>
      </x:c>
      <x:c r="M126" s="4" t="str">
        <x:f>IFERROR(INDEX('Material routes'!$M$6:$M$1005,MATCH(U126,'Material routes'!$A$6:$A$1005,0)),"MISSING ID")</x:f>
        <x:v>Partial proposal</x:v>
      </x:c>
      <x:c r="N126" s="4" t="str">
        <x:f>IF(IFERROR(INDEX('Material routes'!$I$6:$I$1005,MATCH(U126,'Material routes'!$A$6:$A$1005,0)),"MISSING ID")=0,"",IFERROR(INDEX('Material routes'!$I$6:$I$1005,MATCH(U126,'Material routes'!$A$6:$A$1005,0)),"MISSING ID"))</x:f>
      </x:c>
      <x:c r="O126" s="4" t="str">
        <x:f>IFERROR(INDEX('Material routes'!$J$6:$J$1005,MATCH(U126,'Material routes'!$A$6:$A$1005,0)),"MISSING ID")</x:f>
        <x:v>Unspecified</x:v>
      </x:c>
      <x:c r="P126" s="4" t="str">
        <x:f>IF(IFERROR(INDEX('Material routes'!$I$6:$I$1005,MATCH(V126,'Material routes'!$A$6:$A$1005,0)),"MISSING ID")=0,"",IFERROR(INDEX('Material routes'!$I$6:$I$1005,MATCH(V126,'Material routes'!$A$6:$A$1005,0)),"MISSING ID"))</x:f>
      </x:c>
      <x:c r="Q126" s="4" t="str">
        <x:f>IFERROR(INDEX('Material routes'!$J$6:$J$1005,MATCH(V126,'Material routes'!$A$6:$A$1005,0)),"MISSING ID")</x:f>
        <x:v>Unspecified</x:v>
      </x:c>
      <x:c r="R126" s="4" t="str">
        <x:f>IF(L126="Withheld","Withheld premise",IF(E126="Tool candidate","Reusable prerequisite",IF(K126="Raw entry preparation","Entry-resource preparation",IF(G126="Not applicable","Finished endpoint",IF(OR(IFERROR(INDEX('Crafting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routes'!$D$6:$D$1005,MATCH(U126,'Material routes'!$A$6:$A$1005,0)),"MISSING ID")</x:f>
        <x:v>proposal.t1.faunal_carrier</x:v>
      </x:c>
      <x:c r="T126" s="4" t="str">
        <x:f>IFERROR(INDEX('Material routes'!$D$6:$D$1005,MATCH(V126,'Material routes'!$A$6:$A$1005,0)),"MISSING ID")</x:f>
        <x:v>author.corrosion.advanced_remover</x:v>
      </x:c>
      <x:c r="U126" s="4" t="str">
        <x:v>design.branch.corrosion.advanced_remover.in.2</x:v>
      </x:c>
      <x:c r="V126" s="4" t="str">
        <x:v>design.branch.corrosion.advanced_remover.out</x:v>
      </x:c>
    </x:row>
    <x:row r="127" ht="105" customHeight="1">
      <x:c r="A127" s="4" t="str">
        <x:f>IFERROR(INDEX('Material routes'!$E$6:$E$1005,MATCH(U127,'Material routes'!$A$6:$A$1005,0)),"MISSING ID")</x:f>
        <x:v>Graded process salts</x:v>
      </x:c>
      <x:c r="B127" s="4" t="str">
        <x:f>IFERROR(INDEX('Material routes'!$F$6:$F$1005,MATCH(U127,'Material routes'!$A$6:$A$1005,0)),"MISSING ID")</x:f>
        <x:v>T1</x:v>
      </x:c>
      <x:c r="C127" s="4" t="str">
        <x:f>IFERROR(INDEX('Material routes'!$H$6:$H$1005,MATCH(U127,'Material routes'!$A$6:$A$1005,0)),"MISSING ID")</x:f>
        <x:v>Processed material</x:v>
      </x:c>
      <x:c r="D127" s="4" t="str">
        <x:f>IFERROR(INDEX('Material routes'!$G$6:$G$1005,MATCH(U127,'Material routes'!$A$6:$A$1005,0)),"MISSING ID")</x:f>
        <x:v>Resources</x:v>
      </x:c>
      <x:c r="E127" s="4" t="str">
        <x:f>IFERROR(INDEX('Material routes'!$C$6:$C$1005,MATCH(U127,'Material routes'!$A$6:$A$1005,0)),"MISSING ID")</x:f>
        <x:v>Ingredient candidate</x:v>
      </x:c>
      <x:c r="F127" s="4" t="str">
        <x:f>IFERROR(INDEX('Material routes'!$E$6:$E$1005,MATCH(V127,'Material routes'!$A$6:$A$1005,0)),"MISSING ID")</x:f>
        <x:v>Advanced rust-removal compound</x:v>
      </x:c>
      <x:c r="G127" s="4" t="str">
        <x:f>IFERROR(INDEX('Material routes'!$F$6:$F$1005,MATCH(V127,'Material routes'!$A$6:$A$1005,0)),"MISSING ID")</x:f>
        <x:v>T2</x:v>
      </x:c>
      <x:c r="H127" s="4" t="str">
        <x:f>IFERROR(INDEX('Material routes'!$H$6:$H$1005,MATCH(V127,'Material routes'!$A$6:$A$1005,0)),"MISSING ID")</x:f>
        <x:v>Chemical material</x:v>
      </x:c>
      <x:c r="I127" s="4" t="str">
        <x:f>IFERROR(INDEX('Material routes'!$G$6:$G$1005,MATCH(V127,'Material routes'!$A$6:$A$1005,0)),"MISSING ID")</x:f>
        <x:v>Resources</x:v>
      </x:c>
      <x:c r="J127" s="4" t="str">
        <x:f>IFERROR(INDEX('Material routes'!$B$6:$B$1005,MATCH(U127,'Material routes'!$A$6:$A$1005,0)),"MISSING ID")</x:f>
        <x:v>design.branch.corrosion.advanced_remover</x:v>
      </x:c>
      <x:c r="K127" s="4" t="str">
        <x:f>IFERROR(INDEX('Crafting recipes'!$C$6:$C$1005,MATCH(J127,'Crafting recipes'!$A$6:$A$1005,0)),"MISSING ID")</x:f>
        <x:v>Material refinement</x:v>
      </x:c>
      <x:c r="L127" s="4" t="str">
        <x:f>IFERROR(INDEX('Material routes'!$K$6:$K$1005,MATCH(U127,'Material routes'!$A$6:$A$1005,0)),"MISSING ID")</x:f>
        <x:v>Proposal</x:v>
      </x:c>
      <x:c r="M127" s="4" t="str">
        <x:f>IFERROR(INDEX('Material routes'!$M$6:$M$1005,MATCH(U127,'Material routes'!$A$6:$A$1005,0)),"MISSING ID")</x:f>
        <x:v>Partial proposal</x:v>
      </x:c>
      <x:c r="N127" s="4" t="str">
        <x:f>IF(IFERROR(INDEX('Material routes'!$I$6:$I$1005,MATCH(U127,'Material routes'!$A$6:$A$1005,0)),"MISSING ID")=0,"",IFERROR(INDEX('Material routes'!$I$6:$I$1005,MATCH(U127,'Material routes'!$A$6:$A$1005,0)),"MISSING ID"))</x:f>
      </x:c>
      <x:c r="O127" s="4" t="str">
        <x:f>IFERROR(INDEX('Material routes'!$J$6:$J$1005,MATCH(U127,'Material routes'!$A$6:$A$1005,0)),"MISSING ID")</x:f>
        <x:v>Unspecified</x:v>
      </x:c>
      <x:c r="P127" s="4" t="str">
        <x:f>IF(IFERROR(INDEX('Material routes'!$I$6:$I$1005,MATCH(V127,'Material routes'!$A$6:$A$1005,0)),"MISSING ID")=0,"",IFERROR(INDEX('Material routes'!$I$6:$I$1005,MATCH(V127,'Material routes'!$A$6:$A$1005,0)),"MISSING ID"))</x:f>
      </x:c>
      <x:c r="Q127" s="4" t="str">
        <x:f>IFERROR(INDEX('Material routes'!$J$6:$J$1005,MATCH(V127,'Material routes'!$A$6:$A$1005,0)),"MISSING ID")</x:f>
        <x:v>Unspecified</x:v>
      </x:c>
      <x:c r="R127" s="4" t="str">
        <x:f>IF(L127="Withheld","Withheld premise",IF(E127="Tool candidate","Reusable prerequisite",IF(K127="Raw entry preparation","Entry-resource preparation",IF(G127="Not applicable","Finished endpoint",IF(OR(IFERROR(INDEX('Crafting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routes'!$D$6:$D$1005,MATCH(U127,'Material routes'!$A$6:$A$1005,0)),"MISSING ID")</x:f>
        <x:v>proposal.t1.process_salts</x:v>
      </x:c>
      <x:c r="T127" s="4" t="str">
        <x:f>IFERROR(INDEX('Material routes'!$D$6:$D$1005,MATCH(V127,'Material routes'!$A$6:$A$1005,0)),"MISSING ID")</x:f>
        <x:v>author.corrosion.advanced_remover</x:v>
      </x:c>
      <x:c r="U127" s="4" t="str">
        <x:v>design.branch.corrosion.advanced_remover.in.3</x:v>
      </x:c>
      <x:c r="V127" s="4" t="str">
        <x:v>design.branch.corrosion.advanced_remover.out</x:v>
      </x:c>
    </x:row>
    <x:row r="128" ht="105" customHeight="1">
      <x:c r="A128" s="4" t="str">
        <x:f>IFERROR(INDEX('Material routes'!$E$6:$E$1005,MATCH(U128,'Material routes'!$A$6:$A$1005,0)),"MISSING ID")</x:f>
        <x:v>Clarified faunal lubricant base</x:v>
      </x:c>
      <x:c r="B128" s="4" t="str">
        <x:f>IFERROR(INDEX('Material routes'!$F$6:$F$1005,MATCH(U128,'Material routes'!$A$6:$A$1005,0)),"MISSING ID")</x:f>
        <x:v>T1</x:v>
      </x:c>
      <x:c r="C128" s="4" t="str">
        <x:f>IFERROR(INDEX('Material routes'!$H$6:$H$1005,MATCH(U128,'Material routes'!$A$6:$A$1005,0)),"MISSING ID")</x:f>
        <x:v>Chemical material</x:v>
      </x:c>
      <x:c r="D128" s="4" t="str">
        <x:f>IFERROR(INDEX('Material routes'!$G$6:$G$1005,MATCH(U128,'Material routes'!$A$6:$A$1005,0)),"MISSING ID")</x:f>
        <x:v>Resources</x:v>
      </x:c>
      <x:c r="E128" s="4" t="str">
        <x:f>IFERROR(INDEX('Material routes'!$C$6:$C$1005,MATCH(U128,'Material routes'!$A$6:$A$1005,0)),"MISSING ID")</x:f>
        <x:v>Ingredient candidate</x:v>
      </x:c>
      <x:c r="F128" s="4" t="str">
        <x:f>IFERROR(INDEX('Material routes'!$E$6:$E$1005,MATCH(V128,'Material routes'!$A$6:$A$1005,0)),"MISSING ID")</x:f>
        <x:v>Fine mechanism oil</x:v>
      </x:c>
      <x:c r="G128" s="4" t="str">
        <x:f>IFERROR(INDEX('Material routes'!$F$6:$F$1005,MATCH(V128,'Material routes'!$A$6:$A$1005,0)),"MISSING ID")</x:f>
        <x:v>T2</x:v>
      </x:c>
      <x:c r="H128" s="4" t="str">
        <x:f>IFERROR(INDEX('Material routes'!$H$6:$H$1005,MATCH(V128,'Material routes'!$A$6:$A$1005,0)),"MISSING ID")</x:f>
        <x:v>Chemical material</x:v>
      </x:c>
      <x:c r="I128" s="4" t="str">
        <x:f>IFERROR(INDEX('Material routes'!$G$6:$G$1005,MATCH(V128,'Material routes'!$A$6:$A$1005,0)),"MISSING ID")</x:f>
        <x:v>Resources</x:v>
      </x:c>
      <x:c r="J128" s="4" t="str">
        <x:f>IFERROR(INDEX('Material routes'!$B$6:$B$1005,MATCH(U128,'Material routes'!$A$6:$A$1005,0)),"MISSING ID")</x:f>
        <x:v>design.branch.lubricant.precision_oil</x:v>
      </x:c>
      <x:c r="K128" s="4" t="str">
        <x:f>IFERROR(INDEX('Crafting recipes'!$C$6:$C$1005,MATCH(J128,'Crafting recipes'!$A$6:$A$1005,0)),"MISSING ID")</x:f>
        <x:v>Material refinement</x:v>
      </x:c>
      <x:c r="L128" s="4" t="str">
        <x:f>IFERROR(INDEX('Material routes'!$K$6:$K$1005,MATCH(U128,'Material routes'!$A$6:$A$1005,0)),"MISSING ID")</x:f>
        <x:v>Proposal</x:v>
      </x:c>
      <x:c r="M128" s="4" t="str">
        <x:f>IFERROR(INDEX('Material routes'!$M$6:$M$1005,MATCH(U128,'Material routes'!$A$6:$A$1005,0)),"MISSING ID")</x:f>
        <x:v>Partial proposal</x:v>
      </x:c>
      <x:c r="N128" s="4" t="str">
        <x:f>IF(IFERROR(INDEX('Material routes'!$I$6:$I$1005,MATCH(U128,'Material routes'!$A$6:$A$1005,0)),"MISSING ID")=0,"",IFERROR(INDEX('Material routes'!$I$6:$I$1005,MATCH(U128,'Material routes'!$A$6:$A$1005,0)),"MISSING ID"))</x:f>
      </x:c>
      <x:c r="O128" s="4" t="str">
        <x:f>IFERROR(INDEX('Material routes'!$J$6:$J$1005,MATCH(U128,'Material routes'!$A$6:$A$1005,0)),"MISSING ID")</x:f>
        <x:v>Unspecified</x:v>
      </x:c>
      <x:c r="P128" s="4" t="str">
        <x:f>IF(IFERROR(INDEX('Material routes'!$I$6:$I$1005,MATCH(V128,'Material routes'!$A$6:$A$1005,0)),"MISSING ID")=0,"",IFERROR(INDEX('Material routes'!$I$6:$I$1005,MATCH(V128,'Material routes'!$A$6:$A$1005,0)),"MISSING ID"))</x:f>
      </x:c>
      <x:c r="Q128" s="4" t="str">
        <x:f>IFERROR(INDEX('Material routes'!$J$6:$J$1005,MATCH(V128,'Material routes'!$A$6:$A$1005,0)),"MISSING ID")</x:f>
        <x:v>Unspecified</x:v>
      </x:c>
      <x:c r="R128" s="4" t="str">
        <x:f>IF(L128="Withheld","Withheld premise",IF(E128="Tool candidate","Reusable prerequisite",IF(K128="Raw entry preparation","Entry-resource preparation",IF(G128="Not applicable","Finished endpoint",IF(OR(IFERROR(INDEX('Crafting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routes'!$D$6:$D$1005,MATCH(U128,'Material routes'!$A$6:$A$1005,0)),"MISSING ID")</x:f>
        <x:v>proposal.lubricant.base</x:v>
      </x:c>
      <x:c r="T128" s="4" t="str">
        <x:f>IFERROR(INDEX('Material routes'!$D$6:$D$1005,MATCH(V128,'Material routes'!$A$6:$A$1005,0)),"MISSING ID")</x:f>
        <x:v>proposal.lubricant.precision_oil</x:v>
      </x:c>
      <x:c r="U128" s="4" t="str">
        <x:v>design.branch.lubricant.precision_oil.in.1</x:v>
      </x:c>
      <x:c r="V128" s="4" t="str">
        <x:v>design.branch.lubricant.precision_oil.out</x:v>
      </x:c>
    </x:row>
    <x:row r="129" ht="105" customHeight="1">
      <x:c r="A129" s="4" t="str">
        <x:f>IFERROR(INDEX('Material routes'!$E$6:$E$1005,MATCH(U129,'Material routes'!$A$6:$A$1005,0)),"MISSING ID")</x:f>
        <x:v>Selected faunal carrier fraction</x:v>
      </x:c>
      <x:c r="B129" s="4" t="str">
        <x:f>IFERROR(INDEX('Material routes'!$F$6:$F$1005,MATCH(U129,'Material routes'!$A$6:$A$1005,0)),"MISSING ID")</x:f>
        <x:v>T1</x:v>
      </x:c>
      <x:c r="C129" s="4" t="str">
        <x:f>IFERROR(INDEX('Material routes'!$H$6:$H$1005,MATCH(U129,'Material routes'!$A$6:$A$1005,0)),"MISSING ID")</x:f>
        <x:v>Chemical material</x:v>
      </x:c>
      <x:c r="D129" s="4" t="str">
        <x:f>IFERROR(INDEX('Material routes'!$G$6:$G$1005,MATCH(U129,'Material routes'!$A$6:$A$1005,0)),"MISSING ID")</x:f>
        <x:v>Resources</x:v>
      </x:c>
      <x:c r="E129" s="4" t="str">
        <x:f>IFERROR(INDEX('Material routes'!$C$6:$C$1005,MATCH(U129,'Material routes'!$A$6:$A$1005,0)),"MISSING ID")</x:f>
        <x:v>Ingredient candidate</x:v>
      </x:c>
      <x:c r="F129" s="4" t="str">
        <x:f>IFERROR(INDEX('Material routes'!$E$6:$E$1005,MATCH(V129,'Material routes'!$A$6:$A$1005,0)),"MISSING ID")</x:f>
        <x:v>Fine mechanism oil</x:v>
      </x:c>
      <x:c r="G129" s="4" t="str">
        <x:f>IFERROR(INDEX('Material routes'!$F$6:$F$1005,MATCH(V129,'Material routes'!$A$6:$A$1005,0)),"MISSING ID")</x:f>
        <x:v>T2</x:v>
      </x:c>
      <x:c r="H129" s="4" t="str">
        <x:f>IFERROR(INDEX('Material routes'!$H$6:$H$1005,MATCH(V129,'Material routes'!$A$6:$A$1005,0)),"MISSING ID")</x:f>
        <x:v>Chemical material</x:v>
      </x:c>
      <x:c r="I129" s="4" t="str">
        <x:f>IFERROR(INDEX('Material routes'!$G$6:$G$1005,MATCH(V129,'Material routes'!$A$6:$A$1005,0)),"MISSING ID")</x:f>
        <x:v>Resources</x:v>
      </x:c>
      <x:c r="J129" s="4" t="str">
        <x:f>IFERROR(INDEX('Material routes'!$B$6:$B$1005,MATCH(U129,'Material routes'!$A$6:$A$1005,0)),"MISSING ID")</x:f>
        <x:v>design.branch.lubricant.precision_oil</x:v>
      </x:c>
      <x:c r="K129" s="4" t="str">
        <x:f>IFERROR(INDEX('Crafting recipes'!$C$6:$C$1005,MATCH(J129,'Crafting recipes'!$A$6:$A$1005,0)),"MISSING ID")</x:f>
        <x:v>Material refinement</x:v>
      </x:c>
      <x:c r="L129" s="4" t="str">
        <x:f>IFERROR(INDEX('Material routes'!$K$6:$K$1005,MATCH(U129,'Material routes'!$A$6:$A$1005,0)),"MISSING ID")</x:f>
        <x:v>Proposal</x:v>
      </x:c>
      <x:c r="M129" s="4" t="str">
        <x:f>IFERROR(INDEX('Material routes'!$M$6:$M$1005,MATCH(U129,'Material routes'!$A$6:$A$1005,0)),"MISSING ID")</x:f>
        <x:v>Partial proposal</x:v>
      </x:c>
      <x:c r="N129" s="4" t="str">
        <x:f>IF(IFERROR(INDEX('Material routes'!$I$6:$I$1005,MATCH(U129,'Material routes'!$A$6:$A$1005,0)),"MISSING ID")=0,"",IFERROR(INDEX('Material routes'!$I$6:$I$1005,MATCH(U129,'Material routes'!$A$6:$A$1005,0)),"MISSING ID"))</x:f>
      </x:c>
      <x:c r="O129" s="4" t="str">
        <x:f>IFERROR(INDEX('Material routes'!$J$6:$J$1005,MATCH(U129,'Material routes'!$A$6:$A$1005,0)),"MISSING ID")</x:f>
        <x:v>Unspecified</x:v>
      </x:c>
      <x:c r="P129" s="4" t="str">
        <x:f>IF(IFERROR(INDEX('Material routes'!$I$6:$I$1005,MATCH(V129,'Material routes'!$A$6:$A$1005,0)),"MISSING ID")=0,"",IFERROR(INDEX('Material routes'!$I$6:$I$1005,MATCH(V129,'Material routes'!$A$6:$A$1005,0)),"MISSING ID"))</x:f>
      </x:c>
      <x:c r="Q129" s="4" t="str">
        <x:f>IFERROR(INDEX('Material routes'!$J$6:$J$1005,MATCH(V129,'Material routes'!$A$6:$A$1005,0)),"MISSING ID")</x:f>
        <x:v>Unspecified</x:v>
      </x:c>
      <x:c r="R129" s="4" t="str">
        <x:f>IF(L129="Withheld","Withheld premise",IF(E129="Tool candidate","Reusable prerequisite",IF(K129="Raw entry preparation","Entry-resource preparation",IF(G129="Not applicable","Finished endpoint",IF(OR(IFERROR(INDEX('Crafting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routes'!$D$6:$D$1005,MATCH(U129,'Material routes'!$A$6:$A$1005,0)),"MISSING ID")</x:f>
        <x:v>proposal.t1.faunal_carrier</x:v>
      </x:c>
      <x:c r="T129" s="4" t="str">
        <x:f>IFERROR(INDEX('Material routes'!$D$6:$D$1005,MATCH(V129,'Material routes'!$A$6:$A$1005,0)),"MISSING ID")</x:f>
        <x:v>proposal.lubricant.precision_oil</x:v>
      </x:c>
      <x:c r="U129" s="4" t="str">
        <x:v>design.branch.lubricant.precision_oil.in.2</x:v>
      </x:c>
      <x:c r="V129" s="4" t="str">
        <x:v>design.branch.lubricant.precision_oil.out</x:v>
      </x:c>
    </x:row>
    <x:row r="130" ht="105" customHeight="1">
      <x:c r="A130" s="4" t="str">
        <x:f>IFERROR(INDEX('Material routes'!$E$6:$E$1005,MATCH(U130,'Material routes'!$A$6:$A$1005,0)),"MISSING ID")</x:f>
        <x:v>Clarified faunal lubricant base</x:v>
      </x:c>
      <x:c r="B130" s="4" t="str">
        <x:f>IFERROR(INDEX('Material routes'!$F$6:$F$1005,MATCH(U130,'Material routes'!$A$6:$A$1005,0)),"MISSING ID")</x:f>
        <x:v>T1</x:v>
      </x:c>
      <x:c r="C130" s="4" t="str">
        <x:f>IFERROR(INDEX('Material routes'!$H$6:$H$1005,MATCH(U130,'Material routes'!$A$6:$A$1005,0)),"MISSING ID")</x:f>
        <x:v>Chemical material</x:v>
      </x:c>
      <x:c r="D130" s="4" t="str">
        <x:f>IFERROR(INDEX('Material routes'!$G$6:$G$1005,MATCH(U130,'Material routes'!$A$6:$A$1005,0)),"MISSING ID")</x:f>
        <x:v>Resources</x:v>
      </x:c>
      <x:c r="E130" s="4" t="str">
        <x:f>IFERROR(INDEX('Material routes'!$C$6:$C$1005,MATCH(U130,'Material routes'!$A$6:$A$1005,0)),"MISSING ID")</x:f>
        <x:v>Ingredient candidate</x:v>
      </x:c>
      <x:c r="F130" s="4" t="str">
        <x:f>IFERROR(INDEX('Material routes'!$E$6:$E$1005,MATCH(V130,'Material routes'!$A$6:$A$1005,0)),"MISSING ID")</x:f>
        <x:v>Graphite faunal grease</x:v>
      </x:c>
      <x:c r="G130" s="4" t="str">
        <x:f>IFERROR(INDEX('Material routes'!$F$6:$F$1005,MATCH(V130,'Material routes'!$A$6:$A$1005,0)),"MISSING ID")</x:f>
        <x:v>T2</x:v>
      </x:c>
      <x:c r="H130" s="4" t="str">
        <x:f>IFERROR(INDEX('Material routes'!$H$6:$H$1005,MATCH(V130,'Material routes'!$A$6:$A$1005,0)),"MISSING ID")</x:f>
        <x:v>Chemical material</x:v>
      </x:c>
      <x:c r="I130" s="4" t="str">
        <x:f>IFERROR(INDEX('Material routes'!$G$6:$G$1005,MATCH(V130,'Material routes'!$A$6:$A$1005,0)),"MISSING ID")</x:f>
        <x:v>Resources</x:v>
      </x:c>
      <x:c r="J130" s="4" t="str">
        <x:f>IFERROR(INDEX('Material routes'!$B$6:$B$1005,MATCH(U130,'Material routes'!$A$6:$A$1005,0)),"MISSING ID")</x:f>
        <x:v>design.branch.lubricant.graphite_grease</x:v>
      </x:c>
      <x:c r="K130" s="4" t="str">
        <x:f>IFERROR(INDEX('Crafting recipes'!$C$6:$C$1005,MATCH(J130,'Crafting recipes'!$A$6:$A$1005,0)),"MISSING ID")</x:f>
        <x:v>Material refinement</x:v>
      </x:c>
      <x:c r="L130" s="4" t="str">
        <x:f>IFERROR(INDEX('Material routes'!$K$6:$K$1005,MATCH(U130,'Material routes'!$A$6:$A$1005,0)),"MISSING ID")</x:f>
        <x:v>Proposal</x:v>
      </x:c>
      <x:c r="M130" s="4" t="str">
        <x:f>IFERROR(INDEX('Material routes'!$M$6:$M$1005,MATCH(U130,'Material routes'!$A$6:$A$1005,0)),"MISSING ID")</x:f>
        <x:v>Partial proposal</x:v>
      </x:c>
      <x:c r="N130" s="4" t="str">
        <x:f>IF(IFERROR(INDEX('Material routes'!$I$6:$I$1005,MATCH(U130,'Material routes'!$A$6:$A$1005,0)),"MISSING ID")=0,"",IFERROR(INDEX('Material routes'!$I$6:$I$1005,MATCH(U130,'Material routes'!$A$6:$A$1005,0)),"MISSING ID"))</x:f>
      </x:c>
      <x:c r="O130" s="4" t="str">
        <x:f>IFERROR(INDEX('Material routes'!$J$6:$J$1005,MATCH(U130,'Material routes'!$A$6:$A$1005,0)),"MISSING ID")</x:f>
        <x:v>Unspecified</x:v>
      </x:c>
      <x:c r="P130" s="4" t="str">
        <x:f>IF(IFERROR(INDEX('Material routes'!$I$6:$I$1005,MATCH(V130,'Material routes'!$A$6:$A$1005,0)),"MISSING ID")=0,"",IFERROR(INDEX('Material routes'!$I$6:$I$1005,MATCH(V130,'Material routes'!$A$6:$A$1005,0)),"MISSING ID"))</x:f>
      </x:c>
      <x:c r="Q130" s="4" t="str">
        <x:f>IFERROR(INDEX('Material routes'!$J$6:$J$1005,MATCH(V130,'Material routes'!$A$6:$A$1005,0)),"MISSING ID")</x:f>
        <x:v>Unspecified</x:v>
      </x:c>
      <x:c r="R130" s="4" t="str">
        <x:f>IF(L130="Withheld","Withheld premise",IF(E130="Tool candidate","Reusable prerequisite",IF(K130="Raw entry preparation","Entry-resource preparation",IF(G130="Not applicable","Finished endpoint",IF(OR(IFERROR(INDEX('Crafting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routes'!$D$6:$D$1005,MATCH(U130,'Material routes'!$A$6:$A$1005,0)),"MISSING ID")</x:f>
        <x:v>proposal.lubricant.base</x:v>
      </x:c>
      <x:c r="T130" s="4" t="str">
        <x:f>IFERROR(INDEX('Material routes'!$D$6:$D$1005,MATCH(V130,'Material routes'!$A$6:$A$1005,0)),"MISSING ID")</x:f>
        <x:v>proposal.lubricant.graphite_grease</x:v>
      </x:c>
      <x:c r="U130" s="4" t="str">
        <x:v>design.branch.lubricant.graphite_grease.in.1</x:v>
      </x:c>
      <x:c r="V130" s="4" t="str">
        <x:v>design.branch.lubricant.graphite_grease.out</x:v>
      </x:c>
    </x:row>
    <x:row r="131" ht="105" customHeight="1">
      <x:c r="A131" s="4" t="str">
        <x:f>IFERROR(INDEX('Material routes'!$E$6:$E$1005,MATCH(U131,'Material routes'!$A$6:$A$1005,0)),"MISSING ID")</x:f>
        <x:v>Prepared secretion thickener</x:v>
      </x:c>
      <x:c r="B131" s="4" t="str">
        <x:f>IFERROR(INDEX('Material routes'!$F$6:$F$1005,MATCH(U131,'Material routes'!$A$6:$A$1005,0)),"MISSING ID")</x:f>
        <x:v>T1</x:v>
      </x:c>
      <x:c r="C131" s="4" t="str">
        <x:f>IFERROR(INDEX('Material routes'!$H$6:$H$1005,MATCH(U131,'Material routes'!$A$6:$A$1005,0)),"MISSING ID")</x:f>
        <x:v>Chemical material</x:v>
      </x:c>
      <x:c r="D131" s="4" t="str">
        <x:f>IFERROR(INDEX('Material routes'!$G$6:$G$1005,MATCH(U131,'Material routes'!$A$6:$A$1005,0)),"MISSING ID")</x:f>
        <x:v>Resources</x:v>
      </x:c>
      <x:c r="E131" s="4" t="str">
        <x:f>IFERROR(INDEX('Material routes'!$C$6:$C$1005,MATCH(U131,'Material routes'!$A$6:$A$1005,0)),"MISSING ID")</x:f>
        <x:v>Ingredient candidate</x:v>
      </x:c>
      <x:c r="F131" s="4" t="str">
        <x:f>IFERROR(INDEX('Material routes'!$E$6:$E$1005,MATCH(V131,'Material routes'!$A$6:$A$1005,0)),"MISSING ID")</x:f>
        <x:v>Graphite faunal grease</x:v>
      </x:c>
      <x:c r="G131" s="4" t="str">
        <x:f>IFERROR(INDEX('Material routes'!$F$6:$F$1005,MATCH(V131,'Material routes'!$A$6:$A$1005,0)),"MISSING ID")</x:f>
        <x:v>T2</x:v>
      </x:c>
      <x:c r="H131" s="4" t="str">
        <x:f>IFERROR(INDEX('Material routes'!$H$6:$H$1005,MATCH(V131,'Material routes'!$A$6:$A$1005,0)),"MISSING ID")</x:f>
        <x:v>Chemical material</x:v>
      </x:c>
      <x:c r="I131" s="4" t="str">
        <x:f>IFERROR(INDEX('Material routes'!$G$6:$G$1005,MATCH(V131,'Material routes'!$A$6:$A$1005,0)),"MISSING ID")</x:f>
        <x:v>Resources</x:v>
      </x:c>
      <x:c r="J131" s="4" t="str">
        <x:f>IFERROR(INDEX('Material routes'!$B$6:$B$1005,MATCH(U131,'Material routes'!$A$6:$A$1005,0)),"MISSING ID")</x:f>
        <x:v>design.branch.lubricant.graphite_grease</x:v>
      </x:c>
      <x:c r="K131" s="4" t="str">
        <x:f>IFERROR(INDEX('Crafting recipes'!$C$6:$C$1005,MATCH(J131,'Crafting recipes'!$A$6:$A$1005,0)),"MISSING ID")</x:f>
        <x:v>Material refinement</x:v>
      </x:c>
      <x:c r="L131" s="4" t="str">
        <x:f>IFERROR(INDEX('Material routes'!$K$6:$K$1005,MATCH(U131,'Material routes'!$A$6:$A$1005,0)),"MISSING ID")</x:f>
        <x:v>Proposal</x:v>
      </x:c>
      <x:c r="M131" s="4" t="str">
        <x:f>IFERROR(INDEX('Material routes'!$M$6:$M$1005,MATCH(U131,'Material routes'!$A$6:$A$1005,0)),"MISSING ID")</x:f>
        <x:v>Partial proposal</x:v>
      </x:c>
      <x:c r="N131" s="4" t="str">
        <x:f>IF(IFERROR(INDEX('Material routes'!$I$6:$I$1005,MATCH(U131,'Material routes'!$A$6:$A$1005,0)),"MISSING ID")=0,"",IFERROR(INDEX('Material routes'!$I$6:$I$1005,MATCH(U131,'Material routes'!$A$6:$A$1005,0)),"MISSING ID"))</x:f>
      </x:c>
      <x:c r="O131" s="4" t="str">
        <x:f>IFERROR(INDEX('Material routes'!$J$6:$J$1005,MATCH(U131,'Material routes'!$A$6:$A$1005,0)),"MISSING ID")</x:f>
        <x:v>Unspecified</x:v>
      </x:c>
      <x:c r="P131" s="4" t="str">
        <x:f>IF(IFERROR(INDEX('Material routes'!$I$6:$I$1005,MATCH(V131,'Material routes'!$A$6:$A$1005,0)),"MISSING ID")=0,"",IFERROR(INDEX('Material routes'!$I$6:$I$1005,MATCH(V131,'Material routes'!$A$6:$A$1005,0)),"MISSING ID"))</x:f>
      </x:c>
      <x:c r="Q131" s="4" t="str">
        <x:f>IFERROR(INDEX('Material routes'!$J$6:$J$1005,MATCH(V131,'Material routes'!$A$6:$A$1005,0)),"MISSING ID")</x:f>
        <x:v>Unspecified</x:v>
      </x:c>
      <x:c r="R131" s="4" t="str">
        <x:f>IF(L131="Withheld","Withheld premise",IF(E131="Tool candidate","Reusable prerequisite",IF(K131="Raw entry preparation","Entry-resource preparation",IF(G131="Not applicable","Finished endpoint",IF(OR(IFERROR(INDEX('Crafting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routes'!$D$6:$D$1005,MATCH(U131,'Material routes'!$A$6:$A$1005,0)),"MISSING ID")</x:f>
        <x:v>proposal.lubricant.thickener</x:v>
      </x:c>
      <x:c r="T131" s="4" t="str">
        <x:f>IFERROR(INDEX('Material routes'!$D$6:$D$1005,MATCH(V131,'Material routes'!$A$6:$A$1005,0)),"MISSING ID")</x:f>
        <x:v>proposal.lubricant.graphite_grease</x:v>
      </x:c>
      <x:c r="U131" s="4" t="str">
        <x:v>design.branch.lubricant.graphite_grease.in.2</x:v>
      </x:c>
      <x:c r="V131" s="4" t="str">
        <x:v>design.branch.lubricant.graphite_grease.out</x:v>
      </x:c>
    </x:row>
    <x:row r="132" ht="105" customHeight="1">
      <x:c r="A132" s="4" t="str">
        <x:f>IFERROR(INDEX('Material routes'!$E$6:$E$1005,MATCH(U132,'Material routes'!$A$6:$A$1005,0)),"MISSING ID")</x:f>
        <x:v>Graded graphite flakes</x:v>
      </x:c>
      <x:c r="B132" s="4" t="str">
        <x:f>IFERROR(INDEX('Material routes'!$F$6:$F$1005,MATCH(U132,'Material routes'!$A$6:$A$1005,0)),"MISSING ID")</x:f>
        <x:v>T1</x:v>
      </x:c>
      <x:c r="C132" s="4" t="str">
        <x:f>IFERROR(INDEX('Material routes'!$H$6:$H$1005,MATCH(U132,'Material routes'!$A$6:$A$1005,0)),"MISSING ID")</x:f>
        <x:v>Processed material</x:v>
      </x:c>
      <x:c r="D132" s="4" t="str">
        <x:f>IFERROR(INDEX('Material routes'!$G$6:$G$1005,MATCH(U132,'Material routes'!$A$6:$A$1005,0)),"MISSING ID")</x:f>
        <x:v>Resources</x:v>
      </x:c>
      <x:c r="E132" s="4" t="str">
        <x:f>IFERROR(INDEX('Material routes'!$C$6:$C$1005,MATCH(U132,'Material routes'!$A$6:$A$1005,0)),"MISSING ID")</x:f>
        <x:v>Ingredient candidate</x:v>
      </x:c>
      <x:c r="F132" s="4" t="str">
        <x:f>IFERROR(INDEX('Material routes'!$E$6:$E$1005,MATCH(V132,'Material routes'!$A$6:$A$1005,0)),"MISSING ID")</x:f>
        <x:v>Graphite faunal grease</x:v>
      </x:c>
      <x:c r="G132" s="4" t="str">
        <x:f>IFERROR(INDEX('Material routes'!$F$6:$F$1005,MATCH(V132,'Material routes'!$A$6:$A$1005,0)),"MISSING ID")</x:f>
        <x:v>T2</x:v>
      </x:c>
      <x:c r="H132" s="4" t="str">
        <x:f>IFERROR(INDEX('Material routes'!$H$6:$H$1005,MATCH(V132,'Material routes'!$A$6:$A$1005,0)),"MISSING ID")</x:f>
        <x:v>Chemical material</x:v>
      </x:c>
      <x:c r="I132" s="4" t="str">
        <x:f>IFERROR(INDEX('Material routes'!$G$6:$G$1005,MATCH(V132,'Material routes'!$A$6:$A$1005,0)),"MISSING ID")</x:f>
        <x:v>Resources</x:v>
      </x:c>
      <x:c r="J132" s="4" t="str">
        <x:f>IFERROR(INDEX('Material routes'!$B$6:$B$1005,MATCH(U132,'Material routes'!$A$6:$A$1005,0)),"MISSING ID")</x:f>
        <x:v>design.branch.lubricant.graphite_grease</x:v>
      </x:c>
      <x:c r="K132" s="4" t="str">
        <x:f>IFERROR(INDEX('Crafting recipes'!$C$6:$C$1005,MATCH(J132,'Crafting recipes'!$A$6:$A$1005,0)),"MISSING ID")</x:f>
        <x:v>Material refinement</x:v>
      </x:c>
      <x:c r="L132" s="4" t="str">
        <x:f>IFERROR(INDEX('Material routes'!$K$6:$K$1005,MATCH(U132,'Material routes'!$A$6:$A$1005,0)),"MISSING ID")</x:f>
        <x:v>Proposal</x:v>
      </x:c>
      <x:c r="M132" s="4" t="str">
        <x:f>IFERROR(INDEX('Material routes'!$M$6:$M$1005,MATCH(U132,'Material routes'!$A$6:$A$1005,0)),"MISSING ID")</x:f>
        <x:v>Partial proposal</x:v>
      </x:c>
      <x:c r="N132" s="4" t="str">
        <x:f>IF(IFERROR(INDEX('Material routes'!$I$6:$I$1005,MATCH(U132,'Material routes'!$A$6:$A$1005,0)),"MISSING ID")=0,"",IFERROR(INDEX('Material routes'!$I$6:$I$1005,MATCH(U132,'Material routes'!$A$6:$A$1005,0)),"MISSING ID"))</x:f>
      </x:c>
      <x:c r="O132" s="4" t="str">
        <x:f>IFERROR(INDEX('Material routes'!$J$6:$J$1005,MATCH(U132,'Material routes'!$A$6:$A$1005,0)),"MISSING ID")</x:f>
        <x:v>Unspecified</x:v>
      </x:c>
      <x:c r="P132" s="4" t="str">
        <x:f>IF(IFERROR(INDEX('Material routes'!$I$6:$I$1005,MATCH(V132,'Material routes'!$A$6:$A$1005,0)),"MISSING ID")=0,"",IFERROR(INDEX('Material routes'!$I$6:$I$1005,MATCH(V132,'Material routes'!$A$6:$A$1005,0)),"MISSING ID"))</x:f>
      </x:c>
      <x:c r="Q132" s="4" t="str">
        <x:f>IFERROR(INDEX('Material routes'!$J$6:$J$1005,MATCH(V132,'Material routes'!$A$6:$A$1005,0)),"MISSING ID")</x:f>
        <x:v>Unspecified</x:v>
      </x:c>
      <x:c r="R132" s="4" t="str">
        <x:f>IF(L132="Withheld","Withheld premise",IF(E132="Tool candidate","Reusable prerequisite",IF(K132="Raw entry preparation","Entry-resource preparation",IF(G132="Not applicable","Finished endpoint",IF(OR(IFERROR(INDEX('Crafting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routes'!$D$6:$D$1005,MATCH(U132,'Material routes'!$A$6:$A$1005,0)),"MISSING ID")</x:f>
        <x:v>proposal.natural.carbon</x:v>
      </x:c>
      <x:c r="T132" s="4" t="str">
        <x:f>IFERROR(INDEX('Material routes'!$D$6:$D$1005,MATCH(V132,'Material routes'!$A$6:$A$1005,0)),"MISSING ID")</x:f>
        <x:v>proposal.lubricant.graphite_grease</x:v>
      </x:c>
      <x:c r="U132" s="4" t="str">
        <x:v>design.branch.lubricant.graphite_grease.in.3</x:v>
      </x:c>
      <x:c r="V132" s="4" t="str">
        <x:v>design.branch.lubricant.graphite_grease.out</x:v>
      </x:c>
    </x:row>
    <x:row r="133" ht="105" customHeight="1">
      <x:c r="A133" s="4" t="str">
        <x:f>IFERROR(INDEX('Material routes'!$E$6:$E$1005,MATCH(U133,'Material routes'!$A$6:$A$1005,0)),"MISSING ID")</x:f>
        <x:v>Steel stock</x:v>
      </x:c>
      <x:c r="B133" s="4" t="str">
        <x:f>IFERROR(INDEX('Material routes'!$F$6:$F$1005,MATCH(U133,'Material routes'!$A$6:$A$1005,0)),"MISSING ID")</x:f>
        <x:v>T2</x:v>
      </x:c>
      <x:c r="C133" s="4" t="str">
        <x:f>IFERROR(INDEX('Material routes'!$H$6:$H$1005,MATCH(U133,'Material routes'!$A$6:$A$1005,0)),"MISSING ID")</x:f>
        <x:v>Processed material</x:v>
      </x:c>
      <x:c r="D133" s="4" t="str">
        <x:f>IFERROR(INDEX('Material routes'!$G$6:$G$1005,MATCH(U133,'Material routes'!$A$6:$A$1005,0)),"MISSING ID")</x:f>
        <x:v>Resources</x:v>
      </x:c>
      <x:c r="E133" s="4" t="str">
        <x:f>IFERROR(INDEX('Material routes'!$C$6:$C$1005,MATCH(U133,'Material routes'!$A$6:$A$1005,0)),"MISSING ID")</x:f>
        <x:v>Ingredient candidate</x:v>
      </x:c>
      <x:c r="F133" s="4" t="str">
        <x:f>IFERROR(INDEX('Material routes'!$E$6:$E$1005,MATCH(V133,'Material routes'!$A$6:$A$1005,0)),"MISSING ID")</x:f>
        <x:v>Steel-faced shell composite</x:v>
      </x:c>
      <x:c r="G133" s="4" t="str">
        <x:f>IFERROR(INDEX('Material routes'!$F$6:$F$1005,MATCH(V133,'Material routes'!$A$6:$A$1005,0)),"MISSING ID")</x:f>
        <x:v>T3</x:v>
      </x:c>
      <x:c r="H133" s="4" t="str">
        <x:f>IFERROR(INDEX('Material routes'!$H$6:$H$1005,MATCH(V133,'Material routes'!$A$6:$A$1005,0)),"MISSING ID")</x:f>
        <x:v>Processed material</x:v>
      </x:c>
      <x:c r="I133" s="4" t="str">
        <x:f>IFERROR(INDEX('Material routes'!$G$6:$G$1005,MATCH(V133,'Material routes'!$A$6:$A$1005,0)),"MISSING ID")</x:f>
        <x:v>Resources</x:v>
      </x:c>
      <x:c r="J133" s="4" t="str">
        <x:f>IFERROR(INDEX('Material routes'!$B$6:$B$1005,MATCH(U133,'Material routes'!$A$6:$A$1005,0)),"MISSING ID")</x:f>
        <x:v>design.branch.branch.steel_shell</x:v>
      </x:c>
      <x:c r="K133" s="4" t="str">
        <x:f>IFERROR(INDEX('Crafting recipes'!$C$6:$C$1005,MATCH(J133,'Crafting recipes'!$A$6:$A$1005,0)),"MISSING ID")</x:f>
        <x:v>Material refinement</x:v>
      </x:c>
      <x:c r="L133" s="4" t="str">
        <x:f>IFERROR(INDEX('Material routes'!$K$6:$K$1005,MATCH(U133,'Material routes'!$A$6:$A$1005,0)),"MISSING ID")</x:f>
        <x:v>Proposal</x:v>
      </x:c>
      <x:c r="M133" s="4" t="str">
        <x:f>IFERROR(INDEX('Material routes'!$M$6:$M$1005,MATCH(U133,'Material routes'!$A$6:$A$1005,0)),"MISSING ID")</x:f>
        <x:v>Partial proposal</x:v>
      </x:c>
      <x:c r="N133" s="4" t="str">
        <x:f>IF(IFERROR(INDEX('Material routes'!$I$6:$I$1005,MATCH(U133,'Material routes'!$A$6:$A$1005,0)),"MISSING ID")=0,"",IFERROR(INDEX('Material routes'!$I$6:$I$1005,MATCH(U133,'Material routes'!$A$6:$A$1005,0)),"MISSING ID"))</x:f>
      </x:c>
      <x:c r="O133" s="4" t="str">
        <x:f>IFERROR(INDEX('Material routes'!$J$6:$J$1005,MATCH(U133,'Material routes'!$A$6:$A$1005,0)),"MISSING ID")</x:f>
        <x:v>Unspecified</x:v>
      </x:c>
      <x:c r="P133" s="4" t="str">
        <x:f>IF(IFERROR(INDEX('Material routes'!$I$6:$I$1005,MATCH(V133,'Material routes'!$A$6:$A$1005,0)),"MISSING ID")=0,"",IFERROR(INDEX('Material routes'!$I$6:$I$1005,MATCH(V133,'Material routes'!$A$6:$A$1005,0)),"MISSING ID"))</x:f>
      </x:c>
      <x:c r="Q133" s="4" t="str">
        <x:f>IFERROR(INDEX('Material routes'!$J$6:$J$1005,MATCH(V133,'Material routes'!$A$6:$A$1005,0)),"MISSING ID")</x:f>
        <x:v>Unspecified</x:v>
      </x:c>
      <x:c r="R133" s="4" t="str">
        <x:f>IF(L133="Withheld","Withheld premise",IF(E133="Tool candidate","Reusable prerequisite",IF(K133="Raw entry preparation","Entry-resource preparation",IF(G133="Not applicable","Finished endpoint",IF(OR(IFERROR(INDEX('Crafting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routes'!$D$6:$D$1005,MATCH(U133,'Material routes'!$A$6:$A$1005,0)),"MISSING ID")</x:f>
        <x:v>author.metallurgy.steel_stock</x:v>
      </x:c>
      <x:c r="T133" s="4" t="str">
        <x:f>IFERROR(INDEX('Material routes'!$D$6:$D$1005,MATCH(V133,'Material routes'!$A$6:$A$1005,0)),"MISSING ID")</x:f>
        <x:v>proposal.branch.steel_shell</x:v>
      </x:c>
      <x:c r="U133" s="4" t="str">
        <x:v>design.branch.branch.steel_shell.in.1</x:v>
      </x:c>
      <x:c r="V133" s="4" t="str">
        <x:v>design.branch.branch.steel_shell.out</x:v>
      </x:c>
    </x:row>
    <x:row r="134" ht="105" customHeight="1">
      <x:c r="A134" s="4" t="str">
        <x:f>IFERROR(INDEX('Material routes'!$E$6:$E$1005,MATCH(U134,'Material routes'!$A$6:$A$1005,0)),"MISSING ID")</x:f>
        <x:v>Shell laminate</x:v>
      </x:c>
      <x:c r="B134" s="4" t="str">
        <x:f>IFERROR(INDEX('Material routes'!$F$6:$F$1005,MATCH(U134,'Material routes'!$A$6:$A$1005,0)),"MISSING ID")</x:f>
        <x:v>T2</x:v>
      </x:c>
      <x:c r="C134" s="4" t="str">
        <x:f>IFERROR(INDEX('Material routes'!$H$6:$H$1005,MATCH(U134,'Material routes'!$A$6:$A$1005,0)),"MISSING ID")</x:f>
        <x:v>Crafting component</x:v>
      </x:c>
      <x:c r="D134" s="4" t="str">
        <x:f>IFERROR(INDEX('Material routes'!$G$6:$G$1005,MATCH(U134,'Material routes'!$A$6:$A$1005,0)),"MISSING ID")</x:f>
        <x:v>Crafting components</x:v>
      </x:c>
      <x:c r="E134" s="4" t="str">
        <x:f>IFERROR(INDEX('Material routes'!$C$6:$C$1005,MATCH(U134,'Material routes'!$A$6:$A$1005,0)),"MISSING ID")</x:f>
        <x:v>Ingredient candidate</x:v>
      </x:c>
      <x:c r="F134" s="4" t="str">
        <x:f>IFERROR(INDEX('Material routes'!$E$6:$E$1005,MATCH(V134,'Material routes'!$A$6:$A$1005,0)),"MISSING ID")</x:f>
        <x:v>Steel-faced shell composite</x:v>
      </x:c>
      <x:c r="G134" s="4" t="str">
        <x:f>IFERROR(INDEX('Material routes'!$F$6:$F$1005,MATCH(V134,'Material routes'!$A$6:$A$1005,0)),"MISSING ID")</x:f>
        <x:v>T3</x:v>
      </x:c>
      <x:c r="H134" s="4" t="str">
        <x:f>IFERROR(INDEX('Material routes'!$H$6:$H$1005,MATCH(V134,'Material routes'!$A$6:$A$1005,0)),"MISSING ID")</x:f>
        <x:v>Processed material</x:v>
      </x:c>
      <x:c r="I134" s="4" t="str">
        <x:f>IFERROR(INDEX('Material routes'!$G$6:$G$1005,MATCH(V134,'Material routes'!$A$6:$A$1005,0)),"MISSING ID")</x:f>
        <x:v>Resources</x:v>
      </x:c>
      <x:c r="J134" s="4" t="str">
        <x:f>IFERROR(INDEX('Material routes'!$B$6:$B$1005,MATCH(U134,'Material routes'!$A$6:$A$1005,0)),"MISSING ID")</x:f>
        <x:v>design.branch.branch.steel_shell</x:v>
      </x:c>
      <x:c r="K134" s="4" t="str">
        <x:f>IFERROR(INDEX('Crafting recipes'!$C$6:$C$1005,MATCH(J134,'Crafting recipes'!$A$6:$A$1005,0)),"MISSING ID")</x:f>
        <x:v>Material refinement</x:v>
      </x:c>
      <x:c r="L134" s="4" t="str">
        <x:f>IFERROR(INDEX('Material routes'!$K$6:$K$1005,MATCH(U134,'Material routes'!$A$6:$A$1005,0)),"MISSING ID")</x:f>
        <x:v>Proposal</x:v>
      </x:c>
      <x:c r="M134" s="4" t="str">
        <x:f>IFERROR(INDEX('Material routes'!$M$6:$M$1005,MATCH(U134,'Material routes'!$A$6:$A$1005,0)),"MISSING ID")</x:f>
        <x:v>Partial proposal</x:v>
      </x:c>
      <x:c r="N134" s="4" t="str">
        <x:f>IF(IFERROR(INDEX('Material routes'!$I$6:$I$1005,MATCH(U134,'Material routes'!$A$6:$A$1005,0)),"MISSING ID")=0,"",IFERROR(INDEX('Material routes'!$I$6:$I$1005,MATCH(U134,'Material routes'!$A$6:$A$1005,0)),"MISSING ID"))</x:f>
      </x:c>
      <x:c r="O134" s="4" t="str">
        <x:f>IFERROR(INDEX('Material routes'!$J$6:$J$1005,MATCH(U134,'Material routes'!$A$6:$A$1005,0)),"MISSING ID")</x:f>
        <x:v>Unspecified</x:v>
      </x:c>
      <x:c r="P134" s="4" t="str">
        <x:f>IF(IFERROR(INDEX('Material routes'!$I$6:$I$1005,MATCH(V134,'Material routes'!$A$6:$A$1005,0)),"MISSING ID")=0,"",IFERROR(INDEX('Material routes'!$I$6:$I$1005,MATCH(V134,'Material routes'!$A$6:$A$1005,0)),"MISSING ID"))</x:f>
      </x:c>
      <x:c r="Q134" s="4" t="str">
        <x:f>IFERROR(INDEX('Material routes'!$J$6:$J$1005,MATCH(V134,'Material routes'!$A$6:$A$1005,0)),"MISSING ID")</x:f>
        <x:v>Unspecified</x:v>
      </x:c>
      <x:c r="R134" s="4" t="str">
        <x:f>IF(L134="Withheld","Withheld premise",IF(E134="Tool candidate","Reusable prerequisite",IF(K134="Raw entry preparation","Entry-resource preparation",IF(G134="Not applicable","Finished endpoint",IF(OR(IFERROR(INDEX('Crafting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routes'!$D$6:$D$1005,MATCH(U134,'Material routes'!$A$6:$A$1005,0)),"MISSING ID")</x:f>
        <x:v>proposal.bio.laminate</x:v>
      </x:c>
      <x:c r="T134" s="4" t="str">
        <x:f>IFERROR(INDEX('Material routes'!$D$6:$D$1005,MATCH(V134,'Material routes'!$A$6:$A$1005,0)),"MISSING ID")</x:f>
        <x:v>proposal.branch.steel_shell</x:v>
      </x:c>
      <x:c r="U134" s="4" t="str">
        <x:v>design.branch.branch.steel_shell.in.2</x:v>
      </x:c>
      <x:c r="V134" s="4" t="str">
        <x:v>design.branch.branch.steel_shell.out</x:v>
      </x:c>
    </x:row>
    <x:row r="135" ht="105" customHeight="1">
      <x:c r="A135" s="4" t="str">
        <x:f>IFERROR(INDEX('Material routes'!$E$6:$E$1005,MATCH(U135,'Material routes'!$A$6:$A$1005,0)),"MISSING ID")</x:f>
        <x:v>Filled shell-binding compound</x:v>
      </x:c>
      <x:c r="B135" s="4" t="str">
        <x:f>IFERROR(INDEX('Material routes'!$F$6:$F$1005,MATCH(U135,'Material routes'!$A$6:$A$1005,0)),"MISSING ID")</x:f>
        <x:v>T2</x:v>
      </x:c>
      <x:c r="C135" s="4" t="str">
        <x:f>IFERROR(INDEX('Material routes'!$H$6:$H$1005,MATCH(U135,'Material routes'!$A$6:$A$1005,0)),"MISSING ID")</x:f>
        <x:v>Chemical material</x:v>
      </x:c>
      <x:c r="D135" s="4" t="str">
        <x:f>IFERROR(INDEX('Material routes'!$G$6:$G$1005,MATCH(U135,'Material routes'!$A$6:$A$1005,0)),"MISSING ID")</x:f>
        <x:v>Resources</x:v>
      </x:c>
      <x:c r="E135" s="4" t="str">
        <x:f>IFERROR(INDEX('Material routes'!$C$6:$C$1005,MATCH(U135,'Material routes'!$A$6:$A$1005,0)),"MISSING ID")</x:f>
        <x:v>Ingredient candidate</x:v>
      </x:c>
      <x:c r="F135" s="4" t="str">
        <x:f>IFERROR(INDEX('Material routes'!$E$6:$E$1005,MATCH(V135,'Material routes'!$A$6:$A$1005,0)),"MISSING ID")</x:f>
        <x:v>Steel-faced shell composite</x:v>
      </x:c>
      <x:c r="G135" s="4" t="str">
        <x:f>IFERROR(INDEX('Material routes'!$F$6:$F$1005,MATCH(V135,'Material routes'!$A$6:$A$1005,0)),"MISSING ID")</x:f>
        <x:v>T3</x:v>
      </x:c>
      <x:c r="H135" s="4" t="str">
        <x:f>IFERROR(INDEX('Material routes'!$H$6:$H$1005,MATCH(V135,'Material routes'!$A$6:$A$1005,0)),"MISSING ID")</x:f>
        <x:v>Processed material</x:v>
      </x:c>
      <x:c r="I135" s="4" t="str">
        <x:f>IFERROR(INDEX('Material routes'!$G$6:$G$1005,MATCH(V135,'Material routes'!$A$6:$A$1005,0)),"MISSING ID")</x:f>
        <x:v>Resources</x:v>
      </x:c>
      <x:c r="J135" s="4" t="str">
        <x:f>IFERROR(INDEX('Material routes'!$B$6:$B$1005,MATCH(U135,'Material routes'!$A$6:$A$1005,0)),"MISSING ID")</x:f>
        <x:v>design.branch.branch.steel_shell</x:v>
      </x:c>
      <x:c r="K135" s="4" t="str">
        <x:f>IFERROR(INDEX('Crafting recipes'!$C$6:$C$1005,MATCH(J135,'Crafting recipes'!$A$6:$A$1005,0)),"MISSING ID")</x:f>
        <x:v>Material refinement</x:v>
      </x:c>
      <x:c r="L135" s="4" t="str">
        <x:f>IFERROR(INDEX('Material routes'!$K$6:$K$1005,MATCH(U135,'Material routes'!$A$6:$A$1005,0)),"MISSING ID")</x:f>
        <x:v>Proposal</x:v>
      </x:c>
      <x:c r="M135" s="4" t="str">
        <x:f>IFERROR(INDEX('Material routes'!$M$6:$M$1005,MATCH(U135,'Material routes'!$A$6:$A$1005,0)),"MISSING ID")</x:f>
        <x:v>Partial proposal</x:v>
      </x:c>
      <x:c r="N135" s="4" t="str">
        <x:f>IF(IFERROR(INDEX('Material routes'!$I$6:$I$1005,MATCH(U135,'Material routes'!$A$6:$A$1005,0)),"MISSING ID")=0,"",IFERROR(INDEX('Material routes'!$I$6:$I$1005,MATCH(U135,'Material routes'!$A$6:$A$1005,0)),"MISSING ID"))</x:f>
      </x:c>
      <x:c r="O135" s="4" t="str">
        <x:f>IFERROR(INDEX('Material routes'!$J$6:$J$1005,MATCH(U135,'Material routes'!$A$6:$A$1005,0)),"MISSING ID")</x:f>
        <x:v>Unspecified</x:v>
      </x:c>
      <x:c r="P135" s="4" t="str">
        <x:f>IF(IFERROR(INDEX('Material routes'!$I$6:$I$1005,MATCH(V135,'Material routes'!$A$6:$A$1005,0)),"MISSING ID")=0,"",IFERROR(INDEX('Material routes'!$I$6:$I$1005,MATCH(V135,'Material routes'!$A$6:$A$1005,0)),"MISSING ID"))</x:f>
      </x:c>
      <x:c r="Q135" s="4" t="str">
        <x:f>IFERROR(INDEX('Material routes'!$J$6:$J$1005,MATCH(V135,'Material routes'!$A$6:$A$1005,0)),"MISSING ID")</x:f>
        <x:v>Unspecified</x:v>
      </x:c>
      <x:c r="R135" s="4" t="str">
        <x:f>IF(L135="Withheld","Withheld premise",IF(E135="Tool candidate","Reusable prerequisite",IF(K135="Raw entry preparation","Entry-resource preparation",IF(G135="Not applicable","Finished endpoint",IF(OR(IFERROR(INDEX('Crafting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routes'!$D$6:$D$1005,MATCH(U135,'Material routes'!$A$6:$A$1005,0)),"MISSING ID")</x:f>
        <x:v>proposal.branch.filled_binder</x:v>
      </x:c>
      <x:c r="T135" s="4" t="str">
        <x:f>IFERROR(INDEX('Material routes'!$D$6:$D$1005,MATCH(V135,'Material routes'!$A$6:$A$1005,0)),"MISSING ID")</x:f>
        <x:v>proposal.branch.steel_shell</x:v>
      </x:c>
      <x:c r="U135" s="4" t="str">
        <x:v>design.branch.branch.steel_shell.in.3</x:v>
      </x:c>
      <x:c r="V135" s="4" t="str">
        <x:v>design.branch.branch.steel_shell.out</x:v>
      </x:c>
    </x:row>
    <x:row r="136" ht="105" customHeight="1">
      <x:c r="A136" s="4" t="str">
        <x:f>IFERROR(INDEX('Material routes'!$E$6:$E$1005,MATCH(U136,'Material routes'!$A$6:$A$1005,0)),"MISSING ID")</x:f>
        <x:v>Steel stock</x:v>
      </x:c>
      <x:c r="B136" s="4" t="str">
        <x:f>IFERROR(INDEX('Material routes'!$F$6:$F$1005,MATCH(U136,'Material routes'!$A$6:$A$1005,0)),"MISSING ID")</x:f>
        <x:v>T2</x:v>
      </x:c>
      <x:c r="C136" s="4" t="str">
        <x:f>IFERROR(INDEX('Material routes'!$H$6:$H$1005,MATCH(U136,'Material routes'!$A$6:$A$1005,0)),"MISSING ID")</x:f>
        <x:v>Processed material</x:v>
      </x:c>
      <x:c r="D136" s="4" t="str">
        <x:f>IFERROR(INDEX('Material routes'!$G$6:$G$1005,MATCH(U136,'Material routes'!$A$6:$A$1005,0)),"MISSING ID")</x:f>
        <x:v>Resources</x:v>
      </x:c>
      <x:c r="E136" s="4" t="str">
        <x:f>IFERROR(INDEX('Material routes'!$C$6:$C$1005,MATCH(U136,'Material routes'!$A$6:$A$1005,0)),"MISSING ID")</x:f>
        <x:v>Ingredient candidate</x:v>
      </x:c>
      <x:c r="F136" s="4" t="str">
        <x:f>IFERROR(INDEX('Material routes'!$E$6:$E$1005,MATCH(V136,'Material routes'!$A$6:$A$1005,0)),"MISSING ID")</x:f>
        <x:v>Spring-grade steel stock</x:v>
      </x:c>
      <x:c r="G136" s="4" t="str">
        <x:f>IFERROR(INDEX('Material routes'!$F$6:$F$1005,MATCH(V136,'Material routes'!$A$6:$A$1005,0)),"MISSING ID")</x:f>
        <x:v>T3</x:v>
      </x:c>
      <x:c r="H136" s="4" t="str">
        <x:f>IFERROR(INDEX('Material routes'!$H$6:$H$1005,MATCH(V136,'Material routes'!$A$6:$A$1005,0)),"MISSING ID")</x:f>
        <x:v>Processed material</x:v>
      </x:c>
      <x:c r="I136" s="4" t="str">
        <x:f>IFERROR(INDEX('Material routes'!$G$6:$G$1005,MATCH(V136,'Material routes'!$A$6:$A$1005,0)),"MISSING ID")</x:f>
        <x:v>Resources</x:v>
      </x:c>
      <x:c r="J136" s="4" t="str">
        <x:f>IFERROR(INDEX('Material routes'!$B$6:$B$1005,MATCH(U136,'Material routes'!$A$6:$A$1005,0)),"MISSING ID")</x:f>
        <x:v>design.branch.branch.spring_steel</x:v>
      </x:c>
      <x:c r="K136" s="4" t="str">
        <x:f>IFERROR(INDEX('Crafting recipes'!$C$6:$C$1005,MATCH(J136,'Crafting recipes'!$A$6:$A$1005,0)),"MISSING ID")</x:f>
        <x:v>Material refinement</x:v>
      </x:c>
      <x:c r="L136" s="4" t="str">
        <x:f>IFERROR(INDEX('Material routes'!$K$6:$K$1005,MATCH(U136,'Material routes'!$A$6:$A$1005,0)),"MISSING ID")</x:f>
        <x:v>Proposal</x:v>
      </x:c>
      <x:c r="M136" s="4" t="str">
        <x:f>IFERROR(INDEX('Material routes'!$M$6:$M$1005,MATCH(U136,'Material routes'!$A$6:$A$1005,0)),"MISSING ID")</x:f>
        <x:v>Partial proposal</x:v>
      </x:c>
      <x:c r="N136" s="4" t="str">
        <x:f>IF(IFERROR(INDEX('Material routes'!$I$6:$I$1005,MATCH(U136,'Material routes'!$A$6:$A$1005,0)),"MISSING ID")=0,"",IFERROR(INDEX('Material routes'!$I$6:$I$1005,MATCH(U136,'Material routes'!$A$6:$A$1005,0)),"MISSING ID"))</x:f>
      </x:c>
      <x:c r="O136" s="4" t="str">
        <x:f>IFERROR(INDEX('Material routes'!$J$6:$J$1005,MATCH(U136,'Material routes'!$A$6:$A$1005,0)),"MISSING ID")</x:f>
        <x:v>Unspecified</x:v>
      </x:c>
      <x:c r="P136" s="4" t="str">
        <x:f>IF(IFERROR(INDEX('Material routes'!$I$6:$I$1005,MATCH(V136,'Material routes'!$A$6:$A$1005,0)),"MISSING ID")=0,"",IFERROR(INDEX('Material routes'!$I$6:$I$1005,MATCH(V136,'Material routes'!$A$6:$A$1005,0)),"MISSING ID"))</x:f>
      </x:c>
      <x:c r="Q136" s="4" t="str">
        <x:f>IFERROR(INDEX('Material routes'!$J$6:$J$1005,MATCH(V136,'Material routes'!$A$6:$A$1005,0)),"MISSING ID")</x:f>
        <x:v>Unspecified</x:v>
      </x:c>
      <x:c r="R136" s="4" t="str">
        <x:f>IF(L136="Withheld","Withheld premise",IF(E136="Tool candidate","Reusable prerequisite",IF(K136="Raw entry preparation","Entry-resource preparation",IF(G136="Not applicable","Finished endpoint",IF(OR(IFERROR(INDEX('Crafting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routes'!$D$6:$D$1005,MATCH(U136,'Material routes'!$A$6:$A$1005,0)),"MISSING ID")</x:f>
        <x:v>author.metallurgy.steel_stock</x:v>
      </x:c>
      <x:c r="T136" s="4" t="str">
        <x:f>IFERROR(INDEX('Material routes'!$D$6:$D$1005,MATCH(V136,'Material routes'!$A$6:$A$1005,0)),"MISSING ID")</x:f>
        <x:v>proposal.branch.spring_steel</x:v>
      </x:c>
      <x:c r="U136" s="4" t="str">
        <x:v>design.branch.branch.spring_steel.in.1</x:v>
      </x:c>
      <x:c r="V136" s="4" t="str">
        <x:v>design.branch.branch.spring_steel.out</x:v>
      </x:c>
    </x:row>
    <x:row r="137" ht="105" customHeight="1">
      <x:c r="A137" s="4" t="str">
        <x:f>IFERROR(INDEX('Material routes'!$E$6:$E$1005,MATCH(U137,'Material routes'!$A$6:$A$1005,0)),"MISSING ID")</x:f>
        <x:v>Prepared manganese alloying stock</x:v>
      </x:c>
      <x:c r="B137" s="4" t="str">
        <x:f>IFERROR(INDEX('Material routes'!$F$6:$F$1005,MATCH(U137,'Material routes'!$A$6:$A$1005,0)),"MISSING ID")</x:f>
        <x:v>T2</x:v>
      </x:c>
      <x:c r="C137" s="4" t="str">
        <x:f>IFERROR(INDEX('Material routes'!$H$6:$H$1005,MATCH(U137,'Material routes'!$A$6:$A$1005,0)),"MISSING ID")</x:f>
        <x:v>Processed material</x:v>
      </x:c>
      <x:c r="D137" s="4" t="str">
        <x:f>IFERROR(INDEX('Material routes'!$G$6:$G$1005,MATCH(U137,'Material routes'!$A$6:$A$1005,0)),"MISSING ID")</x:f>
        <x:v>Resources</x:v>
      </x:c>
      <x:c r="E137" s="4" t="str">
        <x:f>IFERROR(INDEX('Material routes'!$C$6:$C$1005,MATCH(U137,'Material routes'!$A$6:$A$1005,0)),"MISSING ID")</x:f>
        <x:v>Ingredient candidate</x:v>
      </x:c>
      <x:c r="F137" s="4" t="str">
        <x:f>IFERROR(INDEX('Material routes'!$E$6:$E$1005,MATCH(V137,'Material routes'!$A$6:$A$1005,0)),"MISSING ID")</x:f>
        <x:v>Spring-grade steel stock</x:v>
      </x:c>
      <x:c r="G137" s="4" t="str">
        <x:f>IFERROR(INDEX('Material routes'!$F$6:$F$1005,MATCH(V137,'Material routes'!$A$6:$A$1005,0)),"MISSING ID")</x:f>
        <x:v>T3</x:v>
      </x:c>
      <x:c r="H137" s="4" t="str">
        <x:f>IFERROR(INDEX('Material routes'!$H$6:$H$1005,MATCH(V137,'Material routes'!$A$6:$A$1005,0)),"MISSING ID")</x:f>
        <x:v>Processed material</x:v>
      </x:c>
      <x:c r="I137" s="4" t="str">
        <x:f>IFERROR(INDEX('Material routes'!$G$6:$G$1005,MATCH(V137,'Material routes'!$A$6:$A$1005,0)),"MISSING ID")</x:f>
        <x:v>Resources</x:v>
      </x:c>
      <x:c r="J137" s="4" t="str">
        <x:f>IFERROR(INDEX('Material routes'!$B$6:$B$1005,MATCH(U137,'Material routes'!$A$6:$A$1005,0)),"MISSING ID")</x:f>
        <x:v>design.branch.branch.spring_steel</x:v>
      </x:c>
      <x:c r="K137" s="4" t="str">
        <x:f>IFERROR(INDEX('Crafting recipes'!$C$6:$C$1005,MATCH(J137,'Crafting recipes'!$A$6:$A$1005,0)),"MISSING ID")</x:f>
        <x:v>Material refinement</x:v>
      </x:c>
      <x:c r="L137" s="4" t="str">
        <x:f>IFERROR(INDEX('Material routes'!$K$6:$K$1005,MATCH(U137,'Material routes'!$A$6:$A$1005,0)),"MISSING ID")</x:f>
        <x:v>Proposal</x:v>
      </x:c>
      <x:c r="M137" s="4" t="str">
        <x:f>IFERROR(INDEX('Material routes'!$M$6:$M$1005,MATCH(U137,'Material routes'!$A$6:$A$1005,0)),"MISSING ID")</x:f>
        <x:v>Partial proposal</x:v>
      </x:c>
      <x:c r="N137" s="4" t="str">
        <x:f>IF(IFERROR(INDEX('Material routes'!$I$6:$I$1005,MATCH(U137,'Material routes'!$A$6:$A$1005,0)),"MISSING ID")=0,"",IFERROR(INDEX('Material routes'!$I$6:$I$1005,MATCH(U137,'Material routes'!$A$6:$A$1005,0)),"MISSING ID"))</x:f>
      </x:c>
      <x:c r="O137" s="4" t="str">
        <x:f>IFERROR(INDEX('Material routes'!$J$6:$J$1005,MATCH(U137,'Material routes'!$A$6:$A$1005,0)),"MISSING ID")</x:f>
        <x:v>Unspecified</x:v>
      </x:c>
      <x:c r="P137" s="4" t="str">
        <x:f>IF(IFERROR(INDEX('Material routes'!$I$6:$I$1005,MATCH(V137,'Material routes'!$A$6:$A$1005,0)),"MISSING ID")=0,"",IFERROR(INDEX('Material routes'!$I$6:$I$1005,MATCH(V137,'Material routes'!$A$6:$A$1005,0)),"MISSING ID"))</x:f>
      </x:c>
      <x:c r="Q137" s="4" t="str">
        <x:f>IFERROR(INDEX('Material routes'!$J$6:$J$1005,MATCH(V137,'Material routes'!$A$6:$A$1005,0)),"MISSING ID")</x:f>
        <x:v>Unspecified</x:v>
      </x:c>
      <x:c r="R137" s="4" t="str">
        <x:f>IF(L137="Withheld","Withheld premise",IF(E137="Tool candidate","Reusable prerequisite",IF(K137="Raw entry preparation","Entry-resource preparation",IF(G137="Not applicable","Finished endpoint",IF(OR(IFERROR(INDEX('Crafting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routes'!$D$6:$D$1005,MATCH(U137,'Material routes'!$A$6:$A$1005,0)),"MISSING ID")</x:f>
        <x:v>proposal.branch.alloy_addition</x:v>
      </x:c>
      <x:c r="T137" s="4" t="str">
        <x:f>IFERROR(INDEX('Material routes'!$D$6:$D$1005,MATCH(V137,'Material routes'!$A$6:$A$1005,0)),"MISSING ID")</x:f>
        <x:v>proposal.branch.spring_steel</x:v>
      </x:c>
      <x:c r="U137" s="4" t="str">
        <x:v>design.branch.branch.spring_steel.in.2</x:v>
      </x:c>
      <x:c r="V137" s="4" t="str">
        <x:v>design.branch.branch.spring_steel.out</x:v>
      </x:c>
    </x:row>
    <x:row r="138" ht="105" customHeight="1">
      <x:c r="A138" s="4" t="str">
        <x:f>IFERROR(INDEX('Material routes'!$E$6:$E$1005,MATCH(U138,'Material routes'!$A$6:$A$1005,0)),"MISSING ID")</x:f>
        <x:v>Prepared metallurgical flux</x:v>
      </x:c>
      <x:c r="B138" s="4" t="str">
        <x:f>IFERROR(INDEX('Material routes'!$F$6:$F$1005,MATCH(U138,'Material routes'!$A$6:$A$1005,0)),"MISSING ID")</x:f>
        <x:v>T1</x:v>
      </x:c>
      <x:c r="C138" s="4" t="str">
        <x:f>IFERROR(INDEX('Material routes'!$H$6:$H$1005,MATCH(U138,'Material routes'!$A$6:$A$1005,0)),"MISSING ID")</x:f>
        <x:v>Processed material</x:v>
      </x:c>
      <x:c r="D138" s="4" t="str">
        <x:f>IFERROR(INDEX('Material routes'!$G$6:$G$1005,MATCH(U138,'Material routes'!$A$6:$A$1005,0)),"MISSING ID")</x:f>
        <x:v>Resources</x:v>
      </x:c>
      <x:c r="E138" s="4" t="str">
        <x:f>IFERROR(INDEX('Material routes'!$C$6:$C$1005,MATCH(U138,'Material routes'!$A$6:$A$1005,0)),"MISSING ID")</x:f>
        <x:v>Ingredient candidate</x:v>
      </x:c>
      <x:c r="F138" s="4" t="str">
        <x:f>IFERROR(INDEX('Material routes'!$E$6:$E$1005,MATCH(V138,'Material routes'!$A$6:$A$1005,0)),"MISSING ID")</x:f>
        <x:v>Spring-grade steel stock</x:v>
      </x:c>
      <x:c r="G138" s="4" t="str">
        <x:f>IFERROR(INDEX('Material routes'!$F$6:$F$1005,MATCH(V138,'Material routes'!$A$6:$A$1005,0)),"MISSING ID")</x:f>
        <x:v>T3</x:v>
      </x:c>
      <x:c r="H138" s="4" t="str">
        <x:f>IFERROR(INDEX('Material routes'!$H$6:$H$1005,MATCH(V138,'Material routes'!$A$6:$A$1005,0)),"MISSING ID")</x:f>
        <x:v>Processed material</x:v>
      </x:c>
      <x:c r="I138" s="4" t="str">
        <x:f>IFERROR(INDEX('Material routes'!$G$6:$G$1005,MATCH(V138,'Material routes'!$A$6:$A$1005,0)),"MISSING ID")</x:f>
        <x:v>Resources</x:v>
      </x:c>
      <x:c r="J138" s="4" t="str">
        <x:f>IFERROR(INDEX('Material routes'!$B$6:$B$1005,MATCH(U138,'Material routes'!$A$6:$A$1005,0)),"MISSING ID")</x:f>
        <x:v>design.branch.branch.spring_steel</x:v>
      </x:c>
      <x:c r="K138" s="4" t="str">
        <x:f>IFERROR(INDEX('Crafting recipes'!$C$6:$C$1005,MATCH(J138,'Crafting recipes'!$A$6:$A$1005,0)),"MISSING ID")</x:f>
        <x:v>Material refinement</x:v>
      </x:c>
      <x:c r="L138" s="4" t="str">
        <x:f>IFERROR(INDEX('Material routes'!$K$6:$K$1005,MATCH(U138,'Material routes'!$A$6:$A$1005,0)),"MISSING ID")</x:f>
        <x:v>Proposal</x:v>
      </x:c>
      <x:c r="M138" s="4" t="str">
        <x:f>IFERROR(INDEX('Material routes'!$M$6:$M$1005,MATCH(U138,'Material routes'!$A$6:$A$1005,0)),"MISSING ID")</x:f>
        <x:v>Partial proposal</x:v>
      </x:c>
      <x:c r="N138" s="4" t="str">
        <x:f>IF(IFERROR(INDEX('Material routes'!$I$6:$I$1005,MATCH(U138,'Material routes'!$A$6:$A$1005,0)),"MISSING ID")=0,"",IFERROR(INDEX('Material routes'!$I$6:$I$1005,MATCH(U138,'Material routes'!$A$6:$A$1005,0)),"MISSING ID"))</x:f>
      </x:c>
      <x:c r="O138" s="4" t="str">
        <x:f>IFERROR(INDEX('Material routes'!$J$6:$J$1005,MATCH(U138,'Material routes'!$A$6:$A$1005,0)),"MISSING ID")</x:f>
        <x:v>Unspecified</x:v>
      </x:c>
      <x:c r="P138" s="4" t="str">
        <x:f>IF(IFERROR(INDEX('Material routes'!$I$6:$I$1005,MATCH(V138,'Material routes'!$A$6:$A$1005,0)),"MISSING ID")=0,"",IFERROR(INDEX('Material routes'!$I$6:$I$1005,MATCH(V138,'Material routes'!$A$6:$A$1005,0)),"MISSING ID"))</x:f>
      </x:c>
      <x:c r="Q138" s="4" t="str">
        <x:f>IFERROR(INDEX('Material routes'!$J$6:$J$1005,MATCH(V138,'Material routes'!$A$6:$A$1005,0)),"MISSING ID")</x:f>
        <x:v>Unspecified</x:v>
      </x:c>
      <x:c r="R138" s="4" t="str">
        <x:f>IF(L138="Withheld","Withheld premise",IF(E138="Tool candidate","Reusable prerequisite",IF(K138="Raw entry preparation","Entry-resource preparation",IF(G138="Not applicable","Finished endpoint",IF(OR(IFERROR(INDEX('Crafting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routes'!$D$6:$D$1005,MATCH(U138,'Material routes'!$A$6:$A$1005,0)),"MISSING ID")</x:f>
        <x:v>proposal.branch.flux</x:v>
      </x:c>
      <x:c r="T138" s="4" t="str">
        <x:f>IFERROR(INDEX('Material routes'!$D$6:$D$1005,MATCH(V138,'Material routes'!$A$6:$A$1005,0)),"MISSING ID")</x:f>
        <x:v>proposal.branch.spring_steel</x:v>
      </x:c>
      <x:c r="U138" s="4" t="str">
        <x:v>design.branch.branch.spring_steel.in.3</x:v>
      </x:c>
      <x:c r="V138" s="4" t="str">
        <x:v>design.branch.branch.spring_steel.out</x:v>
      </x:c>
    </x:row>
    <x:row r="139" ht="105" customHeight="1">
      <x:c r="A139" s="4" t="str">
        <x:f>IFERROR(INDEX('Material routes'!$E$6:$E$1005,MATCH(U139,'Material routes'!$A$6:$A$1005,0)),"MISSING ID")</x:f>
        <x:v>Drawn copper stock</x:v>
      </x:c>
      <x:c r="B139" s="4" t="str">
        <x:f>IFERROR(INDEX('Material routes'!$F$6:$F$1005,MATCH(U139,'Material routes'!$A$6:$A$1005,0)),"MISSING ID")</x:f>
        <x:v>T2</x:v>
      </x:c>
      <x:c r="C139" s="4" t="str">
        <x:f>IFERROR(INDEX('Material routes'!$H$6:$H$1005,MATCH(U139,'Material routes'!$A$6:$A$1005,0)),"MISSING ID")</x:f>
        <x:v>Processed material</x:v>
      </x:c>
      <x:c r="D139" s="4" t="str">
        <x:f>IFERROR(INDEX('Material routes'!$G$6:$G$1005,MATCH(U139,'Material routes'!$A$6:$A$1005,0)),"MISSING ID")</x:f>
        <x:v>Resources</x:v>
      </x:c>
      <x:c r="E139" s="4" t="str">
        <x:f>IFERROR(INDEX('Material routes'!$C$6:$C$1005,MATCH(U139,'Material routes'!$A$6:$A$1005,0)),"MISSING ID")</x:f>
        <x:v>Ingredient candidate</x:v>
      </x:c>
      <x:c r="F139" s="4" t="str">
        <x:f>IFERROR(INDEX('Material routes'!$E$6:$E$1005,MATCH(V139,'Material routes'!$A$6:$A$1005,0)),"MISSING ID")</x:f>
        <x:v>Insulated conductor stock</x:v>
      </x:c>
      <x:c r="G139" s="4" t="str">
        <x:f>IFERROR(INDEX('Material routes'!$F$6:$F$1005,MATCH(V139,'Material routes'!$A$6:$A$1005,0)),"MISSING ID")</x:f>
        <x:v>T3</x:v>
      </x:c>
      <x:c r="H139" s="4" t="str">
        <x:f>IFERROR(INDEX('Material routes'!$H$6:$H$1005,MATCH(V139,'Material routes'!$A$6:$A$1005,0)),"MISSING ID")</x:f>
        <x:v>Processed material</x:v>
      </x:c>
      <x:c r="I139" s="4" t="str">
        <x:f>IFERROR(INDEX('Material routes'!$G$6:$G$1005,MATCH(V139,'Material routes'!$A$6:$A$1005,0)),"MISSING ID")</x:f>
        <x:v>Resources</x:v>
      </x:c>
      <x:c r="J139" s="4" t="str">
        <x:f>IFERROR(INDEX('Material routes'!$B$6:$B$1005,MATCH(U139,'Material routes'!$A$6:$A$1005,0)),"MISSING ID")</x:f>
        <x:v>design.branch.branch.insulated_conductor</x:v>
      </x:c>
      <x:c r="K139" s="4" t="str">
        <x:f>IFERROR(INDEX('Crafting recipes'!$C$6:$C$1005,MATCH(J139,'Crafting recipes'!$A$6:$A$1005,0)),"MISSING ID")</x:f>
        <x:v>Material refinement</x:v>
      </x:c>
      <x:c r="L139" s="4" t="str">
        <x:f>IFERROR(INDEX('Material routes'!$K$6:$K$1005,MATCH(U139,'Material routes'!$A$6:$A$1005,0)),"MISSING ID")</x:f>
        <x:v>Proposal</x:v>
      </x:c>
      <x:c r="M139" s="4" t="str">
        <x:f>IFERROR(INDEX('Material routes'!$M$6:$M$1005,MATCH(U139,'Material routes'!$A$6:$A$1005,0)),"MISSING ID")</x:f>
        <x:v>Partial proposal</x:v>
      </x:c>
      <x:c r="N139" s="4" t="str">
        <x:f>IF(IFERROR(INDEX('Material routes'!$I$6:$I$1005,MATCH(U139,'Material routes'!$A$6:$A$1005,0)),"MISSING ID")=0,"",IFERROR(INDEX('Material routes'!$I$6:$I$1005,MATCH(U139,'Material routes'!$A$6:$A$1005,0)),"MISSING ID"))</x:f>
      </x:c>
      <x:c r="O139" s="4" t="str">
        <x:f>IFERROR(INDEX('Material routes'!$J$6:$J$1005,MATCH(U139,'Material routes'!$A$6:$A$1005,0)),"MISSING ID")</x:f>
        <x:v>Unspecified</x:v>
      </x:c>
      <x:c r="P139" s="4" t="str">
        <x:f>IF(IFERROR(INDEX('Material routes'!$I$6:$I$1005,MATCH(V139,'Material routes'!$A$6:$A$1005,0)),"MISSING ID")=0,"",IFERROR(INDEX('Material routes'!$I$6:$I$1005,MATCH(V139,'Material routes'!$A$6:$A$1005,0)),"MISSING ID"))</x:f>
      </x:c>
      <x:c r="Q139" s="4" t="str">
        <x:f>IFERROR(INDEX('Material routes'!$J$6:$J$1005,MATCH(V139,'Material routes'!$A$6:$A$1005,0)),"MISSING ID")</x:f>
        <x:v>Unspecified</x:v>
      </x:c>
      <x:c r="R139" s="4" t="str">
        <x:f>IF(L139="Withheld","Withheld premise",IF(E139="Tool candidate","Reusable prerequisite",IF(K139="Raw entry preparation","Entry-resource preparation",IF(G139="Not applicable","Finished endpoint",IF(OR(IFERROR(INDEX('Crafting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routes'!$D$6:$D$1005,MATCH(U139,'Material routes'!$A$6:$A$1005,0)),"MISSING ID")</x:f>
        <x:v>proposal.branch.drawn_copper</x:v>
      </x:c>
      <x:c r="T139" s="4" t="str">
        <x:f>IFERROR(INDEX('Material routes'!$D$6:$D$1005,MATCH(V139,'Material routes'!$A$6:$A$1005,0)),"MISSING ID")</x:f>
        <x:v>proposal.branch.insulated_conductor</x:v>
      </x:c>
      <x:c r="U139" s="4" t="str">
        <x:v>design.branch.branch.insulated_conductor.in.1</x:v>
      </x:c>
      <x:c r="V139" s="4" t="str">
        <x:v>design.branch.branch.insulated_conductor.out</x:v>
      </x:c>
    </x:row>
    <x:row r="140" ht="105" customHeight="1">
      <x:c r="A140" s="4" t="str">
        <x:f>IFERROR(INDEX('Material routes'!$E$6:$E$1005,MATCH(U140,'Material routes'!$A$6:$A$1005,0)),"MISSING ID")</x:f>
        <x:v>Mica composite sheet</x:v>
      </x:c>
      <x:c r="B140" s="4" t="str">
        <x:f>IFERROR(INDEX('Material routes'!$F$6:$F$1005,MATCH(U140,'Material routes'!$A$6:$A$1005,0)),"MISSING ID")</x:f>
        <x:v>T2</x:v>
      </x:c>
      <x:c r="C140" s="4" t="str">
        <x:f>IFERROR(INDEX('Material routes'!$H$6:$H$1005,MATCH(U140,'Material routes'!$A$6:$A$1005,0)),"MISSING ID")</x:f>
        <x:v>Processed material</x:v>
      </x:c>
      <x:c r="D140" s="4" t="str">
        <x:f>IFERROR(INDEX('Material routes'!$G$6:$G$1005,MATCH(U140,'Material routes'!$A$6:$A$1005,0)),"MISSING ID")</x:f>
        <x:v>Resources</x:v>
      </x:c>
      <x:c r="E140" s="4" t="str">
        <x:f>IFERROR(INDEX('Material routes'!$C$6:$C$1005,MATCH(U140,'Material routes'!$A$6:$A$1005,0)),"MISSING ID")</x:f>
        <x:v>Ingredient candidate</x:v>
      </x:c>
      <x:c r="F140" s="4" t="str">
        <x:f>IFERROR(INDEX('Material routes'!$E$6:$E$1005,MATCH(V140,'Material routes'!$A$6:$A$1005,0)),"MISSING ID")</x:f>
        <x:v>Insulated conductor stock</x:v>
      </x:c>
      <x:c r="G140" s="4" t="str">
        <x:f>IFERROR(INDEX('Material routes'!$F$6:$F$1005,MATCH(V140,'Material routes'!$A$6:$A$1005,0)),"MISSING ID")</x:f>
        <x:v>T3</x:v>
      </x:c>
      <x:c r="H140" s="4" t="str">
        <x:f>IFERROR(INDEX('Material routes'!$H$6:$H$1005,MATCH(V140,'Material routes'!$A$6:$A$1005,0)),"MISSING ID")</x:f>
        <x:v>Processed material</x:v>
      </x:c>
      <x:c r="I140" s="4" t="str">
        <x:f>IFERROR(INDEX('Material routes'!$G$6:$G$1005,MATCH(V140,'Material routes'!$A$6:$A$1005,0)),"MISSING ID")</x:f>
        <x:v>Resources</x:v>
      </x:c>
      <x:c r="J140" s="4" t="str">
        <x:f>IFERROR(INDEX('Material routes'!$B$6:$B$1005,MATCH(U140,'Material routes'!$A$6:$A$1005,0)),"MISSING ID")</x:f>
        <x:v>design.branch.branch.insulated_conductor</x:v>
      </x:c>
      <x:c r="K140" s="4" t="str">
        <x:f>IFERROR(INDEX('Crafting recipes'!$C$6:$C$1005,MATCH(J140,'Crafting recipes'!$A$6:$A$1005,0)),"MISSING ID")</x:f>
        <x:v>Material refinement</x:v>
      </x:c>
      <x:c r="L140" s="4" t="str">
        <x:f>IFERROR(INDEX('Material routes'!$K$6:$K$1005,MATCH(U140,'Material routes'!$A$6:$A$1005,0)),"MISSING ID")</x:f>
        <x:v>Proposal</x:v>
      </x:c>
      <x:c r="M140" s="4" t="str">
        <x:f>IFERROR(INDEX('Material routes'!$M$6:$M$1005,MATCH(U140,'Material routes'!$A$6:$A$1005,0)),"MISSING ID")</x:f>
        <x:v>Partial proposal</x:v>
      </x:c>
      <x:c r="N140" s="4" t="str">
        <x:f>IF(IFERROR(INDEX('Material routes'!$I$6:$I$1005,MATCH(U140,'Material routes'!$A$6:$A$1005,0)),"MISSING ID")=0,"",IFERROR(INDEX('Material routes'!$I$6:$I$1005,MATCH(U140,'Material routes'!$A$6:$A$1005,0)),"MISSING ID"))</x:f>
      </x:c>
      <x:c r="O140" s="4" t="str">
        <x:f>IFERROR(INDEX('Material routes'!$J$6:$J$1005,MATCH(U140,'Material routes'!$A$6:$A$1005,0)),"MISSING ID")</x:f>
        <x:v>Unspecified</x:v>
      </x:c>
      <x:c r="P140" s="4" t="str">
        <x:f>IF(IFERROR(INDEX('Material routes'!$I$6:$I$1005,MATCH(V140,'Material routes'!$A$6:$A$1005,0)),"MISSING ID")=0,"",IFERROR(INDEX('Material routes'!$I$6:$I$1005,MATCH(V140,'Material routes'!$A$6:$A$1005,0)),"MISSING ID"))</x:f>
      </x:c>
      <x:c r="Q140" s="4" t="str">
        <x:f>IFERROR(INDEX('Material routes'!$J$6:$J$1005,MATCH(V140,'Material routes'!$A$6:$A$1005,0)),"MISSING ID")</x:f>
        <x:v>Unspecified</x:v>
      </x:c>
      <x:c r="R140" s="4" t="str">
        <x:f>IF(L140="Withheld","Withheld premise",IF(E140="Tool candidate","Reusable prerequisite",IF(K140="Raw entry preparation","Entry-resource preparation",IF(G140="Not applicable","Finished endpoint",IF(OR(IFERROR(INDEX('Crafting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routes'!$D$6:$D$1005,MATCH(U140,'Material routes'!$A$6:$A$1005,0)),"MISSING ID")</x:f>
        <x:v>proposal.branch.mica_sheet</x:v>
      </x:c>
      <x:c r="T140" s="4" t="str">
        <x:f>IFERROR(INDEX('Material routes'!$D$6:$D$1005,MATCH(V140,'Material routes'!$A$6:$A$1005,0)),"MISSING ID")</x:f>
        <x:v>proposal.branch.insulated_conductor</x:v>
      </x:c>
      <x:c r="U140" s="4" t="str">
        <x:v>design.branch.branch.insulated_conductor.in.2</x:v>
      </x:c>
      <x:c r="V140" s="4" t="str">
        <x:v>design.branch.branch.insulated_conductor.out</x:v>
      </x:c>
    </x:row>
    <x:row r="141" ht="105" customHeight="1">
      <x:c r="A141" s="4" t="str">
        <x:f>IFERROR(INDEX('Material routes'!$E$6:$E$1005,MATCH(U141,'Material routes'!$A$6:$A$1005,0)),"MISSING ID")</x:f>
        <x:v>Flexible membrane-bonding compound</x:v>
      </x:c>
      <x:c r="B141" s="4" t="str">
        <x:f>IFERROR(INDEX('Material routes'!$F$6:$F$1005,MATCH(U141,'Material routes'!$A$6:$A$1005,0)),"MISSING ID")</x:f>
        <x:v>T2</x:v>
      </x:c>
      <x:c r="C141" s="4" t="str">
        <x:f>IFERROR(INDEX('Material routes'!$H$6:$H$1005,MATCH(U141,'Material routes'!$A$6:$A$1005,0)),"MISSING ID")</x:f>
        <x:v>Chemical material</x:v>
      </x:c>
      <x:c r="D141" s="4" t="str">
        <x:f>IFERROR(INDEX('Material routes'!$G$6:$G$1005,MATCH(U141,'Material routes'!$A$6:$A$1005,0)),"MISSING ID")</x:f>
        <x:v>Resources</x:v>
      </x:c>
      <x:c r="E141" s="4" t="str">
        <x:f>IFERROR(INDEX('Material routes'!$C$6:$C$1005,MATCH(U141,'Material routes'!$A$6:$A$1005,0)),"MISSING ID")</x:f>
        <x:v>Ingredient candidate</x:v>
      </x:c>
      <x:c r="F141" s="4" t="str">
        <x:f>IFERROR(INDEX('Material routes'!$E$6:$E$1005,MATCH(V141,'Material routes'!$A$6:$A$1005,0)),"MISSING ID")</x:f>
        <x:v>Insulated conductor stock</x:v>
      </x:c>
      <x:c r="G141" s="4" t="str">
        <x:f>IFERROR(INDEX('Material routes'!$F$6:$F$1005,MATCH(V141,'Material routes'!$A$6:$A$1005,0)),"MISSING ID")</x:f>
        <x:v>T3</x:v>
      </x:c>
      <x:c r="H141" s="4" t="str">
        <x:f>IFERROR(INDEX('Material routes'!$H$6:$H$1005,MATCH(V141,'Material routes'!$A$6:$A$1005,0)),"MISSING ID")</x:f>
        <x:v>Processed material</x:v>
      </x:c>
      <x:c r="I141" s="4" t="str">
        <x:f>IFERROR(INDEX('Material routes'!$G$6:$G$1005,MATCH(V141,'Material routes'!$A$6:$A$1005,0)),"MISSING ID")</x:f>
        <x:v>Resources</x:v>
      </x:c>
      <x:c r="J141" s="4" t="str">
        <x:f>IFERROR(INDEX('Material routes'!$B$6:$B$1005,MATCH(U141,'Material routes'!$A$6:$A$1005,0)),"MISSING ID")</x:f>
        <x:v>design.branch.branch.insulated_conductor</x:v>
      </x:c>
      <x:c r="K141" s="4" t="str">
        <x:f>IFERROR(INDEX('Crafting recipes'!$C$6:$C$1005,MATCH(J141,'Crafting recipes'!$A$6:$A$1005,0)),"MISSING ID")</x:f>
        <x:v>Material refinement</x:v>
      </x:c>
      <x:c r="L141" s="4" t="str">
        <x:f>IFERROR(INDEX('Material routes'!$K$6:$K$1005,MATCH(U141,'Material routes'!$A$6:$A$1005,0)),"MISSING ID")</x:f>
        <x:v>Proposal</x:v>
      </x:c>
      <x:c r="M141" s="4" t="str">
        <x:f>IFERROR(INDEX('Material routes'!$M$6:$M$1005,MATCH(U141,'Material routes'!$A$6:$A$1005,0)),"MISSING ID")</x:f>
        <x:v>Partial proposal</x:v>
      </x:c>
      <x:c r="N141" s="4" t="str">
        <x:f>IF(IFERROR(INDEX('Material routes'!$I$6:$I$1005,MATCH(U141,'Material routes'!$A$6:$A$1005,0)),"MISSING ID")=0,"",IFERROR(INDEX('Material routes'!$I$6:$I$1005,MATCH(U141,'Material routes'!$A$6:$A$1005,0)),"MISSING ID"))</x:f>
      </x:c>
      <x:c r="O141" s="4" t="str">
        <x:f>IFERROR(INDEX('Material routes'!$J$6:$J$1005,MATCH(U141,'Material routes'!$A$6:$A$1005,0)),"MISSING ID")</x:f>
        <x:v>Unspecified</x:v>
      </x:c>
      <x:c r="P141" s="4" t="str">
        <x:f>IF(IFERROR(INDEX('Material routes'!$I$6:$I$1005,MATCH(V141,'Material routes'!$A$6:$A$1005,0)),"MISSING ID")=0,"",IFERROR(INDEX('Material routes'!$I$6:$I$1005,MATCH(V141,'Material routes'!$A$6:$A$1005,0)),"MISSING ID"))</x:f>
      </x:c>
      <x:c r="Q141" s="4" t="str">
        <x:f>IFERROR(INDEX('Material routes'!$J$6:$J$1005,MATCH(V141,'Material routes'!$A$6:$A$1005,0)),"MISSING ID")</x:f>
        <x:v>Unspecified</x:v>
      </x:c>
      <x:c r="R141" s="4" t="str">
        <x:f>IF(L141="Withheld","Withheld premise",IF(E141="Tool candidate","Reusable prerequisite",IF(K141="Raw entry preparation","Entry-resource preparation",IF(G141="Not applicable","Finished endpoint",IF(OR(IFERROR(INDEX('Crafting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routes'!$D$6:$D$1005,MATCH(U141,'Material routes'!$A$6:$A$1005,0)),"MISSING ID")</x:f>
        <x:v>proposal.branch.flex_bond</x:v>
      </x:c>
      <x:c r="T141" s="4" t="str">
        <x:f>IFERROR(INDEX('Material routes'!$D$6:$D$1005,MATCH(V141,'Material routes'!$A$6:$A$1005,0)),"MISSING ID")</x:f>
        <x:v>proposal.branch.insulated_conductor</x:v>
      </x:c>
      <x:c r="U141" s="4" t="str">
        <x:v>design.branch.branch.insulated_conductor.in.3</x:v>
      </x:c>
      <x:c r="V141" s="4" t="str">
        <x:v>design.branch.branch.insulated_conductor.out</x:v>
      </x:c>
    </x:row>
    <x:row r="142" ht="105" customHeight="1">
      <x:c r="A142" s="4" t="str">
        <x:f>IFERROR(INDEX('Material routes'!$E$6:$E$1005,MATCH(U142,'Material routes'!$A$6:$A$1005,0)),"MISSING ID")</x:f>
        <x:v>Insulating ceramic blanks</x:v>
      </x:c>
      <x:c r="B142" s="4" t="str">
        <x:f>IFERROR(INDEX('Material routes'!$F$6:$F$1005,MATCH(U142,'Material routes'!$A$6:$A$1005,0)),"MISSING ID")</x:f>
        <x:v>T2</x:v>
      </x:c>
      <x:c r="C142" s="4" t="str">
        <x:f>IFERROR(INDEX('Material routes'!$H$6:$H$1005,MATCH(U142,'Material routes'!$A$6:$A$1005,0)),"MISSING ID")</x:f>
        <x:v>Processed material</x:v>
      </x:c>
      <x:c r="D142" s="4" t="str">
        <x:f>IFERROR(INDEX('Material routes'!$G$6:$G$1005,MATCH(U142,'Material routes'!$A$6:$A$1005,0)),"MISSING ID")</x:f>
        <x:v>Resources</x:v>
      </x:c>
      <x:c r="E142" s="4" t="str">
        <x:f>IFERROR(INDEX('Material routes'!$C$6:$C$1005,MATCH(U142,'Material routes'!$A$6:$A$1005,0)),"MISSING ID")</x:f>
        <x:v>Ingredient candidate</x:v>
      </x:c>
      <x:c r="F142" s="4" t="str">
        <x:f>IFERROR(INDEX('Material routes'!$E$6:$E$1005,MATCH(V142,'Material routes'!$A$6:$A$1005,0)),"MISSING ID")</x:f>
        <x:v>Bonded ceramic-shell composite</x:v>
      </x:c>
      <x:c r="G142" s="4" t="str">
        <x:f>IFERROR(INDEX('Material routes'!$F$6:$F$1005,MATCH(V142,'Material routes'!$A$6:$A$1005,0)),"MISSING ID")</x:f>
        <x:v>T3</x:v>
      </x:c>
      <x:c r="H142" s="4" t="str">
        <x:f>IFERROR(INDEX('Material routes'!$H$6:$H$1005,MATCH(V142,'Material routes'!$A$6:$A$1005,0)),"MISSING ID")</x:f>
        <x:v>Processed material</x:v>
      </x:c>
      <x:c r="I142" s="4" t="str">
        <x:f>IFERROR(INDEX('Material routes'!$G$6:$G$1005,MATCH(V142,'Material routes'!$A$6:$A$1005,0)),"MISSING ID")</x:f>
        <x:v>Resources</x:v>
      </x:c>
      <x:c r="J142" s="4" t="str">
        <x:f>IFERROR(INDEX('Material routes'!$B$6:$B$1005,MATCH(U142,'Material routes'!$A$6:$A$1005,0)),"MISSING ID")</x:f>
        <x:v>design.branch.branch.ceramic_shell</x:v>
      </x:c>
      <x:c r="K142" s="4" t="str">
        <x:f>IFERROR(INDEX('Crafting recipes'!$C$6:$C$1005,MATCH(J142,'Crafting recipes'!$A$6:$A$1005,0)),"MISSING ID")</x:f>
        <x:v>Material refinement</x:v>
      </x:c>
      <x:c r="L142" s="4" t="str">
        <x:f>IFERROR(INDEX('Material routes'!$K$6:$K$1005,MATCH(U142,'Material routes'!$A$6:$A$1005,0)),"MISSING ID")</x:f>
        <x:v>Proposal</x:v>
      </x:c>
      <x:c r="M142" s="4" t="str">
        <x:f>IFERROR(INDEX('Material routes'!$M$6:$M$1005,MATCH(U142,'Material routes'!$A$6:$A$1005,0)),"MISSING ID")</x:f>
        <x:v>Partial proposal</x:v>
      </x:c>
      <x:c r="N142" s="4" t="str">
        <x:f>IF(IFERROR(INDEX('Material routes'!$I$6:$I$1005,MATCH(U142,'Material routes'!$A$6:$A$1005,0)),"MISSING ID")=0,"",IFERROR(INDEX('Material routes'!$I$6:$I$1005,MATCH(U142,'Material routes'!$A$6:$A$1005,0)),"MISSING ID"))</x:f>
      </x:c>
      <x:c r="O142" s="4" t="str">
        <x:f>IFERROR(INDEX('Material routes'!$J$6:$J$1005,MATCH(U142,'Material routes'!$A$6:$A$1005,0)),"MISSING ID")</x:f>
        <x:v>Unspecified</x:v>
      </x:c>
      <x:c r="P142" s="4" t="str">
        <x:f>IF(IFERROR(INDEX('Material routes'!$I$6:$I$1005,MATCH(V142,'Material routes'!$A$6:$A$1005,0)),"MISSING ID")=0,"",IFERROR(INDEX('Material routes'!$I$6:$I$1005,MATCH(V142,'Material routes'!$A$6:$A$1005,0)),"MISSING ID"))</x:f>
      </x:c>
      <x:c r="Q142" s="4" t="str">
        <x:f>IFERROR(INDEX('Material routes'!$J$6:$J$1005,MATCH(V142,'Material routes'!$A$6:$A$1005,0)),"MISSING ID")</x:f>
        <x:v>Unspecified</x:v>
      </x:c>
      <x:c r="R142" s="4" t="str">
        <x:f>IF(L142="Withheld","Withheld premise",IF(E142="Tool candidate","Reusable prerequisite",IF(K142="Raw entry preparation","Entry-resource preparation",IF(G142="Not applicable","Finished endpoint",IF(OR(IFERROR(INDEX('Crafting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routes'!$D$6:$D$1005,MATCH(U142,'Material routes'!$A$6:$A$1005,0)),"MISSING ID")</x:f>
        <x:v>proposal.natural.ceramic</x:v>
      </x:c>
      <x:c r="T142" s="4" t="str">
        <x:f>IFERROR(INDEX('Material routes'!$D$6:$D$1005,MATCH(V142,'Material routes'!$A$6:$A$1005,0)),"MISSING ID")</x:f>
        <x:v>proposal.branch.ceramic_shell</x:v>
      </x:c>
      <x:c r="U142" s="4" t="str">
        <x:v>design.branch.branch.ceramic_shell.in.1</x:v>
      </x:c>
      <x:c r="V142" s="4" t="str">
        <x:v>design.branch.branch.ceramic_shell.out</x:v>
      </x:c>
    </x:row>
    <x:row r="143" ht="105" customHeight="1">
      <x:c r="A143" s="4" t="str">
        <x:f>IFERROR(INDEX('Material routes'!$E$6:$E$1005,MATCH(U143,'Material routes'!$A$6:$A$1005,0)),"MISSING ID")</x:f>
        <x:v>Shell laminate</x:v>
      </x:c>
      <x:c r="B143" s="4" t="str">
        <x:f>IFERROR(INDEX('Material routes'!$F$6:$F$1005,MATCH(U143,'Material routes'!$A$6:$A$1005,0)),"MISSING ID")</x:f>
        <x:v>T2</x:v>
      </x:c>
      <x:c r="C143" s="4" t="str">
        <x:f>IFERROR(INDEX('Material routes'!$H$6:$H$1005,MATCH(U143,'Material routes'!$A$6:$A$1005,0)),"MISSING ID")</x:f>
        <x:v>Crafting component</x:v>
      </x:c>
      <x:c r="D143" s="4" t="str">
        <x:f>IFERROR(INDEX('Material routes'!$G$6:$G$1005,MATCH(U143,'Material routes'!$A$6:$A$1005,0)),"MISSING ID")</x:f>
        <x:v>Crafting components</x:v>
      </x:c>
      <x:c r="E143" s="4" t="str">
        <x:f>IFERROR(INDEX('Material routes'!$C$6:$C$1005,MATCH(U143,'Material routes'!$A$6:$A$1005,0)),"MISSING ID")</x:f>
        <x:v>Ingredient candidate</x:v>
      </x:c>
      <x:c r="F143" s="4" t="str">
        <x:f>IFERROR(INDEX('Material routes'!$E$6:$E$1005,MATCH(V143,'Material routes'!$A$6:$A$1005,0)),"MISSING ID")</x:f>
        <x:v>Bonded ceramic-shell composite</x:v>
      </x:c>
      <x:c r="G143" s="4" t="str">
        <x:f>IFERROR(INDEX('Material routes'!$F$6:$F$1005,MATCH(V143,'Material routes'!$A$6:$A$1005,0)),"MISSING ID")</x:f>
        <x:v>T3</x:v>
      </x:c>
      <x:c r="H143" s="4" t="str">
        <x:f>IFERROR(INDEX('Material routes'!$H$6:$H$1005,MATCH(V143,'Material routes'!$A$6:$A$1005,0)),"MISSING ID")</x:f>
        <x:v>Processed material</x:v>
      </x:c>
      <x:c r="I143" s="4" t="str">
        <x:f>IFERROR(INDEX('Material routes'!$G$6:$G$1005,MATCH(V143,'Material routes'!$A$6:$A$1005,0)),"MISSING ID")</x:f>
        <x:v>Resources</x:v>
      </x:c>
      <x:c r="J143" s="4" t="str">
        <x:f>IFERROR(INDEX('Material routes'!$B$6:$B$1005,MATCH(U143,'Material routes'!$A$6:$A$1005,0)),"MISSING ID")</x:f>
        <x:v>design.branch.branch.ceramic_shell</x:v>
      </x:c>
      <x:c r="K143" s="4" t="str">
        <x:f>IFERROR(INDEX('Crafting recipes'!$C$6:$C$1005,MATCH(J143,'Crafting recipes'!$A$6:$A$1005,0)),"MISSING ID")</x:f>
        <x:v>Material refinement</x:v>
      </x:c>
      <x:c r="L143" s="4" t="str">
        <x:f>IFERROR(INDEX('Material routes'!$K$6:$K$1005,MATCH(U143,'Material routes'!$A$6:$A$1005,0)),"MISSING ID")</x:f>
        <x:v>Proposal</x:v>
      </x:c>
      <x:c r="M143" s="4" t="str">
        <x:f>IFERROR(INDEX('Material routes'!$M$6:$M$1005,MATCH(U143,'Material routes'!$A$6:$A$1005,0)),"MISSING ID")</x:f>
        <x:v>Partial proposal</x:v>
      </x:c>
      <x:c r="N143" s="4" t="str">
        <x:f>IF(IFERROR(INDEX('Material routes'!$I$6:$I$1005,MATCH(U143,'Material routes'!$A$6:$A$1005,0)),"MISSING ID")=0,"",IFERROR(INDEX('Material routes'!$I$6:$I$1005,MATCH(U143,'Material routes'!$A$6:$A$1005,0)),"MISSING ID"))</x:f>
      </x:c>
      <x:c r="O143" s="4" t="str">
        <x:f>IFERROR(INDEX('Material routes'!$J$6:$J$1005,MATCH(U143,'Material routes'!$A$6:$A$1005,0)),"MISSING ID")</x:f>
        <x:v>Unspecified</x:v>
      </x:c>
      <x:c r="P143" s="4" t="str">
        <x:f>IF(IFERROR(INDEX('Material routes'!$I$6:$I$1005,MATCH(V143,'Material routes'!$A$6:$A$1005,0)),"MISSING ID")=0,"",IFERROR(INDEX('Material routes'!$I$6:$I$1005,MATCH(V143,'Material routes'!$A$6:$A$1005,0)),"MISSING ID"))</x:f>
      </x:c>
      <x:c r="Q143" s="4" t="str">
        <x:f>IFERROR(INDEX('Material routes'!$J$6:$J$1005,MATCH(V143,'Material routes'!$A$6:$A$1005,0)),"MISSING ID")</x:f>
        <x:v>Unspecified</x:v>
      </x:c>
      <x:c r="R143" s="4" t="str">
        <x:f>IF(L143="Withheld","Withheld premise",IF(E143="Tool candidate","Reusable prerequisite",IF(K143="Raw entry preparation","Entry-resource preparation",IF(G143="Not applicable","Finished endpoint",IF(OR(IFERROR(INDEX('Crafting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routes'!$D$6:$D$1005,MATCH(U143,'Material routes'!$A$6:$A$1005,0)),"MISSING ID")</x:f>
        <x:v>proposal.bio.laminate</x:v>
      </x:c>
      <x:c r="T143" s="4" t="str">
        <x:f>IFERROR(INDEX('Material routes'!$D$6:$D$1005,MATCH(V143,'Material routes'!$A$6:$A$1005,0)),"MISSING ID")</x:f>
        <x:v>proposal.branch.ceramic_shell</x:v>
      </x:c>
      <x:c r="U143" s="4" t="str">
        <x:v>design.branch.branch.ceramic_shell.in.2</x:v>
      </x:c>
      <x:c r="V143" s="4" t="str">
        <x:v>design.branch.branch.ceramic_shell.out</x:v>
      </x:c>
    </x:row>
    <x:row r="144" ht="105" customHeight="1">
      <x:c r="A144" s="4" t="str">
        <x:f>IFERROR(INDEX('Material routes'!$E$6:$E$1005,MATCH(U144,'Material routes'!$A$6:$A$1005,0)),"MISSING ID")</x:f>
        <x:v>Filled shell-binding compound</x:v>
      </x:c>
      <x:c r="B144" s="4" t="str">
        <x:f>IFERROR(INDEX('Material routes'!$F$6:$F$1005,MATCH(U144,'Material routes'!$A$6:$A$1005,0)),"MISSING ID")</x:f>
        <x:v>T2</x:v>
      </x:c>
      <x:c r="C144" s="4" t="str">
        <x:f>IFERROR(INDEX('Material routes'!$H$6:$H$1005,MATCH(U144,'Material routes'!$A$6:$A$1005,0)),"MISSING ID")</x:f>
        <x:v>Chemical material</x:v>
      </x:c>
      <x:c r="D144" s="4" t="str">
        <x:f>IFERROR(INDEX('Material routes'!$G$6:$G$1005,MATCH(U144,'Material routes'!$A$6:$A$1005,0)),"MISSING ID")</x:f>
        <x:v>Resources</x:v>
      </x:c>
      <x:c r="E144" s="4" t="str">
        <x:f>IFERROR(INDEX('Material routes'!$C$6:$C$1005,MATCH(U144,'Material routes'!$A$6:$A$1005,0)),"MISSING ID")</x:f>
        <x:v>Ingredient candidate</x:v>
      </x:c>
      <x:c r="F144" s="4" t="str">
        <x:f>IFERROR(INDEX('Material routes'!$E$6:$E$1005,MATCH(V144,'Material routes'!$A$6:$A$1005,0)),"MISSING ID")</x:f>
        <x:v>Bonded ceramic-shell composite</x:v>
      </x:c>
      <x:c r="G144" s="4" t="str">
        <x:f>IFERROR(INDEX('Material routes'!$F$6:$F$1005,MATCH(V144,'Material routes'!$A$6:$A$1005,0)),"MISSING ID")</x:f>
        <x:v>T3</x:v>
      </x:c>
      <x:c r="H144" s="4" t="str">
        <x:f>IFERROR(INDEX('Material routes'!$H$6:$H$1005,MATCH(V144,'Material routes'!$A$6:$A$1005,0)),"MISSING ID")</x:f>
        <x:v>Processed material</x:v>
      </x:c>
      <x:c r="I144" s="4" t="str">
        <x:f>IFERROR(INDEX('Material routes'!$G$6:$G$1005,MATCH(V144,'Material routes'!$A$6:$A$1005,0)),"MISSING ID")</x:f>
        <x:v>Resources</x:v>
      </x:c>
      <x:c r="J144" s="4" t="str">
        <x:f>IFERROR(INDEX('Material routes'!$B$6:$B$1005,MATCH(U144,'Material routes'!$A$6:$A$1005,0)),"MISSING ID")</x:f>
        <x:v>design.branch.branch.ceramic_shell</x:v>
      </x:c>
      <x:c r="K144" s="4" t="str">
        <x:f>IFERROR(INDEX('Crafting recipes'!$C$6:$C$1005,MATCH(J144,'Crafting recipes'!$A$6:$A$1005,0)),"MISSING ID")</x:f>
        <x:v>Material refinement</x:v>
      </x:c>
      <x:c r="L144" s="4" t="str">
        <x:f>IFERROR(INDEX('Material routes'!$K$6:$K$1005,MATCH(U144,'Material routes'!$A$6:$A$1005,0)),"MISSING ID")</x:f>
        <x:v>Proposal</x:v>
      </x:c>
      <x:c r="M144" s="4" t="str">
        <x:f>IFERROR(INDEX('Material routes'!$M$6:$M$1005,MATCH(U144,'Material routes'!$A$6:$A$1005,0)),"MISSING ID")</x:f>
        <x:v>Partial proposal</x:v>
      </x:c>
      <x:c r="N144" s="4" t="str">
        <x:f>IF(IFERROR(INDEX('Material routes'!$I$6:$I$1005,MATCH(U144,'Material routes'!$A$6:$A$1005,0)),"MISSING ID")=0,"",IFERROR(INDEX('Material routes'!$I$6:$I$1005,MATCH(U144,'Material routes'!$A$6:$A$1005,0)),"MISSING ID"))</x:f>
      </x:c>
      <x:c r="O144" s="4" t="str">
        <x:f>IFERROR(INDEX('Material routes'!$J$6:$J$1005,MATCH(U144,'Material routes'!$A$6:$A$1005,0)),"MISSING ID")</x:f>
        <x:v>Unspecified</x:v>
      </x:c>
      <x:c r="P144" s="4" t="str">
        <x:f>IF(IFERROR(INDEX('Material routes'!$I$6:$I$1005,MATCH(V144,'Material routes'!$A$6:$A$1005,0)),"MISSING ID")=0,"",IFERROR(INDEX('Material routes'!$I$6:$I$1005,MATCH(V144,'Material routes'!$A$6:$A$1005,0)),"MISSING ID"))</x:f>
      </x:c>
      <x:c r="Q144" s="4" t="str">
        <x:f>IFERROR(INDEX('Material routes'!$J$6:$J$1005,MATCH(V144,'Material routes'!$A$6:$A$1005,0)),"MISSING ID")</x:f>
        <x:v>Unspecified</x:v>
      </x:c>
      <x:c r="R144" s="4" t="str">
        <x:f>IF(L144="Withheld","Withheld premise",IF(E144="Tool candidate","Reusable prerequisite",IF(K144="Raw entry preparation","Entry-resource preparation",IF(G144="Not applicable","Finished endpoint",IF(OR(IFERROR(INDEX('Crafting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routes'!$D$6:$D$1005,MATCH(U144,'Material routes'!$A$6:$A$1005,0)),"MISSING ID")</x:f>
        <x:v>proposal.branch.filled_binder</x:v>
      </x:c>
      <x:c r="T144" s="4" t="str">
        <x:f>IFERROR(INDEX('Material routes'!$D$6:$D$1005,MATCH(V144,'Material routes'!$A$6:$A$1005,0)),"MISSING ID")</x:f>
        <x:v>proposal.branch.ceramic_shell</x:v>
      </x:c>
      <x:c r="U144" s="4" t="str">
        <x:v>design.branch.branch.ceramic_shell.in.3</x:v>
      </x:c>
      <x:c r="V144" s="4" t="str">
        <x:v>design.branch.branch.ceramic_shell.out</x:v>
      </x:c>
    </x:row>
    <x:row r="145" ht="105" customHeight="1">
      <x:c r="A145" s="4" t="str">
        <x:f>IFERROR(INDEX('Material routes'!$E$6:$E$1005,MATCH(U145,'Material routes'!$A$6:$A$1005,0)),"MISSING ID")</x:f>
        <x:v>Selected viewing-glass stock</x:v>
      </x:c>
      <x:c r="B145" s="4" t="str">
        <x:f>IFERROR(INDEX('Material routes'!$F$6:$F$1005,MATCH(U145,'Material routes'!$A$6:$A$1005,0)),"MISSING ID")</x:f>
        <x:v>T2</x:v>
      </x:c>
      <x:c r="C145" s="4" t="str">
        <x:f>IFERROR(INDEX('Material routes'!$H$6:$H$1005,MATCH(U145,'Material routes'!$A$6:$A$1005,0)),"MISSING ID")</x:f>
        <x:v>Processed material</x:v>
      </x:c>
      <x:c r="D145" s="4" t="str">
        <x:f>IFERROR(INDEX('Material routes'!$G$6:$G$1005,MATCH(U145,'Material routes'!$A$6:$A$1005,0)),"MISSING ID")</x:f>
        <x:v>Resources</x:v>
      </x:c>
      <x:c r="E145" s="4" t="str">
        <x:f>IFERROR(INDEX('Material routes'!$C$6:$C$1005,MATCH(U145,'Material routes'!$A$6:$A$1005,0)),"MISSING ID")</x:f>
        <x:v>Ingredient candidate</x:v>
      </x:c>
      <x:c r="F145" s="4" t="str">
        <x:f>IFERROR(INDEX('Material routes'!$E$6:$E$1005,MATCH(V145,'Material routes'!$A$6:$A$1005,0)),"MISSING ID")</x:f>
        <x:v>Ground optical glass stock</x:v>
      </x:c>
      <x:c r="G145" s="4" t="str">
        <x:f>IFERROR(INDEX('Material routes'!$F$6:$F$1005,MATCH(V145,'Material routes'!$A$6:$A$1005,0)),"MISSING ID")</x:f>
        <x:v>T3</x:v>
      </x:c>
      <x:c r="H145" s="4" t="str">
        <x:f>IFERROR(INDEX('Material routes'!$H$6:$H$1005,MATCH(V145,'Material routes'!$A$6:$A$1005,0)),"MISSING ID")</x:f>
        <x:v>Processed material</x:v>
      </x:c>
      <x:c r="I145" s="4" t="str">
        <x:f>IFERROR(INDEX('Material routes'!$G$6:$G$1005,MATCH(V145,'Material routes'!$A$6:$A$1005,0)),"MISSING ID")</x:f>
        <x:v>Resources</x:v>
      </x:c>
      <x:c r="J145" s="4" t="str">
        <x:f>IFERROR(INDEX('Material routes'!$B$6:$B$1005,MATCH(U145,'Material routes'!$A$6:$A$1005,0)),"MISSING ID")</x:f>
        <x:v>design.branch.branch.optical_glass</x:v>
      </x:c>
      <x:c r="K145" s="4" t="str">
        <x:f>IFERROR(INDEX('Crafting recipes'!$C$6:$C$1005,MATCH(J145,'Crafting recipes'!$A$6:$A$1005,0)),"MISSING ID")</x:f>
        <x:v>Material refinement</x:v>
      </x:c>
      <x:c r="L145" s="4" t="str">
        <x:f>IFERROR(INDEX('Material routes'!$K$6:$K$1005,MATCH(U145,'Material routes'!$A$6:$A$1005,0)),"MISSING ID")</x:f>
        <x:v>Proposal</x:v>
      </x:c>
      <x:c r="M145" s="4" t="str">
        <x:f>IFERROR(INDEX('Material routes'!$M$6:$M$1005,MATCH(U145,'Material routes'!$A$6:$A$1005,0)),"MISSING ID")</x:f>
        <x:v>Partial proposal</x:v>
      </x:c>
      <x:c r="N145" s="4" t="str">
        <x:f>IF(IFERROR(INDEX('Material routes'!$I$6:$I$1005,MATCH(U145,'Material routes'!$A$6:$A$1005,0)),"MISSING ID")=0,"",IFERROR(INDEX('Material routes'!$I$6:$I$1005,MATCH(U145,'Material routes'!$A$6:$A$1005,0)),"MISSING ID"))</x:f>
      </x:c>
      <x:c r="O145" s="4" t="str">
        <x:f>IFERROR(INDEX('Material routes'!$J$6:$J$1005,MATCH(U145,'Material routes'!$A$6:$A$1005,0)),"MISSING ID")</x:f>
        <x:v>Unspecified</x:v>
      </x:c>
      <x:c r="P145" s="4" t="str">
        <x:f>IF(IFERROR(INDEX('Material routes'!$I$6:$I$1005,MATCH(V145,'Material routes'!$A$6:$A$1005,0)),"MISSING ID")=0,"",IFERROR(INDEX('Material routes'!$I$6:$I$1005,MATCH(V145,'Material routes'!$A$6:$A$1005,0)),"MISSING ID"))</x:f>
      </x:c>
      <x:c r="Q145" s="4" t="str">
        <x:f>IFERROR(INDEX('Material routes'!$J$6:$J$1005,MATCH(V145,'Material routes'!$A$6:$A$1005,0)),"MISSING ID")</x:f>
        <x:v>Unspecified</x:v>
      </x:c>
      <x:c r="R145" s="4" t="str">
        <x:f>IF(L145="Withheld","Withheld premise",IF(E145="Tool candidate","Reusable prerequisite",IF(K145="Raw entry preparation","Entry-resource preparation",IF(G145="Not applicable","Finished endpoint",IF(OR(IFERROR(INDEX('Crafting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routes'!$D$6:$D$1005,MATCH(U145,'Material routes'!$A$6:$A$1005,0)),"MISSING ID")</x:f>
        <x:v>proposal.branch.viewing_glass</x:v>
      </x:c>
      <x:c r="T145" s="4" t="str">
        <x:f>IFERROR(INDEX('Material routes'!$D$6:$D$1005,MATCH(V145,'Material routes'!$A$6:$A$1005,0)),"MISSING ID")</x:f>
        <x:v>proposal.branch.optical_glass</x:v>
      </x:c>
      <x:c r="U145" s="4" t="str">
        <x:v>design.branch.branch.optical_glass.in.1</x:v>
      </x:c>
      <x:c r="V145" s="4" t="str">
        <x:v>design.branch.branch.optical_glass.out</x:v>
      </x:c>
    </x:row>
    <x:row r="146" ht="105" customHeight="1">
      <x:c r="A146" s="4" t="str">
        <x:f>IFERROR(INDEX('Material routes'!$E$6:$E$1005,MATCH(U146,'Material routes'!$A$6:$A$1005,0)),"MISSING ID")</x:f>
        <x:v>Graded abrasive grit</x:v>
      </x:c>
      <x:c r="B146" s="4" t="str">
        <x:f>IFERROR(INDEX('Material routes'!$F$6:$F$1005,MATCH(U146,'Material routes'!$A$6:$A$1005,0)),"MISSING ID")</x:f>
        <x:v>T1</x:v>
      </x:c>
      <x:c r="C146" s="4" t="str">
        <x:f>IFERROR(INDEX('Material routes'!$H$6:$H$1005,MATCH(U146,'Material routes'!$A$6:$A$1005,0)),"MISSING ID")</x:f>
        <x:v>Processed material</x:v>
      </x:c>
      <x:c r="D146" s="4" t="str">
        <x:f>IFERROR(INDEX('Material routes'!$G$6:$G$1005,MATCH(U146,'Material routes'!$A$6:$A$1005,0)),"MISSING ID")</x:f>
        <x:v>Resources</x:v>
      </x:c>
      <x:c r="E146" s="4" t="str">
        <x:f>IFERROR(INDEX('Material routes'!$C$6:$C$1005,MATCH(U146,'Material routes'!$A$6:$A$1005,0)),"MISSING ID")</x:f>
        <x:v>Ingredient candidate</x:v>
      </x:c>
      <x:c r="F146" s="4" t="str">
        <x:f>IFERROR(INDEX('Material routes'!$E$6:$E$1005,MATCH(V146,'Material routes'!$A$6:$A$1005,0)),"MISSING ID")</x:f>
        <x:v>Ground optical glass stock</x:v>
      </x:c>
      <x:c r="G146" s="4" t="str">
        <x:f>IFERROR(INDEX('Material routes'!$F$6:$F$1005,MATCH(V146,'Material routes'!$A$6:$A$1005,0)),"MISSING ID")</x:f>
        <x:v>T3</x:v>
      </x:c>
      <x:c r="H146" s="4" t="str">
        <x:f>IFERROR(INDEX('Material routes'!$H$6:$H$1005,MATCH(V146,'Material routes'!$A$6:$A$1005,0)),"MISSING ID")</x:f>
        <x:v>Processed material</x:v>
      </x:c>
      <x:c r="I146" s="4" t="str">
        <x:f>IFERROR(INDEX('Material routes'!$G$6:$G$1005,MATCH(V146,'Material routes'!$A$6:$A$1005,0)),"MISSING ID")</x:f>
        <x:v>Resources</x:v>
      </x:c>
      <x:c r="J146" s="4" t="str">
        <x:f>IFERROR(INDEX('Material routes'!$B$6:$B$1005,MATCH(U146,'Material routes'!$A$6:$A$1005,0)),"MISSING ID")</x:f>
        <x:v>design.branch.branch.optical_glass</x:v>
      </x:c>
      <x:c r="K146" s="4" t="str">
        <x:f>IFERROR(INDEX('Crafting recipes'!$C$6:$C$1005,MATCH(J146,'Crafting recipes'!$A$6:$A$1005,0)),"MISSING ID")</x:f>
        <x:v>Material refinement</x:v>
      </x:c>
      <x:c r="L146" s="4" t="str">
        <x:f>IFERROR(INDEX('Material routes'!$K$6:$K$1005,MATCH(U146,'Material routes'!$A$6:$A$1005,0)),"MISSING ID")</x:f>
        <x:v>Proposal</x:v>
      </x:c>
      <x:c r="M146" s="4" t="str">
        <x:f>IFERROR(INDEX('Material routes'!$M$6:$M$1005,MATCH(U146,'Material routes'!$A$6:$A$1005,0)),"MISSING ID")</x:f>
        <x:v>Partial proposal</x:v>
      </x:c>
      <x:c r="N146" s="4" t="str">
        <x:f>IF(IFERROR(INDEX('Material routes'!$I$6:$I$1005,MATCH(U146,'Material routes'!$A$6:$A$1005,0)),"MISSING ID")=0,"",IFERROR(INDEX('Material routes'!$I$6:$I$1005,MATCH(U146,'Material routes'!$A$6:$A$1005,0)),"MISSING ID"))</x:f>
      </x:c>
      <x:c r="O146" s="4" t="str">
        <x:f>IFERROR(INDEX('Material routes'!$J$6:$J$1005,MATCH(U146,'Material routes'!$A$6:$A$1005,0)),"MISSING ID")</x:f>
        <x:v>Unspecified</x:v>
      </x:c>
      <x:c r="P146" s="4" t="str">
        <x:f>IF(IFERROR(INDEX('Material routes'!$I$6:$I$1005,MATCH(V146,'Material routes'!$A$6:$A$1005,0)),"MISSING ID")=0,"",IFERROR(INDEX('Material routes'!$I$6:$I$1005,MATCH(V146,'Material routes'!$A$6:$A$1005,0)),"MISSING ID"))</x:f>
      </x:c>
      <x:c r="Q146" s="4" t="str">
        <x:f>IFERROR(INDEX('Material routes'!$J$6:$J$1005,MATCH(V146,'Material routes'!$A$6:$A$1005,0)),"MISSING ID")</x:f>
        <x:v>Unspecified</x:v>
      </x:c>
      <x:c r="R146" s="4" t="str">
        <x:f>IF(L146="Withheld","Withheld premise",IF(E146="Tool candidate","Reusable prerequisite",IF(K146="Raw entry preparation","Entry-resource preparation",IF(G146="Not applicable","Finished endpoint",IF(OR(IFERROR(INDEX('Crafting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routes'!$D$6:$D$1005,MATCH(U146,'Material routes'!$A$6:$A$1005,0)),"MISSING ID")</x:f>
        <x:v>proposal.natural.abrasive</x:v>
      </x:c>
      <x:c r="T146" s="4" t="str">
        <x:f>IFERROR(INDEX('Material routes'!$D$6:$D$1005,MATCH(V146,'Material routes'!$A$6:$A$1005,0)),"MISSING ID")</x:f>
        <x:v>proposal.branch.optical_glass</x:v>
      </x:c>
      <x:c r="U146" s="4" t="str">
        <x:v>design.branch.branch.optical_glass.in.2</x:v>
      </x:c>
      <x:c r="V146" s="4" t="str">
        <x:v>design.branch.branch.optical_glass.out</x:v>
      </x:c>
    </x:row>
    <x:row r="147" ht="105" customHeight="1">
      <x:c r="A147" s="4" t="str">
        <x:f>IFERROR(INDEX('Material routes'!$E$6:$E$1005,MATCH(U147,'Material routes'!$A$6:$A$1005,0)),"MISSING ID")</x:f>
        <x:v>Bonded husk sheet</x:v>
      </x:c>
      <x:c r="B147" s="4" t="str">
        <x:f>IFERROR(INDEX('Material routes'!$F$6:$F$1005,MATCH(U147,'Material routes'!$A$6:$A$1005,0)),"MISSING ID")</x:f>
        <x:v>T2</x:v>
      </x:c>
      <x:c r="C147" s="4" t="str">
        <x:f>IFERROR(INDEX('Material routes'!$H$6:$H$1005,MATCH(U147,'Material routes'!$A$6:$A$1005,0)),"MISSING ID")</x:f>
        <x:v>Processed material</x:v>
      </x:c>
      <x:c r="D147" s="4" t="str">
        <x:f>IFERROR(INDEX('Material routes'!$G$6:$G$1005,MATCH(U147,'Material routes'!$A$6:$A$1005,0)),"MISSING ID")</x:f>
        <x:v>Resources</x:v>
      </x:c>
      <x:c r="E147" s="4" t="str">
        <x:f>IFERROR(INDEX('Material routes'!$C$6:$C$1005,MATCH(U147,'Material routes'!$A$6:$A$1005,0)),"MISSING ID")</x:f>
        <x:v>Ingredient candidate</x:v>
      </x:c>
      <x:c r="F147" s="4" t="str">
        <x:f>IFERROR(INDEX('Material routes'!$E$6:$E$1005,MATCH(V147,'Material routes'!$A$6:$A$1005,0)),"MISSING ID")</x:f>
        <x:v>Layered husk composite stock</x:v>
      </x:c>
      <x:c r="G147" s="4" t="str">
        <x:f>IFERROR(INDEX('Material routes'!$F$6:$F$1005,MATCH(V147,'Material routes'!$A$6:$A$1005,0)),"MISSING ID")</x:f>
        <x:v>T3</x:v>
      </x:c>
      <x:c r="H147" s="4" t="str">
        <x:f>IFERROR(INDEX('Material routes'!$H$6:$H$1005,MATCH(V147,'Material routes'!$A$6:$A$1005,0)),"MISSING ID")</x:f>
        <x:v>Processed material</x:v>
      </x:c>
      <x:c r="I147" s="4" t="str">
        <x:f>IFERROR(INDEX('Material routes'!$G$6:$G$1005,MATCH(V147,'Material routes'!$A$6:$A$1005,0)),"MISSING ID")</x:f>
        <x:v>Resources</x:v>
      </x:c>
      <x:c r="J147" s="4" t="str">
        <x:f>IFERROR(INDEX('Material routes'!$B$6:$B$1005,MATCH(U147,'Material routes'!$A$6:$A$1005,0)),"MISSING ID")</x:f>
        <x:v>design.branch.branch.husk_composite</x:v>
      </x:c>
      <x:c r="K147" s="4" t="str">
        <x:f>IFERROR(INDEX('Crafting recipes'!$C$6:$C$1005,MATCH(J147,'Crafting recipes'!$A$6:$A$1005,0)),"MISSING ID")</x:f>
        <x:v>Material refinement</x:v>
      </x:c>
      <x:c r="L147" s="4" t="str">
        <x:f>IFERROR(INDEX('Material routes'!$K$6:$K$1005,MATCH(U147,'Material routes'!$A$6:$A$1005,0)),"MISSING ID")</x:f>
        <x:v>Proposal</x:v>
      </x:c>
      <x:c r="M147" s="4" t="str">
        <x:f>IFERROR(INDEX('Material routes'!$M$6:$M$1005,MATCH(U147,'Material routes'!$A$6:$A$1005,0)),"MISSING ID")</x:f>
        <x:v>Partial proposal</x:v>
      </x:c>
      <x:c r="N147" s="4" t="str">
        <x:f>IF(IFERROR(INDEX('Material routes'!$I$6:$I$1005,MATCH(U147,'Material routes'!$A$6:$A$1005,0)),"MISSING ID")=0,"",IFERROR(INDEX('Material routes'!$I$6:$I$1005,MATCH(U147,'Material routes'!$A$6:$A$1005,0)),"MISSING ID"))</x:f>
      </x:c>
      <x:c r="O147" s="4" t="str">
        <x:f>IFERROR(INDEX('Material routes'!$J$6:$J$1005,MATCH(U147,'Material routes'!$A$6:$A$1005,0)),"MISSING ID")</x:f>
        <x:v>Unspecified</x:v>
      </x:c>
      <x:c r="P147" s="4" t="str">
        <x:f>IF(IFERROR(INDEX('Material routes'!$I$6:$I$1005,MATCH(V147,'Material routes'!$A$6:$A$1005,0)),"MISSING ID")=0,"",IFERROR(INDEX('Material routes'!$I$6:$I$1005,MATCH(V147,'Material routes'!$A$6:$A$1005,0)),"MISSING ID"))</x:f>
      </x:c>
      <x:c r="Q147" s="4" t="str">
        <x:f>IFERROR(INDEX('Material routes'!$J$6:$J$1005,MATCH(V147,'Material routes'!$A$6:$A$1005,0)),"MISSING ID")</x:f>
        <x:v>Unspecified</x:v>
      </x:c>
      <x:c r="R147" s="4" t="str">
        <x:f>IF(L147="Withheld","Withheld premise",IF(E147="Tool candidate","Reusable prerequisite",IF(K147="Raw entry preparation","Entry-resource preparation",IF(G147="Not applicable","Finished endpoint",IF(OR(IFERROR(INDEX('Crafting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routes'!$D$6:$D$1005,MATCH(U147,'Material routes'!$A$6:$A$1005,0)),"MISSING ID")</x:f>
        <x:v>proposal.branch.husk_sheet</x:v>
      </x:c>
      <x:c r="T147" s="4" t="str">
        <x:f>IFERROR(INDEX('Material routes'!$D$6:$D$1005,MATCH(V147,'Material routes'!$A$6:$A$1005,0)),"MISSING ID")</x:f>
        <x:v>proposal.branch.husk_composite</x:v>
      </x:c>
      <x:c r="U147" s="4" t="str">
        <x:v>design.branch.branch.husk_composite.in.1</x:v>
      </x:c>
      <x:c r="V147" s="4" t="str">
        <x:v>design.branch.branch.husk_composite.out</x:v>
      </x:c>
    </x:row>
    <x:row r="148" ht="105" customHeight="1">
      <x:c r="A148" s="4" t="str">
        <x:f>IFERROR(INDEX('Material routes'!$E$6:$E$1005,MATCH(U148,'Material routes'!$A$6:$A$1005,0)),"MISSING ID")</x:f>
        <x:v>Filled shell-binding compound</x:v>
      </x:c>
      <x:c r="B148" s="4" t="str">
        <x:f>IFERROR(INDEX('Material routes'!$F$6:$F$1005,MATCH(U148,'Material routes'!$A$6:$A$1005,0)),"MISSING ID")</x:f>
        <x:v>T2</x:v>
      </x:c>
      <x:c r="C148" s="4" t="str">
        <x:f>IFERROR(INDEX('Material routes'!$H$6:$H$1005,MATCH(U148,'Material routes'!$A$6:$A$1005,0)),"MISSING ID")</x:f>
        <x:v>Chemical material</x:v>
      </x:c>
      <x:c r="D148" s="4" t="str">
        <x:f>IFERROR(INDEX('Material routes'!$G$6:$G$1005,MATCH(U148,'Material routes'!$A$6:$A$1005,0)),"MISSING ID")</x:f>
        <x:v>Resources</x:v>
      </x:c>
      <x:c r="E148" s="4" t="str">
        <x:f>IFERROR(INDEX('Material routes'!$C$6:$C$1005,MATCH(U148,'Material routes'!$A$6:$A$1005,0)),"MISSING ID")</x:f>
        <x:v>Ingredient candidate</x:v>
      </x:c>
      <x:c r="F148" s="4" t="str">
        <x:f>IFERROR(INDEX('Material routes'!$E$6:$E$1005,MATCH(V148,'Material routes'!$A$6:$A$1005,0)),"MISSING ID")</x:f>
        <x:v>Layered husk composite stock</x:v>
      </x:c>
      <x:c r="G148" s="4" t="str">
        <x:f>IFERROR(INDEX('Material routes'!$F$6:$F$1005,MATCH(V148,'Material routes'!$A$6:$A$1005,0)),"MISSING ID")</x:f>
        <x:v>T3</x:v>
      </x:c>
      <x:c r="H148" s="4" t="str">
        <x:f>IFERROR(INDEX('Material routes'!$H$6:$H$1005,MATCH(V148,'Material routes'!$A$6:$A$1005,0)),"MISSING ID")</x:f>
        <x:v>Processed material</x:v>
      </x:c>
      <x:c r="I148" s="4" t="str">
        <x:f>IFERROR(INDEX('Material routes'!$G$6:$G$1005,MATCH(V148,'Material routes'!$A$6:$A$1005,0)),"MISSING ID")</x:f>
        <x:v>Resources</x:v>
      </x:c>
      <x:c r="J148" s="4" t="str">
        <x:f>IFERROR(INDEX('Material routes'!$B$6:$B$1005,MATCH(U148,'Material routes'!$A$6:$A$1005,0)),"MISSING ID")</x:f>
        <x:v>design.branch.branch.husk_composite</x:v>
      </x:c>
      <x:c r="K148" s="4" t="str">
        <x:f>IFERROR(INDEX('Crafting recipes'!$C$6:$C$1005,MATCH(J148,'Crafting recipes'!$A$6:$A$1005,0)),"MISSING ID")</x:f>
        <x:v>Material refinement</x:v>
      </x:c>
      <x:c r="L148" s="4" t="str">
        <x:f>IFERROR(INDEX('Material routes'!$K$6:$K$1005,MATCH(U148,'Material routes'!$A$6:$A$1005,0)),"MISSING ID")</x:f>
        <x:v>Proposal</x:v>
      </x:c>
      <x:c r="M148" s="4" t="str">
        <x:f>IFERROR(INDEX('Material routes'!$M$6:$M$1005,MATCH(U148,'Material routes'!$A$6:$A$1005,0)),"MISSING ID")</x:f>
        <x:v>Partial proposal</x:v>
      </x:c>
      <x:c r="N148" s="4" t="str">
        <x:f>IF(IFERROR(INDEX('Material routes'!$I$6:$I$1005,MATCH(U148,'Material routes'!$A$6:$A$1005,0)),"MISSING ID")=0,"",IFERROR(INDEX('Material routes'!$I$6:$I$1005,MATCH(U148,'Material routes'!$A$6:$A$1005,0)),"MISSING ID"))</x:f>
      </x:c>
      <x:c r="O148" s="4" t="str">
        <x:f>IFERROR(INDEX('Material routes'!$J$6:$J$1005,MATCH(U148,'Material routes'!$A$6:$A$1005,0)),"MISSING ID")</x:f>
        <x:v>Unspecified</x:v>
      </x:c>
      <x:c r="P148" s="4" t="str">
        <x:f>IF(IFERROR(INDEX('Material routes'!$I$6:$I$1005,MATCH(V148,'Material routes'!$A$6:$A$1005,0)),"MISSING ID")=0,"",IFERROR(INDEX('Material routes'!$I$6:$I$1005,MATCH(V148,'Material routes'!$A$6:$A$1005,0)),"MISSING ID"))</x:f>
      </x:c>
      <x:c r="Q148" s="4" t="str">
        <x:f>IFERROR(INDEX('Material routes'!$J$6:$J$1005,MATCH(V148,'Material routes'!$A$6:$A$1005,0)),"MISSING ID")</x:f>
        <x:v>Unspecified</x:v>
      </x:c>
      <x:c r="R148" s="4" t="str">
        <x:f>IF(L148="Withheld","Withheld premise",IF(E148="Tool candidate","Reusable prerequisite",IF(K148="Raw entry preparation","Entry-resource preparation",IF(G148="Not applicable","Finished endpoint",IF(OR(IFERROR(INDEX('Crafting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routes'!$D$6:$D$1005,MATCH(U148,'Material routes'!$A$6:$A$1005,0)),"MISSING ID")</x:f>
        <x:v>proposal.branch.filled_binder</x:v>
      </x:c>
      <x:c r="T148" s="4" t="str">
        <x:f>IFERROR(INDEX('Material routes'!$D$6:$D$1005,MATCH(V148,'Material routes'!$A$6:$A$1005,0)),"MISSING ID")</x:f>
        <x:v>proposal.branch.husk_composite</x:v>
      </x:c>
      <x:c r="U148" s="4" t="str">
        <x:v>design.branch.branch.husk_composite.in.2</x:v>
      </x:c>
      <x:c r="V148" s="4" t="str">
        <x:v>design.branch.branch.husk_composite.out</x:v>
      </x:c>
    </x:row>
    <x:row r="149" ht="105" customHeight="1">
      <x:c r="A149" s="4" t="str">
        <x:f>IFERROR(INDEX('Material routes'!$E$6:$E$1005,MATCH(U149,'Material routes'!$A$6:$A$1005,0)),"MISSING ID")</x:f>
        <x:v>Filled faunal seal compound</x:v>
      </x:c>
      <x:c r="B149" s="4" t="str">
        <x:f>IFERROR(INDEX('Material routes'!$F$6:$F$1005,MATCH(U149,'Material routes'!$A$6:$A$1005,0)),"MISSING ID")</x:f>
        <x:v>T2</x:v>
      </x:c>
      <x:c r="C149" s="4" t="str">
        <x:f>IFERROR(INDEX('Material routes'!$H$6:$H$1005,MATCH(U149,'Material routes'!$A$6:$A$1005,0)),"MISSING ID")</x:f>
        <x:v>Chemical material</x:v>
      </x:c>
      <x:c r="D149" s="4" t="str">
        <x:f>IFERROR(INDEX('Material routes'!$G$6:$G$1005,MATCH(U149,'Material routes'!$A$6:$A$1005,0)),"MISSING ID")</x:f>
        <x:v>Resources</x:v>
      </x:c>
      <x:c r="E149" s="4" t="str">
        <x:f>IFERROR(INDEX('Material routes'!$C$6:$C$1005,MATCH(U149,'Material routes'!$A$6:$A$1005,0)),"MISSING ID")</x:f>
        <x:v>Ingredient candidate</x:v>
      </x:c>
      <x:c r="F149" s="4" t="str">
        <x:f>IFERROR(INDEX('Material routes'!$E$6:$E$1005,MATCH(V149,'Material routes'!$A$6:$A$1005,0)),"MISSING ID")</x:f>
        <x:v>Reinforced sealing sheet</x:v>
      </x:c>
      <x:c r="G149" s="4" t="str">
        <x:f>IFERROR(INDEX('Material routes'!$F$6:$F$1005,MATCH(V149,'Material routes'!$A$6:$A$1005,0)),"MISSING ID")</x:f>
        <x:v>T3</x:v>
      </x:c>
      <x:c r="H149" s="4" t="str">
        <x:f>IFERROR(INDEX('Material routes'!$H$6:$H$1005,MATCH(V149,'Material routes'!$A$6:$A$1005,0)),"MISSING ID")</x:f>
        <x:v>Processed material</x:v>
      </x:c>
      <x:c r="I149" s="4" t="str">
        <x:f>IFERROR(INDEX('Material routes'!$G$6:$G$1005,MATCH(V149,'Material routes'!$A$6:$A$1005,0)),"MISSING ID")</x:f>
        <x:v>Resources</x:v>
      </x:c>
      <x:c r="J149" s="4" t="str">
        <x:f>IFERROR(INDEX('Material routes'!$B$6:$B$1005,MATCH(U149,'Material routes'!$A$6:$A$1005,0)),"MISSING ID")</x:f>
        <x:v>design.branch.branch.sealing_sheet</x:v>
      </x:c>
      <x:c r="K149" s="4" t="str">
        <x:f>IFERROR(INDEX('Crafting recipes'!$C$6:$C$1005,MATCH(J149,'Crafting recipes'!$A$6:$A$1005,0)),"MISSING ID")</x:f>
        <x:v>Material refinement</x:v>
      </x:c>
      <x:c r="L149" s="4" t="str">
        <x:f>IFERROR(INDEX('Material routes'!$K$6:$K$1005,MATCH(U149,'Material routes'!$A$6:$A$1005,0)),"MISSING ID")</x:f>
        <x:v>Proposal</x:v>
      </x:c>
      <x:c r="M149" s="4" t="str">
        <x:f>IFERROR(INDEX('Material routes'!$M$6:$M$1005,MATCH(U149,'Material routes'!$A$6:$A$1005,0)),"MISSING ID")</x:f>
        <x:v>Partial proposal</x:v>
      </x:c>
      <x:c r="N149" s="4" t="str">
        <x:f>IF(IFERROR(INDEX('Material routes'!$I$6:$I$1005,MATCH(U149,'Material routes'!$A$6:$A$1005,0)),"MISSING ID")=0,"",IFERROR(INDEX('Material routes'!$I$6:$I$1005,MATCH(U149,'Material routes'!$A$6:$A$1005,0)),"MISSING ID"))</x:f>
      </x:c>
      <x:c r="O149" s="4" t="str">
        <x:f>IFERROR(INDEX('Material routes'!$J$6:$J$1005,MATCH(U149,'Material routes'!$A$6:$A$1005,0)),"MISSING ID")</x:f>
        <x:v>Unspecified</x:v>
      </x:c>
      <x:c r="P149" s="4" t="str">
        <x:f>IF(IFERROR(INDEX('Material routes'!$I$6:$I$1005,MATCH(V149,'Material routes'!$A$6:$A$1005,0)),"MISSING ID")=0,"",IFERROR(INDEX('Material routes'!$I$6:$I$1005,MATCH(V149,'Material routes'!$A$6:$A$1005,0)),"MISSING ID"))</x:f>
      </x:c>
      <x:c r="Q149" s="4" t="str">
        <x:f>IFERROR(INDEX('Material routes'!$J$6:$J$1005,MATCH(V149,'Material routes'!$A$6:$A$1005,0)),"MISSING ID")</x:f>
        <x:v>Unspecified</x:v>
      </x:c>
      <x:c r="R149" s="4" t="str">
        <x:f>IF(L149="Withheld","Withheld premise",IF(E149="Tool candidate","Reusable prerequisite",IF(K149="Raw entry preparation","Entry-resource preparation",IF(G149="Not applicable","Finished endpoint",IF(OR(IFERROR(INDEX('Crafting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routes'!$D$6:$D$1005,MATCH(U149,'Material routes'!$A$6:$A$1005,0)),"MISSING ID")</x:f>
        <x:v>proposal.branch.filled_seal</x:v>
      </x:c>
      <x:c r="T149" s="4" t="str">
        <x:f>IFERROR(INDEX('Material routes'!$D$6:$D$1005,MATCH(V149,'Material routes'!$A$6:$A$1005,0)),"MISSING ID")</x:f>
        <x:v>proposal.branch.sealing_sheet</x:v>
      </x:c>
      <x:c r="U149" s="4" t="str">
        <x:v>design.branch.branch.sealing_sheet.in.1</x:v>
      </x:c>
      <x:c r="V149" s="4" t="str">
        <x:v>design.branch.branch.sealing_sheet.out</x:v>
      </x:c>
    </x:row>
    <x:row r="150" ht="105" customHeight="1">
      <x:c r="A150" s="4" t="str">
        <x:f>IFERROR(INDEX('Material routes'!$E$6:$E$1005,MATCH(U150,'Material routes'!$A$6:$A$1005,0)),"MISSING ID")</x:f>
        <x:v>Mica composite sheet</x:v>
      </x:c>
      <x:c r="B150" s="4" t="str">
        <x:f>IFERROR(INDEX('Material routes'!$F$6:$F$1005,MATCH(U150,'Material routes'!$A$6:$A$1005,0)),"MISSING ID")</x:f>
        <x:v>T2</x:v>
      </x:c>
      <x:c r="C150" s="4" t="str">
        <x:f>IFERROR(INDEX('Material routes'!$H$6:$H$1005,MATCH(U150,'Material routes'!$A$6:$A$1005,0)),"MISSING ID")</x:f>
        <x:v>Processed material</x:v>
      </x:c>
      <x:c r="D150" s="4" t="str">
        <x:f>IFERROR(INDEX('Material routes'!$G$6:$G$1005,MATCH(U150,'Material routes'!$A$6:$A$1005,0)),"MISSING ID")</x:f>
        <x:v>Resources</x:v>
      </x:c>
      <x:c r="E150" s="4" t="str">
        <x:f>IFERROR(INDEX('Material routes'!$C$6:$C$1005,MATCH(U150,'Material routes'!$A$6:$A$1005,0)),"MISSING ID")</x:f>
        <x:v>Ingredient candidate</x:v>
      </x:c>
      <x:c r="F150" s="4" t="str">
        <x:f>IFERROR(INDEX('Material routes'!$E$6:$E$1005,MATCH(V150,'Material routes'!$A$6:$A$1005,0)),"MISSING ID")</x:f>
        <x:v>Reinforced sealing sheet</x:v>
      </x:c>
      <x:c r="G150" s="4" t="str">
        <x:f>IFERROR(INDEX('Material routes'!$F$6:$F$1005,MATCH(V150,'Material routes'!$A$6:$A$1005,0)),"MISSING ID")</x:f>
        <x:v>T3</x:v>
      </x:c>
      <x:c r="H150" s="4" t="str">
        <x:f>IFERROR(INDEX('Material routes'!$H$6:$H$1005,MATCH(V150,'Material routes'!$A$6:$A$1005,0)),"MISSING ID")</x:f>
        <x:v>Processed material</x:v>
      </x:c>
      <x:c r="I150" s="4" t="str">
        <x:f>IFERROR(INDEX('Material routes'!$G$6:$G$1005,MATCH(V150,'Material routes'!$A$6:$A$1005,0)),"MISSING ID")</x:f>
        <x:v>Resources</x:v>
      </x:c>
      <x:c r="J150" s="4" t="str">
        <x:f>IFERROR(INDEX('Material routes'!$B$6:$B$1005,MATCH(U150,'Material routes'!$A$6:$A$1005,0)),"MISSING ID")</x:f>
        <x:v>design.branch.branch.sealing_sheet</x:v>
      </x:c>
      <x:c r="K150" s="4" t="str">
        <x:f>IFERROR(INDEX('Crafting recipes'!$C$6:$C$1005,MATCH(J150,'Crafting recipes'!$A$6:$A$1005,0)),"MISSING ID")</x:f>
        <x:v>Material refinement</x:v>
      </x:c>
      <x:c r="L150" s="4" t="str">
        <x:f>IFERROR(INDEX('Material routes'!$K$6:$K$1005,MATCH(U150,'Material routes'!$A$6:$A$1005,0)),"MISSING ID")</x:f>
        <x:v>Proposal</x:v>
      </x:c>
      <x:c r="M150" s="4" t="str">
        <x:f>IFERROR(INDEX('Material routes'!$M$6:$M$1005,MATCH(U150,'Material routes'!$A$6:$A$1005,0)),"MISSING ID")</x:f>
        <x:v>Partial proposal</x:v>
      </x:c>
      <x:c r="N150" s="4" t="str">
        <x:f>IF(IFERROR(INDEX('Material routes'!$I$6:$I$1005,MATCH(U150,'Material routes'!$A$6:$A$1005,0)),"MISSING ID")=0,"",IFERROR(INDEX('Material routes'!$I$6:$I$1005,MATCH(U150,'Material routes'!$A$6:$A$1005,0)),"MISSING ID"))</x:f>
      </x:c>
      <x:c r="O150" s="4" t="str">
        <x:f>IFERROR(INDEX('Material routes'!$J$6:$J$1005,MATCH(U150,'Material routes'!$A$6:$A$1005,0)),"MISSING ID")</x:f>
        <x:v>Unspecified</x:v>
      </x:c>
      <x:c r="P150" s="4" t="str">
        <x:f>IF(IFERROR(INDEX('Material routes'!$I$6:$I$1005,MATCH(V150,'Material routes'!$A$6:$A$1005,0)),"MISSING ID")=0,"",IFERROR(INDEX('Material routes'!$I$6:$I$1005,MATCH(V150,'Material routes'!$A$6:$A$1005,0)),"MISSING ID"))</x:f>
      </x:c>
      <x:c r="Q150" s="4" t="str">
        <x:f>IFERROR(INDEX('Material routes'!$J$6:$J$1005,MATCH(V150,'Material routes'!$A$6:$A$1005,0)),"MISSING ID")</x:f>
        <x:v>Unspecified</x:v>
      </x:c>
      <x:c r="R150" s="4" t="str">
        <x:f>IF(L150="Withheld","Withheld premise",IF(E150="Tool candidate","Reusable prerequisite",IF(K150="Raw entry preparation","Entry-resource preparation",IF(G150="Not applicable","Finished endpoint",IF(OR(IFERROR(INDEX('Crafting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routes'!$D$6:$D$1005,MATCH(U150,'Material routes'!$A$6:$A$1005,0)),"MISSING ID")</x:f>
        <x:v>proposal.branch.mica_sheet</x:v>
      </x:c>
      <x:c r="T150" s="4" t="str">
        <x:f>IFERROR(INDEX('Material routes'!$D$6:$D$1005,MATCH(V150,'Material routes'!$A$6:$A$1005,0)),"MISSING ID")</x:f>
        <x:v>proposal.branch.sealing_sheet</x:v>
      </x:c>
      <x:c r="U150" s="4" t="str">
        <x:v>design.branch.branch.sealing_sheet.in.2</x:v>
      </x:c>
      <x:c r="V150" s="4" t="str">
        <x:v>design.branch.branch.sealing_sheet.out</x:v>
      </x:c>
    </x:row>
    <x:row r="151" ht="105" customHeight="1">
      <x:c r="A151" s="4" t="str">
        <x:f>IFERROR(INDEX('Material routes'!$E$6:$E$1005,MATCH(U151,'Material routes'!$A$6:$A$1005,0)),"MISSING ID")</x:f>
        <x:v>Flexible membrane-bonding compound</x:v>
      </x:c>
      <x:c r="B151" s="4" t="str">
        <x:f>IFERROR(INDEX('Material routes'!$F$6:$F$1005,MATCH(U151,'Material routes'!$A$6:$A$1005,0)),"MISSING ID")</x:f>
        <x:v>T2</x:v>
      </x:c>
      <x:c r="C151" s="4" t="str">
        <x:f>IFERROR(INDEX('Material routes'!$H$6:$H$1005,MATCH(U151,'Material routes'!$A$6:$A$1005,0)),"MISSING ID")</x:f>
        <x:v>Chemical material</x:v>
      </x:c>
      <x:c r="D151" s="4" t="str">
        <x:f>IFERROR(INDEX('Material routes'!$G$6:$G$1005,MATCH(U151,'Material routes'!$A$6:$A$1005,0)),"MISSING ID")</x:f>
        <x:v>Resources</x:v>
      </x:c>
      <x:c r="E151" s="4" t="str">
        <x:f>IFERROR(INDEX('Material routes'!$C$6:$C$1005,MATCH(U151,'Material routes'!$A$6:$A$1005,0)),"MISSING ID")</x:f>
        <x:v>Ingredient candidate</x:v>
      </x:c>
      <x:c r="F151" s="4" t="str">
        <x:f>IFERROR(INDEX('Material routes'!$E$6:$E$1005,MATCH(V151,'Material routes'!$A$6:$A$1005,0)),"MISSING ID")</x:f>
        <x:v>Reinforced sealing sheet</x:v>
      </x:c>
      <x:c r="G151" s="4" t="str">
        <x:f>IFERROR(INDEX('Material routes'!$F$6:$F$1005,MATCH(V151,'Material routes'!$A$6:$A$1005,0)),"MISSING ID")</x:f>
        <x:v>T3</x:v>
      </x:c>
      <x:c r="H151" s="4" t="str">
        <x:f>IFERROR(INDEX('Material routes'!$H$6:$H$1005,MATCH(V151,'Material routes'!$A$6:$A$1005,0)),"MISSING ID")</x:f>
        <x:v>Processed material</x:v>
      </x:c>
      <x:c r="I151" s="4" t="str">
        <x:f>IFERROR(INDEX('Material routes'!$G$6:$G$1005,MATCH(V151,'Material routes'!$A$6:$A$1005,0)),"MISSING ID")</x:f>
        <x:v>Resources</x:v>
      </x:c>
      <x:c r="J151" s="4" t="str">
        <x:f>IFERROR(INDEX('Material routes'!$B$6:$B$1005,MATCH(U151,'Material routes'!$A$6:$A$1005,0)),"MISSING ID")</x:f>
        <x:v>design.branch.branch.sealing_sheet</x:v>
      </x:c>
      <x:c r="K151" s="4" t="str">
        <x:f>IFERROR(INDEX('Crafting recipes'!$C$6:$C$1005,MATCH(J151,'Crafting recipes'!$A$6:$A$1005,0)),"MISSING ID")</x:f>
        <x:v>Material refinement</x:v>
      </x:c>
      <x:c r="L151" s="4" t="str">
        <x:f>IFERROR(INDEX('Material routes'!$K$6:$K$1005,MATCH(U151,'Material routes'!$A$6:$A$1005,0)),"MISSING ID")</x:f>
        <x:v>Proposal</x:v>
      </x:c>
      <x:c r="M151" s="4" t="str">
        <x:f>IFERROR(INDEX('Material routes'!$M$6:$M$1005,MATCH(U151,'Material routes'!$A$6:$A$1005,0)),"MISSING ID")</x:f>
        <x:v>Partial proposal</x:v>
      </x:c>
      <x:c r="N151" s="4" t="str">
        <x:f>IF(IFERROR(INDEX('Material routes'!$I$6:$I$1005,MATCH(U151,'Material routes'!$A$6:$A$1005,0)),"MISSING ID")=0,"",IFERROR(INDEX('Material routes'!$I$6:$I$1005,MATCH(U151,'Material routes'!$A$6:$A$1005,0)),"MISSING ID"))</x:f>
      </x:c>
      <x:c r="O151" s="4" t="str">
        <x:f>IFERROR(INDEX('Material routes'!$J$6:$J$1005,MATCH(U151,'Material routes'!$A$6:$A$1005,0)),"MISSING ID")</x:f>
        <x:v>Unspecified</x:v>
      </x:c>
      <x:c r="P151" s="4" t="str">
        <x:f>IF(IFERROR(INDEX('Material routes'!$I$6:$I$1005,MATCH(V151,'Material routes'!$A$6:$A$1005,0)),"MISSING ID")=0,"",IFERROR(INDEX('Material routes'!$I$6:$I$1005,MATCH(V151,'Material routes'!$A$6:$A$1005,0)),"MISSING ID"))</x:f>
      </x:c>
      <x:c r="Q151" s="4" t="str">
        <x:f>IFERROR(INDEX('Material routes'!$J$6:$J$1005,MATCH(V151,'Material routes'!$A$6:$A$1005,0)),"MISSING ID")</x:f>
        <x:v>Unspecified</x:v>
      </x:c>
      <x:c r="R151" s="4" t="str">
        <x:f>IF(L151="Withheld","Withheld premise",IF(E151="Tool candidate","Reusable prerequisite",IF(K151="Raw entry preparation","Entry-resource preparation",IF(G151="Not applicable","Finished endpoint",IF(OR(IFERROR(INDEX('Crafting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routes'!$D$6:$D$1005,MATCH(U151,'Material routes'!$A$6:$A$1005,0)),"MISSING ID")</x:f>
        <x:v>proposal.branch.flex_bond</x:v>
      </x:c>
      <x:c r="T151" s="4" t="str">
        <x:f>IFERROR(INDEX('Material routes'!$D$6:$D$1005,MATCH(V151,'Material routes'!$A$6:$A$1005,0)),"MISSING ID")</x:f>
        <x:v>proposal.branch.sealing_sheet</x:v>
      </x:c>
      <x:c r="U151" s="4" t="str">
        <x:v>design.branch.branch.sealing_sheet.in.3</x:v>
      </x:c>
      <x:c r="V151" s="4" t="str">
        <x:v>design.branch.branch.sealing_sheet.out</x:v>
      </x:c>
    </x:row>
    <x:row r="152" ht="105" customHeight="1">
      <x:c r="A152" s="4" t="str">
        <x:f>IFERROR(INDEX('Material routes'!$E$6:$E$1005,MATCH(U152,'Material routes'!$A$6:$A$1005,0)),"MISSING ID")</x:f>
        <x:v>Husk-fiber paper</x:v>
      </x:c>
      <x:c r="B152" s="4" t="str">
        <x:f>IFERROR(INDEX('Material routes'!$F$6:$F$1005,MATCH(U152,'Material routes'!$A$6:$A$1005,0)),"MISSING ID")</x:f>
        <x:v>T2</x:v>
      </x:c>
      <x:c r="C152" s="4" t="str">
        <x:f>IFERROR(INDEX('Material routes'!$H$6:$H$1005,MATCH(U152,'Material routes'!$A$6:$A$1005,0)),"MISSING ID")</x:f>
        <x:v>Processed material</x:v>
      </x:c>
      <x:c r="D152" s="4" t="str">
        <x:f>IFERROR(INDEX('Material routes'!$G$6:$G$1005,MATCH(U152,'Material routes'!$A$6:$A$1005,0)),"MISSING ID")</x:f>
        <x:v>Crafting components</x:v>
      </x:c>
      <x:c r="E152" s="4" t="str">
        <x:f>IFERROR(INDEX('Material routes'!$C$6:$C$1005,MATCH(U152,'Material routes'!$A$6:$A$1005,0)),"MISSING ID")</x:f>
        <x:v>Ingredient candidate</x:v>
      </x:c>
      <x:c r="F152" s="4" t="str">
        <x:f>IFERROR(INDEX('Material routes'!$E$6:$E$1005,MATCH(V152,'Material routes'!$A$6:$A$1005,0)),"MISSING ID")</x:f>
        <x:v>Finished decorative husk stock</x:v>
      </x:c>
      <x:c r="G152" s="4" t="str">
        <x:f>IFERROR(INDEX('Material routes'!$F$6:$F$1005,MATCH(V152,'Material routes'!$A$6:$A$1005,0)),"MISSING ID")</x:f>
        <x:v>T3</x:v>
      </x:c>
      <x:c r="H152" s="4" t="str">
        <x:f>IFERROR(INDEX('Material routes'!$H$6:$H$1005,MATCH(V152,'Material routes'!$A$6:$A$1005,0)),"MISSING ID")</x:f>
        <x:v>Processed material</x:v>
      </x:c>
      <x:c r="I152" s="4" t="str">
        <x:f>IFERROR(INDEX('Material routes'!$G$6:$G$1005,MATCH(V152,'Material routes'!$A$6:$A$1005,0)),"MISSING ID")</x:f>
        <x:v>Resources</x:v>
      </x:c>
      <x:c r="J152" s="4" t="str">
        <x:f>IFERROR(INDEX('Material routes'!$B$6:$B$1005,MATCH(U152,'Material routes'!$A$6:$A$1005,0)),"MISSING ID")</x:f>
        <x:v>design.branch.branch.decorative_husk</x:v>
      </x:c>
      <x:c r="K152" s="4" t="str">
        <x:f>IFERROR(INDEX('Crafting recipes'!$C$6:$C$1005,MATCH(J152,'Crafting recipes'!$A$6:$A$1005,0)),"MISSING ID")</x:f>
        <x:v>Material refinement</x:v>
      </x:c>
      <x:c r="L152" s="4" t="str">
        <x:f>IFERROR(INDEX('Material routes'!$K$6:$K$1005,MATCH(U152,'Material routes'!$A$6:$A$1005,0)),"MISSING ID")</x:f>
        <x:v>Proposal</x:v>
      </x:c>
      <x:c r="M152" s="4" t="str">
        <x:f>IFERROR(INDEX('Material routes'!$M$6:$M$1005,MATCH(U152,'Material routes'!$A$6:$A$1005,0)),"MISSING ID")</x:f>
        <x:v>Partial proposal</x:v>
      </x:c>
      <x:c r="N152" s="4" t="str">
        <x:f>IF(IFERROR(INDEX('Material routes'!$I$6:$I$1005,MATCH(U152,'Material routes'!$A$6:$A$1005,0)),"MISSING ID")=0,"",IFERROR(INDEX('Material routes'!$I$6:$I$1005,MATCH(U152,'Material routes'!$A$6:$A$1005,0)),"MISSING ID"))</x:f>
      </x:c>
      <x:c r="O152" s="4" t="str">
        <x:f>IFERROR(INDEX('Material routes'!$J$6:$J$1005,MATCH(U152,'Material routes'!$A$6:$A$1005,0)),"MISSING ID")</x:f>
        <x:v>Unspecified</x:v>
      </x:c>
      <x:c r="P152" s="4" t="str">
        <x:f>IF(IFERROR(INDEX('Material routes'!$I$6:$I$1005,MATCH(V152,'Material routes'!$A$6:$A$1005,0)),"MISSING ID")=0,"",IFERROR(INDEX('Material routes'!$I$6:$I$1005,MATCH(V152,'Material routes'!$A$6:$A$1005,0)),"MISSING ID"))</x:f>
      </x:c>
      <x:c r="Q152" s="4" t="str">
        <x:f>IFERROR(INDEX('Material routes'!$J$6:$J$1005,MATCH(V152,'Material routes'!$A$6:$A$1005,0)),"MISSING ID")</x:f>
        <x:v>Unspecified</x:v>
      </x:c>
      <x:c r="R152" s="4" t="str">
        <x:f>IF(L152="Withheld","Withheld premise",IF(E152="Tool candidate","Reusable prerequisite",IF(K152="Raw entry preparation","Entry-resource preparation",IF(G152="Not applicable","Finished endpoint",IF(OR(IFERROR(INDEX('Crafting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routes'!$D$6:$D$1005,MATCH(U152,'Material routes'!$A$6:$A$1005,0)),"MISSING ID")</x:f>
        <x:v>proposal.bio.husk_paper</x:v>
      </x:c>
      <x:c r="T152" s="4" t="str">
        <x:f>IFERROR(INDEX('Material routes'!$D$6:$D$1005,MATCH(V152,'Material routes'!$A$6:$A$1005,0)),"MISSING ID")</x:f>
        <x:v>proposal.branch.decorative_husk</x:v>
      </x:c>
      <x:c r="U152" s="4" t="str">
        <x:v>design.branch.branch.decorative_husk.in.1</x:v>
      </x:c>
      <x:c r="V152" s="4" t="str">
        <x:v>design.branch.branch.decorative_husk.out</x:v>
      </x:c>
    </x:row>
    <x:row r="153" ht="105" customHeight="1">
      <x:c r="A153" s="4" t="str">
        <x:f>IFERROR(INDEX('Material routes'!$E$6:$E$1005,MATCH(U153,'Material routes'!$A$6:$A$1005,0)),"MISSING ID")</x:f>
        <x:v>Mineral pigment coating</x:v>
      </x:c>
      <x:c r="B153" s="4" t="str">
        <x:f>IFERROR(INDEX('Material routes'!$F$6:$F$1005,MATCH(U153,'Material routes'!$A$6:$A$1005,0)),"MISSING ID")</x:f>
        <x:v>T2</x:v>
      </x:c>
      <x:c r="C153" s="4" t="str">
        <x:f>IFERROR(INDEX('Material routes'!$H$6:$H$1005,MATCH(U153,'Material routes'!$A$6:$A$1005,0)),"MISSING ID")</x:f>
        <x:v>Processed material</x:v>
      </x:c>
      <x:c r="D153" s="4" t="str">
        <x:f>IFERROR(INDEX('Material routes'!$G$6:$G$1005,MATCH(U153,'Material routes'!$A$6:$A$1005,0)),"MISSING ID")</x:f>
        <x:v>Resources</x:v>
      </x:c>
      <x:c r="E153" s="4" t="str">
        <x:f>IFERROR(INDEX('Material routes'!$C$6:$C$1005,MATCH(U153,'Material routes'!$A$6:$A$1005,0)),"MISSING ID")</x:f>
        <x:v>Ingredient candidate</x:v>
      </x:c>
      <x:c r="F153" s="4" t="str">
        <x:f>IFERROR(INDEX('Material routes'!$E$6:$E$1005,MATCH(V153,'Material routes'!$A$6:$A$1005,0)),"MISSING ID")</x:f>
        <x:v>Finished decorative husk stock</x:v>
      </x:c>
      <x:c r="G153" s="4" t="str">
        <x:f>IFERROR(INDEX('Material routes'!$F$6:$F$1005,MATCH(V153,'Material routes'!$A$6:$A$1005,0)),"MISSING ID")</x:f>
        <x:v>T3</x:v>
      </x:c>
      <x:c r="H153" s="4" t="str">
        <x:f>IFERROR(INDEX('Material routes'!$H$6:$H$1005,MATCH(V153,'Material routes'!$A$6:$A$1005,0)),"MISSING ID")</x:f>
        <x:v>Processed material</x:v>
      </x:c>
      <x:c r="I153" s="4" t="str">
        <x:f>IFERROR(INDEX('Material routes'!$G$6:$G$1005,MATCH(V153,'Material routes'!$A$6:$A$1005,0)),"MISSING ID")</x:f>
        <x:v>Resources</x:v>
      </x:c>
      <x:c r="J153" s="4" t="str">
        <x:f>IFERROR(INDEX('Material routes'!$B$6:$B$1005,MATCH(U153,'Material routes'!$A$6:$A$1005,0)),"MISSING ID")</x:f>
        <x:v>design.branch.branch.decorative_husk</x:v>
      </x:c>
      <x:c r="K153" s="4" t="str">
        <x:f>IFERROR(INDEX('Crafting recipes'!$C$6:$C$1005,MATCH(J153,'Crafting recipes'!$A$6:$A$1005,0)),"MISSING ID")</x:f>
        <x:v>Material refinement</x:v>
      </x:c>
      <x:c r="L153" s="4" t="str">
        <x:f>IFERROR(INDEX('Material routes'!$K$6:$K$1005,MATCH(U153,'Material routes'!$A$6:$A$1005,0)),"MISSING ID")</x:f>
        <x:v>Proposal</x:v>
      </x:c>
      <x:c r="M153" s="4" t="str">
        <x:f>IFERROR(INDEX('Material routes'!$M$6:$M$1005,MATCH(U153,'Material routes'!$A$6:$A$1005,0)),"MISSING ID")</x:f>
        <x:v>Partial proposal</x:v>
      </x:c>
      <x:c r="N153" s="4" t="str">
        <x:f>IF(IFERROR(INDEX('Material routes'!$I$6:$I$1005,MATCH(U153,'Material routes'!$A$6:$A$1005,0)),"MISSING ID")=0,"",IFERROR(INDEX('Material routes'!$I$6:$I$1005,MATCH(U153,'Material routes'!$A$6:$A$1005,0)),"MISSING ID"))</x:f>
      </x:c>
      <x:c r="O153" s="4" t="str">
        <x:f>IFERROR(INDEX('Material routes'!$J$6:$J$1005,MATCH(U153,'Material routes'!$A$6:$A$1005,0)),"MISSING ID")</x:f>
        <x:v>Unspecified</x:v>
      </x:c>
      <x:c r="P153" s="4" t="str">
        <x:f>IF(IFERROR(INDEX('Material routes'!$I$6:$I$1005,MATCH(V153,'Material routes'!$A$6:$A$1005,0)),"MISSING ID")=0,"",IFERROR(INDEX('Material routes'!$I$6:$I$1005,MATCH(V153,'Material routes'!$A$6:$A$1005,0)),"MISSING ID"))</x:f>
      </x:c>
      <x:c r="Q153" s="4" t="str">
        <x:f>IFERROR(INDEX('Material routes'!$J$6:$J$1005,MATCH(V153,'Material routes'!$A$6:$A$1005,0)),"MISSING ID")</x:f>
        <x:v>Unspecified</x:v>
      </x:c>
      <x:c r="R153" s="4" t="str">
        <x:f>IF(L153="Withheld","Withheld premise",IF(E153="Tool candidate","Reusable prerequisite",IF(K153="Raw entry preparation","Entry-resource preparation",IF(G153="Not applicable","Finished endpoint",IF(OR(IFERROR(INDEX('Crafting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routes'!$D$6:$D$1005,MATCH(U153,'Material routes'!$A$6:$A$1005,0)),"MISSING ID")</x:f>
        <x:v>proposal.branch.pigment_coating</x:v>
      </x:c>
      <x:c r="T153" s="4" t="str">
        <x:f>IFERROR(INDEX('Material routes'!$D$6:$D$1005,MATCH(V153,'Material routes'!$A$6:$A$1005,0)),"MISSING ID")</x:f>
        <x:v>proposal.branch.decorative_husk</x:v>
      </x:c>
      <x:c r="U153" s="4" t="str">
        <x:v>design.branch.branch.decorative_husk.in.2</x:v>
      </x:c>
      <x:c r="V153" s="4" t="str">
        <x:v>design.branch.branch.decorative_husk.out</x:v>
      </x:c>
    </x:row>
    <x:row r="154" ht="105" customHeight="1">
      <x:c r="A154" s="4" t="str">
        <x:f>IFERROR(INDEX('Material routes'!$E$6:$E$1005,MATCH(U154,'Material routes'!$A$6:$A$1005,0)),"MISSING ID")</x:f>
        <x:v>Filled faunal seal compound</x:v>
      </x:c>
      <x:c r="B154" s="4" t="str">
        <x:f>IFERROR(INDEX('Material routes'!$F$6:$F$1005,MATCH(U154,'Material routes'!$A$6:$A$1005,0)),"MISSING ID")</x:f>
        <x:v>T2</x:v>
      </x:c>
      <x:c r="C154" s="4" t="str">
        <x:f>IFERROR(INDEX('Material routes'!$H$6:$H$1005,MATCH(U154,'Material routes'!$A$6:$A$1005,0)),"MISSING ID")</x:f>
        <x:v>Chemical material</x:v>
      </x:c>
      <x:c r="D154" s="4" t="str">
        <x:f>IFERROR(INDEX('Material routes'!$G$6:$G$1005,MATCH(U154,'Material routes'!$A$6:$A$1005,0)),"MISSING ID")</x:f>
        <x:v>Resources</x:v>
      </x:c>
      <x:c r="E154" s="4" t="str">
        <x:f>IFERROR(INDEX('Material routes'!$C$6:$C$1005,MATCH(U154,'Material routes'!$A$6:$A$1005,0)),"MISSING ID")</x:f>
        <x:v>Ingredient candidate</x:v>
      </x:c>
      <x:c r="F154" s="4" t="str">
        <x:f>IFERROR(INDEX('Material routes'!$E$6:$E$1005,MATCH(V154,'Material routes'!$A$6:$A$1005,0)),"MISSING ID")</x:f>
        <x:v>Canister joint sealant</x:v>
      </x:c>
      <x:c r="G154" s="4" t="str">
        <x:f>IFERROR(INDEX('Material routes'!$F$6:$F$1005,MATCH(V154,'Material routes'!$A$6:$A$1005,0)),"MISSING ID")</x:f>
        <x:v>T3</x:v>
      </x:c>
      <x:c r="H154" s="4" t="str">
        <x:f>IFERROR(INDEX('Material routes'!$H$6:$H$1005,MATCH(V154,'Material routes'!$A$6:$A$1005,0)),"MISSING ID")</x:f>
        <x:v>Chemical material</x:v>
      </x:c>
      <x:c r="I154" s="4" t="str">
        <x:f>IFERROR(INDEX('Material routes'!$G$6:$G$1005,MATCH(V154,'Material routes'!$A$6:$A$1005,0)),"MISSING ID")</x:f>
        <x:v>Crafting components</x:v>
      </x:c>
      <x:c r="J154" s="4" t="str">
        <x:f>IFERROR(INDEX('Material routes'!$B$6:$B$1005,MATCH(U154,'Material routes'!$A$6:$A$1005,0)),"MISSING ID")</x:f>
        <x:v>design.branch.canister.sealant</x:v>
      </x:c>
      <x:c r="K154" s="4" t="str">
        <x:f>IFERROR(INDEX('Crafting recipes'!$C$6:$C$1005,MATCH(J154,'Crafting recipes'!$A$6:$A$1005,0)),"MISSING ID")</x:f>
        <x:v>Material refinement</x:v>
      </x:c>
      <x:c r="L154" s="4" t="str">
        <x:f>IFERROR(INDEX('Material routes'!$K$6:$K$1005,MATCH(U154,'Material routes'!$A$6:$A$1005,0)),"MISSING ID")</x:f>
        <x:v>Proposal</x:v>
      </x:c>
      <x:c r="M154" s="4" t="str">
        <x:f>IFERROR(INDEX('Material routes'!$M$6:$M$1005,MATCH(U154,'Material routes'!$A$6:$A$1005,0)),"MISSING ID")</x:f>
        <x:v>Partial proposal</x:v>
      </x:c>
      <x:c r="N154" s="4" t="str">
        <x:f>IF(IFERROR(INDEX('Material routes'!$I$6:$I$1005,MATCH(U154,'Material routes'!$A$6:$A$1005,0)),"MISSING ID")=0,"",IFERROR(INDEX('Material routes'!$I$6:$I$1005,MATCH(U154,'Material routes'!$A$6:$A$1005,0)),"MISSING ID"))</x:f>
      </x:c>
      <x:c r="O154" s="4" t="str">
        <x:f>IFERROR(INDEX('Material routes'!$J$6:$J$1005,MATCH(U154,'Material routes'!$A$6:$A$1005,0)),"MISSING ID")</x:f>
        <x:v>Unspecified</x:v>
      </x:c>
      <x:c r="P154" s="4" t="str">
        <x:f>IF(IFERROR(INDEX('Material routes'!$I$6:$I$1005,MATCH(V154,'Material routes'!$A$6:$A$1005,0)),"MISSING ID")=0,"",IFERROR(INDEX('Material routes'!$I$6:$I$1005,MATCH(V154,'Material routes'!$A$6:$A$1005,0)),"MISSING ID"))</x:f>
      </x:c>
      <x:c r="Q154" s="4" t="str">
        <x:f>IFERROR(INDEX('Material routes'!$J$6:$J$1005,MATCH(V154,'Material routes'!$A$6:$A$1005,0)),"MISSING ID")</x:f>
        <x:v>Unspecified</x:v>
      </x:c>
      <x:c r="R154" s="4" t="str">
        <x:f>IF(L154="Withheld","Withheld premise",IF(E154="Tool candidate","Reusable prerequisite",IF(K154="Raw entry preparation","Entry-resource preparation",IF(G154="Not applicable","Finished endpoint",IF(OR(IFERROR(INDEX('Crafting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routes'!$D$6:$D$1005,MATCH(U154,'Material routes'!$A$6:$A$1005,0)),"MISSING ID")</x:f>
        <x:v>proposal.branch.filled_seal</x:v>
      </x:c>
      <x:c r="T154" s="4" t="str">
        <x:f>IFERROR(INDEX('Material routes'!$D$6:$D$1005,MATCH(V154,'Material routes'!$A$6:$A$1005,0)),"MISSING ID")</x:f>
        <x:v>proposal.canister.sealant</x:v>
      </x:c>
      <x:c r="U154" s="4" t="str">
        <x:v>design.branch.canister.sealant.in.1</x:v>
      </x:c>
      <x:c r="V154" s="4" t="str">
        <x:v>design.branch.canister.sealant.out</x:v>
      </x:c>
    </x:row>
    <x:row r="155" ht="105" customHeight="1">
      <x:c r="A155" s="4" t="str">
        <x:f>IFERROR(INDEX('Material routes'!$E$6:$E$1005,MATCH(U155,'Material routes'!$A$6:$A$1005,0)),"MISSING ID")</x:f>
        <x:v>Flexible membrane-bonding compound</x:v>
      </x:c>
      <x:c r="B155" s="4" t="str">
        <x:f>IFERROR(INDEX('Material routes'!$F$6:$F$1005,MATCH(U155,'Material routes'!$A$6:$A$1005,0)),"MISSING ID")</x:f>
        <x:v>T2</x:v>
      </x:c>
      <x:c r="C155" s="4" t="str">
        <x:f>IFERROR(INDEX('Material routes'!$H$6:$H$1005,MATCH(U155,'Material routes'!$A$6:$A$1005,0)),"MISSING ID")</x:f>
        <x:v>Chemical material</x:v>
      </x:c>
      <x:c r="D155" s="4" t="str">
        <x:f>IFERROR(INDEX('Material routes'!$G$6:$G$1005,MATCH(U155,'Material routes'!$A$6:$A$1005,0)),"MISSING ID")</x:f>
        <x:v>Resources</x:v>
      </x:c>
      <x:c r="E155" s="4" t="str">
        <x:f>IFERROR(INDEX('Material routes'!$C$6:$C$1005,MATCH(U155,'Material routes'!$A$6:$A$1005,0)),"MISSING ID")</x:f>
        <x:v>Ingredient candidate</x:v>
      </x:c>
      <x:c r="F155" s="4" t="str">
        <x:f>IFERROR(INDEX('Material routes'!$E$6:$E$1005,MATCH(V155,'Material routes'!$A$6:$A$1005,0)),"MISSING ID")</x:f>
        <x:v>Canister joint sealant</x:v>
      </x:c>
      <x:c r="G155" s="4" t="str">
        <x:f>IFERROR(INDEX('Material routes'!$F$6:$F$1005,MATCH(V155,'Material routes'!$A$6:$A$1005,0)),"MISSING ID")</x:f>
        <x:v>T3</x:v>
      </x:c>
      <x:c r="H155" s="4" t="str">
        <x:f>IFERROR(INDEX('Material routes'!$H$6:$H$1005,MATCH(V155,'Material routes'!$A$6:$A$1005,0)),"MISSING ID")</x:f>
        <x:v>Chemical material</x:v>
      </x:c>
      <x:c r="I155" s="4" t="str">
        <x:f>IFERROR(INDEX('Material routes'!$G$6:$G$1005,MATCH(V155,'Material routes'!$A$6:$A$1005,0)),"MISSING ID")</x:f>
        <x:v>Crafting components</x:v>
      </x:c>
      <x:c r="J155" s="4" t="str">
        <x:f>IFERROR(INDEX('Material routes'!$B$6:$B$1005,MATCH(U155,'Material routes'!$A$6:$A$1005,0)),"MISSING ID")</x:f>
        <x:v>design.branch.canister.sealant</x:v>
      </x:c>
      <x:c r="K155" s="4" t="str">
        <x:f>IFERROR(INDEX('Crafting recipes'!$C$6:$C$1005,MATCH(J155,'Crafting recipes'!$A$6:$A$1005,0)),"MISSING ID")</x:f>
        <x:v>Material refinement</x:v>
      </x:c>
      <x:c r="L155" s="4" t="str">
        <x:f>IFERROR(INDEX('Material routes'!$K$6:$K$1005,MATCH(U155,'Material routes'!$A$6:$A$1005,0)),"MISSING ID")</x:f>
        <x:v>Proposal</x:v>
      </x:c>
      <x:c r="M155" s="4" t="str">
        <x:f>IFERROR(INDEX('Material routes'!$M$6:$M$1005,MATCH(U155,'Material routes'!$A$6:$A$1005,0)),"MISSING ID")</x:f>
        <x:v>Partial proposal</x:v>
      </x:c>
      <x:c r="N155" s="4" t="str">
        <x:f>IF(IFERROR(INDEX('Material routes'!$I$6:$I$1005,MATCH(U155,'Material routes'!$A$6:$A$1005,0)),"MISSING ID")=0,"",IFERROR(INDEX('Material routes'!$I$6:$I$1005,MATCH(U155,'Material routes'!$A$6:$A$1005,0)),"MISSING ID"))</x:f>
      </x:c>
      <x:c r="O155" s="4" t="str">
        <x:f>IFERROR(INDEX('Material routes'!$J$6:$J$1005,MATCH(U155,'Material routes'!$A$6:$A$1005,0)),"MISSING ID")</x:f>
        <x:v>Unspecified</x:v>
      </x:c>
      <x:c r="P155" s="4" t="str">
        <x:f>IF(IFERROR(INDEX('Material routes'!$I$6:$I$1005,MATCH(V155,'Material routes'!$A$6:$A$1005,0)),"MISSING ID")=0,"",IFERROR(INDEX('Material routes'!$I$6:$I$1005,MATCH(V155,'Material routes'!$A$6:$A$1005,0)),"MISSING ID"))</x:f>
      </x:c>
      <x:c r="Q155" s="4" t="str">
        <x:f>IFERROR(INDEX('Material routes'!$J$6:$J$1005,MATCH(V155,'Material routes'!$A$6:$A$1005,0)),"MISSING ID")</x:f>
        <x:v>Unspecified</x:v>
      </x:c>
      <x:c r="R155" s="4" t="str">
        <x:f>IF(L155="Withheld","Withheld premise",IF(E155="Tool candidate","Reusable prerequisite",IF(K155="Raw entry preparation","Entry-resource preparation",IF(G155="Not applicable","Finished endpoint",IF(OR(IFERROR(INDEX('Crafting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routes'!$D$6:$D$1005,MATCH(U155,'Material routes'!$A$6:$A$1005,0)),"MISSING ID")</x:f>
        <x:v>proposal.branch.flex_bond</x:v>
      </x:c>
      <x:c r="T155" s="4" t="str">
        <x:f>IFERROR(INDEX('Material routes'!$D$6:$D$1005,MATCH(V155,'Material routes'!$A$6:$A$1005,0)),"MISSING ID")</x:f>
        <x:v>proposal.canister.sealant</x:v>
      </x:c>
      <x:c r="U155" s="4" t="str">
        <x:v>design.branch.canister.sealant.in.2</x:v>
      </x:c>
      <x:c r="V155" s="4" t="str">
        <x:v>design.branch.canister.sealant.out</x:v>
      </x:c>
    </x:row>
    <x:row r="156" ht="105" customHeight="1">
      <x:c r="A156" s="4" t="str">
        <x:f>IFERROR(INDEX('Material routes'!$E$6:$E$1005,MATCH(U156,'Material routes'!$A$6:$A$1005,0)),"MISSING ID")</x:f>
        <x:v>Steel-faced shell composite</x:v>
      </x:c>
      <x:c r="B156" s="4" t="str">
        <x:f>IFERROR(INDEX('Material routes'!$F$6:$F$1005,MATCH(U156,'Material routes'!$A$6:$A$1005,0)),"MISSING ID")</x:f>
        <x:v>T3</x:v>
      </x:c>
      <x:c r="C156" s="4" t="str">
        <x:f>IFERROR(INDEX('Material routes'!$H$6:$H$1005,MATCH(U156,'Material routes'!$A$6:$A$1005,0)),"MISSING ID")</x:f>
        <x:v>Processed material</x:v>
      </x:c>
      <x:c r="D156" s="4" t="str">
        <x:f>IFERROR(INDEX('Material routes'!$G$6:$G$1005,MATCH(U156,'Material routes'!$A$6:$A$1005,0)),"MISSING ID")</x:f>
        <x:v>Resources</x:v>
      </x:c>
      <x:c r="E156" s="4" t="str">
        <x:f>IFERROR(INDEX('Material routes'!$C$6:$C$1005,MATCH(U156,'Material routes'!$A$6:$A$1005,0)),"MISSING ID")</x:f>
        <x:v>Ingredient candidate</x:v>
      </x:c>
      <x:c r="F156" s="4" t="str">
        <x:f>IFERROR(INDEX('Material routes'!$E$6:$E$1005,MATCH(V156,'Material routes'!$A$6:$A$1005,0)),"MISSING ID")</x:f>
        <x:v>Layered protective composite stock</x:v>
      </x:c>
      <x:c r="G156" s="4" t="str">
        <x:f>IFERROR(INDEX('Material routes'!$F$6:$F$1005,MATCH(V156,'Material routes'!$A$6:$A$1005,0)),"MISSING ID")</x:f>
        <x:v>T4</x:v>
      </x:c>
      <x:c r="H156" s="4" t="str">
        <x:f>IFERROR(INDEX('Material routes'!$H$6:$H$1005,MATCH(V156,'Material routes'!$A$6:$A$1005,0)),"MISSING ID")</x:f>
        <x:v>Processed material</x:v>
      </x:c>
      <x:c r="I156" s="4" t="str">
        <x:f>IFERROR(INDEX('Material routes'!$G$6:$G$1005,MATCH(V156,'Material routes'!$A$6:$A$1005,0)),"MISSING ID")</x:f>
        <x:v>Resources</x:v>
      </x:c>
      <x:c r="J156" s="4" t="str">
        <x:f>IFERROR(INDEX('Material routes'!$B$6:$B$1005,MATCH(U156,'Material routes'!$A$6:$A$1005,0)),"MISSING ID")</x:f>
        <x:v>design.branch.branch.protective_stock</x:v>
      </x:c>
      <x:c r="K156" s="4" t="str">
        <x:f>IFERROR(INDEX('Crafting recipes'!$C$6:$C$1005,MATCH(J156,'Crafting recipes'!$A$6:$A$1005,0)),"MISSING ID")</x:f>
        <x:v>Material refinement</x:v>
      </x:c>
      <x:c r="L156" s="4" t="str">
        <x:f>IFERROR(INDEX('Material routes'!$K$6:$K$1005,MATCH(U156,'Material routes'!$A$6:$A$1005,0)),"MISSING ID")</x:f>
        <x:v>Proposal</x:v>
      </x:c>
      <x:c r="M156" s="4" t="str">
        <x:f>IFERROR(INDEX('Material routes'!$M$6:$M$1005,MATCH(U156,'Material routes'!$A$6:$A$1005,0)),"MISSING ID")</x:f>
        <x:v>Partial proposal</x:v>
      </x:c>
      <x:c r="N156" s="4" t="str">
        <x:f>IF(IFERROR(INDEX('Material routes'!$I$6:$I$1005,MATCH(U156,'Material routes'!$A$6:$A$1005,0)),"MISSING ID")=0,"",IFERROR(INDEX('Material routes'!$I$6:$I$1005,MATCH(U156,'Material routes'!$A$6:$A$1005,0)),"MISSING ID"))</x:f>
      </x:c>
      <x:c r="O156" s="4" t="str">
        <x:f>IFERROR(INDEX('Material routes'!$J$6:$J$1005,MATCH(U156,'Material routes'!$A$6:$A$1005,0)),"MISSING ID")</x:f>
        <x:v>Unspecified</x:v>
      </x:c>
      <x:c r="P156" s="4" t="str">
        <x:f>IF(IFERROR(INDEX('Material routes'!$I$6:$I$1005,MATCH(V156,'Material routes'!$A$6:$A$1005,0)),"MISSING ID")=0,"",IFERROR(INDEX('Material routes'!$I$6:$I$1005,MATCH(V156,'Material routes'!$A$6:$A$1005,0)),"MISSING ID"))</x:f>
      </x:c>
      <x:c r="Q156" s="4" t="str">
        <x:f>IFERROR(INDEX('Material routes'!$J$6:$J$1005,MATCH(V156,'Material routes'!$A$6:$A$1005,0)),"MISSING ID")</x:f>
        <x:v>Unspecified</x:v>
      </x:c>
      <x:c r="R156" s="4" t="str">
        <x:f>IF(L156="Withheld","Withheld premise",IF(E156="Tool candidate","Reusable prerequisite",IF(K156="Raw entry preparation","Entry-resource preparation",IF(G156="Not applicable","Finished endpoint",IF(OR(IFERROR(INDEX('Crafting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routes'!$D$6:$D$1005,MATCH(U156,'Material routes'!$A$6:$A$1005,0)),"MISSING ID")</x:f>
        <x:v>proposal.branch.steel_shell</x:v>
      </x:c>
      <x:c r="T156" s="4" t="str">
        <x:f>IFERROR(INDEX('Material routes'!$D$6:$D$1005,MATCH(V156,'Material routes'!$A$6:$A$1005,0)),"MISSING ID")</x:f>
        <x:v>proposal.branch.protective_stock</x:v>
      </x:c>
      <x:c r="U156" s="4" t="str">
        <x:v>design.branch.branch.protective_stock.in.1</x:v>
      </x:c>
      <x:c r="V156" s="4" t="str">
        <x:v>design.branch.branch.protective_stock.out</x:v>
      </x:c>
    </x:row>
    <x:row r="157" ht="105" customHeight="1">
      <x:c r="A157" s="4" t="str">
        <x:f>IFERROR(INDEX('Material routes'!$E$6:$E$1005,MATCH(U157,'Material routes'!$A$6:$A$1005,0)),"MISSING ID")</x:f>
        <x:v>Bonded ceramic-shell composite</x:v>
      </x:c>
      <x:c r="B157" s="4" t="str">
        <x:f>IFERROR(INDEX('Material routes'!$F$6:$F$1005,MATCH(U157,'Material routes'!$A$6:$A$1005,0)),"MISSING ID")</x:f>
        <x:v>T3</x:v>
      </x:c>
      <x:c r="C157" s="4" t="str">
        <x:f>IFERROR(INDEX('Material routes'!$H$6:$H$1005,MATCH(U157,'Material routes'!$A$6:$A$1005,0)),"MISSING ID")</x:f>
        <x:v>Processed material</x:v>
      </x:c>
      <x:c r="D157" s="4" t="str">
        <x:f>IFERROR(INDEX('Material routes'!$G$6:$G$1005,MATCH(U157,'Material routes'!$A$6:$A$1005,0)),"MISSING ID")</x:f>
        <x:v>Resources</x:v>
      </x:c>
      <x:c r="E157" s="4" t="str">
        <x:f>IFERROR(INDEX('Material routes'!$C$6:$C$1005,MATCH(U157,'Material routes'!$A$6:$A$1005,0)),"MISSING ID")</x:f>
        <x:v>Ingredient candidate</x:v>
      </x:c>
      <x:c r="F157" s="4" t="str">
        <x:f>IFERROR(INDEX('Material routes'!$E$6:$E$1005,MATCH(V157,'Material routes'!$A$6:$A$1005,0)),"MISSING ID")</x:f>
        <x:v>Layered protective composite stock</x:v>
      </x:c>
      <x:c r="G157" s="4" t="str">
        <x:f>IFERROR(INDEX('Material routes'!$F$6:$F$1005,MATCH(V157,'Material routes'!$A$6:$A$1005,0)),"MISSING ID")</x:f>
        <x:v>T4</x:v>
      </x:c>
      <x:c r="H157" s="4" t="str">
        <x:f>IFERROR(INDEX('Material routes'!$H$6:$H$1005,MATCH(V157,'Material routes'!$A$6:$A$1005,0)),"MISSING ID")</x:f>
        <x:v>Processed material</x:v>
      </x:c>
      <x:c r="I157" s="4" t="str">
        <x:f>IFERROR(INDEX('Material routes'!$G$6:$G$1005,MATCH(V157,'Material routes'!$A$6:$A$1005,0)),"MISSING ID")</x:f>
        <x:v>Resources</x:v>
      </x:c>
      <x:c r="J157" s="4" t="str">
        <x:f>IFERROR(INDEX('Material routes'!$B$6:$B$1005,MATCH(U157,'Material routes'!$A$6:$A$1005,0)),"MISSING ID")</x:f>
        <x:v>design.branch.branch.protective_stock</x:v>
      </x:c>
      <x:c r="K157" s="4" t="str">
        <x:f>IFERROR(INDEX('Crafting recipes'!$C$6:$C$1005,MATCH(J157,'Crafting recipes'!$A$6:$A$1005,0)),"MISSING ID")</x:f>
        <x:v>Material refinement</x:v>
      </x:c>
      <x:c r="L157" s="4" t="str">
        <x:f>IFERROR(INDEX('Material routes'!$K$6:$K$1005,MATCH(U157,'Material routes'!$A$6:$A$1005,0)),"MISSING ID")</x:f>
        <x:v>Proposal</x:v>
      </x:c>
      <x:c r="M157" s="4" t="str">
        <x:f>IFERROR(INDEX('Material routes'!$M$6:$M$1005,MATCH(U157,'Material routes'!$A$6:$A$1005,0)),"MISSING ID")</x:f>
        <x:v>Partial proposal</x:v>
      </x:c>
      <x:c r="N157" s="4" t="str">
        <x:f>IF(IFERROR(INDEX('Material routes'!$I$6:$I$1005,MATCH(U157,'Material routes'!$A$6:$A$1005,0)),"MISSING ID")=0,"",IFERROR(INDEX('Material routes'!$I$6:$I$1005,MATCH(U157,'Material routes'!$A$6:$A$1005,0)),"MISSING ID"))</x:f>
      </x:c>
      <x:c r="O157" s="4" t="str">
        <x:f>IFERROR(INDEX('Material routes'!$J$6:$J$1005,MATCH(U157,'Material routes'!$A$6:$A$1005,0)),"MISSING ID")</x:f>
        <x:v>Unspecified</x:v>
      </x:c>
      <x:c r="P157" s="4" t="str">
        <x:f>IF(IFERROR(INDEX('Material routes'!$I$6:$I$1005,MATCH(V157,'Material routes'!$A$6:$A$1005,0)),"MISSING ID")=0,"",IFERROR(INDEX('Material routes'!$I$6:$I$1005,MATCH(V157,'Material routes'!$A$6:$A$1005,0)),"MISSING ID"))</x:f>
      </x:c>
      <x:c r="Q157" s="4" t="str">
        <x:f>IFERROR(INDEX('Material routes'!$J$6:$J$1005,MATCH(V157,'Material routes'!$A$6:$A$1005,0)),"MISSING ID")</x:f>
        <x:v>Unspecified</x:v>
      </x:c>
      <x:c r="R157" s="4" t="str">
        <x:f>IF(L157="Withheld","Withheld premise",IF(E157="Tool candidate","Reusable prerequisite",IF(K157="Raw entry preparation","Entry-resource preparation",IF(G157="Not applicable","Finished endpoint",IF(OR(IFERROR(INDEX('Crafting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routes'!$D$6:$D$1005,MATCH(U157,'Material routes'!$A$6:$A$1005,0)),"MISSING ID")</x:f>
        <x:v>proposal.branch.ceramic_shell</x:v>
      </x:c>
      <x:c r="T157" s="4" t="str">
        <x:f>IFERROR(INDEX('Material routes'!$D$6:$D$1005,MATCH(V157,'Material routes'!$A$6:$A$1005,0)),"MISSING ID")</x:f>
        <x:v>proposal.branch.protective_stock</x:v>
      </x:c>
      <x:c r="U157" s="4" t="str">
        <x:v>design.branch.branch.protective_stock.in.2</x:v>
      </x:c>
      <x:c r="V157" s="4" t="str">
        <x:v>design.branch.branch.protective_stock.out</x:v>
      </x:c>
    </x:row>
    <x:row r="158" ht="105" customHeight="1">
      <x:c r="A158" s="4" t="str">
        <x:f>IFERROR(INDEX('Material routes'!$E$6:$E$1005,MATCH(U158,'Material routes'!$A$6:$A$1005,0)),"MISSING ID")</x:f>
        <x:v>Filled shell-binding compound</x:v>
      </x:c>
      <x:c r="B158" s="4" t="str">
        <x:f>IFERROR(INDEX('Material routes'!$F$6:$F$1005,MATCH(U158,'Material routes'!$A$6:$A$1005,0)),"MISSING ID")</x:f>
        <x:v>T2</x:v>
      </x:c>
      <x:c r="C158" s="4" t="str">
        <x:f>IFERROR(INDEX('Material routes'!$H$6:$H$1005,MATCH(U158,'Material routes'!$A$6:$A$1005,0)),"MISSING ID")</x:f>
        <x:v>Chemical material</x:v>
      </x:c>
      <x:c r="D158" s="4" t="str">
        <x:f>IFERROR(INDEX('Material routes'!$G$6:$G$1005,MATCH(U158,'Material routes'!$A$6:$A$1005,0)),"MISSING ID")</x:f>
        <x:v>Resources</x:v>
      </x:c>
      <x:c r="E158" s="4" t="str">
        <x:f>IFERROR(INDEX('Material routes'!$C$6:$C$1005,MATCH(U158,'Material routes'!$A$6:$A$1005,0)),"MISSING ID")</x:f>
        <x:v>Ingredient candidate</x:v>
      </x:c>
      <x:c r="F158" s="4" t="str">
        <x:f>IFERROR(INDEX('Material routes'!$E$6:$E$1005,MATCH(V158,'Material routes'!$A$6:$A$1005,0)),"MISSING ID")</x:f>
        <x:v>Layered protective composite stock</x:v>
      </x:c>
      <x:c r="G158" s="4" t="str">
        <x:f>IFERROR(INDEX('Material routes'!$F$6:$F$1005,MATCH(V158,'Material routes'!$A$6:$A$1005,0)),"MISSING ID")</x:f>
        <x:v>T4</x:v>
      </x:c>
      <x:c r="H158" s="4" t="str">
        <x:f>IFERROR(INDEX('Material routes'!$H$6:$H$1005,MATCH(V158,'Material routes'!$A$6:$A$1005,0)),"MISSING ID")</x:f>
        <x:v>Processed material</x:v>
      </x:c>
      <x:c r="I158" s="4" t="str">
        <x:f>IFERROR(INDEX('Material routes'!$G$6:$G$1005,MATCH(V158,'Material routes'!$A$6:$A$1005,0)),"MISSING ID")</x:f>
        <x:v>Resources</x:v>
      </x:c>
      <x:c r="J158" s="4" t="str">
        <x:f>IFERROR(INDEX('Material routes'!$B$6:$B$1005,MATCH(U158,'Material routes'!$A$6:$A$1005,0)),"MISSING ID")</x:f>
        <x:v>design.branch.branch.protective_stock</x:v>
      </x:c>
      <x:c r="K158" s="4" t="str">
        <x:f>IFERROR(INDEX('Crafting recipes'!$C$6:$C$1005,MATCH(J158,'Crafting recipes'!$A$6:$A$1005,0)),"MISSING ID")</x:f>
        <x:v>Material refinement</x:v>
      </x:c>
      <x:c r="L158" s="4" t="str">
        <x:f>IFERROR(INDEX('Material routes'!$K$6:$K$1005,MATCH(U158,'Material routes'!$A$6:$A$1005,0)),"MISSING ID")</x:f>
        <x:v>Proposal</x:v>
      </x:c>
      <x:c r="M158" s="4" t="str">
        <x:f>IFERROR(INDEX('Material routes'!$M$6:$M$1005,MATCH(U158,'Material routes'!$A$6:$A$1005,0)),"MISSING ID")</x:f>
        <x:v>Partial proposal</x:v>
      </x:c>
      <x:c r="N158" s="4" t="str">
        <x:f>IF(IFERROR(INDEX('Material routes'!$I$6:$I$1005,MATCH(U158,'Material routes'!$A$6:$A$1005,0)),"MISSING ID")=0,"",IFERROR(INDEX('Material routes'!$I$6:$I$1005,MATCH(U158,'Material routes'!$A$6:$A$1005,0)),"MISSING ID"))</x:f>
      </x:c>
      <x:c r="O158" s="4" t="str">
        <x:f>IFERROR(INDEX('Material routes'!$J$6:$J$1005,MATCH(U158,'Material routes'!$A$6:$A$1005,0)),"MISSING ID")</x:f>
        <x:v>Unspecified</x:v>
      </x:c>
      <x:c r="P158" s="4" t="str">
        <x:f>IF(IFERROR(INDEX('Material routes'!$I$6:$I$1005,MATCH(V158,'Material routes'!$A$6:$A$1005,0)),"MISSING ID")=0,"",IFERROR(INDEX('Material routes'!$I$6:$I$1005,MATCH(V158,'Material routes'!$A$6:$A$1005,0)),"MISSING ID"))</x:f>
      </x:c>
      <x:c r="Q158" s="4" t="str">
        <x:f>IFERROR(INDEX('Material routes'!$J$6:$J$1005,MATCH(V158,'Material routes'!$A$6:$A$1005,0)),"MISSING ID")</x:f>
        <x:v>Unspecified</x:v>
      </x:c>
      <x:c r="R158" s="4" t="str">
        <x:f>IF(L158="Withheld","Withheld premise",IF(E158="Tool candidate","Reusable prerequisite",IF(K158="Raw entry preparation","Entry-resource preparation",IF(G158="Not applicable","Finished endpoint",IF(OR(IFERROR(INDEX('Crafting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routes'!$D$6:$D$1005,MATCH(U158,'Material routes'!$A$6:$A$1005,0)),"MISSING ID")</x:f>
        <x:v>proposal.branch.filled_binder</x:v>
      </x:c>
      <x:c r="T158" s="4" t="str">
        <x:f>IFERROR(INDEX('Material routes'!$D$6:$D$1005,MATCH(V158,'Material routes'!$A$6:$A$1005,0)),"MISSING ID")</x:f>
        <x:v>proposal.branch.protective_stock</x:v>
      </x:c>
      <x:c r="U158" s="4" t="str">
        <x:v>design.branch.branch.protective_stock.in.3</x:v>
      </x:c>
      <x:c r="V158" s="4" t="str">
        <x:v>design.branch.branch.protective_stock.out</x:v>
      </x:c>
    </x:row>
    <x:row r="159" ht="105" customHeight="1">
      <x:c r="A159" s="4" t="str">
        <x:f>IFERROR(INDEX('Material routes'!$E$6:$E$1005,MATCH(U159,'Material routes'!$A$6:$A$1005,0)),"MISSING ID")</x:f>
        <x:v>Insulated conductor stock</x:v>
      </x:c>
      <x:c r="B159" s="4" t="str">
        <x:f>IFERROR(INDEX('Material routes'!$F$6:$F$1005,MATCH(U159,'Material routes'!$A$6:$A$1005,0)),"MISSING ID")</x:f>
        <x:v>T3</x:v>
      </x:c>
      <x:c r="C159" s="4" t="str">
        <x:f>IFERROR(INDEX('Material routes'!$H$6:$H$1005,MATCH(U159,'Material routes'!$A$6:$A$1005,0)),"MISSING ID")</x:f>
        <x:v>Processed material</x:v>
      </x:c>
      <x:c r="D159" s="4" t="str">
        <x:f>IFERROR(INDEX('Material routes'!$G$6:$G$1005,MATCH(U159,'Material routes'!$A$6:$A$1005,0)),"MISSING ID")</x:f>
        <x:v>Resources</x:v>
      </x:c>
      <x:c r="E159" s="4" t="str">
        <x:f>IFERROR(INDEX('Material routes'!$C$6:$C$1005,MATCH(U159,'Material routes'!$A$6:$A$1005,0)),"MISSING ID")</x:f>
        <x:v>Ingredient candidate</x:v>
      </x:c>
      <x:c r="F159" s="4" t="str">
        <x:f>IFERROR(INDEX('Material routes'!$E$6:$E$1005,MATCH(V159,'Material routes'!$A$6:$A$1005,0)),"MISSING ID")</x:f>
        <x:v>Encapsulated conductor stock</x:v>
      </x:c>
      <x:c r="G159" s="4" t="str">
        <x:f>IFERROR(INDEX('Material routes'!$F$6:$F$1005,MATCH(V159,'Material routes'!$A$6:$A$1005,0)),"MISSING ID")</x:f>
        <x:v>T4</x:v>
      </x:c>
      <x:c r="H159" s="4" t="str">
        <x:f>IFERROR(INDEX('Material routes'!$H$6:$H$1005,MATCH(V159,'Material routes'!$A$6:$A$1005,0)),"MISSING ID")</x:f>
        <x:v>Processed material</x:v>
      </x:c>
      <x:c r="I159" s="4" t="str">
        <x:f>IFERROR(INDEX('Material routes'!$G$6:$G$1005,MATCH(V159,'Material routes'!$A$6:$A$1005,0)),"MISSING ID")</x:f>
        <x:v>Resources</x:v>
      </x:c>
      <x:c r="J159" s="4" t="str">
        <x:f>IFERROR(INDEX('Material routes'!$B$6:$B$1005,MATCH(U159,'Material routes'!$A$6:$A$1005,0)),"MISSING ID")</x:f>
        <x:v>design.branch.branch.encapsulated_conductor</x:v>
      </x:c>
      <x:c r="K159" s="4" t="str">
        <x:f>IFERROR(INDEX('Crafting recipes'!$C$6:$C$1005,MATCH(J159,'Crafting recipes'!$A$6:$A$1005,0)),"MISSING ID")</x:f>
        <x:v>Material refinement</x:v>
      </x:c>
      <x:c r="L159" s="4" t="str">
        <x:f>IFERROR(INDEX('Material routes'!$K$6:$K$1005,MATCH(U159,'Material routes'!$A$6:$A$1005,0)),"MISSING ID")</x:f>
        <x:v>Proposal</x:v>
      </x:c>
      <x:c r="M159" s="4" t="str">
        <x:f>IFERROR(INDEX('Material routes'!$M$6:$M$1005,MATCH(U159,'Material routes'!$A$6:$A$1005,0)),"MISSING ID")</x:f>
        <x:v>Partial proposal</x:v>
      </x:c>
      <x:c r="N159" s="4" t="str">
        <x:f>IF(IFERROR(INDEX('Material routes'!$I$6:$I$1005,MATCH(U159,'Material routes'!$A$6:$A$1005,0)),"MISSING ID")=0,"",IFERROR(INDEX('Material routes'!$I$6:$I$1005,MATCH(U159,'Material routes'!$A$6:$A$1005,0)),"MISSING ID"))</x:f>
      </x:c>
      <x:c r="O159" s="4" t="str">
        <x:f>IFERROR(INDEX('Material routes'!$J$6:$J$1005,MATCH(U159,'Material routes'!$A$6:$A$1005,0)),"MISSING ID")</x:f>
        <x:v>Unspecified</x:v>
      </x:c>
      <x:c r="P159" s="4" t="str">
        <x:f>IF(IFERROR(INDEX('Material routes'!$I$6:$I$1005,MATCH(V159,'Material routes'!$A$6:$A$1005,0)),"MISSING ID")=0,"",IFERROR(INDEX('Material routes'!$I$6:$I$1005,MATCH(V159,'Material routes'!$A$6:$A$1005,0)),"MISSING ID"))</x:f>
      </x:c>
      <x:c r="Q159" s="4" t="str">
        <x:f>IFERROR(INDEX('Material routes'!$J$6:$J$1005,MATCH(V159,'Material routes'!$A$6:$A$1005,0)),"MISSING ID")</x:f>
        <x:v>Unspecified</x:v>
      </x:c>
      <x:c r="R159" s="4" t="str">
        <x:f>IF(L159="Withheld","Withheld premise",IF(E159="Tool candidate","Reusable prerequisite",IF(K159="Raw entry preparation","Entry-resource preparation",IF(G159="Not applicable","Finished endpoint",IF(OR(IFERROR(INDEX('Crafting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routes'!$D$6:$D$1005,MATCH(U159,'Material routes'!$A$6:$A$1005,0)),"MISSING ID")</x:f>
        <x:v>proposal.branch.insulated_conductor</x:v>
      </x:c>
      <x:c r="T159" s="4" t="str">
        <x:f>IFERROR(INDEX('Material routes'!$D$6:$D$1005,MATCH(V159,'Material routes'!$A$6:$A$1005,0)),"MISSING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routes'!$E$6:$E$1005,MATCH(U160,'Material routes'!$A$6:$A$1005,0)),"MISSING ID")</x:f>
        <x:v>Reinforced sealing sheet</x:v>
      </x:c>
      <x:c r="B160" s="4" t="str">
        <x:f>IFERROR(INDEX('Material routes'!$F$6:$F$1005,MATCH(U160,'Material routes'!$A$6:$A$1005,0)),"MISSING ID")</x:f>
        <x:v>T3</x:v>
      </x:c>
      <x:c r="C160" s="4" t="str">
        <x:f>IFERROR(INDEX('Material routes'!$H$6:$H$1005,MATCH(U160,'Material routes'!$A$6:$A$1005,0)),"MISSING ID")</x:f>
        <x:v>Processed material</x:v>
      </x:c>
      <x:c r="D160" s="4" t="str">
        <x:f>IFERROR(INDEX('Material routes'!$G$6:$G$1005,MATCH(U160,'Material routes'!$A$6:$A$1005,0)),"MISSING ID")</x:f>
        <x:v>Resources</x:v>
      </x:c>
      <x:c r="E160" s="4" t="str">
        <x:f>IFERROR(INDEX('Material routes'!$C$6:$C$1005,MATCH(U160,'Material routes'!$A$6:$A$1005,0)),"MISSING ID")</x:f>
        <x:v>Ingredient candidate</x:v>
      </x:c>
      <x:c r="F160" s="4" t="str">
        <x:f>IFERROR(INDEX('Material routes'!$E$6:$E$1005,MATCH(V160,'Material routes'!$A$6:$A$1005,0)),"MISSING ID")</x:f>
        <x:v>Encapsulated conductor stock</x:v>
      </x:c>
      <x:c r="G160" s="4" t="str">
        <x:f>IFERROR(INDEX('Material routes'!$F$6:$F$1005,MATCH(V160,'Material routes'!$A$6:$A$1005,0)),"MISSING ID")</x:f>
        <x:v>T4</x:v>
      </x:c>
      <x:c r="H160" s="4" t="str">
        <x:f>IFERROR(INDEX('Material routes'!$H$6:$H$1005,MATCH(V160,'Material routes'!$A$6:$A$1005,0)),"MISSING ID")</x:f>
        <x:v>Processed material</x:v>
      </x:c>
      <x:c r="I160" s="4" t="str">
        <x:f>IFERROR(INDEX('Material routes'!$G$6:$G$1005,MATCH(V160,'Material routes'!$A$6:$A$1005,0)),"MISSING ID")</x:f>
        <x:v>Resources</x:v>
      </x:c>
      <x:c r="J160" s="4" t="str">
        <x:f>IFERROR(INDEX('Material routes'!$B$6:$B$1005,MATCH(U160,'Material routes'!$A$6:$A$1005,0)),"MISSING ID")</x:f>
        <x:v>design.branch.branch.encapsulated_conductor</x:v>
      </x:c>
      <x:c r="K160" s="4" t="str">
        <x:f>IFERROR(INDEX('Crafting recipes'!$C$6:$C$1005,MATCH(J160,'Crafting recipes'!$A$6:$A$1005,0)),"MISSING ID")</x:f>
        <x:v>Material refinement</x:v>
      </x:c>
      <x:c r="L160" s="4" t="str">
        <x:f>IFERROR(INDEX('Material routes'!$K$6:$K$1005,MATCH(U160,'Material routes'!$A$6:$A$1005,0)),"MISSING ID")</x:f>
        <x:v>Proposal</x:v>
      </x:c>
      <x:c r="M160" s="4" t="str">
        <x:f>IFERROR(INDEX('Material routes'!$M$6:$M$1005,MATCH(U160,'Material routes'!$A$6:$A$1005,0)),"MISSING ID")</x:f>
        <x:v>Partial proposal</x:v>
      </x:c>
      <x:c r="N160" s="4" t="str">
        <x:f>IF(IFERROR(INDEX('Material routes'!$I$6:$I$1005,MATCH(U160,'Material routes'!$A$6:$A$1005,0)),"MISSING ID")=0,"",IFERROR(INDEX('Material routes'!$I$6:$I$1005,MATCH(U160,'Material routes'!$A$6:$A$1005,0)),"MISSING ID"))</x:f>
      </x:c>
      <x:c r="O160" s="4" t="str">
        <x:f>IFERROR(INDEX('Material routes'!$J$6:$J$1005,MATCH(U160,'Material routes'!$A$6:$A$1005,0)),"MISSING ID")</x:f>
        <x:v>Unspecified</x:v>
      </x:c>
      <x:c r="P160" s="4" t="str">
        <x:f>IF(IFERROR(INDEX('Material routes'!$I$6:$I$1005,MATCH(V160,'Material routes'!$A$6:$A$1005,0)),"MISSING ID")=0,"",IFERROR(INDEX('Material routes'!$I$6:$I$1005,MATCH(V160,'Material routes'!$A$6:$A$1005,0)),"MISSING ID"))</x:f>
      </x:c>
      <x:c r="Q160" s="4" t="str">
        <x:f>IFERROR(INDEX('Material routes'!$J$6:$J$1005,MATCH(V160,'Material routes'!$A$6:$A$1005,0)),"MISSING ID")</x:f>
        <x:v>Unspecified</x:v>
      </x:c>
      <x:c r="R160" s="4" t="str">
        <x:f>IF(L160="Withheld","Withheld premise",IF(E160="Tool candidate","Reusable prerequisite",IF(K160="Raw entry preparation","Entry-resource preparation",IF(G160="Not applicable","Finished endpoint",IF(OR(IFERROR(INDEX('Crafting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routes'!$D$6:$D$1005,MATCH(U160,'Material routes'!$A$6:$A$1005,0)),"MISSING ID")</x:f>
        <x:v>proposal.branch.sealing_sheet</x:v>
      </x:c>
      <x:c r="T160" s="4" t="str">
        <x:f>IFERROR(INDEX('Material routes'!$D$6:$D$1005,MATCH(V160,'Material routes'!$A$6:$A$1005,0)),"MISSING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routes'!$E$6:$E$1005,MATCH(U161,'Material routes'!$A$6:$A$1005,0)),"MISSING ID")</x:f>
        <x:v>Insulating ceramic blanks</x:v>
      </x:c>
      <x:c r="B161" s="4" t="str">
        <x:f>IFERROR(INDEX('Material routes'!$F$6:$F$1005,MATCH(U161,'Material routes'!$A$6:$A$1005,0)),"MISSING ID")</x:f>
        <x:v>T2</x:v>
      </x:c>
      <x:c r="C161" s="4" t="str">
        <x:f>IFERROR(INDEX('Material routes'!$H$6:$H$1005,MATCH(U161,'Material routes'!$A$6:$A$1005,0)),"MISSING ID")</x:f>
        <x:v>Processed material</x:v>
      </x:c>
      <x:c r="D161" s="4" t="str">
        <x:f>IFERROR(INDEX('Material routes'!$G$6:$G$1005,MATCH(U161,'Material routes'!$A$6:$A$1005,0)),"MISSING ID")</x:f>
        <x:v>Resources</x:v>
      </x:c>
      <x:c r="E161" s="4" t="str">
        <x:f>IFERROR(INDEX('Material routes'!$C$6:$C$1005,MATCH(U161,'Material routes'!$A$6:$A$1005,0)),"MISSING ID")</x:f>
        <x:v>Ingredient candidate</x:v>
      </x:c>
      <x:c r="F161" s="4" t="str">
        <x:f>IFERROR(INDEX('Material routes'!$E$6:$E$1005,MATCH(V161,'Material routes'!$A$6:$A$1005,0)),"MISSING ID")</x:f>
        <x:v>Encapsulated conductor stock</x:v>
      </x:c>
      <x:c r="G161" s="4" t="str">
        <x:f>IFERROR(INDEX('Material routes'!$F$6:$F$1005,MATCH(V161,'Material routes'!$A$6:$A$1005,0)),"MISSING ID")</x:f>
        <x:v>T4</x:v>
      </x:c>
      <x:c r="H161" s="4" t="str">
        <x:f>IFERROR(INDEX('Material routes'!$H$6:$H$1005,MATCH(V161,'Material routes'!$A$6:$A$1005,0)),"MISSING ID")</x:f>
        <x:v>Processed material</x:v>
      </x:c>
      <x:c r="I161" s="4" t="str">
        <x:f>IFERROR(INDEX('Material routes'!$G$6:$G$1005,MATCH(V161,'Material routes'!$A$6:$A$1005,0)),"MISSING ID")</x:f>
        <x:v>Resources</x:v>
      </x:c>
      <x:c r="J161" s="4" t="str">
        <x:f>IFERROR(INDEX('Material routes'!$B$6:$B$1005,MATCH(U161,'Material routes'!$A$6:$A$1005,0)),"MISSING ID")</x:f>
        <x:v>design.branch.branch.encapsulated_conductor</x:v>
      </x:c>
      <x:c r="K161" s="4" t="str">
        <x:f>IFERROR(INDEX('Crafting recipes'!$C$6:$C$1005,MATCH(J161,'Crafting recipes'!$A$6:$A$1005,0)),"MISSING ID")</x:f>
        <x:v>Material refinement</x:v>
      </x:c>
      <x:c r="L161" s="4" t="str">
        <x:f>IFERROR(INDEX('Material routes'!$K$6:$K$1005,MATCH(U161,'Material routes'!$A$6:$A$1005,0)),"MISSING ID")</x:f>
        <x:v>Proposal</x:v>
      </x:c>
      <x:c r="M161" s="4" t="str">
        <x:f>IFERROR(INDEX('Material routes'!$M$6:$M$1005,MATCH(U161,'Material routes'!$A$6:$A$1005,0)),"MISSING ID")</x:f>
        <x:v>Partial proposal</x:v>
      </x:c>
      <x:c r="N161" s="4" t="str">
        <x:f>IF(IFERROR(INDEX('Material routes'!$I$6:$I$1005,MATCH(U161,'Material routes'!$A$6:$A$1005,0)),"MISSING ID")=0,"",IFERROR(INDEX('Material routes'!$I$6:$I$1005,MATCH(U161,'Material routes'!$A$6:$A$1005,0)),"MISSING ID"))</x:f>
      </x:c>
      <x:c r="O161" s="4" t="str">
        <x:f>IFERROR(INDEX('Material routes'!$J$6:$J$1005,MATCH(U161,'Material routes'!$A$6:$A$1005,0)),"MISSING ID")</x:f>
        <x:v>Unspecified</x:v>
      </x:c>
      <x:c r="P161" s="4" t="str">
        <x:f>IF(IFERROR(INDEX('Material routes'!$I$6:$I$1005,MATCH(V161,'Material routes'!$A$6:$A$1005,0)),"MISSING ID")=0,"",IFERROR(INDEX('Material routes'!$I$6:$I$1005,MATCH(V161,'Material routes'!$A$6:$A$1005,0)),"MISSING ID"))</x:f>
      </x:c>
      <x:c r="Q161" s="4" t="str">
        <x:f>IFERROR(INDEX('Material routes'!$J$6:$J$1005,MATCH(V161,'Material routes'!$A$6:$A$1005,0)),"MISSING ID")</x:f>
        <x:v>Unspecified</x:v>
      </x:c>
      <x:c r="R161" s="4" t="str">
        <x:f>IF(L161="Withheld","Withheld premise",IF(E161="Tool candidate","Reusable prerequisite",IF(K161="Raw entry preparation","Entry-resource preparation",IF(G161="Not applicable","Finished endpoint",IF(OR(IFERROR(INDEX('Crafting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routes'!$D$6:$D$1005,MATCH(U161,'Material routes'!$A$6:$A$1005,0)),"MISSING ID")</x:f>
        <x:v>proposal.natural.ceramic</x:v>
      </x:c>
      <x:c r="T161" s="4" t="str">
        <x:f>IFERROR(INDEX('Material routes'!$D$6:$D$1005,MATCH(V161,'Material routes'!$A$6:$A$1005,0)),"MISSING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routes'!$E$6:$E$1005,MATCH(U162,'Material routes'!$A$6:$A$1005,0)),"MISSING ID")</x:f>
        <x:v>Ground optical glass stock</x:v>
      </x:c>
      <x:c r="B162" s="4" t="str">
        <x:f>IFERROR(INDEX('Material routes'!$F$6:$F$1005,MATCH(U162,'Material routes'!$A$6:$A$1005,0)),"MISSING ID")</x:f>
        <x:v>T3</x:v>
      </x:c>
      <x:c r="C162" s="4" t="str">
        <x:f>IFERROR(INDEX('Material routes'!$H$6:$H$1005,MATCH(U162,'Material routes'!$A$6:$A$1005,0)),"MISSING ID")</x:f>
        <x:v>Processed material</x:v>
      </x:c>
      <x:c r="D162" s="4" t="str">
        <x:f>IFERROR(INDEX('Material routes'!$G$6:$G$1005,MATCH(U162,'Material routes'!$A$6:$A$1005,0)),"MISSING ID")</x:f>
        <x:v>Resources</x:v>
      </x:c>
      <x:c r="E162" s="4" t="str">
        <x:f>IFERROR(INDEX('Material routes'!$C$6:$C$1005,MATCH(U162,'Material routes'!$A$6:$A$1005,0)),"MISSING ID")</x:f>
        <x:v>Ingredient candidate</x:v>
      </x:c>
      <x:c r="F162" s="4" t="str">
        <x:f>IFERROR(INDEX('Material routes'!$E$6:$E$1005,MATCH(V162,'Material routes'!$A$6:$A$1005,0)),"MISSING ID")</x:f>
        <x:v>Aligned optical subassembly</x:v>
      </x:c>
      <x:c r="G162" s="4" t="str">
        <x:f>IFERROR(INDEX('Material routes'!$F$6:$F$1005,MATCH(V162,'Material routes'!$A$6:$A$1005,0)),"MISSING ID")</x:f>
        <x:v>T4</x:v>
      </x:c>
      <x:c r="H162" s="4" t="str">
        <x:f>IFERROR(INDEX('Material routes'!$H$6:$H$1005,MATCH(V162,'Material routes'!$A$6:$A$1005,0)),"MISSING ID")</x:f>
        <x:v>Crafting component</x:v>
      </x:c>
      <x:c r="I162" s="4" t="str">
        <x:f>IFERROR(INDEX('Material routes'!$G$6:$G$1005,MATCH(V162,'Material routes'!$A$6:$A$1005,0)),"MISSING ID")</x:f>
        <x:v>Crafting components</x:v>
      </x:c>
      <x:c r="J162" s="4" t="str">
        <x:f>IFERROR(INDEX('Material routes'!$B$6:$B$1005,MATCH(U162,'Material routes'!$A$6:$A$1005,0)),"MISSING ID")</x:f>
        <x:v>design.branch.branch.optical_module</x:v>
      </x:c>
      <x:c r="K162" s="4" t="str">
        <x:f>IFERROR(INDEX('Crafting recipes'!$C$6:$C$1005,MATCH(J162,'Crafting recipes'!$A$6:$A$1005,0)),"MISSING ID")</x:f>
        <x:v>Material refinement</x:v>
      </x:c>
      <x:c r="L162" s="4" t="str">
        <x:f>IFERROR(INDEX('Material routes'!$K$6:$K$1005,MATCH(U162,'Material routes'!$A$6:$A$1005,0)),"MISSING ID")</x:f>
        <x:v>Proposal</x:v>
      </x:c>
      <x:c r="M162" s="4" t="str">
        <x:f>IFERROR(INDEX('Material routes'!$M$6:$M$1005,MATCH(U162,'Material routes'!$A$6:$A$1005,0)),"MISSING ID")</x:f>
        <x:v>Partial proposal</x:v>
      </x:c>
      <x:c r="N162" s="4" t="str">
        <x:f>IF(IFERROR(INDEX('Material routes'!$I$6:$I$1005,MATCH(U162,'Material routes'!$A$6:$A$1005,0)),"MISSING ID")=0,"",IFERROR(INDEX('Material routes'!$I$6:$I$1005,MATCH(U162,'Material routes'!$A$6:$A$1005,0)),"MISSING ID"))</x:f>
      </x:c>
      <x:c r="O162" s="4" t="str">
        <x:f>IFERROR(INDEX('Material routes'!$J$6:$J$1005,MATCH(U162,'Material routes'!$A$6:$A$1005,0)),"MISSING ID")</x:f>
        <x:v>Unspecified</x:v>
      </x:c>
      <x:c r="P162" s="4" t="str">
        <x:f>IF(IFERROR(INDEX('Material routes'!$I$6:$I$1005,MATCH(V162,'Material routes'!$A$6:$A$1005,0)),"MISSING ID")=0,"",IFERROR(INDEX('Material routes'!$I$6:$I$1005,MATCH(V162,'Material routes'!$A$6:$A$1005,0)),"MISSING ID"))</x:f>
      </x:c>
      <x:c r="Q162" s="4" t="str">
        <x:f>IFERROR(INDEX('Material routes'!$J$6:$J$1005,MATCH(V162,'Material routes'!$A$6:$A$1005,0)),"MISSING ID")</x:f>
        <x:v>Unspecified</x:v>
      </x:c>
      <x:c r="R162" s="4" t="str">
        <x:f>IF(L162="Withheld","Withheld premise",IF(E162="Tool candidate","Reusable prerequisite",IF(K162="Raw entry preparation","Entry-resource preparation",IF(G162="Not applicable","Finished endpoint",IF(OR(IFERROR(INDEX('Crafting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routes'!$D$6:$D$1005,MATCH(U162,'Material routes'!$A$6:$A$1005,0)),"MISSING ID")</x:f>
        <x:v>proposal.branch.optical_glass</x:v>
      </x:c>
      <x:c r="T162" s="4" t="str">
        <x:f>IFERROR(INDEX('Material routes'!$D$6:$D$1005,MATCH(V162,'Material routes'!$A$6:$A$1005,0)),"MISSING ID")</x:f>
        <x:v>proposal.branch.optical_module</x:v>
      </x:c>
      <x:c r="U162" s="4" t="str">
        <x:v>design.branch.branch.optical_module.in.1</x:v>
      </x:c>
      <x:c r="V162" s="4" t="str">
        <x:v>design.branch.branch.optical_module.out</x:v>
      </x:c>
    </x:row>
    <x:row r="163" ht="105" customHeight="1">
      <x:c r="A163" s="4" t="str">
        <x:f>IFERROR(INDEX('Material routes'!$E$6:$E$1005,MATCH(U163,'Material routes'!$A$6:$A$1005,0)),"MISSING ID")</x:f>
        <x:v>Spring-grade steel stock</x:v>
      </x:c>
      <x:c r="B163" s="4" t="str">
        <x:f>IFERROR(INDEX('Material routes'!$F$6:$F$1005,MATCH(U163,'Material routes'!$A$6:$A$1005,0)),"MISSING ID")</x:f>
        <x:v>T3</x:v>
      </x:c>
      <x:c r="C163" s="4" t="str">
        <x:f>IFERROR(INDEX('Material routes'!$H$6:$H$1005,MATCH(U163,'Material routes'!$A$6:$A$1005,0)),"MISSING ID")</x:f>
        <x:v>Processed material</x:v>
      </x:c>
      <x:c r="D163" s="4" t="str">
        <x:f>IFERROR(INDEX('Material routes'!$G$6:$G$1005,MATCH(U163,'Material routes'!$A$6:$A$1005,0)),"MISSING ID")</x:f>
        <x:v>Resources</x:v>
      </x:c>
      <x:c r="E163" s="4" t="str">
        <x:f>IFERROR(INDEX('Material routes'!$C$6:$C$1005,MATCH(U163,'Material routes'!$A$6:$A$1005,0)),"MISSING ID")</x:f>
        <x:v>Ingredient candidate</x:v>
      </x:c>
      <x:c r="F163" s="4" t="str">
        <x:f>IFERROR(INDEX('Material routes'!$E$6:$E$1005,MATCH(V163,'Material routes'!$A$6:$A$1005,0)),"MISSING ID")</x:f>
        <x:v>Aligned optical subassembly</x:v>
      </x:c>
      <x:c r="G163" s="4" t="str">
        <x:f>IFERROR(INDEX('Material routes'!$F$6:$F$1005,MATCH(V163,'Material routes'!$A$6:$A$1005,0)),"MISSING ID")</x:f>
        <x:v>T4</x:v>
      </x:c>
      <x:c r="H163" s="4" t="str">
        <x:f>IFERROR(INDEX('Material routes'!$H$6:$H$1005,MATCH(V163,'Material routes'!$A$6:$A$1005,0)),"MISSING ID")</x:f>
        <x:v>Crafting component</x:v>
      </x:c>
      <x:c r="I163" s="4" t="str">
        <x:f>IFERROR(INDEX('Material routes'!$G$6:$G$1005,MATCH(V163,'Material routes'!$A$6:$A$1005,0)),"MISSING ID")</x:f>
        <x:v>Crafting components</x:v>
      </x:c>
      <x:c r="J163" s="4" t="str">
        <x:f>IFERROR(INDEX('Material routes'!$B$6:$B$1005,MATCH(U163,'Material routes'!$A$6:$A$1005,0)),"MISSING ID")</x:f>
        <x:v>design.branch.branch.optical_module</x:v>
      </x:c>
      <x:c r="K163" s="4" t="str">
        <x:f>IFERROR(INDEX('Crafting recipes'!$C$6:$C$1005,MATCH(J163,'Crafting recipes'!$A$6:$A$1005,0)),"MISSING ID")</x:f>
        <x:v>Material refinement</x:v>
      </x:c>
      <x:c r="L163" s="4" t="str">
        <x:f>IFERROR(INDEX('Material routes'!$K$6:$K$1005,MATCH(U163,'Material routes'!$A$6:$A$1005,0)),"MISSING ID")</x:f>
        <x:v>Proposal</x:v>
      </x:c>
      <x:c r="M163" s="4" t="str">
        <x:f>IFERROR(INDEX('Material routes'!$M$6:$M$1005,MATCH(U163,'Material routes'!$A$6:$A$1005,0)),"MISSING ID")</x:f>
        <x:v>Partial proposal</x:v>
      </x:c>
      <x:c r="N163" s="4" t="str">
        <x:f>IF(IFERROR(INDEX('Material routes'!$I$6:$I$1005,MATCH(U163,'Material routes'!$A$6:$A$1005,0)),"MISSING ID")=0,"",IFERROR(INDEX('Material routes'!$I$6:$I$1005,MATCH(U163,'Material routes'!$A$6:$A$1005,0)),"MISSING ID"))</x:f>
      </x:c>
      <x:c r="O163" s="4" t="str">
        <x:f>IFERROR(INDEX('Material routes'!$J$6:$J$1005,MATCH(U163,'Material routes'!$A$6:$A$1005,0)),"MISSING ID")</x:f>
        <x:v>Unspecified</x:v>
      </x:c>
      <x:c r="P163" s="4" t="str">
        <x:f>IF(IFERROR(INDEX('Material routes'!$I$6:$I$1005,MATCH(V163,'Material routes'!$A$6:$A$1005,0)),"MISSING ID")=0,"",IFERROR(INDEX('Material routes'!$I$6:$I$1005,MATCH(V163,'Material routes'!$A$6:$A$1005,0)),"MISSING ID"))</x:f>
      </x:c>
      <x:c r="Q163" s="4" t="str">
        <x:f>IFERROR(INDEX('Material routes'!$J$6:$J$1005,MATCH(V163,'Material routes'!$A$6:$A$1005,0)),"MISSING ID")</x:f>
        <x:v>Unspecified</x:v>
      </x:c>
      <x:c r="R163" s="4" t="str">
        <x:f>IF(L163="Withheld","Withheld premise",IF(E163="Tool candidate","Reusable prerequisite",IF(K163="Raw entry preparation","Entry-resource preparation",IF(G163="Not applicable","Finished endpoint",IF(OR(IFERROR(INDEX('Crafting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routes'!$D$6:$D$1005,MATCH(U163,'Material routes'!$A$6:$A$1005,0)),"MISSING ID")</x:f>
        <x:v>proposal.branch.spring_steel</x:v>
      </x:c>
      <x:c r="T163" s="4" t="str">
        <x:f>IFERROR(INDEX('Material routes'!$D$6:$D$1005,MATCH(V163,'Material routes'!$A$6:$A$1005,0)),"MISSING ID")</x:f>
        <x:v>proposal.branch.optical_module</x:v>
      </x:c>
      <x:c r="U163" s="4" t="str">
        <x:v>design.branch.branch.optical_module.in.2</x:v>
      </x:c>
      <x:c r="V163" s="4" t="str">
        <x:v>design.branch.branch.optical_module.out</x:v>
      </x:c>
    </x:row>
    <x:row r="164" ht="105" customHeight="1">
      <x:c r="A164" s="4" t="str">
        <x:f>IFERROR(INDEX('Material routes'!$E$6:$E$1005,MATCH(U164,'Material routes'!$A$6:$A$1005,0)),"MISSING ID")</x:f>
        <x:v>Steel stock</x:v>
      </x:c>
      <x:c r="B164" s="4" t="str">
        <x:f>IFERROR(INDEX('Material routes'!$F$6:$F$1005,MATCH(U164,'Material routes'!$A$6:$A$1005,0)),"MISSING ID")</x:f>
        <x:v>T2</x:v>
      </x:c>
      <x:c r="C164" s="4" t="str">
        <x:f>IFERROR(INDEX('Material routes'!$H$6:$H$1005,MATCH(U164,'Material routes'!$A$6:$A$1005,0)),"MISSING ID")</x:f>
        <x:v>Processed material</x:v>
      </x:c>
      <x:c r="D164" s="4" t="str">
        <x:f>IFERROR(INDEX('Material routes'!$G$6:$G$1005,MATCH(U164,'Material routes'!$A$6:$A$1005,0)),"MISSING ID")</x:f>
        <x:v>Resources</x:v>
      </x:c>
      <x:c r="E164" s="4" t="str">
        <x:f>IFERROR(INDEX('Material routes'!$C$6:$C$1005,MATCH(U164,'Material routes'!$A$6:$A$1005,0)),"MISSING ID")</x:f>
        <x:v>Ingredient candidate</x:v>
      </x:c>
      <x:c r="F164" s="4" t="str">
        <x:f>IFERROR(INDEX('Material routes'!$E$6:$E$1005,MATCH(V164,'Material routes'!$A$6:$A$1005,0)),"MISSING ID")</x:f>
        <x:v>Aligned optical subassembly</x:v>
      </x:c>
      <x:c r="G164" s="4" t="str">
        <x:f>IFERROR(INDEX('Material routes'!$F$6:$F$1005,MATCH(V164,'Material routes'!$A$6:$A$1005,0)),"MISSING ID")</x:f>
        <x:v>T4</x:v>
      </x:c>
      <x:c r="H164" s="4" t="str">
        <x:f>IFERROR(INDEX('Material routes'!$H$6:$H$1005,MATCH(V164,'Material routes'!$A$6:$A$1005,0)),"MISSING ID")</x:f>
        <x:v>Crafting component</x:v>
      </x:c>
      <x:c r="I164" s="4" t="str">
        <x:f>IFERROR(INDEX('Material routes'!$G$6:$G$1005,MATCH(V164,'Material routes'!$A$6:$A$1005,0)),"MISSING ID")</x:f>
        <x:v>Crafting components</x:v>
      </x:c>
      <x:c r="J164" s="4" t="str">
        <x:f>IFERROR(INDEX('Material routes'!$B$6:$B$1005,MATCH(U164,'Material routes'!$A$6:$A$1005,0)),"MISSING ID")</x:f>
        <x:v>design.branch.branch.optical_module</x:v>
      </x:c>
      <x:c r="K164" s="4" t="str">
        <x:f>IFERROR(INDEX('Crafting recipes'!$C$6:$C$1005,MATCH(J164,'Crafting recipes'!$A$6:$A$1005,0)),"MISSING ID")</x:f>
        <x:v>Material refinement</x:v>
      </x:c>
      <x:c r="L164" s="4" t="str">
        <x:f>IFERROR(INDEX('Material routes'!$K$6:$K$1005,MATCH(U164,'Material routes'!$A$6:$A$1005,0)),"MISSING ID")</x:f>
        <x:v>Proposal</x:v>
      </x:c>
      <x:c r="M164" s="4" t="str">
        <x:f>IFERROR(INDEX('Material routes'!$M$6:$M$1005,MATCH(U164,'Material routes'!$A$6:$A$1005,0)),"MISSING ID")</x:f>
        <x:v>Partial proposal</x:v>
      </x:c>
      <x:c r="N164" s="4" t="str">
        <x:f>IF(IFERROR(INDEX('Material routes'!$I$6:$I$1005,MATCH(U164,'Material routes'!$A$6:$A$1005,0)),"MISSING ID")=0,"",IFERROR(INDEX('Material routes'!$I$6:$I$1005,MATCH(U164,'Material routes'!$A$6:$A$1005,0)),"MISSING ID"))</x:f>
      </x:c>
      <x:c r="O164" s="4" t="str">
        <x:f>IFERROR(INDEX('Material routes'!$J$6:$J$1005,MATCH(U164,'Material routes'!$A$6:$A$1005,0)),"MISSING ID")</x:f>
        <x:v>Unspecified</x:v>
      </x:c>
      <x:c r="P164" s="4" t="str">
        <x:f>IF(IFERROR(INDEX('Material routes'!$I$6:$I$1005,MATCH(V164,'Material routes'!$A$6:$A$1005,0)),"MISSING ID")=0,"",IFERROR(INDEX('Material routes'!$I$6:$I$1005,MATCH(V164,'Material routes'!$A$6:$A$1005,0)),"MISSING ID"))</x:f>
      </x:c>
      <x:c r="Q164" s="4" t="str">
        <x:f>IFERROR(INDEX('Material routes'!$J$6:$J$1005,MATCH(V164,'Material routes'!$A$6:$A$1005,0)),"MISSING ID")</x:f>
        <x:v>Unspecified</x:v>
      </x:c>
      <x:c r="R164" s="4" t="str">
        <x:f>IF(L164="Withheld","Withheld premise",IF(E164="Tool candidate","Reusable prerequisite",IF(K164="Raw entry preparation","Entry-resource preparation",IF(G164="Not applicable","Finished endpoint",IF(OR(IFERROR(INDEX('Crafting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routes'!$D$6:$D$1005,MATCH(U164,'Material routes'!$A$6:$A$1005,0)),"MISSING ID")</x:f>
        <x:v>author.metallurgy.steel_stock</x:v>
      </x:c>
      <x:c r="T164" s="4" t="str">
        <x:f>IFERROR(INDEX('Material routes'!$D$6:$D$1005,MATCH(V164,'Material routes'!$A$6:$A$1005,0)),"MISSING ID")</x:f>
        <x:v>proposal.branch.optical_module</x:v>
      </x:c>
      <x:c r="U164" s="4" t="str">
        <x:v>design.branch.branch.optical_module.in.3</x:v>
      </x:c>
      <x:c r="V164" s="4" t="str">
        <x:v>design.branch.branch.optical_module.out</x:v>
      </x:c>
    </x:row>
    <x:row r="165" ht="105" customHeight="1">
      <x:c r="A165" s="4" t="str">
        <x:f>IFERROR(INDEX('Material routes'!$E$6:$E$1005,MATCH(U165,'Material routes'!$A$6:$A$1005,0)),"MISSING ID")</x:f>
        <x:v>Layered husk composite stock</x:v>
      </x:c>
      <x:c r="B165" s="4" t="str">
        <x:f>IFERROR(INDEX('Material routes'!$F$6:$F$1005,MATCH(U165,'Material routes'!$A$6:$A$1005,0)),"MISSING ID")</x:f>
        <x:v>T3</x:v>
      </x:c>
      <x:c r="C165" s="4" t="str">
        <x:f>IFERROR(INDEX('Material routes'!$H$6:$H$1005,MATCH(U165,'Material routes'!$A$6:$A$1005,0)),"MISSING ID")</x:f>
        <x:v>Processed material</x:v>
      </x:c>
      <x:c r="D165" s="4" t="str">
        <x:f>IFERROR(INDEX('Material routes'!$G$6:$G$1005,MATCH(U165,'Material routes'!$A$6:$A$1005,0)),"MISSING ID")</x:f>
        <x:v>Resources</x:v>
      </x:c>
      <x:c r="E165" s="4" t="str">
        <x:f>IFERROR(INDEX('Material routes'!$C$6:$C$1005,MATCH(U165,'Material routes'!$A$6:$A$1005,0)),"MISSING ID")</x:f>
        <x:v>Ingredient candidate</x:v>
      </x:c>
      <x:c r="F165" s="4" t="str">
        <x:f>IFERROR(INDEX('Material routes'!$E$6:$E$1005,MATCH(V165,'Material routes'!$A$6:$A$1005,0)),"MISSING ID")</x:f>
        <x:v>Sealed composite casing stock</x:v>
      </x:c>
      <x:c r="G165" s="4" t="str">
        <x:f>IFERROR(INDEX('Material routes'!$F$6:$F$1005,MATCH(V165,'Material routes'!$A$6:$A$1005,0)),"MISSING ID")</x:f>
        <x:v>T4</x:v>
      </x:c>
      <x:c r="H165" s="4" t="str">
        <x:f>IFERROR(INDEX('Material routes'!$H$6:$H$1005,MATCH(V165,'Material routes'!$A$6:$A$1005,0)),"MISSING ID")</x:f>
        <x:v>Processed material</x:v>
      </x:c>
      <x:c r="I165" s="4" t="str">
        <x:f>IFERROR(INDEX('Material routes'!$G$6:$G$1005,MATCH(V165,'Material routes'!$A$6:$A$1005,0)),"MISSING ID")</x:f>
        <x:v>Resources</x:v>
      </x:c>
      <x:c r="J165" s="4" t="str">
        <x:f>IFERROR(INDEX('Material routes'!$B$6:$B$1005,MATCH(U165,'Material routes'!$A$6:$A$1005,0)),"MISSING ID")</x:f>
        <x:v>design.branch.branch.sealed_casing</x:v>
      </x:c>
      <x:c r="K165" s="4" t="str">
        <x:f>IFERROR(INDEX('Crafting recipes'!$C$6:$C$1005,MATCH(J165,'Crafting recipes'!$A$6:$A$1005,0)),"MISSING ID")</x:f>
        <x:v>Material refinement</x:v>
      </x:c>
      <x:c r="L165" s="4" t="str">
        <x:f>IFERROR(INDEX('Material routes'!$K$6:$K$1005,MATCH(U165,'Material routes'!$A$6:$A$1005,0)),"MISSING ID")</x:f>
        <x:v>Proposal</x:v>
      </x:c>
      <x:c r="M165" s="4" t="str">
        <x:f>IFERROR(INDEX('Material routes'!$M$6:$M$1005,MATCH(U165,'Material routes'!$A$6:$A$1005,0)),"MISSING ID")</x:f>
        <x:v>Partial proposal</x:v>
      </x:c>
      <x:c r="N165" s="4" t="str">
        <x:f>IF(IFERROR(INDEX('Material routes'!$I$6:$I$1005,MATCH(U165,'Material routes'!$A$6:$A$1005,0)),"MISSING ID")=0,"",IFERROR(INDEX('Material routes'!$I$6:$I$1005,MATCH(U165,'Material routes'!$A$6:$A$1005,0)),"MISSING ID"))</x:f>
      </x:c>
      <x:c r="O165" s="4" t="str">
        <x:f>IFERROR(INDEX('Material routes'!$J$6:$J$1005,MATCH(U165,'Material routes'!$A$6:$A$1005,0)),"MISSING ID")</x:f>
        <x:v>Unspecified</x:v>
      </x:c>
      <x:c r="P165" s="4" t="str">
        <x:f>IF(IFERROR(INDEX('Material routes'!$I$6:$I$1005,MATCH(V165,'Material routes'!$A$6:$A$1005,0)),"MISSING ID")=0,"",IFERROR(INDEX('Material routes'!$I$6:$I$1005,MATCH(V165,'Material routes'!$A$6:$A$1005,0)),"MISSING ID"))</x:f>
      </x:c>
      <x:c r="Q165" s="4" t="str">
        <x:f>IFERROR(INDEX('Material routes'!$J$6:$J$1005,MATCH(V165,'Material routes'!$A$6:$A$1005,0)),"MISSING ID")</x:f>
        <x:v>Unspecified</x:v>
      </x:c>
      <x:c r="R165" s="4" t="str">
        <x:f>IF(L165="Withheld","Withheld premise",IF(E165="Tool candidate","Reusable prerequisite",IF(K165="Raw entry preparation","Entry-resource preparation",IF(G165="Not applicable","Finished endpoint",IF(OR(IFERROR(INDEX('Crafting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routes'!$D$6:$D$1005,MATCH(U165,'Material routes'!$A$6:$A$1005,0)),"MISSING ID")</x:f>
        <x:v>proposal.branch.husk_composite</x:v>
      </x:c>
      <x:c r="T165" s="4" t="str">
        <x:f>IFERROR(INDEX('Material routes'!$D$6:$D$1005,MATCH(V165,'Material routes'!$A$6:$A$1005,0)),"MISSING ID")</x:f>
        <x:v>proposal.branch.sealed_casing</x:v>
      </x:c>
      <x:c r="U165" s="4" t="str">
        <x:v>design.branch.branch.sealed_casing.in.1</x:v>
      </x:c>
      <x:c r="V165" s="4" t="str">
        <x:v>design.branch.branch.sealed_casing.out</x:v>
      </x:c>
    </x:row>
    <x:row r="166" ht="105" customHeight="1">
      <x:c r="A166" s="4" t="str">
        <x:f>IFERROR(INDEX('Material routes'!$E$6:$E$1005,MATCH(U166,'Material routes'!$A$6:$A$1005,0)),"MISSING ID")</x:f>
        <x:v>Reinforced sealing sheet</x:v>
      </x:c>
      <x:c r="B166" s="4" t="str">
        <x:f>IFERROR(INDEX('Material routes'!$F$6:$F$1005,MATCH(U166,'Material routes'!$A$6:$A$1005,0)),"MISSING ID")</x:f>
        <x:v>T3</x:v>
      </x:c>
      <x:c r="C166" s="4" t="str">
        <x:f>IFERROR(INDEX('Material routes'!$H$6:$H$1005,MATCH(U166,'Material routes'!$A$6:$A$1005,0)),"MISSING ID")</x:f>
        <x:v>Processed material</x:v>
      </x:c>
      <x:c r="D166" s="4" t="str">
        <x:f>IFERROR(INDEX('Material routes'!$G$6:$G$1005,MATCH(U166,'Material routes'!$A$6:$A$1005,0)),"MISSING ID")</x:f>
        <x:v>Resources</x:v>
      </x:c>
      <x:c r="E166" s="4" t="str">
        <x:f>IFERROR(INDEX('Material routes'!$C$6:$C$1005,MATCH(U166,'Material routes'!$A$6:$A$1005,0)),"MISSING ID")</x:f>
        <x:v>Ingredient candidate</x:v>
      </x:c>
      <x:c r="F166" s="4" t="str">
        <x:f>IFERROR(INDEX('Material routes'!$E$6:$E$1005,MATCH(V166,'Material routes'!$A$6:$A$1005,0)),"MISSING ID")</x:f>
        <x:v>Sealed composite casing stock</x:v>
      </x:c>
      <x:c r="G166" s="4" t="str">
        <x:f>IFERROR(INDEX('Material routes'!$F$6:$F$1005,MATCH(V166,'Material routes'!$A$6:$A$1005,0)),"MISSING ID")</x:f>
        <x:v>T4</x:v>
      </x:c>
      <x:c r="H166" s="4" t="str">
        <x:f>IFERROR(INDEX('Material routes'!$H$6:$H$1005,MATCH(V166,'Material routes'!$A$6:$A$1005,0)),"MISSING ID")</x:f>
        <x:v>Processed material</x:v>
      </x:c>
      <x:c r="I166" s="4" t="str">
        <x:f>IFERROR(INDEX('Material routes'!$G$6:$G$1005,MATCH(V166,'Material routes'!$A$6:$A$1005,0)),"MISSING ID")</x:f>
        <x:v>Resources</x:v>
      </x:c>
      <x:c r="J166" s="4" t="str">
        <x:f>IFERROR(INDEX('Material routes'!$B$6:$B$1005,MATCH(U166,'Material routes'!$A$6:$A$1005,0)),"MISSING ID")</x:f>
        <x:v>design.branch.branch.sealed_casing</x:v>
      </x:c>
      <x:c r="K166" s="4" t="str">
        <x:f>IFERROR(INDEX('Crafting recipes'!$C$6:$C$1005,MATCH(J166,'Crafting recipes'!$A$6:$A$1005,0)),"MISSING ID")</x:f>
        <x:v>Material refinement</x:v>
      </x:c>
      <x:c r="L166" s="4" t="str">
        <x:f>IFERROR(INDEX('Material routes'!$K$6:$K$1005,MATCH(U166,'Material routes'!$A$6:$A$1005,0)),"MISSING ID")</x:f>
        <x:v>Proposal</x:v>
      </x:c>
      <x:c r="M166" s="4" t="str">
        <x:f>IFERROR(INDEX('Material routes'!$M$6:$M$1005,MATCH(U166,'Material routes'!$A$6:$A$1005,0)),"MISSING ID")</x:f>
        <x:v>Partial proposal</x:v>
      </x:c>
      <x:c r="N166" s="4" t="str">
        <x:f>IF(IFERROR(INDEX('Material routes'!$I$6:$I$1005,MATCH(U166,'Material routes'!$A$6:$A$1005,0)),"MISSING ID")=0,"",IFERROR(INDEX('Material routes'!$I$6:$I$1005,MATCH(U166,'Material routes'!$A$6:$A$1005,0)),"MISSING ID"))</x:f>
      </x:c>
      <x:c r="O166" s="4" t="str">
        <x:f>IFERROR(INDEX('Material routes'!$J$6:$J$1005,MATCH(U166,'Material routes'!$A$6:$A$1005,0)),"MISSING ID")</x:f>
        <x:v>Unspecified</x:v>
      </x:c>
      <x:c r="P166" s="4" t="str">
        <x:f>IF(IFERROR(INDEX('Material routes'!$I$6:$I$1005,MATCH(V166,'Material routes'!$A$6:$A$1005,0)),"MISSING ID")=0,"",IFERROR(INDEX('Material routes'!$I$6:$I$1005,MATCH(V166,'Material routes'!$A$6:$A$1005,0)),"MISSING ID"))</x:f>
      </x:c>
      <x:c r="Q166" s="4" t="str">
        <x:f>IFERROR(INDEX('Material routes'!$J$6:$J$1005,MATCH(V166,'Material routes'!$A$6:$A$1005,0)),"MISSING ID")</x:f>
        <x:v>Unspecified</x:v>
      </x:c>
      <x:c r="R166" s="4" t="str">
        <x:f>IF(L166="Withheld","Withheld premise",IF(E166="Tool candidate","Reusable prerequisite",IF(K166="Raw entry preparation","Entry-resource preparation",IF(G166="Not applicable","Finished endpoint",IF(OR(IFERROR(INDEX('Crafting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routes'!$D$6:$D$1005,MATCH(U166,'Material routes'!$A$6:$A$1005,0)),"MISSING ID")</x:f>
        <x:v>proposal.branch.sealing_sheet</x:v>
      </x:c>
      <x:c r="T166" s="4" t="str">
        <x:f>IFERROR(INDEX('Material routes'!$D$6:$D$1005,MATCH(V166,'Material routes'!$A$6:$A$1005,0)),"MISSING ID")</x:f>
        <x:v>proposal.branch.sealed_casing</x:v>
      </x:c>
      <x:c r="U166" s="4" t="str">
        <x:v>design.branch.branch.sealed_casing.in.2</x:v>
      </x:c>
      <x:c r="V166" s="4" t="str">
        <x:v>design.branch.branch.sealed_casing.out</x:v>
      </x:c>
    </x:row>
    <x:row r="167" ht="105" customHeight="1">
      <x:c r="A167" s="4" t="str">
        <x:f>IFERROR(INDEX('Material routes'!$E$6:$E$1005,MATCH(U167,'Material routes'!$A$6:$A$1005,0)),"MISSING ID")</x:f>
        <x:v>Spring-grade steel stock</x:v>
      </x:c>
      <x:c r="B167" s="4" t="str">
        <x:f>IFERROR(INDEX('Material routes'!$F$6:$F$1005,MATCH(U167,'Material routes'!$A$6:$A$1005,0)),"MISSING ID")</x:f>
        <x:v>T3</x:v>
      </x:c>
      <x:c r="C167" s="4" t="str">
        <x:f>IFERROR(INDEX('Material routes'!$H$6:$H$1005,MATCH(U167,'Material routes'!$A$6:$A$1005,0)),"MISSING ID")</x:f>
        <x:v>Processed material</x:v>
      </x:c>
      <x:c r="D167" s="4" t="str">
        <x:f>IFERROR(INDEX('Material routes'!$G$6:$G$1005,MATCH(U167,'Material routes'!$A$6:$A$1005,0)),"MISSING ID")</x:f>
        <x:v>Resources</x:v>
      </x:c>
      <x:c r="E167" s="4" t="str">
        <x:f>IFERROR(INDEX('Material routes'!$C$6:$C$1005,MATCH(U167,'Material routes'!$A$6:$A$1005,0)),"MISSING ID")</x:f>
        <x:v>Ingredient candidate</x:v>
      </x:c>
      <x:c r="F167" s="4" t="str">
        <x:f>IFERROR(INDEX('Material routes'!$E$6:$E$1005,MATCH(V167,'Material routes'!$A$6:$A$1005,0)),"MISSING ID")</x:f>
        <x:v>Preloaded spring subassembly</x:v>
      </x:c>
      <x:c r="G167" s="4" t="str">
        <x:f>IFERROR(INDEX('Material routes'!$F$6:$F$1005,MATCH(V167,'Material routes'!$A$6:$A$1005,0)),"MISSING ID")</x:f>
        <x:v>T4</x:v>
      </x:c>
      <x:c r="H167" s="4" t="str">
        <x:f>IFERROR(INDEX('Material routes'!$H$6:$H$1005,MATCH(V167,'Material routes'!$A$6:$A$1005,0)),"MISSING ID")</x:f>
        <x:v>Crafting component</x:v>
      </x:c>
      <x:c r="I167" s="4" t="str">
        <x:f>IFERROR(INDEX('Material routes'!$G$6:$G$1005,MATCH(V167,'Material routes'!$A$6:$A$1005,0)),"MISSING ID")</x:f>
        <x:v>Crafting components</x:v>
      </x:c>
      <x:c r="J167" s="4" t="str">
        <x:f>IFERROR(INDEX('Material routes'!$B$6:$B$1005,MATCH(U167,'Material routes'!$A$6:$A$1005,0)),"MISSING ID")</x:f>
        <x:v>design.branch.branch.spring_pack</x:v>
      </x:c>
      <x:c r="K167" s="4" t="str">
        <x:f>IFERROR(INDEX('Crafting recipes'!$C$6:$C$1005,MATCH(J167,'Crafting recipes'!$A$6:$A$1005,0)),"MISSING ID")</x:f>
        <x:v>Material refinement</x:v>
      </x:c>
      <x:c r="L167" s="4" t="str">
        <x:f>IFERROR(INDEX('Material routes'!$K$6:$K$1005,MATCH(U167,'Material routes'!$A$6:$A$1005,0)),"MISSING ID")</x:f>
        <x:v>Proposal</x:v>
      </x:c>
      <x:c r="M167" s="4" t="str">
        <x:f>IFERROR(INDEX('Material routes'!$M$6:$M$1005,MATCH(U167,'Material routes'!$A$6:$A$1005,0)),"MISSING ID")</x:f>
        <x:v>Partial proposal</x:v>
      </x:c>
      <x:c r="N167" s="4" t="str">
        <x:f>IF(IFERROR(INDEX('Material routes'!$I$6:$I$1005,MATCH(U167,'Material routes'!$A$6:$A$1005,0)),"MISSING ID")=0,"",IFERROR(INDEX('Material routes'!$I$6:$I$1005,MATCH(U167,'Material routes'!$A$6:$A$1005,0)),"MISSING ID"))</x:f>
      </x:c>
      <x:c r="O167" s="4" t="str">
        <x:f>IFERROR(INDEX('Material routes'!$J$6:$J$1005,MATCH(U167,'Material routes'!$A$6:$A$1005,0)),"MISSING ID")</x:f>
        <x:v>Unspecified</x:v>
      </x:c>
      <x:c r="P167" s="4" t="str">
        <x:f>IF(IFERROR(INDEX('Material routes'!$I$6:$I$1005,MATCH(V167,'Material routes'!$A$6:$A$1005,0)),"MISSING ID")=0,"",IFERROR(INDEX('Material routes'!$I$6:$I$1005,MATCH(V167,'Material routes'!$A$6:$A$1005,0)),"MISSING ID"))</x:f>
      </x:c>
      <x:c r="Q167" s="4" t="str">
        <x:f>IFERROR(INDEX('Material routes'!$J$6:$J$1005,MATCH(V167,'Material routes'!$A$6:$A$1005,0)),"MISSING ID")</x:f>
        <x:v>Unspecified</x:v>
      </x:c>
      <x:c r="R167" s="4" t="str">
        <x:f>IF(L167="Withheld","Withheld premise",IF(E167="Tool candidate","Reusable prerequisite",IF(K167="Raw entry preparation","Entry-resource preparation",IF(G167="Not applicable","Finished endpoint",IF(OR(IFERROR(INDEX('Crafting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routes'!$D$6:$D$1005,MATCH(U167,'Material routes'!$A$6:$A$1005,0)),"MISSING ID")</x:f>
        <x:v>proposal.branch.spring_steel</x:v>
      </x:c>
      <x:c r="T167" s="4" t="str">
        <x:f>IFERROR(INDEX('Material routes'!$D$6:$D$1005,MATCH(V167,'Material routes'!$A$6:$A$1005,0)),"MISSING ID")</x:f>
        <x:v>proposal.branch.spring_pack</x:v>
      </x:c>
      <x:c r="U167" s="4" t="str">
        <x:v>design.branch.branch.spring_pack.in.1</x:v>
      </x:c>
      <x:c r="V167" s="4" t="str">
        <x:v>design.branch.branch.spring_pack.out</x:v>
      </x:c>
    </x:row>
    <x:row r="168" ht="105" customHeight="1">
      <x:c r="A168" s="4" t="str">
        <x:f>IFERROR(INDEX('Material routes'!$E$6:$E$1005,MATCH(U168,'Material routes'!$A$6:$A$1005,0)),"MISSING ID")</x:f>
        <x:v>Steel stock</x:v>
      </x:c>
      <x:c r="B168" s="4" t="str">
        <x:f>IFERROR(INDEX('Material routes'!$F$6:$F$1005,MATCH(U168,'Material routes'!$A$6:$A$1005,0)),"MISSING ID")</x:f>
        <x:v>T2</x:v>
      </x:c>
      <x:c r="C168" s="4" t="str">
        <x:f>IFERROR(INDEX('Material routes'!$H$6:$H$1005,MATCH(U168,'Material routes'!$A$6:$A$1005,0)),"MISSING ID")</x:f>
        <x:v>Processed material</x:v>
      </x:c>
      <x:c r="D168" s="4" t="str">
        <x:f>IFERROR(INDEX('Material routes'!$G$6:$G$1005,MATCH(U168,'Material routes'!$A$6:$A$1005,0)),"MISSING ID")</x:f>
        <x:v>Resources</x:v>
      </x:c>
      <x:c r="E168" s="4" t="str">
        <x:f>IFERROR(INDEX('Material routes'!$C$6:$C$1005,MATCH(U168,'Material routes'!$A$6:$A$1005,0)),"MISSING ID")</x:f>
        <x:v>Ingredient candidate</x:v>
      </x:c>
      <x:c r="F168" s="4" t="str">
        <x:f>IFERROR(INDEX('Material routes'!$E$6:$E$1005,MATCH(V168,'Material routes'!$A$6:$A$1005,0)),"MISSING ID")</x:f>
        <x:v>Preloaded spring subassembly</x:v>
      </x:c>
      <x:c r="G168" s="4" t="str">
        <x:f>IFERROR(INDEX('Material routes'!$F$6:$F$1005,MATCH(V168,'Material routes'!$A$6:$A$1005,0)),"MISSING ID")</x:f>
        <x:v>T4</x:v>
      </x:c>
      <x:c r="H168" s="4" t="str">
        <x:f>IFERROR(INDEX('Material routes'!$H$6:$H$1005,MATCH(V168,'Material routes'!$A$6:$A$1005,0)),"MISSING ID")</x:f>
        <x:v>Crafting component</x:v>
      </x:c>
      <x:c r="I168" s="4" t="str">
        <x:f>IFERROR(INDEX('Material routes'!$G$6:$G$1005,MATCH(V168,'Material routes'!$A$6:$A$1005,0)),"MISSING ID")</x:f>
        <x:v>Crafting components</x:v>
      </x:c>
      <x:c r="J168" s="4" t="str">
        <x:f>IFERROR(INDEX('Material routes'!$B$6:$B$1005,MATCH(U168,'Material routes'!$A$6:$A$1005,0)),"MISSING ID")</x:f>
        <x:v>design.branch.branch.spring_pack</x:v>
      </x:c>
      <x:c r="K168" s="4" t="str">
        <x:f>IFERROR(INDEX('Crafting recipes'!$C$6:$C$1005,MATCH(J168,'Crafting recipes'!$A$6:$A$1005,0)),"MISSING ID")</x:f>
        <x:v>Material refinement</x:v>
      </x:c>
      <x:c r="L168" s="4" t="str">
        <x:f>IFERROR(INDEX('Material routes'!$K$6:$K$1005,MATCH(U168,'Material routes'!$A$6:$A$1005,0)),"MISSING ID")</x:f>
        <x:v>Proposal</x:v>
      </x:c>
      <x:c r="M168" s="4" t="str">
        <x:f>IFERROR(INDEX('Material routes'!$M$6:$M$1005,MATCH(U168,'Material routes'!$A$6:$A$1005,0)),"MISSING ID")</x:f>
        <x:v>Partial proposal</x:v>
      </x:c>
      <x:c r="N168" s="4" t="str">
        <x:f>IF(IFERROR(INDEX('Material routes'!$I$6:$I$1005,MATCH(U168,'Material routes'!$A$6:$A$1005,0)),"MISSING ID")=0,"",IFERROR(INDEX('Material routes'!$I$6:$I$1005,MATCH(U168,'Material routes'!$A$6:$A$1005,0)),"MISSING ID"))</x:f>
      </x:c>
      <x:c r="O168" s="4" t="str">
        <x:f>IFERROR(INDEX('Material routes'!$J$6:$J$1005,MATCH(U168,'Material routes'!$A$6:$A$1005,0)),"MISSING ID")</x:f>
        <x:v>Unspecified</x:v>
      </x:c>
      <x:c r="P168" s="4" t="str">
        <x:f>IF(IFERROR(INDEX('Material routes'!$I$6:$I$1005,MATCH(V168,'Material routes'!$A$6:$A$1005,0)),"MISSING ID")=0,"",IFERROR(INDEX('Material routes'!$I$6:$I$1005,MATCH(V168,'Material routes'!$A$6:$A$1005,0)),"MISSING ID"))</x:f>
      </x:c>
      <x:c r="Q168" s="4" t="str">
        <x:f>IFERROR(INDEX('Material routes'!$J$6:$J$1005,MATCH(V168,'Material routes'!$A$6:$A$1005,0)),"MISSING ID")</x:f>
        <x:v>Unspecified</x:v>
      </x:c>
      <x:c r="R168" s="4" t="str">
        <x:f>IF(L168="Withheld","Withheld premise",IF(E168="Tool candidate","Reusable prerequisite",IF(K168="Raw entry preparation","Entry-resource preparation",IF(G168="Not applicable","Finished endpoint",IF(OR(IFERROR(INDEX('Crafting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routes'!$D$6:$D$1005,MATCH(U168,'Material routes'!$A$6:$A$1005,0)),"MISSING ID")</x:f>
        <x:v>author.metallurgy.steel_stock</x:v>
      </x:c>
      <x:c r="T168" s="4" t="str">
        <x:f>IFERROR(INDEX('Material routes'!$D$6:$D$1005,MATCH(V168,'Material routes'!$A$6:$A$1005,0)),"MISSING ID")</x:f>
        <x:v>proposal.branch.spring_pack</x:v>
      </x:c>
      <x:c r="U168" s="4" t="str">
        <x:v>design.branch.branch.spring_pack.in.2</x:v>
      </x:c>
      <x:c r="V168" s="4" t="str">
        <x:v>design.branch.branch.spring_pack.out</x:v>
      </x:c>
    </x:row>
    <x:row r="169" ht="105" customHeight="1">
      <x:c r="A169" s="4" t="str">
        <x:f>IFERROR(INDEX('Material routes'!$E$6:$E$1005,MATCH(U169,'Material routes'!$A$6:$A$1005,0)),"MISSING ID")</x:f>
        <x:v>Fine mechanism oil</x:v>
      </x:c>
      <x:c r="B169" s="4" t="str">
        <x:f>IFERROR(INDEX('Material routes'!$F$6:$F$1005,MATCH(U169,'Material routes'!$A$6:$A$1005,0)),"MISSING ID")</x:f>
        <x:v>T2</x:v>
      </x:c>
      <x:c r="C169" s="4" t="str">
        <x:f>IFERROR(INDEX('Material routes'!$H$6:$H$1005,MATCH(U169,'Material routes'!$A$6:$A$1005,0)),"MISSING ID")</x:f>
        <x:v>Chemical material</x:v>
      </x:c>
      <x:c r="D169" s="4" t="str">
        <x:f>IFERROR(INDEX('Material routes'!$G$6:$G$1005,MATCH(U169,'Material routes'!$A$6:$A$1005,0)),"MISSING ID")</x:f>
        <x:v>Resources</x:v>
      </x:c>
      <x:c r="E169" s="4" t="str">
        <x:f>IFERROR(INDEX('Material routes'!$C$6:$C$1005,MATCH(U169,'Material routes'!$A$6:$A$1005,0)),"MISSING ID")</x:f>
        <x:v>Ingredient candidate</x:v>
      </x:c>
      <x:c r="F169" s="4" t="str">
        <x:f>IFERROR(INDEX('Material routes'!$E$6:$E$1005,MATCH(V169,'Material routes'!$A$6:$A$1005,0)),"MISSING ID")</x:f>
        <x:v>Preloaded spring subassembly</x:v>
      </x:c>
      <x:c r="G169" s="4" t="str">
        <x:f>IFERROR(INDEX('Material routes'!$F$6:$F$1005,MATCH(V169,'Material routes'!$A$6:$A$1005,0)),"MISSING ID")</x:f>
        <x:v>T4</x:v>
      </x:c>
      <x:c r="H169" s="4" t="str">
        <x:f>IFERROR(INDEX('Material routes'!$H$6:$H$1005,MATCH(V169,'Material routes'!$A$6:$A$1005,0)),"MISSING ID")</x:f>
        <x:v>Crafting component</x:v>
      </x:c>
      <x:c r="I169" s="4" t="str">
        <x:f>IFERROR(INDEX('Material routes'!$G$6:$G$1005,MATCH(V169,'Material routes'!$A$6:$A$1005,0)),"MISSING ID")</x:f>
        <x:v>Crafting components</x:v>
      </x:c>
      <x:c r="J169" s="4" t="str">
        <x:f>IFERROR(INDEX('Material routes'!$B$6:$B$1005,MATCH(U169,'Material routes'!$A$6:$A$1005,0)),"MISSING ID")</x:f>
        <x:v>design.branch.branch.spring_pack</x:v>
      </x:c>
      <x:c r="K169" s="4" t="str">
        <x:f>IFERROR(INDEX('Crafting recipes'!$C$6:$C$1005,MATCH(J169,'Crafting recipes'!$A$6:$A$1005,0)),"MISSING ID")</x:f>
        <x:v>Material refinement</x:v>
      </x:c>
      <x:c r="L169" s="4" t="str">
        <x:f>IFERROR(INDEX('Material routes'!$K$6:$K$1005,MATCH(U169,'Material routes'!$A$6:$A$1005,0)),"MISSING ID")</x:f>
        <x:v>Proposal</x:v>
      </x:c>
      <x:c r="M169" s="4" t="str">
        <x:f>IFERROR(INDEX('Material routes'!$M$6:$M$1005,MATCH(U169,'Material routes'!$A$6:$A$1005,0)),"MISSING ID")</x:f>
        <x:v>Partial proposal</x:v>
      </x:c>
      <x:c r="N169" s="4" t="str">
        <x:f>IF(IFERROR(INDEX('Material routes'!$I$6:$I$1005,MATCH(U169,'Material routes'!$A$6:$A$1005,0)),"MISSING ID")=0,"",IFERROR(INDEX('Material routes'!$I$6:$I$1005,MATCH(U169,'Material routes'!$A$6:$A$1005,0)),"MISSING ID"))</x:f>
      </x:c>
      <x:c r="O169" s="4" t="str">
        <x:f>IFERROR(INDEX('Material routes'!$J$6:$J$1005,MATCH(U169,'Material routes'!$A$6:$A$1005,0)),"MISSING ID")</x:f>
        <x:v>Unspecified</x:v>
      </x:c>
      <x:c r="P169" s="4" t="str">
        <x:f>IF(IFERROR(INDEX('Material routes'!$I$6:$I$1005,MATCH(V169,'Material routes'!$A$6:$A$1005,0)),"MISSING ID")=0,"",IFERROR(INDEX('Material routes'!$I$6:$I$1005,MATCH(V169,'Material routes'!$A$6:$A$1005,0)),"MISSING ID"))</x:f>
      </x:c>
      <x:c r="Q169" s="4" t="str">
        <x:f>IFERROR(INDEX('Material routes'!$J$6:$J$1005,MATCH(V169,'Material routes'!$A$6:$A$1005,0)),"MISSING ID")</x:f>
        <x:v>Unspecified</x:v>
      </x:c>
      <x:c r="R169" s="4" t="str">
        <x:f>IF(L169="Withheld","Withheld premise",IF(E169="Tool candidate","Reusable prerequisite",IF(K169="Raw entry preparation","Entry-resource preparation",IF(G169="Not applicable","Finished endpoint",IF(OR(IFERROR(INDEX('Crafting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routes'!$D$6:$D$1005,MATCH(U169,'Material routes'!$A$6:$A$1005,0)),"MISSING ID")</x:f>
        <x:v>proposal.lubricant.precision_oil</x:v>
      </x:c>
      <x:c r="T169" s="4" t="str">
        <x:f>IFERROR(INDEX('Material routes'!$D$6:$D$1005,MATCH(V169,'Material routes'!$A$6:$A$1005,0)),"MISSING ID")</x:f>
        <x:v>proposal.branch.spring_pack</x:v>
      </x:c>
      <x:c r="U169" s="4" t="str">
        <x:v>design.branch.branch.spring_pack.in.3</x:v>
      </x:c>
      <x:c r="V169" s="4" t="str">
        <x:v>design.branch.branch.spring_pack.out</x:v>
      </x:c>
    </x:row>
    <x:row r="170" ht="105" customHeight="1">
      <x:c r="A170" s="4" t="str">
        <x:f>IFERROR(INDEX('Material routes'!$E$6:$E$1005,MATCH(U170,'Material routes'!$A$6:$A$1005,0)),"MISSING ID")</x:f>
        <x:v>Refractory ceramic stock</x:v>
      </x:c>
      <x:c r="B170" s="4" t="str">
        <x:f>IFERROR(INDEX('Material routes'!$F$6:$F$1005,MATCH(U170,'Material routes'!$A$6:$A$1005,0)),"MISSING ID")</x:f>
        <x:v>T2</x:v>
      </x:c>
      <x:c r="C170" s="4" t="str">
        <x:f>IFERROR(INDEX('Material routes'!$H$6:$H$1005,MATCH(U170,'Material routes'!$A$6:$A$1005,0)),"MISSING ID")</x:f>
        <x:v>Processed material</x:v>
      </x:c>
      <x:c r="D170" s="4" t="str">
        <x:f>IFERROR(INDEX('Material routes'!$G$6:$G$1005,MATCH(U170,'Material routes'!$A$6:$A$1005,0)),"MISSING ID")</x:f>
        <x:v>Resources</x:v>
      </x:c>
      <x:c r="E170" s="4" t="str">
        <x:f>IFERROR(INDEX('Material routes'!$C$6:$C$1005,MATCH(U170,'Material routes'!$A$6:$A$1005,0)),"MISSING ID")</x:f>
        <x:v>Ingredient candidate</x:v>
      </x:c>
      <x:c r="F170" s="4" t="str">
        <x:f>IFERROR(INDEX('Material routes'!$E$6:$E$1005,MATCH(V170,'Material routes'!$A$6:$A$1005,0)),"MISSING ID")</x:f>
        <x:v>Ceramic crucible</x:v>
      </x:c>
      <x:c r="G170" s="4" t="str">
        <x:f>IFERROR(INDEX('Material routes'!$F$6:$F$1005,MATCH(V170,'Material routes'!$A$6:$A$1005,0)),"MISSING ID")</x:f>
        <x:v>Not applicable</x:v>
      </x:c>
      <x:c r="H170" s="4" t="str">
        <x:f>IFERROR(INDEX('Material routes'!$H$6:$H$1005,MATCH(V170,'Material routes'!$A$6:$A$1005,0)),"MISSING ID")</x:f>
        <x:v>Tool</x:v>
      </x:c>
      <x:c r="I170" s="4" t="str">
        <x:f>IFERROR(INDEX('Material routes'!$G$6:$G$1005,MATCH(V170,'Material routes'!$A$6:$A$1005,0)),"MISSING ID")</x:f>
        <x:v>Equipment</x:v>
      </x:c>
      <x:c r="J170" s="4" t="str">
        <x:f>IFERROR(INDEX('Material routes'!$B$6:$B$1005,MATCH(U170,'Material routes'!$A$6:$A$1005,0)),"MISSING ID")</x:f>
        <x:v>design.finished.refractory_crucible</x:v>
      </x:c>
      <x:c r="K170" s="4" t="str">
        <x:f>IFERROR(INDEX('Crafting recipes'!$C$6:$C$1005,MATCH(J170,'Crafting recipes'!$A$6:$A$1005,0)),"MISSING ID")</x:f>
        <x:v>Finished-item crafting</x:v>
      </x:c>
      <x:c r="L170" s="4" t="str">
        <x:f>IFERROR(INDEX('Material routes'!$K$6:$K$1005,MATCH(U170,'Material routes'!$A$6:$A$1005,0)),"MISSING ID")</x:f>
        <x:v>Proposal</x:v>
      </x:c>
      <x:c r="M170" s="4" t="str">
        <x:f>IFERROR(INDEX('Material routes'!$M$6:$M$1005,MATCH(U170,'Material routes'!$A$6:$A$1005,0)),"MISSING ID")</x:f>
        <x:v>Partial proposal</x:v>
      </x:c>
      <x:c r="N170" s="4" t="str">
        <x:f>IF(IFERROR(INDEX('Material routes'!$I$6:$I$1005,MATCH(U170,'Material routes'!$A$6:$A$1005,0)),"MISSING ID")=0,"",IFERROR(INDEX('Material routes'!$I$6:$I$1005,MATCH(U170,'Material routes'!$A$6:$A$1005,0)),"MISSING ID"))</x:f>
      </x:c>
      <x:c r="O170" s="4" t="str">
        <x:f>IFERROR(INDEX('Material routes'!$J$6:$J$1005,MATCH(U170,'Material routes'!$A$6:$A$1005,0)),"MISSING ID")</x:f>
        <x:v>Unspecified</x:v>
      </x:c>
      <x:c r="P170" s="4" t="str">
        <x:f>IF(IFERROR(INDEX('Material routes'!$I$6:$I$1005,MATCH(V170,'Material routes'!$A$6:$A$1005,0)),"MISSING ID")=0,"",IFERROR(INDEX('Material routes'!$I$6:$I$1005,MATCH(V170,'Material routes'!$A$6:$A$1005,0)),"MISSING ID"))</x:f>
      </x:c>
      <x:c r="Q170" s="4" t="str">
        <x:f>IFERROR(INDEX('Material routes'!$J$6:$J$1005,MATCH(V170,'Material routes'!$A$6:$A$1005,0)),"MISSING ID")</x:f>
        <x:v>Unspecified</x:v>
      </x:c>
      <x:c r="R170" s="4" t="str">
        <x:f>IF(L170="Withheld","Withheld premise",IF(E170="Tool candidate","Reusable prerequisite",IF(K170="Raw entry preparation","Entry-resource preparation",IF(G170="Not applicable","Finished endpoint",IF(OR(IFERROR(INDEX('Crafting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routes'!$D$6:$D$1005,MATCH(U170,'Material routes'!$A$6:$A$1005,0)),"MISSING ID")</x:f>
        <x:v>proposal.branch.refractory_ceramic</x:v>
      </x:c>
      <x:c r="T170" s="4" t="str">
        <x:f>IFERROR(INDEX('Material routes'!$D$6:$D$1005,MATCH(V170,'Material routes'!$A$6:$A$1005,0)),"MISSING ID")</x:f>
        <x:v>proposal.ceramic.crucible</x:v>
      </x:c>
      <x:c r="U170" s="4" t="str">
        <x:v>design.finished.refractory_crucible.in.1</x:v>
      </x:c>
      <x:c r="V170" s="4" t="str">
        <x:v>design.finished.refractory_crucible.out</x:v>
      </x:c>
    </x:row>
    <x:row r="171" ht="105" customHeight="1">
      <x:c r="A171" s="4" t="str">
        <x:f>IFERROR(INDEX('Material routes'!$E$6:$E$1005,MATCH(U171,'Material routes'!$A$6:$A$1005,0)),"MISSING ID")</x:f>
        <x:v>Mica composite sheet</x:v>
      </x:c>
      <x:c r="B171" s="4" t="str">
        <x:f>IFERROR(INDEX('Material routes'!$F$6:$F$1005,MATCH(U171,'Material routes'!$A$6:$A$1005,0)),"MISSING ID")</x:f>
        <x:v>T2</x:v>
      </x:c>
      <x:c r="C171" s="4" t="str">
        <x:f>IFERROR(INDEX('Material routes'!$H$6:$H$1005,MATCH(U171,'Material routes'!$A$6:$A$1005,0)),"MISSING ID")</x:f>
        <x:v>Processed material</x:v>
      </x:c>
      <x:c r="D171" s="4" t="str">
        <x:f>IFERROR(INDEX('Material routes'!$G$6:$G$1005,MATCH(U171,'Material routes'!$A$6:$A$1005,0)),"MISSING ID")</x:f>
        <x:v>Resources</x:v>
      </x:c>
      <x:c r="E171" s="4" t="str">
        <x:f>IFERROR(INDEX('Material routes'!$C$6:$C$1005,MATCH(U171,'Material routes'!$A$6:$A$1005,0)),"MISSING ID")</x:f>
        <x:v>Ingredient candidate</x:v>
      </x:c>
      <x:c r="F171" s="4" t="str">
        <x:f>IFERROR(INDEX('Material routes'!$E$6:$E$1005,MATCH(V171,'Material routes'!$A$6:$A$1005,0)),"MISSING ID")</x:f>
        <x:v>Electrical insulating gloves</x:v>
      </x:c>
      <x:c r="G171" s="4" t="str">
        <x:f>IFERROR(INDEX('Material routes'!$F$6:$F$1005,MATCH(V171,'Material routes'!$A$6:$A$1005,0)),"MISSING ID")</x:f>
        <x:v>Not applicable</x:v>
      </x:c>
      <x:c r="H171" s="4" t="str">
        <x:f>IFERROR(INDEX('Material routes'!$H$6:$H$1005,MATCH(V171,'Material routes'!$A$6:$A$1005,0)),"MISSING ID")</x:f>
        <x:v>Wearable</x:v>
      </x:c>
      <x:c r="I171" s="4" t="str">
        <x:f>IFERROR(INDEX('Material routes'!$G$6:$G$1005,MATCH(V171,'Material routes'!$A$6:$A$1005,0)),"MISSING ID")</x:f>
        <x:v>Equipment</x:v>
      </x:c>
      <x:c r="J171" s="4" t="str">
        <x:f>IFERROR(INDEX('Material routes'!$B$6:$B$1005,MATCH(U171,'Material routes'!$A$6:$A$1005,0)),"MISSING ID")</x:f>
        <x:v>design.finished.electrical_gloves</x:v>
      </x:c>
      <x:c r="K171" s="4" t="str">
        <x:f>IFERROR(INDEX('Crafting recipes'!$C$6:$C$1005,MATCH(J171,'Crafting recipes'!$A$6:$A$1005,0)),"MISSING ID")</x:f>
        <x:v>Finished-item crafting</x:v>
      </x:c>
      <x:c r="L171" s="4" t="str">
        <x:f>IFERROR(INDEX('Material routes'!$K$6:$K$1005,MATCH(U171,'Material routes'!$A$6:$A$1005,0)),"MISSING ID")</x:f>
        <x:v>Proposal</x:v>
      </x:c>
      <x:c r="M171" s="4" t="str">
        <x:f>IFERROR(INDEX('Material routes'!$M$6:$M$1005,MATCH(U171,'Material routes'!$A$6:$A$1005,0)),"MISSING ID")</x:f>
        <x:v>Partial proposal</x:v>
      </x:c>
      <x:c r="N171" s="4" t="str">
        <x:f>IF(IFERROR(INDEX('Material routes'!$I$6:$I$1005,MATCH(U171,'Material routes'!$A$6:$A$1005,0)),"MISSING ID")=0,"",IFERROR(INDEX('Material routes'!$I$6:$I$1005,MATCH(U171,'Material routes'!$A$6:$A$1005,0)),"MISSING ID"))</x:f>
      </x:c>
      <x:c r="O171" s="4" t="str">
        <x:f>IFERROR(INDEX('Material routes'!$J$6:$J$1005,MATCH(U171,'Material routes'!$A$6:$A$1005,0)),"MISSING ID")</x:f>
        <x:v>Unspecified</x:v>
      </x:c>
      <x:c r="P171" s="4" t="str">
        <x:f>IF(IFERROR(INDEX('Material routes'!$I$6:$I$1005,MATCH(V171,'Material routes'!$A$6:$A$1005,0)),"MISSING ID")=0,"",IFERROR(INDEX('Material routes'!$I$6:$I$1005,MATCH(V171,'Material routes'!$A$6:$A$1005,0)),"MISSING ID"))</x:f>
      </x:c>
      <x:c r="Q171" s="4" t="str">
        <x:f>IFERROR(INDEX('Material routes'!$J$6:$J$1005,MATCH(V171,'Material routes'!$A$6:$A$1005,0)),"MISSING ID")</x:f>
        <x:v>Unspecified</x:v>
      </x:c>
      <x:c r="R171" s="4" t="str">
        <x:f>IF(L171="Withheld","Withheld premise",IF(E171="Tool candidate","Reusable prerequisite",IF(K171="Raw entry preparation","Entry-resource preparation",IF(G171="Not applicable","Finished endpoint",IF(OR(IFERROR(INDEX('Crafting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routes'!$D$6:$D$1005,MATCH(U171,'Material routes'!$A$6:$A$1005,0)),"MISSING ID")</x:f>
        <x:v>proposal.branch.mica_sheet</x:v>
      </x:c>
      <x:c r="T171" s="4" t="str">
        <x:f>IFERROR(INDEX('Material routes'!$D$6:$D$1005,MATCH(V171,'Material routes'!$A$6:$A$1005,0)),"MISSING ID")</x:f>
        <x:v>author.electrical.insulated_gloves</x:v>
      </x:c>
      <x:c r="U171" s="4" t="str">
        <x:v>design.finished.electrical_gloves.in.1</x:v>
      </x:c>
      <x:c r="V171" s="4" t="str">
        <x:v>design.finished.electrical_gloves.out</x:v>
      </x:c>
    </x:row>
    <x:row r="172" ht="105" customHeight="1">
      <x:c r="A172" s="4" t="str">
        <x:f>IFERROR(INDEX('Material routes'!$E$6:$E$1005,MATCH(U172,'Material routes'!$A$6:$A$1005,0)),"MISSING ID")</x:f>
        <x:v>Flexible membrane-bonding compound</x:v>
      </x:c>
      <x:c r="B172" s="4" t="str">
        <x:f>IFERROR(INDEX('Material routes'!$F$6:$F$1005,MATCH(U172,'Material routes'!$A$6:$A$1005,0)),"MISSING ID")</x:f>
        <x:v>T2</x:v>
      </x:c>
      <x:c r="C172" s="4" t="str">
        <x:f>IFERROR(INDEX('Material routes'!$H$6:$H$1005,MATCH(U172,'Material routes'!$A$6:$A$1005,0)),"MISSING ID")</x:f>
        <x:v>Chemical material</x:v>
      </x:c>
      <x:c r="D172" s="4" t="str">
        <x:f>IFERROR(INDEX('Material routes'!$G$6:$G$1005,MATCH(U172,'Material routes'!$A$6:$A$1005,0)),"MISSING ID")</x:f>
        <x:v>Resources</x:v>
      </x:c>
      <x:c r="E172" s="4" t="str">
        <x:f>IFERROR(INDEX('Material routes'!$C$6:$C$1005,MATCH(U172,'Material routes'!$A$6:$A$1005,0)),"MISSING ID")</x:f>
        <x:v>Ingredient candidate</x:v>
      </x:c>
      <x:c r="F172" s="4" t="str">
        <x:f>IFERROR(INDEX('Material routes'!$E$6:$E$1005,MATCH(V172,'Material routes'!$A$6:$A$1005,0)),"MISSING ID")</x:f>
        <x:v>Electrical insulating gloves</x:v>
      </x:c>
      <x:c r="G172" s="4" t="str">
        <x:f>IFERROR(INDEX('Material routes'!$F$6:$F$1005,MATCH(V172,'Material routes'!$A$6:$A$1005,0)),"MISSING ID")</x:f>
        <x:v>Not applicable</x:v>
      </x:c>
      <x:c r="H172" s="4" t="str">
        <x:f>IFERROR(INDEX('Material routes'!$H$6:$H$1005,MATCH(V172,'Material routes'!$A$6:$A$1005,0)),"MISSING ID")</x:f>
        <x:v>Wearable</x:v>
      </x:c>
      <x:c r="I172" s="4" t="str">
        <x:f>IFERROR(INDEX('Material routes'!$G$6:$G$1005,MATCH(V172,'Material routes'!$A$6:$A$1005,0)),"MISSING ID")</x:f>
        <x:v>Equipment</x:v>
      </x:c>
      <x:c r="J172" s="4" t="str">
        <x:f>IFERROR(INDEX('Material routes'!$B$6:$B$1005,MATCH(U172,'Material routes'!$A$6:$A$1005,0)),"MISSING ID")</x:f>
        <x:v>design.finished.electrical_gloves</x:v>
      </x:c>
      <x:c r="K172" s="4" t="str">
        <x:f>IFERROR(INDEX('Crafting recipes'!$C$6:$C$1005,MATCH(J172,'Crafting recipes'!$A$6:$A$1005,0)),"MISSING ID")</x:f>
        <x:v>Finished-item crafting</x:v>
      </x:c>
      <x:c r="L172" s="4" t="str">
        <x:f>IFERROR(INDEX('Material routes'!$K$6:$K$1005,MATCH(U172,'Material routes'!$A$6:$A$1005,0)),"MISSING ID")</x:f>
        <x:v>Proposal</x:v>
      </x:c>
      <x:c r="M172" s="4" t="str">
        <x:f>IFERROR(INDEX('Material routes'!$M$6:$M$1005,MATCH(U172,'Material routes'!$A$6:$A$1005,0)),"MISSING ID")</x:f>
        <x:v>Partial proposal</x:v>
      </x:c>
      <x:c r="N172" s="4" t="str">
        <x:f>IF(IFERROR(INDEX('Material routes'!$I$6:$I$1005,MATCH(U172,'Material routes'!$A$6:$A$1005,0)),"MISSING ID")=0,"",IFERROR(INDEX('Material routes'!$I$6:$I$1005,MATCH(U172,'Material routes'!$A$6:$A$1005,0)),"MISSING ID"))</x:f>
      </x:c>
      <x:c r="O172" s="4" t="str">
        <x:f>IFERROR(INDEX('Material routes'!$J$6:$J$1005,MATCH(U172,'Material routes'!$A$6:$A$1005,0)),"MISSING ID")</x:f>
        <x:v>Unspecified</x:v>
      </x:c>
      <x:c r="P172" s="4" t="str">
        <x:f>IF(IFERROR(INDEX('Material routes'!$I$6:$I$1005,MATCH(V172,'Material routes'!$A$6:$A$1005,0)),"MISSING ID")=0,"",IFERROR(INDEX('Material routes'!$I$6:$I$1005,MATCH(V172,'Material routes'!$A$6:$A$1005,0)),"MISSING ID"))</x:f>
      </x:c>
      <x:c r="Q172" s="4" t="str">
        <x:f>IFERROR(INDEX('Material routes'!$J$6:$J$1005,MATCH(V172,'Material routes'!$A$6:$A$1005,0)),"MISSING ID")</x:f>
        <x:v>Unspecified</x:v>
      </x:c>
      <x:c r="R172" s="4" t="str">
        <x:f>IF(L172="Withheld","Withheld premise",IF(E172="Tool candidate","Reusable prerequisite",IF(K172="Raw entry preparation","Entry-resource preparation",IF(G172="Not applicable","Finished endpoint",IF(OR(IFERROR(INDEX('Crafting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routes'!$D$6:$D$1005,MATCH(U172,'Material routes'!$A$6:$A$1005,0)),"MISSING ID")</x:f>
        <x:v>proposal.branch.flex_bond</x:v>
      </x:c>
      <x:c r="T172" s="4" t="str">
        <x:f>IFERROR(INDEX('Material routes'!$D$6:$D$1005,MATCH(V172,'Material routes'!$A$6:$A$1005,0)),"MISSING ID")</x:f>
        <x:v>author.electrical.insulated_gloves</x:v>
      </x:c>
      <x:c r="U172" s="4" t="str">
        <x:v>design.finished.electrical_gloves.in.2</x:v>
      </x:c>
      <x:c r="V172" s="4" t="str">
        <x:v>design.finished.electrical_gloves.out</x:v>
      </x:c>
    </x:row>
    <x:row r="173" ht="105" customHeight="1">
      <x:c r="A173" s="4" t="str">
        <x:f>IFERROR(INDEX('Material routes'!$E$6:$E$1005,MATCH(U173,'Material routes'!$A$6:$A$1005,0)),"MISSING ID")</x:f>
        <x:v>Bonded husk sheet</x:v>
      </x:c>
      <x:c r="B173" s="4" t="str">
        <x:f>IFERROR(INDEX('Material routes'!$F$6:$F$1005,MATCH(U173,'Material routes'!$A$6:$A$1005,0)),"MISSING ID")</x:f>
        <x:v>T2</x:v>
      </x:c>
      <x:c r="C173" s="4" t="str">
        <x:f>IFERROR(INDEX('Material routes'!$H$6:$H$1005,MATCH(U173,'Material routes'!$A$6:$A$1005,0)),"MISSING ID")</x:f>
        <x:v>Processed material</x:v>
      </x:c>
      <x:c r="D173" s="4" t="str">
        <x:f>IFERROR(INDEX('Material routes'!$G$6:$G$1005,MATCH(U173,'Material routes'!$A$6:$A$1005,0)),"MISSING ID")</x:f>
        <x:v>Resources</x:v>
      </x:c>
      <x:c r="E173" s="4" t="str">
        <x:f>IFERROR(INDEX('Material routes'!$C$6:$C$1005,MATCH(U173,'Material routes'!$A$6:$A$1005,0)),"MISSING ID")</x:f>
        <x:v>Ingredient candidate</x:v>
      </x:c>
      <x:c r="F173" s="4" t="str">
        <x:f>IFERROR(INDEX('Material routes'!$E$6:$E$1005,MATCH(V173,'Material routes'!$A$6:$A$1005,0)),"MISSING ID")</x:f>
        <x:v>Electrical insulating gloves</x:v>
      </x:c>
      <x:c r="G173" s="4" t="str">
        <x:f>IFERROR(INDEX('Material routes'!$F$6:$F$1005,MATCH(V173,'Material routes'!$A$6:$A$1005,0)),"MISSING ID")</x:f>
        <x:v>Not applicable</x:v>
      </x:c>
      <x:c r="H173" s="4" t="str">
        <x:f>IFERROR(INDEX('Material routes'!$H$6:$H$1005,MATCH(V173,'Material routes'!$A$6:$A$1005,0)),"MISSING ID")</x:f>
        <x:v>Wearable</x:v>
      </x:c>
      <x:c r="I173" s="4" t="str">
        <x:f>IFERROR(INDEX('Material routes'!$G$6:$G$1005,MATCH(V173,'Material routes'!$A$6:$A$1005,0)),"MISSING ID")</x:f>
        <x:v>Equipment</x:v>
      </x:c>
      <x:c r="J173" s="4" t="str">
        <x:f>IFERROR(INDEX('Material routes'!$B$6:$B$1005,MATCH(U173,'Material routes'!$A$6:$A$1005,0)),"MISSING ID")</x:f>
        <x:v>design.finished.electrical_gloves</x:v>
      </x:c>
      <x:c r="K173" s="4" t="str">
        <x:f>IFERROR(INDEX('Crafting recipes'!$C$6:$C$1005,MATCH(J173,'Crafting recipes'!$A$6:$A$1005,0)),"MISSING ID")</x:f>
        <x:v>Finished-item crafting</x:v>
      </x:c>
      <x:c r="L173" s="4" t="str">
        <x:f>IFERROR(INDEX('Material routes'!$K$6:$K$1005,MATCH(U173,'Material routes'!$A$6:$A$1005,0)),"MISSING ID")</x:f>
        <x:v>Proposal</x:v>
      </x:c>
      <x:c r="M173" s="4" t="str">
        <x:f>IFERROR(INDEX('Material routes'!$M$6:$M$1005,MATCH(U173,'Material routes'!$A$6:$A$1005,0)),"MISSING ID")</x:f>
        <x:v>Partial proposal</x:v>
      </x:c>
      <x:c r="N173" s="4" t="str">
        <x:f>IF(IFERROR(INDEX('Material routes'!$I$6:$I$1005,MATCH(U173,'Material routes'!$A$6:$A$1005,0)),"MISSING ID")=0,"",IFERROR(INDEX('Material routes'!$I$6:$I$1005,MATCH(U173,'Material routes'!$A$6:$A$1005,0)),"MISSING ID"))</x:f>
      </x:c>
      <x:c r="O173" s="4" t="str">
        <x:f>IFERROR(INDEX('Material routes'!$J$6:$J$1005,MATCH(U173,'Material routes'!$A$6:$A$1005,0)),"MISSING ID")</x:f>
        <x:v>Unspecified</x:v>
      </x:c>
      <x:c r="P173" s="4" t="str">
        <x:f>IF(IFERROR(INDEX('Material routes'!$I$6:$I$1005,MATCH(V173,'Material routes'!$A$6:$A$1005,0)),"MISSING ID")=0,"",IFERROR(INDEX('Material routes'!$I$6:$I$1005,MATCH(V173,'Material routes'!$A$6:$A$1005,0)),"MISSING ID"))</x:f>
      </x:c>
      <x:c r="Q173" s="4" t="str">
        <x:f>IFERROR(INDEX('Material routes'!$J$6:$J$1005,MATCH(V173,'Material routes'!$A$6:$A$1005,0)),"MISSING ID")</x:f>
        <x:v>Unspecified</x:v>
      </x:c>
      <x:c r="R173" s="4" t="str">
        <x:f>IF(L173="Withheld","Withheld premise",IF(E173="Tool candidate","Reusable prerequisite",IF(K173="Raw entry preparation","Entry-resource preparation",IF(G173="Not applicable","Finished endpoint",IF(OR(IFERROR(INDEX('Crafting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routes'!$D$6:$D$1005,MATCH(U173,'Material routes'!$A$6:$A$1005,0)),"MISSING ID")</x:f>
        <x:v>proposal.branch.husk_sheet</x:v>
      </x:c>
      <x:c r="T173" s="4" t="str">
        <x:f>IFERROR(INDEX('Material routes'!$D$6:$D$1005,MATCH(V173,'Material routes'!$A$6:$A$1005,0)),"MISSING ID")</x:f>
        <x:v>author.electrical.insulated_gloves</x:v>
      </x:c>
      <x:c r="U173" s="4" t="str">
        <x:v>design.finished.electrical_gloves.in.3</x:v>
      </x:c>
      <x:c r="V173" s="4" t="str">
        <x:v>design.finished.electrical_gloves.out</x:v>
      </x:c>
    </x:row>
    <x:row r="174" ht="115" customHeight="1">
      <x:c r="A174" s="4" t="str">
        <x:f>IFERROR(INDEX('Material routes'!$E$6:$E$1005,MATCH(U174,'Material routes'!$A$6:$A$1005,0)),"MISSING ID")</x:f>
        <x:v>Steel stock</x:v>
      </x:c>
      <x:c r="B174" s="4" t="str">
        <x:f>IFERROR(INDEX('Material routes'!$F$6:$F$1005,MATCH(U174,'Material routes'!$A$6:$A$1005,0)),"MISSING ID")</x:f>
        <x:v>T2</x:v>
      </x:c>
      <x:c r="C174" s="4" t="str">
        <x:f>IFERROR(INDEX('Material routes'!$H$6:$H$1005,MATCH(U174,'Material routes'!$A$6:$A$1005,0)),"MISSING ID")</x:f>
        <x:v>Processed material</x:v>
      </x:c>
      <x:c r="D174" s="4" t="str">
        <x:f>IFERROR(INDEX('Material routes'!$G$6:$G$1005,MATCH(U174,'Material routes'!$A$6:$A$1005,0)),"MISSING ID")</x:f>
        <x:v>Resources</x:v>
      </x:c>
      <x:c r="E174" s="4" t="str">
        <x:f>IFERROR(INDEX('Material routes'!$C$6:$C$1005,MATCH(U174,'Material routes'!$A$6:$A$1005,0)),"MISSING ID")</x:f>
        <x:v>Ingredient candidate</x:v>
      </x:c>
      <x:c r="F174" s="4" t="str">
        <x:f>IFERROR(INDEX('Material routes'!$E$6:$E$1005,MATCH(V174,'Material routes'!$A$6:$A$1005,0)),"MISSING ID")</x:f>
        <x:v>Heat-treated steel gear blanks</x:v>
      </x:c>
      <x:c r="G174" s="4" t="str">
        <x:f>IFERROR(INDEX('Material routes'!$F$6:$F$1005,MATCH(V174,'Material routes'!$A$6:$A$1005,0)),"MISSING ID")</x:f>
        <x:v>T3</x:v>
      </x:c>
      <x:c r="H174" s="4" t="str">
        <x:f>IFERROR(INDEX('Material routes'!$H$6:$H$1005,MATCH(V174,'Material routes'!$A$6:$A$1005,0)),"MISSING ID")</x:f>
        <x:v>Crafting component</x:v>
      </x:c>
      <x:c r="I174" s="4" t="str">
        <x:f>IFERROR(INDEX('Material routes'!$G$6:$G$1005,MATCH(V174,'Material routes'!$A$6:$A$1005,0)),"MISSING ID")</x:f>
        <x:v>Crafting components</x:v>
      </x:c>
      <x:c r="J174" s="4" t="str">
        <x:f>IFERROR(INDEX('Material routes'!$B$6:$B$1005,MATCH(U174,'Material routes'!$A$6:$A$1005,0)),"MISSING ID")</x:f>
        <x:v>design.t3.gear_blank</x:v>
      </x:c>
      <x:c r="K174" s="4" t="str">
        <x:f>IFERROR(INDEX('Crafting recipes'!$C$6:$C$1005,MATCH(J174,'Crafting recipes'!$A$6:$A$1005,0)),"MISSING ID")</x:f>
        <x:v>Material refinement</x:v>
      </x:c>
      <x:c r="L174" s="4" t="str">
        <x:f>IFERROR(INDEX('Material routes'!$K$6:$K$1005,MATCH(U174,'Material routes'!$A$6:$A$1005,0)),"MISSING ID")</x:f>
        <x:v>Proposal</x:v>
      </x:c>
      <x:c r="M174" s="4" t="str">
        <x:f>IFERROR(INDEX('Material routes'!$M$6:$M$1005,MATCH(U174,'Material routes'!$A$6:$A$1005,0)),"MISSING ID")</x:f>
        <x:v>Partial proposal</x:v>
      </x:c>
      <x:c r="N174" s="4" t="str">
        <x:f>IF(IFERROR(INDEX('Material routes'!$I$6:$I$1005,MATCH(U174,'Material routes'!$A$6:$A$1005,0)),"MISSING ID")=0,"",IFERROR(INDEX('Material routes'!$I$6:$I$1005,MATCH(U174,'Material routes'!$A$6:$A$1005,0)),"MISSING ID"))</x:f>
      </x:c>
      <x:c r="O174" s="4" t="str">
        <x:f>IFERROR(INDEX('Material routes'!$J$6:$J$1005,MATCH(U174,'Material routes'!$A$6:$A$1005,0)),"MISSING ID")</x:f>
        <x:v>Unspecified</x:v>
      </x:c>
      <x:c r="P174" s="4" t="str">
        <x:f>IF(IFERROR(INDEX('Material routes'!$I$6:$I$1005,MATCH(V174,'Material routes'!$A$6:$A$1005,0)),"MISSING ID")=0,"",IFERROR(INDEX('Material routes'!$I$6:$I$1005,MATCH(V174,'Material routes'!$A$6:$A$1005,0)),"MISSING ID"))</x:f>
      </x:c>
      <x:c r="Q174" s="4" t="str">
        <x:f>IFERROR(INDEX('Material routes'!$J$6:$J$1005,MATCH(V174,'Material routes'!$A$6:$A$1005,0)),"MISSING ID")</x:f>
        <x:v>Unspecified</x:v>
      </x:c>
      <x:c r="R174" s="4" t="str">
        <x:f>IF(L174="Withheld","Withheld premise",IF(E174="Tool candidate","Reusable prerequisite",IF(K174="Raw entry preparation","Entry-resource preparation",IF(G174="Not applicable","Finished endpoint",IF(OR(IFERROR(INDEX('Crafting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routes'!$D$6:$D$1005,MATCH(U174,'Material routes'!$A$6:$A$1005,0)),"MISSING ID")</x:f>
        <x:v>author.metallurgy.steel_stock</x:v>
      </x:c>
      <x:c r="T174" s="4" t="str">
        <x:f>IFERROR(INDEX('Material routes'!$D$6:$D$1005,MATCH(V174,'Material routes'!$A$6:$A$1005,0)),"MISSING ID")</x:f>
        <x:v>proposal.t3.gear_blank</x:v>
      </x:c>
      <x:c r="U174" s="4" t="str">
        <x:v>design.t3.gear_blank.in.1</x:v>
      </x:c>
      <x:c r="V174" s="4" t="str">
        <x:v>design.t3.gear_blank.out</x:v>
      </x:c>
    </x:row>
    <x:row r="175" ht="115" customHeight="1">
      <x:c r="A175" s="4" t="str">
        <x:f>IFERROR(INDEX('Material routes'!$E$6:$E$1005,MATCH(U175,'Material routes'!$A$6:$A$1005,0)),"MISSING ID")</x:f>
        <x:v>Prepared manganese alloying stock</x:v>
      </x:c>
      <x:c r="B175" s="4" t="str">
        <x:f>IFERROR(INDEX('Material routes'!$F$6:$F$1005,MATCH(U175,'Material routes'!$A$6:$A$1005,0)),"MISSING ID")</x:f>
        <x:v>T2</x:v>
      </x:c>
      <x:c r="C175" s="4" t="str">
        <x:f>IFERROR(INDEX('Material routes'!$H$6:$H$1005,MATCH(U175,'Material routes'!$A$6:$A$1005,0)),"MISSING ID")</x:f>
        <x:v>Processed material</x:v>
      </x:c>
      <x:c r="D175" s="4" t="str">
        <x:f>IFERROR(INDEX('Material routes'!$G$6:$G$1005,MATCH(U175,'Material routes'!$A$6:$A$1005,0)),"MISSING ID")</x:f>
        <x:v>Resources</x:v>
      </x:c>
      <x:c r="E175" s="4" t="str">
        <x:f>IFERROR(INDEX('Material routes'!$C$6:$C$1005,MATCH(U175,'Material routes'!$A$6:$A$1005,0)),"MISSING ID")</x:f>
        <x:v>Ingredient candidate</x:v>
      </x:c>
      <x:c r="F175" s="4" t="str">
        <x:f>IFERROR(INDEX('Material routes'!$E$6:$E$1005,MATCH(V175,'Material routes'!$A$6:$A$1005,0)),"MISSING ID")</x:f>
        <x:v>Heat-treated steel gear blanks</x:v>
      </x:c>
      <x:c r="G175" s="4" t="str">
        <x:f>IFERROR(INDEX('Material routes'!$F$6:$F$1005,MATCH(V175,'Material routes'!$A$6:$A$1005,0)),"MISSING ID")</x:f>
        <x:v>T3</x:v>
      </x:c>
      <x:c r="H175" s="4" t="str">
        <x:f>IFERROR(INDEX('Material routes'!$H$6:$H$1005,MATCH(V175,'Material routes'!$A$6:$A$1005,0)),"MISSING ID")</x:f>
        <x:v>Crafting component</x:v>
      </x:c>
      <x:c r="I175" s="4" t="str">
        <x:f>IFERROR(INDEX('Material routes'!$G$6:$G$1005,MATCH(V175,'Material routes'!$A$6:$A$1005,0)),"MISSING ID")</x:f>
        <x:v>Crafting components</x:v>
      </x:c>
      <x:c r="J175" s="4" t="str">
        <x:f>IFERROR(INDEX('Material routes'!$B$6:$B$1005,MATCH(U175,'Material routes'!$A$6:$A$1005,0)),"MISSING ID")</x:f>
        <x:v>design.t3.gear_blank</x:v>
      </x:c>
      <x:c r="K175" s="4" t="str">
        <x:f>IFERROR(INDEX('Crafting recipes'!$C$6:$C$1005,MATCH(J175,'Crafting recipes'!$A$6:$A$1005,0)),"MISSING ID")</x:f>
        <x:v>Material refinement</x:v>
      </x:c>
      <x:c r="L175" s="4" t="str">
        <x:f>IFERROR(INDEX('Material routes'!$K$6:$K$1005,MATCH(U175,'Material routes'!$A$6:$A$1005,0)),"MISSING ID")</x:f>
        <x:v>Proposal</x:v>
      </x:c>
      <x:c r="M175" s="4" t="str">
        <x:f>IFERROR(INDEX('Material routes'!$M$6:$M$1005,MATCH(U175,'Material routes'!$A$6:$A$1005,0)),"MISSING ID")</x:f>
        <x:v>Partial proposal</x:v>
      </x:c>
      <x:c r="N175" s="4" t="str">
        <x:f>IF(IFERROR(INDEX('Material routes'!$I$6:$I$1005,MATCH(U175,'Material routes'!$A$6:$A$1005,0)),"MISSING ID")=0,"",IFERROR(INDEX('Material routes'!$I$6:$I$1005,MATCH(U175,'Material routes'!$A$6:$A$1005,0)),"MISSING ID"))</x:f>
      </x:c>
      <x:c r="O175" s="4" t="str">
        <x:f>IFERROR(INDEX('Material routes'!$J$6:$J$1005,MATCH(U175,'Material routes'!$A$6:$A$1005,0)),"MISSING ID")</x:f>
        <x:v>Unspecified</x:v>
      </x:c>
      <x:c r="P175" s="4" t="str">
        <x:f>IF(IFERROR(INDEX('Material routes'!$I$6:$I$1005,MATCH(V175,'Material routes'!$A$6:$A$1005,0)),"MISSING ID")=0,"",IFERROR(INDEX('Material routes'!$I$6:$I$1005,MATCH(V175,'Material routes'!$A$6:$A$1005,0)),"MISSING ID"))</x:f>
      </x:c>
      <x:c r="Q175" s="4" t="str">
        <x:f>IFERROR(INDEX('Material routes'!$J$6:$J$1005,MATCH(V175,'Material routes'!$A$6:$A$1005,0)),"MISSING ID")</x:f>
        <x:v>Unspecified</x:v>
      </x:c>
      <x:c r="R175" s="4" t="str">
        <x:f>IF(L175="Withheld","Withheld premise",IF(E175="Tool candidate","Reusable prerequisite",IF(K175="Raw entry preparation","Entry-resource preparation",IF(G175="Not applicable","Finished endpoint",IF(OR(IFERROR(INDEX('Crafting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routes'!$D$6:$D$1005,MATCH(U175,'Material routes'!$A$6:$A$1005,0)),"MISSING ID")</x:f>
        <x:v>proposal.branch.alloy_addition</x:v>
      </x:c>
      <x:c r="T175" s="4" t="str">
        <x:f>IFERROR(INDEX('Material routes'!$D$6:$D$1005,MATCH(V175,'Material routes'!$A$6:$A$1005,0)),"MISSING ID")</x:f>
        <x:v>proposal.t3.gear_blank</x:v>
      </x:c>
      <x:c r="U175" s="4" t="str">
        <x:v>design.t3.gear_blank.in.2</x:v>
      </x:c>
      <x:c r="V175" s="4" t="str">
        <x:v>design.t3.gear_blank.out</x:v>
      </x:c>
    </x:row>
    <x:row r="176" ht="115" customHeight="1">
      <x:c r="A176" s="4" t="str">
        <x:f>IFERROR(INDEX('Material routes'!$E$6:$E$1005,MATCH(U176,'Material routes'!$A$6:$A$1005,0)),"MISSING ID")</x:f>
        <x:v>Prepared bronze bearing stock</x:v>
      </x:c>
      <x:c r="B176" s="4" t="str">
        <x:f>IFERROR(INDEX('Material routes'!$F$6:$F$1005,MATCH(U176,'Material routes'!$A$6:$A$1005,0)),"MISSING ID")</x:f>
        <x:v>T2</x:v>
      </x:c>
      <x:c r="C176" s="4" t="str">
        <x:f>IFERROR(INDEX('Material routes'!$H$6:$H$1005,MATCH(U176,'Material routes'!$A$6:$A$1005,0)),"MISSING ID")</x:f>
        <x:v>Processed material</x:v>
      </x:c>
      <x:c r="D176" s="4" t="str">
        <x:f>IFERROR(INDEX('Material routes'!$G$6:$G$1005,MATCH(U176,'Material routes'!$A$6:$A$1005,0)),"MISSING ID")</x:f>
        <x:v>Resources</x:v>
      </x:c>
      <x:c r="E176" s="4" t="str">
        <x:f>IFERROR(INDEX('Material routes'!$C$6:$C$1005,MATCH(U176,'Material routes'!$A$6:$A$1005,0)),"MISSING ID")</x:f>
        <x:v>Ingredient candidate</x:v>
      </x:c>
      <x:c r="F176" s="4" t="str">
        <x:f>IFERROR(INDEX('Material routes'!$E$6:$E$1005,MATCH(V176,'Material routes'!$A$6:$A$1005,0)),"MISSING ID")</x:f>
        <x:v>Lapped bronze bearing blanks</x:v>
      </x:c>
      <x:c r="G176" s="4" t="str">
        <x:f>IFERROR(INDEX('Material routes'!$F$6:$F$1005,MATCH(V176,'Material routes'!$A$6:$A$1005,0)),"MISSING ID")</x:f>
        <x:v>T3</x:v>
      </x:c>
      <x:c r="H176" s="4" t="str">
        <x:f>IFERROR(INDEX('Material routes'!$H$6:$H$1005,MATCH(V176,'Material routes'!$A$6:$A$1005,0)),"MISSING ID")</x:f>
        <x:v>Crafting component</x:v>
      </x:c>
      <x:c r="I176" s="4" t="str">
        <x:f>IFERROR(INDEX('Material routes'!$G$6:$G$1005,MATCH(V176,'Material routes'!$A$6:$A$1005,0)),"MISSING ID")</x:f>
        <x:v>Crafting components</x:v>
      </x:c>
      <x:c r="J176" s="4" t="str">
        <x:f>IFERROR(INDEX('Material routes'!$B$6:$B$1005,MATCH(U176,'Material routes'!$A$6:$A$1005,0)),"MISSING ID")</x:f>
        <x:v>design.t3.bearing_blank</x:v>
      </x:c>
      <x:c r="K176" s="4" t="str">
        <x:f>IFERROR(INDEX('Crafting recipes'!$C$6:$C$1005,MATCH(J176,'Crafting recipes'!$A$6:$A$1005,0)),"MISSING ID")</x:f>
        <x:v>Material refinement</x:v>
      </x:c>
      <x:c r="L176" s="4" t="str">
        <x:f>IFERROR(INDEX('Material routes'!$K$6:$K$1005,MATCH(U176,'Material routes'!$A$6:$A$1005,0)),"MISSING ID")</x:f>
        <x:v>Proposal</x:v>
      </x:c>
      <x:c r="M176" s="4" t="str">
        <x:f>IFERROR(INDEX('Material routes'!$M$6:$M$1005,MATCH(U176,'Material routes'!$A$6:$A$1005,0)),"MISSING ID")</x:f>
        <x:v>Partial proposal</x:v>
      </x:c>
      <x:c r="N176" s="4" t="str">
        <x:f>IF(IFERROR(INDEX('Material routes'!$I$6:$I$1005,MATCH(U176,'Material routes'!$A$6:$A$1005,0)),"MISSING ID")=0,"",IFERROR(INDEX('Material routes'!$I$6:$I$1005,MATCH(U176,'Material routes'!$A$6:$A$1005,0)),"MISSING ID"))</x:f>
      </x:c>
      <x:c r="O176" s="4" t="str">
        <x:f>IFERROR(INDEX('Material routes'!$J$6:$J$1005,MATCH(U176,'Material routes'!$A$6:$A$1005,0)),"MISSING ID")</x:f>
        <x:v>Unspecified</x:v>
      </x:c>
      <x:c r="P176" s="4" t="str">
        <x:f>IF(IFERROR(INDEX('Material routes'!$I$6:$I$1005,MATCH(V176,'Material routes'!$A$6:$A$1005,0)),"MISSING ID")=0,"",IFERROR(INDEX('Material routes'!$I$6:$I$1005,MATCH(V176,'Material routes'!$A$6:$A$1005,0)),"MISSING ID"))</x:f>
      </x:c>
      <x:c r="Q176" s="4" t="str">
        <x:f>IFERROR(INDEX('Material routes'!$J$6:$J$1005,MATCH(V176,'Material routes'!$A$6:$A$1005,0)),"MISSING ID")</x:f>
        <x:v>Unspecified</x:v>
      </x:c>
      <x:c r="R176" s="4" t="str">
        <x:f>IF(L176="Withheld","Withheld premise",IF(E176="Tool candidate","Reusable prerequisite",IF(K176="Raw entry preparation","Entry-resource preparation",IF(G176="Not applicable","Finished endpoint",IF(OR(IFERROR(INDEX('Crafting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routes'!$D$6:$D$1005,MATCH(U176,'Material routes'!$A$6:$A$1005,0)),"MISSING ID")</x:f>
        <x:v>proposal.branch.bearing_bronze</x:v>
      </x:c>
      <x:c r="T176" s="4" t="str">
        <x:f>IFERROR(INDEX('Material routes'!$D$6:$D$1005,MATCH(V176,'Material routes'!$A$6:$A$1005,0)),"MISSING ID")</x:f>
        <x:v>proposal.t3.bearing_blank</x:v>
      </x:c>
      <x:c r="U176" s="4" t="str">
        <x:v>design.t3.bearing_blank.in.1</x:v>
      </x:c>
      <x:c r="V176" s="4" t="str">
        <x:v>design.t3.bearing_blank.out</x:v>
      </x:c>
    </x:row>
    <x:row r="177" ht="115" customHeight="1">
      <x:c r="A177" s="4" t="str">
        <x:f>IFERROR(INDEX('Material routes'!$E$6:$E$1005,MATCH(U177,'Material routes'!$A$6:$A$1005,0)),"MISSING ID")</x:f>
        <x:v>Graded abrasive grit</x:v>
      </x:c>
      <x:c r="B177" s="4" t="str">
        <x:f>IFERROR(INDEX('Material routes'!$F$6:$F$1005,MATCH(U177,'Material routes'!$A$6:$A$1005,0)),"MISSING ID")</x:f>
        <x:v>T1</x:v>
      </x:c>
      <x:c r="C177" s="4" t="str">
        <x:f>IFERROR(INDEX('Material routes'!$H$6:$H$1005,MATCH(U177,'Material routes'!$A$6:$A$1005,0)),"MISSING ID")</x:f>
        <x:v>Processed material</x:v>
      </x:c>
      <x:c r="D177" s="4" t="str">
        <x:f>IFERROR(INDEX('Material routes'!$G$6:$G$1005,MATCH(U177,'Material routes'!$A$6:$A$1005,0)),"MISSING ID")</x:f>
        <x:v>Resources</x:v>
      </x:c>
      <x:c r="E177" s="4" t="str">
        <x:f>IFERROR(INDEX('Material routes'!$C$6:$C$1005,MATCH(U177,'Material routes'!$A$6:$A$1005,0)),"MISSING ID")</x:f>
        <x:v>Ingredient candidate</x:v>
      </x:c>
      <x:c r="F177" s="4" t="str">
        <x:f>IFERROR(INDEX('Material routes'!$E$6:$E$1005,MATCH(V177,'Material routes'!$A$6:$A$1005,0)),"MISSING ID")</x:f>
        <x:v>Lapped bronze bearing blanks</x:v>
      </x:c>
      <x:c r="G177" s="4" t="str">
        <x:f>IFERROR(INDEX('Material routes'!$F$6:$F$1005,MATCH(V177,'Material routes'!$A$6:$A$1005,0)),"MISSING ID")</x:f>
        <x:v>T3</x:v>
      </x:c>
      <x:c r="H177" s="4" t="str">
        <x:f>IFERROR(INDEX('Material routes'!$H$6:$H$1005,MATCH(V177,'Material routes'!$A$6:$A$1005,0)),"MISSING ID")</x:f>
        <x:v>Crafting component</x:v>
      </x:c>
      <x:c r="I177" s="4" t="str">
        <x:f>IFERROR(INDEX('Material routes'!$G$6:$G$1005,MATCH(V177,'Material routes'!$A$6:$A$1005,0)),"MISSING ID")</x:f>
        <x:v>Crafting components</x:v>
      </x:c>
      <x:c r="J177" s="4" t="str">
        <x:f>IFERROR(INDEX('Material routes'!$B$6:$B$1005,MATCH(U177,'Material routes'!$A$6:$A$1005,0)),"MISSING ID")</x:f>
        <x:v>design.t3.bearing_blank</x:v>
      </x:c>
      <x:c r="K177" s="4" t="str">
        <x:f>IFERROR(INDEX('Crafting recipes'!$C$6:$C$1005,MATCH(J177,'Crafting recipes'!$A$6:$A$1005,0)),"MISSING ID")</x:f>
        <x:v>Material refinement</x:v>
      </x:c>
      <x:c r="L177" s="4" t="str">
        <x:f>IFERROR(INDEX('Material routes'!$K$6:$K$1005,MATCH(U177,'Material routes'!$A$6:$A$1005,0)),"MISSING ID")</x:f>
        <x:v>Proposal</x:v>
      </x:c>
      <x:c r="M177" s="4" t="str">
        <x:f>IFERROR(INDEX('Material routes'!$M$6:$M$1005,MATCH(U177,'Material routes'!$A$6:$A$1005,0)),"MISSING ID")</x:f>
        <x:v>Partial proposal</x:v>
      </x:c>
      <x:c r="N177" s="4" t="str">
        <x:f>IF(IFERROR(INDEX('Material routes'!$I$6:$I$1005,MATCH(U177,'Material routes'!$A$6:$A$1005,0)),"MISSING ID")=0,"",IFERROR(INDEX('Material routes'!$I$6:$I$1005,MATCH(U177,'Material routes'!$A$6:$A$1005,0)),"MISSING ID"))</x:f>
      </x:c>
      <x:c r="O177" s="4" t="str">
        <x:f>IFERROR(INDEX('Material routes'!$J$6:$J$1005,MATCH(U177,'Material routes'!$A$6:$A$1005,0)),"MISSING ID")</x:f>
        <x:v>Unspecified</x:v>
      </x:c>
      <x:c r="P177" s="4" t="str">
        <x:f>IF(IFERROR(INDEX('Material routes'!$I$6:$I$1005,MATCH(V177,'Material routes'!$A$6:$A$1005,0)),"MISSING ID")=0,"",IFERROR(INDEX('Material routes'!$I$6:$I$1005,MATCH(V177,'Material routes'!$A$6:$A$1005,0)),"MISSING ID"))</x:f>
      </x:c>
      <x:c r="Q177" s="4" t="str">
        <x:f>IFERROR(INDEX('Material routes'!$J$6:$J$1005,MATCH(V177,'Material routes'!$A$6:$A$1005,0)),"MISSING ID")</x:f>
        <x:v>Unspecified</x:v>
      </x:c>
      <x:c r="R177" s="4" t="str">
        <x:f>IF(L177="Withheld","Withheld premise",IF(E177="Tool candidate","Reusable prerequisite",IF(K177="Raw entry preparation","Entry-resource preparation",IF(G177="Not applicable","Finished endpoint",IF(OR(IFERROR(INDEX('Crafting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routes'!$D$6:$D$1005,MATCH(U177,'Material routes'!$A$6:$A$1005,0)),"MISSING ID")</x:f>
        <x:v>proposal.natural.abrasive</x:v>
      </x:c>
      <x:c r="T177" s="4" t="str">
        <x:f>IFERROR(INDEX('Material routes'!$D$6:$D$1005,MATCH(V177,'Material routes'!$A$6:$A$1005,0)),"MISSING ID")</x:f>
        <x:v>proposal.t3.bearing_blank</x:v>
      </x:c>
      <x:c r="U177" s="4" t="str">
        <x:v>design.t3.bearing_blank.in.2</x:v>
      </x:c>
      <x:c r="V177" s="4" t="str">
        <x:v>design.t3.bearing_blank.out</x:v>
      </x:c>
    </x:row>
    <x:row r="178" ht="115" customHeight="1">
      <x:c r="A178" s="4" t="str">
        <x:f>IFERROR(INDEX('Material routes'!$E$6:$E$1005,MATCH(U178,'Material routes'!$A$6:$A$1005,0)),"MISSING ID")</x:f>
        <x:v>Steel stock</x:v>
      </x:c>
      <x:c r="B178" s="4" t="str">
        <x:f>IFERROR(INDEX('Material routes'!$F$6:$F$1005,MATCH(U178,'Material routes'!$A$6:$A$1005,0)),"MISSING ID")</x:f>
        <x:v>T2</x:v>
      </x:c>
      <x:c r="C178" s="4" t="str">
        <x:f>IFERROR(INDEX('Material routes'!$H$6:$H$1005,MATCH(U178,'Material routes'!$A$6:$A$1005,0)),"MISSING ID")</x:f>
        <x:v>Processed material</x:v>
      </x:c>
      <x:c r="D178" s="4" t="str">
        <x:f>IFERROR(INDEX('Material routes'!$G$6:$G$1005,MATCH(U178,'Material routes'!$A$6:$A$1005,0)),"MISSING ID")</x:f>
        <x:v>Resources</x:v>
      </x:c>
      <x:c r="E178" s="4" t="str">
        <x:f>IFERROR(INDEX('Material routes'!$C$6:$C$1005,MATCH(U178,'Material routes'!$A$6:$A$1005,0)),"MISSING ID")</x:f>
        <x:v>Ingredient candidate</x:v>
      </x:c>
      <x:c r="F178" s="4" t="str">
        <x:f>IFERROR(INDEX('Material routes'!$E$6:$E$1005,MATCH(V178,'Material routes'!$A$6:$A$1005,0)),"MISSING ID")</x:f>
        <x:v>Drawn steel tube stock</x:v>
      </x:c>
      <x:c r="G178" s="4" t="str">
        <x:f>IFERROR(INDEX('Material routes'!$F$6:$F$1005,MATCH(V178,'Material routes'!$A$6:$A$1005,0)),"MISSING ID")</x:f>
        <x:v>T3</x:v>
      </x:c>
      <x:c r="H178" s="4" t="str">
        <x:f>IFERROR(INDEX('Material routes'!$H$6:$H$1005,MATCH(V178,'Material routes'!$A$6:$A$1005,0)),"MISSING ID")</x:f>
        <x:v>Processed material</x:v>
      </x:c>
      <x:c r="I178" s="4" t="str">
        <x:f>IFERROR(INDEX('Material routes'!$G$6:$G$1005,MATCH(V178,'Material routes'!$A$6:$A$1005,0)),"MISSING ID")</x:f>
        <x:v>Resources</x:v>
      </x:c>
      <x:c r="J178" s="4" t="str">
        <x:f>IFERROR(INDEX('Material routes'!$B$6:$B$1005,MATCH(U178,'Material routes'!$A$6:$A$1005,0)),"MISSING ID")</x:f>
        <x:v>design.t3.precision_tube</x:v>
      </x:c>
      <x:c r="K178" s="4" t="str">
        <x:f>IFERROR(INDEX('Crafting recipes'!$C$6:$C$1005,MATCH(J178,'Crafting recipes'!$A$6:$A$1005,0)),"MISSING ID")</x:f>
        <x:v>Material refinement</x:v>
      </x:c>
      <x:c r="L178" s="4" t="str">
        <x:f>IFERROR(INDEX('Material routes'!$K$6:$K$1005,MATCH(U178,'Material routes'!$A$6:$A$1005,0)),"MISSING ID")</x:f>
        <x:v>Proposal</x:v>
      </x:c>
      <x:c r="M178" s="4" t="str">
        <x:f>IFERROR(INDEX('Material routes'!$M$6:$M$1005,MATCH(U178,'Material routes'!$A$6:$A$1005,0)),"MISSING ID")</x:f>
        <x:v>Partial proposal</x:v>
      </x:c>
      <x:c r="N178" s="4" t="str">
        <x:f>IF(IFERROR(INDEX('Material routes'!$I$6:$I$1005,MATCH(U178,'Material routes'!$A$6:$A$1005,0)),"MISSING ID")=0,"",IFERROR(INDEX('Material routes'!$I$6:$I$1005,MATCH(U178,'Material routes'!$A$6:$A$1005,0)),"MISSING ID"))</x:f>
      </x:c>
      <x:c r="O178" s="4" t="str">
        <x:f>IFERROR(INDEX('Material routes'!$J$6:$J$1005,MATCH(U178,'Material routes'!$A$6:$A$1005,0)),"MISSING ID")</x:f>
        <x:v>Unspecified</x:v>
      </x:c>
      <x:c r="P178" s="4" t="str">
        <x:f>IF(IFERROR(INDEX('Material routes'!$I$6:$I$1005,MATCH(V178,'Material routes'!$A$6:$A$1005,0)),"MISSING ID")=0,"",IFERROR(INDEX('Material routes'!$I$6:$I$1005,MATCH(V178,'Material routes'!$A$6:$A$1005,0)),"MISSING ID"))</x:f>
      </x:c>
      <x:c r="Q178" s="4" t="str">
        <x:f>IFERROR(INDEX('Material routes'!$J$6:$J$1005,MATCH(V178,'Material routes'!$A$6:$A$1005,0)),"MISSING ID")</x:f>
        <x:v>Unspecified</x:v>
      </x:c>
      <x:c r="R178" s="4" t="str">
        <x:f>IF(L178="Withheld","Withheld premise",IF(E178="Tool candidate","Reusable prerequisite",IF(K178="Raw entry preparation","Entry-resource preparation",IF(G178="Not applicable","Finished endpoint",IF(OR(IFERROR(INDEX('Crafting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routes'!$D$6:$D$1005,MATCH(U178,'Material routes'!$A$6:$A$1005,0)),"MISSING ID")</x:f>
        <x:v>author.metallurgy.steel_stock</x:v>
      </x:c>
      <x:c r="T178" s="4" t="str">
        <x:f>IFERROR(INDEX('Material routes'!$D$6:$D$1005,MATCH(V178,'Material routes'!$A$6:$A$1005,0)),"MISSING ID")</x:f>
        <x:v>proposal.t3.precision_tube</x:v>
      </x:c>
      <x:c r="U178" s="4" t="str">
        <x:v>design.t3.precision_tube.in.1</x:v>
      </x:c>
      <x:c r="V178" s="4" t="str">
        <x:v>design.t3.precision_tube.out</x:v>
      </x:c>
    </x:row>
    <x:row r="179" ht="115" customHeight="1">
      <x:c r="A179" s="4" t="str">
        <x:f>IFERROR(INDEX('Material routes'!$E$6:$E$1005,MATCH(U179,'Material routes'!$A$6:$A$1005,0)),"MISSING ID")</x:f>
        <x:v>Fine mechanism oil</x:v>
      </x:c>
      <x:c r="B179" s="4" t="str">
        <x:f>IFERROR(INDEX('Material routes'!$F$6:$F$1005,MATCH(U179,'Material routes'!$A$6:$A$1005,0)),"MISSING ID")</x:f>
        <x:v>T2</x:v>
      </x:c>
      <x:c r="C179" s="4" t="str">
        <x:f>IFERROR(INDEX('Material routes'!$H$6:$H$1005,MATCH(U179,'Material routes'!$A$6:$A$1005,0)),"MISSING ID")</x:f>
        <x:v>Chemical material</x:v>
      </x:c>
      <x:c r="D179" s="4" t="str">
        <x:f>IFERROR(INDEX('Material routes'!$G$6:$G$1005,MATCH(U179,'Material routes'!$A$6:$A$1005,0)),"MISSING ID")</x:f>
        <x:v>Resources</x:v>
      </x:c>
      <x:c r="E179" s="4" t="str">
        <x:f>IFERROR(INDEX('Material routes'!$C$6:$C$1005,MATCH(U179,'Material routes'!$A$6:$A$1005,0)),"MISSING ID")</x:f>
        <x:v>Ingredient candidate</x:v>
      </x:c>
      <x:c r="F179" s="4" t="str">
        <x:f>IFERROR(INDEX('Material routes'!$E$6:$E$1005,MATCH(V179,'Material routes'!$A$6:$A$1005,0)),"MISSING ID")</x:f>
        <x:v>Drawn steel tube stock</x:v>
      </x:c>
      <x:c r="G179" s="4" t="str">
        <x:f>IFERROR(INDEX('Material routes'!$F$6:$F$1005,MATCH(V179,'Material routes'!$A$6:$A$1005,0)),"MISSING ID")</x:f>
        <x:v>T3</x:v>
      </x:c>
      <x:c r="H179" s="4" t="str">
        <x:f>IFERROR(INDEX('Material routes'!$H$6:$H$1005,MATCH(V179,'Material routes'!$A$6:$A$1005,0)),"MISSING ID")</x:f>
        <x:v>Processed material</x:v>
      </x:c>
      <x:c r="I179" s="4" t="str">
        <x:f>IFERROR(INDEX('Material routes'!$G$6:$G$1005,MATCH(V179,'Material routes'!$A$6:$A$1005,0)),"MISSING ID")</x:f>
        <x:v>Resources</x:v>
      </x:c>
      <x:c r="J179" s="4" t="str">
        <x:f>IFERROR(INDEX('Material routes'!$B$6:$B$1005,MATCH(U179,'Material routes'!$A$6:$A$1005,0)),"MISSING ID")</x:f>
        <x:v>design.t3.precision_tube</x:v>
      </x:c>
      <x:c r="K179" s="4" t="str">
        <x:f>IFERROR(INDEX('Crafting recipes'!$C$6:$C$1005,MATCH(J179,'Crafting recipes'!$A$6:$A$1005,0)),"MISSING ID")</x:f>
        <x:v>Material refinement</x:v>
      </x:c>
      <x:c r="L179" s="4" t="str">
        <x:f>IFERROR(INDEX('Material routes'!$K$6:$K$1005,MATCH(U179,'Material routes'!$A$6:$A$1005,0)),"MISSING ID")</x:f>
        <x:v>Proposal</x:v>
      </x:c>
      <x:c r="M179" s="4" t="str">
        <x:f>IFERROR(INDEX('Material routes'!$M$6:$M$1005,MATCH(U179,'Material routes'!$A$6:$A$1005,0)),"MISSING ID")</x:f>
        <x:v>Partial proposal</x:v>
      </x:c>
      <x:c r="N179" s="4" t="str">
        <x:f>IF(IFERROR(INDEX('Material routes'!$I$6:$I$1005,MATCH(U179,'Material routes'!$A$6:$A$1005,0)),"MISSING ID")=0,"",IFERROR(INDEX('Material routes'!$I$6:$I$1005,MATCH(U179,'Material routes'!$A$6:$A$1005,0)),"MISSING ID"))</x:f>
      </x:c>
      <x:c r="O179" s="4" t="str">
        <x:f>IFERROR(INDEX('Material routes'!$J$6:$J$1005,MATCH(U179,'Material routes'!$A$6:$A$1005,0)),"MISSING ID")</x:f>
        <x:v>Unspecified</x:v>
      </x:c>
      <x:c r="P179" s="4" t="str">
        <x:f>IF(IFERROR(INDEX('Material routes'!$I$6:$I$1005,MATCH(V179,'Material routes'!$A$6:$A$1005,0)),"MISSING ID")=0,"",IFERROR(INDEX('Material routes'!$I$6:$I$1005,MATCH(V179,'Material routes'!$A$6:$A$1005,0)),"MISSING ID"))</x:f>
      </x:c>
      <x:c r="Q179" s="4" t="str">
        <x:f>IFERROR(INDEX('Material routes'!$J$6:$J$1005,MATCH(V179,'Material routes'!$A$6:$A$1005,0)),"MISSING ID")</x:f>
        <x:v>Unspecified</x:v>
      </x:c>
      <x:c r="R179" s="4" t="str">
        <x:f>IF(L179="Withheld","Withheld premise",IF(E179="Tool candidate","Reusable prerequisite",IF(K179="Raw entry preparation","Entry-resource preparation",IF(G179="Not applicable","Finished endpoint",IF(OR(IFERROR(INDEX('Crafting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routes'!$D$6:$D$1005,MATCH(U179,'Material routes'!$A$6:$A$1005,0)),"MISSING ID")</x:f>
        <x:v>proposal.lubricant.precision_oil</x:v>
      </x:c>
      <x:c r="T179" s="4" t="str">
        <x:f>IFERROR(INDEX('Material routes'!$D$6:$D$1005,MATCH(V179,'Material routes'!$A$6:$A$1005,0)),"MISSING ID")</x:f>
        <x:v>proposal.t3.precision_tube</x:v>
      </x:c>
      <x:c r="U179" s="4" t="str">
        <x:v>design.t3.precision_tube.in.2</x:v>
      </x:c>
      <x:c r="V179" s="4" t="str">
        <x:v>design.t3.precision_tube.out</x:v>
      </x:c>
    </x:row>
    <x:row r="180" ht="115" customHeight="1">
      <x:c r="A180" s="4" t="str">
        <x:f>IFERROR(INDEX('Material routes'!$E$6:$E$1005,MATCH(U180,'Material routes'!$A$6:$A$1005,0)),"MISSING ID")</x:f>
        <x:v>Drawn copper stock</x:v>
      </x:c>
      <x:c r="B180" s="4" t="str">
        <x:f>IFERROR(INDEX('Material routes'!$F$6:$F$1005,MATCH(U180,'Material routes'!$A$6:$A$1005,0)),"MISSING ID")</x:f>
        <x:v>T2</x:v>
      </x:c>
      <x:c r="C180" s="4" t="str">
        <x:f>IFERROR(INDEX('Material routes'!$H$6:$H$1005,MATCH(U180,'Material routes'!$A$6:$A$1005,0)),"MISSING ID")</x:f>
        <x:v>Processed material</x:v>
      </x:c>
      <x:c r="D180" s="4" t="str">
        <x:f>IFERROR(INDEX('Material routes'!$G$6:$G$1005,MATCH(U180,'Material routes'!$A$6:$A$1005,0)),"MISSING ID")</x:f>
        <x:v>Resources</x:v>
      </x:c>
      <x:c r="E180" s="4" t="str">
        <x:f>IFERROR(INDEX('Material routes'!$C$6:$C$1005,MATCH(U180,'Material routes'!$A$6:$A$1005,0)),"MISSING ID")</x:f>
        <x:v>Ingredient candidate</x:v>
      </x:c>
      <x:c r="F180" s="4" t="str">
        <x:f>IFERROR(INDEX('Material routes'!$E$6:$E$1005,MATCH(V180,'Material routes'!$A$6:$A$1005,0)),"MISSING ID")</x:f>
        <x:v>Braided copper grounding stock</x:v>
      </x:c>
      <x:c r="G180" s="4" t="str">
        <x:f>IFERROR(INDEX('Material routes'!$F$6:$F$1005,MATCH(V180,'Material routes'!$A$6:$A$1005,0)),"MISSING ID")</x:f>
        <x:v>T3</x:v>
      </x:c>
      <x:c r="H180" s="4" t="str">
        <x:f>IFERROR(INDEX('Material routes'!$H$6:$H$1005,MATCH(V180,'Material routes'!$A$6:$A$1005,0)),"MISSING ID")</x:f>
        <x:v>Processed material</x:v>
      </x:c>
      <x:c r="I180" s="4" t="str">
        <x:f>IFERROR(INDEX('Material routes'!$G$6:$G$1005,MATCH(V180,'Material routes'!$A$6:$A$1005,0)),"MISSING ID")</x:f>
        <x:v>Resources</x:v>
      </x:c>
      <x:c r="J180" s="4" t="str">
        <x:f>IFERROR(INDEX('Material routes'!$B$6:$B$1005,MATCH(U180,'Material routes'!$A$6:$A$1005,0)),"MISSING ID")</x:f>
        <x:v>design.t3.grounding_braid</x:v>
      </x:c>
      <x:c r="K180" s="4" t="str">
        <x:f>IFERROR(INDEX('Crafting recipes'!$C$6:$C$1005,MATCH(J180,'Crafting recipes'!$A$6:$A$1005,0)),"MISSING ID")</x:f>
        <x:v>Material refinement</x:v>
      </x:c>
      <x:c r="L180" s="4" t="str">
        <x:f>IFERROR(INDEX('Material routes'!$K$6:$K$1005,MATCH(U180,'Material routes'!$A$6:$A$1005,0)),"MISSING ID")</x:f>
        <x:v>Proposal</x:v>
      </x:c>
      <x:c r="M180" s="4" t="str">
        <x:f>IFERROR(INDEX('Material routes'!$M$6:$M$1005,MATCH(U180,'Material routes'!$A$6:$A$1005,0)),"MISSING ID")</x:f>
        <x:v>Partial proposal</x:v>
      </x:c>
      <x:c r="N180" s="4" t="str">
        <x:f>IF(IFERROR(INDEX('Material routes'!$I$6:$I$1005,MATCH(U180,'Material routes'!$A$6:$A$1005,0)),"MISSING ID")=0,"",IFERROR(INDEX('Material routes'!$I$6:$I$1005,MATCH(U180,'Material routes'!$A$6:$A$1005,0)),"MISSING ID"))</x:f>
      </x:c>
      <x:c r="O180" s="4" t="str">
        <x:f>IFERROR(INDEX('Material routes'!$J$6:$J$1005,MATCH(U180,'Material routes'!$A$6:$A$1005,0)),"MISSING ID")</x:f>
        <x:v>Unspecified</x:v>
      </x:c>
      <x:c r="P180" s="4" t="str">
        <x:f>IF(IFERROR(INDEX('Material routes'!$I$6:$I$1005,MATCH(V180,'Material routes'!$A$6:$A$1005,0)),"MISSING ID")=0,"",IFERROR(INDEX('Material routes'!$I$6:$I$1005,MATCH(V180,'Material routes'!$A$6:$A$1005,0)),"MISSING ID"))</x:f>
      </x:c>
      <x:c r="Q180" s="4" t="str">
        <x:f>IFERROR(INDEX('Material routes'!$J$6:$J$1005,MATCH(V180,'Material routes'!$A$6:$A$1005,0)),"MISSING ID")</x:f>
        <x:v>Unspecified</x:v>
      </x:c>
      <x:c r="R180" s="4" t="str">
        <x:f>IF(L180="Withheld","Withheld premise",IF(E180="Tool candidate","Reusable prerequisite",IF(K180="Raw entry preparation","Entry-resource preparation",IF(G180="Not applicable","Finished endpoint",IF(OR(IFERROR(INDEX('Crafting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routes'!$D$6:$D$1005,MATCH(U180,'Material routes'!$A$6:$A$1005,0)),"MISSING ID")</x:f>
        <x:v>proposal.branch.drawn_copper</x:v>
      </x:c>
      <x:c r="T180" s="4" t="str">
        <x:f>IFERROR(INDEX('Material routes'!$D$6:$D$1005,MATCH(V180,'Material routes'!$A$6:$A$1005,0)),"MISSING ID")</x:f>
        <x:v>proposal.t3.grounding_braid</x:v>
      </x:c>
      <x:c r="U180" s="4" t="str">
        <x:v>design.t3.grounding_braid.in.1</x:v>
      </x:c>
      <x:c r="V180" s="4" t="str">
        <x:v>design.t3.grounding_braid.out</x:v>
      </x:c>
    </x:row>
    <x:row r="181" ht="115" customHeight="1">
      <x:c r="A181" s="4" t="str">
        <x:f>IFERROR(INDEX('Material routes'!$E$6:$E$1005,MATCH(U181,'Material routes'!$A$6:$A$1005,0)),"MISSING ID")</x:f>
        <x:v>Drawn copper stock</x:v>
      </x:c>
      <x:c r="B181" s="4" t="str">
        <x:f>IFERROR(INDEX('Material routes'!$F$6:$F$1005,MATCH(U181,'Material routes'!$A$6:$A$1005,0)),"MISSING ID")</x:f>
        <x:v>T2</x:v>
      </x:c>
      <x:c r="C181" s="4" t="str">
        <x:f>IFERROR(INDEX('Material routes'!$H$6:$H$1005,MATCH(U181,'Material routes'!$A$6:$A$1005,0)),"MISSING ID")</x:f>
        <x:v>Processed material</x:v>
      </x:c>
      <x:c r="D181" s="4" t="str">
        <x:f>IFERROR(INDEX('Material routes'!$G$6:$G$1005,MATCH(U181,'Material routes'!$A$6:$A$1005,0)),"MISSING ID")</x:f>
        <x:v>Resources</x:v>
      </x:c>
      <x:c r="E181" s="4" t="str">
        <x:f>IFERROR(INDEX('Material routes'!$C$6:$C$1005,MATCH(U181,'Material routes'!$A$6:$A$1005,0)),"MISSING ID")</x:f>
        <x:v>Ingredient candidate</x:v>
      </x:c>
      <x:c r="F181" s="4" t="str">
        <x:f>IFERROR(INDEX('Material routes'!$E$6:$E$1005,MATCH(V181,'Material routes'!$A$6:$A$1005,0)),"MISSING ID")</x:f>
        <x:v>Wound copper coil blanks</x:v>
      </x:c>
      <x:c r="G181" s="4" t="str">
        <x:f>IFERROR(INDEX('Material routes'!$F$6:$F$1005,MATCH(V181,'Material routes'!$A$6:$A$1005,0)),"MISSING ID")</x:f>
        <x:v>T3</x:v>
      </x:c>
      <x:c r="H181" s="4" t="str">
        <x:f>IFERROR(INDEX('Material routes'!$H$6:$H$1005,MATCH(V181,'Material routes'!$A$6:$A$1005,0)),"MISSING ID")</x:f>
        <x:v>Crafting component</x:v>
      </x:c>
      <x:c r="I181" s="4" t="str">
        <x:f>IFERROR(INDEX('Material routes'!$G$6:$G$1005,MATCH(V181,'Material routes'!$A$6:$A$1005,0)),"MISSING ID")</x:f>
        <x:v>Crafting components</x:v>
      </x:c>
      <x:c r="J181" s="4" t="str">
        <x:f>IFERROR(INDEX('Material routes'!$B$6:$B$1005,MATCH(U181,'Material routes'!$A$6:$A$1005,0)),"MISSING ID")</x:f>
        <x:v>design.t3.wound_coil</x:v>
      </x:c>
      <x:c r="K181" s="4" t="str">
        <x:f>IFERROR(INDEX('Crafting recipes'!$C$6:$C$1005,MATCH(J181,'Crafting recipes'!$A$6:$A$1005,0)),"MISSING ID")</x:f>
        <x:v>Material refinement</x:v>
      </x:c>
      <x:c r="L181" s="4" t="str">
        <x:f>IFERROR(INDEX('Material routes'!$K$6:$K$1005,MATCH(U181,'Material routes'!$A$6:$A$1005,0)),"MISSING ID")</x:f>
        <x:v>Proposal</x:v>
      </x:c>
      <x:c r="M181" s="4" t="str">
        <x:f>IFERROR(INDEX('Material routes'!$M$6:$M$1005,MATCH(U181,'Material routes'!$A$6:$A$1005,0)),"MISSING ID")</x:f>
        <x:v>Partial proposal</x:v>
      </x:c>
      <x:c r="N181" s="4" t="str">
        <x:f>IF(IFERROR(INDEX('Material routes'!$I$6:$I$1005,MATCH(U181,'Material routes'!$A$6:$A$1005,0)),"MISSING ID")=0,"",IFERROR(INDEX('Material routes'!$I$6:$I$1005,MATCH(U181,'Material routes'!$A$6:$A$1005,0)),"MISSING ID"))</x:f>
      </x:c>
      <x:c r="O181" s="4" t="str">
        <x:f>IFERROR(INDEX('Material routes'!$J$6:$J$1005,MATCH(U181,'Material routes'!$A$6:$A$1005,0)),"MISSING ID")</x:f>
        <x:v>Unspecified</x:v>
      </x:c>
      <x:c r="P181" s="4" t="str">
        <x:f>IF(IFERROR(INDEX('Material routes'!$I$6:$I$1005,MATCH(V181,'Material routes'!$A$6:$A$1005,0)),"MISSING ID")=0,"",IFERROR(INDEX('Material routes'!$I$6:$I$1005,MATCH(V181,'Material routes'!$A$6:$A$1005,0)),"MISSING ID"))</x:f>
      </x:c>
      <x:c r="Q181" s="4" t="str">
        <x:f>IFERROR(INDEX('Material routes'!$J$6:$J$1005,MATCH(V181,'Material routes'!$A$6:$A$1005,0)),"MISSING ID")</x:f>
        <x:v>Unspecified</x:v>
      </x:c>
      <x:c r="R181" s="4" t="str">
        <x:f>IF(L181="Withheld","Withheld premise",IF(E181="Tool candidate","Reusable prerequisite",IF(K181="Raw entry preparation","Entry-resource preparation",IF(G181="Not applicable","Finished endpoint",IF(OR(IFERROR(INDEX('Crafting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routes'!$D$6:$D$1005,MATCH(U181,'Material routes'!$A$6:$A$1005,0)),"MISSING ID")</x:f>
        <x:v>proposal.branch.drawn_copper</x:v>
      </x:c>
      <x:c r="T181" s="4" t="str">
        <x:f>IFERROR(INDEX('Material routes'!$D$6:$D$1005,MATCH(V181,'Material routes'!$A$6:$A$1005,0)),"MISSING ID")</x:f>
        <x:v>proposal.t3.wound_coil</x:v>
      </x:c>
      <x:c r="U181" s="4" t="str">
        <x:v>design.t3.wound_coil.in.1</x:v>
      </x:c>
      <x:c r="V181" s="4" t="str">
        <x:v>design.t3.wound_coil.out</x:v>
      </x:c>
    </x:row>
    <x:row r="182" ht="115" customHeight="1">
      <x:c r="A182" s="4" t="str">
        <x:f>IFERROR(INDEX('Material routes'!$E$6:$E$1005,MATCH(U182,'Material routes'!$A$6:$A$1005,0)),"MISSING ID")</x:f>
        <x:v>Insulating ceramic blanks</x:v>
      </x:c>
      <x:c r="B182" s="4" t="str">
        <x:f>IFERROR(INDEX('Material routes'!$F$6:$F$1005,MATCH(U182,'Material routes'!$A$6:$A$1005,0)),"MISSING ID")</x:f>
        <x:v>T2</x:v>
      </x:c>
      <x:c r="C182" s="4" t="str">
        <x:f>IFERROR(INDEX('Material routes'!$H$6:$H$1005,MATCH(U182,'Material routes'!$A$6:$A$1005,0)),"MISSING ID")</x:f>
        <x:v>Processed material</x:v>
      </x:c>
      <x:c r="D182" s="4" t="str">
        <x:f>IFERROR(INDEX('Material routes'!$G$6:$G$1005,MATCH(U182,'Material routes'!$A$6:$A$1005,0)),"MISSING ID")</x:f>
        <x:v>Resources</x:v>
      </x:c>
      <x:c r="E182" s="4" t="str">
        <x:f>IFERROR(INDEX('Material routes'!$C$6:$C$1005,MATCH(U182,'Material routes'!$A$6:$A$1005,0)),"MISSING ID")</x:f>
        <x:v>Ingredient candidate</x:v>
      </x:c>
      <x:c r="F182" s="4" t="str">
        <x:f>IFERROR(INDEX('Material routes'!$E$6:$E$1005,MATCH(V182,'Material routes'!$A$6:$A$1005,0)),"MISSING ID")</x:f>
        <x:v>Wound copper coil blanks</x:v>
      </x:c>
      <x:c r="G182" s="4" t="str">
        <x:f>IFERROR(INDEX('Material routes'!$F$6:$F$1005,MATCH(V182,'Material routes'!$A$6:$A$1005,0)),"MISSING ID")</x:f>
        <x:v>T3</x:v>
      </x:c>
      <x:c r="H182" s="4" t="str">
        <x:f>IFERROR(INDEX('Material routes'!$H$6:$H$1005,MATCH(V182,'Material routes'!$A$6:$A$1005,0)),"MISSING ID")</x:f>
        <x:v>Crafting component</x:v>
      </x:c>
      <x:c r="I182" s="4" t="str">
        <x:f>IFERROR(INDEX('Material routes'!$G$6:$G$1005,MATCH(V182,'Material routes'!$A$6:$A$1005,0)),"MISSING ID")</x:f>
        <x:v>Crafting components</x:v>
      </x:c>
      <x:c r="J182" s="4" t="str">
        <x:f>IFERROR(INDEX('Material routes'!$B$6:$B$1005,MATCH(U182,'Material routes'!$A$6:$A$1005,0)),"MISSING ID")</x:f>
        <x:v>design.t3.wound_coil</x:v>
      </x:c>
      <x:c r="K182" s="4" t="str">
        <x:f>IFERROR(INDEX('Crafting recipes'!$C$6:$C$1005,MATCH(J182,'Crafting recipes'!$A$6:$A$1005,0)),"MISSING ID")</x:f>
        <x:v>Material refinement</x:v>
      </x:c>
      <x:c r="L182" s="4" t="str">
        <x:f>IFERROR(INDEX('Material routes'!$K$6:$K$1005,MATCH(U182,'Material routes'!$A$6:$A$1005,0)),"MISSING ID")</x:f>
        <x:v>Proposal</x:v>
      </x:c>
      <x:c r="M182" s="4" t="str">
        <x:f>IFERROR(INDEX('Material routes'!$M$6:$M$1005,MATCH(U182,'Material routes'!$A$6:$A$1005,0)),"MISSING ID")</x:f>
        <x:v>Partial proposal</x:v>
      </x:c>
      <x:c r="N182" s="4" t="str">
        <x:f>IF(IFERROR(INDEX('Material routes'!$I$6:$I$1005,MATCH(U182,'Material routes'!$A$6:$A$1005,0)),"MISSING ID")=0,"",IFERROR(INDEX('Material routes'!$I$6:$I$1005,MATCH(U182,'Material routes'!$A$6:$A$1005,0)),"MISSING ID"))</x:f>
      </x:c>
      <x:c r="O182" s="4" t="str">
        <x:f>IFERROR(INDEX('Material routes'!$J$6:$J$1005,MATCH(U182,'Material routes'!$A$6:$A$1005,0)),"MISSING ID")</x:f>
        <x:v>Unspecified</x:v>
      </x:c>
      <x:c r="P182" s="4" t="str">
        <x:f>IF(IFERROR(INDEX('Material routes'!$I$6:$I$1005,MATCH(V182,'Material routes'!$A$6:$A$1005,0)),"MISSING ID")=0,"",IFERROR(INDEX('Material routes'!$I$6:$I$1005,MATCH(V182,'Material routes'!$A$6:$A$1005,0)),"MISSING ID"))</x:f>
      </x:c>
      <x:c r="Q182" s="4" t="str">
        <x:f>IFERROR(INDEX('Material routes'!$J$6:$J$1005,MATCH(V182,'Material routes'!$A$6:$A$1005,0)),"MISSING ID")</x:f>
        <x:v>Unspecified</x:v>
      </x:c>
      <x:c r="R182" s="4" t="str">
        <x:f>IF(L182="Withheld","Withheld premise",IF(E182="Tool candidate","Reusable prerequisite",IF(K182="Raw entry preparation","Entry-resource preparation",IF(G182="Not applicable","Finished endpoint",IF(OR(IFERROR(INDEX('Crafting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routes'!$D$6:$D$1005,MATCH(U182,'Material routes'!$A$6:$A$1005,0)),"MISSING ID")</x:f>
        <x:v>proposal.natural.ceramic</x:v>
      </x:c>
      <x:c r="T182" s="4" t="str">
        <x:f>IFERROR(INDEX('Material routes'!$D$6:$D$1005,MATCH(V182,'Material routes'!$A$6:$A$1005,0)),"MISSING ID")</x:f>
        <x:v>proposal.t3.wound_coil</x:v>
      </x:c>
      <x:c r="U182" s="4" t="str">
        <x:v>design.t3.wound_coil.in.2</x:v>
      </x:c>
      <x:c r="V182" s="4" t="str">
        <x:v>design.t3.wound_coil.out</x:v>
      </x:c>
    </x:row>
    <x:row r="183" ht="115" customHeight="1">
      <x:c r="A183" s="4" t="str">
        <x:f>IFERROR(INDEX('Material routes'!$E$6:$E$1005,MATCH(U183,'Material routes'!$A$6:$A$1005,0)),"MISSING ID")</x:f>
        <x:v>Drawn copper stock</x:v>
      </x:c>
      <x:c r="B183" s="4" t="str">
        <x:f>IFERROR(INDEX('Material routes'!$F$6:$F$1005,MATCH(U183,'Material routes'!$A$6:$A$1005,0)),"MISSING ID")</x:f>
        <x:v>T2</x:v>
      </x:c>
      <x:c r="C183" s="4" t="str">
        <x:f>IFERROR(INDEX('Material routes'!$H$6:$H$1005,MATCH(U183,'Material routes'!$A$6:$A$1005,0)),"MISSING ID")</x:f>
        <x:v>Processed material</x:v>
      </x:c>
      <x:c r="D183" s="4" t="str">
        <x:f>IFERROR(INDEX('Material routes'!$G$6:$G$1005,MATCH(U183,'Material routes'!$A$6:$A$1005,0)),"MISSING ID")</x:f>
        <x:v>Resources</x:v>
      </x:c>
      <x:c r="E183" s="4" t="str">
        <x:f>IFERROR(INDEX('Material routes'!$C$6:$C$1005,MATCH(U183,'Material routes'!$A$6:$A$1005,0)),"MISSING ID")</x:f>
        <x:v>Ingredient candidate</x:v>
      </x:c>
      <x:c r="F183" s="4" t="str">
        <x:f>IFERROR(INDEX('Material routes'!$E$6:$E$1005,MATCH(V183,'Material routes'!$A$6:$A$1005,0)),"MISSING ID")</x:f>
        <x:v>Woven copper mesh stock</x:v>
      </x:c>
      <x:c r="G183" s="4" t="str">
        <x:f>IFERROR(INDEX('Material routes'!$F$6:$F$1005,MATCH(V183,'Material routes'!$A$6:$A$1005,0)),"MISSING ID")</x:f>
        <x:v>T3</x:v>
      </x:c>
      <x:c r="H183" s="4" t="str">
        <x:f>IFERROR(INDEX('Material routes'!$H$6:$H$1005,MATCH(V183,'Material routes'!$A$6:$A$1005,0)),"MISSING ID")</x:f>
        <x:v>Processed material</x:v>
      </x:c>
      <x:c r="I183" s="4" t="str">
        <x:f>IFERROR(INDEX('Material routes'!$G$6:$G$1005,MATCH(V183,'Material routes'!$A$6:$A$1005,0)),"MISSING ID")</x:f>
        <x:v>Resources</x:v>
      </x:c>
      <x:c r="J183" s="4" t="str">
        <x:f>IFERROR(INDEX('Material routes'!$B$6:$B$1005,MATCH(U183,'Material routes'!$A$6:$A$1005,0)),"MISSING ID")</x:f>
        <x:v>design.t3.copper_mesh</x:v>
      </x:c>
      <x:c r="K183" s="4" t="str">
        <x:f>IFERROR(INDEX('Crafting recipes'!$C$6:$C$1005,MATCH(J183,'Crafting recipes'!$A$6:$A$1005,0)),"MISSING ID")</x:f>
        <x:v>Material refinement</x:v>
      </x:c>
      <x:c r="L183" s="4" t="str">
        <x:f>IFERROR(INDEX('Material routes'!$K$6:$K$1005,MATCH(U183,'Material routes'!$A$6:$A$1005,0)),"MISSING ID")</x:f>
        <x:v>Proposal</x:v>
      </x:c>
      <x:c r="M183" s="4" t="str">
        <x:f>IFERROR(INDEX('Material routes'!$M$6:$M$1005,MATCH(U183,'Material routes'!$A$6:$A$1005,0)),"MISSING ID")</x:f>
        <x:v>Partial proposal</x:v>
      </x:c>
      <x:c r="N183" s="4" t="str">
        <x:f>IF(IFERROR(INDEX('Material routes'!$I$6:$I$1005,MATCH(U183,'Material routes'!$A$6:$A$1005,0)),"MISSING ID")=0,"",IFERROR(INDEX('Material routes'!$I$6:$I$1005,MATCH(U183,'Material routes'!$A$6:$A$1005,0)),"MISSING ID"))</x:f>
      </x:c>
      <x:c r="O183" s="4" t="str">
        <x:f>IFERROR(INDEX('Material routes'!$J$6:$J$1005,MATCH(U183,'Material routes'!$A$6:$A$1005,0)),"MISSING ID")</x:f>
        <x:v>Unspecified</x:v>
      </x:c>
      <x:c r="P183" s="4" t="str">
        <x:f>IF(IFERROR(INDEX('Material routes'!$I$6:$I$1005,MATCH(V183,'Material routes'!$A$6:$A$1005,0)),"MISSING ID")=0,"",IFERROR(INDEX('Material routes'!$I$6:$I$1005,MATCH(V183,'Material routes'!$A$6:$A$1005,0)),"MISSING ID"))</x:f>
      </x:c>
      <x:c r="Q183" s="4" t="str">
        <x:f>IFERROR(INDEX('Material routes'!$J$6:$J$1005,MATCH(V183,'Material routes'!$A$6:$A$1005,0)),"MISSING ID")</x:f>
        <x:v>Unspecified</x:v>
      </x:c>
      <x:c r="R183" s="4" t="str">
        <x:f>IF(L183="Withheld","Withheld premise",IF(E183="Tool candidate","Reusable prerequisite",IF(K183="Raw entry preparation","Entry-resource preparation",IF(G183="Not applicable","Finished endpoint",IF(OR(IFERROR(INDEX('Crafting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routes'!$D$6:$D$1005,MATCH(U183,'Material routes'!$A$6:$A$1005,0)),"MISSING ID")</x:f>
        <x:v>proposal.branch.drawn_copper</x:v>
      </x:c>
      <x:c r="T183" s="4" t="str">
        <x:f>IFERROR(INDEX('Material routes'!$D$6:$D$1005,MATCH(V183,'Material routes'!$A$6:$A$1005,0)),"MISSING ID")</x:f>
        <x:v>proposal.t3.copper_mesh</x:v>
      </x:c>
      <x:c r="U183" s="4" t="str">
        <x:v>design.t3.copper_mesh.in.1</x:v>
      </x:c>
      <x:c r="V183" s="4" t="str">
        <x:v>design.t3.copper_mesh.out</x:v>
      </x:c>
    </x:row>
    <x:row r="184" ht="115" customHeight="1">
      <x:c r="A184" s="4" t="str">
        <x:f>IFERROR(INDEX('Material routes'!$E$6:$E$1005,MATCH(U184,'Material routes'!$A$6:$A$1005,0)),"MISSING ID")</x:f>
        <x:v>Insulating ceramic blanks</x:v>
      </x:c>
      <x:c r="B184" s="4" t="str">
        <x:f>IFERROR(INDEX('Material routes'!$F$6:$F$1005,MATCH(U184,'Material routes'!$A$6:$A$1005,0)),"MISSING ID")</x:f>
        <x:v>T2</x:v>
      </x:c>
      <x:c r="C184" s="4" t="str">
        <x:f>IFERROR(INDEX('Material routes'!$H$6:$H$1005,MATCH(U184,'Material routes'!$A$6:$A$1005,0)),"MISSING ID")</x:f>
        <x:v>Processed material</x:v>
      </x:c>
      <x:c r="D184" s="4" t="str">
        <x:f>IFERROR(INDEX('Material routes'!$G$6:$G$1005,MATCH(U184,'Material routes'!$A$6:$A$1005,0)),"MISSING ID")</x:f>
        <x:v>Resources</x:v>
      </x:c>
      <x:c r="E184" s="4" t="str">
        <x:f>IFERROR(INDEX('Material routes'!$C$6:$C$1005,MATCH(U184,'Material routes'!$A$6:$A$1005,0)),"MISSING ID")</x:f>
        <x:v>Ingredient candidate</x:v>
      </x:c>
      <x:c r="F184" s="4" t="str">
        <x:f>IFERROR(INDEX('Material routes'!$E$6:$E$1005,MATCH(V184,'Material routes'!$A$6:$A$1005,0)),"MISSING ID")</x:f>
        <x:v>Fitted ceramic contact mounts</x:v>
      </x:c>
      <x:c r="G184" s="4" t="str">
        <x:f>IFERROR(INDEX('Material routes'!$F$6:$F$1005,MATCH(V184,'Material routes'!$A$6:$A$1005,0)),"MISSING ID")</x:f>
        <x:v>T3</x:v>
      </x:c>
      <x:c r="H184" s="4" t="str">
        <x:f>IFERROR(INDEX('Material routes'!$H$6:$H$1005,MATCH(V184,'Material routes'!$A$6:$A$1005,0)),"MISSING ID")</x:f>
        <x:v>Crafting component</x:v>
      </x:c>
      <x:c r="I184" s="4" t="str">
        <x:f>IFERROR(INDEX('Material routes'!$G$6:$G$1005,MATCH(V184,'Material routes'!$A$6:$A$1005,0)),"MISSING ID")</x:f>
        <x:v>Crafting components</x:v>
      </x:c>
      <x:c r="J184" s="4" t="str">
        <x:f>IFERROR(INDEX('Material routes'!$B$6:$B$1005,MATCH(U184,'Material routes'!$A$6:$A$1005,0)),"MISSING ID")</x:f>
        <x:v>design.t3.contact_mount</x:v>
      </x:c>
      <x:c r="K184" s="4" t="str">
        <x:f>IFERROR(INDEX('Crafting recipes'!$C$6:$C$1005,MATCH(J184,'Crafting recipes'!$A$6:$A$1005,0)),"MISSING ID")</x:f>
        <x:v>Material refinement</x:v>
      </x:c>
      <x:c r="L184" s="4" t="str">
        <x:f>IFERROR(INDEX('Material routes'!$K$6:$K$1005,MATCH(U184,'Material routes'!$A$6:$A$1005,0)),"MISSING ID")</x:f>
        <x:v>Proposal</x:v>
      </x:c>
      <x:c r="M184" s="4" t="str">
        <x:f>IFERROR(INDEX('Material routes'!$M$6:$M$1005,MATCH(U184,'Material routes'!$A$6:$A$1005,0)),"MISSING ID")</x:f>
        <x:v>Partial proposal</x:v>
      </x:c>
      <x:c r="N184" s="4" t="str">
        <x:f>IF(IFERROR(INDEX('Material routes'!$I$6:$I$1005,MATCH(U184,'Material routes'!$A$6:$A$1005,0)),"MISSING ID")=0,"",IFERROR(INDEX('Material routes'!$I$6:$I$1005,MATCH(U184,'Material routes'!$A$6:$A$1005,0)),"MISSING ID"))</x:f>
      </x:c>
      <x:c r="O184" s="4" t="str">
        <x:f>IFERROR(INDEX('Material routes'!$J$6:$J$1005,MATCH(U184,'Material routes'!$A$6:$A$1005,0)),"MISSING ID")</x:f>
        <x:v>Unspecified</x:v>
      </x:c>
      <x:c r="P184" s="4" t="str">
        <x:f>IF(IFERROR(INDEX('Material routes'!$I$6:$I$1005,MATCH(V184,'Material routes'!$A$6:$A$1005,0)),"MISSING ID")=0,"",IFERROR(INDEX('Material routes'!$I$6:$I$1005,MATCH(V184,'Material routes'!$A$6:$A$1005,0)),"MISSING ID"))</x:f>
      </x:c>
      <x:c r="Q184" s="4" t="str">
        <x:f>IFERROR(INDEX('Material routes'!$J$6:$J$1005,MATCH(V184,'Material routes'!$A$6:$A$1005,0)),"MISSING ID")</x:f>
        <x:v>Unspecified</x:v>
      </x:c>
      <x:c r="R184" s="4" t="str">
        <x:f>IF(L184="Withheld","Withheld premise",IF(E184="Tool candidate","Reusable prerequisite",IF(K184="Raw entry preparation","Entry-resource preparation",IF(G184="Not applicable","Finished endpoint",IF(OR(IFERROR(INDEX('Crafting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routes'!$D$6:$D$1005,MATCH(U184,'Material routes'!$A$6:$A$1005,0)),"MISSING ID")</x:f>
        <x:v>proposal.natural.ceramic</x:v>
      </x:c>
      <x:c r="T184" s="4" t="str">
        <x:f>IFERROR(INDEX('Material routes'!$D$6:$D$1005,MATCH(V184,'Material routes'!$A$6:$A$1005,0)),"MISSING ID")</x:f>
        <x:v>proposal.t3.contact_mount</x:v>
      </x:c>
      <x:c r="U184" s="4" t="str">
        <x:v>design.t3.contact_mount.in.1</x:v>
      </x:c>
      <x:c r="V184" s="4" t="str">
        <x:v>design.t3.contact_mount.out</x:v>
      </x:c>
    </x:row>
    <x:row r="185" ht="115" customHeight="1">
      <x:c r="A185" s="4" t="str">
        <x:f>IFERROR(INDEX('Material routes'!$E$6:$E$1005,MATCH(U185,'Material routes'!$A$6:$A$1005,0)),"MISSING ID")</x:f>
        <x:v>Drawn copper stock</x:v>
      </x:c>
      <x:c r="B185" s="4" t="str">
        <x:f>IFERROR(INDEX('Material routes'!$F$6:$F$1005,MATCH(U185,'Material routes'!$A$6:$A$1005,0)),"MISSING ID")</x:f>
        <x:v>T2</x:v>
      </x:c>
      <x:c r="C185" s="4" t="str">
        <x:f>IFERROR(INDEX('Material routes'!$H$6:$H$1005,MATCH(U185,'Material routes'!$A$6:$A$1005,0)),"MISSING ID")</x:f>
        <x:v>Processed material</x:v>
      </x:c>
      <x:c r="D185" s="4" t="str">
        <x:f>IFERROR(INDEX('Material routes'!$G$6:$G$1005,MATCH(U185,'Material routes'!$A$6:$A$1005,0)),"MISSING ID")</x:f>
        <x:v>Resources</x:v>
      </x:c>
      <x:c r="E185" s="4" t="str">
        <x:f>IFERROR(INDEX('Material routes'!$C$6:$C$1005,MATCH(U185,'Material routes'!$A$6:$A$1005,0)),"MISSING ID")</x:f>
        <x:v>Ingredient candidate</x:v>
      </x:c>
      <x:c r="F185" s="4" t="str">
        <x:f>IFERROR(INDEX('Material routes'!$E$6:$E$1005,MATCH(V185,'Material routes'!$A$6:$A$1005,0)),"MISSING ID")</x:f>
        <x:v>Fitted ceramic contact mounts</x:v>
      </x:c>
      <x:c r="G185" s="4" t="str">
        <x:f>IFERROR(INDEX('Material routes'!$F$6:$F$1005,MATCH(V185,'Material routes'!$A$6:$A$1005,0)),"MISSING ID")</x:f>
        <x:v>T3</x:v>
      </x:c>
      <x:c r="H185" s="4" t="str">
        <x:f>IFERROR(INDEX('Material routes'!$H$6:$H$1005,MATCH(V185,'Material routes'!$A$6:$A$1005,0)),"MISSING ID")</x:f>
        <x:v>Crafting component</x:v>
      </x:c>
      <x:c r="I185" s="4" t="str">
        <x:f>IFERROR(INDEX('Material routes'!$G$6:$G$1005,MATCH(V185,'Material routes'!$A$6:$A$1005,0)),"MISSING ID")</x:f>
        <x:v>Crafting components</x:v>
      </x:c>
      <x:c r="J185" s="4" t="str">
        <x:f>IFERROR(INDEX('Material routes'!$B$6:$B$1005,MATCH(U185,'Material routes'!$A$6:$A$1005,0)),"MISSING ID")</x:f>
        <x:v>design.t3.contact_mount</x:v>
      </x:c>
      <x:c r="K185" s="4" t="str">
        <x:f>IFERROR(INDEX('Crafting recipes'!$C$6:$C$1005,MATCH(J185,'Crafting recipes'!$A$6:$A$1005,0)),"MISSING ID")</x:f>
        <x:v>Material refinement</x:v>
      </x:c>
      <x:c r="L185" s="4" t="str">
        <x:f>IFERROR(INDEX('Material routes'!$K$6:$K$1005,MATCH(U185,'Material routes'!$A$6:$A$1005,0)),"MISSING ID")</x:f>
        <x:v>Proposal</x:v>
      </x:c>
      <x:c r="M185" s="4" t="str">
        <x:f>IFERROR(INDEX('Material routes'!$M$6:$M$1005,MATCH(U185,'Material routes'!$A$6:$A$1005,0)),"MISSING ID")</x:f>
        <x:v>Partial proposal</x:v>
      </x:c>
      <x:c r="N185" s="4" t="str">
        <x:f>IF(IFERROR(INDEX('Material routes'!$I$6:$I$1005,MATCH(U185,'Material routes'!$A$6:$A$1005,0)),"MISSING ID")=0,"",IFERROR(INDEX('Material routes'!$I$6:$I$1005,MATCH(U185,'Material routes'!$A$6:$A$1005,0)),"MISSING ID"))</x:f>
      </x:c>
      <x:c r="O185" s="4" t="str">
        <x:f>IFERROR(INDEX('Material routes'!$J$6:$J$1005,MATCH(U185,'Material routes'!$A$6:$A$1005,0)),"MISSING ID")</x:f>
        <x:v>Unspecified</x:v>
      </x:c>
      <x:c r="P185" s="4" t="str">
        <x:f>IF(IFERROR(INDEX('Material routes'!$I$6:$I$1005,MATCH(V185,'Material routes'!$A$6:$A$1005,0)),"MISSING ID")=0,"",IFERROR(INDEX('Material routes'!$I$6:$I$1005,MATCH(V185,'Material routes'!$A$6:$A$1005,0)),"MISSING ID"))</x:f>
      </x:c>
      <x:c r="Q185" s="4" t="str">
        <x:f>IFERROR(INDEX('Material routes'!$J$6:$J$1005,MATCH(V185,'Material routes'!$A$6:$A$1005,0)),"MISSING ID")</x:f>
        <x:v>Unspecified</x:v>
      </x:c>
      <x:c r="R185" s="4" t="str">
        <x:f>IF(L185="Withheld","Withheld premise",IF(E185="Tool candidate","Reusable prerequisite",IF(K185="Raw entry preparation","Entry-resource preparation",IF(G185="Not applicable","Finished endpoint",IF(OR(IFERROR(INDEX('Crafting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routes'!$D$6:$D$1005,MATCH(U185,'Material routes'!$A$6:$A$1005,0)),"MISSING ID")</x:f>
        <x:v>proposal.branch.drawn_copper</x:v>
      </x:c>
      <x:c r="T185" s="4" t="str">
        <x:f>IFERROR(INDEX('Material routes'!$D$6:$D$1005,MATCH(V185,'Material routes'!$A$6:$A$1005,0)),"MISSING ID")</x:f>
        <x:v>proposal.t3.contact_mount</x:v>
      </x:c>
      <x:c r="U185" s="4" t="str">
        <x:v>design.t3.contact_mount.in.2</x:v>
      </x:c>
      <x:c r="V185" s="4" t="str">
        <x:v>design.t3.contact_mount.out</x:v>
      </x:c>
    </x:row>
    <x:row r="186" ht="115" customHeight="1">
      <x:c r="A186" s="4" t="str">
        <x:f>IFERROR(INDEX('Material routes'!$E$6:$E$1005,MATCH(U186,'Material routes'!$A$6:$A$1005,0)),"MISSING ID")</x:f>
        <x:v>Insulating ceramic blanks</x:v>
      </x:c>
      <x:c r="B186" s="4" t="str">
        <x:f>IFERROR(INDEX('Material routes'!$F$6:$F$1005,MATCH(U186,'Material routes'!$A$6:$A$1005,0)),"MISSING ID")</x:f>
        <x:v>T2</x:v>
      </x:c>
      <x:c r="C186" s="4" t="str">
        <x:f>IFERROR(INDEX('Material routes'!$H$6:$H$1005,MATCH(U186,'Material routes'!$A$6:$A$1005,0)),"MISSING ID")</x:f>
        <x:v>Processed material</x:v>
      </x:c>
      <x:c r="D186" s="4" t="str">
        <x:f>IFERROR(INDEX('Material routes'!$G$6:$G$1005,MATCH(U186,'Material routes'!$A$6:$A$1005,0)),"MISSING ID")</x:f>
        <x:v>Resources</x:v>
      </x:c>
      <x:c r="E186" s="4" t="str">
        <x:f>IFERROR(INDEX('Material routes'!$C$6:$C$1005,MATCH(U186,'Material routes'!$A$6:$A$1005,0)),"MISSING ID")</x:f>
        <x:v>Ingredient candidate</x:v>
      </x:c>
      <x:c r="F186" s="4" t="str">
        <x:f>IFERROR(INDEX('Material routes'!$E$6:$E$1005,MATCH(V186,'Material routes'!$A$6:$A$1005,0)),"MISSING ID")</x:f>
        <x:v>Ceramic-metal feedthrough blanks</x:v>
      </x:c>
      <x:c r="G186" s="4" t="str">
        <x:f>IFERROR(INDEX('Material routes'!$F$6:$F$1005,MATCH(V186,'Material routes'!$A$6:$A$1005,0)),"MISSING ID")</x:f>
        <x:v>T3</x:v>
      </x:c>
      <x:c r="H186" s="4" t="str">
        <x:f>IFERROR(INDEX('Material routes'!$H$6:$H$1005,MATCH(V186,'Material routes'!$A$6:$A$1005,0)),"MISSING ID")</x:f>
        <x:v>Crafting component</x:v>
      </x:c>
      <x:c r="I186" s="4" t="str">
        <x:f>IFERROR(INDEX('Material routes'!$G$6:$G$1005,MATCH(V186,'Material routes'!$A$6:$A$1005,0)),"MISSING ID")</x:f>
        <x:v>Crafting components</x:v>
      </x:c>
      <x:c r="J186" s="4" t="str">
        <x:f>IFERROR(INDEX('Material routes'!$B$6:$B$1005,MATCH(U186,'Material routes'!$A$6:$A$1005,0)),"MISSING ID")</x:f>
        <x:v>design.t3.feedthrough_blank</x:v>
      </x:c>
      <x:c r="K186" s="4" t="str">
        <x:f>IFERROR(INDEX('Crafting recipes'!$C$6:$C$1005,MATCH(J186,'Crafting recipes'!$A$6:$A$1005,0)),"MISSING ID")</x:f>
        <x:v>Material refinement</x:v>
      </x:c>
      <x:c r="L186" s="4" t="str">
        <x:f>IFERROR(INDEX('Material routes'!$K$6:$K$1005,MATCH(U186,'Material routes'!$A$6:$A$1005,0)),"MISSING ID")</x:f>
        <x:v>Proposal</x:v>
      </x:c>
      <x:c r="M186" s="4" t="str">
        <x:f>IFERROR(INDEX('Material routes'!$M$6:$M$1005,MATCH(U186,'Material routes'!$A$6:$A$1005,0)),"MISSING ID")</x:f>
        <x:v>Partial proposal</x:v>
      </x:c>
      <x:c r="N186" s="4" t="str">
        <x:f>IF(IFERROR(INDEX('Material routes'!$I$6:$I$1005,MATCH(U186,'Material routes'!$A$6:$A$1005,0)),"MISSING ID")=0,"",IFERROR(INDEX('Material routes'!$I$6:$I$1005,MATCH(U186,'Material routes'!$A$6:$A$1005,0)),"MISSING ID"))</x:f>
      </x:c>
      <x:c r="O186" s="4" t="str">
        <x:f>IFERROR(INDEX('Material routes'!$J$6:$J$1005,MATCH(U186,'Material routes'!$A$6:$A$1005,0)),"MISSING ID")</x:f>
        <x:v>Unspecified</x:v>
      </x:c>
      <x:c r="P186" s="4" t="str">
        <x:f>IF(IFERROR(INDEX('Material routes'!$I$6:$I$1005,MATCH(V186,'Material routes'!$A$6:$A$1005,0)),"MISSING ID")=0,"",IFERROR(INDEX('Material routes'!$I$6:$I$1005,MATCH(V186,'Material routes'!$A$6:$A$1005,0)),"MISSING ID"))</x:f>
      </x:c>
      <x:c r="Q186" s="4" t="str">
        <x:f>IFERROR(INDEX('Material routes'!$J$6:$J$1005,MATCH(V186,'Material routes'!$A$6:$A$1005,0)),"MISSING ID")</x:f>
        <x:v>Unspecified</x:v>
      </x:c>
      <x:c r="R186" s="4" t="str">
        <x:f>IF(L186="Withheld","Withheld premise",IF(E186="Tool candidate","Reusable prerequisite",IF(K186="Raw entry preparation","Entry-resource preparation",IF(G186="Not applicable","Finished endpoint",IF(OR(IFERROR(INDEX('Crafting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routes'!$D$6:$D$1005,MATCH(U186,'Material routes'!$A$6:$A$1005,0)),"MISSING ID")</x:f>
        <x:v>proposal.natural.ceramic</x:v>
      </x:c>
      <x:c r="T186" s="4" t="str">
        <x:f>IFERROR(INDEX('Material routes'!$D$6:$D$1005,MATCH(V186,'Material routes'!$A$6:$A$1005,0)),"MISSING ID")</x:f>
        <x:v>proposal.t3.feedthrough_blank</x:v>
      </x:c>
      <x:c r="U186" s="4" t="str">
        <x:v>design.t3.feedthrough_blank.in.1</x:v>
      </x:c>
      <x:c r="V186" s="4" t="str">
        <x:v>design.t3.feedthrough_blank.out</x:v>
      </x:c>
    </x:row>
    <x:row r="187" ht="115" customHeight="1">
      <x:c r="A187" s="4" t="str">
        <x:f>IFERROR(INDEX('Material routes'!$E$6:$E$1005,MATCH(U187,'Material routes'!$A$6:$A$1005,0)),"MISSING ID")</x:f>
        <x:v>Drawn copper stock</x:v>
      </x:c>
      <x:c r="B187" s="4" t="str">
        <x:f>IFERROR(INDEX('Material routes'!$F$6:$F$1005,MATCH(U187,'Material routes'!$A$6:$A$1005,0)),"MISSING ID")</x:f>
        <x:v>T2</x:v>
      </x:c>
      <x:c r="C187" s="4" t="str">
        <x:f>IFERROR(INDEX('Material routes'!$H$6:$H$1005,MATCH(U187,'Material routes'!$A$6:$A$1005,0)),"MISSING ID")</x:f>
        <x:v>Processed material</x:v>
      </x:c>
      <x:c r="D187" s="4" t="str">
        <x:f>IFERROR(INDEX('Material routes'!$G$6:$G$1005,MATCH(U187,'Material routes'!$A$6:$A$1005,0)),"MISSING ID")</x:f>
        <x:v>Resources</x:v>
      </x:c>
      <x:c r="E187" s="4" t="str">
        <x:f>IFERROR(INDEX('Material routes'!$C$6:$C$1005,MATCH(U187,'Material routes'!$A$6:$A$1005,0)),"MISSING ID")</x:f>
        <x:v>Ingredient candidate</x:v>
      </x:c>
      <x:c r="F187" s="4" t="str">
        <x:f>IFERROR(INDEX('Material routes'!$E$6:$E$1005,MATCH(V187,'Material routes'!$A$6:$A$1005,0)),"MISSING ID")</x:f>
        <x:v>Ceramic-metal feedthrough blanks</x:v>
      </x:c>
      <x:c r="G187" s="4" t="str">
        <x:f>IFERROR(INDEX('Material routes'!$F$6:$F$1005,MATCH(V187,'Material routes'!$A$6:$A$1005,0)),"MISSING ID")</x:f>
        <x:v>T3</x:v>
      </x:c>
      <x:c r="H187" s="4" t="str">
        <x:f>IFERROR(INDEX('Material routes'!$H$6:$H$1005,MATCH(V187,'Material routes'!$A$6:$A$1005,0)),"MISSING ID")</x:f>
        <x:v>Crafting component</x:v>
      </x:c>
      <x:c r="I187" s="4" t="str">
        <x:f>IFERROR(INDEX('Material routes'!$G$6:$G$1005,MATCH(V187,'Material routes'!$A$6:$A$1005,0)),"MISSING ID")</x:f>
        <x:v>Crafting components</x:v>
      </x:c>
      <x:c r="J187" s="4" t="str">
        <x:f>IFERROR(INDEX('Material routes'!$B$6:$B$1005,MATCH(U187,'Material routes'!$A$6:$A$1005,0)),"MISSING ID")</x:f>
        <x:v>design.t3.feedthrough_blank</x:v>
      </x:c>
      <x:c r="K187" s="4" t="str">
        <x:f>IFERROR(INDEX('Crafting recipes'!$C$6:$C$1005,MATCH(J187,'Crafting recipes'!$A$6:$A$1005,0)),"MISSING ID")</x:f>
        <x:v>Material refinement</x:v>
      </x:c>
      <x:c r="L187" s="4" t="str">
        <x:f>IFERROR(INDEX('Material routes'!$K$6:$K$1005,MATCH(U187,'Material routes'!$A$6:$A$1005,0)),"MISSING ID")</x:f>
        <x:v>Proposal</x:v>
      </x:c>
      <x:c r="M187" s="4" t="str">
        <x:f>IFERROR(INDEX('Material routes'!$M$6:$M$1005,MATCH(U187,'Material routes'!$A$6:$A$1005,0)),"MISSING ID")</x:f>
        <x:v>Partial proposal</x:v>
      </x:c>
      <x:c r="N187" s="4" t="str">
        <x:f>IF(IFERROR(INDEX('Material routes'!$I$6:$I$1005,MATCH(U187,'Material routes'!$A$6:$A$1005,0)),"MISSING ID")=0,"",IFERROR(INDEX('Material routes'!$I$6:$I$1005,MATCH(U187,'Material routes'!$A$6:$A$1005,0)),"MISSING ID"))</x:f>
      </x:c>
      <x:c r="O187" s="4" t="str">
        <x:f>IFERROR(INDEX('Material routes'!$J$6:$J$1005,MATCH(U187,'Material routes'!$A$6:$A$1005,0)),"MISSING ID")</x:f>
        <x:v>Unspecified</x:v>
      </x:c>
      <x:c r="P187" s="4" t="str">
        <x:f>IF(IFERROR(INDEX('Material routes'!$I$6:$I$1005,MATCH(V187,'Material routes'!$A$6:$A$1005,0)),"MISSING ID")=0,"",IFERROR(INDEX('Material routes'!$I$6:$I$1005,MATCH(V187,'Material routes'!$A$6:$A$1005,0)),"MISSING ID"))</x:f>
      </x:c>
      <x:c r="Q187" s="4" t="str">
        <x:f>IFERROR(INDEX('Material routes'!$J$6:$J$1005,MATCH(V187,'Material routes'!$A$6:$A$1005,0)),"MISSING ID")</x:f>
        <x:v>Unspecified</x:v>
      </x:c>
      <x:c r="R187" s="4" t="str">
        <x:f>IF(L187="Withheld","Withheld premise",IF(E187="Tool candidate","Reusable prerequisite",IF(K187="Raw entry preparation","Entry-resource preparation",IF(G187="Not applicable","Finished endpoint",IF(OR(IFERROR(INDEX('Crafting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routes'!$D$6:$D$1005,MATCH(U187,'Material routes'!$A$6:$A$1005,0)),"MISSING ID")</x:f>
        <x:v>proposal.branch.drawn_copper</x:v>
      </x:c>
      <x:c r="T187" s="4" t="str">
        <x:f>IFERROR(INDEX('Material routes'!$D$6:$D$1005,MATCH(V187,'Material routes'!$A$6:$A$1005,0)),"MISSING ID")</x:f>
        <x:v>proposal.t3.feedthrough_blank</x:v>
      </x:c>
      <x:c r="U187" s="4" t="str">
        <x:v>design.t3.feedthrough_blank.in.2</x:v>
      </x:c>
      <x:c r="V187" s="4" t="str">
        <x:v>design.t3.feedthrough_blank.out</x:v>
      </x:c>
    </x:row>
    <x:row r="188" ht="115" customHeight="1">
      <x:c r="A188" s="4" t="str">
        <x:f>IFERROR(INDEX('Material routes'!$E$6:$E$1005,MATCH(U188,'Material routes'!$A$6:$A$1005,0)),"MISSING ID")</x:f>
        <x:v>Filled faunal seal compound</x:v>
      </x:c>
      <x:c r="B188" s="4" t="str">
        <x:f>IFERROR(INDEX('Material routes'!$F$6:$F$1005,MATCH(U188,'Material routes'!$A$6:$A$1005,0)),"MISSING ID")</x:f>
        <x:v>T2</x:v>
      </x:c>
      <x:c r="C188" s="4" t="str">
        <x:f>IFERROR(INDEX('Material routes'!$H$6:$H$1005,MATCH(U188,'Material routes'!$A$6:$A$1005,0)),"MISSING ID")</x:f>
        <x:v>Chemical material</x:v>
      </x:c>
      <x:c r="D188" s="4" t="str">
        <x:f>IFERROR(INDEX('Material routes'!$G$6:$G$1005,MATCH(U188,'Material routes'!$A$6:$A$1005,0)),"MISSING ID")</x:f>
        <x:v>Resources</x:v>
      </x:c>
      <x:c r="E188" s="4" t="str">
        <x:f>IFERROR(INDEX('Material routes'!$C$6:$C$1005,MATCH(U188,'Material routes'!$A$6:$A$1005,0)),"MISSING ID")</x:f>
        <x:v>Ingredient candidate</x:v>
      </x:c>
      <x:c r="F188" s="4" t="str">
        <x:f>IFERROR(INDEX('Material routes'!$E$6:$E$1005,MATCH(V188,'Material routes'!$A$6:$A$1005,0)),"MISSING ID")</x:f>
        <x:v>Ceramic-metal feedthrough blanks</x:v>
      </x:c>
      <x:c r="G188" s="4" t="str">
        <x:f>IFERROR(INDEX('Material routes'!$F$6:$F$1005,MATCH(V188,'Material routes'!$A$6:$A$1005,0)),"MISSING ID")</x:f>
        <x:v>T3</x:v>
      </x:c>
      <x:c r="H188" s="4" t="str">
        <x:f>IFERROR(INDEX('Material routes'!$H$6:$H$1005,MATCH(V188,'Material routes'!$A$6:$A$1005,0)),"MISSING ID")</x:f>
        <x:v>Crafting component</x:v>
      </x:c>
      <x:c r="I188" s="4" t="str">
        <x:f>IFERROR(INDEX('Material routes'!$G$6:$G$1005,MATCH(V188,'Material routes'!$A$6:$A$1005,0)),"MISSING ID")</x:f>
        <x:v>Crafting components</x:v>
      </x:c>
      <x:c r="J188" s="4" t="str">
        <x:f>IFERROR(INDEX('Material routes'!$B$6:$B$1005,MATCH(U188,'Material routes'!$A$6:$A$1005,0)),"MISSING ID")</x:f>
        <x:v>design.t3.feedthrough_blank</x:v>
      </x:c>
      <x:c r="K188" s="4" t="str">
        <x:f>IFERROR(INDEX('Crafting recipes'!$C$6:$C$1005,MATCH(J188,'Crafting recipes'!$A$6:$A$1005,0)),"MISSING ID")</x:f>
        <x:v>Material refinement</x:v>
      </x:c>
      <x:c r="L188" s="4" t="str">
        <x:f>IFERROR(INDEX('Material routes'!$K$6:$K$1005,MATCH(U188,'Material routes'!$A$6:$A$1005,0)),"MISSING ID")</x:f>
        <x:v>Proposal</x:v>
      </x:c>
      <x:c r="M188" s="4" t="str">
        <x:f>IFERROR(INDEX('Material routes'!$M$6:$M$1005,MATCH(U188,'Material routes'!$A$6:$A$1005,0)),"MISSING ID")</x:f>
        <x:v>Partial proposal</x:v>
      </x:c>
      <x:c r="N188" s="4" t="str">
        <x:f>IF(IFERROR(INDEX('Material routes'!$I$6:$I$1005,MATCH(U188,'Material routes'!$A$6:$A$1005,0)),"MISSING ID")=0,"",IFERROR(INDEX('Material routes'!$I$6:$I$1005,MATCH(U188,'Material routes'!$A$6:$A$1005,0)),"MISSING ID"))</x:f>
      </x:c>
      <x:c r="O188" s="4" t="str">
        <x:f>IFERROR(INDEX('Material routes'!$J$6:$J$1005,MATCH(U188,'Material routes'!$A$6:$A$1005,0)),"MISSING ID")</x:f>
        <x:v>Unspecified</x:v>
      </x:c>
      <x:c r="P188" s="4" t="str">
        <x:f>IF(IFERROR(INDEX('Material routes'!$I$6:$I$1005,MATCH(V188,'Material routes'!$A$6:$A$1005,0)),"MISSING ID")=0,"",IFERROR(INDEX('Material routes'!$I$6:$I$1005,MATCH(V188,'Material routes'!$A$6:$A$1005,0)),"MISSING ID"))</x:f>
      </x:c>
      <x:c r="Q188" s="4" t="str">
        <x:f>IFERROR(INDEX('Material routes'!$J$6:$J$1005,MATCH(V188,'Material routes'!$A$6:$A$1005,0)),"MISSING ID")</x:f>
        <x:v>Unspecified</x:v>
      </x:c>
      <x:c r="R188" s="4" t="str">
        <x:f>IF(L188="Withheld","Withheld premise",IF(E188="Tool candidate","Reusable prerequisite",IF(K188="Raw entry preparation","Entry-resource preparation",IF(G188="Not applicable","Finished endpoint",IF(OR(IFERROR(INDEX('Crafting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routes'!$D$6:$D$1005,MATCH(U188,'Material routes'!$A$6:$A$1005,0)),"MISSING ID")</x:f>
        <x:v>proposal.branch.filled_seal</x:v>
      </x:c>
      <x:c r="T188" s="4" t="str">
        <x:f>IFERROR(INDEX('Material routes'!$D$6:$D$1005,MATCH(V188,'Material routes'!$A$6:$A$1005,0)),"MISSING ID")</x:f>
        <x:v>proposal.t3.feedthrough_blank</x:v>
      </x:c>
      <x:c r="U188" s="4" t="str">
        <x:v>design.t3.feedthrough_blank.in.3</x:v>
      </x:c>
      <x:c r="V188" s="4" t="str">
        <x:v>design.t3.feedthrough_blank.out</x:v>
      </x:c>
    </x:row>
    <x:row r="189" ht="115" customHeight="1">
      <x:c r="A189" s="4" t="str">
        <x:f>IFERROR(INDEX('Material routes'!$E$6:$E$1005,MATCH(U189,'Material routes'!$A$6:$A$1005,0)),"MISSING ID")</x:f>
        <x:v>Insulating ceramic blanks</x:v>
      </x:c>
      <x:c r="B189" s="4" t="str">
        <x:f>IFERROR(INDEX('Material routes'!$F$6:$F$1005,MATCH(U189,'Material routes'!$A$6:$A$1005,0)),"MISSING ID")</x:f>
        <x:v>T2</x:v>
      </x:c>
      <x:c r="C189" s="4" t="str">
        <x:f>IFERROR(INDEX('Material routes'!$H$6:$H$1005,MATCH(U189,'Material routes'!$A$6:$A$1005,0)),"MISSING ID")</x:f>
        <x:v>Processed material</x:v>
      </x:c>
      <x:c r="D189" s="4" t="str">
        <x:f>IFERROR(INDEX('Material routes'!$G$6:$G$1005,MATCH(U189,'Material routes'!$A$6:$A$1005,0)),"MISSING ID")</x:f>
        <x:v>Resources</x:v>
      </x:c>
      <x:c r="E189" s="4" t="str">
        <x:f>IFERROR(INDEX('Material routes'!$C$6:$C$1005,MATCH(U189,'Material routes'!$A$6:$A$1005,0)),"MISSING ID")</x:f>
        <x:v>Ingredient candidate</x:v>
      </x:c>
      <x:c r="F189" s="4" t="str">
        <x:f>IFERROR(INDEX('Material routes'!$E$6:$E$1005,MATCH(V189,'Material routes'!$A$6:$A$1005,0)),"MISSING ID")</x:f>
        <x:v>Matched ceramic spacer sets</x:v>
      </x:c>
      <x:c r="G189" s="4" t="str">
        <x:f>IFERROR(INDEX('Material routes'!$F$6:$F$1005,MATCH(V189,'Material routes'!$A$6:$A$1005,0)),"MISSING ID")</x:f>
        <x:v>T3</x:v>
      </x:c>
      <x:c r="H189" s="4" t="str">
        <x:f>IFERROR(INDEX('Material routes'!$H$6:$H$1005,MATCH(V189,'Material routes'!$A$6:$A$1005,0)),"MISSING ID")</x:f>
        <x:v>Crafting component</x:v>
      </x:c>
      <x:c r="I189" s="4" t="str">
        <x:f>IFERROR(INDEX('Material routes'!$G$6:$G$1005,MATCH(V189,'Material routes'!$A$6:$A$1005,0)),"MISSING ID")</x:f>
        <x:v>Crafting components</x:v>
      </x:c>
      <x:c r="J189" s="4" t="str">
        <x:f>IFERROR(INDEX('Material routes'!$B$6:$B$1005,MATCH(U189,'Material routes'!$A$6:$A$1005,0)),"MISSING ID")</x:f>
        <x:v>design.t3.spacer_set</x:v>
      </x:c>
      <x:c r="K189" s="4" t="str">
        <x:f>IFERROR(INDEX('Crafting recipes'!$C$6:$C$1005,MATCH(J189,'Crafting recipes'!$A$6:$A$1005,0)),"MISSING ID")</x:f>
        <x:v>Material refinement</x:v>
      </x:c>
      <x:c r="L189" s="4" t="str">
        <x:f>IFERROR(INDEX('Material routes'!$K$6:$K$1005,MATCH(U189,'Material routes'!$A$6:$A$1005,0)),"MISSING ID")</x:f>
        <x:v>Proposal</x:v>
      </x:c>
      <x:c r="M189" s="4" t="str">
        <x:f>IFERROR(INDEX('Material routes'!$M$6:$M$1005,MATCH(U189,'Material routes'!$A$6:$A$1005,0)),"MISSING ID")</x:f>
        <x:v>Partial proposal</x:v>
      </x:c>
      <x:c r="N189" s="4" t="str">
        <x:f>IF(IFERROR(INDEX('Material routes'!$I$6:$I$1005,MATCH(U189,'Material routes'!$A$6:$A$1005,0)),"MISSING ID")=0,"",IFERROR(INDEX('Material routes'!$I$6:$I$1005,MATCH(U189,'Material routes'!$A$6:$A$1005,0)),"MISSING ID"))</x:f>
      </x:c>
      <x:c r="O189" s="4" t="str">
        <x:f>IFERROR(INDEX('Material routes'!$J$6:$J$1005,MATCH(U189,'Material routes'!$A$6:$A$1005,0)),"MISSING ID")</x:f>
        <x:v>Unspecified</x:v>
      </x:c>
      <x:c r="P189" s="4" t="str">
        <x:f>IF(IFERROR(INDEX('Material routes'!$I$6:$I$1005,MATCH(V189,'Material routes'!$A$6:$A$1005,0)),"MISSING ID")=0,"",IFERROR(INDEX('Material routes'!$I$6:$I$1005,MATCH(V189,'Material routes'!$A$6:$A$1005,0)),"MISSING ID"))</x:f>
      </x:c>
      <x:c r="Q189" s="4" t="str">
        <x:f>IFERROR(INDEX('Material routes'!$J$6:$J$1005,MATCH(V189,'Material routes'!$A$6:$A$1005,0)),"MISSING ID")</x:f>
        <x:v>Unspecified</x:v>
      </x:c>
      <x:c r="R189" s="4" t="str">
        <x:f>IF(L189="Withheld","Withheld premise",IF(E189="Tool candidate","Reusable prerequisite",IF(K189="Raw entry preparation","Entry-resource preparation",IF(G189="Not applicable","Finished endpoint",IF(OR(IFERROR(INDEX('Crafting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routes'!$D$6:$D$1005,MATCH(U189,'Material routes'!$A$6:$A$1005,0)),"MISSING ID")</x:f>
        <x:v>proposal.natural.ceramic</x:v>
      </x:c>
      <x:c r="T189" s="4" t="str">
        <x:f>IFERROR(INDEX('Material routes'!$D$6:$D$1005,MATCH(V189,'Material routes'!$A$6:$A$1005,0)),"MISSING ID")</x:f>
        <x:v>proposal.t3.spacer_set</x:v>
      </x:c>
      <x:c r="U189" s="4" t="str">
        <x:v>design.t3.spacer_set.in.1</x:v>
      </x:c>
      <x:c r="V189" s="4" t="str">
        <x:v>design.t3.spacer_set.out</x:v>
      </x:c>
    </x:row>
    <x:row r="190" ht="115" customHeight="1">
      <x:c r="A190" s="4" t="str">
        <x:f>IFERROR(INDEX('Material routes'!$E$6:$E$1005,MATCH(U190,'Material routes'!$A$6:$A$1005,0)),"MISSING ID")</x:f>
        <x:v>Graded abrasive grit</x:v>
      </x:c>
      <x:c r="B190" s="4" t="str">
        <x:f>IFERROR(INDEX('Material routes'!$F$6:$F$1005,MATCH(U190,'Material routes'!$A$6:$A$1005,0)),"MISSING ID")</x:f>
        <x:v>T1</x:v>
      </x:c>
      <x:c r="C190" s="4" t="str">
        <x:f>IFERROR(INDEX('Material routes'!$H$6:$H$1005,MATCH(U190,'Material routes'!$A$6:$A$1005,0)),"MISSING ID")</x:f>
        <x:v>Processed material</x:v>
      </x:c>
      <x:c r="D190" s="4" t="str">
        <x:f>IFERROR(INDEX('Material routes'!$G$6:$G$1005,MATCH(U190,'Material routes'!$A$6:$A$1005,0)),"MISSING ID")</x:f>
        <x:v>Resources</x:v>
      </x:c>
      <x:c r="E190" s="4" t="str">
        <x:f>IFERROR(INDEX('Material routes'!$C$6:$C$1005,MATCH(U190,'Material routes'!$A$6:$A$1005,0)),"MISSING ID")</x:f>
        <x:v>Ingredient candidate</x:v>
      </x:c>
      <x:c r="F190" s="4" t="str">
        <x:f>IFERROR(INDEX('Material routes'!$E$6:$E$1005,MATCH(V190,'Material routes'!$A$6:$A$1005,0)),"MISSING ID")</x:f>
        <x:v>Matched ceramic spacer sets</x:v>
      </x:c>
      <x:c r="G190" s="4" t="str">
        <x:f>IFERROR(INDEX('Material routes'!$F$6:$F$1005,MATCH(V190,'Material routes'!$A$6:$A$1005,0)),"MISSING ID")</x:f>
        <x:v>T3</x:v>
      </x:c>
      <x:c r="H190" s="4" t="str">
        <x:f>IFERROR(INDEX('Material routes'!$H$6:$H$1005,MATCH(V190,'Material routes'!$A$6:$A$1005,0)),"MISSING ID")</x:f>
        <x:v>Crafting component</x:v>
      </x:c>
      <x:c r="I190" s="4" t="str">
        <x:f>IFERROR(INDEX('Material routes'!$G$6:$G$1005,MATCH(V190,'Material routes'!$A$6:$A$1005,0)),"MISSING ID")</x:f>
        <x:v>Crafting components</x:v>
      </x:c>
      <x:c r="J190" s="4" t="str">
        <x:f>IFERROR(INDEX('Material routes'!$B$6:$B$1005,MATCH(U190,'Material routes'!$A$6:$A$1005,0)),"MISSING ID")</x:f>
        <x:v>design.t3.spacer_set</x:v>
      </x:c>
      <x:c r="K190" s="4" t="str">
        <x:f>IFERROR(INDEX('Crafting recipes'!$C$6:$C$1005,MATCH(J190,'Crafting recipes'!$A$6:$A$1005,0)),"MISSING ID")</x:f>
        <x:v>Material refinement</x:v>
      </x:c>
      <x:c r="L190" s="4" t="str">
        <x:f>IFERROR(INDEX('Material routes'!$K$6:$K$1005,MATCH(U190,'Material routes'!$A$6:$A$1005,0)),"MISSING ID")</x:f>
        <x:v>Proposal</x:v>
      </x:c>
      <x:c r="M190" s="4" t="str">
        <x:f>IFERROR(INDEX('Material routes'!$M$6:$M$1005,MATCH(U190,'Material routes'!$A$6:$A$1005,0)),"MISSING ID")</x:f>
        <x:v>Partial proposal</x:v>
      </x:c>
      <x:c r="N190" s="4" t="str">
        <x:f>IF(IFERROR(INDEX('Material routes'!$I$6:$I$1005,MATCH(U190,'Material routes'!$A$6:$A$1005,0)),"MISSING ID")=0,"",IFERROR(INDEX('Material routes'!$I$6:$I$1005,MATCH(U190,'Material routes'!$A$6:$A$1005,0)),"MISSING ID"))</x:f>
      </x:c>
      <x:c r="O190" s="4" t="str">
        <x:f>IFERROR(INDEX('Material routes'!$J$6:$J$1005,MATCH(U190,'Material routes'!$A$6:$A$1005,0)),"MISSING ID")</x:f>
        <x:v>Unspecified</x:v>
      </x:c>
      <x:c r="P190" s="4" t="str">
        <x:f>IF(IFERROR(INDEX('Material routes'!$I$6:$I$1005,MATCH(V190,'Material routes'!$A$6:$A$1005,0)),"MISSING ID")=0,"",IFERROR(INDEX('Material routes'!$I$6:$I$1005,MATCH(V190,'Material routes'!$A$6:$A$1005,0)),"MISSING ID"))</x:f>
      </x:c>
      <x:c r="Q190" s="4" t="str">
        <x:f>IFERROR(INDEX('Material routes'!$J$6:$J$1005,MATCH(V190,'Material routes'!$A$6:$A$1005,0)),"MISSING ID")</x:f>
        <x:v>Unspecified</x:v>
      </x:c>
      <x:c r="R190" s="4" t="str">
        <x:f>IF(L190="Withheld","Withheld premise",IF(E190="Tool candidate","Reusable prerequisite",IF(K190="Raw entry preparation","Entry-resource preparation",IF(G190="Not applicable","Finished endpoint",IF(OR(IFERROR(INDEX('Crafting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routes'!$D$6:$D$1005,MATCH(U190,'Material routes'!$A$6:$A$1005,0)),"MISSING ID")</x:f>
        <x:v>proposal.natural.abrasive</x:v>
      </x:c>
      <x:c r="T190" s="4" t="str">
        <x:f>IFERROR(INDEX('Material routes'!$D$6:$D$1005,MATCH(V190,'Material routes'!$A$6:$A$1005,0)),"MISSING ID")</x:f>
        <x:v>proposal.t3.spacer_set</x:v>
      </x:c>
      <x:c r="U190" s="4" t="str">
        <x:v>design.t3.spacer_set.in.2</x:v>
      </x:c>
      <x:c r="V190" s="4" t="str">
        <x:v>design.t3.spacer_set.out</x:v>
      </x:c>
    </x:row>
    <x:row r="191" ht="115" customHeight="1">
      <x:c r="A191" s="4" t="str">
        <x:f>IFERROR(INDEX('Material routes'!$E$6:$E$1005,MATCH(U191,'Material routes'!$A$6:$A$1005,0)),"MISSING ID")</x:f>
        <x:v>Drawn copper stock</x:v>
      </x:c>
      <x:c r="B191" s="4" t="str">
        <x:f>IFERROR(INDEX('Material routes'!$F$6:$F$1005,MATCH(U191,'Material routes'!$A$6:$A$1005,0)),"MISSING ID")</x:f>
        <x:v>T2</x:v>
      </x:c>
      <x:c r="C191" s="4" t="str">
        <x:f>IFERROR(INDEX('Material routes'!$H$6:$H$1005,MATCH(U191,'Material routes'!$A$6:$A$1005,0)),"MISSING ID")</x:f>
        <x:v>Processed material</x:v>
      </x:c>
      <x:c r="D191" s="4" t="str">
        <x:f>IFERROR(INDEX('Material routes'!$G$6:$G$1005,MATCH(U191,'Material routes'!$A$6:$A$1005,0)),"MISSING ID")</x:f>
        <x:v>Resources</x:v>
      </x:c>
      <x:c r="E191" s="4" t="str">
        <x:f>IFERROR(INDEX('Material routes'!$C$6:$C$1005,MATCH(U191,'Material routes'!$A$6:$A$1005,0)),"MISSING ID")</x:f>
        <x:v>Ingredient candidate</x:v>
      </x:c>
      <x:c r="F191" s="4" t="str">
        <x:f>IFERROR(INDEX('Material routes'!$E$6:$E$1005,MATCH(V191,'Material routes'!$A$6:$A$1005,0)),"MISSING ID")</x:f>
        <x:v>Polished copper reflector blanks</x:v>
      </x:c>
      <x:c r="G191" s="4" t="str">
        <x:f>IFERROR(INDEX('Material routes'!$F$6:$F$1005,MATCH(V191,'Material routes'!$A$6:$A$1005,0)),"MISSING ID")</x:f>
        <x:v>T3</x:v>
      </x:c>
      <x:c r="H191" s="4" t="str">
        <x:f>IFERROR(INDEX('Material routes'!$H$6:$H$1005,MATCH(V191,'Material routes'!$A$6:$A$1005,0)),"MISSING ID")</x:f>
        <x:v>Processed material</x:v>
      </x:c>
      <x:c r="I191" s="4" t="str">
        <x:f>IFERROR(INDEX('Material routes'!$G$6:$G$1005,MATCH(V191,'Material routes'!$A$6:$A$1005,0)),"MISSING ID")</x:f>
        <x:v>Resources</x:v>
      </x:c>
      <x:c r="J191" s="4" t="str">
        <x:f>IFERROR(INDEX('Material routes'!$B$6:$B$1005,MATCH(U191,'Material routes'!$A$6:$A$1005,0)),"MISSING ID")</x:f>
        <x:v>design.t3.reflector_stock</x:v>
      </x:c>
      <x:c r="K191" s="4" t="str">
        <x:f>IFERROR(INDEX('Crafting recipes'!$C$6:$C$1005,MATCH(J191,'Crafting recipes'!$A$6:$A$1005,0)),"MISSING ID")</x:f>
        <x:v>Material refinement</x:v>
      </x:c>
      <x:c r="L191" s="4" t="str">
        <x:f>IFERROR(INDEX('Material routes'!$K$6:$K$1005,MATCH(U191,'Material routes'!$A$6:$A$1005,0)),"MISSING ID")</x:f>
        <x:v>Proposal</x:v>
      </x:c>
      <x:c r="M191" s="4" t="str">
        <x:f>IFERROR(INDEX('Material routes'!$M$6:$M$1005,MATCH(U191,'Material routes'!$A$6:$A$1005,0)),"MISSING ID")</x:f>
        <x:v>Partial proposal</x:v>
      </x:c>
      <x:c r="N191" s="4" t="str">
        <x:f>IF(IFERROR(INDEX('Material routes'!$I$6:$I$1005,MATCH(U191,'Material routes'!$A$6:$A$1005,0)),"MISSING ID")=0,"",IFERROR(INDEX('Material routes'!$I$6:$I$1005,MATCH(U191,'Material routes'!$A$6:$A$1005,0)),"MISSING ID"))</x:f>
      </x:c>
      <x:c r="O191" s="4" t="str">
        <x:f>IFERROR(INDEX('Material routes'!$J$6:$J$1005,MATCH(U191,'Material routes'!$A$6:$A$1005,0)),"MISSING ID")</x:f>
        <x:v>Unspecified</x:v>
      </x:c>
      <x:c r="P191" s="4" t="str">
        <x:f>IF(IFERROR(INDEX('Material routes'!$I$6:$I$1005,MATCH(V191,'Material routes'!$A$6:$A$1005,0)),"MISSING ID")=0,"",IFERROR(INDEX('Material routes'!$I$6:$I$1005,MATCH(V191,'Material routes'!$A$6:$A$1005,0)),"MISSING ID"))</x:f>
      </x:c>
      <x:c r="Q191" s="4" t="str">
        <x:f>IFERROR(INDEX('Material routes'!$J$6:$J$1005,MATCH(V191,'Material routes'!$A$6:$A$1005,0)),"MISSING ID")</x:f>
        <x:v>Unspecified</x:v>
      </x:c>
      <x:c r="R191" s="4" t="str">
        <x:f>IF(L191="Withheld","Withheld premise",IF(E191="Tool candidate","Reusable prerequisite",IF(K191="Raw entry preparation","Entry-resource preparation",IF(G191="Not applicable","Finished endpoint",IF(OR(IFERROR(INDEX('Crafting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routes'!$D$6:$D$1005,MATCH(U191,'Material routes'!$A$6:$A$1005,0)),"MISSING ID")</x:f>
        <x:v>proposal.branch.drawn_copper</x:v>
      </x:c>
      <x:c r="T191" s="4" t="str">
        <x:f>IFERROR(INDEX('Material routes'!$D$6:$D$1005,MATCH(V191,'Material routes'!$A$6:$A$1005,0)),"MISSING ID")</x:f>
        <x:v>proposal.t3.reflector_stock</x:v>
      </x:c>
      <x:c r="U191" s="4" t="str">
        <x:v>design.t3.reflector_stock.in.1</x:v>
      </x:c>
      <x:c r="V191" s="4" t="str">
        <x:v>design.t3.reflector_stock.out</x:v>
      </x:c>
    </x:row>
    <x:row r="192" ht="115" customHeight="1">
      <x:c r="A192" s="4" t="str">
        <x:f>IFERROR(INDEX('Material routes'!$E$6:$E$1005,MATCH(U192,'Material routes'!$A$6:$A$1005,0)),"MISSING ID")</x:f>
        <x:v>Graded abrasive grit</x:v>
      </x:c>
      <x:c r="B192" s="4" t="str">
        <x:f>IFERROR(INDEX('Material routes'!$F$6:$F$1005,MATCH(U192,'Material routes'!$A$6:$A$1005,0)),"MISSING ID")</x:f>
        <x:v>T1</x:v>
      </x:c>
      <x:c r="C192" s="4" t="str">
        <x:f>IFERROR(INDEX('Material routes'!$H$6:$H$1005,MATCH(U192,'Material routes'!$A$6:$A$1005,0)),"MISSING ID")</x:f>
        <x:v>Processed material</x:v>
      </x:c>
      <x:c r="D192" s="4" t="str">
        <x:f>IFERROR(INDEX('Material routes'!$G$6:$G$1005,MATCH(U192,'Material routes'!$A$6:$A$1005,0)),"MISSING ID")</x:f>
        <x:v>Resources</x:v>
      </x:c>
      <x:c r="E192" s="4" t="str">
        <x:f>IFERROR(INDEX('Material routes'!$C$6:$C$1005,MATCH(U192,'Material routes'!$A$6:$A$1005,0)),"MISSING ID")</x:f>
        <x:v>Ingredient candidate</x:v>
      </x:c>
      <x:c r="F192" s="4" t="str">
        <x:f>IFERROR(INDEX('Material routes'!$E$6:$E$1005,MATCH(V192,'Material routes'!$A$6:$A$1005,0)),"MISSING ID")</x:f>
        <x:v>Polished copper reflector blanks</x:v>
      </x:c>
      <x:c r="G192" s="4" t="str">
        <x:f>IFERROR(INDEX('Material routes'!$F$6:$F$1005,MATCH(V192,'Material routes'!$A$6:$A$1005,0)),"MISSING ID")</x:f>
        <x:v>T3</x:v>
      </x:c>
      <x:c r="H192" s="4" t="str">
        <x:f>IFERROR(INDEX('Material routes'!$H$6:$H$1005,MATCH(V192,'Material routes'!$A$6:$A$1005,0)),"MISSING ID")</x:f>
        <x:v>Processed material</x:v>
      </x:c>
      <x:c r="I192" s="4" t="str">
        <x:f>IFERROR(INDEX('Material routes'!$G$6:$G$1005,MATCH(V192,'Material routes'!$A$6:$A$1005,0)),"MISSING ID")</x:f>
        <x:v>Resources</x:v>
      </x:c>
      <x:c r="J192" s="4" t="str">
        <x:f>IFERROR(INDEX('Material routes'!$B$6:$B$1005,MATCH(U192,'Material routes'!$A$6:$A$1005,0)),"MISSING ID")</x:f>
        <x:v>design.t3.reflector_stock</x:v>
      </x:c>
      <x:c r="K192" s="4" t="str">
        <x:f>IFERROR(INDEX('Crafting recipes'!$C$6:$C$1005,MATCH(J192,'Crafting recipes'!$A$6:$A$1005,0)),"MISSING ID")</x:f>
        <x:v>Material refinement</x:v>
      </x:c>
      <x:c r="L192" s="4" t="str">
        <x:f>IFERROR(INDEX('Material routes'!$K$6:$K$1005,MATCH(U192,'Material routes'!$A$6:$A$1005,0)),"MISSING ID")</x:f>
        <x:v>Proposal</x:v>
      </x:c>
      <x:c r="M192" s="4" t="str">
        <x:f>IFERROR(INDEX('Material routes'!$M$6:$M$1005,MATCH(U192,'Material routes'!$A$6:$A$1005,0)),"MISSING ID")</x:f>
        <x:v>Partial proposal</x:v>
      </x:c>
      <x:c r="N192" s="4" t="str">
        <x:f>IF(IFERROR(INDEX('Material routes'!$I$6:$I$1005,MATCH(U192,'Material routes'!$A$6:$A$1005,0)),"MISSING ID")=0,"",IFERROR(INDEX('Material routes'!$I$6:$I$1005,MATCH(U192,'Material routes'!$A$6:$A$1005,0)),"MISSING ID"))</x:f>
      </x:c>
      <x:c r="O192" s="4" t="str">
        <x:f>IFERROR(INDEX('Material routes'!$J$6:$J$1005,MATCH(U192,'Material routes'!$A$6:$A$1005,0)),"MISSING ID")</x:f>
        <x:v>Unspecified</x:v>
      </x:c>
      <x:c r="P192" s="4" t="str">
        <x:f>IF(IFERROR(INDEX('Material routes'!$I$6:$I$1005,MATCH(V192,'Material routes'!$A$6:$A$1005,0)),"MISSING ID")=0,"",IFERROR(INDEX('Material routes'!$I$6:$I$1005,MATCH(V192,'Material routes'!$A$6:$A$1005,0)),"MISSING ID"))</x:f>
      </x:c>
      <x:c r="Q192" s="4" t="str">
        <x:f>IFERROR(INDEX('Material routes'!$J$6:$J$1005,MATCH(V192,'Material routes'!$A$6:$A$1005,0)),"MISSING ID")</x:f>
        <x:v>Unspecified</x:v>
      </x:c>
      <x:c r="R192" s="4" t="str">
        <x:f>IF(L192="Withheld","Withheld premise",IF(E192="Tool candidate","Reusable prerequisite",IF(K192="Raw entry preparation","Entry-resource preparation",IF(G192="Not applicable","Finished endpoint",IF(OR(IFERROR(INDEX('Crafting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routes'!$D$6:$D$1005,MATCH(U192,'Material routes'!$A$6:$A$1005,0)),"MISSING ID")</x:f>
        <x:v>proposal.natural.abrasive</x:v>
      </x:c>
      <x:c r="T192" s="4" t="str">
        <x:f>IFERROR(INDEX('Material routes'!$D$6:$D$1005,MATCH(V192,'Material routes'!$A$6:$A$1005,0)),"MISSING ID")</x:f>
        <x:v>proposal.t3.reflector_stock</x:v>
      </x:c>
      <x:c r="U192" s="4" t="str">
        <x:v>design.t3.reflector_stock.in.2</x:v>
      </x:c>
      <x:c r="V192" s="4" t="str">
        <x:v>design.t3.reflector_stock.out</x:v>
      </x:c>
    </x:row>
    <x:row r="193" ht="115" customHeight="1">
      <x:c r="A193" s="4" t="str">
        <x:f>IFERROR(INDEX('Material routes'!$E$6:$E$1005,MATCH(U193,'Material routes'!$A$6:$A$1005,0)),"MISSING ID")</x:f>
        <x:v>Bonded husk sheet</x:v>
      </x:c>
      <x:c r="B193" s="4" t="str">
        <x:f>IFERROR(INDEX('Material routes'!$F$6:$F$1005,MATCH(U193,'Material routes'!$A$6:$A$1005,0)),"MISSING ID")</x:f>
        <x:v>T2</x:v>
      </x:c>
      <x:c r="C193" s="4" t="str">
        <x:f>IFERROR(INDEX('Material routes'!$H$6:$H$1005,MATCH(U193,'Material routes'!$A$6:$A$1005,0)),"MISSING ID")</x:f>
        <x:v>Processed material</x:v>
      </x:c>
      <x:c r="D193" s="4" t="str">
        <x:f>IFERROR(INDEX('Material routes'!$G$6:$G$1005,MATCH(U193,'Material routes'!$A$6:$A$1005,0)),"MISSING ID")</x:f>
        <x:v>Resources</x:v>
      </x:c>
      <x:c r="E193" s="4" t="str">
        <x:f>IFERROR(INDEX('Material routes'!$C$6:$C$1005,MATCH(U193,'Material routes'!$A$6:$A$1005,0)),"MISSING ID")</x:f>
        <x:v>Ingredient candidate</x:v>
      </x:c>
      <x:c r="F193" s="4" t="str">
        <x:f>IFERROR(INDEX('Material routes'!$E$6:$E$1005,MATCH(V193,'Material routes'!$A$6:$A$1005,0)),"MISSING ID")</x:f>
        <x:v>Husk-reinforced packing stock</x:v>
      </x:c>
      <x:c r="G193" s="4" t="str">
        <x:f>IFERROR(INDEX('Material routes'!$F$6:$F$1005,MATCH(V193,'Material routes'!$A$6:$A$1005,0)),"MISSING ID")</x:f>
        <x:v>T3</x:v>
      </x:c>
      <x:c r="H193" s="4" t="str">
        <x:f>IFERROR(INDEX('Material routes'!$H$6:$H$1005,MATCH(V193,'Material routes'!$A$6:$A$1005,0)),"MISSING ID")</x:f>
        <x:v>Processed material</x:v>
      </x:c>
      <x:c r="I193" s="4" t="str">
        <x:f>IFERROR(INDEX('Material routes'!$G$6:$G$1005,MATCH(V193,'Material routes'!$A$6:$A$1005,0)),"MISSING ID")</x:f>
        <x:v>Resources</x:v>
      </x:c>
      <x:c r="J193" s="4" t="str">
        <x:f>IFERROR(INDEX('Material routes'!$B$6:$B$1005,MATCH(U193,'Material routes'!$A$6:$A$1005,0)),"MISSING ID")</x:f>
        <x:v>design.t3.packing_stock</x:v>
      </x:c>
      <x:c r="K193" s="4" t="str">
        <x:f>IFERROR(INDEX('Crafting recipes'!$C$6:$C$1005,MATCH(J193,'Crafting recipes'!$A$6:$A$1005,0)),"MISSING ID")</x:f>
        <x:v>Material refinement</x:v>
      </x:c>
      <x:c r="L193" s="4" t="str">
        <x:f>IFERROR(INDEX('Material routes'!$K$6:$K$1005,MATCH(U193,'Material routes'!$A$6:$A$1005,0)),"MISSING ID")</x:f>
        <x:v>Proposal</x:v>
      </x:c>
      <x:c r="M193" s="4" t="str">
        <x:f>IFERROR(INDEX('Material routes'!$M$6:$M$1005,MATCH(U193,'Material routes'!$A$6:$A$1005,0)),"MISSING ID")</x:f>
        <x:v>Partial proposal</x:v>
      </x:c>
      <x:c r="N193" s="4" t="str">
        <x:f>IF(IFERROR(INDEX('Material routes'!$I$6:$I$1005,MATCH(U193,'Material routes'!$A$6:$A$1005,0)),"MISSING ID")=0,"",IFERROR(INDEX('Material routes'!$I$6:$I$1005,MATCH(U193,'Material routes'!$A$6:$A$1005,0)),"MISSING ID"))</x:f>
      </x:c>
      <x:c r="O193" s="4" t="str">
        <x:f>IFERROR(INDEX('Material routes'!$J$6:$J$1005,MATCH(U193,'Material routes'!$A$6:$A$1005,0)),"MISSING ID")</x:f>
        <x:v>Unspecified</x:v>
      </x:c>
      <x:c r="P193" s="4" t="str">
        <x:f>IF(IFERROR(INDEX('Material routes'!$I$6:$I$1005,MATCH(V193,'Material routes'!$A$6:$A$1005,0)),"MISSING ID")=0,"",IFERROR(INDEX('Material routes'!$I$6:$I$1005,MATCH(V193,'Material routes'!$A$6:$A$1005,0)),"MISSING ID"))</x:f>
      </x:c>
      <x:c r="Q193" s="4" t="str">
        <x:f>IFERROR(INDEX('Material routes'!$J$6:$J$1005,MATCH(V193,'Material routes'!$A$6:$A$1005,0)),"MISSING ID")</x:f>
        <x:v>Unspecified</x:v>
      </x:c>
      <x:c r="R193" s="4" t="str">
        <x:f>IF(L193="Withheld","Withheld premise",IF(E193="Tool candidate","Reusable prerequisite",IF(K193="Raw entry preparation","Entry-resource preparation",IF(G193="Not applicable","Finished endpoint",IF(OR(IFERROR(INDEX('Crafting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routes'!$D$6:$D$1005,MATCH(U193,'Material routes'!$A$6:$A$1005,0)),"MISSING ID")</x:f>
        <x:v>proposal.branch.husk_sheet</x:v>
      </x:c>
      <x:c r="T193" s="4" t="str">
        <x:f>IFERROR(INDEX('Material routes'!$D$6:$D$1005,MATCH(V193,'Material routes'!$A$6:$A$1005,0)),"MISSING ID")</x:f>
        <x:v>proposal.t3.packing_stock</x:v>
      </x:c>
      <x:c r="U193" s="4" t="str">
        <x:v>design.t3.packing_stock.in.1</x:v>
      </x:c>
      <x:c r="V193" s="4" t="str">
        <x:v>design.t3.packing_stock.out</x:v>
      </x:c>
    </x:row>
    <x:row r="194" ht="115" customHeight="1">
      <x:c r="A194" s="4" t="str">
        <x:f>IFERROR(INDEX('Material routes'!$E$6:$E$1005,MATCH(U194,'Material routes'!$A$6:$A$1005,0)),"MISSING ID")</x:f>
        <x:v>Filled faunal seal compound</x:v>
      </x:c>
      <x:c r="B194" s="4" t="str">
        <x:f>IFERROR(INDEX('Material routes'!$F$6:$F$1005,MATCH(U194,'Material routes'!$A$6:$A$1005,0)),"MISSING ID")</x:f>
        <x:v>T2</x:v>
      </x:c>
      <x:c r="C194" s="4" t="str">
        <x:f>IFERROR(INDEX('Material routes'!$H$6:$H$1005,MATCH(U194,'Material routes'!$A$6:$A$1005,0)),"MISSING ID")</x:f>
        <x:v>Chemical material</x:v>
      </x:c>
      <x:c r="D194" s="4" t="str">
        <x:f>IFERROR(INDEX('Material routes'!$G$6:$G$1005,MATCH(U194,'Material routes'!$A$6:$A$1005,0)),"MISSING ID")</x:f>
        <x:v>Resources</x:v>
      </x:c>
      <x:c r="E194" s="4" t="str">
        <x:f>IFERROR(INDEX('Material routes'!$C$6:$C$1005,MATCH(U194,'Material routes'!$A$6:$A$1005,0)),"MISSING ID")</x:f>
        <x:v>Ingredient candidate</x:v>
      </x:c>
      <x:c r="F194" s="4" t="str">
        <x:f>IFERROR(INDEX('Material routes'!$E$6:$E$1005,MATCH(V194,'Material routes'!$A$6:$A$1005,0)),"MISSING ID")</x:f>
        <x:v>Husk-reinforced packing stock</x:v>
      </x:c>
      <x:c r="G194" s="4" t="str">
        <x:f>IFERROR(INDEX('Material routes'!$F$6:$F$1005,MATCH(V194,'Material routes'!$A$6:$A$1005,0)),"MISSING ID")</x:f>
        <x:v>T3</x:v>
      </x:c>
      <x:c r="H194" s="4" t="str">
        <x:f>IFERROR(INDEX('Material routes'!$H$6:$H$1005,MATCH(V194,'Material routes'!$A$6:$A$1005,0)),"MISSING ID")</x:f>
        <x:v>Processed material</x:v>
      </x:c>
      <x:c r="I194" s="4" t="str">
        <x:f>IFERROR(INDEX('Material routes'!$G$6:$G$1005,MATCH(V194,'Material routes'!$A$6:$A$1005,0)),"MISSING ID")</x:f>
        <x:v>Resources</x:v>
      </x:c>
      <x:c r="J194" s="4" t="str">
        <x:f>IFERROR(INDEX('Material routes'!$B$6:$B$1005,MATCH(U194,'Material routes'!$A$6:$A$1005,0)),"MISSING ID")</x:f>
        <x:v>design.t3.packing_stock</x:v>
      </x:c>
      <x:c r="K194" s="4" t="str">
        <x:f>IFERROR(INDEX('Crafting recipes'!$C$6:$C$1005,MATCH(J194,'Crafting recipes'!$A$6:$A$1005,0)),"MISSING ID")</x:f>
        <x:v>Material refinement</x:v>
      </x:c>
      <x:c r="L194" s="4" t="str">
        <x:f>IFERROR(INDEX('Material routes'!$K$6:$K$1005,MATCH(U194,'Material routes'!$A$6:$A$1005,0)),"MISSING ID")</x:f>
        <x:v>Proposal</x:v>
      </x:c>
      <x:c r="M194" s="4" t="str">
        <x:f>IFERROR(INDEX('Material routes'!$M$6:$M$1005,MATCH(U194,'Material routes'!$A$6:$A$1005,0)),"MISSING ID")</x:f>
        <x:v>Partial proposal</x:v>
      </x:c>
      <x:c r="N194" s="4" t="str">
        <x:f>IF(IFERROR(INDEX('Material routes'!$I$6:$I$1005,MATCH(U194,'Material routes'!$A$6:$A$1005,0)),"MISSING ID")=0,"",IFERROR(INDEX('Material routes'!$I$6:$I$1005,MATCH(U194,'Material routes'!$A$6:$A$1005,0)),"MISSING ID"))</x:f>
      </x:c>
      <x:c r="O194" s="4" t="str">
        <x:f>IFERROR(INDEX('Material routes'!$J$6:$J$1005,MATCH(U194,'Material routes'!$A$6:$A$1005,0)),"MISSING ID")</x:f>
        <x:v>Unspecified</x:v>
      </x:c>
      <x:c r="P194" s="4" t="str">
        <x:f>IF(IFERROR(INDEX('Material routes'!$I$6:$I$1005,MATCH(V194,'Material routes'!$A$6:$A$1005,0)),"MISSING ID")=0,"",IFERROR(INDEX('Material routes'!$I$6:$I$1005,MATCH(V194,'Material routes'!$A$6:$A$1005,0)),"MISSING ID"))</x:f>
      </x:c>
      <x:c r="Q194" s="4" t="str">
        <x:f>IFERROR(INDEX('Material routes'!$J$6:$J$1005,MATCH(V194,'Material routes'!$A$6:$A$1005,0)),"MISSING ID")</x:f>
        <x:v>Unspecified</x:v>
      </x:c>
      <x:c r="R194" s="4" t="str">
        <x:f>IF(L194="Withheld","Withheld premise",IF(E194="Tool candidate","Reusable prerequisite",IF(K194="Raw entry preparation","Entry-resource preparation",IF(G194="Not applicable","Finished endpoint",IF(OR(IFERROR(INDEX('Crafting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routes'!$D$6:$D$1005,MATCH(U194,'Material routes'!$A$6:$A$1005,0)),"MISSING ID")</x:f>
        <x:v>proposal.branch.filled_seal</x:v>
      </x:c>
      <x:c r="T194" s="4" t="str">
        <x:f>IFERROR(INDEX('Material routes'!$D$6:$D$1005,MATCH(V194,'Material routes'!$A$6:$A$1005,0)),"MISSING ID")</x:f>
        <x:v>proposal.t3.packing_stock</x:v>
      </x:c>
      <x:c r="U194" s="4" t="str">
        <x:v>design.t3.packing_stock.in.2</x:v>
      </x:c>
      <x:c r="V194" s="4" t="str">
        <x:v>design.t3.packing_stock.out</x:v>
      </x:c>
    </x:row>
    <x:row r="195" ht="115" customHeight="1">
      <x:c r="A195" s="4" t="str">
        <x:f>IFERROR(INDEX('Material routes'!$E$6:$E$1005,MATCH(U195,'Material routes'!$A$6:$A$1005,0)),"MISSING ID")</x:f>
        <x:v>Flexible membrane-bonding compound</x:v>
      </x:c>
      <x:c r="B195" s="4" t="str">
        <x:f>IFERROR(INDEX('Material routes'!$F$6:$F$1005,MATCH(U195,'Material routes'!$A$6:$A$1005,0)),"MISSING ID")</x:f>
        <x:v>T2</x:v>
      </x:c>
      <x:c r="C195" s="4" t="str">
        <x:f>IFERROR(INDEX('Material routes'!$H$6:$H$1005,MATCH(U195,'Material routes'!$A$6:$A$1005,0)),"MISSING ID")</x:f>
        <x:v>Chemical material</x:v>
      </x:c>
      <x:c r="D195" s="4" t="str">
        <x:f>IFERROR(INDEX('Material routes'!$G$6:$G$1005,MATCH(U195,'Material routes'!$A$6:$A$1005,0)),"MISSING ID")</x:f>
        <x:v>Resources</x:v>
      </x:c>
      <x:c r="E195" s="4" t="str">
        <x:f>IFERROR(INDEX('Material routes'!$C$6:$C$1005,MATCH(U195,'Material routes'!$A$6:$A$1005,0)),"MISSING ID")</x:f>
        <x:v>Ingredient candidate</x:v>
      </x:c>
      <x:c r="F195" s="4" t="str">
        <x:f>IFERROR(INDEX('Material routes'!$E$6:$E$1005,MATCH(V195,'Material routes'!$A$6:$A$1005,0)),"MISSING ID")</x:f>
        <x:v>Husk-reinforced packing stock</x:v>
      </x:c>
      <x:c r="G195" s="4" t="str">
        <x:f>IFERROR(INDEX('Material routes'!$F$6:$F$1005,MATCH(V195,'Material routes'!$A$6:$A$1005,0)),"MISSING ID")</x:f>
        <x:v>T3</x:v>
      </x:c>
      <x:c r="H195" s="4" t="str">
        <x:f>IFERROR(INDEX('Material routes'!$H$6:$H$1005,MATCH(V195,'Material routes'!$A$6:$A$1005,0)),"MISSING ID")</x:f>
        <x:v>Processed material</x:v>
      </x:c>
      <x:c r="I195" s="4" t="str">
        <x:f>IFERROR(INDEX('Material routes'!$G$6:$G$1005,MATCH(V195,'Material routes'!$A$6:$A$1005,0)),"MISSING ID")</x:f>
        <x:v>Resources</x:v>
      </x:c>
      <x:c r="J195" s="4" t="str">
        <x:f>IFERROR(INDEX('Material routes'!$B$6:$B$1005,MATCH(U195,'Material routes'!$A$6:$A$1005,0)),"MISSING ID")</x:f>
        <x:v>design.t3.packing_stock</x:v>
      </x:c>
      <x:c r="K195" s="4" t="str">
        <x:f>IFERROR(INDEX('Crafting recipes'!$C$6:$C$1005,MATCH(J195,'Crafting recipes'!$A$6:$A$1005,0)),"MISSING ID")</x:f>
        <x:v>Material refinement</x:v>
      </x:c>
      <x:c r="L195" s="4" t="str">
        <x:f>IFERROR(INDEX('Material routes'!$K$6:$K$1005,MATCH(U195,'Material routes'!$A$6:$A$1005,0)),"MISSING ID")</x:f>
        <x:v>Proposal</x:v>
      </x:c>
      <x:c r="M195" s="4" t="str">
        <x:f>IFERROR(INDEX('Material routes'!$M$6:$M$1005,MATCH(U195,'Material routes'!$A$6:$A$1005,0)),"MISSING ID")</x:f>
        <x:v>Partial proposal</x:v>
      </x:c>
      <x:c r="N195" s="4" t="str">
        <x:f>IF(IFERROR(INDEX('Material routes'!$I$6:$I$1005,MATCH(U195,'Material routes'!$A$6:$A$1005,0)),"MISSING ID")=0,"",IFERROR(INDEX('Material routes'!$I$6:$I$1005,MATCH(U195,'Material routes'!$A$6:$A$1005,0)),"MISSING ID"))</x:f>
      </x:c>
      <x:c r="O195" s="4" t="str">
        <x:f>IFERROR(INDEX('Material routes'!$J$6:$J$1005,MATCH(U195,'Material routes'!$A$6:$A$1005,0)),"MISSING ID")</x:f>
        <x:v>Unspecified</x:v>
      </x:c>
      <x:c r="P195" s="4" t="str">
        <x:f>IF(IFERROR(INDEX('Material routes'!$I$6:$I$1005,MATCH(V195,'Material routes'!$A$6:$A$1005,0)),"MISSING ID")=0,"",IFERROR(INDEX('Material routes'!$I$6:$I$1005,MATCH(V195,'Material routes'!$A$6:$A$1005,0)),"MISSING ID"))</x:f>
      </x:c>
      <x:c r="Q195" s="4" t="str">
        <x:f>IFERROR(INDEX('Material routes'!$J$6:$J$1005,MATCH(V195,'Material routes'!$A$6:$A$1005,0)),"MISSING ID")</x:f>
        <x:v>Unspecified</x:v>
      </x:c>
      <x:c r="R195" s="4" t="str">
        <x:f>IF(L195="Withheld","Withheld premise",IF(E195="Tool candidate","Reusable prerequisite",IF(K195="Raw entry preparation","Entry-resource preparation",IF(G195="Not applicable","Finished endpoint",IF(OR(IFERROR(INDEX('Crafting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routes'!$D$6:$D$1005,MATCH(U195,'Material routes'!$A$6:$A$1005,0)),"MISSING ID")</x:f>
        <x:v>proposal.branch.flex_bond</x:v>
      </x:c>
      <x:c r="T195" s="4" t="str">
        <x:f>IFERROR(INDEX('Material routes'!$D$6:$D$1005,MATCH(V195,'Material routes'!$A$6:$A$1005,0)),"MISSING ID")</x:f>
        <x:v>proposal.t3.packing_stock</x:v>
      </x:c>
      <x:c r="U195" s="4" t="str">
        <x:v>design.t3.packing_stock.in.3</x:v>
      </x:c>
      <x:c r="V195" s="4" t="str">
        <x:v>design.t3.packing_stock.out</x:v>
      </x:c>
    </x:row>
    <x:row r="196" ht="115" customHeight="1">
      <x:c r="A196" s="4" t="str">
        <x:f>IFERROR(INDEX('Material routes'!$E$6:$E$1005,MATCH(U196,'Material routes'!$A$6:$A$1005,0)),"MISSING ID")</x:f>
        <x:v>Faunal joint grease</x:v>
      </x:c>
      <x:c r="B196" s="4" t="str">
        <x:f>IFERROR(INDEX('Material routes'!$F$6:$F$1005,MATCH(U196,'Material routes'!$A$6:$A$1005,0)),"MISSING ID")</x:f>
        <x:v>T2</x:v>
      </x:c>
      <x:c r="C196" s="4" t="str">
        <x:f>IFERROR(INDEX('Material routes'!$H$6:$H$1005,MATCH(U196,'Material routes'!$A$6:$A$1005,0)),"MISSING ID")</x:f>
        <x:v>Chemical material</x:v>
      </x:c>
      <x:c r="D196" s="4" t="str">
        <x:f>IFERROR(INDEX('Material routes'!$G$6:$G$1005,MATCH(U196,'Material routes'!$A$6:$A$1005,0)),"MISSING ID")</x:f>
        <x:v>Resources</x:v>
      </x:c>
      <x:c r="E196" s="4" t="str">
        <x:f>IFERROR(INDEX('Material routes'!$C$6:$C$1005,MATCH(U196,'Material routes'!$A$6:$A$1005,0)),"MISSING ID")</x:f>
        <x:v>Ingredient candidate</x:v>
      </x:c>
      <x:c r="F196" s="4" t="str">
        <x:f>IFERROR(INDEX('Material routes'!$E$6:$E$1005,MATCH(V196,'Material routes'!$A$6:$A$1005,0)),"MISSING ID")</x:f>
        <x:v>Conditioned mechanism-service grease</x:v>
      </x:c>
      <x:c r="G196" s="4" t="str">
        <x:f>IFERROR(INDEX('Material routes'!$F$6:$F$1005,MATCH(V196,'Material routes'!$A$6:$A$1005,0)),"MISSING ID")</x:f>
        <x:v>T3</x:v>
      </x:c>
      <x:c r="H196" s="4" t="str">
        <x:f>IFERROR(INDEX('Material routes'!$H$6:$H$1005,MATCH(V196,'Material routes'!$A$6:$A$1005,0)),"MISSING ID")</x:f>
        <x:v>Chemical material</x:v>
      </x:c>
      <x:c r="I196" s="4" t="str">
        <x:f>IFERROR(INDEX('Material routes'!$G$6:$G$1005,MATCH(V196,'Material routes'!$A$6:$A$1005,0)),"MISSING ID")</x:f>
        <x:v>Resources</x:v>
      </x:c>
      <x:c r="J196" s="4" t="str">
        <x:f>IFERROR(INDEX('Material routes'!$B$6:$B$1005,MATCH(U196,'Material routes'!$A$6:$A$1005,0)),"MISSING ID")</x:f>
        <x:v>design.t3.service_grease</x:v>
      </x:c>
      <x:c r="K196" s="4" t="str">
        <x:f>IFERROR(INDEX('Crafting recipes'!$C$6:$C$1005,MATCH(J196,'Crafting recipes'!$A$6:$A$1005,0)),"MISSING ID")</x:f>
        <x:v>Material refinement</x:v>
      </x:c>
      <x:c r="L196" s="4" t="str">
        <x:f>IFERROR(INDEX('Material routes'!$K$6:$K$1005,MATCH(U196,'Material routes'!$A$6:$A$1005,0)),"MISSING ID")</x:f>
        <x:v>Proposal</x:v>
      </x:c>
      <x:c r="M196" s="4" t="str">
        <x:f>IFERROR(INDEX('Material routes'!$M$6:$M$1005,MATCH(U196,'Material routes'!$A$6:$A$1005,0)),"MISSING ID")</x:f>
        <x:v>Partial proposal</x:v>
      </x:c>
      <x:c r="N196" s="4" t="str">
        <x:f>IF(IFERROR(INDEX('Material routes'!$I$6:$I$1005,MATCH(U196,'Material routes'!$A$6:$A$1005,0)),"MISSING ID")=0,"",IFERROR(INDEX('Material routes'!$I$6:$I$1005,MATCH(U196,'Material routes'!$A$6:$A$1005,0)),"MISSING ID"))</x:f>
      </x:c>
      <x:c r="O196" s="4" t="str">
        <x:f>IFERROR(INDEX('Material routes'!$J$6:$J$1005,MATCH(U196,'Material routes'!$A$6:$A$1005,0)),"MISSING ID")</x:f>
        <x:v>Unspecified</x:v>
      </x:c>
      <x:c r="P196" s="4" t="str">
        <x:f>IF(IFERROR(INDEX('Material routes'!$I$6:$I$1005,MATCH(V196,'Material routes'!$A$6:$A$1005,0)),"MISSING ID")=0,"",IFERROR(INDEX('Material routes'!$I$6:$I$1005,MATCH(V196,'Material routes'!$A$6:$A$1005,0)),"MISSING ID"))</x:f>
      </x:c>
      <x:c r="Q196" s="4" t="str">
        <x:f>IFERROR(INDEX('Material routes'!$J$6:$J$1005,MATCH(V196,'Material routes'!$A$6:$A$1005,0)),"MISSING ID")</x:f>
        <x:v>Unspecified</x:v>
      </x:c>
      <x:c r="R196" s="4" t="str">
        <x:f>IF(L196="Withheld","Withheld premise",IF(E196="Tool candidate","Reusable prerequisite",IF(K196="Raw entry preparation","Entry-resource preparation",IF(G196="Not applicable","Finished endpoint",IF(OR(IFERROR(INDEX('Crafting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routes'!$D$6:$D$1005,MATCH(U196,'Material routes'!$A$6:$A$1005,0)),"MISSING ID")</x:f>
        <x:v>proposal.lubricant.joint_grease</x:v>
      </x:c>
      <x:c r="T196" s="4" t="str">
        <x:f>IFERROR(INDEX('Material routes'!$D$6:$D$1005,MATCH(V196,'Material routes'!$A$6:$A$1005,0)),"MISSING ID")</x:f>
        <x:v>proposal.t3.service_grease</x:v>
      </x:c>
      <x:c r="U196" s="4" t="str">
        <x:v>design.t3.service_grease.in.1</x:v>
      </x:c>
      <x:c r="V196" s="4" t="str">
        <x:v>design.t3.service_grease.out</x:v>
      </x:c>
    </x:row>
    <x:row r="197" ht="115" customHeight="1">
      <x:c r="A197" s="4" t="str">
        <x:f>IFERROR(INDEX('Material routes'!$E$6:$E$1005,MATCH(U197,'Material routes'!$A$6:$A$1005,0)),"MISSING ID")</x:f>
        <x:v>Fine mechanism oil</x:v>
      </x:c>
      <x:c r="B197" s="4" t="str">
        <x:f>IFERROR(INDEX('Material routes'!$F$6:$F$1005,MATCH(U197,'Material routes'!$A$6:$A$1005,0)),"MISSING ID")</x:f>
        <x:v>T2</x:v>
      </x:c>
      <x:c r="C197" s="4" t="str">
        <x:f>IFERROR(INDEX('Material routes'!$H$6:$H$1005,MATCH(U197,'Material routes'!$A$6:$A$1005,0)),"MISSING ID")</x:f>
        <x:v>Chemical material</x:v>
      </x:c>
      <x:c r="D197" s="4" t="str">
        <x:f>IFERROR(INDEX('Material routes'!$G$6:$G$1005,MATCH(U197,'Material routes'!$A$6:$A$1005,0)),"MISSING ID")</x:f>
        <x:v>Resources</x:v>
      </x:c>
      <x:c r="E197" s="4" t="str">
        <x:f>IFERROR(INDEX('Material routes'!$C$6:$C$1005,MATCH(U197,'Material routes'!$A$6:$A$1005,0)),"MISSING ID")</x:f>
        <x:v>Ingredient candidate</x:v>
      </x:c>
      <x:c r="F197" s="4" t="str">
        <x:f>IFERROR(INDEX('Material routes'!$E$6:$E$1005,MATCH(V197,'Material routes'!$A$6:$A$1005,0)),"MISSING ID")</x:f>
        <x:v>Conditioned mechanism-service grease</x:v>
      </x:c>
      <x:c r="G197" s="4" t="str">
        <x:f>IFERROR(INDEX('Material routes'!$F$6:$F$1005,MATCH(V197,'Material routes'!$A$6:$A$1005,0)),"MISSING ID")</x:f>
        <x:v>T3</x:v>
      </x:c>
      <x:c r="H197" s="4" t="str">
        <x:f>IFERROR(INDEX('Material routes'!$H$6:$H$1005,MATCH(V197,'Material routes'!$A$6:$A$1005,0)),"MISSING ID")</x:f>
        <x:v>Chemical material</x:v>
      </x:c>
      <x:c r="I197" s="4" t="str">
        <x:f>IFERROR(INDEX('Material routes'!$G$6:$G$1005,MATCH(V197,'Material routes'!$A$6:$A$1005,0)),"MISSING ID")</x:f>
        <x:v>Resources</x:v>
      </x:c>
      <x:c r="J197" s="4" t="str">
        <x:f>IFERROR(INDEX('Material routes'!$B$6:$B$1005,MATCH(U197,'Material routes'!$A$6:$A$1005,0)),"MISSING ID")</x:f>
        <x:v>design.t3.service_grease</x:v>
      </x:c>
      <x:c r="K197" s="4" t="str">
        <x:f>IFERROR(INDEX('Crafting recipes'!$C$6:$C$1005,MATCH(J197,'Crafting recipes'!$A$6:$A$1005,0)),"MISSING ID")</x:f>
        <x:v>Material refinement</x:v>
      </x:c>
      <x:c r="L197" s="4" t="str">
        <x:f>IFERROR(INDEX('Material routes'!$K$6:$K$1005,MATCH(U197,'Material routes'!$A$6:$A$1005,0)),"MISSING ID")</x:f>
        <x:v>Proposal</x:v>
      </x:c>
      <x:c r="M197" s="4" t="str">
        <x:f>IFERROR(INDEX('Material routes'!$M$6:$M$1005,MATCH(U197,'Material routes'!$A$6:$A$1005,0)),"MISSING ID")</x:f>
        <x:v>Partial proposal</x:v>
      </x:c>
      <x:c r="N197" s="4" t="str">
        <x:f>IF(IFERROR(INDEX('Material routes'!$I$6:$I$1005,MATCH(U197,'Material routes'!$A$6:$A$1005,0)),"MISSING ID")=0,"",IFERROR(INDEX('Material routes'!$I$6:$I$1005,MATCH(U197,'Material routes'!$A$6:$A$1005,0)),"MISSING ID"))</x:f>
      </x:c>
      <x:c r="O197" s="4" t="str">
        <x:f>IFERROR(INDEX('Material routes'!$J$6:$J$1005,MATCH(U197,'Material routes'!$A$6:$A$1005,0)),"MISSING ID")</x:f>
        <x:v>Unspecified</x:v>
      </x:c>
      <x:c r="P197" s="4" t="str">
        <x:f>IF(IFERROR(INDEX('Material routes'!$I$6:$I$1005,MATCH(V197,'Material routes'!$A$6:$A$1005,0)),"MISSING ID")=0,"",IFERROR(INDEX('Material routes'!$I$6:$I$1005,MATCH(V197,'Material routes'!$A$6:$A$1005,0)),"MISSING ID"))</x:f>
      </x:c>
      <x:c r="Q197" s="4" t="str">
        <x:f>IFERROR(INDEX('Material routes'!$J$6:$J$1005,MATCH(V197,'Material routes'!$A$6:$A$1005,0)),"MISSING ID")</x:f>
        <x:v>Unspecified</x:v>
      </x:c>
      <x:c r="R197" s="4" t="str">
        <x:f>IF(L197="Withheld","Withheld premise",IF(E197="Tool candidate","Reusable prerequisite",IF(K197="Raw entry preparation","Entry-resource preparation",IF(G197="Not applicable","Finished endpoint",IF(OR(IFERROR(INDEX('Crafting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routes'!$D$6:$D$1005,MATCH(U197,'Material routes'!$A$6:$A$1005,0)),"MISSING ID")</x:f>
        <x:v>proposal.lubricant.precision_oil</x:v>
      </x:c>
      <x:c r="T197" s="4" t="str">
        <x:f>IFERROR(INDEX('Material routes'!$D$6:$D$1005,MATCH(V197,'Material routes'!$A$6:$A$1005,0)),"MISSING ID")</x:f>
        <x:v>proposal.t3.service_grease</x:v>
      </x:c>
      <x:c r="U197" s="4" t="str">
        <x:v>design.t3.service_grease.in.2</x:v>
      </x:c>
      <x:c r="V197" s="4" t="str">
        <x:v>design.t3.service_grease.out</x:v>
      </x:c>
    </x:row>
    <x:row r="198" ht="115" customHeight="1">
      <x:c r="A198" s="4" t="str">
        <x:f>IFERROR(INDEX('Material routes'!$E$6:$E$1005,MATCH(U198,'Material routes'!$A$6:$A$1005,0)),"MISSING ID")</x:f>
        <x:v>Reinforced wing membrane</x:v>
      </x:c>
      <x:c r="B198" s="4" t="str">
        <x:f>IFERROR(INDEX('Material routes'!$F$6:$F$1005,MATCH(U198,'Material routes'!$A$6:$A$1005,0)),"MISSING ID")</x:f>
        <x:v>T2</x:v>
      </x:c>
      <x:c r="C198" s="4" t="str">
        <x:f>IFERROR(INDEX('Material routes'!$H$6:$H$1005,MATCH(U198,'Material routes'!$A$6:$A$1005,0)),"MISSING ID")</x:f>
        <x:v>Processed material</x:v>
      </x:c>
      <x:c r="D198" s="4" t="str">
        <x:f>IFERROR(INDEX('Material routes'!$G$6:$G$1005,MATCH(U198,'Material routes'!$A$6:$A$1005,0)),"MISSING ID")</x:f>
        <x:v>Resources</x:v>
      </x:c>
      <x:c r="E198" s="4" t="str">
        <x:f>IFERROR(INDEX('Material routes'!$C$6:$C$1005,MATCH(U198,'Material routes'!$A$6:$A$1005,0)),"MISSING ID")</x:f>
        <x:v>Ingredient candidate</x:v>
      </x:c>
      <x:c r="F198" s="4" t="str">
        <x:f>IFERROR(INDEX('Material routes'!$E$6:$E$1005,MATCH(V198,'Material routes'!$A$6:$A$1005,0)),"MISSING ID")</x:f>
        <x:v>Bonded wing-seam reinforcement strips</x:v>
      </x:c>
      <x:c r="G198" s="4" t="str">
        <x:f>IFERROR(INDEX('Material routes'!$F$6:$F$1005,MATCH(V198,'Material routes'!$A$6:$A$1005,0)),"MISSING ID")</x:f>
        <x:v>T3</x:v>
      </x:c>
      <x:c r="H198" s="4" t="str">
        <x:f>IFERROR(INDEX('Material routes'!$H$6:$H$1005,MATCH(V198,'Material routes'!$A$6:$A$1005,0)),"MISSING ID")</x:f>
        <x:v>Processed material</x:v>
      </x:c>
      <x:c r="I198" s="4" t="str">
        <x:f>IFERROR(INDEX('Material routes'!$G$6:$G$1005,MATCH(V198,'Material routes'!$A$6:$A$1005,0)),"MISSING ID")</x:f>
        <x:v>Resources</x:v>
      </x:c>
      <x:c r="J198" s="4" t="str">
        <x:f>IFERROR(INDEX('Material routes'!$B$6:$B$1005,MATCH(U198,'Material routes'!$A$6:$A$1005,0)),"MISSING ID")</x:f>
        <x:v>design.t3.wing_seam</x:v>
      </x:c>
      <x:c r="K198" s="4" t="str">
        <x:f>IFERROR(INDEX('Crafting recipes'!$C$6:$C$1005,MATCH(J198,'Crafting recipes'!$A$6:$A$1005,0)),"MISSING ID")</x:f>
        <x:v>Material refinement</x:v>
      </x:c>
      <x:c r="L198" s="4" t="str">
        <x:f>IFERROR(INDEX('Material routes'!$K$6:$K$1005,MATCH(U198,'Material routes'!$A$6:$A$1005,0)),"MISSING ID")</x:f>
        <x:v>Proposal</x:v>
      </x:c>
      <x:c r="M198" s="4" t="str">
        <x:f>IFERROR(INDEX('Material routes'!$M$6:$M$1005,MATCH(U198,'Material routes'!$A$6:$A$1005,0)),"MISSING ID")</x:f>
        <x:v>Partial proposal</x:v>
      </x:c>
      <x:c r="N198" s="4" t="str">
        <x:f>IF(IFERROR(INDEX('Material routes'!$I$6:$I$1005,MATCH(U198,'Material routes'!$A$6:$A$1005,0)),"MISSING ID")=0,"",IFERROR(INDEX('Material routes'!$I$6:$I$1005,MATCH(U198,'Material routes'!$A$6:$A$1005,0)),"MISSING ID"))</x:f>
      </x:c>
      <x:c r="O198" s="4" t="str">
        <x:f>IFERROR(INDEX('Material routes'!$J$6:$J$1005,MATCH(U198,'Material routes'!$A$6:$A$1005,0)),"MISSING ID")</x:f>
        <x:v>Unspecified</x:v>
      </x:c>
      <x:c r="P198" s="4" t="str">
        <x:f>IF(IFERROR(INDEX('Material routes'!$I$6:$I$1005,MATCH(V198,'Material routes'!$A$6:$A$1005,0)),"MISSING ID")=0,"",IFERROR(INDEX('Material routes'!$I$6:$I$1005,MATCH(V198,'Material routes'!$A$6:$A$1005,0)),"MISSING ID"))</x:f>
      </x:c>
      <x:c r="Q198" s="4" t="str">
        <x:f>IFERROR(INDEX('Material routes'!$J$6:$J$1005,MATCH(V198,'Material routes'!$A$6:$A$1005,0)),"MISSING ID")</x:f>
        <x:v>Unspecified</x:v>
      </x:c>
      <x:c r="R198" s="4" t="str">
        <x:f>IF(L198="Withheld","Withheld premise",IF(E198="Tool candidate","Reusable prerequisite",IF(K198="Raw entry preparation","Entry-resource preparation",IF(G198="Not applicable","Finished endpoint",IF(OR(IFERROR(INDEX('Crafting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routes'!$D$6:$D$1005,MATCH(U198,'Material routes'!$A$6:$A$1005,0)),"MISSING ID")</x:f>
        <x:v>proposal.branch.wing_membrane</x:v>
      </x:c>
      <x:c r="T198" s="4" t="str">
        <x:f>IFERROR(INDEX('Material routes'!$D$6:$D$1005,MATCH(V198,'Material routes'!$A$6:$A$1005,0)),"MISSING ID")</x:f>
        <x:v>proposal.t3.wing_seam</x:v>
      </x:c>
      <x:c r="U198" s="4" t="str">
        <x:v>design.t3.wing_seam.in.1</x:v>
      </x:c>
      <x:c r="V198" s="4" t="str">
        <x:v>design.t3.wing_seam.out</x:v>
      </x:c>
    </x:row>
    <x:row r="199" ht="115" customHeight="1">
      <x:c r="A199" s="4" t="str">
        <x:f>IFERROR(INDEX('Material routes'!$E$6:$E$1005,MATCH(U199,'Material routes'!$A$6:$A$1005,0)),"MISSING ID")</x:f>
        <x:v>Flexible membrane-bonding compound</x:v>
      </x:c>
      <x:c r="B199" s="4" t="str">
        <x:f>IFERROR(INDEX('Material routes'!$F$6:$F$1005,MATCH(U199,'Material routes'!$A$6:$A$1005,0)),"MISSING ID")</x:f>
        <x:v>T2</x:v>
      </x:c>
      <x:c r="C199" s="4" t="str">
        <x:f>IFERROR(INDEX('Material routes'!$H$6:$H$1005,MATCH(U199,'Material routes'!$A$6:$A$1005,0)),"MISSING ID")</x:f>
        <x:v>Chemical material</x:v>
      </x:c>
      <x:c r="D199" s="4" t="str">
        <x:f>IFERROR(INDEX('Material routes'!$G$6:$G$1005,MATCH(U199,'Material routes'!$A$6:$A$1005,0)),"MISSING ID")</x:f>
        <x:v>Resources</x:v>
      </x:c>
      <x:c r="E199" s="4" t="str">
        <x:f>IFERROR(INDEX('Material routes'!$C$6:$C$1005,MATCH(U199,'Material routes'!$A$6:$A$1005,0)),"MISSING ID")</x:f>
        <x:v>Ingredient candidate</x:v>
      </x:c>
      <x:c r="F199" s="4" t="str">
        <x:f>IFERROR(INDEX('Material routes'!$E$6:$E$1005,MATCH(V199,'Material routes'!$A$6:$A$1005,0)),"MISSING ID")</x:f>
        <x:v>Bonded wing-seam reinforcement strips</x:v>
      </x:c>
      <x:c r="G199" s="4" t="str">
        <x:f>IFERROR(INDEX('Material routes'!$F$6:$F$1005,MATCH(V199,'Material routes'!$A$6:$A$1005,0)),"MISSING ID")</x:f>
        <x:v>T3</x:v>
      </x:c>
      <x:c r="H199" s="4" t="str">
        <x:f>IFERROR(INDEX('Material routes'!$H$6:$H$1005,MATCH(V199,'Material routes'!$A$6:$A$1005,0)),"MISSING ID")</x:f>
        <x:v>Processed material</x:v>
      </x:c>
      <x:c r="I199" s="4" t="str">
        <x:f>IFERROR(INDEX('Material routes'!$G$6:$G$1005,MATCH(V199,'Material routes'!$A$6:$A$1005,0)),"MISSING ID")</x:f>
        <x:v>Resources</x:v>
      </x:c>
      <x:c r="J199" s="4" t="str">
        <x:f>IFERROR(INDEX('Material routes'!$B$6:$B$1005,MATCH(U199,'Material routes'!$A$6:$A$1005,0)),"MISSING ID")</x:f>
        <x:v>design.t3.wing_seam</x:v>
      </x:c>
      <x:c r="K199" s="4" t="str">
        <x:f>IFERROR(INDEX('Crafting recipes'!$C$6:$C$1005,MATCH(J199,'Crafting recipes'!$A$6:$A$1005,0)),"MISSING ID")</x:f>
        <x:v>Material refinement</x:v>
      </x:c>
      <x:c r="L199" s="4" t="str">
        <x:f>IFERROR(INDEX('Material routes'!$K$6:$K$1005,MATCH(U199,'Material routes'!$A$6:$A$1005,0)),"MISSING ID")</x:f>
        <x:v>Proposal</x:v>
      </x:c>
      <x:c r="M199" s="4" t="str">
        <x:f>IFERROR(INDEX('Material routes'!$M$6:$M$1005,MATCH(U199,'Material routes'!$A$6:$A$1005,0)),"MISSING ID")</x:f>
        <x:v>Partial proposal</x:v>
      </x:c>
      <x:c r="N199" s="4" t="str">
        <x:f>IF(IFERROR(INDEX('Material routes'!$I$6:$I$1005,MATCH(U199,'Material routes'!$A$6:$A$1005,0)),"MISSING ID")=0,"",IFERROR(INDEX('Material routes'!$I$6:$I$1005,MATCH(U199,'Material routes'!$A$6:$A$1005,0)),"MISSING ID"))</x:f>
      </x:c>
      <x:c r="O199" s="4" t="str">
        <x:f>IFERROR(INDEX('Material routes'!$J$6:$J$1005,MATCH(U199,'Material routes'!$A$6:$A$1005,0)),"MISSING ID")</x:f>
        <x:v>Unspecified</x:v>
      </x:c>
      <x:c r="P199" s="4" t="str">
        <x:f>IF(IFERROR(INDEX('Material routes'!$I$6:$I$1005,MATCH(V199,'Material routes'!$A$6:$A$1005,0)),"MISSING ID")=0,"",IFERROR(INDEX('Material routes'!$I$6:$I$1005,MATCH(V199,'Material routes'!$A$6:$A$1005,0)),"MISSING ID"))</x:f>
      </x:c>
      <x:c r="Q199" s="4" t="str">
        <x:f>IFERROR(INDEX('Material routes'!$J$6:$J$1005,MATCH(V199,'Material routes'!$A$6:$A$1005,0)),"MISSING ID")</x:f>
        <x:v>Unspecified</x:v>
      </x:c>
      <x:c r="R199" s="4" t="str">
        <x:f>IF(L199="Withheld","Withheld premise",IF(E199="Tool candidate","Reusable prerequisite",IF(K199="Raw entry preparation","Entry-resource preparation",IF(G199="Not applicable","Finished endpoint",IF(OR(IFERROR(INDEX('Crafting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routes'!$D$6:$D$1005,MATCH(U199,'Material routes'!$A$6:$A$1005,0)),"MISSING ID")</x:f>
        <x:v>proposal.branch.flex_bond</x:v>
      </x:c>
      <x:c r="T199" s="4" t="str">
        <x:f>IFERROR(INDEX('Material routes'!$D$6:$D$1005,MATCH(V199,'Material routes'!$A$6:$A$1005,0)),"MISSING ID")</x:f>
        <x:v>proposal.t3.wing_seam</x:v>
      </x:c>
      <x:c r="U199" s="4" t="str">
        <x:v>design.t3.wing_seam.in.2</x:v>
      </x:c>
      <x:c r="V199" s="4" t="str">
        <x:v>design.t3.wing_seam.out</x:v>
      </x:c>
    </x:row>
    <x:row r="200" ht="115" customHeight="1">
      <x:c r="A200" s="4" t="str">
        <x:f>IFERROR(INDEX('Material routes'!$E$6:$E$1005,MATCH(U200,'Material routes'!$A$6:$A$1005,0)),"MISSING ID")</x:f>
        <x:v>Reinforced wing membrane</x:v>
      </x:c>
      <x:c r="B200" s="4" t="str">
        <x:f>IFERROR(INDEX('Material routes'!$F$6:$F$1005,MATCH(U200,'Material routes'!$A$6:$A$1005,0)),"MISSING ID")</x:f>
        <x:v>T2</x:v>
      </x:c>
      <x:c r="C200" s="4" t="str">
        <x:f>IFERROR(INDEX('Material routes'!$H$6:$H$1005,MATCH(U200,'Material routes'!$A$6:$A$1005,0)),"MISSING ID")</x:f>
        <x:v>Processed material</x:v>
      </x:c>
      <x:c r="D200" s="4" t="str">
        <x:f>IFERROR(INDEX('Material routes'!$G$6:$G$1005,MATCH(U200,'Material routes'!$A$6:$A$1005,0)),"MISSING ID")</x:f>
        <x:v>Resources</x:v>
      </x:c>
      <x:c r="E200" s="4" t="str">
        <x:f>IFERROR(INDEX('Material routes'!$C$6:$C$1005,MATCH(U200,'Material routes'!$A$6:$A$1005,0)),"MISSING ID")</x:f>
        <x:v>Ingredient candidate</x:v>
      </x:c>
      <x:c r="F200" s="4" t="str">
        <x:f>IFERROR(INDEX('Material routes'!$E$6:$E$1005,MATCH(V200,'Material routes'!$A$6:$A$1005,0)),"MISSING ID")</x:f>
        <x:v>Matched folding wing-panel sets</x:v>
      </x:c>
      <x:c r="G200" s="4" t="str">
        <x:f>IFERROR(INDEX('Material routes'!$F$6:$F$1005,MATCH(V200,'Material routes'!$A$6:$A$1005,0)),"MISSING ID")</x:f>
        <x:v>T3</x:v>
      </x:c>
      <x:c r="H200" s="4" t="str">
        <x:f>IFERROR(INDEX('Material routes'!$H$6:$H$1005,MATCH(V200,'Material routes'!$A$6:$A$1005,0)),"MISSING ID")</x:f>
        <x:v>Crafting component</x:v>
      </x:c>
      <x:c r="I200" s="4" t="str">
        <x:f>IFERROR(INDEX('Material routes'!$G$6:$G$1005,MATCH(V200,'Material routes'!$A$6:$A$1005,0)),"MISSING ID")</x:f>
        <x:v>Crafting components</x:v>
      </x:c>
      <x:c r="J200" s="4" t="str">
        <x:f>IFERROR(INDEX('Material routes'!$B$6:$B$1005,MATCH(U200,'Material routes'!$A$6:$A$1005,0)),"MISSING ID")</x:f>
        <x:v>design.t3.sail_panel_set</x:v>
      </x:c>
      <x:c r="K200" s="4" t="str">
        <x:f>IFERROR(INDEX('Crafting recipes'!$C$6:$C$1005,MATCH(J200,'Crafting recipes'!$A$6:$A$1005,0)),"MISSING ID")</x:f>
        <x:v>Material refinement</x:v>
      </x:c>
      <x:c r="L200" s="4" t="str">
        <x:f>IFERROR(INDEX('Material routes'!$K$6:$K$1005,MATCH(U200,'Material routes'!$A$6:$A$1005,0)),"MISSING ID")</x:f>
        <x:v>Proposal</x:v>
      </x:c>
      <x:c r="M200" s="4" t="str">
        <x:f>IFERROR(INDEX('Material routes'!$M$6:$M$1005,MATCH(U200,'Material routes'!$A$6:$A$1005,0)),"MISSING ID")</x:f>
        <x:v>Partial proposal</x:v>
      </x:c>
      <x:c r="N200" s="4" t="str">
        <x:f>IF(IFERROR(INDEX('Material routes'!$I$6:$I$1005,MATCH(U200,'Material routes'!$A$6:$A$1005,0)),"MISSING ID")=0,"",IFERROR(INDEX('Material routes'!$I$6:$I$1005,MATCH(U200,'Material routes'!$A$6:$A$1005,0)),"MISSING ID"))</x:f>
      </x:c>
      <x:c r="O200" s="4" t="str">
        <x:f>IFERROR(INDEX('Material routes'!$J$6:$J$1005,MATCH(U200,'Material routes'!$A$6:$A$1005,0)),"MISSING ID")</x:f>
        <x:v>Unspecified</x:v>
      </x:c>
      <x:c r="P200" s="4" t="str">
        <x:f>IF(IFERROR(INDEX('Material routes'!$I$6:$I$1005,MATCH(V200,'Material routes'!$A$6:$A$1005,0)),"MISSING ID")=0,"",IFERROR(INDEX('Material routes'!$I$6:$I$1005,MATCH(V200,'Material routes'!$A$6:$A$1005,0)),"MISSING ID"))</x:f>
      </x:c>
      <x:c r="Q200" s="4" t="str">
        <x:f>IFERROR(INDEX('Material routes'!$J$6:$J$1005,MATCH(V200,'Material routes'!$A$6:$A$1005,0)),"MISSING ID")</x:f>
        <x:v>Unspecified</x:v>
      </x:c>
      <x:c r="R200" s="4" t="str">
        <x:f>IF(L200="Withheld","Withheld premise",IF(E200="Tool candidate","Reusable prerequisite",IF(K200="Raw entry preparation","Entry-resource preparation",IF(G200="Not applicable","Finished endpoint",IF(OR(IFERROR(INDEX('Crafting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routes'!$D$6:$D$1005,MATCH(U200,'Material routes'!$A$6:$A$1005,0)),"MISSING ID")</x:f>
        <x:v>proposal.branch.wing_membrane</x:v>
      </x:c>
      <x:c r="T200" s="4" t="str">
        <x:f>IFERROR(INDEX('Material routes'!$D$6:$D$1005,MATCH(V200,'Material routes'!$A$6:$A$1005,0)),"MISSING ID")</x:f>
        <x:v>proposal.t3.sail_panel_set</x:v>
      </x:c>
      <x:c r="U200" s="4" t="str">
        <x:v>design.t3.sail_panel_set.in.1</x:v>
      </x:c>
      <x:c r="V200" s="4" t="str">
        <x:v>design.t3.sail_panel_set.out</x:v>
      </x:c>
    </x:row>
    <x:row r="201" ht="115" customHeight="1">
      <x:c r="A201" s="4" t="str">
        <x:f>IFERROR(INDEX('Material routes'!$E$6:$E$1005,MATCH(U201,'Material routes'!$A$6:$A$1005,0)),"MISSING ID")</x:f>
        <x:v>Flexible membrane-bonding compound</x:v>
      </x:c>
      <x:c r="B201" s="4" t="str">
        <x:f>IFERROR(INDEX('Material routes'!$F$6:$F$1005,MATCH(U201,'Material routes'!$A$6:$A$1005,0)),"MISSING ID")</x:f>
        <x:v>T2</x:v>
      </x:c>
      <x:c r="C201" s="4" t="str">
        <x:f>IFERROR(INDEX('Material routes'!$H$6:$H$1005,MATCH(U201,'Material routes'!$A$6:$A$1005,0)),"MISSING ID")</x:f>
        <x:v>Chemical material</x:v>
      </x:c>
      <x:c r="D201" s="4" t="str">
        <x:f>IFERROR(INDEX('Material routes'!$G$6:$G$1005,MATCH(U201,'Material routes'!$A$6:$A$1005,0)),"MISSING ID")</x:f>
        <x:v>Resources</x:v>
      </x:c>
      <x:c r="E201" s="4" t="str">
        <x:f>IFERROR(INDEX('Material routes'!$C$6:$C$1005,MATCH(U201,'Material routes'!$A$6:$A$1005,0)),"MISSING ID")</x:f>
        <x:v>Ingredient candidate</x:v>
      </x:c>
      <x:c r="F201" s="4" t="str">
        <x:f>IFERROR(INDEX('Material routes'!$E$6:$E$1005,MATCH(V201,'Material routes'!$A$6:$A$1005,0)),"MISSING ID")</x:f>
        <x:v>Matched folding wing-panel sets</x:v>
      </x:c>
      <x:c r="G201" s="4" t="str">
        <x:f>IFERROR(INDEX('Material routes'!$F$6:$F$1005,MATCH(V201,'Material routes'!$A$6:$A$1005,0)),"MISSING ID")</x:f>
        <x:v>T3</x:v>
      </x:c>
      <x:c r="H201" s="4" t="str">
        <x:f>IFERROR(INDEX('Material routes'!$H$6:$H$1005,MATCH(V201,'Material routes'!$A$6:$A$1005,0)),"MISSING ID")</x:f>
        <x:v>Crafting component</x:v>
      </x:c>
      <x:c r="I201" s="4" t="str">
        <x:f>IFERROR(INDEX('Material routes'!$G$6:$G$1005,MATCH(V201,'Material routes'!$A$6:$A$1005,0)),"MISSING ID")</x:f>
        <x:v>Crafting components</x:v>
      </x:c>
      <x:c r="J201" s="4" t="str">
        <x:f>IFERROR(INDEX('Material routes'!$B$6:$B$1005,MATCH(U201,'Material routes'!$A$6:$A$1005,0)),"MISSING ID")</x:f>
        <x:v>design.t3.sail_panel_set</x:v>
      </x:c>
      <x:c r="K201" s="4" t="str">
        <x:f>IFERROR(INDEX('Crafting recipes'!$C$6:$C$1005,MATCH(J201,'Crafting recipes'!$A$6:$A$1005,0)),"MISSING ID")</x:f>
        <x:v>Material refinement</x:v>
      </x:c>
      <x:c r="L201" s="4" t="str">
        <x:f>IFERROR(INDEX('Material routes'!$K$6:$K$1005,MATCH(U201,'Material routes'!$A$6:$A$1005,0)),"MISSING ID")</x:f>
        <x:v>Proposal</x:v>
      </x:c>
      <x:c r="M201" s="4" t="str">
        <x:f>IFERROR(INDEX('Material routes'!$M$6:$M$1005,MATCH(U201,'Material routes'!$A$6:$A$1005,0)),"MISSING ID")</x:f>
        <x:v>Partial proposal</x:v>
      </x:c>
      <x:c r="N201" s="4" t="str">
        <x:f>IF(IFERROR(INDEX('Material routes'!$I$6:$I$1005,MATCH(U201,'Material routes'!$A$6:$A$1005,0)),"MISSING ID")=0,"",IFERROR(INDEX('Material routes'!$I$6:$I$1005,MATCH(U201,'Material routes'!$A$6:$A$1005,0)),"MISSING ID"))</x:f>
      </x:c>
      <x:c r="O201" s="4" t="str">
        <x:f>IFERROR(INDEX('Material routes'!$J$6:$J$1005,MATCH(U201,'Material routes'!$A$6:$A$1005,0)),"MISSING ID")</x:f>
        <x:v>Unspecified</x:v>
      </x:c>
      <x:c r="P201" s="4" t="str">
        <x:f>IF(IFERROR(INDEX('Material routes'!$I$6:$I$1005,MATCH(V201,'Material routes'!$A$6:$A$1005,0)),"MISSING ID")=0,"",IFERROR(INDEX('Material routes'!$I$6:$I$1005,MATCH(V201,'Material routes'!$A$6:$A$1005,0)),"MISSING ID"))</x:f>
      </x:c>
      <x:c r="Q201" s="4" t="str">
        <x:f>IFERROR(INDEX('Material routes'!$J$6:$J$1005,MATCH(V201,'Material routes'!$A$6:$A$1005,0)),"MISSING ID")</x:f>
        <x:v>Unspecified</x:v>
      </x:c>
      <x:c r="R201" s="4" t="str">
        <x:f>IF(L201="Withheld","Withheld premise",IF(E201="Tool candidate","Reusable prerequisite",IF(K201="Raw entry preparation","Entry-resource preparation",IF(G201="Not applicable","Finished endpoint",IF(OR(IFERROR(INDEX('Crafting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routes'!$D$6:$D$1005,MATCH(U201,'Material routes'!$A$6:$A$1005,0)),"MISSING ID")</x:f>
        <x:v>proposal.branch.flex_bond</x:v>
      </x:c>
      <x:c r="T201" s="4" t="str">
        <x:f>IFERROR(INDEX('Material routes'!$D$6:$D$1005,MATCH(V201,'Material routes'!$A$6:$A$1005,0)),"MISSING ID")</x:f>
        <x:v>proposal.t3.sail_panel_set</x:v>
      </x:c>
      <x:c r="U201" s="4" t="str">
        <x:v>design.t3.sail_panel_set.in.2</x:v>
      </x:c>
      <x:c r="V201" s="4" t="str">
        <x:v>design.t3.sail_panel_set.out</x:v>
      </x:c>
    </x:row>
    <x:row r="202" ht="115" customHeight="1">
      <x:c r="A202" s="4" t="str">
        <x:f>IFERROR(INDEX('Material routes'!$E$6:$E$1005,MATCH(U202,'Material routes'!$A$6:$A$1005,0)),"MISSING ID")</x:f>
        <x:v>Prepared bronze bearing stock</x:v>
      </x:c>
      <x:c r="B202" s="4" t="str">
        <x:f>IFERROR(INDEX('Material routes'!$F$6:$F$1005,MATCH(U202,'Material routes'!$A$6:$A$1005,0)),"MISSING ID")</x:f>
        <x:v>T2</x:v>
      </x:c>
      <x:c r="C202" s="4" t="str">
        <x:f>IFERROR(INDEX('Material routes'!$H$6:$H$1005,MATCH(U202,'Material routes'!$A$6:$A$1005,0)),"MISSING ID")</x:f>
        <x:v>Processed material</x:v>
      </x:c>
      <x:c r="D202" s="4" t="str">
        <x:f>IFERROR(INDEX('Material routes'!$G$6:$G$1005,MATCH(U202,'Material routes'!$A$6:$A$1005,0)),"MISSING ID")</x:f>
        <x:v>Resources</x:v>
      </x:c>
      <x:c r="E202" s="4" t="str">
        <x:f>IFERROR(INDEX('Material routes'!$C$6:$C$1005,MATCH(U202,'Material routes'!$A$6:$A$1005,0)),"MISSING ID")</x:f>
        <x:v>Ingredient candidate</x:v>
      </x:c>
      <x:c r="F202" s="4" t="str">
        <x:f>IFERROR(INDEX('Material routes'!$E$6:$E$1005,MATCH(V202,'Material routes'!$A$6:$A$1005,0)),"MISSING ID")</x:f>
        <x:v>Matched folding wing-panel sets</x:v>
      </x:c>
      <x:c r="G202" s="4" t="str">
        <x:f>IFERROR(INDEX('Material routes'!$F$6:$F$1005,MATCH(V202,'Material routes'!$A$6:$A$1005,0)),"MISSING ID")</x:f>
        <x:v>T3</x:v>
      </x:c>
      <x:c r="H202" s="4" t="str">
        <x:f>IFERROR(INDEX('Material routes'!$H$6:$H$1005,MATCH(V202,'Material routes'!$A$6:$A$1005,0)),"MISSING ID")</x:f>
        <x:v>Crafting component</x:v>
      </x:c>
      <x:c r="I202" s="4" t="str">
        <x:f>IFERROR(INDEX('Material routes'!$G$6:$G$1005,MATCH(V202,'Material routes'!$A$6:$A$1005,0)),"MISSING ID")</x:f>
        <x:v>Crafting components</x:v>
      </x:c>
      <x:c r="J202" s="4" t="str">
        <x:f>IFERROR(INDEX('Material routes'!$B$6:$B$1005,MATCH(U202,'Material routes'!$A$6:$A$1005,0)),"MISSING ID")</x:f>
        <x:v>design.t3.sail_panel_set</x:v>
      </x:c>
      <x:c r="K202" s="4" t="str">
        <x:f>IFERROR(INDEX('Crafting recipes'!$C$6:$C$1005,MATCH(J202,'Crafting recipes'!$A$6:$A$1005,0)),"MISSING ID")</x:f>
        <x:v>Material refinement</x:v>
      </x:c>
      <x:c r="L202" s="4" t="str">
        <x:f>IFERROR(INDEX('Material routes'!$K$6:$K$1005,MATCH(U202,'Material routes'!$A$6:$A$1005,0)),"MISSING ID")</x:f>
        <x:v>Proposal</x:v>
      </x:c>
      <x:c r="M202" s="4" t="str">
        <x:f>IFERROR(INDEX('Material routes'!$M$6:$M$1005,MATCH(U202,'Material routes'!$A$6:$A$1005,0)),"MISSING ID")</x:f>
        <x:v>Partial proposal</x:v>
      </x:c>
      <x:c r="N202" s="4" t="str">
        <x:f>IF(IFERROR(INDEX('Material routes'!$I$6:$I$1005,MATCH(U202,'Material routes'!$A$6:$A$1005,0)),"MISSING ID")=0,"",IFERROR(INDEX('Material routes'!$I$6:$I$1005,MATCH(U202,'Material routes'!$A$6:$A$1005,0)),"MISSING ID"))</x:f>
      </x:c>
      <x:c r="O202" s="4" t="str">
        <x:f>IFERROR(INDEX('Material routes'!$J$6:$J$1005,MATCH(U202,'Material routes'!$A$6:$A$1005,0)),"MISSING ID")</x:f>
        <x:v>Unspecified</x:v>
      </x:c>
      <x:c r="P202" s="4" t="str">
        <x:f>IF(IFERROR(INDEX('Material routes'!$I$6:$I$1005,MATCH(V202,'Material routes'!$A$6:$A$1005,0)),"MISSING ID")=0,"",IFERROR(INDEX('Material routes'!$I$6:$I$1005,MATCH(V202,'Material routes'!$A$6:$A$1005,0)),"MISSING ID"))</x:f>
      </x:c>
      <x:c r="Q202" s="4" t="str">
        <x:f>IFERROR(INDEX('Material routes'!$J$6:$J$1005,MATCH(V202,'Material routes'!$A$6:$A$1005,0)),"MISSING ID")</x:f>
        <x:v>Unspecified</x:v>
      </x:c>
      <x:c r="R202" s="4" t="str">
        <x:f>IF(L202="Withheld","Withheld premise",IF(E202="Tool candidate","Reusable prerequisite",IF(K202="Raw entry preparation","Entry-resource preparation",IF(G202="Not applicable","Finished endpoint",IF(OR(IFERROR(INDEX('Crafting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routes'!$D$6:$D$1005,MATCH(U202,'Material routes'!$A$6:$A$1005,0)),"MISSING ID")</x:f>
        <x:v>proposal.branch.bearing_bronze</x:v>
      </x:c>
      <x:c r="T202" s="4" t="str">
        <x:f>IFERROR(INDEX('Material routes'!$D$6:$D$1005,MATCH(V202,'Material routes'!$A$6:$A$1005,0)),"MISSING ID")</x:f>
        <x:v>proposal.t3.sail_panel_set</x:v>
      </x:c>
      <x:c r="U202" s="4" t="str">
        <x:v>design.t3.sail_panel_set.in.3</x:v>
      </x:c>
      <x:c r="V202" s="4" t="str">
        <x:v>design.t3.sail_panel_set.out</x:v>
      </x:c>
    </x:row>
    <x:row r="203" ht="115" customHeight="1">
      <x:c r="A203" s="4" t="str">
        <x:f>IFERROR(INDEX('Material routes'!$E$6:$E$1005,MATCH(U203,'Material routes'!$A$6:$A$1005,0)),"MISSING ID")</x:f>
        <x:v>Bonded husk sheet</x:v>
      </x:c>
      <x:c r="B203" s="4" t="str">
        <x:f>IFERROR(INDEX('Material routes'!$F$6:$F$1005,MATCH(U203,'Material routes'!$A$6:$A$1005,0)),"MISSING ID")</x:f>
        <x:v>T2</x:v>
      </x:c>
      <x:c r="C203" s="4" t="str">
        <x:f>IFERROR(INDEX('Material routes'!$H$6:$H$1005,MATCH(U203,'Material routes'!$A$6:$A$1005,0)),"MISSING ID")</x:f>
        <x:v>Processed material</x:v>
      </x:c>
      <x:c r="D203" s="4" t="str">
        <x:f>IFERROR(INDEX('Material routes'!$G$6:$G$1005,MATCH(U203,'Material routes'!$A$6:$A$1005,0)),"MISSING ID")</x:f>
        <x:v>Resources</x:v>
      </x:c>
      <x:c r="E203" s="4" t="str">
        <x:f>IFERROR(INDEX('Material routes'!$C$6:$C$1005,MATCH(U203,'Material routes'!$A$6:$A$1005,0)),"MISSING ID")</x:f>
        <x:v>Ingredient candidate</x:v>
      </x:c>
      <x:c r="F203" s="4" t="str">
        <x:f>IFERROR(INDEX('Material routes'!$E$6:$E$1005,MATCH(V203,'Material routes'!$A$6:$A$1005,0)),"MISSING ID")</x:f>
        <x:v>Flexible husk joint strips</x:v>
      </x:c>
      <x:c r="G203" s="4" t="str">
        <x:f>IFERROR(INDEX('Material routes'!$F$6:$F$1005,MATCH(V203,'Material routes'!$A$6:$A$1005,0)),"MISSING ID")</x:f>
        <x:v>T3</x:v>
      </x:c>
      <x:c r="H203" s="4" t="str">
        <x:f>IFERROR(INDEX('Material routes'!$H$6:$H$1005,MATCH(V203,'Material routes'!$A$6:$A$1005,0)),"MISSING ID")</x:f>
        <x:v>Processed material</x:v>
      </x:c>
      <x:c r="I203" s="4" t="str">
        <x:f>IFERROR(INDEX('Material routes'!$G$6:$G$1005,MATCH(V203,'Material routes'!$A$6:$A$1005,0)),"MISSING ID")</x:f>
        <x:v>Resources</x:v>
      </x:c>
      <x:c r="J203" s="4" t="str">
        <x:f>IFERROR(INDEX('Material routes'!$B$6:$B$1005,MATCH(U203,'Material routes'!$A$6:$A$1005,0)),"MISSING ID")</x:f>
        <x:v>design.t3.husk_joint</x:v>
      </x:c>
      <x:c r="K203" s="4" t="str">
        <x:f>IFERROR(INDEX('Crafting recipes'!$C$6:$C$1005,MATCH(J203,'Crafting recipes'!$A$6:$A$1005,0)),"MISSING ID")</x:f>
        <x:v>Material refinement</x:v>
      </x:c>
      <x:c r="L203" s="4" t="str">
        <x:f>IFERROR(INDEX('Material routes'!$K$6:$K$1005,MATCH(U203,'Material routes'!$A$6:$A$1005,0)),"MISSING ID")</x:f>
        <x:v>Proposal</x:v>
      </x:c>
      <x:c r="M203" s="4" t="str">
        <x:f>IFERROR(INDEX('Material routes'!$M$6:$M$1005,MATCH(U203,'Material routes'!$A$6:$A$1005,0)),"MISSING ID")</x:f>
        <x:v>Partial proposal</x:v>
      </x:c>
      <x:c r="N203" s="4" t="str">
        <x:f>IF(IFERROR(INDEX('Material routes'!$I$6:$I$1005,MATCH(U203,'Material routes'!$A$6:$A$1005,0)),"MISSING ID")=0,"",IFERROR(INDEX('Material routes'!$I$6:$I$1005,MATCH(U203,'Material routes'!$A$6:$A$1005,0)),"MISSING ID"))</x:f>
      </x:c>
      <x:c r="O203" s="4" t="str">
        <x:f>IFERROR(INDEX('Material routes'!$J$6:$J$1005,MATCH(U203,'Material routes'!$A$6:$A$1005,0)),"MISSING ID")</x:f>
        <x:v>Unspecified</x:v>
      </x:c>
      <x:c r="P203" s="4" t="str">
        <x:f>IF(IFERROR(INDEX('Material routes'!$I$6:$I$1005,MATCH(V203,'Material routes'!$A$6:$A$1005,0)),"MISSING ID")=0,"",IFERROR(INDEX('Material routes'!$I$6:$I$1005,MATCH(V203,'Material routes'!$A$6:$A$1005,0)),"MISSING ID"))</x:f>
      </x:c>
      <x:c r="Q203" s="4" t="str">
        <x:f>IFERROR(INDEX('Material routes'!$J$6:$J$1005,MATCH(V203,'Material routes'!$A$6:$A$1005,0)),"MISSING ID")</x:f>
        <x:v>Unspecified</x:v>
      </x:c>
      <x:c r="R203" s="4" t="str">
        <x:f>IF(L203="Withheld","Withheld premise",IF(E203="Tool candidate","Reusable prerequisite",IF(K203="Raw entry preparation","Entry-resource preparation",IF(G203="Not applicable","Finished endpoint",IF(OR(IFERROR(INDEX('Crafting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routes'!$D$6:$D$1005,MATCH(U203,'Material routes'!$A$6:$A$1005,0)),"MISSING ID")</x:f>
        <x:v>proposal.branch.husk_sheet</x:v>
      </x:c>
      <x:c r="T203" s="4" t="str">
        <x:f>IFERROR(INDEX('Material routes'!$D$6:$D$1005,MATCH(V203,'Material routes'!$A$6:$A$1005,0)),"MISSING ID")</x:f>
        <x:v>proposal.t3.husk_joint</x:v>
      </x:c>
      <x:c r="U203" s="4" t="str">
        <x:v>design.t3.husk_joint.in.1</x:v>
      </x:c>
      <x:c r="V203" s="4" t="str">
        <x:v>design.t3.husk_joint.out</x:v>
      </x:c>
    </x:row>
    <x:row r="204" ht="115" customHeight="1">
      <x:c r="A204" s="4" t="str">
        <x:f>IFERROR(INDEX('Material routes'!$E$6:$E$1005,MATCH(U204,'Material routes'!$A$6:$A$1005,0)),"MISSING ID")</x:f>
        <x:v>Flexible membrane-bonding compound</x:v>
      </x:c>
      <x:c r="B204" s="4" t="str">
        <x:f>IFERROR(INDEX('Material routes'!$F$6:$F$1005,MATCH(U204,'Material routes'!$A$6:$A$1005,0)),"MISSING ID")</x:f>
        <x:v>T2</x:v>
      </x:c>
      <x:c r="C204" s="4" t="str">
        <x:f>IFERROR(INDEX('Material routes'!$H$6:$H$1005,MATCH(U204,'Material routes'!$A$6:$A$1005,0)),"MISSING ID")</x:f>
        <x:v>Chemical material</x:v>
      </x:c>
      <x:c r="D204" s="4" t="str">
        <x:f>IFERROR(INDEX('Material routes'!$G$6:$G$1005,MATCH(U204,'Material routes'!$A$6:$A$1005,0)),"MISSING ID")</x:f>
        <x:v>Resources</x:v>
      </x:c>
      <x:c r="E204" s="4" t="str">
        <x:f>IFERROR(INDEX('Material routes'!$C$6:$C$1005,MATCH(U204,'Material routes'!$A$6:$A$1005,0)),"MISSING ID")</x:f>
        <x:v>Ingredient candidate</x:v>
      </x:c>
      <x:c r="F204" s="4" t="str">
        <x:f>IFERROR(INDEX('Material routes'!$E$6:$E$1005,MATCH(V204,'Material routes'!$A$6:$A$1005,0)),"MISSING ID")</x:f>
        <x:v>Flexible husk joint strips</x:v>
      </x:c>
      <x:c r="G204" s="4" t="str">
        <x:f>IFERROR(INDEX('Material routes'!$F$6:$F$1005,MATCH(V204,'Material routes'!$A$6:$A$1005,0)),"MISSING ID")</x:f>
        <x:v>T3</x:v>
      </x:c>
      <x:c r="H204" s="4" t="str">
        <x:f>IFERROR(INDEX('Material routes'!$H$6:$H$1005,MATCH(V204,'Material routes'!$A$6:$A$1005,0)),"MISSING ID")</x:f>
        <x:v>Processed material</x:v>
      </x:c>
      <x:c r="I204" s="4" t="str">
        <x:f>IFERROR(INDEX('Material routes'!$G$6:$G$1005,MATCH(V204,'Material routes'!$A$6:$A$1005,0)),"MISSING ID")</x:f>
        <x:v>Resources</x:v>
      </x:c>
      <x:c r="J204" s="4" t="str">
        <x:f>IFERROR(INDEX('Material routes'!$B$6:$B$1005,MATCH(U204,'Material routes'!$A$6:$A$1005,0)),"MISSING ID")</x:f>
        <x:v>design.t3.husk_joint</x:v>
      </x:c>
      <x:c r="K204" s="4" t="str">
        <x:f>IFERROR(INDEX('Crafting recipes'!$C$6:$C$1005,MATCH(J204,'Crafting recipes'!$A$6:$A$1005,0)),"MISSING ID")</x:f>
        <x:v>Material refinement</x:v>
      </x:c>
      <x:c r="L204" s="4" t="str">
        <x:f>IFERROR(INDEX('Material routes'!$K$6:$K$1005,MATCH(U204,'Material routes'!$A$6:$A$1005,0)),"MISSING ID")</x:f>
        <x:v>Proposal</x:v>
      </x:c>
      <x:c r="M204" s="4" t="str">
        <x:f>IFERROR(INDEX('Material routes'!$M$6:$M$1005,MATCH(U204,'Material routes'!$A$6:$A$1005,0)),"MISSING ID")</x:f>
        <x:v>Partial proposal</x:v>
      </x:c>
      <x:c r="N204" s="4" t="str">
        <x:f>IF(IFERROR(INDEX('Material routes'!$I$6:$I$1005,MATCH(U204,'Material routes'!$A$6:$A$1005,0)),"MISSING ID")=0,"",IFERROR(INDEX('Material routes'!$I$6:$I$1005,MATCH(U204,'Material routes'!$A$6:$A$1005,0)),"MISSING ID"))</x:f>
      </x:c>
      <x:c r="O204" s="4" t="str">
        <x:f>IFERROR(INDEX('Material routes'!$J$6:$J$1005,MATCH(U204,'Material routes'!$A$6:$A$1005,0)),"MISSING ID")</x:f>
        <x:v>Unspecified</x:v>
      </x:c>
      <x:c r="P204" s="4" t="str">
        <x:f>IF(IFERROR(INDEX('Material routes'!$I$6:$I$1005,MATCH(V204,'Material routes'!$A$6:$A$1005,0)),"MISSING ID")=0,"",IFERROR(INDEX('Material routes'!$I$6:$I$1005,MATCH(V204,'Material routes'!$A$6:$A$1005,0)),"MISSING ID"))</x:f>
      </x:c>
      <x:c r="Q204" s="4" t="str">
        <x:f>IFERROR(INDEX('Material routes'!$J$6:$J$1005,MATCH(V204,'Material routes'!$A$6:$A$1005,0)),"MISSING ID")</x:f>
        <x:v>Unspecified</x:v>
      </x:c>
      <x:c r="R204" s="4" t="str">
        <x:f>IF(L204="Withheld","Withheld premise",IF(E204="Tool candidate","Reusable prerequisite",IF(K204="Raw entry preparation","Entry-resource preparation",IF(G204="Not applicable","Finished endpoint",IF(OR(IFERROR(INDEX('Crafting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routes'!$D$6:$D$1005,MATCH(U204,'Material routes'!$A$6:$A$1005,0)),"MISSING ID")</x:f>
        <x:v>proposal.branch.flex_bond</x:v>
      </x:c>
      <x:c r="T204" s="4" t="str">
        <x:f>IFERROR(INDEX('Material routes'!$D$6:$D$1005,MATCH(V204,'Material routes'!$A$6:$A$1005,0)),"MISSING ID")</x:f>
        <x:v>proposal.t3.husk_joint</x:v>
      </x:c>
      <x:c r="U204" s="4" t="str">
        <x:v>design.t3.husk_joint.in.2</x:v>
      </x:c>
      <x:c r="V204" s="4" t="str">
        <x:v>design.t3.husk_joint.out</x:v>
      </x:c>
    </x:row>
    <x:row r="205" ht="115" customHeight="1">
      <x:c r="A205" s="4" t="str">
        <x:f>IFERROR(INDEX('Material routes'!$E$6:$E$1005,MATCH(U205,'Material routes'!$A$6:$A$1005,0)),"MISSING ID")</x:f>
        <x:v>Steel stock</x:v>
      </x:c>
      <x:c r="B205" s="4" t="str">
        <x:f>IFERROR(INDEX('Material routes'!$F$6:$F$1005,MATCH(U205,'Material routes'!$A$6:$A$1005,0)),"MISSING ID")</x:f>
        <x:v>T2</x:v>
      </x:c>
      <x:c r="C205" s="4" t="str">
        <x:f>IFERROR(INDEX('Material routes'!$H$6:$H$1005,MATCH(U205,'Material routes'!$A$6:$A$1005,0)),"MISSING ID")</x:f>
        <x:v>Processed material</x:v>
      </x:c>
      <x:c r="D205" s="4" t="str">
        <x:f>IFERROR(INDEX('Material routes'!$G$6:$G$1005,MATCH(U205,'Material routes'!$A$6:$A$1005,0)),"MISSING ID")</x:f>
        <x:v>Resources</x:v>
      </x:c>
      <x:c r="E205" s="4" t="str">
        <x:f>IFERROR(INDEX('Material routes'!$C$6:$C$1005,MATCH(U205,'Material routes'!$A$6:$A$1005,0)),"MISSING ID")</x:f>
        <x:v>Ingredient candidate</x:v>
      </x:c>
      <x:c r="F205" s="4" t="str">
        <x:f>IFERROR(INDEX('Material routes'!$E$6:$E$1005,MATCH(V205,'Material routes'!$A$6:$A$1005,0)),"MISSING ID")</x:f>
        <x:v>Bonded abrasive-faced stock</x:v>
      </x:c>
      <x:c r="G205" s="4" t="str">
        <x:f>IFERROR(INDEX('Material routes'!$F$6:$F$1005,MATCH(V205,'Material routes'!$A$6:$A$1005,0)),"MISSING ID")</x:f>
        <x:v>T3</x:v>
      </x:c>
      <x:c r="H205" s="4" t="str">
        <x:f>IFERROR(INDEX('Material routes'!$H$6:$H$1005,MATCH(V205,'Material routes'!$A$6:$A$1005,0)),"MISSING ID")</x:f>
        <x:v>Processed material</x:v>
      </x:c>
      <x:c r="I205" s="4" t="str">
        <x:f>IFERROR(INDEX('Material routes'!$G$6:$G$1005,MATCH(V205,'Material routes'!$A$6:$A$1005,0)),"MISSING ID")</x:f>
        <x:v>Resources</x:v>
      </x:c>
      <x:c r="J205" s="4" t="str">
        <x:f>IFERROR(INDEX('Material routes'!$B$6:$B$1005,MATCH(U205,'Material routes'!$A$6:$A$1005,0)),"MISSING ID")</x:f>
        <x:v>design.t3.abrasive_stock</x:v>
      </x:c>
      <x:c r="K205" s="4" t="str">
        <x:f>IFERROR(INDEX('Crafting recipes'!$C$6:$C$1005,MATCH(J205,'Crafting recipes'!$A$6:$A$1005,0)),"MISSING ID")</x:f>
        <x:v>Material refinement</x:v>
      </x:c>
      <x:c r="L205" s="4" t="str">
        <x:f>IFERROR(INDEX('Material routes'!$K$6:$K$1005,MATCH(U205,'Material routes'!$A$6:$A$1005,0)),"MISSING ID")</x:f>
        <x:v>Proposal</x:v>
      </x:c>
      <x:c r="M205" s="4" t="str">
        <x:f>IFERROR(INDEX('Material routes'!$M$6:$M$1005,MATCH(U205,'Material routes'!$A$6:$A$1005,0)),"MISSING ID")</x:f>
        <x:v>Partial proposal</x:v>
      </x:c>
      <x:c r="N205" s="4" t="str">
        <x:f>IF(IFERROR(INDEX('Material routes'!$I$6:$I$1005,MATCH(U205,'Material routes'!$A$6:$A$1005,0)),"MISSING ID")=0,"",IFERROR(INDEX('Material routes'!$I$6:$I$1005,MATCH(U205,'Material routes'!$A$6:$A$1005,0)),"MISSING ID"))</x:f>
      </x:c>
      <x:c r="O205" s="4" t="str">
        <x:f>IFERROR(INDEX('Material routes'!$J$6:$J$1005,MATCH(U205,'Material routes'!$A$6:$A$1005,0)),"MISSING ID")</x:f>
        <x:v>Unspecified</x:v>
      </x:c>
      <x:c r="P205" s="4" t="str">
        <x:f>IF(IFERROR(INDEX('Material routes'!$I$6:$I$1005,MATCH(V205,'Material routes'!$A$6:$A$1005,0)),"MISSING ID")=0,"",IFERROR(INDEX('Material routes'!$I$6:$I$1005,MATCH(V205,'Material routes'!$A$6:$A$1005,0)),"MISSING ID"))</x:f>
      </x:c>
      <x:c r="Q205" s="4" t="str">
        <x:f>IFERROR(INDEX('Material routes'!$J$6:$J$1005,MATCH(V205,'Material routes'!$A$6:$A$1005,0)),"MISSING ID")</x:f>
        <x:v>Unspecified</x:v>
      </x:c>
      <x:c r="R205" s="4" t="str">
        <x:f>IF(L205="Withheld","Withheld premise",IF(E205="Tool candidate","Reusable prerequisite",IF(K205="Raw entry preparation","Entry-resource preparation",IF(G205="Not applicable","Finished endpoint",IF(OR(IFERROR(INDEX('Crafting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routes'!$D$6:$D$1005,MATCH(U205,'Material routes'!$A$6:$A$1005,0)),"MISSING ID")</x:f>
        <x:v>author.metallurgy.steel_stock</x:v>
      </x:c>
      <x:c r="T205" s="4" t="str">
        <x:f>IFERROR(INDEX('Material routes'!$D$6:$D$1005,MATCH(V205,'Material routes'!$A$6:$A$1005,0)),"MISSING ID")</x:f>
        <x:v>proposal.t3.abrasive_stock</x:v>
      </x:c>
      <x:c r="U205" s="4" t="str">
        <x:v>design.t3.abrasive_stock.in.1</x:v>
      </x:c>
      <x:c r="V205" s="4" t="str">
        <x:v>design.t3.abrasive_stock.out</x:v>
      </x:c>
    </x:row>
    <x:row r="206" ht="115" customHeight="1">
      <x:c r="A206" s="4" t="str">
        <x:f>IFERROR(INDEX('Material routes'!$E$6:$E$1005,MATCH(U206,'Material routes'!$A$6:$A$1005,0)),"MISSING ID")</x:f>
        <x:v>Filled shell-binding compound</x:v>
      </x:c>
      <x:c r="B206" s="4" t="str">
        <x:f>IFERROR(INDEX('Material routes'!$F$6:$F$1005,MATCH(U206,'Material routes'!$A$6:$A$1005,0)),"MISSING ID")</x:f>
        <x:v>T2</x:v>
      </x:c>
      <x:c r="C206" s="4" t="str">
        <x:f>IFERROR(INDEX('Material routes'!$H$6:$H$1005,MATCH(U206,'Material routes'!$A$6:$A$1005,0)),"MISSING ID")</x:f>
        <x:v>Chemical material</x:v>
      </x:c>
      <x:c r="D206" s="4" t="str">
        <x:f>IFERROR(INDEX('Material routes'!$G$6:$G$1005,MATCH(U206,'Material routes'!$A$6:$A$1005,0)),"MISSING ID")</x:f>
        <x:v>Resources</x:v>
      </x:c>
      <x:c r="E206" s="4" t="str">
        <x:f>IFERROR(INDEX('Material routes'!$C$6:$C$1005,MATCH(U206,'Material routes'!$A$6:$A$1005,0)),"MISSING ID")</x:f>
        <x:v>Ingredient candidate</x:v>
      </x:c>
      <x:c r="F206" s="4" t="str">
        <x:f>IFERROR(INDEX('Material routes'!$E$6:$E$1005,MATCH(V206,'Material routes'!$A$6:$A$1005,0)),"MISSING ID")</x:f>
        <x:v>Bonded abrasive-faced stock</x:v>
      </x:c>
      <x:c r="G206" s="4" t="str">
        <x:f>IFERROR(INDEX('Material routes'!$F$6:$F$1005,MATCH(V206,'Material routes'!$A$6:$A$1005,0)),"MISSING ID")</x:f>
        <x:v>T3</x:v>
      </x:c>
      <x:c r="H206" s="4" t="str">
        <x:f>IFERROR(INDEX('Material routes'!$H$6:$H$1005,MATCH(V206,'Material routes'!$A$6:$A$1005,0)),"MISSING ID")</x:f>
        <x:v>Processed material</x:v>
      </x:c>
      <x:c r="I206" s="4" t="str">
        <x:f>IFERROR(INDEX('Material routes'!$G$6:$G$1005,MATCH(V206,'Material routes'!$A$6:$A$1005,0)),"MISSING ID")</x:f>
        <x:v>Resources</x:v>
      </x:c>
      <x:c r="J206" s="4" t="str">
        <x:f>IFERROR(INDEX('Material routes'!$B$6:$B$1005,MATCH(U206,'Material routes'!$A$6:$A$1005,0)),"MISSING ID")</x:f>
        <x:v>design.t3.abrasive_stock</x:v>
      </x:c>
      <x:c r="K206" s="4" t="str">
        <x:f>IFERROR(INDEX('Crafting recipes'!$C$6:$C$1005,MATCH(J206,'Crafting recipes'!$A$6:$A$1005,0)),"MISSING ID")</x:f>
        <x:v>Material refinement</x:v>
      </x:c>
      <x:c r="L206" s="4" t="str">
        <x:f>IFERROR(INDEX('Material routes'!$K$6:$K$1005,MATCH(U206,'Material routes'!$A$6:$A$1005,0)),"MISSING ID")</x:f>
        <x:v>Proposal</x:v>
      </x:c>
      <x:c r="M206" s="4" t="str">
        <x:f>IFERROR(INDEX('Material routes'!$M$6:$M$1005,MATCH(U206,'Material routes'!$A$6:$A$1005,0)),"MISSING ID")</x:f>
        <x:v>Partial proposal</x:v>
      </x:c>
      <x:c r="N206" s="4" t="str">
        <x:f>IF(IFERROR(INDEX('Material routes'!$I$6:$I$1005,MATCH(U206,'Material routes'!$A$6:$A$1005,0)),"MISSING ID")=0,"",IFERROR(INDEX('Material routes'!$I$6:$I$1005,MATCH(U206,'Material routes'!$A$6:$A$1005,0)),"MISSING ID"))</x:f>
      </x:c>
      <x:c r="O206" s="4" t="str">
        <x:f>IFERROR(INDEX('Material routes'!$J$6:$J$1005,MATCH(U206,'Material routes'!$A$6:$A$1005,0)),"MISSING ID")</x:f>
        <x:v>Unspecified</x:v>
      </x:c>
      <x:c r="P206" s="4" t="str">
        <x:f>IF(IFERROR(INDEX('Material routes'!$I$6:$I$1005,MATCH(V206,'Material routes'!$A$6:$A$1005,0)),"MISSING ID")=0,"",IFERROR(INDEX('Material routes'!$I$6:$I$1005,MATCH(V206,'Material routes'!$A$6:$A$1005,0)),"MISSING ID"))</x:f>
      </x:c>
      <x:c r="Q206" s="4" t="str">
        <x:f>IFERROR(INDEX('Material routes'!$J$6:$J$1005,MATCH(V206,'Material routes'!$A$6:$A$1005,0)),"MISSING ID")</x:f>
        <x:v>Unspecified</x:v>
      </x:c>
      <x:c r="R206" s="4" t="str">
        <x:f>IF(L206="Withheld","Withheld premise",IF(E206="Tool candidate","Reusable prerequisite",IF(K206="Raw entry preparation","Entry-resource preparation",IF(G206="Not applicable","Finished endpoint",IF(OR(IFERROR(INDEX('Crafting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routes'!$D$6:$D$1005,MATCH(U206,'Material routes'!$A$6:$A$1005,0)),"MISSING ID")</x:f>
        <x:v>proposal.branch.filled_binder</x:v>
      </x:c>
      <x:c r="T206" s="4" t="str">
        <x:f>IFERROR(INDEX('Material routes'!$D$6:$D$1005,MATCH(V206,'Material routes'!$A$6:$A$1005,0)),"MISSING ID")</x:f>
        <x:v>proposal.t3.abrasive_stock</x:v>
      </x:c>
      <x:c r="U206" s="4" t="str">
        <x:v>design.t3.abrasive_stock.in.2</x:v>
      </x:c>
      <x:c r="V206" s="4" t="str">
        <x:v>design.t3.abrasive_stock.out</x:v>
      </x:c>
    </x:row>
    <x:row r="207" ht="115" customHeight="1">
      <x:c r="A207" s="4" t="str">
        <x:f>IFERROR(INDEX('Material routes'!$E$6:$E$1005,MATCH(U207,'Material routes'!$A$6:$A$1005,0)),"MISSING ID")</x:f>
        <x:v>Graded abrasive grit</x:v>
      </x:c>
      <x:c r="B207" s="4" t="str">
        <x:f>IFERROR(INDEX('Material routes'!$F$6:$F$1005,MATCH(U207,'Material routes'!$A$6:$A$1005,0)),"MISSING ID")</x:f>
        <x:v>T1</x:v>
      </x:c>
      <x:c r="C207" s="4" t="str">
        <x:f>IFERROR(INDEX('Material routes'!$H$6:$H$1005,MATCH(U207,'Material routes'!$A$6:$A$1005,0)),"MISSING ID")</x:f>
        <x:v>Processed material</x:v>
      </x:c>
      <x:c r="D207" s="4" t="str">
        <x:f>IFERROR(INDEX('Material routes'!$G$6:$G$1005,MATCH(U207,'Material routes'!$A$6:$A$1005,0)),"MISSING ID")</x:f>
        <x:v>Resources</x:v>
      </x:c>
      <x:c r="E207" s="4" t="str">
        <x:f>IFERROR(INDEX('Material routes'!$C$6:$C$1005,MATCH(U207,'Material routes'!$A$6:$A$1005,0)),"MISSING ID")</x:f>
        <x:v>Ingredient candidate</x:v>
      </x:c>
      <x:c r="F207" s="4" t="str">
        <x:f>IFERROR(INDEX('Material routes'!$E$6:$E$1005,MATCH(V207,'Material routes'!$A$6:$A$1005,0)),"MISSING ID")</x:f>
        <x:v>Bonded abrasive-faced stock</x:v>
      </x:c>
      <x:c r="G207" s="4" t="str">
        <x:f>IFERROR(INDEX('Material routes'!$F$6:$F$1005,MATCH(V207,'Material routes'!$A$6:$A$1005,0)),"MISSING ID")</x:f>
        <x:v>T3</x:v>
      </x:c>
      <x:c r="H207" s="4" t="str">
        <x:f>IFERROR(INDEX('Material routes'!$H$6:$H$1005,MATCH(V207,'Material routes'!$A$6:$A$1005,0)),"MISSING ID")</x:f>
        <x:v>Processed material</x:v>
      </x:c>
      <x:c r="I207" s="4" t="str">
        <x:f>IFERROR(INDEX('Material routes'!$G$6:$G$1005,MATCH(V207,'Material routes'!$A$6:$A$1005,0)),"MISSING ID")</x:f>
        <x:v>Resources</x:v>
      </x:c>
      <x:c r="J207" s="4" t="str">
        <x:f>IFERROR(INDEX('Material routes'!$B$6:$B$1005,MATCH(U207,'Material routes'!$A$6:$A$1005,0)),"MISSING ID")</x:f>
        <x:v>design.t3.abrasive_stock</x:v>
      </x:c>
      <x:c r="K207" s="4" t="str">
        <x:f>IFERROR(INDEX('Crafting recipes'!$C$6:$C$1005,MATCH(J207,'Crafting recipes'!$A$6:$A$1005,0)),"MISSING ID")</x:f>
        <x:v>Material refinement</x:v>
      </x:c>
      <x:c r="L207" s="4" t="str">
        <x:f>IFERROR(INDEX('Material routes'!$K$6:$K$1005,MATCH(U207,'Material routes'!$A$6:$A$1005,0)),"MISSING ID")</x:f>
        <x:v>Proposal</x:v>
      </x:c>
      <x:c r="M207" s="4" t="str">
        <x:f>IFERROR(INDEX('Material routes'!$M$6:$M$1005,MATCH(U207,'Material routes'!$A$6:$A$1005,0)),"MISSING ID")</x:f>
        <x:v>Partial proposal</x:v>
      </x:c>
      <x:c r="N207" s="4" t="str">
        <x:f>IF(IFERROR(INDEX('Material routes'!$I$6:$I$1005,MATCH(U207,'Material routes'!$A$6:$A$1005,0)),"MISSING ID")=0,"",IFERROR(INDEX('Material routes'!$I$6:$I$1005,MATCH(U207,'Material routes'!$A$6:$A$1005,0)),"MISSING ID"))</x:f>
      </x:c>
      <x:c r="O207" s="4" t="str">
        <x:f>IFERROR(INDEX('Material routes'!$J$6:$J$1005,MATCH(U207,'Material routes'!$A$6:$A$1005,0)),"MISSING ID")</x:f>
        <x:v>Unspecified</x:v>
      </x:c>
      <x:c r="P207" s="4" t="str">
        <x:f>IF(IFERROR(INDEX('Material routes'!$I$6:$I$1005,MATCH(V207,'Material routes'!$A$6:$A$1005,0)),"MISSING ID")=0,"",IFERROR(INDEX('Material routes'!$I$6:$I$1005,MATCH(V207,'Material routes'!$A$6:$A$1005,0)),"MISSING ID"))</x:f>
      </x:c>
      <x:c r="Q207" s="4" t="str">
        <x:f>IFERROR(INDEX('Material routes'!$J$6:$J$1005,MATCH(V207,'Material routes'!$A$6:$A$1005,0)),"MISSING ID")</x:f>
        <x:v>Unspecified</x:v>
      </x:c>
      <x:c r="R207" s="4" t="str">
        <x:f>IF(L207="Withheld","Withheld premise",IF(E207="Tool candidate","Reusable prerequisite",IF(K207="Raw entry preparation","Entry-resource preparation",IF(G207="Not applicable","Finished endpoint",IF(OR(IFERROR(INDEX('Crafting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routes'!$D$6:$D$1005,MATCH(U207,'Material routes'!$A$6:$A$1005,0)),"MISSING ID")</x:f>
        <x:v>proposal.natural.abrasive</x:v>
      </x:c>
      <x:c r="T207" s="4" t="str">
        <x:f>IFERROR(INDEX('Material routes'!$D$6:$D$1005,MATCH(V207,'Material routes'!$A$6:$A$1005,0)),"MISSING ID")</x:f>
        <x:v>proposal.t3.abrasive_stock</x:v>
      </x:c>
      <x:c r="U207" s="4" t="str">
        <x:v>design.t3.abrasive_stock.in.3</x:v>
      </x:c>
      <x:c r="V207" s="4" t="str">
        <x:v>design.t3.abrasive_stock.out</x:v>
      </x:c>
    </x:row>
    <x:row r="208" ht="115" customHeight="1">
      <x:c r="A208" s="4" t="str">
        <x:f>IFERROR(INDEX('Material routes'!$E$6:$E$1005,MATCH(U208,'Material routes'!$A$6:$A$1005,0)),"MISSING ID")</x:f>
        <x:v>Polished gemstone blanks</x:v>
      </x:c>
      <x:c r="B208" s="4" t="str">
        <x:f>IFERROR(INDEX('Material routes'!$F$6:$F$1005,MATCH(U208,'Material routes'!$A$6:$A$1005,0)),"MISSING ID")</x:f>
        <x:v>T2</x:v>
      </x:c>
      <x:c r="C208" s="4" t="str">
        <x:f>IFERROR(INDEX('Material routes'!$H$6:$H$1005,MATCH(U208,'Material routes'!$A$6:$A$1005,0)),"MISSING ID")</x:f>
        <x:v>Processed material</x:v>
      </x:c>
      <x:c r="D208" s="4" t="str">
        <x:f>IFERROR(INDEX('Material routes'!$G$6:$G$1005,MATCH(U208,'Material routes'!$A$6:$A$1005,0)),"MISSING ID")</x:f>
        <x:v>Resources</x:v>
      </x:c>
      <x:c r="E208" s="4" t="str">
        <x:f>IFERROR(INDEX('Material routes'!$C$6:$C$1005,MATCH(U208,'Material routes'!$A$6:$A$1005,0)),"MISSING ID")</x:f>
        <x:v>Ingredient candidate</x:v>
      </x:c>
      <x:c r="F208" s="4" t="str">
        <x:f>IFERROR(INDEX('Material routes'!$E$6:$E$1005,MATCH(V208,'Material routes'!$A$6:$A$1005,0)),"MISSING ID")</x:f>
        <x:v>Gem-inlaid metal panel blanks</x:v>
      </x:c>
      <x:c r="G208" s="4" t="str">
        <x:f>IFERROR(INDEX('Material routes'!$F$6:$F$1005,MATCH(V208,'Material routes'!$A$6:$A$1005,0)),"MISSING ID")</x:f>
        <x:v>T3</x:v>
      </x:c>
      <x:c r="H208" s="4" t="str">
        <x:f>IFERROR(INDEX('Material routes'!$H$6:$H$1005,MATCH(V208,'Material routes'!$A$6:$A$1005,0)),"MISSING ID")</x:f>
        <x:v>Processed material</x:v>
      </x:c>
      <x:c r="I208" s="4" t="str">
        <x:f>IFERROR(INDEX('Material routes'!$G$6:$G$1005,MATCH(V208,'Material routes'!$A$6:$A$1005,0)),"MISSING ID")</x:f>
        <x:v>Resources</x:v>
      </x:c>
      <x:c r="J208" s="4" t="str">
        <x:f>IFERROR(INDEX('Material routes'!$B$6:$B$1005,MATCH(U208,'Material routes'!$A$6:$A$1005,0)),"MISSING ID")</x:f>
        <x:v>design.t3.inlay_stock</x:v>
      </x:c>
      <x:c r="K208" s="4" t="str">
        <x:f>IFERROR(INDEX('Crafting recipes'!$C$6:$C$1005,MATCH(J208,'Crafting recipes'!$A$6:$A$1005,0)),"MISSING ID")</x:f>
        <x:v>Material refinement</x:v>
      </x:c>
      <x:c r="L208" s="4" t="str">
        <x:f>IFERROR(INDEX('Material routes'!$K$6:$K$1005,MATCH(U208,'Material routes'!$A$6:$A$1005,0)),"MISSING ID")</x:f>
        <x:v>Proposal</x:v>
      </x:c>
      <x:c r="M208" s="4" t="str">
        <x:f>IFERROR(INDEX('Material routes'!$M$6:$M$1005,MATCH(U208,'Material routes'!$A$6:$A$1005,0)),"MISSING ID")</x:f>
        <x:v>Partial proposal</x:v>
      </x:c>
      <x:c r="N208" s="4" t="str">
        <x:f>IF(IFERROR(INDEX('Material routes'!$I$6:$I$1005,MATCH(U208,'Material routes'!$A$6:$A$1005,0)),"MISSING ID")=0,"",IFERROR(INDEX('Material routes'!$I$6:$I$1005,MATCH(U208,'Material routes'!$A$6:$A$1005,0)),"MISSING ID"))</x:f>
      </x:c>
      <x:c r="O208" s="4" t="str">
        <x:f>IFERROR(INDEX('Material routes'!$J$6:$J$1005,MATCH(U208,'Material routes'!$A$6:$A$1005,0)),"MISSING ID")</x:f>
        <x:v>Unspecified</x:v>
      </x:c>
      <x:c r="P208" s="4" t="str">
        <x:f>IF(IFERROR(INDEX('Material routes'!$I$6:$I$1005,MATCH(V208,'Material routes'!$A$6:$A$1005,0)),"MISSING ID")=0,"",IFERROR(INDEX('Material routes'!$I$6:$I$1005,MATCH(V208,'Material routes'!$A$6:$A$1005,0)),"MISSING ID"))</x:f>
      </x:c>
      <x:c r="Q208" s="4" t="str">
        <x:f>IFERROR(INDEX('Material routes'!$J$6:$J$1005,MATCH(V208,'Material routes'!$A$6:$A$1005,0)),"MISSING ID")</x:f>
        <x:v>Unspecified</x:v>
      </x:c>
      <x:c r="R208" s="4" t="str">
        <x:f>IF(L208="Withheld","Withheld premise",IF(E208="Tool candidate","Reusable prerequisite",IF(K208="Raw entry preparation","Entry-resource preparation",IF(G208="Not applicable","Finished endpoint",IF(OR(IFERROR(INDEX('Crafting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routes'!$D$6:$D$1005,MATCH(U208,'Material routes'!$A$6:$A$1005,0)),"MISSING ID")</x:f>
        <x:v>proposal.branch.polished_gem</x:v>
      </x:c>
      <x:c r="T208" s="4" t="str">
        <x:f>IFERROR(INDEX('Material routes'!$D$6:$D$1005,MATCH(V208,'Material routes'!$A$6:$A$1005,0)),"MISSING ID")</x:f>
        <x:v>proposal.t3.inlay_stock</x:v>
      </x:c>
      <x:c r="U208" s="4" t="str">
        <x:v>design.t3.inlay_stock.in.1</x:v>
      </x:c>
      <x:c r="V208" s="4" t="str">
        <x:v>design.t3.inlay_stock.out</x:v>
      </x:c>
    </x:row>
    <x:row r="209" ht="115" customHeight="1">
      <x:c r="A209" s="4" t="str">
        <x:f>IFERROR(INDEX('Material routes'!$E$6:$E$1005,MATCH(U209,'Material routes'!$A$6:$A$1005,0)),"MISSING ID")</x:f>
        <x:v>Steel stock</x:v>
      </x:c>
      <x:c r="B209" s="4" t="str">
        <x:f>IFERROR(INDEX('Material routes'!$F$6:$F$1005,MATCH(U209,'Material routes'!$A$6:$A$1005,0)),"MISSING ID")</x:f>
        <x:v>T2</x:v>
      </x:c>
      <x:c r="C209" s="4" t="str">
        <x:f>IFERROR(INDEX('Material routes'!$H$6:$H$1005,MATCH(U209,'Material routes'!$A$6:$A$1005,0)),"MISSING ID")</x:f>
        <x:v>Processed material</x:v>
      </x:c>
      <x:c r="D209" s="4" t="str">
        <x:f>IFERROR(INDEX('Material routes'!$G$6:$G$1005,MATCH(U209,'Material routes'!$A$6:$A$1005,0)),"MISSING ID")</x:f>
        <x:v>Resources</x:v>
      </x:c>
      <x:c r="E209" s="4" t="str">
        <x:f>IFERROR(INDEX('Material routes'!$C$6:$C$1005,MATCH(U209,'Material routes'!$A$6:$A$1005,0)),"MISSING ID")</x:f>
        <x:v>Ingredient candidate</x:v>
      </x:c>
      <x:c r="F209" s="4" t="str">
        <x:f>IFERROR(INDEX('Material routes'!$E$6:$E$1005,MATCH(V209,'Material routes'!$A$6:$A$1005,0)),"MISSING ID")</x:f>
        <x:v>Gem-inlaid metal panel blanks</x:v>
      </x:c>
      <x:c r="G209" s="4" t="str">
        <x:f>IFERROR(INDEX('Material routes'!$F$6:$F$1005,MATCH(V209,'Material routes'!$A$6:$A$1005,0)),"MISSING ID")</x:f>
        <x:v>T3</x:v>
      </x:c>
      <x:c r="H209" s="4" t="str">
        <x:f>IFERROR(INDEX('Material routes'!$H$6:$H$1005,MATCH(V209,'Material routes'!$A$6:$A$1005,0)),"MISSING ID")</x:f>
        <x:v>Processed material</x:v>
      </x:c>
      <x:c r="I209" s="4" t="str">
        <x:f>IFERROR(INDEX('Material routes'!$G$6:$G$1005,MATCH(V209,'Material routes'!$A$6:$A$1005,0)),"MISSING ID")</x:f>
        <x:v>Resources</x:v>
      </x:c>
      <x:c r="J209" s="4" t="str">
        <x:f>IFERROR(INDEX('Material routes'!$B$6:$B$1005,MATCH(U209,'Material routes'!$A$6:$A$1005,0)),"MISSING ID")</x:f>
        <x:v>design.t3.inlay_stock</x:v>
      </x:c>
      <x:c r="K209" s="4" t="str">
        <x:f>IFERROR(INDEX('Crafting recipes'!$C$6:$C$1005,MATCH(J209,'Crafting recipes'!$A$6:$A$1005,0)),"MISSING ID")</x:f>
        <x:v>Material refinement</x:v>
      </x:c>
      <x:c r="L209" s="4" t="str">
        <x:f>IFERROR(INDEX('Material routes'!$K$6:$K$1005,MATCH(U209,'Material routes'!$A$6:$A$1005,0)),"MISSING ID")</x:f>
        <x:v>Proposal</x:v>
      </x:c>
      <x:c r="M209" s="4" t="str">
        <x:f>IFERROR(INDEX('Material routes'!$M$6:$M$1005,MATCH(U209,'Material routes'!$A$6:$A$1005,0)),"MISSING ID")</x:f>
        <x:v>Partial proposal</x:v>
      </x:c>
      <x:c r="N209" s="4" t="str">
        <x:f>IF(IFERROR(INDEX('Material routes'!$I$6:$I$1005,MATCH(U209,'Material routes'!$A$6:$A$1005,0)),"MISSING ID")=0,"",IFERROR(INDEX('Material routes'!$I$6:$I$1005,MATCH(U209,'Material routes'!$A$6:$A$1005,0)),"MISSING ID"))</x:f>
      </x:c>
      <x:c r="O209" s="4" t="str">
        <x:f>IFERROR(INDEX('Material routes'!$J$6:$J$1005,MATCH(U209,'Material routes'!$A$6:$A$1005,0)),"MISSING ID")</x:f>
        <x:v>Unspecified</x:v>
      </x:c>
      <x:c r="P209" s="4" t="str">
        <x:f>IF(IFERROR(INDEX('Material routes'!$I$6:$I$1005,MATCH(V209,'Material routes'!$A$6:$A$1005,0)),"MISSING ID")=0,"",IFERROR(INDEX('Material routes'!$I$6:$I$1005,MATCH(V209,'Material routes'!$A$6:$A$1005,0)),"MISSING ID"))</x:f>
      </x:c>
      <x:c r="Q209" s="4" t="str">
        <x:f>IFERROR(INDEX('Material routes'!$J$6:$J$1005,MATCH(V209,'Material routes'!$A$6:$A$1005,0)),"MISSING ID")</x:f>
        <x:v>Unspecified</x:v>
      </x:c>
      <x:c r="R209" s="4" t="str">
        <x:f>IF(L209="Withheld","Withheld premise",IF(E209="Tool candidate","Reusable prerequisite",IF(K209="Raw entry preparation","Entry-resource preparation",IF(G209="Not applicable","Finished endpoint",IF(OR(IFERROR(INDEX('Crafting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routes'!$D$6:$D$1005,MATCH(U209,'Material routes'!$A$6:$A$1005,0)),"MISSING ID")</x:f>
        <x:v>author.metallurgy.steel_stock</x:v>
      </x:c>
      <x:c r="T209" s="4" t="str">
        <x:f>IFERROR(INDEX('Material routes'!$D$6:$D$1005,MATCH(V209,'Material routes'!$A$6:$A$1005,0)),"MISSING ID")</x:f>
        <x:v>proposal.t3.inlay_stock</x:v>
      </x:c>
      <x:c r="U209" s="4" t="str">
        <x:v>design.t3.inlay_stock.in.2</x:v>
      </x:c>
      <x:c r="V209" s="4" t="str">
        <x:v>design.t3.inlay_stock.out</x:v>
      </x:c>
    </x:row>
    <x:row r="210" ht="115" customHeight="1">
      <x:c r="A210" s="4" t="str">
        <x:f>IFERROR(INDEX('Material routes'!$E$6:$E$1005,MATCH(U210,'Material routes'!$A$6:$A$1005,0)),"MISSING ID")</x:f>
        <x:v>Filled shell-binding compound</x:v>
      </x:c>
      <x:c r="B210" s="4" t="str">
        <x:f>IFERROR(INDEX('Material routes'!$F$6:$F$1005,MATCH(U210,'Material routes'!$A$6:$A$1005,0)),"MISSING ID")</x:f>
        <x:v>T2</x:v>
      </x:c>
      <x:c r="C210" s="4" t="str">
        <x:f>IFERROR(INDEX('Material routes'!$H$6:$H$1005,MATCH(U210,'Material routes'!$A$6:$A$1005,0)),"MISSING ID")</x:f>
        <x:v>Chemical material</x:v>
      </x:c>
      <x:c r="D210" s="4" t="str">
        <x:f>IFERROR(INDEX('Material routes'!$G$6:$G$1005,MATCH(U210,'Material routes'!$A$6:$A$1005,0)),"MISSING ID")</x:f>
        <x:v>Resources</x:v>
      </x:c>
      <x:c r="E210" s="4" t="str">
        <x:f>IFERROR(INDEX('Material routes'!$C$6:$C$1005,MATCH(U210,'Material routes'!$A$6:$A$1005,0)),"MISSING ID")</x:f>
        <x:v>Ingredient candidate</x:v>
      </x:c>
      <x:c r="F210" s="4" t="str">
        <x:f>IFERROR(INDEX('Material routes'!$E$6:$E$1005,MATCH(V210,'Material routes'!$A$6:$A$1005,0)),"MISSING ID")</x:f>
        <x:v>Gem-inlaid metal panel blanks</x:v>
      </x:c>
      <x:c r="G210" s="4" t="str">
        <x:f>IFERROR(INDEX('Material routes'!$F$6:$F$1005,MATCH(V210,'Material routes'!$A$6:$A$1005,0)),"MISSING ID")</x:f>
        <x:v>T3</x:v>
      </x:c>
      <x:c r="H210" s="4" t="str">
        <x:f>IFERROR(INDEX('Material routes'!$H$6:$H$1005,MATCH(V210,'Material routes'!$A$6:$A$1005,0)),"MISSING ID")</x:f>
        <x:v>Processed material</x:v>
      </x:c>
      <x:c r="I210" s="4" t="str">
        <x:f>IFERROR(INDEX('Material routes'!$G$6:$G$1005,MATCH(V210,'Material routes'!$A$6:$A$1005,0)),"MISSING ID")</x:f>
        <x:v>Resources</x:v>
      </x:c>
      <x:c r="J210" s="4" t="str">
        <x:f>IFERROR(INDEX('Material routes'!$B$6:$B$1005,MATCH(U210,'Material routes'!$A$6:$A$1005,0)),"MISSING ID")</x:f>
        <x:v>design.t3.inlay_stock</x:v>
      </x:c>
      <x:c r="K210" s="4" t="str">
        <x:f>IFERROR(INDEX('Crafting recipes'!$C$6:$C$1005,MATCH(J210,'Crafting recipes'!$A$6:$A$1005,0)),"MISSING ID")</x:f>
        <x:v>Material refinement</x:v>
      </x:c>
      <x:c r="L210" s="4" t="str">
        <x:f>IFERROR(INDEX('Material routes'!$K$6:$K$1005,MATCH(U210,'Material routes'!$A$6:$A$1005,0)),"MISSING ID")</x:f>
        <x:v>Proposal</x:v>
      </x:c>
      <x:c r="M210" s="4" t="str">
        <x:f>IFERROR(INDEX('Material routes'!$M$6:$M$1005,MATCH(U210,'Material routes'!$A$6:$A$1005,0)),"MISSING ID")</x:f>
        <x:v>Partial proposal</x:v>
      </x:c>
      <x:c r="N210" s="4" t="str">
        <x:f>IF(IFERROR(INDEX('Material routes'!$I$6:$I$1005,MATCH(U210,'Material routes'!$A$6:$A$1005,0)),"MISSING ID")=0,"",IFERROR(INDEX('Material routes'!$I$6:$I$1005,MATCH(U210,'Material routes'!$A$6:$A$1005,0)),"MISSING ID"))</x:f>
      </x:c>
      <x:c r="O210" s="4" t="str">
        <x:f>IFERROR(INDEX('Material routes'!$J$6:$J$1005,MATCH(U210,'Material routes'!$A$6:$A$1005,0)),"MISSING ID")</x:f>
        <x:v>Unspecified</x:v>
      </x:c>
      <x:c r="P210" s="4" t="str">
        <x:f>IF(IFERROR(INDEX('Material routes'!$I$6:$I$1005,MATCH(V210,'Material routes'!$A$6:$A$1005,0)),"MISSING ID")=0,"",IFERROR(INDEX('Material routes'!$I$6:$I$1005,MATCH(V210,'Material routes'!$A$6:$A$1005,0)),"MISSING ID"))</x:f>
      </x:c>
      <x:c r="Q210" s="4" t="str">
        <x:f>IFERROR(INDEX('Material routes'!$J$6:$J$1005,MATCH(V210,'Material routes'!$A$6:$A$1005,0)),"MISSING ID")</x:f>
        <x:v>Unspecified</x:v>
      </x:c>
      <x:c r="R210" s="4" t="str">
        <x:f>IF(L210="Withheld","Withheld premise",IF(E210="Tool candidate","Reusable prerequisite",IF(K210="Raw entry preparation","Entry-resource preparation",IF(G210="Not applicable","Finished endpoint",IF(OR(IFERROR(INDEX('Crafting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routes'!$D$6:$D$1005,MATCH(U210,'Material routes'!$A$6:$A$1005,0)),"MISSING ID")</x:f>
        <x:v>proposal.branch.filled_binder</x:v>
      </x:c>
      <x:c r="T210" s="4" t="str">
        <x:f>IFERROR(INDEX('Material routes'!$D$6:$D$1005,MATCH(V210,'Material routes'!$A$6:$A$1005,0)),"MISSING ID")</x:f>
        <x:v>proposal.t3.inlay_stock</x:v>
      </x:c>
      <x:c r="U210" s="4" t="str">
        <x:v>design.t3.inlay_stock.in.3</x:v>
      </x:c>
      <x:c r="V210" s="4" t="str">
        <x:v>design.t3.inlay_stock.out</x:v>
      </x:c>
    </x:row>
    <x:row r="211" ht="115" customHeight="1">
      <x:c r="A211" s="4" t="str">
        <x:f>IFERROR(INDEX('Material routes'!$E$6:$E$1005,MATCH(U211,'Material routes'!$A$6:$A$1005,0)),"MISSING ID")</x:f>
        <x:v>Tuned stone stock</x:v>
      </x:c>
      <x:c r="B211" s="4" t="str">
        <x:f>IFERROR(INDEX('Material routes'!$F$6:$F$1005,MATCH(U211,'Material routes'!$A$6:$A$1005,0)),"MISSING ID")</x:f>
        <x:v>T2</x:v>
      </x:c>
      <x:c r="C211" s="4" t="str">
        <x:f>IFERROR(INDEX('Material routes'!$H$6:$H$1005,MATCH(U211,'Material routes'!$A$6:$A$1005,0)),"MISSING ID")</x:f>
        <x:v>Processed material</x:v>
      </x:c>
      <x:c r="D211" s="4" t="str">
        <x:f>IFERROR(INDEX('Material routes'!$G$6:$G$1005,MATCH(U211,'Material routes'!$A$6:$A$1005,0)),"MISSING ID")</x:f>
        <x:v>Resources</x:v>
      </x:c>
      <x:c r="E211" s="4" t="str">
        <x:f>IFERROR(INDEX('Material routes'!$C$6:$C$1005,MATCH(U211,'Material routes'!$A$6:$A$1005,0)),"MISSING ID")</x:f>
        <x:v>Ingredient candidate</x:v>
      </x:c>
      <x:c r="F211" s="4" t="str">
        <x:f>IFERROR(INDEX('Material routes'!$E$6:$E$1005,MATCH(V211,'Material routes'!$A$6:$A$1005,0)),"MISSING ID")</x:f>
        <x:v>Mounted tuned-stone inserts</x:v>
      </x:c>
      <x:c r="G211" s="4" t="str">
        <x:f>IFERROR(INDEX('Material routes'!$F$6:$F$1005,MATCH(V211,'Material routes'!$A$6:$A$1005,0)),"MISSING ID")</x:f>
        <x:v>T3</x:v>
      </x:c>
      <x:c r="H211" s="4" t="str">
        <x:f>IFERROR(INDEX('Material routes'!$H$6:$H$1005,MATCH(V211,'Material routes'!$A$6:$A$1005,0)),"MISSING ID")</x:f>
        <x:v>Crafting component</x:v>
      </x:c>
      <x:c r="I211" s="4" t="str">
        <x:f>IFERROR(INDEX('Material routes'!$G$6:$G$1005,MATCH(V211,'Material routes'!$A$6:$A$1005,0)),"MISSING ID")</x:f>
        <x:v>Crafting components</x:v>
      </x:c>
      <x:c r="J211" s="4" t="str">
        <x:f>IFERROR(INDEX('Material routes'!$B$6:$B$1005,MATCH(U211,'Material routes'!$A$6:$A$1005,0)),"MISSING ID")</x:f>
        <x:v>design.t3.tuned_insert</x:v>
      </x:c>
      <x:c r="K211" s="4" t="str">
        <x:f>IFERROR(INDEX('Crafting recipes'!$C$6:$C$1005,MATCH(J211,'Crafting recipes'!$A$6:$A$1005,0)),"MISSING ID")</x:f>
        <x:v>Material refinement</x:v>
      </x:c>
      <x:c r="L211" s="4" t="str">
        <x:f>IFERROR(INDEX('Material routes'!$K$6:$K$1005,MATCH(U211,'Material routes'!$A$6:$A$1005,0)),"MISSING ID")</x:f>
        <x:v>Proposal</x:v>
      </x:c>
      <x:c r="M211" s="4" t="str">
        <x:f>IFERROR(INDEX('Material routes'!$M$6:$M$1005,MATCH(U211,'Material routes'!$A$6:$A$1005,0)),"MISSING ID")</x:f>
        <x:v>Partial proposal</x:v>
      </x:c>
      <x:c r="N211" s="4" t="str">
        <x:f>IF(IFERROR(INDEX('Material routes'!$I$6:$I$1005,MATCH(U211,'Material routes'!$A$6:$A$1005,0)),"MISSING ID")=0,"",IFERROR(INDEX('Material routes'!$I$6:$I$1005,MATCH(U211,'Material routes'!$A$6:$A$1005,0)),"MISSING ID"))</x:f>
      </x:c>
      <x:c r="O211" s="4" t="str">
        <x:f>IFERROR(INDEX('Material routes'!$J$6:$J$1005,MATCH(U211,'Material routes'!$A$6:$A$1005,0)),"MISSING ID")</x:f>
        <x:v>Unspecified</x:v>
      </x:c>
      <x:c r="P211" s="4" t="str">
        <x:f>IF(IFERROR(INDEX('Material routes'!$I$6:$I$1005,MATCH(V211,'Material routes'!$A$6:$A$1005,0)),"MISSING ID")=0,"",IFERROR(INDEX('Material routes'!$I$6:$I$1005,MATCH(V211,'Material routes'!$A$6:$A$1005,0)),"MISSING ID"))</x:f>
      </x:c>
      <x:c r="Q211" s="4" t="str">
        <x:f>IFERROR(INDEX('Material routes'!$J$6:$J$1005,MATCH(V211,'Material routes'!$A$6:$A$1005,0)),"MISSING ID")</x:f>
        <x:v>Unspecified</x:v>
      </x:c>
      <x:c r="R211" s="4" t="str">
        <x:f>IF(L211="Withheld","Withheld premise",IF(E211="Tool candidate","Reusable prerequisite",IF(K211="Raw entry preparation","Entry-resource preparation",IF(G211="Not applicable","Finished endpoint",IF(OR(IFERROR(INDEX('Crafting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routes'!$D$6:$D$1005,MATCH(U211,'Material routes'!$A$6:$A$1005,0)),"MISSING ID")</x:f>
        <x:v>proposal.branch.tuned_stone</x:v>
      </x:c>
      <x:c r="T211" s="4" t="str">
        <x:f>IFERROR(INDEX('Material routes'!$D$6:$D$1005,MATCH(V211,'Material routes'!$A$6:$A$1005,0)),"MISSING ID")</x:f>
        <x:v>proposal.t3.tuned_insert</x:v>
      </x:c>
      <x:c r="U211" s="4" t="str">
        <x:v>design.t3.tuned_insert.in.1</x:v>
      </x:c>
      <x:c r="V211" s="4" t="str">
        <x:v>design.t3.tuned_insert.out</x:v>
      </x:c>
    </x:row>
    <x:row r="212" ht="115" customHeight="1">
      <x:c r="A212" s="4" t="str">
        <x:f>IFERROR(INDEX('Material routes'!$E$6:$E$1005,MATCH(U212,'Material routes'!$A$6:$A$1005,0)),"MISSING ID")</x:f>
        <x:v>Prepared bronze bearing stock</x:v>
      </x:c>
      <x:c r="B212" s="4" t="str">
        <x:f>IFERROR(INDEX('Material routes'!$F$6:$F$1005,MATCH(U212,'Material routes'!$A$6:$A$1005,0)),"MISSING ID")</x:f>
        <x:v>T2</x:v>
      </x:c>
      <x:c r="C212" s="4" t="str">
        <x:f>IFERROR(INDEX('Material routes'!$H$6:$H$1005,MATCH(U212,'Material routes'!$A$6:$A$1005,0)),"MISSING ID")</x:f>
        <x:v>Processed material</x:v>
      </x:c>
      <x:c r="D212" s="4" t="str">
        <x:f>IFERROR(INDEX('Material routes'!$G$6:$G$1005,MATCH(U212,'Material routes'!$A$6:$A$1005,0)),"MISSING ID")</x:f>
        <x:v>Resources</x:v>
      </x:c>
      <x:c r="E212" s="4" t="str">
        <x:f>IFERROR(INDEX('Material routes'!$C$6:$C$1005,MATCH(U212,'Material routes'!$A$6:$A$1005,0)),"MISSING ID")</x:f>
        <x:v>Ingredient candidate</x:v>
      </x:c>
      <x:c r="F212" s="4" t="str">
        <x:f>IFERROR(INDEX('Material routes'!$E$6:$E$1005,MATCH(V212,'Material routes'!$A$6:$A$1005,0)),"MISSING ID")</x:f>
        <x:v>Mounted tuned-stone inserts</x:v>
      </x:c>
      <x:c r="G212" s="4" t="str">
        <x:f>IFERROR(INDEX('Material routes'!$F$6:$F$1005,MATCH(V212,'Material routes'!$A$6:$A$1005,0)),"MISSING ID")</x:f>
        <x:v>T3</x:v>
      </x:c>
      <x:c r="H212" s="4" t="str">
        <x:f>IFERROR(INDEX('Material routes'!$H$6:$H$1005,MATCH(V212,'Material routes'!$A$6:$A$1005,0)),"MISSING ID")</x:f>
        <x:v>Crafting component</x:v>
      </x:c>
      <x:c r="I212" s="4" t="str">
        <x:f>IFERROR(INDEX('Material routes'!$G$6:$G$1005,MATCH(V212,'Material routes'!$A$6:$A$1005,0)),"MISSING ID")</x:f>
        <x:v>Crafting components</x:v>
      </x:c>
      <x:c r="J212" s="4" t="str">
        <x:f>IFERROR(INDEX('Material routes'!$B$6:$B$1005,MATCH(U212,'Material routes'!$A$6:$A$1005,0)),"MISSING ID")</x:f>
        <x:v>design.t3.tuned_insert</x:v>
      </x:c>
      <x:c r="K212" s="4" t="str">
        <x:f>IFERROR(INDEX('Crafting recipes'!$C$6:$C$1005,MATCH(J212,'Crafting recipes'!$A$6:$A$1005,0)),"MISSING ID")</x:f>
        <x:v>Material refinement</x:v>
      </x:c>
      <x:c r="L212" s="4" t="str">
        <x:f>IFERROR(INDEX('Material routes'!$K$6:$K$1005,MATCH(U212,'Material routes'!$A$6:$A$1005,0)),"MISSING ID")</x:f>
        <x:v>Proposal</x:v>
      </x:c>
      <x:c r="M212" s="4" t="str">
        <x:f>IFERROR(INDEX('Material routes'!$M$6:$M$1005,MATCH(U212,'Material routes'!$A$6:$A$1005,0)),"MISSING ID")</x:f>
        <x:v>Partial proposal</x:v>
      </x:c>
      <x:c r="N212" s="4" t="str">
        <x:f>IF(IFERROR(INDEX('Material routes'!$I$6:$I$1005,MATCH(U212,'Material routes'!$A$6:$A$1005,0)),"MISSING ID")=0,"",IFERROR(INDEX('Material routes'!$I$6:$I$1005,MATCH(U212,'Material routes'!$A$6:$A$1005,0)),"MISSING ID"))</x:f>
      </x:c>
      <x:c r="O212" s="4" t="str">
        <x:f>IFERROR(INDEX('Material routes'!$J$6:$J$1005,MATCH(U212,'Material routes'!$A$6:$A$1005,0)),"MISSING ID")</x:f>
        <x:v>Unspecified</x:v>
      </x:c>
      <x:c r="P212" s="4" t="str">
        <x:f>IF(IFERROR(INDEX('Material routes'!$I$6:$I$1005,MATCH(V212,'Material routes'!$A$6:$A$1005,0)),"MISSING ID")=0,"",IFERROR(INDEX('Material routes'!$I$6:$I$1005,MATCH(V212,'Material routes'!$A$6:$A$1005,0)),"MISSING ID"))</x:f>
      </x:c>
      <x:c r="Q212" s="4" t="str">
        <x:f>IFERROR(INDEX('Material routes'!$J$6:$J$1005,MATCH(V212,'Material routes'!$A$6:$A$1005,0)),"MISSING ID")</x:f>
        <x:v>Unspecified</x:v>
      </x:c>
      <x:c r="R212" s="4" t="str">
        <x:f>IF(L212="Withheld","Withheld premise",IF(E212="Tool candidate","Reusable prerequisite",IF(K212="Raw entry preparation","Entry-resource preparation",IF(G212="Not applicable","Finished endpoint",IF(OR(IFERROR(INDEX('Crafting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routes'!$D$6:$D$1005,MATCH(U212,'Material routes'!$A$6:$A$1005,0)),"MISSING ID")</x:f>
        <x:v>proposal.branch.bearing_bronze</x:v>
      </x:c>
      <x:c r="T212" s="4" t="str">
        <x:f>IFERROR(INDEX('Material routes'!$D$6:$D$1005,MATCH(V212,'Material routes'!$A$6:$A$1005,0)),"MISSING ID")</x:f>
        <x:v>proposal.t3.tuned_insert</x:v>
      </x:c>
      <x:c r="U212" s="4" t="str">
        <x:v>design.t3.tuned_insert.in.2</x:v>
      </x:c>
      <x:c r="V212" s="4" t="str">
        <x:v>design.t3.tuned_insert.out</x:v>
      </x:c>
    </x:row>
    <x:row r="213" ht="115" customHeight="1">
      <x:c r="A213" s="4" t="str">
        <x:f>IFERROR(INDEX('Material routes'!$E$6:$E$1005,MATCH(U213,'Material routes'!$A$6:$A$1005,0)),"MISSING ID")</x:f>
        <x:v>Shell laminate</x:v>
      </x:c>
      <x:c r="B213" s="4" t="str">
        <x:f>IFERROR(INDEX('Material routes'!$F$6:$F$1005,MATCH(U213,'Material routes'!$A$6:$A$1005,0)),"MISSING ID")</x:f>
        <x:v>T2</x:v>
      </x:c>
      <x:c r="C213" s="4" t="str">
        <x:f>IFERROR(INDEX('Material routes'!$H$6:$H$1005,MATCH(U213,'Material routes'!$A$6:$A$1005,0)),"MISSING ID")</x:f>
        <x:v>Crafting component</x:v>
      </x:c>
      <x:c r="D213" s="4" t="str">
        <x:f>IFERROR(INDEX('Material routes'!$G$6:$G$1005,MATCH(U213,'Material routes'!$A$6:$A$1005,0)),"MISSING ID")</x:f>
        <x:v>Crafting components</x:v>
      </x:c>
      <x:c r="E213" s="4" t="str">
        <x:f>IFERROR(INDEX('Material routes'!$C$6:$C$1005,MATCH(U213,'Material routes'!$A$6:$A$1005,0)),"MISSING ID")</x:f>
        <x:v>Ingredient candidate</x:v>
      </x:c>
      <x:c r="F213" s="4" t="str">
        <x:f>IFERROR(INDEX('Material routes'!$E$6:$E$1005,MATCH(V213,'Material routes'!$A$6:$A$1005,0)),"MISSING ID")</x:f>
        <x:v>Hinged shell-panel sets</x:v>
      </x:c>
      <x:c r="G213" s="4" t="str">
        <x:f>IFERROR(INDEX('Material routes'!$F$6:$F$1005,MATCH(V213,'Material routes'!$A$6:$A$1005,0)),"MISSING ID")</x:f>
        <x:v>T3</x:v>
      </x:c>
      <x:c r="H213" s="4" t="str">
        <x:f>IFERROR(INDEX('Material routes'!$H$6:$H$1005,MATCH(V213,'Material routes'!$A$6:$A$1005,0)),"MISSING ID")</x:f>
        <x:v>Crafting component</x:v>
      </x:c>
      <x:c r="I213" s="4" t="str">
        <x:f>IFERROR(INDEX('Material routes'!$G$6:$G$1005,MATCH(V213,'Material routes'!$A$6:$A$1005,0)),"MISSING ID")</x:f>
        <x:v>Crafting components</x:v>
      </x:c>
      <x:c r="J213" s="4" t="str">
        <x:f>IFERROR(INDEX('Material routes'!$B$6:$B$1005,MATCH(U213,'Material routes'!$A$6:$A$1005,0)),"MISSING ID")</x:f>
        <x:v>design.t3.hinged_shell</x:v>
      </x:c>
      <x:c r="K213" s="4" t="str">
        <x:f>IFERROR(INDEX('Crafting recipes'!$C$6:$C$1005,MATCH(J213,'Crafting recipes'!$A$6:$A$1005,0)),"MISSING ID")</x:f>
        <x:v>Material refinement</x:v>
      </x:c>
      <x:c r="L213" s="4" t="str">
        <x:f>IFERROR(INDEX('Material routes'!$K$6:$K$1005,MATCH(U213,'Material routes'!$A$6:$A$1005,0)),"MISSING ID")</x:f>
        <x:v>Proposal</x:v>
      </x:c>
      <x:c r="M213" s="4" t="str">
        <x:f>IFERROR(INDEX('Material routes'!$M$6:$M$1005,MATCH(U213,'Material routes'!$A$6:$A$1005,0)),"MISSING ID")</x:f>
        <x:v>Partial proposal</x:v>
      </x:c>
      <x:c r="N213" s="4" t="str">
        <x:f>IF(IFERROR(INDEX('Material routes'!$I$6:$I$1005,MATCH(U213,'Material routes'!$A$6:$A$1005,0)),"MISSING ID")=0,"",IFERROR(INDEX('Material routes'!$I$6:$I$1005,MATCH(U213,'Material routes'!$A$6:$A$1005,0)),"MISSING ID"))</x:f>
      </x:c>
      <x:c r="O213" s="4" t="str">
        <x:f>IFERROR(INDEX('Material routes'!$J$6:$J$1005,MATCH(U213,'Material routes'!$A$6:$A$1005,0)),"MISSING ID")</x:f>
        <x:v>Unspecified</x:v>
      </x:c>
      <x:c r="P213" s="4" t="str">
        <x:f>IF(IFERROR(INDEX('Material routes'!$I$6:$I$1005,MATCH(V213,'Material routes'!$A$6:$A$1005,0)),"MISSING ID")=0,"",IFERROR(INDEX('Material routes'!$I$6:$I$1005,MATCH(V213,'Material routes'!$A$6:$A$1005,0)),"MISSING ID"))</x:f>
      </x:c>
      <x:c r="Q213" s="4" t="str">
        <x:f>IFERROR(INDEX('Material routes'!$J$6:$J$1005,MATCH(V213,'Material routes'!$A$6:$A$1005,0)),"MISSING ID")</x:f>
        <x:v>Unspecified</x:v>
      </x:c>
      <x:c r="R213" s="4" t="str">
        <x:f>IF(L213="Withheld","Withheld premise",IF(E213="Tool candidate","Reusable prerequisite",IF(K213="Raw entry preparation","Entry-resource preparation",IF(G213="Not applicable","Finished endpoint",IF(OR(IFERROR(INDEX('Crafting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routes'!$D$6:$D$1005,MATCH(U213,'Material routes'!$A$6:$A$1005,0)),"MISSING ID")</x:f>
        <x:v>proposal.bio.laminate</x:v>
      </x:c>
      <x:c r="T213" s="4" t="str">
        <x:f>IFERROR(INDEX('Material routes'!$D$6:$D$1005,MATCH(V213,'Material routes'!$A$6:$A$1005,0)),"MISSING ID")</x:f>
        <x:v>proposal.t3.hinged_shell</x:v>
      </x:c>
      <x:c r="U213" s="4" t="str">
        <x:v>design.t3.hinged_shell.in.1</x:v>
      </x:c>
      <x:c r="V213" s="4" t="str">
        <x:v>design.t3.hinged_shell.out</x:v>
      </x:c>
    </x:row>
    <x:row r="214" ht="115" customHeight="1">
      <x:c r="A214" s="4" t="str">
        <x:f>IFERROR(INDEX('Material routes'!$E$6:$E$1005,MATCH(U214,'Material routes'!$A$6:$A$1005,0)),"MISSING ID")</x:f>
        <x:v>Prepared bronze bearing stock</x:v>
      </x:c>
      <x:c r="B214" s="4" t="str">
        <x:f>IFERROR(INDEX('Material routes'!$F$6:$F$1005,MATCH(U214,'Material routes'!$A$6:$A$1005,0)),"MISSING ID")</x:f>
        <x:v>T2</x:v>
      </x:c>
      <x:c r="C214" s="4" t="str">
        <x:f>IFERROR(INDEX('Material routes'!$H$6:$H$1005,MATCH(U214,'Material routes'!$A$6:$A$1005,0)),"MISSING ID")</x:f>
        <x:v>Processed material</x:v>
      </x:c>
      <x:c r="D214" s="4" t="str">
        <x:f>IFERROR(INDEX('Material routes'!$G$6:$G$1005,MATCH(U214,'Material routes'!$A$6:$A$1005,0)),"MISSING ID")</x:f>
        <x:v>Resources</x:v>
      </x:c>
      <x:c r="E214" s="4" t="str">
        <x:f>IFERROR(INDEX('Material routes'!$C$6:$C$1005,MATCH(U214,'Material routes'!$A$6:$A$1005,0)),"MISSING ID")</x:f>
        <x:v>Ingredient candidate</x:v>
      </x:c>
      <x:c r="F214" s="4" t="str">
        <x:f>IFERROR(INDEX('Material routes'!$E$6:$E$1005,MATCH(V214,'Material routes'!$A$6:$A$1005,0)),"MISSING ID")</x:f>
        <x:v>Hinged shell-panel sets</x:v>
      </x:c>
      <x:c r="G214" s="4" t="str">
        <x:f>IFERROR(INDEX('Material routes'!$F$6:$F$1005,MATCH(V214,'Material routes'!$A$6:$A$1005,0)),"MISSING ID")</x:f>
        <x:v>T3</x:v>
      </x:c>
      <x:c r="H214" s="4" t="str">
        <x:f>IFERROR(INDEX('Material routes'!$H$6:$H$1005,MATCH(V214,'Material routes'!$A$6:$A$1005,0)),"MISSING ID")</x:f>
        <x:v>Crafting component</x:v>
      </x:c>
      <x:c r="I214" s="4" t="str">
        <x:f>IFERROR(INDEX('Material routes'!$G$6:$G$1005,MATCH(V214,'Material routes'!$A$6:$A$1005,0)),"MISSING ID")</x:f>
        <x:v>Crafting components</x:v>
      </x:c>
      <x:c r="J214" s="4" t="str">
        <x:f>IFERROR(INDEX('Material routes'!$B$6:$B$1005,MATCH(U214,'Material routes'!$A$6:$A$1005,0)),"MISSING ID")</x:f>
        <x:v>design.t3.hinged_shell</x:v>
      </x:c>
      <x:c r="K214" s="4" t="str">
        <x:f>IFERROR(INDEX('Crafting recipes'!$C$6:$C$1005,MATCH(J214,'Crafting recipes'!$A$6:$A$1005,0)),"MISSING ID")</x:f>
        <x:v>Material refinement</x:v>
      </x:c>
      <x:c r="L214" s="4" t="str">
        <x:f>IFERROR(INDEX('Material routes'!$K$6:$K$1005,MATCH(U214,'Material routes'!$A$6:$A$1005,0)),"MISSING ID")</x:f>
        <x:v>Proposal</x:v>
      </x:c>
      <x:c r="M214" s="4" t="str">
        <x:f>IFERROR(INDEX('Material routes'!$M$6:$M$1005,MATCH(U214,'Material routes'!$A$6:$A$1005,0)),"MISSING ID")</x:f>
        <x:v>Partial proposal</x:v>
      </x:c>
      <x:c r="N214" s="4" t="str">
        <x:f>IF(IFERROR(INDEX('Material routes'!$I$6:$I$1005,MATCH(U214,'Material routes'!$A$6:$A$1005,0)),"MISSING ID")=0,"",IFERROR(INDEX('Material routes'!$I$6:$I$1005,MATCH(U214,'Material routes'!$A$6:$A$1005,0)),"MISSING ID"))</x:f>
      </x:c>
      <x:c r="O214" s="4" t="str">
        <x:f>IFERROR(INDEX('Material routes'!$J$6:$J$1005,MATCH(U214,'Material routes'!$A$6:$A$1005,0)),"MISSING ID")</x:f>
        <x:v>Unspecified</x:v>
      </x:c>
      <x:c r="P214" s="4" t="str">
        <x:f>IF(IFERROR(INDEX('Material routes'!$I$6:$I$1005,MATCH(V214,'Material routes'!$A$6:$A$1005,0)),"MISSING ID")=0,"",IFERROR(INDEX('Material routes'!$I$6:$I$1005,MATCH(V214,'Material routes'!$A$6:$A$1005,0)),"MISSING ID"))</x:f>
      </x:c>
      <x:c r="Q214" s="4" t="str">
        <x:f>IFERROR(INDEX('Material routes'!$J$6:$J$1005,MATCH(V214,'Material routes'!$A$6:$A$1005,0)),"MISSING ID")</x:f>
        <x:v>Unspecified</x:v>
      </x:c>
      <x:c r="R214" s="4" t="str">
        <x:f>IF(L214="Withheld","Withheld premise",IF(E214="Tool candidate","Reusable prerequisite",IF(K214="Raw entry preparation","Entry-resource preparation",IF(G214="Not applicable","Finished endpoint",IF(OR(IFERROR(INDEX('Crafting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routes'!$D$6:$D$1005,MATCH(U214,'Material routes'!$A$6:$A$1005,0)),"MISSING ID")</x:f>
        <x:v>proposal.branch.bearing_bronze</x:v>
      </x:c>
      <x:c r="T214" s="4" t="str">
        <x:f>IFERROR(INDEX('Material routes'!$D$6:$D$1005,MATCH(V214,'Material routes'!$A$6:$A$1005,0)),"MISSING ID")</x:f>
        <x:v>proposal.t3.hinged_shell</x:v>
      </x:c>
      <x:c r="U214" s="4" t="str">
        <x:v>design.t3.hinged_shell.in.2</x:v>
      </x:c>
      <x:c r="V214" s="4" t="str">
        <x:v>design.t3.hinged_shell.out</x:v>
      </x:c>
    </x:row>
    <x:row r="215" ht="115" customHeight="1">
      <x:c r="A215" s="4" t="str">
        <x:f>IFERROR(INDEX('Material routes'!$E$6:$E$1005,MATCH(U215,'Material routes'!$A$6:$A$1005,0)),"MISSING ID")</x:f>
        <x:v>Filled shell-binding compound</x:v>
      </x:c>
      <x:c r="B215" s="4" t="str">
        <x:f>IFERROR(INDEX('Material routes'!$F$6:$F$1005,MATCH(U215,'Material routes'!$A$6:$A$1005,0)),"MISSING ID")</x:f>
        <x:v>T2</x:v>
      </x:c>
      <x:c r="C215" s="4" t="str">
        <x:f>IFERROR(INDEX('Material routes'!$H$6:$H$1005,MATCH(U215,'Material routes'!$A$6:$A$1005,0)),"MISSING ID")</x:f>
        <x:v>Chemical material</x:v>
      </x:c>
      <x:c r="D215" s="4" t="str">
        <x:f>IFERROR(INDEX('Material routes'!$G$6:$G$1005,MATCH(U215,'Material routes'!$A$6:$A$1005,0)),"MISSING ID")</x:f>
        <x:v>Resources</x:v>
      </x:c>
      <x:c r="E215" s="4" t="str">
        <x:f>IFERROR(INDEX('Material routes'!$C$6:$C$1005,MATCH(U215,'Material routes'!$A$6:$A$1005,0)),"MISSING ID")</x:f>
        <x:v>Ingredient candidate</x:v>
      </x:c>
      <x:c r="F215" s="4" t="str">
        <x:f>IFERROR(INDEX('Material routes'!$E$6:$E$1005,MATCH(V215,'Material routes'!$A$6:$A$1005,0)),"MISSING ID")</x:f>
        <x:v>Hinged shell-panel sets</x:v>
      </x:c>
      <x:c r="G215" s="4" t="str">
        <x:f>IFERROR(INDEX('Material routes'!$F$6:$F$1005,MATCH(V215,'Material routes'!$A$6:$A$1005,0)),"MISSING ID")</x:f>
        <x:v>T3</x:v>
      </x:c>
      <x:c r="H215" s="4" t="str">
        <x:f>IFERROR(INDEX('Material routes'!$H$6:$H$1005,MATCH(V215,'Material routes'!$A$6:$A$1005,0)),"MISSING ID")</x:f>
        <x:v>Crafting component</x:v>
      </x:c>
      <x:c r="I215" s="4" t="str">
        <x:f>IFERROR(INDEX('Material routes'!$G$6:$G$1005,MATCH(V215,'Material routes'!$A$6:$A$1005,0)),"MISSING ID")</x:f>
        <x:v>Crafting components</x:v>
      </x:c>
      <x:c r="J215" s="4" t="str">
        <x:f>IFERROR(INDEX('Material routes'!$B$6:$B$1005,MATCH(U215,'Material routes'!$A$6:$A$1005,0)),"MISSING ID")</x:f>
        <x:v>design.t3.hinged_shell</x:v>
      </x:c>
      <x:c r="K215" s="4" t="str">
        <x:f>IFERROR(INDEX('Crafting recipes'!$C$6:$C$1005,MATCH(J215,'Crafting recipes'!$A$6:$A$1005,0)),"MISSING ID")</x:f>
        <x:v>Material refinement</x:v>
      </x:c>
      <x:c r="L215" s="4" t="str">
        <x:f>IFERROR(INDEX('Material routes'!$K$6:$K$1005,MATCH(U215,'Material routes'!$A$6:$A$1005,0)),"MISSING ID")</x:f>
        <x:v>Proposal</x:v>
      </x:c>
      <x:c r="M215" s="4" t="str">
        <x:f>IFERROR(INDEX('Material routes'!$M$6:$M$1005,MATCH(U215,'Material routes'!$A$6:$A$1005,0)),"MISSING ID")</x:f>
        <x:v>Partial proposal</x:v>
      </x:c>
      <x:c r="N215" s="4" t="str">
        <x:f>IF(IFERROR(INDEX('Material routes'!$I$6:$I$1005,MATCH(U215,'Material routes'!$A$6:$A$1005,0)),"MISSING ID")=0,"",IFERROR(INDEX('Material routes'!$I$6:$I$1005,MATCH(U215,'Material routes'!$A$6:$A$1005,0)),"MISSING ID"))</x:f>
      </x:c>
      <x:c r="O215" s="4" t="str">
        <x:f>IFERROR(INDEX('Material routes'!$J$6:$J$1005,MATCH(U215,'Material routes'!$A$6:$A$1005,0)),"MISSING ID")</x:f>
        <x:v>Unspecified</x:v>
      </x:c>
      <x:c r="P215" s="4" t="str">
        <x:f>IF(IFERROR(INDEX('Material routes'!$I$6:$I$1005,MATCH(V215,'Material routes'!$A$6:$A$1005,0)),"MISSING ID")=0,"",IFERROR(INDEX('Material routes'!$I$6:$I$1005,MATCH(V215,'Material routes'!$A$6:$A$1005,0)),"MISSING ID"))</x:f>
      </x:c>
      <x:c r="Q215" s="4" t="str">
        <x:f>IFERROR(INDEX('Material routes'!$J$6:$J$1005,MATCH(V215,'Material routes'!$A$6:$A$1005,0)),"MISSING ID")</x:f>
        <x:v>Unspecified</x:v>
      </x:c>
      <x:c r="R215" s="4" t="str">
        <x:f>IF(L215="Withheld","Withheld premise",IF(E215="Tool candidate","Reusable prerequisite",IF(K215="Raw entry preparation","Entry-resource preparation",IF(G215="Not applicable","Finished endpoint",IF(OR(IFERROR(INDEX('Crafting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routes'!$D$6:$D$1005,MATCH(U215,'Material routes'!$A$6:$A$1005,0)),"MISSING ID")</x:f>
        <x:v>proposal.branch.filled_binder</x:v>
      </x:c>
      <x:c r="T215" s="4" t="str">
        <x:f>IFERROR(INDEX('Material routes'!$D$6:$D$1005,MATCH(V215,'Material routes'!$A$6:$A$1005,0)),"MISSING ID")</x:f>
        <x:v>proposal.t3.hinged_shell</x:v>
      </x:c>
      <x:c r="U215" s="4" t="str">
        <x:v>design.t3.hinged_shell.in.3</x:v>
      </x:c>
      <x:c r="V215" s="4" t="str">
        <x:v>design.t3.hinged_shell.out</x:v>
      </x:c>
    </x:row>
    <x:row r="216" ht="115" customHeight="1">
      <x:c r="A216" s="4" t="str">
        <x:f>IFERROR(INDEX('Material routes'!$E$6:$E$1005,MATCH(U216,'Material routes'!$A$6:$A$1005,0)),"MISSING ID")</x:f>
        <x:v>Formed opaque glass sheet</x:v>
      </x:c>
      <x:c r="B216" s="4" t="str">
        <x:f>IFERROR(INDEX('Material routes'!$F$6:$F$1005,MATCH(U216,'Material routes'!$A$6:$A$1005,0)),"MISSING ID")</x:f>
        <x:v>T2</x:v>
      </x:c>
      <x:c r="C216" s="4" t="str">
        <x:f>IFERROR(INDEX('Material routes'!$H$6:$H$1005,MATCH(U216,'Material routes'!$A$6:$A$1005,0)),"MISSING ID")</x:f>
        <x:v>Processed material</x:v>
      </x:c>
      <x:c r="D216" s="4" t="str">
        <x:f>IFERROR(INDEX('Material routes'!$G$6:$G$1005,MATCH(U216,'Material routes'!$A$6:$A$1005,0)),"MISSING ID")</x:f>
        <x:v>Resources</x:v>
      </x:c>
      <x:c r="E216" s="4" t="str">
        <x:f>IFERROR(INDEX('Material routes'!$C$6:$C$1005,MATCH(U216,'Material routes'!$A$6:$A$1005,0)),"MISSING ID")</x:f>
        <x:v>Ingredient candidate</x:v>
      </x:c>
      <x:c r="F216" s="4" t="str">
        <x:f>IFERROR(INDEX('Material routes'!$E$6:$E$1005,MATCH(V216,'Material routes'!$A$6:$A$1005,0)),"MISSING ID")</x:f>
        <x:v>Bonded glass-ceramic lining stock</x:v>
      </x:c>
      <x:c r="G216" s="4" t="str">
        <x:f>IFERROR(INDEX('Material routes'!$F$6:$F$1005,MATCH(V216,'Material routes'!$A$6:$A$1005,0)),"MISSING ID")</x:f>
        <x:v>T3</x:v>
      </x:c>
      <x:c r="H216" s="4" t="str">
        <x:f>IFERROR(INDEX('Material routes'!$H$6:$H$1005,MATCH(V216,'Material routes'!$A$6:$A$1005,0)),"MISSING ID")</x:f>
        <x:v>Processed material</x:v>
      </x:c>
      <x:c r="I216" s="4" t="str">
        <x:f>IFERROR(INDEX('Material routes'!$G$6:$G$1005,MATCH(V216,'Material routes'!$A$6:$A$1005,0)),"MISSING ID")</x:f>
        <x:v>Resources</x:v>
      </x:c>
      <x:c r="J216" s="4" t="str">
        <x:f>IFERROR(INDEX('Material routes'!$B$6:$B$1005,MATCH(U216,'Material routes'!$A$6:$A$1005,0)),"MISSING ID")</x:f>
        <x:v>design.t3.lining_stock</x:v>
      </x:c>
      <x:c r="K216" s="4" t="str">
        <x:f>IFERROR(INDEX('Crafting recipes'!$C$6:$C$1005,MATCH(J216,'Crafting recipes'!$A$6:$A$1005,0)),"MISSING ID")</x:f>
        <x:v>Material refinement</x:v>
      </x:c>
      <x:c r="L216" s="4" t="str">
        <x:f>IFERROR(INDEX('Material routes'!$K$6:$K$1005,MATCH(U216,'Material routes'!$A$6:$A$1005,0)),"MISSING ID")</x:f>
        <x:v>Proposal</x:v>
      </x:c>
      <x:c r="M216" s="4" t="str">
        <x:f>IFERROR(INDEX('Material routes'!$M$6:$M$1005,MATCH(U216,'Material routes'!$A$6:$A$1005,0)),"MISSING ID")</x:f>
        <x:v>Partial proposal</x:v>
      </x:c>
      <x:c r="N216" s="4" t="str">
        <x:f>IF(IFERROR(INDEX('Material routes'!$I$6:$I$1005,MATCH(U216,'Material routes'!$A$6:$A$1005,0)),"MISSING ID")=0,"",IFERROR(INDEX('Material routes'!$I$6:$I$1005,MATCH(U216,'Material routes'!$A$6:$A$1005,0)),"MISSING ID"))</x:f>
      </x:c>
      <x:c r="O216" s="4" t="str">
        <x:f>IFERROR(INDEX('Material routes'!$J$6:$J$1005,MATCH(U216,'Material routes'!$A$6:$A$1005,0)),"MISSING ID")</x:f>
        <x:v>Unspecified</x:v>
      </x:c>
      <x:c r="P216" s="4" t="str">
        <x:f>IF(IFERROR(INDEX('Material routes'!$I$6:$I$1005,MATCH(V216,'Material routes'!$A$6:$A$1005,0)),"MISSING ID")=0,"",IFERROR(INDEX('Material routes'!$I$6:$I$1005,MATCH(V216,'Material routes'!$A$6:$A$1005,0)),"MISSING ID"))</x:f>
      </x:c>
      <x:c r="Q216" s="4" t="str">
        <x:f>IFERROR(INDEX('Material routes'!$J$6:$J$1005,MATCH(V216,'Material routes'!$A$6:$A$1005,0)),"MISSING ID")</x:f>
        <x:v>Unspecified</x:v>
      </x:c>
      <x:c r="R216" s="4" t="str">
        <x:f>IF(L216="Withheld","Withheld premise",IF(E216="Tool candidate","Reusable prerequisite",IF(K216="Raw entry preparation","Entry-resource preparation",IF(G216="Not applicable","Finished endpoint",IF(OR(IFERROR(INDEX('Crafting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routes'!$D$6:$D$1005,MATCH(U216,'Material routes'!$A$6:$A$1005,0)),"MISSING ID")</x:f>
        <x:v>proposal.branch.opaque_sheet</x:v>
      </x:c>
      <x:c r="T216" s="4" t="str">
        <x:f>IFERROR(INDEX('Material routes'!$D$6:$D$1005,MATCH(V216,'Material routes'!$A$6:$A$1005,0)),"MISSING ID")</x:f>
        <x:v>proposal.t3.lining_stock</x:v>
      </x:c>
      <x:c r="U216" s="4" t="str">
        <x:v>design.t3.lining_stock.in.1</x:v>
      </x:c>
      <x:c r="V216" s="4" t="str">
        <x:v>design.t3.lining_stock.out</x:v>
      </x:c>
    </x:row>
    <x:row r="217" ht="115" customHeight="1">
      <x:c r="A217" s="4" t="str">
        <x:f>IFERROR(INDEX('Material routes'!$E$6:$E$1005,MATCH(U217,'Material routes'!$A$6:$A$1005,0)),"MISSING ID")</x:f>
        <x:v>Insulating ceramic blanks</x:v>
      </x:c>
      <x:c r="B217" s="4" t="str">
        <x:f>IFERROR(INDEX('Material routes'!$F$6:$F$1005,MATCH(U217,'Material routes'!$A$6:$A$1005,0)),"MISSING ID")</x:f>
        <x:v>T2</x:v>
      </x:c>
      <x:c r="C217" s="4" t="str">
        <x:f>IFERROR(INDEX('Material routes'!$H$6:$H$1005,MATCH(U217,'Material routes'!$A$6:$A$1005,0)),"MISSING ID")</x:f>
        <x:v>Processed material</x:v>
      </x:c>
      <x:c r="D217" s="4" t="str">
        <x:f>IFERROR(INDEX('Material routes'!$G$6:$G$1005,MATCH(U217,'Material routes'!$A$6:$A$1005,0)),"MISSING ID")</x:f>
        <x:v>Resources</x:v>
      </x:c>
      <x:c r="E217" s="4" t="str">
        <x:f>IFERROR(INDEX('Material routes'!$C$6:$C$1005,MATCH(U217,'Material routes'!$A$6:$A$1005,0)),"MISSING ID")</x:f>
        <x:v>Ingredient candidate</x:v>
      </x:c>
      <x:c r="F217" s="4" t="str">
        <x:f>IFERROR(INDEX('Material routes'!$E$6:$E$1005,MATCH(V217,'Material routes'!$A$6:$A$1005,0)),"MISSING ID")</x:f>
        <x:v>Bonded glass-ceramic lining stock</x:v>
      </x:c>
      <x:c r="G217" s="4" t="str">
        <x:f>IFERROR(INDEX('Material routes'!$F$6:$F$1005,MATCH(V217,'Material routes'!$A$6:$A$1005,0)),"MISSING ID")</x:f>
        <x:v>T3</x:v>
      </x:c>
      <x:c r="H217" s="4" t="str">
        <x:f>IFERROR(INDEX('Material routes'!$H$6:$H$1005,MATCH(V217,'Material routes'!$A$6:$A$1005,0)),"MISSING ID")</x:f>
        <x:v>Processed material</x:v>
      </x:c>
      <x:c r="I217" s="4" t="str">
        <x:f>IFERROR(INDEX('Material routes'!$G$6:$G$1005,MATCH(V217,'Material routes'!$A$6:$A$1005,0)),"MISSING ID")</x:f>
        <x:v>Resources</x:v>
      </x:c>
      <x:c r="J217" s="4" t="str">
        <x:f>IFERROR(INDEX('Material routes'!$B$6:$B$1005,MATCH(U217,'Material routes'!$A$6:$A$1005,0)),"MISSING ID")</x:f>
        <x:v>design.t3.lining_stock</x:v>
      </x:c>
      <x:c r="K217" s="4" t="str">
        <x:f>IFERROR(INDEX('Crafting recipes'!$C$6:$C$1005,MATCH(J217,'Crafting recipes'!$A$6:$A$1005,0)),"MISSING ID")</x:f>
        <x:v>Material refinement</x:v>
      </x:c>
      <x:c r="L217" s="4" t="str">
        <x:f>IFERROR(INDEX('Material routes'!$K$6:$K$1005,MATCH(U217,'Material routes'!$A$6:$A$1005,0)),"MISSING ID")</x:f>
        <x:v>Proposal</x:v>
      </x:c>
      <x:c r="M217" s="4" t="str">
        <x:f>IFERROR(INDEX('Material routes'!$M$6:$M$1005,MATCH(U217,'Material routes'!$A$6:$A$1005,0)),"MISSING ID")</x:f>
        <x:v>Partial proposal</x:v>
      </x:c>
      <x:c r="N217" s="4" t="str">
        <x:f>IF(IFERROR(INDEX('Material routes'!$I$6:$I$1005,MATCH(U217,'Material routes'!$A$6:$A$1005,0)),"MISSING ID")=0,"",IFERROR(INDEX('Material routes'!$I$6:$I$1005,MATCH(U217,'Material routes'!$A$6:$A$1005,0)),"MISSING ID"))</x:f>
      </x:c>
      <x:c r="O217" s="4" t="str">
        <x:f>IFERROR(INDEX('Material routes'!$J$6:$J$1005,MATCH(U217,'Material routes'!$A$6:$A$1005,0)),"MISSING ID")</x:f>
        <x:v>Unspecified</x:v>
      </x:c>
      <x:c r="P217" s="4" t="str">
        <x:f>IF(IFERROR(INDEX('Material routes'!$I$6:$I$1005,MATCH(V217,'Material routes'!$A$6:$A$1005,0)),"MISSING ID")=0,"",IFERROR(INDEX('Material routes'!$I$6:$I$1005,MATCH(V217,'Material routes'!$A$6:$A$1005,0)),"MISSING ID"))</x:f>
      </x:c>
      <x:c r="Q217" s="4" t="str">
        <x:f>IFERROR(INDEX('Material routes'!$J$6:$J$1005,MATCH(V217,'Material routes'!$A$6:$A$1005,0)),"MISSING ID")</x:f>
        <x:v>Unspecified</x:v>
      </x:c>
      <x:c r="R217" s="4" t="str">
        <x:f>IF(L217="Withheld","Withheld premise",IF(E217="Tool candidate","Reusable prerequisite",IF(K217="Raw entry preparation","Entry-resource preparation",IF(G217="Not applicable","Finished endpoint",IF(OR(IFERROR(INDEX('Crafting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routes'!$D$6:$D$1005,MATCH(U217,'Material routes'!$A$6:$A$1005,0)),"MISSING ID")</x:f>
        <x:v>proposal.natural.ceramic</x:v>
      </x:c>
      <x:c r="T217" s="4" t="str">
        <x:f>IFERROR(INDEX('Material routes'!$D$6:$D$1005,MATCH(V217,'Material routes'!$A$6:$A$1005,0)),"MISSING ID")</x:f>
        <x:v>proposal.t3.lining_stock</x:v>
      </x:c>
      <x:c r="U217" s="4" t="str">
        <x:v>design.t3.lining_stock.in.2</x:v>
      </x:c>
      <x:c r="V217" s="4" t="str">
        <x:v>design.t3.lining_stock.out</x:v>
      </x:c>
    </x:row>
    <x:row r="218" ht="115" customHeight="1">
      <x:c r="A218" s="4" t="str">
        <x:f>IFERROR(INDEX('Material routes'!$E$6:$E$1005,MATCH(U218,'Material routes'!$A$6:$A$1005,0)),"MISSING ID")</x:f>
        <x:v>Filled shell-binding compound</x:v>
      </x:c>
      <x:c r="B218" s="4" t="str">
        <x:f>IFERROR(INDEX('Material routes'!$F$6:$F$1005,MATCH(U218,'Material routes'!$A$6:$A$1005,0)),"MISSING ID")</x:f>
        <x:v>T2</x:v>
      </x:c>
      <x:c r="C218" s="4" t="str">
        <x:f>IFERROR(INDEX('Material routes'!$H$6:$H$1005,MATCH(U218,'Material routes'!$A$6:$A$1005,0)),"MISSING ID")</x:f>
        <x:v>Chemical material</x:v>
      </x:c>
      <x:c r="D218" s="4" t="str">
        <x:f>IFERROR(INDEX('Material routes'!$G$6:$G$1005,MATCH(U218,'Material routes'!$A$6:$A$1005,0)),"MISSING ID")</x:f>
        <x:v>Resources</x:v>
      </x:c>
      <x:c r="E218" s="4" t="str">
        <x:f>IFERROR(INDEX('Material routes'!$C$6:$C$1005,MATCH(U218,'Material routes'!$A$6:$A$1005,0)),"MISSING ID")</x:f>
        <x:v>Ingredient candidate</x:v>
      </x:c>
      <x:c r="F218" s="4" t="str">
        <x:f>IFERROR(INDEX('Material routes'!$E$6:$E$1005,MATCH(V218,'Material routes'!$A$6:$A$1005,0)),"MISSING ID")</x:f>
        <x:v>Bonded glass-ceramic lining stock</x:v>
      </x:c>
      <x:c r="G218" s="4" t="str">
        <x:f>IFERROR(INDEX('Material routes'!$F$6:$F$1005,MATCH(V218,'Material routes'!$A$6:$A$1005,0)),"MISSING ID")</x:f>
        <x:v>T3</x:v>
      </x:c>
      <x:c r="H218" s="4" t="str">
        <x:f>IFERROR(INDEX('Material routes'!$H$6:$H$1005,MATCH(V218,'Material routes'!$A$6:$A$1005,0)),"MISSING ID")</x:f>
        <x:v>Processed material</x:v>
      </x:c>
      <x:c r="I218" s="4" t="str">
        <x:f>IFERROR(INDEX('Material routes'!$G$6:$G$1005,MATCH(V218,'Material routes'!$A$6:$A$1005,0)),"MISSING ID")</x:f>
        <x:v>Resources</x:v>
      </x:c>
      <x:c r="J218" s="4" t="str">
        <x:f>IFERROR(INDEX('Material routes'!$B$6:$B$1005,MATCH(U218,'Material routes'!$A$6:$A$1005,0)),"MISSING ID")</x:f>
        <x:v>design.t3.lining_stock</x:v>
      </x:c>
      <x:c r="K218" s="4" t="str">
        <x:f>IFERROR(INDEX('Crafting recipes'!$C$6:$C$1005,MATCH(J218,'Crafting recipes'!$A$6:$A$1005,0)),"MISSING ID")</x:f>
        <x:v>Material refinement</x:v>
      </x:c>
      <x:c r="L218" s="4" t="str">
        <x:f>IFERROR(INDEX('Material routes'!$K$6:$K$1005,MATCH(U218,'Material routes'!$A$6:$A$1005,0)),"MISSING ID")</x:f>
        <x:v>Proposal</x:v>
      </x:c>
      <x:c r="M218" s="4" t="str">
        <x:f>IFERROR(INDEX('Material routes'!$M$6:$M$1005,MATCH(U218,'Material routes'!$A$6:$A$1005,0)),"MISSING ID")</x:f>
        <x:v>Partial proposal</x:v>
      </x:c>
      <x:c r="N218" s="4" t="str">
        <x:f>IF(IFERROR(INDEX('Material routes'!$I$6:$I$1005,MATCH(U218,'Material routes'!$A$6:$A$1005,0)),"MISSING ID")=0,"",IFERROR(INDEX('Material routes'!$I$6:$I$1005,MATCH(U218,'Material routes'!$A$6:$A$1005,0)),"MISSING ID"))</x:f>
      </x:c>
      <x:c r="O218" s="4" t="str">
        <x:f>IFERROR(INDEX('Material routes'!$J$6:$J$1005,MATCH(U218,'Material routes'!$A$6:$A$1005,0)),"MISSING ID")</x:f>
        <x:v>Unspecified</x:v>
      </x:c>
      <x:c r="P218" s="4" t="str">
        <x:f>IF(IFERROR(INDEX('Material routes'!$I$6:$I$1005,MATCH(V218,'Material routes'!$A$6:$A$1005,0)),"MISSING ID")=0,"",IFERROR(INDEX('Material routes'!$I$6:$I$1005,MATCH(V218,'Material routes'!$A$6:$A$1005,0)),"MISSING ID"))</x:f>
      </x:c>
      <x:c r="Q218" s="4" t="str">
        <x:f>IFERROR(INDEX('Material routes'!$J$6:$J$1005,MATCH(V218,'Material routes'!$A$6:$A$1005,0)),"MISSING ID")</x:f>
        <x:v>Unspecified</x:v>
      </x:c>
      <x:c r="R218" s="4" t="str">
        <x:f>IF(L218="Withheld","Withheld premise",IF(E218="Tool candidate","Reusable prerequisite",IF(K218="Raw entry preparation","Entry-resource preparation",IF(G218="Not applicable","Finished endpoint",IF(OR(IFERROR(INDEX('Crafting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routes'!$D$6:$D$1005,MATCH(U218,'Material routes'!$A$6:$A$1005,0)),"MISSING ID")</x:f>
        <x:v>proposal.branch.filled_binder</x:v>
      </x:c>
      <x:c r="T218" s="4" t="str">
        <x:f>IFERROR(INDEX('Material routes'!$D$6:$D$1005,MATCH(V218,'Material routes'!$A$6:$A$1005,0)),"MISSING ID")</x:f>
        <x:v>proposal.t3.lining_stock</x:v>
      </x:c>
      <x:c r="U218" s="4" t="str">
        <x:v>design.t3.lining_stock.in.3</x:v>
      </x:c>
      <x:c r="V218" s="4" t="str">
        <x:v>design.t3.lining_stock.out</x:v>
      </x:c>
    </x:row>
  </x:sheetData>
  <x:pageMargins left="0.7" right="0.7" top="0.75" bottom="0.75" header="0.3" footer="0.3"/>
  <x:tableParts count="1">
    <x:tablePart xmlns:r="http://schemas.openxmlformats.org/officeDocument/2006/relationships" r:id="R07a5627f4cc6440a"/>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x:f>
        <x:v>Preloaded spring subassembly; Layered protective composite stock</x:v>
      </x:c>
      <x:c r="F6" s="4" t="str">
        <x:v>Forging tools, fitted protection, machinery parts</x:v>
      </x:c>
      <x:c r="G6" s="4" t="str">
        <x:v>Some products stop at T2 steel. Alloying and heat treatment need selected chemistry; no water-quench default. T4 readiness ideas (not new catalogued T4 recipes): Heat-treated steel gear blanks → Matched drive subassembly; tooth form, load, bearings and fit still needed. Lapped bronze bearing blanks → Matched bearing cartridge for a dirtboard hub or machine joint; these require separate sizes. Drawn steel tube stock → Sail-spar joint or valve-body subassembly; pressure and structural services need different qualification. Bonded abrasive-faced stock → Matched finishing-tool head; workshop tools are reusable prerequisites in other recipes, not consumed tier inputs.</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x:f>
        <x:v>Encapsulated conductor stock</x:v>
      </x:c>
      <x:c r="F7" s="4" t="str">
        <x:v>Electrical tools, radio components, field equipment</x:v>
      </x:c>
      <x:c r="G7" s="4" t="str">
        <x:v>Intended roles only; no electrical rating or ancient-machine reproduction is established. T4 readiness ideas (not new catalogued T4 recipes): Braided copper grounding stock → Grounding lead subassembly with fitted terminals; grounding never implies insulation or storm immunity. Wound copper coil blanks → Radio tuning or magnetic-device subassembly; winding purpose, insulation, power and control are still needed. Woven copper mesh stock → Screened radio enclosure insert; shielding behavior, joints and frequency range unresolved. Fitted ceramic contact mounts → Serviceable contact-block subassembly for radios or field equipment; no voltage rating assigned. Ceramic-metal feedthrough blanks → Sealed electrical interface subassembly; expansion mismatch, leakage and chemical compatibility are unresolved. Matched ceramic spacer sets → Fitted insulating support subassembly; dimensions and actual clearance requirements remain open.</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x:f>
        <x:v>Layered protective composite stock</x:v>
      </x:c>
      <x:c r="F8" s="4" t="str">
        <x:v>Pottery, insulators, workshop crucibles, fitted protection</x:v>
      </x:c>
      <x:c r="G8" s="4" t="str">
        <x:v>Electrical ceramics and refractory grades are separate services. Binder/firing qualification remains open. T4 readiness ideas (not new catalogued T4 recipes): Bonded glass-ceramic lining stock → Fitted chemical-vessel insert subassembly; not every faunal liquid is compatible and thermal service is separate.</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x:f>
        <x:v>Layered protective composite stock</x:v>
      </x:c>
      <x:c r="F11" s="4" t="str">
        <x:v>Armor plates, shields and machine covers</x:v>
      </x:c>
      <x:c r="G11" s="4" t="str">
        <x:v>Cheap raw shell can become costly qualified stock; no ballistic or universal performance guarantee. T4 readiness ideas (not new catalogued T4 recipes): Hinged shell-panel sets → Articulated guard subassembly for later armor or machine covers; no ballistic rating or universal fit.</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x:f>
        <x:v>Sealed composite casing stock; Encapsulated conductor stock</x:v>
      </x:c>
      <x:c r="F12" s="4" t="str">
        <x:v>Canister service, dust exclusion, mechanical maintenance</x:v>
      </x:c>
      <x:c r="G12" s="4" t="str">
        <x:v>Separate lubricant, adhesive and sealing functions. No raw-fat/wax assumption; canister grades need compatibility/pressure design. T4 readiness ideas (not new catalogued T4 recipes): Husk-reinforced packing stock → Dust-exclusion gland subassembly; this is not automatically a pressure seal or a canister-safe material. Conditioned mechanism-service grease → Service-lubricated bearing cartridge; viscosity, contamination, toxicity and compatibility remain unqualified.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"No further stock proposed"</x:f>
        <x:v>No further stock proposed</x:v>
      </x:c>
      <x:c r="F13" s="4" t="str">
        <x:v>Handheld sails, vertical shades, wind devices</x:v>
      </x:c>
      <x:c r="G13" s="4" t="str">
        <x:v>Earlier T2 stock remains usable directly; joining, frames and service limits are still needed for finished gear. T4 readiness ideas (not new catalogued T4 recipes): Bonded wing-seam reinforcement strips → Jointed sail-panel subassembly; attachment geometry and wind loads remain to be designed. Matched folding wing-panel sets → Collapsible sail subassembly; a finished simple sail may stop here rather than require T4.</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"No further stock proposed"</x:f>
        <x:v>No further stock proposed</x:v>
      </x:c>
      <x:c r="F14" s="4" t="str">
        <x:v>Tuned wearables, fittings, inlays and rare display objects</x:v>
      </x:c>
      <x:c r="G14" s="4" t="str">
        <x:v>No automatic gem powers or invented national customs. Finished products can stop here. T4 readiness ideas (not new catalogued T4 recipes): Gem-inlaid metal panel blanks → Fitted ceremonial or civic display subassembly; no invented national preference or automatic gemstone power. Mounted tuned-stone inserts → Matched acoustic instrument subassembly; no magical enhancement or Caller ability is assigned.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sheetData>
  <x:pageMargins left="0.7" right="0.7" top="0.75" bottom="0.75" header="0.3" footer="0.3"/>
  <x:tableParts count="1">
    <x:tablePart xmlns:r="http://schemas.openxmlformats.org/officeDocument/2006/relationships" r:id="R81832405e0c6410f"/>
  </x:tableParts>
</x:worksheet>
</file>