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a1559c749543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25769ec2bf91410b"/>
    <x:sheet xmlns:r="http://schemas.openxmlformats.org/officeDocument/2006/relationships" name="Variants" sheetId="2" r:id="Rf57a656733944a7a"/>
    <x:sheet xmlns:r="http://schemas.openxmlformats.org/officeDocument/2006/relationships" name="Recipes" sheetId="3" r:id="Rbabdf7f2634e421a"/>
    <x:sheet xmlns:r="http://schemas.openxmlformats.org/officeDocument/2006/relationships" name="Categories" sheetId="4" r:id="R3e477107a9c242cc"/>
    <x:sheet xmlns:r="http://schemas.openxmlformats.org/officeDocument/2006/relationships" name="Guide" sheetId="5" r:id="R4d9b2650177a496e"/>
    <x:sheet xmlns:r="http://schemas.openxmlformats.org/officeDocument/2006/relationships" name="Resource chains" sheetId="6" r:id="R0e69858b132a4bc5"/>
    <x:sheet xmlns:r="http://schemas.openxmlformats.org/officeDocument/2006/relationships" name="Creature concepts" sheetId="7" r:id="Ra5040fb927254a93"/>
    <x:sheet xmlns:r="http://schemas.openxmlformats.org/officeDocument/2006/relationships" name="Chemical concepts" sheetId="8" r:id="R5a1123767d044a6f"/>
    <x:sheet xmlns:r="http://schemas.openxmlformats.org/officeDocument/2006/relationships" name="Container concepts" sheetId="9" r:id="Ra41986f3017e4d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21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722dd46ae54b6c" /><Relationship Type="http://schemas.openxmlformats.org/officeDocument/2006/relationships/theme" Target="/xl/theme/theme1.xml" Id="Rc814e22e9c9446f3" /><Relationship Type="http://schemas.microsoft.com/office/2022/11/relationships/FeaturePropertyBag" Target="/xl/featurePropertyBag/featurePropertyBag.xml" Id="Rce1e5cdd1d7c46e9" /><Relationship Type="http://schemas.openxmlformats.org/officeDocument/2006/relationships/sharedStrings" Target="/xl/sharedStrings.xml" Id="Rd2af8621f92144f6" /><Relationship Type="http://schemas.openxmlformats.org/officeDocument/2006/relationships/worksheet" Target="/xl/worksheets/sheet1.xml" Id="R25769ec2bf91410b" /><Relationship Type="http://schemas.openxmlformats.org/officeDocument/2006/relationships/worksheet" Target="/xl/worksheets/sheet2.xml" Id="Rf57a656733944a7a" /><Relationship Type="http://schemas.openxmlformats.org/officeDocument/2006/relationships/worksheet" Target="/xl/worksheets/sheet3.xml" Id="Rbabdf7f2634e421a" /><Relationship Type="http://schemas.openxmlformats.org/officeDocument/2006/relationships/worksheet" Target="/xl/worksheets/sheet4.xml" Id="R3e477107a9c242cc" /><Relationship Type="http://schemas.openxmlformats.org/officeDocument/2006/relationships/worksheet" Target="/xl/worksheets/sheet5.xml" Id="R4d9b2650177a496e" /><Relationship Type="http://schemas.openxmlformats.org/officeDocument/2006/relationships/worksheet" Target="/xl/worksheets/sheet6.xml" Id="R0e69858b132a4bc5" /><Relationship Type="http://schemas.openxmlformats.org/officeDocument/2006/relationships/worksheet" Target="/xl/worksheets/sheet7.xml" Id="Ra5040fb927254a93" /><Relationship Type="http://schemas.openxmlformats.org/officeDocument/2006/relationships/worksheet" Target="/xl/worksheets/sheet8.xml" Id="R5a1123767d044a6f" /><Relationship Type="http://schemas.openxmlformats.org/officeDocument/2006/relationships/worksheet" Target="/xl/worksheets/sheet9.xml" Id="Ra41986f3017e4d0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111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16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59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hemicalConceptsTable" displayName="ChemicalConceptsTable" ref="A5:H17" headerRowCount="1" totalsRowCount="0" totalsRowShown="0">
  <x:tableColumns count="8">
    <x:tableColumn id="1" name="Concept ID"/>
    <x:tableColumn id="2" name="Working label"/>
    <x:tableColumn id="3" name="Biological source / role"/>
    <x:tableColumn id="4" name="Human hazard"/>
    <x:tableColumn id="5" name="Potential material use"/>
    <x:tableColumn id="6" name="Design constraint"/>
    <x:tableColumn id="7" name="Source relationship"/>
    <x:tableColumn id="8" name="Refer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tainerConceptsTable" displayName="ContainerConceptsTable" ref="A5:K21" headerRowCount="1" totalsRowCount="0" totalsRowShown="0">
  <x:tableColumns count="11">
    <x:tableColumn id="1" name="Concept ID"/>
    <x:tableColumn id="2" name="Working label"/>
    <x:tableColumn id="3" name="Form"/>
    <x:tableColumn id="4" name="Proposed materials"/>
    <x:tableColumn id="5" name="Purpose"/>
    <x:tableColumn id="6" name="Qualitative size"/>
    <x:tableColumn id="7" name="Closure concept"/>
    <x:tableColumn id="8" name="Contents / contact"/>
    <x:tableColumn id="9" name="Design constraint"/>
    <x:tableColumn id="10" name="Source relationship"/>
    <x:tableColumn id="11" name="Referenc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83605c66c243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efaf1fd551940f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b4e89d903b24d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822c5ee14654ae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9b8b0026a6f4ce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10e7303c1ab44d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e6abf7039ed46d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c8b07c6161544b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c6c1c1572fe647d1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Source of abundant scraped chitin and icore fibers; possible structural plate uses.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Species-specific shell properties and structural uses remain proposals</x:v>
      </x:c>
      <x:c r="U40" s="23"/>
      <x:c r="V40" s="9" t="str">
        <x:v>Docs/WORLD_BASIS.md#material-culture; author direction October 14, 2026. Process details and specific product forms remain unimplemented.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4" ht="80" customHeight="1">
      <x:c r="A84" s="9" t="str">
        <x:v>proposal.chemical.digestive_etchant</x:v>
      </x:c>
      <x:c r="B84" s="9" t="str">
        <x:v>Digestive etchant</x:v>
      </x:c>
      <x:c r="C84" s="9" t="str">
        <x:v>Resources</x:v>
      </x:c>
      <x:c r="D84" s="9" t="str">
        <x:v>Faunal chemical concept</x:v>
      </x:c>
      <x:c r="E84" s="9" t="str">
        <x:v>New proposal</x:v>
      </x:c>
      <x:c r="F84" s="9" t="str">
        <x:v>Mineral separation and metal surface preparation</x:v>
      </x:c>
      <x:c r="G84" s="9" t="str">
        <x:v>None</x:v>
      </x:c>
      <x:c r="H84" s="9" t="str">
        <x:v>Contained Legger/local storage proposed</x:v>
      </x:c>
      <x:c r="I84" s="13"/>
      <x:c r="J84" s="15"/>
      <x:c r="K84" s="9" t="str">
        <x:v>Contained digestive liquor in geological feeders; exposes useful mineral compounds</x:v>
      </x:c>
      <x:c r="L84" s="9" t="str">
        <x:v>Qualitative material concept; no recipe authored</x:v>
      </x:c>
      <x:c r="M84" s="9" t="str">
        <x:v>Not implemented</x:v>
      </x:c>
      <x:c r="N84" s="9" t="str">
        <x:v>Corrosive tissue injury; inedible; Could damage containers and useful shell; reusable containment and selectivity need design</x:v>
      </x:c>
      <x:c r="O84" s="32"/>
      <x:c r="P84" s="32"/>
      <x:c r="Q84" s="32"/>
      <x:c r="R84" s="32"/>
      <x:c r="S84" s="32"/>
      <x:c r="T84" s="9" t="str">
        <x:v>Source draft describes digestive acids/catalysts; this harvestable agent and uses are new proposals</x:v>
      </x:c>
      <x:c r="U84" s="33"/>
      <x:c r="V84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5" ht="80" customHeight="1">
      <x:c r="A85" s="9" t="str">
        <x:v>proposal.chemical.husk_enzyme</x:v>
      </x:c>
      <x:c r="B85" s="9" t="str">
        <x:v>Husk-separation enzyme</x:v>
      </x:c>
      <x:c r="C85" s="9" t="str">
        <x:v>Resources</x:v>
      </x:c>
      <x:c r="D85" s="9" t="str">
        <x:v>Faunal chemical concept</x:v>
      </x:c>
      <x:c r="E85" s="9" t="str">
        <x:v>New proposal</x:v>
      </x:c>
      <x:c r="F85" s="9" t="str">
        <x:v>Help release chitin/icore fibers for paper and difficult pressed materials</x:v>
      </x:c>
      <x:c r="G85" s="9" t="str">
        <x:v>None</x:v>
      </x:c>
      <x:c r="H85" s="9" t="str">
        <x:v>Contained Legger/local storage proposed</x:v>
      </x:c>
      <x:c r="I85" s="13"/>
      <x:c r="J85" s="15"/>
      <x:c r="K85" s="9" t="str">
        <x:v>Proposed catalytic fraction associated with shell renewal or digestion</x:v>
      </x:c>
      <x:c r="L85" s="9" t="str">
        <x:v>Qualitative material concept; no recipe authored</x:v>
      </x:c>
      <x:c r="M85" s="9" t="str">
        <x:v>Not implemented</x:v>
      </x:c>
      <x:c r="N85" s="9" t="str">
        <x:v>Biologically active irritant; effects species-dependent; Slow specialist processing still required; must not turn abundant husks into easy cloth</x:v>
      </x:c>
      <x:c r="O85" s="32"/>
      <x:c r="P85" s="32"/>
      <x:c r="Q85" s="32"/>
      <x:c r="R85" s="32"/>
      <x:c r="S85" s="32"/>
      <x:c r="T85" s="9" t="str">
        <x:v>Source draft includes industrial enzymes, but fauna origin and this fiber application are new proposals</x:v>
      </x:c>
      <x:c r="U85" s="33"/>
      <x:c r="V85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86" ht="80" customHeight="1">
      <x:c r="A86" s="9" t="str">
        <x:v>proposal.chemical.shell_binder</x:v>
      </x:c>
      <x:c r="B86" s="9" t="str">
        <x:v>Shell-binding secretion</x:v>
      </x:c>
      <x:c r="C86" s="9" t="str">
        <x:v>Resources</x:v>
      </x:c>
      <x:c r="D86" s="9" t="str">
        <x:v>Faunal chemical concept</x:v>
      </x:c>
      <x:c r="E86" s="9" t="str">
        <x:v>New proposal</x:v>
      </x:c>
      <x:c r="F86" s="9" t="str">
        <x:v>Bind mineral aggregate, shell laminates and pressed fiber materials</x:v>
      </x:c>
      <x:c r="G86" s="9" t="str">
        <x:v>None</x:v>
      </x:c>
      <x:c r="H86" s="9" t="str">
        <x:v>Contained Legger/local storage proposed</x:v>
      </x:c>
      <x:c r="I86" s="13"/>
      <x:c r="J86" s="15"/>
      <x:c r="K86" s="9" t="str">
        <x:v>Proposed armor-building secretion that binds deposited minerals</x:v>
      </x:c>
      <x:c r="L86" s="9" t="str">
        <x:v>Qualitative material concept; no recipe authored</x:v>
      </x:c>
      <x:c r="M86" s="9" t="str">
        <x:v>Not implemented</x:v>
      </x:c>
      <x:c r="N86" s="9" t="str">
        <x:v>Adheres to exposed surfaces; contaminated residue may be toxic; Durable bonding is a proposal; curing conditions and unwanted adhesion remain unresolved</x:v>
      </x:c>
      <x:c r="O86" s="32"/>
      <x:c r="P86" s="32"/>
      <x:c r="Q86" s="32"/>
      <x:c r="R86" s="32"/>
      <x:c r="S86" s="32"/>
      <x:c r="T86" s="9" t="str">
        <x:v>Armor-building organs and chitin-derived binders are source-draft seeds; secretion/product is new</x:v>
      </x:c>
      <x:c r="U86" s="33"/>
      <x:c r="V86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7" ht="80" customHeight="1">
      <x:c r="A87" s="9" t="str">
        <x:v>proposal.chemical.clotting_compound</x:v>
      </x:c>
      <x:c r="B87" s="9" t="str">
        <x:v>Mineral clotting compound</x:v>
      </x:c>
      <x:c r="C87" s="9" t="str">
        <x:v>Resources</x:v>
      </x:c>
      <x:c r="D87" s="9" t="str">
        <x:v>Faunal chemical concept</x:v>
      </x:c>
      <x:c r="E87" s="9" t="str">
        <x:v>New proposal</x:v>
      </x:c>
      <x:c r="F87" s="9" t="str">
        <x:v>Quick hard-setting equipment patches and temporary container seals</x:v>
      </x:c>
      <x:c r="G87" s="9" t="str">
        <x:v>None</x:v>
      </x:c>
      <x:c r="H87" s="9" t="str">
        <x:v>Contained Legger/local storage proposed</x:v>
      </x:c>
      <x:c r="I87" s="13"/>
      <x:c r="J87" s="15"/>
      <x:c r="K87" s="9" t="str">
        <x:v>Ichor wound response; suspended minerals harden into a protective clot</x:v>
      </x:c>
      <x:c r="L87" s="9" t="str">
        <x:v>Qualitative material concept; no recipe authored</x:v>
      </x:c>
      <x:c r="M87" s="9" t="str">
        <x:v>Not implemented</x:v>
      </x:c>
      <x:c r="N87" s="9" t="str">
        <x:v>Not human-compatible medicine; contact/ingestion toxicity unresolved; Brittleness and shelf stability can distinguish it from a permanent binder</x:v>
      </x:c>
      <x:c r="O87" s="32"/>
      <x:c r="P87" s="32"/>
      <x:c r="Q87" s="32"/>
      <x:c r="R87" s="32"/>
      <x:c r="S87" s="32"/>
      <x:c r="T87" s="9" t="str">
        <x:v>Source draft describes mineral-hardened clots; repair-material use is new</x:v>
      </x:c>
      <x:c r="U87" s="33"/>
      <x:c r="V87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8" ht="80" customHeight="1">
      <x:c r="A88" s="9" t="str">
        <x:v>proposal.chemical.mineral_ichor</x:v>
      </x:c>
      <x:c r="B88" s="9" t="str">
        <x:v>Mineral-rich ichor</x:v>
      </x:c>
      <x:c r="C88" s="9" t="str">
        <x:v>Resources</x:v>
      </x:c>
      <x:c r="D88" s="9" t="str">
        <x:v>Faunal chemical concept</x:v>
      </x:c>
      <x:c r="E88" s="9" t="str">
        <x:v>New proposal</x:v>
      </x:c>
      <x:c r="F88" s="9" t="str">
        <x:v>Potential feed for pigments, recovered mineral fractions and binder research</x:v>
      </x:c>
      <x:c r="G88" s="9" t="str">
        <x:v>None</x:v>
      </x:c>
      <x:c r="H88" s="9" t="str">
        <x:v>Contained Legger/local storage proposed</x:v>
      </x:c>
      <x:c r="I88" s="13"/>
      <x:c r="J88" s="15"/>
      <x:c r="K88" s="9" t="str">
        <x:v>Circulatory fluid carrying minerals, energy compounds and metabolic wastes</x:v>
      </x:c>
      <x:c r="L88" s="9" t="str">
        <x:v>Qualitative material concept; no recipe authored</x:v>
      </x:c>
      <x:c r="M88" s="9" t="str">
        <x:v>Not implemented</x:v>
      </x:c>
      <x:c r="N88" s="9" t="str">
        <x:v>Species-dependent toxicity and mineral contamination; not drinkable by default; Mixed contents vary by diet; do not assume a universal reagent or battery electrolyte</x:v>
      </x:c>
      <x:c r="O88" s="32"/>
      <x:c r="P88" s="32"/>
      <x:c r="Q88" s="32"/>
      <x:c r="R88" s="32"/>
      <x:c r="S88" s="32"/>
      <x:c r="T88" s="9" t="str">
        <x:v>Ichor contents are source-draft biology; separated material uses are new proposals</x:v>
      </x:c>
      <x:c r="U88" s="33"/>
      <x:c r="V88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9" ht="80" customHeight="1">
      <x:c r="A89" s="9" t="str">
        <x:v>proposal.chemical.joint_lubricant</x:v>
      </x:c>
      <x:c r="B89" s="9" t="str">
        <x:v>Joint-lubricating secretion</x:v>
      </x:c>
      <x:c r="C89" s="9" t="str">
        <x:v>Resources</x:v>
      </x:c>
      <x:c r="D89" s="9" t="str">
        <x:v>Faunal chemical concept</x:v>
      </x:c>
      <x:c r="E89" s="9" t="str">
        <x:v>New proposal</x:v>
      </x:c>
      <x:c r="F89" s="9" t="str">
        <x:v>Dust-resistant equipment lubrication and flexible-seal conditioning</x:v>
      </x:c>
      <x:c r="G89" s="9" t="str">
        <x:v>None</x:v>
      </x:c>
      <x:c r="H89" s="9" t="str">
        <x:v>Contained Legger/local storage proposed</x:v>
      </x:c>
      <x:c r="I89" s="13"/>
      <x:c r="J89" s="15"/>
      <x:c r="K89" s="9" t="str">
        <x:v>Proposed secretion that protects sliding plate/joint surfaces</x:v>
      </x:c>
      <x:c r="L89" s="9" t="str">
        <x:v>Qualitative material concept; no recipe authored</x:v>
      </x:c>
      <x:c r="M89" s="9" t="str">
        <x:v>Not implemented</x:v>
      </x:c>
      <x:c r="N89" s="9" t="str">
        <x:v>Toxic if ingested; skin compatibility unapproved; Dust capture versus useful lubrication needs design; does not restore conventional fat anatomy</x:v>
      </x:c>
      <x:c r="O89" s="32"/>
      <x:c r="P89" s="32"/>
      <x:c r="Q89" s="32"/>
      <x:c r="R89" s="32"/>
      <x:c r="S89" s="32"/>
      <x:c r="T89" s="9" t="str">
        <x:v>New proposed secretion; source processing draft discusses biological oils without validating this anatomy</x:v>
      </x:c>
      <x:c r="U89" s="33"/>
      <x:c r="V89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90" ht="80" customHeight="1">
      <x:c r="A90" s="9" t="str">
        <x:v>proposal.chemical.insulating_secretion</x:v>
      </x:c>
      <x:c r="B90" s="9" t="str">
        <x:v>Insulating secretion</x:v>
      </x:c>
      <x:c r="C90" s="9" t="str">
        <x:v>Resources</x:v>
      </x:c>
      <x:c r="D90" s="9" t="str">
        <x:v>Faunal chemical concept</x:v>
      </x:c>
      <x:c r="E90" s="9" t="str">
        <x:v>New proposal</x:v>
      </x:c>
      <x:c r="F90" s="9" t="str">
        <x:v>Candidate electrical separators and equipment coating</x:v>
      </x:c>
      <x:c r="G90" s="9" t="str">
        <x:v>None</x:v>
      </x:c>
      <x:c r="H90" s="9" t="str">
        <x:v>Contained Legger/local storage proposed</x:v>
      </x:c>
      <x:c r="I90" s="13"/>
      <x:c r="J90" s="15"/>
      <x:c r="K90" s="9" t="str">
        <x:v>Proposed barrier layer that helps fauna manage electrical exposure</x:v>
      </x:c>
      <x:c r="L90" s="9" t="str">
        <x:v>Qualitative material concept; no recipe authored</x:v>
      </x:c>
      <x:c r="M90" s="9" t="str">
        <x:v>Not implemented</x:v>
      </x:c>
      <x:c r="N90" s="9" t="str">
        <x:v>Irritating/toxic residue; no human-contact assumption; Electrical behavior and wear are unproven; never blanket lightning immunity</x:v>
      </x:c>
      <x:c r="O90" s="32"/>
      <x:c r="P90" s="32"/>
      <x:c r="Q90" s="32"/>
      <x:c r="R90" s="32"/>
      <x:c r="S90" s="32"/>
      <x:c r="T90" s="9" t="str">
        <x:v>Source draft includes insulation/charge shedding; this material capability is a new proposal</x:v>
      </x:c>
      <x:c r="U90" s="33"/>
      <x:c r="V90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1" ht="80" customHeight="1">
      <x:c r="A91" s="9" t="str">
        <x:v>proposal.chemical.conductive_gel</x:v>
      </x:c>
      <x:c r="B91" s="9" t="str">
        <x:v>Charge-conducting gel</x:v>
      </x:c>
      <x:c r="C91" s="9" t="str">
        <x:v>Resources</x:v>
      </x:c>
      <x:c r="D91" s="9" t="str">
        <x:v>Faunal chemical concept</x:v>
      </x:c>
      <x:c r="E91" s="9" t="str">
        <x:v>New proposal</x:v>
      </x:c>
      <x:c r="F91" s="9" t="str">
        <x:v>Candidate contained equipment contacts and sensing components</x:v>
      </x:c>
      <x:c r="G91" s="9" t="str">
        <x:v>None</x:v>
      </x:c>
      <x:c r="H91" s="9" t="str">
        <x:v>Contained Legger/local storage proposed</x:v>
      </x:c>
      <x:c r="I91" s="13"/>
      <x:c r="J91" s="15"/>
      <x:c r="K91" s="9" t="str">
        <x:v>Proposed contained medium supporting electroactive tissue</x:v>
      </x:c>
      <x:c r="L91" s="9" t="str">
        <x:v>Qualitative material concept; no recipe authored</x:v>
      </x:c>
      <x:c r="M91" s="9" t="str">
        <x:v>Not implemented</x:v>
      </x:c>
      <x:c r="N91" s="9" t="str">
        <x:v>Contact could create an unwanted charge path; chemically toxic; Can worsen charge exposure; no direct body application or power generation assumed</x:v>
      </x:c>
      <x:c r="O91" s="32"/>
      <x:c r="P91" s="32"/>
      <x:c r="Q91" s="32"/>
      <x:c r="R91" s="32"/>
      <x:c r="S91" s="32"/>
      <x:c r="T91" s="9" t="str">
        <x:v>Source draft has electroactive fibers and conductive tissue; gel and applications are new proposals</x:v>
      </x:c>
      <x:c r="U91" s="33"/>
      <x:c r="V91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2" ht="80" customHeight="1">
      <x:c r="A92" s="9" t="str">
        <x:v>proposal.chemical.molt_release</x:v>
      </x:c>
      <x:c r="B92" s="9" t="str">
        <x:v>Molt-release compound</x:v>
      </x:c>
      <x:c r="C92" s="9" t="str">
        <x:v>Resources</x:v>
      </x:c>
      <x:c r="D92" s="9" t="str">
        <x:v>Faunal chemical concept</x:v>
      </x:c>
      <x:c r="E92" s="9" t="str">
        <x:v>New proposal</x:v>
      </x:c>
      <x:c r="F92" s="9" t="str">
        <x:v>Controlled plate-layer release and husk surface preparation</x:v>
      </x:c>
      <x:c r="G92" s="9" t="str">
        <x:v>None</x:v>
      </x:c>
      <x:c r="H92" s="9" t="str">
        <x:v>Contained Legger/local storage proposed</x:v>
      </x:c>
      <x:c r="I92" s="13"/>
      <x:c r="J92" s="15"/>
      <x:c r="K92" s="9" t="str">
        <x:v>Proposed agent that separates old outer husk layers during renewal</x:v>
      </x:c>
      <x:c r="L92" s="9" t="str">
        <x:v>Qualitative material concept; no recipe authored</x:v>
      </x:c>
      <x:c r="M92" s="9" t="str">
        <x:v>Not implemented</x:v>
      </x:c>
      <x:c r="N92" s="9" t="str">
        <x:v>Tissue/surface damage on contact; species-dependent; May spoil recovered fibers or structural plate; usefulness must differ from enzyme fraction</x:v>
      </x:c>
      <x:c r="O92" s="32"/>
      <x:c r="P92" s="32"/>
      <x:c r="Q92" s="32"/>
      <x:c r="R92" s="32"/>
      <x:c r="S92" s="32"/>
      <x:c r="T92" s="9" t="str">
        <x:v>New biological/material proposal; no specific molt chemistry established</x:v>
      </x:c>
      <x:c r="U92" s="33"/>
      <x:c r="V92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3" ht="80" customHeight="1">
      <x:c r="A93" s="9" t="str">
        <x:v>proposal.chemical.defensive_irritant</x:v>
      </x:c>
      <x:c r="B93" s="9" t="str">
        <x:v>Defensive irritant secretion</x:v>
      </x:c>
      <x:c r="C93" s="9" t="str">
        <x:v>Resources</x:v>
      </x:c>
      <x:c r="D93" s="9" t="str">
        <x:v>Faunal chemical concept</x:v>
      </x:c>
      <x:c r="E93" s="9" t="str">
        <x:v>New proposal</x:v>
      </x:c>
      <x:c r="F93" s="9" t="str">
        <x:v>Candidate exclusion coatings around equipment or stored materials</x:v>
      </x:c>
      <x:c r="G93" s="9" t="str">
        <x:v>None</x:v>
      </x:c>
      <x:c r="H93" s="9" t="str">
        <x:v>Contained Legger/local storage proposed</x:v>
      </x:c>
      <x:c r="I93" s="13"/>
      <x:c r="J93" s="15"/>
      <x:c r="K93" s="9" t="str">
        <x:v>Proposed deterrent gland output in defensive species</x:v>
      </x:c>
      <x:c r="L93" s="9" t="str">
        <x:v>Qualitative material concept; no recipe authored</x:v>
      </x:c>
      <x:c r="M93" s="9" t="str">
        <x:v>Not implemented</x:v>
      </x:c>
      <x:c r="N93" s="9" t="str">
        <x:v>Painful surface irritation and temporary sensory disruption; Repellent target response is unproven; deliberate containment only, no ambient liquid pools</x:v>
      </x:c>
      <x:c r="O93" s="32"/>
      <x:c r="P93" s="32"/>
      <x:c r="Q93" s="32"/>
      <x:c r="R93" s="32"/>
      <x:c r="S93" s="32"/>
      <x:c r="T93" s="9" t="str">
        <x:v>New toxin and application proposal; not assigned to any existing species</x:v>
      </x:c>
      <x:c r="U93" s="33"/>
      <x:c r="V93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4" ht="80" customHeight="1">
      <x:c r="A94" s="9" t="str">
        <x:v>proposal.chemical.disabling_venom</x:v>
      </x:c>
      <x:c r="B94" s="9" t="str">
        <x:v>Disabling venom fraction</x:v>
      </x:c>
      <x:c r="C94" s="9" t="str">
        <x:v>Resources</x:v>
      </x:c>
      <x:c r="D94" s="9" t="str">
        <x:v>Faunal chemical concept</x:v>
      </x:c>
      <x:c r="E94" s="9" t="str">
        <x:v>New proposal</x:v>
      </x:c>
      <x:c r="F94" s="9" t="str">
        <x:v>Candidate specialist trade/sample material for later design</x:v>
      </x:c>
      <x:c r="G94" s="9" t="str">
        <x:v>None</x:v>
      </x:c>
      <x:c r="H94" s="9" t="str">
        <x:v>Contained Legger/local storage proposed</x:v>
      </x:c>
      <x:c r="I94" s="13"/>
      <x:c r="J94" s="15"/>
      <x:c r="K94" s="9" t="str">
        <x:v>Proposed specialized predator secretion for subduing native prey</x:v>
      </x:c>
      <x:c r="L94" s="9" t="str">
        <x:v>Qualitative material concept; no recipe authored</x:v>
      </x:c>
      <x:c r="M94" s="9" t="str">
        <x:v>Not implemented</x:v>
      </x:c>
      <x:c r="N94" s="9" t="str">
        <x:v>Neurological disruption; human severity undefined; No human/animal potency equivalence, cure, delivery method or combat system established</x:v>
      </x:c>
      <x:c r="O94" s="32"/>
      <x:c r="P94" s="32"/>
      <x:c r="Q94" s="32"/>
      <x:c r="R94" s="32"/>
      <x:c r="S94" s="32"/>
      <x:c r="T94" s="9" t="str">
        <x:v>New proposal; source predation does not establish a specific venom</x:v>
      </x:c>
      <x:c r="U94" s="33"/>
      <x:c r="V94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5" ht="80" customHeight="1">
      <x:c r="A95" s="9" t="str">
        <x:v>proposal.chemical.scent_marker</x:v>
      </x:c>
      <x:c r="B95" s="9" t="str">
        <x:v>Chemical scent marker</x:v>
      </x:c>
      <x:c r="C95" s="9" t="str">
        <x:v>Resources</x:v>
      </x:c>
      <x:c r="D95" s="9" t="str">
        <x:v>Faunal chemical concept</x:v>
      </x:c>
      <x:c r="E95" s="9" t="str">
        <x:v>New proposal</x:v>
      </x:c>
      <x:c r="F95" s="9" t="str">
        <x:v>Possible lure, trail concealment or animal-avoidance research</x:v>
      </x:c>
      <x:c r="G95" s="9" t="str">
        <x:v>None</x:v>
      </x:c>
      <x:c r="H95" s="9" t="str">
        <x:v>Contained Legger/local storage proposed</x:v>
      </x:c>
      <x:c r="I95" s="13"/>
      <x:c r="J95" s="15"/>
      <x:c r="K95" s="9" t="str">
        <x:v>Proposed territorial or social signal secretion</x:v>
      </x:c>
      <x:c r="L95" s="9" t="str">
        <x:v>Qualitative material concept; no recipe authored</x:v>
      </x:c>
      <x:c r="M95" s="9" t="str">
        <x:v>Not implemented</x:v>
      </x:c>
      <x:c r="N95" s="9" t="str">
        <x:v>Irritant or toxic to humans despite its signaling role; Species-specific response; a signal may attract unwanted animals rather than repel them</x:v>
      </x:c>
      <x:c r="O95" s="32"/>
      <x:c r="P95" s="32"/>
      <x:c r="Q95" s="32"/>
      <x:c r="R95" s="32"/>
      <x:c r="S95" s="32"/>
      <x:c r="T95" s="9" t="str">
        <x:v>New proposal; no accepted behavioral response or universal bait chemistry</x:v>
      </x:c>
      <x:c r="U95" s="33"/>
      <x:c r="V95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6" ht="100" customHeight="1">
      <x:c r="A96" s="9" t="str">
        <x:v>proposal.container.sample_vial</x:v>
      </x:c>
      <x:c r="B96" s="9" t="str">
        <x:v>Clear sample vial</x:v>
      </x:c>
      <x:c r="C96" s="9" t="str">
        <x:v>Containers</x:v>
      </x:c>
      <x:c r="D96" s="9" t="str">
        <x:v>Primary vessel</x:v>
      </x:c>
      <x:c r="E96" s="9" t="str">
        <x:v>New proposal</x:v>
      </x:c>
      <x:c r="F96" s="9" t="str">
        <x:v>Inspect a small ichor or chemical sample without opening it</x:v>
      </x:c>
      <x:c r="G96" s="9" t="str">
        <x:v>None</x:v>
      </x:c>
      <x:c r="H96" s="9" t="str">
        <x:v>Filled raw-resource vessel: Legger/local owner; other carrier eligibility TBD</x:v>
      </x:c>
      <x:c r="I96" s="13"/>
      <x:c r="J96" s="15"/>
      <x:c r="K96" s="9" t="str">
        <x:v>Glassworker/fabricator or salvage candidate; no recipe authored</x:v>
      </x:c>
      <x:c r="L96" s="9" t="str">
        <x:v>Materials: Scarce clear glass</x:v>
      </x:c>
      <x:c r="M96" s="9" t="str">
        <x:v>Not implemented</x:v>
      </x:c>
      <x:c r="N96" s="9" t="str">
        <x:v>Clear glass cost; liquid compatibility and fill limit unapproved</x:v>
      </x:c>
      <x:c r="O96" s="36"/>
      <x:c r="P96" s="36"/>
      <x:c r="Q96" s="36"/>
      <x:c r="R96" s="36"/>
      <x:c r="S96" s="36"/>
      <x:c r="T96" s="9" t="str">
        <x:v>Qualitative size: Small sample. Closure: Matched stopper with retained cover proposed. Contents: Species-tagged ichor; compatible chemical samples</x:v>
      </x:c>
      <x:c r="U96" s="37"/>
      <x:c r="V96" s="9" t="str">
        <x:v>New game proposal, October 14, 2026. Glass draft supports costly transparent material; this vessel is a new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7" ht="100" customHeight="1">
      <x:c r="A97" s="9" t="str">
        <x:v>proposal.container.reagent_bottle</x:v>
      </x:c>
      <x:c r="B97" s="9" t="str">
        <x:v>Opaque reagent bottle</x:v>
      </x:c>
      <x:c r="C97" s="9" t="str">
        <x:v>Containers</x:v>
      </x:c>
      <x:c r="D97" s="9" t="str">
        <x:v>Primary vessel</x:v>
      </x:c>
      <x:c r="E97" s="9" t="str">
        <x:v>New proposal</x:v>
      </x:c>
      <x:c r="F97" s="9" t="str">
        <x:v>Everyday transport of one known material</x:v>
      </x:c>
      <x:c r="G97" s="9" t="str">
        <x:v>None</x:v>
      </x:c>
      <x:c r="H97" s="9" t="str">
        <x:v>Filled raw-resource vessel: Legger/local owner; other carrier eligibility TBD</x:v>
      </x:c>
      <x:c r="I97" s="13"/>
      <x:c r="J97" s="15"/>
      <x:c r="K97" s="9" t="str">
        <x:v>Glassworker/fabricator or salvage candidate; no recipe authored</x:v>
      </x:c>
      <x:c r="L97" s="9" t="str">
        <x:v>Materials: Opaque mineral glass; shell/metal cap</x:v>
      </x:c>
      <x:c r="M97" s="9" t="str">
        <x:v>Not implemented</x:v>
      </x:c>
      <x:c r="N97" s="9" t="str">
        <x:v>Cannot inspect contents through the wall; external identity label matters</x:v>
      </x:c>
      <x:c r="O97" s="36"/>
      <x:c r="P97" s="36"/>
      <x:c r="Q97" s="36"/>
      <x:c r="R97" s="36"/>
      <x:c r="S97" s="36"/>
      <x:c r="T97" s="9" t="str">
        <x:v>Qualitative size: Hand-sized. Closure: Compression cap and compatible seat proposed. Contents: One identified ichor or reagent batch</x:v>
      </x:c>
      <x:c r="U97" s="37"/>
      <x:c r="V97" s="9" t="str">
        <x:v>New game proposal, October 14, 2026. Standard opaque glass vessels have a source-draft basis; exact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8" ht="100" customHeight="1">
      <x:c r="A98" s="9" t="str">
        <x:v>proposal.container.wide_jar</x:v>
      </x:c>
      <x:c r="B98" s="9" t="str">
        <x:v>Wide-mouth sample jar</x:v>
      </x:c>
      <x:c r="C98" s="9" t="str">
        <x:v>Containers</x:v>
      </x:c>
      <x:c r="D98" s="9" t="str">
        <x:v>Primary vessel</x:v>
      </x:c>
      <x:c r="E98" s="9" t="str">
        <x:v>New proposal</x:v>
      </x:c>
      <x:c r="F98" s="9" t="str">
        <x:v>Carry thick gels, clot samples and mineral-rich slurry</x:v>
      </x:c>
      <x:c r="G98" s="9" t="str">
        <x:v>None</x:v>
      </x:c>
      <x:c r="H98" s="9" t="str">
        <x:v>Filled raw-resource vessel: Legger/local owner; other carrier eligibility TBD</x:v>
      </x:c>
      <x:c r="I98" s="13"/>
      <x:c r="J98" s="15"/>
      <x:c r="K98" s="9" t="str">
        <x:v>Glassworker/fabricator or salvage candidate; no recipe authored</x:v>
      </x:c>
      <x:c r="L98" s="9" t="str">
        <x:v>Materials: Glass body; rigid broad lid</x:v>
      </x:c>
      <x:c r="M98" s="9" t="str">
        <x:v>Not implemented</x:v>
      </x:c>
      <x:c r="N98" s="9" t="str">
        <x:v>Wide opening aids access but makes transfers less controlled; no scoop rules set</x:v>
      </x:c>
      <x:c r="O98" s="36"/>
      <x:c r="P98" s="36"/>
      <x:c r="Q98" s="36"/>
      <x:c r="R98" s="36"/>
      <x:c r="S98" s="36"/>
      <x:c r="T98" s="9" t="str">
        <x:v>Qualitative size: Small to medium. Closure: Broad fitted lid with compatible sealing seat. Contents: Viscous material or solid/liquid sample</x:v>
      </x:c>
      <x:c r="U98" s="37"/>
      <x:c r="V98" s="9" t="str">
        <x:v>New game proposal, October 14, 2026. Glass vessel basis; wide-mouth item and uses proposed.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9" ht="100" customHeight="1">
      <x:c r="A99" s="9" t="str">
        <x:v>proposal.container.ampoule</x:v>
      </x:c>
      <x:c r="B99" s="9" t="str">
        <x:v>Sealed sample ampoule</x:v>
      </x:c>
      <x:c r="C99" s="9" t="str">
        <x:v>Containers</x:v>
      </x:c>
      <x:c r="D99" s="9" t="str">
        <x:v>Primary vessel</x:v>
      </x:c>
      <x:c r="E99" s="9" t="str">
        <x:v>New proposal</x:v>
      </x:c>
      <x:c r="F99" s="9" t="str">
        <x:v>Preserve an isolated small specimen for later analysis or trade</x:v>
      </x:c>
      <x:c r="G99" s="9" t="str">
        <x:v>None</x:v>
      </x:c>
      <x:c r="H99" s="9" t="str">
        <x:v>Filled raw-resource vessel: Legger/local owner; other carrier eligibility TBD</x:v>
      </x:c>
      <x:c r="I99" s="13"/>
      <x:c r="J99" s="15"/>
      <x:c r="K99" s="9" t="str">
        <x:v>Glassworker/fabricator or salvage candidate; no recipe authored</x:v>
      </x:c>
      <x:c r="L99" s="9" t="str">
        <x:v>Materials: Sealed clear glass</x:v>
      </x:c>
      <x:c r="M99" s="9" t="str">
        <x:v>Not implemented</x:v>
      </x:c>
      <x:c r="N99" s="9" t="str">
        <x:v>Opening and reuse undecided; no mandatory single-use depletion rule approved</x:v>
      </x:c>
      <x:c r="O99" s="36"/>
      <x:c r="P99" s="36"/>
      <x:c r="Q99" s="36"/>
      <x:c r="R99" s="36"/>
      <x:c r="S99" s="36"/>
      <x:c r="T99" s="9" t="str">
        <x:v>Qualitative size: Very small. Closure: Factory/workshop sealed. Contents: One specimen; chemistry compatibility unresolved</x:v>
      </x:c>
      <x:c r="U99" s="37"/>
      <x:c r="V99" s="9" t="str">
        <x:v>New game proposal, October 14, 2026. New sealed-glass form inspired by source glasswork.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0" ht="100" customHeight="1">
      <x:c r="A100" s="9" t="str">
        <x:v>proposal.container.marked_flask</x:v>
      </x:c>
      <x:c r="B100" s="9" t="str">
        <x:v>Marked glass flask</x:v>
      </x:c>
      <x:c r="C100" s="9" t="str">
        <x:v>Containers</x:v>
      </x:c>
      <x:c r="D100" s="9" t="str">
        <x:v>Primary vessel</x:v>
      </x:c>
      <x:c r="E100" s="9" t="str">
        <x:v>New proposal</x:v>
      </x:c>
      <x:c r="F100" s="9" t="str">
        <x:v>Read fill and compare a specimen before transfer</x:v>
      </x:c>
      <x:c r="G100" s="9" t="str">
        <x:v>None</x:v>
      </x:c>
      <x:c r="H100" s="9" t="str">
        <x:v>Filled raw-resource vessel: Legger/local owner; other carrier eligibility TBD</x:v>
      </x:c>
      <x:c r="I100" s="13"/>
      <x:c r="J100" s="15"/>
      <x:c r="K100" s="9" t="str">
        <x:v>Glassworker/fabricator or salvage candidate; no recipe authored</x:v>
      </x:c>
      <x:c r="L100" s="9" t="str">
        <x:v>Materials: Clear glass with etched marks</x:v>
      </x:c>
      <x:c r="M100" s="9" t="str">
        <x:v>Not implemented</x:v>
      </x:c>
      <x:c r="N100" s="9" t="str">
        <x:v>Marks do not establish numeric volume, chemistry analysis or automatic quality grading</x:v>
      </x:c>
      <x:c r="O100" s="36"/>
      <x:c r="P100" s="36"/>
      <x:c r="Q100" s="36"/>
      <x:c r="R100" s="36"/>
      <x:c r="S100" s="36"/>
      <x:c r="T100" s="9" t="str">
        <x:v>Qualitative size: Small sample / workshop. Closure: Matched stopper proposed. Contents: Compatible samples and liquids</x:v>
      </x:c>
      <x:c r="U100" s="37"/>
      <x:c r="V100" s="9" t="str">
        <x:v>New game proposal, October 14, 2026. New measuring/inspection use; no authored volume system.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1" ht="100" customHeight="1">
      <x:c r="A101" s="9" t="str">
        <x:v>proposal.container.shell_cage</x:v>
      </x:c>
      <x:c r="B101" s="9" t="str">
        <x:v>Shell-caged glass flask</x:v>
      </x:c>
      <x:c r="C101" s="9" t="str">
        <x:v>Containers</x:v>
      </x:c>
      <x:c r="D101" s="9" t="str">
        <x:v>Protected vessel assembly</x:v>
      </x:c>
      <x:c r="E101" s="9" t="str">
        <x:v>New proposal</x:v>
      </x:c>
      <x:c r="F101" s="9" t="str">
        <x:v>Protect a carried specimen while keeping a viewing opening</x:v>
      </x:c>
      <x:c r="G101" s="9" t="str">
        <x:v>None</x:v>
      </x:c>
      <x:c r="H101" s="9" t="str">
        <x:v>Filled raw-resource vessel: Legger/local owner; other carrier eligibility TBD</x:v>
      </x:c>
      <x:c r="I101" s="13"/>
      <x:c r="J101" s="15"/>
      <x:c r="K101" s="9" t="str">
        <x:v>Glassworker/fabricator or salvage candidate; no recipe authored</x:v>
      </x:c>
      <x:c r="L101" s="9" t="str">
        <x:v>Materials: Glass inner vessel; slotted shell outer cage</x:v>
      </x:c>
      <x:c r="M101" s="9" t="str">
        <x:v>Not implemented</x:v>
      </x:c>
      <x:c r="N101" s="9" t="str">
        <x:v>One assembled container, not two copies of storage; protection behavior undecided</x:v>
      </x:c>
      <x:c r="O101" s="36"/>
      <x:c r="P101" s="36"/>
      <x:c r="Q101" s="36"/>
      <x:c r="R101" s="36"/>
      <x:c r="S101" s="36"/>
      <x:c r="T101" s="9" t="str">
        <x:v>Qualitative size: Medium. Closure: Retained cap and inspectable seat proposed. Contents: One compatible liquid payload</x:v>
      </x:c>
      <x:c r="U101" s="37"/>
      <x:c r="V101" s="9" t="str">
        <x:v>New game proposal, October 14, 2026. Chitin plate/curved vessel and glass drafts inspire assembly;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2" ht="100" customHeight="1">
      <x:c r="A102" s="9" t="str">
        <x:v>proposal.container.lined_canister</x:v>
      </x:c>
      <x:c r="B102" s="9" t="str">
        <x:v>Glass-lined haul canister</x:v>
      </x:c>
      <x:c r="C102" s="9" t="str">
        <x:v>Containers</x:v>
      </x:c>
      <x:c r="D102" s="9" t="str">
        <x:v>Protected vessel assembly</x:v>
      </x:c>
      <x:c r="E102" s="9" t="str">
        <x:v>New proposal</x:v>
      </x:c>
      <x:c r="F102" s="9" t="str">
        <x:v>Transport larger quantities to a processing workshop</x:v>
      </x:c>
      <x:c r="G102" s="9" t="str">
        <x:v>None</x:v>
      </x:c>
      <x:c r="H102" s="9" t="str">
        <x:v>Filled raw-resource vessel: Legger/local owner; other carrier eligibility TBD</x:v>
      </x:c>
      <x:c r="I102" s="13"/>
      <x:c r="J102" s="15"/>
      <x:c r="K102" s="9" t="str">
        <x:v>Glassworker/fabricator or salvage candidate; no recipe authored</x:v>
      </x:c>
      <x:c r="L102" s="9" t="str">
        <x:v>Materials: Metal/shell outer body; replaceable glass liner</x:v>
      </x:c>
      <x:c r="M102" s="9" t="str">
        <x:v>Not implemented</x:v>
      </x:c>
      <x:c r="N102" s="9" t="str">
        <x:v>Liner, seal and contents must all be compatible; filled payload belongs in resource cargo</x:v>
      </x:c>
      <x:c r="O102" s="36"/>
      <x:c r="P102" s="36"/>
      <x:c r="Q102" s="36"/>
      <x:c r="R102" s="36"/>
      <x:c r="S102" s="36"/>
      <x:c r="T102" s="9" t="str">
        <x:v>Qualitative size: Medium haul. Closure: Compression lid with replaceable compatible seat. Contents: One identified raw ichor or chemical batch</x:v>
      </x:c>
      <x:c r="U102" s="37"/>
      <x:c r="V102" s="9" t="str">
        <x:v>New game proposal, October 14, 2026. Glass draft includes internal canister linings; haul role and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3" ht="100" customHeight="1">
      <x:c r="A103" s="9" t="str">
        <x:v>proposal.container.ceramic_jar</x:v>
      </x:c>
      <x:c r="B103" s="9" t="str">
        <x:v>Glazed ceramic reagent jar</x:v>
      </x:c>
      <x:c r="C103" s="9" t="str">
        <x:v>Containers</x:v>
      </x:c>
      <x:c r="D103" s="9" t="str">
        <x:v>Primary vessel</x:v>
      </x:c>
      <x:c r="E103" s="9" t="str">
        <x:v>New proposal</x:v>
      </x:c>
      <x:c r="F103" s="9" t="str">
        <x:v>Alternative storage for selected processing compounds</x:v>
      </x:c>
      <x:c r="G103" s="9" t="str">
        <x:v>None</x:v>
      </x:c>
      <x:c r="H103" s="9" t="str">
        <x:v>Filled raw-resource vessel: Legger/local owner; other carrier eligibility TBD</x:v>
      </x:c>
      <x:c r="I103" s="13"/>
      <x:c r="J103" s="15"/>
      <x:c r="K103" s="9" t="str">
        <x:v>Glassworker/fabricator or salvage candidate; no recipe authored</x:v>
      </x:c>
      <x:c r="L103" s="9" t="str">
        <x:v>Materials: Fired ceramic; proposed glaze; rigid lid</x:v>
      </x:c>
      <x:c r="M103" s="9" t="str">
        <x:v>Not implemented</x:v>
      </x:c>
      <x:c r="N103" s="9" t="str">
        <x:v>Opaque; heavier/bulkier tradeoff proposed; glaze is not universally chemical-resistant</x:v>
      </x:c>
      <x:c r="O103" s="36"/>
      <x:c r="P103" s="36"/>
      <x:c r="Q103" s="36"/>
      <x:c r="R103" s="36"/>
      <x:c r="S103" s="36"/>
      <x:c r="T103" s="9" t="str">
        <x:v>Qualitative size: Medium. Closure: Fitted rigid lid and compatible seal. Contents: Only compounds qualified for that jar</x:v>
      </x:c>
      <x:c r="U103" s="37"/>
      <x:c r="V103" s="9" t="str">
        <x:v>New game proposal, October 14, 2026. New ceramic vessel proposal; not a validated recipe/material capability.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4" ht="100" customHeight="1">
      <x:c r="A104" s="9" t="str">
        <x:v>proposal.container.bulk_ichor</x:v>
      </x:c>
      <x:c r="B104" s="9" t="str">
        <x:v>Bulk ichor vessel</x:v>
      </x:c>
      <x:c r="C104" s="9" t="str">
        <x:v>Containers</x:v>
      </x:c>
      <x:c r="D104" s="9" t="str">
        <x:v>Primary vessel</x:v>
      </x:c>
      <x:c r="E104" s="9" t="str">
        <x:v>New proposal</x:v>
      </x:c>
      <x:c r="F104" s="9" t="str">
        <x:v>Make a large harvest an expedition haul decision</x:v>
      </x:c>
      <x:c r="G104" s="9" t="str">
        <x:v>None</x:v>
      </x:c>
      <x:c r="H104" s="9" t="str">
        <x:v>Filled raw-resource vessel: Legger/local owner; other carrier eligibility TBD</x:v>
      </x:c>
      <x:c r="I104" s="13"/>
      <x:c r="J104" s="15"/>
      <x:c r="K104" s="9" t="str">
        <x:v>Glassworker/fabricator or salvage candidate; no recipe authored</x:v>
      </x:c>
      <x:c r="L104" s="9" t="str">
        <x:v>Materials: Reinforced outer body; qualified inner lining TBD</x:v>
      </x:c>
      <x:c r="M104" s="9" t="str">
        <x:v>Not implemented</x:v>
      </x:c>
      <x:c r="N104" s="9" t="str">
        <x:v>Finite Legger cargo and contents mass; no backpack resource exception or free capacity</x:v>
      </x:c>
      <x:c r="O104" s="36"/>
      <x:c r="P104" s="36"/>
      <x:c r="Q104" s="36"/>
      <x:c r="R104" s="36"/>
      <x:c r="S104" s="36"/>
      <x:c r="T104" s="9" t="str">
        <x:v>Qualitative size: Bulk cargo. Closure: Service lid and separate transfer fitting proposed. Contents: One species/batch of gathered ichor</x:v>
      </x:c>
      <x:c r="U104" s="37"/>
      <x:c r="V104" s="9" t="str">
        <x:v>New game proposal, October 14, 2026. New bulk vessel proposal; no liter capacity, hose or extraction mechanic approved.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5" ht="100" customHeight="1">
      <x:c r="A105" s="9" t="str">
        <x:v>proposal.container.vial_case</x:v>
      </x:c>
      <x:c r="B105" s="9" t="str">
        <x:v>Divided vial case</x:v>
      </x:c>
      <x:c r="C105" s="9" t="str">
        <x:v>Containers</x:v>
      </x:c>
      <x:c r="D105" s="9" t="str">
        <x:v>Protective carrier</x:v>
      </x:c>
      <x:c r="E105" s="9" t="str">
        <x:v>New proposal</x:v>
      </x:c>
      <x:c r="F105" s="9" t="str">
        <x:v>Keep separately sealed specimens organized and supported</x:v>
      </x:c>
      <x:c r="G105" s="9" t="str">
        <x:v>None</x:v>
      </x:c>
      <x:c r="H105" s="9" t="str">
        <x:v>Filled raw-resource vessel: Legger/local owner; other carrier eligibility TBD</x:v>
      </x:c>
      <x:c r="I105" s="13"/>
      <x:c r="J105" s="15"/>
      <x:c r="K105" s="9" t="str">
        <x:v>Glassworker/fabricator or salvage candidate; no recipe authored</x:v>
      </x:c>
      <x:c r="L105" s="9" t="str">
        <x:v>Materials: Shell/metal case; shaped mineral seats</x:v>
      </x:c>
      <x:c r="M105" s="9" t="str">
        <x:v>Not implemented</x:v>
      </x:c>
      <x:c r="N105" s="9" t="str">
        <x:v>Does not create extra inventory capacity; inserts use no assumed wood, cork or cloth</x:v>
      </x:c>
      <x:c r="O105" s="36"/>
      <x:c r="P105" s="36"/>
      <x:c r="Q105" s="36"/>
      <x:c r="R105" s="36"/>
      <x:c r="S105" s="36"/>
      <x:c r="T105" s="9" t="str">
        <x:v>Qualitative size: Several small vessels. Closure: Rigid latched case; each vial has its own seal. Contents: Sealed vials only; no direct liquid payload</x:v>
      </x:c>
      <x:c r="U105" s="37"/>
      <x:c r="V105" s="9" t="str">
        <x:v>New game proposal, October 14, 2026. New case proposal; materials chosen under current no-cloth game rule.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6" ht="100" customHeight="1">
      <x:c r="A106" s="9" t="str">
        <x:v>proposal.container.sealed_box</x:v>
      </x:c>
      <x:c r="B106" s="9" t="str">
        <x:v>Sealed cargo box</x:v>
      </x:c>
      <x:c r="C106" s="9" t="str">
        <x:v>Containers</x:v>
      </x:c>
      <x:c r="D106" s="9" t="str">
        <x:v>Protective carrier</x:v>
      </x:c>
      <x:c r="E106" s="9" t="str">
        <x:v>New proposal</x:v>
      </x:c>
      <x:c r="F106" s="9" t="str">
        <x:v>Carry containers and dry sample packets together</x:v>
      </x:c>
      <x:c r="G106" s="9" t="str">
        <x:v>None</x:v>
      </x:c>
      <x:c r="H106" s="9" t="str">
        <x:v>Filled raw-resource vessel: Legger/local owner; other carrier eligibility TBD</x:v>
      </x:c>
      <x:c r="I106" s="13"/>
      <x:c r="J106" s="15"/>
      <x:c r="K106" s="9" t="str">
        <x:v>Glassworker/fabricator or salvage candidate; no recipe authored</x:v>
      </x:c>
      <x:c r="L106" s="9" t="str">
        <x:v>Materials: Shell panels or metal; rigid dividers</x:v>
      </x:c>
      <x:c r="M106" s="9" t="str">
        <x:v>Not implemented</x:v>
      </x:c>
      <x:c r="N106" s="9" t="str">
        <x:v>Outer dust seal is not liquid or vapor certification; all nested contents still count</x:v>
      </x:c>
      <x:c r="O106" s="36"/>
      <x:c r="P106" s="36"/>
      <x:c r="Q106" s="36"/>
      <x:c r="R106" s="36"/>
      <x:c r="S106" s="36"/>
      <x:c r="T106" s="9" t="str">
        <x:v>Qualitative size: Cargo package. Closure: Latched lid with dust-excluding seat proposed. Contents: Separately sealed contents</x:v>
      </x:c>
      <x:c r="U106" s="37"/>
      <x:c r="V106" s="9" t="str">
        <x:v>New game proposal, October 14, 2026. New protective box proposal; not automatic liquid containment.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7" ht="100" customHeight="1">
      <x:c r="A107" s="9" t="str">
        <x:v>proposal.container.field_chest</x:v>
      </x:c>
      <x:c r="B107" s="9" t="str">
        <x:v>Locking field chest</x:v>
      </x:c>
      <x:c r="C107" s="9" t="str">
        <x:v>Containers</x:v>
      </x:c>
      <x:c r="D107" s="9" t="str">
        <x:v>Storage object candidate</x:v>
      </x:c>
      <x:c r="E107" s="9" t="str">
        <x:v>New proposal</x:v>
      </x:c>
      <x:c r="F107" s="9" t="str">
        <x:v>Secure expedition samples at a physical camp/worksite</x:v>
      </x:c>
      <x:c r="G107" s="9" t="str">
        <x:v>None</x:v>
      </x:c>
      <x:c r="H107" s="9" t="str">
        <x:v>Filled raw-resource vessel: Legger/local owner; other carrier eligibility TBD</x:v>
      </x:c>
      <x:c r="I107" s="13"/>
      <x:c r="J107" s="15"/>
      <x:c r="K107" s="9" t="str">
        <x:v>Glassworker/fabricator or salvage candidate; no recipe authored</x:v>
      </x:c>
      <x:c r="L107" s="9" t="str">
        <x:v>Materials: Metal/shell chest; rigid compartment tray</x:v>
      </x:c>
      <x:c r="M107" s="9" t="str">
        <x:v>Not implemented</x:v>
      </x:c>
      <x:c r="N107" s="9" t="str">
        <x:v>Physical local owner; no global stockpile. Portable versus fixed identity undecided</x:v>
      </x:c>
      <x:c r="O107" s="36"/>
      <x:c r="P107" s="36"/>
      <x:c r="Q107" s="36"/>
      <x:c r="R107" s="36"/>
      <x:c r="S107" s="36"/>
      <x:c r="T107" s="9" t="str">
        <x:v>Qualitative size: Local storage. Closure: Mechanical lock and rigid lid proposed. Contents: Sealed vessels and dry material</x:v>
      </x:c>
      <x:c r="U107" s="37"/>
      <x:c r="V107" s="9" t="str">
        <x:v>New game proposal, October 14, 2026. New storage-object candidate; not another implemented camp chest.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8" ht="100" customHeight="1">
      <x:c r="A108" s="9" t="str">
        <x:v>proposal.container.funnel</x:v>
      </x:c>
      <x:c r="B108" s="9" t="str">
        <x:v>Glass transfer funnel</x:v>
      </x:c>
      <x:c r="C108" s="9" t="str">
        <x:v>Containers</x:v>
      </x:c>
      <x:c r="D108" s="9" t="str">
        <x:v>Transfer glassware</x:v>
      </x:c>
      <x:c r="E108" s="9" t="str">
        <x:v>New proposal</x:v>
      </x:c>
      <x:c r="F108" s="9" t="str">
        <x:v>Assist transfers into a compatible narrow-neck vessel</x:v>
      </x:c>
      <x:c r="G108" s="9" t="str">
        <x:v>None</x:v>
      </x:c>
      <x:c r="H108" s="9" t="str">
        <x:v>Filled raw-resource vessel: Legger/local owner; other carrier eligibility TBD</x:v>
      </x:c>
      <x:c r="I108" s="13"/>
      <x:c r="J108" s="15"/>
      <x:c r="K108" s="9" t="str">
        <x:v>Glassworker/fabricator or salvage candidate; no recipe authored</x:v>
      </x:c>
      <x:c r="L108" s="9" t="str">
        <x:v>Materials: Glass bowl and stem</x:v>
      </x:c>
      <x:c r="M108" s="9" t="str">
        <x:v>Not implemented</x:v>
      </x:c>
      <x:c r="N108" s="9" t="str">
        <x:v>Residue/cross-contamination and workshop reconditioning unresolved; no ambient fluid pooling</x:v>
      </x:c>
      <x:c r="O108" s="36"/>
      <x:c r="P108" s="36"/>
      <x:c r="Q108" s="36"/>
      <x:c r="R108" s="36"/>
      <x:c r="S108" s="36"/>
      <x:c r="T108" s="9" t="str">
        <x:v>Qualitative size: Tool-sized. Closure: No closure; never a storage vessel. Contents: Temporary transfer contact only</x:v>
      </x:c>
      <x:c r="U108" s="37"/>
      <x:c r="V108" s="9" t="str">
        <x:v>New game proposal, October 14, 2026. New glassworking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9" ht="100" customHeight="1">
      <x:c r="A109" s="9" t="str">
        <x:v>proposal.container.draw_tube</x:v>
      </x:c>
      <x:c r="B109" s="9" t="str">
        <x:v>Glass draw tube</x:v>
      </x:c>
      <x:c r="C109" s="9" t="str">
        <x:v>Containers</x:v>
      </x:c>
      <x:c r="D109" s="9" t="str">
        <x:v>Transfer glassware</x:v>
      </x:c>
      <x:c r="E109" s="9" t="str">
        <x:v>New proposal</x:v>
      </x:c>
      <x:c r="F109" s="9" t="str">
        <x:v>Move a small sample through an inspectable transfer path</x:v>
      </x:c>
      <x:c r="G109" s="9" t="str">
        <x:v>None</x:v>
      </x:c>
      <x:c r="H109" s="9" t="str">
        <x:v>Filled raw-resource vessel: Legger/local owner; other carrier eligibility TBD</x:v>
      </x:c>
      <x:c r="I109" s="13"/>
      <x:c r="J109" s="15"/>
      <x:c r="K109" s="9" t="str">
        <x:v>Glassworker/fabricator or salvage candidate; no recipe authored</x:v>
      </x:c>
      <x:c r="L109" s="9" t="str">
        <x:v>Materials: Glass tube; proposed mechanical fitting</x:v>
      </x:c>
      <x:c r="M109" s="9" t="str">
        <x:v>Not implemented</x:v>
      </x:c>
      <x:c r="N109" s="9" t="str">
        <x:v>No mouth operation or real extraction procedure; gameplay tool and fittings unapproved</x:v>
      </x:c>
      <x:c r="O109" s="36"/>
      <x:c r="P109" s="36"/>
      <x:c r="Q109" s="36"/>
      <x:c r="R109" s="36"/>
      <x:c r="S109" s="36"/>
      <x:c r="T109" s="9" t="str">
        <x:v>Qualitative size: Tool-sized. Closure: Closed mechanical interface to design. Contents: Compatible small specimen transfer</x:v>
      </x:c>
      <x:c r="U109" s="37"/>
      <x:c r="V109" s="9" t="str">
        <x:v>New game proposal, October 14, 2026. New mechanical sample-transfer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0" ht="100" customHeight="1">
      <x:c r="A110" s="9" t="str">
        <x:v>proposal.container.glass_stopper</x:v>
      </x:c>
      <x:c r="B110" s="9" t="str">
        <x:v>Matched glass stopper</x:v>
      </x:c>
      <x:c r="C110" s="9" t="str">
        <x:v>Containers</x:v>
      </x:c>
      <x:c r="D110" s="9" t="str">
        <x:v>Closure component</x:v>
      </x:c>
      <x:c r="E110" s="9" t="str">
        <x:v>New proposal</x:v>
      </x:c>
      <x:c r="F110" s="9" t="str">
        <x:v>Close its matching vessel without cork or cloth</x:v>
      </x:c>
      <x:c r="G110" s="9" t="str">
        <x:v>None</x:v>
      </x:c>
      <x:c r="H110" s="9" t="str">
        <x:v>Filled raw-resource vessel: Legger/local owner; other carrier eligibility TBD</x:v>
      </x:c>
      <x:c r="I110" s="13"/>
      <x:c r="J110" s="15"/>
      <x:c r="K110" s="9" t="str">
        <x:v>Glassworker/fabricator or salvage candidate; no recipe authored</x:v>
      </x:c>
      <x:c r="L110" s="9" t="str">
        <x:v>Materials: Ground glass seat; retaining clip optional</x:v>
      </x:c>
      <x:c r="M110" s="9" t="str">
        <x:v>Not implemented</x:v>
      </x:c>
      <x:c r="N110" s="9" t="str">
        <x:v>Fit and material compatibility matter; no universal stopper or separate durability chore assumed</x:v>
      </x:c>
      <x:c r="O110" s="36"/>
      <x:c r="P110" s="36"/>
      <x:c r="Q110" s="36"/>
      <x:c r="R110" s="36"/>
      <x:c r="S110" s="36"/>
      <x:c r="T110" s="9" t="str">
        <x:v>Qualitative size: Part-sized. Closure: Matched seat. Contents: Vessel closure, not an independent payload</x:v>
      </x:c>
      <x:c r="U110" s="37"/>
      <x:c r="V110" s="9" t="str">
        <x:v>New game proposal, October 14, 2026. New glass closure component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1" ht="100" customHeight="1">
      <x:c r="A111" s="9" t="str">
        <x:v>proposal.container.seal_collar</x:v>
      </x:c>
      <x:c r="B111" s="9" t="str">
        <x:v>Compression seal collar</x:v>
      </x:c>
      <x:c r="C111" s="9" t="str">
        <x:v>Containers</x:v>
      </x:c>
      <x:c r="D111" s="9" t="str">
        <x:v>Closure component</x:v>
      </x:c>
      <x:c r="E111" s="9" t="str">
        <x:v>New proposal</x:v>
      </x:c>
      <x:c r="F111" s="9" t="str">
        <x:v>Retain and compress a vessel lid/seat</x:v>
      </x:c>
      <x:c r="G111" s="9" t="str">
        <x:v>None</x:v>
      </x:c>
      <x:c r="H111" s="9" t="str">
        <x:v>Filled raw-resource vessel: Legger/local owner; other carrier eligibility TBD</x:v>
      </x:c>
      <x:c r="I111" s="13"/>
      <x:c r="J111" s="15"/>
      <x:c r="K111" s="9" t="str">
        <x:v>Glassworker/fabricator or salvage candidate; no recipe authored</x:v>
      </x:c>
      <x:c r="L111" s="9" t="str">
        <x:v>Materials: Metal/shell collar; compatible mineral/biological seal insert TBD</x:v>
      </x:c>
      <x:c r="M111" s="9" t="str">
        <x:v>Not implemented</x:v>
      </x:c>
      <x:c r="N111" s="9" t="str">
        <x:v>Biological membrane is not automatically compatible; no fat/oil/gasket recipe accepted</x:v>
      </x:c>
      <x:c r="O111" s="36"/>
      <x:c r="P111" s="36"/>
      <x:c r="Q111" s="36"/>
      <x:c r="R111" s="36"/>
      <x:c r="S111" s="36"/>
      <x:c r="T111" s="9" t="str">
        <x:v>Qualitative size: Part-sized. Closure: Mechanical collar. Contents: Vessel closure, not a liquid container</x:v>
      </x:c>
      <x:c r="U111" s="37"/>
      <x:c r="V111" s="9" t="str">
        <x:v>New game proposal, October 14, 2026. New closure assembly proposal; exact seal material unresolved.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conditionalFormatting sqref="E84:E95">
    <x:cfRule type="containsText" dxfId="3" priority="4" operator="containsText" text="proposal"/>
  </x:conditionalFormatting>
  <x:dataValidations count="2">
    <x:dataValidation type="list" sqref="C6:C23">
      <x:formula1>"Equipment,Field supplies,Resources,Crafting components,Weapons,Ammunition,Quest items,Trade goods"</x:formula1>
    </x:dataValidation>
    <x:dataValidation type="list" sqref="C96:C111">
      <x:formula1>"Equipment,Field supplies,Resources,Crafting components,Containers,Weapons,Ammunition,Quest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83605c66c2436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aefaf1fd551940f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5b4e89d903b24d5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8</x:v>
      </x:c>
      <x:c r="C6" s="9" t="str">
        <x:v>Six existing fitted types plus two user-directed carried gear concepts</x:v>
      </x:c>
      <x:c r="D6" s="9" t="str">
        <x:v>Magnets/grounding kit have no assigned equipment slot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65</x:v>
      </x:c>
      <x:c r="C8" s="9" t="str">
        <x:v>Minerals, biological resources, generic chemistry placeholders and twelve new chemical concepts</x:v>
      </x:c>
      <x:c r="D8" s="9" t="str">
        <x:v>Some concepts may merge: etchant/enzyme/molt agent, or binder/clot compound. No new canon.</x:v>
      </x:c>
    </x:row>
    <x:row r="9" ht="48" customHeight="1">
      <x:c r="A9" s="4" t="str">
        <x:v>Crafting components</x:v>
      </x:c>
      <x:c r="B9" s="4" t="n">
        <x:f>COUNTIF(Items!$C$6:$C$1005,A9)</x:f>
        <x:v>14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No current item definitions</x:v>
      </x:c>
      <x:c r="C12" s="9" t="str">
        <x:v>World basis permits crafted weapons</x:v>
      </x:c>
      <x:c r="D12" s="9" t="str">
        <x:v>No named weapon or ammunition roster established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  <x:row r="16" ht="70" customHeight="1">
      <x:c r="A16" s="41" t="str">
        <x:v>Containers</x:v>
      </x:c>
      <x:c r="B16" s="41" t="n">
        <x:f>COUNTIF(Items!$C$6:$C$1005,A16)</x:f>
        <x:v>16</x:v>
      </x:c>
      <x:c r="C16" s="41" t="str">
        <x:v>Primary vessels, protective carriers, transfer glassware and closures</x:v>
      </x:c>
      <x:c r="D16" s="41" t="str">
        <x:v>16 proposals; form distinguishes actual vessels from boxes, tools and the possible fixed chest</x:v>
      </x:c>
    </x:row>
  </x:sheetData>
  <x:pageMargins left="0.7" right="0.7" top="0.75" bottom="0.75" header="0.3" footer="0.3"/>
  <x:tableParts count="1">
    <x:tablePart xmlns:r="http://schemas.openxmlformats.org/officeDocument/2006/relationships" r:id="Rd822c5ee14654ae6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106 design entries: 18 existing item IDs and 88 design concepts. Sixteen container-family proposals include vessels, protective cases, transfer tools, closures and one possible local chest.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Read-only source access restored October 14: github.com/sleepyseamonster/Arc-Dust, master at f6f98515. No external item roster imported.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Authenticated source Git access restored October 14 at f6f98515. Related fauna records are proposals; exact Burden Beasts owning record not identified.</x:v>
      </x:c>
    </x:row>
    <x:row r="46" ht="65" customHeight="1">
      <x:c r="A46" s="4" t="str">
        <x:v>Source reconnection</x:v>
      </x:c>
      <x:c r="B46" s="4" t="str">
        <x:v>Read-only Git access verified to sleepyseamonster/Arc-Dust, master at f6f98515c005dc3c73cccd9cbc031691745740c6. No source content was edited.</x:v>
      </x:c>
    </x:row>
    <x:row r="47" ht="65" customHeight="1">
      <x:c r="A47" s="4" t="str">
        <x:v>Source reconciliation</x:v>
      </x:c>
      <x:c r="B47" s="4" t="str">
        <x:v>Native biology, domestic burden beetle and chitin/Phagia material records are proposals. Their woven textile assumptions conflict with newer game no-cloth direction. No source species or recipes adopted.</x:v>
      </x:c>
    </x:row>
    <x:row r="48" ht="65" customHeight="1">
      <x:c r="A48" s="4" t="str">
        <x:v>Chemical concepts</x:v>
      </x:c>
      <x:c r="B48" s="4" t="str">
        <x:v>Twelve descriptive working labels explore biology, human hazard and possible material use. No new species, chemical identities, numerical effects or recipes are accepted.</x:v>
      </x:c>
    </x:row>
    <x:row r="49" ht="65" customHeight="1">
      <x:c r="A49" s="4" t="str">
        <x:v>Draft versus invention</x:v>
      </x:c>
      <x:c r="B49" s="4" t="str">
        <x:v>Reference column identifies source-draft biology and processing seeds. The Source relationship column states which abilities or uses were invented for this brainstorm.</x:v>
      </x:c>
    </x:row>
    <x:row r="50" ht="65" customHeight="1">
      <x:c r="A50" s="4" t="str">
        <x:v>Useful does not mean edible</x:v>
      </x:c>
      <x:c r="B50" s="4" t="str">
        <x:v>Toxicity, nutrition and industrial usefulness remain separate. No candidate replaces algae or becomes a drink/medicine by default.</x:v>
      </x:c>
    </x:row>
    <x:row r="51" ht="65" customHeight="1">
      <x:c r="A51" s="4" t="str">
        <x:v>Scarce workshop skill</x:v>
      </x:c>
      <x:c r="B51" s="4" t="str">
        <x:v>Husk-fiber processing remains very difficult and hide/fur output extremely low. Enzyme/binder concepts do not create cloth or bypass processing costs.</x:v>
      </x:c>
    </x:row>
    <x:row r="52" ht="65" customHeight="1">
      <x:c r="A52" s="4" t="str">
        <x:v>Contained chemicals</x:v>
      </x:c>
      <x:c r="B52" s="4" t="str">
        <x:v>Liquid candidates require deliberate containment. Native liquid landscapes, real synthesis procedures and harvesting/weapon delivery rules are not introduced.</x:v>
      </x:c>
    </x:row>
    <x:row r="53" ht="70" customHeight="1">
      <x:c r="A53" s="4" t="str">
        <x:v>Container ownership</x:v>
      </x:c>
      <x:c r="B53" s="4" t="str">
        <x:v>Proposed filled vessel = one container instance with one contained payload. Transfer preserves vessel identity, content identity/quantity and ownership; no duplicate empty/full item stacks.</x:v>
      </x:c>
    </x:row>
    <x:row r="54" ht="70" customHeight="1">
      <x:c r="A54" s="4" t="str">
        <x:v>Cargo and packaging</x:v>
      </x:c>
      <x:c r="B54" s="4" t="str">
        <x:v>Gathered ichor and raw chemicals remain Legger/local resources. Boxes, cases and nested vessels grant no extra inventory capacity. All material and contents mass must be counted.</x:v>
      </x:c>
    </x:row>
    <x:row r="55" ht="70" customHeight="1">
      <x:c r="A55" s="4" t="str">
        <x:v>Capacity and compatibility</x:v>
      </x:c>
      <x:c r="B55" s="4" t="str">
        <x:v>Sizes are qualitative. Capacity, seal, liner and material compatibility are undecided per vessel/content pair. Glass is not assumed universally acid-proof or electrically insulating.</x:v>
      </x:c>
    </x:row>
    <x:row r="56" ht="70" customHeight="1">
      <x:c r="A56" s="4" t="str">
        <x:v>No cloth packing</x:v>
      </x:c>
      <x:c r="B56" s="4" t="str">
        <x:v>No cork, wood crates or cloth padding assumed. Proposed outer protection uses shell cages, metal partitions and shaped mineral supports.</x:v>
      </x:c>
    </x:row>
    <x:row r="57" ht="70" customHeight="1">
      <x:c r="A57" s="4" t="str">
        <x:v>Workshop and reuse</x:v>
      </x:c>
      <x:c r="B57" s="4" t="str">
        <x:v>Glassworks is a stationary craft/trade source proposal, not an inventory item or Legger platform. Returning empty vessels and workshop reconditioning could form a useful loop; methods/costs remain open.</x:v>
      </x:c>
    </x:row>
    <x:row r="58" ht="70" customHeight="1">
      <x:c r="A58" s="4" t="str">
        <x:v>Container costs</x:v>
      </x:c>
      <x:c r="B58" s="4" t="str">
        <x:v>No random breakage, leakage penalties, item durability chores or mandatory nested packing are introduced. Protective forms describe design options, not implemented mechanics.</x:v>
      </x:c>
    </x:row>
    <x:row r="59" ht="70" customHeight="1">
      <x:c r="A59" s="4" t="str">
        <x:v>World and save boundary</x:v>
      </x:c>
      <x:c r="B59" s="4" t="str">
        <x:v>Documentation only. No terrain, spawn, streaming or persistence changes. Future container ownership needs stable instances and versioned payloads; prototype canister code does not implement these new vessels.</x:v>
      </x:c>
    </x:row>
  </x:sheetData>
  <x:pageMargins left="0.7" right="0.7" top="0.75" bottom="0.75" header="0.3" footer="0.3"/>
  <x:tableParts count="1">
    <x:tablePart xmlns:r="http://schemas.openxmlformats.org/officeDocument/2006/relationships" r:id="R59b8b0026a6f4ce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110e7303c1ab44db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fe6abf7039ed46df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30" hidden="0" customWidth="1"/>
    <x:col min="3" max="3" width="55" hidden="0" customWidth="1"/>
    <x:col min="4" max="4" width="46" hidden="0" customWidth="1"/>
    <x:col min="5" max="5" width="55" hidden="0" customWidth="1"/>
    <x:col min="6" max="6" width="62" hidden="0" customWidth="1"/>
    <x:col min="7" max="7" width="72" hidden="0" customWidth="1"/>
    <x:col min="8" max="8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Faunal chemicals and toxins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game proposals. Descriptive labels; no accepted chemical identities, species assignments, recipes or numeric effects.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35" t="str">
        <x:v>Concept ID</x:v>
      </x:c>
      <x:c r="B5" s="35" t="str">
        <x:v>Working label</x:v>
      </x:c>
      <x:c r="C5" s="35" t="str">
        <x:v>Biological source / role</x:v>
      </x:c>
      <x:c r="D5" s="35" t="str">
        <x:v>Human hazard</x:v>
      </x:c>
      <x:c r="E5" s="35" t="str">
        <x:v>Potential material use</x:v>
      </x:c>
      <x:c r="F5" s="35" t="str">
        <x:v>Design constraint</x:v>
      </x:c>
      <x:c r="G5" s="35" t="str">
        <x:v>Source relationship</x:v>
      </x:c>
      <x:c r="H5" s="35" t="str">
        <x:v>Reference</x:v>
      </x:c>
    </x:row>
    <x:row r="6" ht="75" customHeight="1">
      <x:c r="A6" s="4" t="str">
        <x:v>proposal.chemical.digestive_etchant</x:v>
      </x:c>
      <x:c r="B6" s="4" t="str">
        <x:v>Digestive etchant</x:v>
      </x:c>
      <x:c r="C6" s="4" t="str">
        <x:v>Contained digestive liquor in geological feeders; exposes useful mineral compounds</x:v>
      </x:c>
      <x:c r="D6" s="4" t="str">
        <x:v>Corrosive tissue injury; inedible</x:v>
      </x:c>
      <x:c r="E6" s="4" t="str">
        <x:v>Mineral separation and metal surface preparation</x:v>
      </x:c>
      <x:c r="F6" s="4" t="str">
        <x:v>Could damage containers and useful shell; reusable containment and selectivity need design</x:v>
      </x:c>
      <x:c r="G6" s="4" t="str">
        <x:v>Source draft describes digestive acids/catalysts; this harvestable agent and uses are new proposals</x:v>
      </x:c>
      <x:c r="H6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7" ht="75" customHeight="1">
      <x:c r="A7" s="4" t="str">
        <x:v>proposal.chemical.husk_enzyme</x:v>
      </x:c>
      <x:c r="B7" s="4" t="str">
        <x:v>Husk-separation enzyme</x:v>
      </x:c>
      <x:c r="C7" s="4" t="str">
        <x:v>Proposed catalytic fraction associated with shell renewal or digestion</x:v>
      </x:c>
      <x:c r="D7" s="4" t="str">
        <x:v>Biologically active irritant; effects species-dependent</x:v>
      </x:c>
      <x:c r="E7" s="4" t="str">
        <x:v>Help release chitin/icore fibers for paper and difficult pressed materials</x:v>
      </x:c>
      <x:c r="F7" s="4" t="str">
        <x:v>Slow specialist processing still required; must not turn abundant husks into easy cloth</x:v>
      </x:c>
      <x:c r="G7" s="4" t="str">
        <x:v>Source draft includes industrial enzymes, but fauna origin and this fiber application are new proposals</x:v>
      </x:c>
      <x:c r="H7" s="4" t="str">
        <x:v>https://github.com/sleepyseamonster/Arc-Dust/blob/f6f98515c005dc3c73cccd9cbc031691745740c6/02-Arc-Dust-Worldbuilding/world/materials/chemical-processing-agents.md</x:v>
      </x:c>
    </x:row>
    <x:row r="8" ht="75" customHeight="1">
      <x:c r="A8" s="4" t="str">
        <x:v>proposal.chemical.shell_binder</x:v>
      </x:c>
      <x:c r="B8" s="4" t="str">
        <x:v>Shell-binding secretion</x:v>
      </x:c>
      <x:c r="C8" s="4" t="str">
        <x:v>Proposed armor-building secretion that binds deposited minerals</x:v>
      </x:c>
      <x:c r="D8" s="4" t="str">
        <x:v>Adheres to exposed surfaces; contaminated residue may be toxic</x:v>
      </x:c>
      <x:c r="E8" s="4" t="str">
        <x:v>Bind mineral aggregate, shell laminates and pressed fiber materials</x:v>
      </x:c>
      <x:c r="F8" s="4" t="str">
        <x:v>Durable bonding is a proposal; curing conditions and unwanted adhesion remain unresolved</x:v>
      </x:c>
      <x:c r="G8" s="4" t="str">
        <x:v>Armor-building organs and chitin-derived binders are source-draft seeds; secretion/product is new</x:v>
      </x:c>
      <x:c r="H8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9" ht="75" customHeight="1">
      <x:c r="A9" s="4" t="str">
        <x:v>proposal.chemical.clotting_compound</x:v>
      </x:c>
      <x:c r="B9" s="4" t="str">
        <x:v>Mineral clotting compound</x:v>
      </x:c>
      <x:c r="C9" s="4" t="str">
        <x:v>Ichor wound response; suspended minerals harden into a protective clot</x:v>
      </x:c>
      <x:c r="D9" s="4" t="str">
        <x:v>Not human-compatible medicine; contact/ingestion toxicity unresolved</x:v>
      </x:c>
      <x:c r="E9" s="4" t="str">
        <x:v>Quick hard-setting equipment patches and temporary container seals</x:v>
      </x:c>
      <x:c r="F9" s="4" t="str">
        <x:v>Brittleness and shelf stability can distinguish it from a permanent binder</x:v>
      </x:c>
      <x:c r="G9" s="4" t="str">
        <x:v>Source draft describes mineral-hardened clots; repair-material use is new</x:v>
      </x:c>
      <x:c r="H9" s="4" t="str">
        <x:v>https://github.com/sleepyseamonster/Arc-Dust/blob/f6f98515c005dc3c73cccd9cbc031691745740c6/02-Arc-Dust-Worldbuilding/world/native-fauna-biology.md</x:v>
      </x:c>
    </x:row>
    <x:row r="10" ht="75" customHeight="1">
      <x:c r="A10" s="4" t="str">
        <x:v>proposal.chemical.mineral_ichor</x:v>
      </x:c>
      <x:c r="B10" s="4" t="str">
        <x:v>Mineral-rich ichor</x:v>
      </x:c>
      <x:c r="C10" s="4" t="str">
        <x:v>Circulatory fluid carrying minerals, energy compounds and metabolic wastes</x:v>
      </x:c>
      <x:c r="D10" s="4" t="str">
        <x:v>Species-dependent toxicity and mineral contamination; not drinkable by default</x:v>
      </x:c>
      <x:c r="E10" s="4" t="str">
        <x:v>Potential feed for pigments, recovered mineral fractions and binder research</x:v>
      </x:c>
      <x:c r="F10" s="4" t="str">
        <x:v>Mixed contents vary by diet; do not assume a universal reagent or battery electrolyte</x:v>
      </x:c>
      <x:c r="G10" s="4" t="str">
        <x:v>Ichor contents are source-draft biology; separated material uses are new proposals</x:v>
      </x:c>
      <x:c r="H10" s="4" t="str">
        <x:v>https://github.com/sleepyseamonster/Arc-Dust/blob/f6f98515c005dc3c73cccd9cbc031691745740c6/02-Arc-Dust-Worldbuilding/world/native-fauna-biology.md</x:v>
      </x:c>
    </x:row>
    <x:row r="11" ht="75" customHeight="1">
      <x:c r="A11" s="4" t="str">
        <x:v>proposal.chemical.joint_lubricant</x:v>
      </x:c>
      <x:c r="B11" s="4" t="str">
        <x:v>Joint-lubricating secretion</x:v>
      </x:c>
      <x:c r="C11" s="4" t="str">
        <x:v>Proposed secretion that protects sliding plate/joint surfaces</x:v>
      </x:c>
      <x:c r="D11" s="4" t="str">
        <x:v>Toxic if ingested; skin compatibility unapproved</x:v>
      </x:c>
      <x:c r="E11" s="4" t="str">
        <x:v>Dust-resistant equipment lubrication and flexible-seal conditioning</x:v>
      </x:c>
      <x:c r="F11" s="4" t="str">
        <x:v>Dust capture versus useful lubrication needs design; does not restore conventional fat anatomy</x:v>
      </x:c>
      <x:c r="G11" s="4" t="str">
        <x:v>New proposed secretion; source processing draft discusses biological oils without validating this anatomy</x:v>
      </x:c>
      <x:c r="H11" s="4" t="str">
        <x:v>https://github.com/sleepyseamonster/Arc-Dust/blob/f6f98515c005dc3c73cccd9cbc031691745740c6/02-Arc-Dust-Worldbuilding/world/materials/chemical-processing-agents.md</x:v>
      </x:c>
    </x:row>
    <x:row r="12" ht="75" customHeight="1">
      <x:c r="A12" s="4" t="str">
        <x:v>proposal.chemical.insulating_secretion</x:v>
      </x:c>
      <x:c r="B12" s="4" t="str">
        <x:v>Insulating secretion</x:v>
      </x:c>
      <x:c r="C12" s="4" t="str">
        <x:v>Proposed barrier layer that helps fauna manage electrical exposure</x:v>
      </x:c>
      <x:c r="D12" s="4" t="str">
        <x:v>Irritating/toxic residue; no human-contact assumption</x:v>
      </x:c>
      <x:c r="E12" s="4" t="str">
        <x:v>Candidate electrical separators and equipment coating</x:v>
      </x:c>
      <x:c r="F12" s="4" t="str">
        <x:v>Electrical behavior and wear are unproven; never blanket lightning immunity</x:v>
      </x:c>
      <x:c r="G12" s="4" t="str">
        <x:v>Source draft includes insulation/charge shedding; this material capability is a new proposal</x:v>
      </x:c>
      <x:c r="H12" s="4" t="str">
        <x:v>https://github.com/sleepyseamonster/Arc-Dust/blob/f6f98515c005dc3c73cccd9cbc031691745740c6/02-Arc-Dust-Worldbuilding/world/native-fauna-biology.md</x:v>
      </x:c>
    </x:row>
    <x:row r="13" ht="75" customHeight="1">
      <x:c r="A13" s="4" t="str">
        <x:v>proposal.chemical.conductive_gel</x:v>
      </x:c>
      <x:c r="B13" s="4" t="str">
        <x:v>Charge-conducting gel</x:v>
      </x:c>
      <x:c r="C13" s="4" t="str">
        <x:v>Proposed contained medium supporting electroactive tissue</x:v>
      </x:c>
      <x:c r="D13" s="4" t="str">
        <x:v>Contact could create an unwanted charge path; chemically toxic</x:v>
      </x:c>
      <x:c r="E13" s="4" t="str">
        <x:v>Candidate contained equipment contacts and sensing components</x:v>
      </x:c>
      <x:c r="F13" s="4" t="str">
        <x:v>Can worsen charge exposure; no direct body application or power generation assumed</x:v>
      </x:c>
      <x:c r="G13" s="4" t="str">
        <x:v>Source draft has electroactive fibers and conductive tissue; gel and applications are new proposals</x:v>
      </x:c>
      <x:c r="H13" s="4" t="str">
        <x:v>https://github.com/sleepyseamonster/Arc-Dust/blob/f6f98515c005dc3c73cccd9cbc031691745740c6/02-Arc-Dust-Worldbuilding/world/native-fauna-biology.md</x:v>
      </x:c>
    </x:row>
    <x:row r="14" ht="75" customHeight="1">
      <x:c r="A14" s="4" t="str">
        <x:v>proposal.chemical.molt_release</x:v>
      </x:c>
      <x:c r="B14" s="4" t="str">
        <x:v>Molt-release compound</x:v>
      </x:c>
      <x:c r="C14" s="4" t="str">
        <x:v>Proposed agent that separates old outer husk layers during renewal</x:v>
      </x:c>
      <x:c r="D14" s="4" t="str">
        <x:v>Tissue/surface damage on contact; species-dependent</x:v>
      </x:c>
      <x:c r="E14" s="4" t="str">
        <x:v>Controlled plate-layer release and husk surface preparation</x:v>
      </x:c>
      <x:c r="F14" s="4" t="str">
        <x:v>May spoil recovered fibers or structural plate; usefulness must differ from enzyme fraction</x:v>
      </x:c>
      <x:c r="G14" s="4" t="str">
        <x:v>New biological/material proposal; no specific molt chemistry established</x:v>
      </x:c>
      <x:c r="H14" s="4" t="str">
        <x:v>https://github.com/sleepyseamonster/Arc-Dust/blob/f6f98515c005dc3c73cccd9cbc031691745740c6/02-Arc-Dust-Worldbuilding/world/native-fauna-biology.md</x:v>
      </x:c>
    </x:row>
    <x:row r="15" ht="75" customHeight="1">
      <x:c r="A15" s="4" t="str">
        <x:v>proposal.chemical.defensive_irritant</x:v>
      </x:c>
      <x:c r="B15" s="4" t="str">
        <x:v>Defensive irritant secretion</x:v>
      </x:c>
      <x:c r="C15" s="4" t="str">
        <x:v>Proposed deterrent gland output in defensive species</x:v>
      </x:c>
      <x:c r="D15" s="4" t="str">
        <x:v>Painful surface irritation and temporary sensory disruption</x:v>
      </x:c>
      <x:c r="E15" s="4" t="str">
        <x:v>Candidate exclusion coatings around equipment or stored materials</x:v>
      </x:c>
      <x:c r="F15" s="4" t="str">
        <x:v>Repellent target response is unproven; deliberate containment only, no ambient liquid pools</x:v>
      </x:c>
      <x:c r="G15" s="4" t="str">
        <x:v>New toxin and application proposal; not assigned to any existing species</x:v>
      </x:c>
      <x:c r="H15" s="4" t="str">
        <x:v>https://github.com/sleepyseamonster/Arc-Dust/blob/f6f98515c005dc3c73cccd9cbc031691745740c6/02-Arc-Dust-Worldbuilding/world/native-fauna-biology.md</x:v>
      </x:c>
    </x:row>
    <x:row r="16" ht="75" customHeight="1">
      <x:c r="A16" s="4" t="str">
        <x:v>proposal.chemical.disabling_venom</x:v>
      </x:c>
      <x:c r="B16" s="4" t="str">
        <x:v>Disabling venom fraction</x:v>
      </x:c>
      <x:c r="C16" s="4" t="str">
        <x:v>Proposed specialized predator secretion for subduing native prey</x:v>
      </x:c>
      <x:c r="D16" s="4" t="str">
        <x:v>Neurological disruption; human severity undefined</x:v>
      </x:c>
      <x:c r="E16" s="4" t="str">
        <x:v>Candidate specialist trade/sample material for later design</x:v>
      </x:c>
      <x:c r="F16" s="4" t="str">
        <x:v>No human/animal potency equivalence, cure, delivery method or combat system established</x:v>
      </x:c>
      <x:c r="G16" s="4" t="str">
        <x:v>New proposal; source predation does not establish a specific venom</x:v>
      </x:c>
      <x:c r="H16" s="4" t="str">
        <x:v>https://github.com/sleepyseamonster/Arc-Dust/blob/f6f98515c005dc3c73cccd9cbc031691745740c6/02-Arc-Dust-Worldbuilding/world/native-fauna-biology.md</x:v>
      </x:c>
    </x:row>
    <x:row r="17" ht="75" customHeight="1">
      <x:c r="A17" s="4" t="str">
        <x:v>proposal.chemical.scent_marker</x:v>
      </x:c>
      <x:c r="B17" s="4" t="str">
        <x:v>Chemical scent marker</x:v>
      </x:c>
      <x:c r="C17" s="4" t="str">
        <x:v>Proposed territorial or social signal secretion</x:v>
      </x:c>
      <x:c r="D17" s="4" t="str">
        <x:v>Irritant or toxic to humans despite its signaling role</x:v>
      </x:c>
      <x:c r="E17" s="4" t="str">
        <x:v>Possible lure, trail concealment or animal-avoidance research</x:v>
      </x:c>
      <x:c r="F17" s="4" t="str">
        <x:v>Species-specific response; a signal may attract unwanted animals rather than repel them</x:v>
      </x:c>
      <x:c r="G17" s="4" t="str">
        <x:v>New proposal; no accepted behavioral response or universal bait chemistry</x:v>
      </x:c>
      <x:c r="H17" s="4" t="str">
        <x:v>https://github.com/sleepyseamonster/Arc-Dust/blob/f6f98515c005dc3c73cccd9cbc031691745740c6/02-Arc-Dust-Worldbuilding/world/native-fauna-biology.md</x:v>
      </x:c>
    </x:row>
  </x:sheetData>
  <x:pageMargins left="0.7" right="0.7" top="0.75" bottom="0.75" header="0.3" footer="0.3"/>
  <x:tableParts count="1">
    <x:tablePart xmlns:r="http://schemas.openxmlformats.org/officeDocument/2006/relationships" r:id="R2c8b07c6161544bb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29" hidden="0" customWidth="1"/>
    <x:col min="3" max="3" width="30" hidden="0" customWidth="1"/>
    <x:col min="4" max="4" width="50" hidden="0" customWidth="1"/>
    <x:col min="5" max="5" width="55" hidden="0" customWidth="1"/>
    <x:col min="6" max="6" width="24" hidden="0" customWidth="1"/>
    <x:col min="7" max="7" width="50" hidden="0" customWidth="1"/>
    <x:col min="8" max="8" width="50" hidden="0" customWidth="1"/>
    <x:col min="9" max="9" width="70" hidden="0" customWidth="1"/>
    <x:col min="10" max="10" width="78" hidden="0" customWidth="1"/>
    <x:col min="11" max="11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Liquid vessels, protective carriers and glasswork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All new proposals. Sizes are qualitative; filled resource vessels use finite Legger/local storage.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5" customHeight="1">
      <x:c r="A5" s="40" t="str">
        <x:v>Concept ID</x:v>
      </x:c>
      <x:c r="B5" s="40" t="str">
        <x:v>Working label</x:v>
      </x:c>
      <x:c r="C5" s="40" t="str">
        <x:v>Form</x:v>
      </x:c>
      <x:c r="D5" s="40" t="str">
        <x:v>Proposed materials</x:v>
      </x:c>
      <x:c r="E5" s="40" t="str">
        <x:v>Purpose</x:v>
      </x:c>
      <x:c r="F5" s="40" t="str">
        <x:v>Qualitative size</x:v>
      </x:c>
      <x:c r="G5" s="40" t="str">
        <x:v>Closure concept</x:v>
      </x:c>
      <x:c r="H5" s="40" t="str">
        <x:v>Contents / contact</x:v>
      </x:c>
      <x:c r="I5" s="40" t="str">
        <x:v>Design constraint</x:v>
      </x:c>
      <x:c r="J5" s="40" t="str">
        <x:v>Source relationship</x:v>
      </x:c>
      <x:c r="K5" s="40" t="str">
        <x:v>References</x:v>
      </x:c>
    </x:row>
    <x:row r="6" ht="90" customHeight="1">
      <x:c r="A6" s="4" t="str">
        <x:v>proposal.container.sample_vial</x:v>
      </x:c>
      <x:c r="B6" s="4" t="str">
        <x:v>Clear sample vial</x:v>
      </x:c>
      <x:c r="C6" s="4" t="str">
        <x:v>Primary vessel</x:v>
      </x:c>
      <x:c r="D6" s="4" t="str">
        <x:v>Scarce clear glass</x:v>
      </x:c>
      <x:c r="E6" s="4" t="str">
        <x:v>Inspect a small ichor or chemical sample without opening it</x:v>
      </x:c>
      <x:c r="F6" s="4" t="str">
        <x:v>Small sample</x:v>
      </x:c>
      <x:c r="G6" s="4" t="str">
        <x:v>Matched stopper with retained cover proposed</x:v>
      </x:c>
      <x:c r="H6" s="4" t="str">
        <x:v>Species-tagged ichor; compatible chemical samples</x:v>
      </x:c>
      <x:c r="I6" s="4" t="str">
        <x:v>Clear glass cost; liquid compatibility and fill limit unapproved</x:v>
      </x:c>
      <x:c r="J6" s="4" t="str">
        <x:v>Glass draft supports costly transparent material; this vessel is a new proposal</x:v>
      </x:c>
      <x:c r="K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7" ht="90" customHeight="1">
      <x:c r="A7" s="4" t="str">
        <x:v>proposal.container.reagent_bottle</x:v>
      </x:c>
      <x:c r="B7" s="4" t="str">
        <x:v>Opaque reagent bottle</x:v>
      </x:c>
      <x:c r="C7" s="4" t="str">
        <x:v>Primary vessel</x:v>
      </x:c>
      <x:c r="D7" s="4" t="str">
        <x:v>Opaque mineral glass; shell/metal cap</x:v>
      </x:c>
      <x:c r="E7" s="4" t="str">
        <x:v>Everyday transport of one known material</x:v>
      </x:c>
      <x:c r="F7" s="4" t="str">
        <x:v>Hand-sized</x:v>
      </x:c>
      <x:c r="G7" s="4" t="str">
        <x:v>Compression cap and compatible seat proposed</x:v>
      </x:c>
      <x:c r="H7" s="4" t="str">
        <x:v>One identified ichor or reagent batch</x:v>
      </x:c>
      <x:c r="I7" s="4" t="str">
        <x:v>Cannot inspect contents through the wall; external identity label matters</x:v>
      </x:c>
      <x:c r="J7" s="4" t="str">
        <x:v>Standard opaque glass vessels have a source-draft basis; exact item new</x:v>
      </x:c>
      <x:c r="K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8" ht="90" customHeight="1">
      <x:c r="A8" s="4" t="str">
        <x:v>proposal.container.wide_jar</x:v>
      </x:c>
      <x:c r="B8" s="4" t="str">
        <x:v>Wide-mouth sample jar</x:v>
      </x:c>
      <x:c r="C8" s="4" t="str">
        <x:v>Primary vessel</x:v>
      </x:c>
      <x:c r="D8" s="4" t="str">
        <x:v>Glass body; rigid broad lid</x:v>
      </x:c>
      <x:c r="E8" s="4" t="str">
        <x:v>Carry thick gels, clot samples and mineral-rich slurry</x:v>
      </x:c>
      <x:c r="F8" s="4" t="str">
        <x:v>Small to medium</x:v>
      </x:c>
      <x:c r="G8" s="4" t="str">
        <x:v>Broad fitted lid with compatible sealing seat</x:v>
      </x:c>
      <x:c r="H8" s="4" t="str">
        <x:v>Viscous material or solid/liquid sample</x:v>
      </x:c>
      <x:c r="I8" s="4" t="str">
        <x:v>Wide opening aids access but makes transfers less controlled; no scoop rules set</x:v>
      </x:c>
      <x:c r="J8" s="4" t="str">
        <x:v>Glass vessel basis; wide-mouth item and uses proposed</x:v>
      </x:c>
      <x:c r="K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" ht="90" customHeight="1">
      <x:c r="A9" s="4" t="str">
        <x:v>proposal.container.ampoule</x:v>
      </x:c>
      <x:c r="B9" s="4" t="str">
        <x:v>Sealed sample ampoule</x:v>
      </x:c>
      <x:c r="C9" s="4" t="str">
        <x:v>Primary vessel</x:v>
      </x:c>
      <x:c r="D9" s="4" t="str">
        <x:v>Sealed clear glass</x:v>
      </x:c>
      <x:c r="E9" s="4" t="str">
        <x:v>Preserve an isolated small specimen for later analysis or trade</x:v>
      </x:c>
      <x:c r="F9" s="4" t="str">
        <x:v>Very small</x:v>
      </x:c>
      <x:c r="G9" s="4" t="str">
        <x:v>Factory/workshop sealed</x:v>
      </x:c>
      <x:c r="H9" s="4" t="str">
        <x:v>One specimen; chemistry compatibility unresolved</x:v>
      </x:c>
      <x:c r="I9" s="4" t="str">
        <x:v>Opening and reuse undecided; no mandatory single-use depletion rule approved</x:v>
      </x:c>
      <x:c r="J9" s="4" t="str">
        <x:v>New sealed-glass form inspired by source glasswork</x:v>
      </x:c>
      <x:c r="K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" ht="90" customHeight="1">
      <x:c r="A10" s="4" t="str">
        <x:v>proposal.container.marked_flask</x:v>
      </x:c>
      <x:c r="B10" s="4" t="str">
        <x:v>Marked glass flask</x:v>
      </x:c>
      <x:c r="C10" s="4" t="str">
        <x:v>Primary vessel</x:v>
      </x:c>
      <x:c r="D10" s="4" t="str">
        <x:v>Clear glass with etched marks</x:v>
      </x:c>
      <x:c r="E10" s="4" t="str">
        <x:v>Read fill and compare a specimen before transfer</x:v>
      </x:c>
      <x:c r="F10" s="4" t="str">
        <x:v>Small sample / workshop</x:v>
      </x:c>
      <x:c r="G10" s="4" t="str">
        <x:v>Matched stopper proposed</x:v>
      </x:c>
      <x:c r="H10" s="4" t="str">
        <x:v>Compatible samples and liquids</x:v>
      </x:c>
      <x:c r="I10" s="4" t="str">
        <x:v>Marks do not establish numeric volume, chemistry analysis or automatic quality grading</x:v>
      </x:c>
      <x:c r="J10" s="4" t="str">
        <x:v>New measuring/inspection use; no authored volume system</x:v>
      </x:c>
      <x:c r="K1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" ht="90" customHeight="1">
      <x:c r="A11" s="4" t="str">
        <x:v>proposal.container.shell_cage</x:v>
      </x:c>
      <x:c r="B11" s="4" t="str">
        <x:v>Shell-caged glass flask</x:v>
      </x:c>
      <x:c r="C11" s="4" t="str">
        <x:v>Protected vessel assembly</x:v>
      </x:c>
      <x:c r="D11" s="4" t="str">
        <x:v>Glass inner vessel; slotted shell outer cage</x:v>
      </x:c>
      <x:c r="E11" s="4" t="str">
        <x:v>Protect a carried specimen while keeping a viewing opening</x:v>
      </x:c>
      <x:c r="F11" s="4" t="str">
        <x:v>Medium</x:v>
      </x:c>
      <x:c r="G11" s="4" t="str">
        <x:v>Retained cap and inspectable seat proposed</x:v>
      </x:c>
      <x:c r="H11" s="4" t="str">
        <x:v>One compatible liquid payload</x:v>
      </x:c>
      <x:c r="I11" s="4" t="str">
        <x:v>One assembled container, not two copies of storage; protection behavior undecided</x:v>
      </x:c>
      <x:c r="J11" s="4" t="str">
        <x:v>Chitin plate/curved vessel and glass drafts inspire assembly; item new</x:v>
      </x:c>
      <x:c r="K1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2" ht="90" customHeight="1">
      <x:c r="A12" s="4" t="str">
        <x:v>proposal.container.lined_canister</x:v>
      </x:c>
      <x:c r="B12" s="4" t="str">
        <x:v>Glass-lined haul canister</x:v>
      </x:c>
      <x:c r="C12" s="4" t="str">
        <x:v>Protected vessel assembly</x:v>
      </x:c>
      <x:c r="D12" s="4" t="str">
        <x:v>Metal/shell outer body; replaceable glass liner</x:v>
      </x:c>
      <x:c r="E12" s="4" t="str">
        <x:v>Transport larger quantities to a processing workshop</x:v>
      </x:c>
      <x:c r="F12" s="4" t="str">
        <x:v>Medium haul</x:v>
      </x:c>
      <x:c r="G12" s="4" t="str">
        <x:v>Compression lid with replaceable compatible seat</x:v>
      </x:c>
      <x:c r="H12" s="4" t="str">
        <x:v>One identified raw ichor or chemical batch</x:v>
      </x:c>
      <x:c r="I12" s="4" t="str">
        <x:v>Liner, seal and contents must all be compatible; filled payload belongs in resource cargo</x:v>
      </x:c>
      <x:c r="J12" s="4" t="str">
        <x:v>Glass draft includes internal canister linings; haul role and item new</x:v>
      </x:c>
      <x:c r="K12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3" ht="90" customHeight="1">
      <x:c r="A13" s="4" t="str">
        <x:v>proposal.container.ceramic_jar</x:v>
      </x:c>
      <x:c r="B13" s="4" t="str">
        <x:v>Glazed ceramic reagent jar</x:v>
      </x:c>
      <x:c r="C13" s="4" t="str">
        <x:v>Primary vessel</x:v>
      </x:c>
      <x:c r="D13" s="4" t="str">
        <x:v>Fired ceramic; proposed glaze; rigid lid</x:v>
      </x:c>
      <x:c r="E13" s="4" t="str">
        <x:v>Alternative storage for selected processing compounds</x:v>
      </x:c>
      <x:c r="F13" s="4" t="str">
        <x:v>Medium</x:v>
      </x:c>
      <x:c r="G13" s="4" t="str">
        <x:v>Fitted rigid lid and compatible seal</x:v>
      </x:c>
      <x:c r="H13" s="4" t="str">
        <x:v>Only compounds qualified for that jar</x:v>
      </x:c>
      <x:c r="I13" s="4" t="str">
        <x:v>Opaque; heavier/bulkier tradeoff proposed; glaze is not universally chemical-resistant</x:v>
      </x:c>
      <x:c r="J13" s="4" t="str">
        <x:v>New ceramic vessel proposal; not a validated recipe/material capability</x:v>
      </x:c>
      <x:c r="K13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4" ht="90" customHeight="1">
      <x:c r="A14" s="4" t="str">
        <x:v>proposal.container.bulk_ichor</x:v>
      </x:c>
      <x:c r="B14" s="4" t="str">
        <x:v>Bulk ichor vessel</x:v>
      </x:c>
      <x:c r="C14" s="4" t="str">
        <x:v>Primary vessel</x:v>
      </x:c>
      <x:c r="D14" s="4" t="str">
        <x:v>Reinforced outer body; qualified inner lining TBD</x:v>
      </x:c>
      <x:c r="E14" s="4" t="str">
        <x:v>Make a large harvest an expedition haul decision</x:v>
      </x:c>
      <x:c r="F14" s="4" t="str">
        <x:v>Bulk cargo</x:v>
      </x:c>
      <x:c r="G14" s="4" t="str">
        <x:v>Service lid and separate transfer fitting proposed</x:v>
      </x:c>
      <x:c r="H14" s="4" t="str">
        <x:v>One species/batch of gathered ichor</x:v>
      </x:c>
      <x:c r="I14" s="4" t="str">
        <x:v>Finite Legger cargo and contents mass; no backpack resource exception or free capacity</x:v>
      </x:c>
      <x:c r="J14" s="4" t="str">
        <x:v>New bulk vessel proposal; no liter capacity, hose or extraction mechanic approved</x:v>
      </x:c>
      <x:c r="K14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5" ht="90" customHeight="1">
      <x:c r="A15" s="4" t="str">
        <x:v>proposal.container.vial_case</x:v>
      </x:c>
      <x:c r="B15" s="4" t="str">
        <x:v>Divided vial case</x:v>
      </x:c>
      <x:c r="C15" s="4" t="str">
        <x:v>Protective carrier</x:v>
      </x:c>
      <x:c r="D15" s="4" t="str">
        <x:v>Shell/metal case; shaped mineral seats</x:v>
      </x:c>
      <x:c r="E15" s="4" t="str">
        <x:v>Keep separately sealed specimens organized and supported</x:v>
      </x:c>
      <x:c r="F15" s="4" t="str">
        <x:v>Several small vessels</x:v>
      </x:c>
      <x:c r="G15" s="4" t="str">
        <x:v>Rigid latched case; each vial has its own seal</x:v>
      </x:c>
      <x:c r="H15" s="4" t="str">
        <x:v>Sealed vials only; no direct liquid payload</x:v>
      </x:c>
      <x:c r="I15" s="4" t="str">
        <x:v>Does not create extra inventory capacity; inserts use no assumed wood, cork or cloth</x:v>
      </x:c>
      <x:c r="J15" s="4" t="str">
        <x:v>New case proposal; materials chosen under current no-cloth game rule</x:v>
      </x:c>
      <x:c r="K15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6" ht="90" customHeight="1">
      <x:c r="A16" s="4" t="str">
        <x:v>proposal.container.sealed_box</x:v>
      </x:c>
      <x:c r="B16" s="4" t="str">
        <x:v>Sealed cargo box</x:v>
      </x:c>
      <x:c r="C16" s="4" t="str">
        <x:v>Protective carrier</x:v>
      </x:c>
      <x:c r="D16" s="4" t="str">
        <x:v>Shell panels or metal; rigid dividers</x:v>
      </x:c>
      <x:c r="E16" s="4" t="str">
        <x:v>Carry containers and dry sample packets together</x:v>
      </x:c>
      <x:c r="F16" s="4" t="str">
        <x:v>Cargo package</x:v>
      </x:c>
      <x:c r="G16" s="4" t="str">
        <x:v>Latched lid with dust-excluding seat proposed</x:v>
      </x:c>
      <x:c r="H16" s="4" t="str">
        <x:v>Separately sealed contents</x:v>
      </x:c>
      <x:c r="I16" s="4" t="str">
        <x:v>Outer dust seal is not liquid or vapor certification; all nested contents still count</x:v>
      </x:c>
      <x:c r="J16" s="4" t="str">
        <x:v>New protective box proposal; not automatic liquid containment</x:v>
      </x:c>
      <x:c r="K1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7" ht="90" customHeight="1">
      <x:c r="A17" s="4" t="str">
        <x:v>proposal.container.field_chest</x:v>
      </x:c>
      <x:c r="B17" s="4" t="str">
        <x:v>Locking field chest</x:v>
      </x:c>
      <x:c r="C17" s="4" t="str">
        <x:v>Storage object candidate</x:v>
      </x:c>
      <x:c r="D17" s="4" t="str">
        <x:v>Metal/shell chest; rigid compartment tray</x:v>
      </x:c>
      <x:c r="E17" s="4" t="str">
        <x:v>Secure expedition samples at a physical camp/worksite</x:v>
      </x:c>
      <x:c r="F17" s="4" t="str">
        <x:v>Local storage</x:v>
      </x:c>
      <x:c r="G17" s="4" t="str">
        <x:v>Mechanical lock and rigid lid proposed</x:v>
      </x:c>
      <x:c r="H17" s="4" t="str">
        <x:v>Sealed vessels and dry material</x:v>
      </x:c>
      <x:c r="I17" s="4" t="str">
        <x:v>Physical local owner; no global stockpile. Portable versus fixed identity undecided</x:v>
      </x:c>
      <x:c r="J17" s="4" t="str">
        <x:v>New storage-object candidate; not another implemented camp chest</x:v>
      </x:c>
      <x:c r="K1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8" ht="90" customHeight="1">
      <x:c r="A18" s="4" t="str">
        <x:v>proposal.container.funnel</x:v>
      </x:c>
      <x:c r="B18" s="4" t="str">
        <x:v>Glass transfer funnel</x:v>
      </x:c>
      <x:c r="C18" s="4" t="str">
        <x:v>Transfer glassware</x:v>
      </x:c>
      <x:c r="D18" s="4" t="str">
        <x:v>Glass bowl and stem</x:v>
      </x:c>
      <x:c r="E18" s="4" t="str">
        <x:v>Assist transfers into a compatible narrow-neck vessel</x:v>
      </x:c>
      <x:c r="F18" s="4" t="str">
        <x:v>Tool-sized</x:v>
      </x:c>
      <x:c r="G18" s="4" t="str">
        <x:v>No closure; never a storage vessel</x:v>
      </x:c>
      <x:c r="H18" s="4" t="str">
        <x:v>Temporary transfer contact only</x:v>
      </x:c>
      <x:c r="I18" s="4" t="str">
        <x:v>Residue/cross-contamination and workshop reconditioning unresolved; no ambient fluid pooling</x:v>
      </x:c>
      <x:c r="J18" s="4" t="str">
        <x:v>New glassworking tool proposal</x:v>
      </x:c>
      <x:c r="K1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9" ht="90" customHeight="1">
      <x:c r="A19" s="4" t="str">
        <x:v>proposal.container.draw_tube</x:v>
      </x:c>
      <x:c r="B19" s="4" t="str">
        <x:v>Glass draw tube</x:v>
      </x:c>
      <x:c r="C19" s="4" t="str">
        <x:v>Transfer glassware</x:v>
      </x:c>
      <x:c r="D19" s="4" t="str">
        <x:v>Glass tube; proposed mechanical fitting</x:v>
      </x:c>
      <x:c r="E19" s="4" t="str">
        <x:v>Move a small sample through an inspectable transfer path</x:v>
      </x:c>
      <x:c r="F19" s="4" t="str">
        <x:v>Tool-sized</x:v>
      </x:c>
      <x:c r="G19" s="4" t="str">
        <x:v>Closed mechanical interface to design</x:v>
      </x:c>
      <x:c r="H19" s="4" t="str">
        <x:v>Compatible small specimen transfer</x:v>
      </x:c>
      <x:c r="I19" s="4" t="str">
        <x:v>No mouth operation or real extraction procedure; gameplay tool and fittings unapproved</x:v>
      </x:c>
      <x:c r="J19" s="4" t="str">
        <x:v>New mechanical sample-transfer tool proposal</x:v>
      </x:c>
      <x:c r="K1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0" ht="90" customHeight="1">
      <x:c r="A20" s="4" t="str">
        <x:v>proposal.container.glass_stopper</x:v>
      </x:c>
      <x:c r="B20" s="4" t="str">
        <x:v>Matched glass stopper</x:v>
      </x:c>
      <x:c r="C20" s="4" t="str">
        <x:v>Closure component</x:v>
      </x:c>
      <x:c r="D20" s="4" t="str">
        <x:v>Ground glass seat; retaining clip optional</x:v>
      </x:c>
      <x:c r="E20" s="4" t="str">
        <x:v>Close its matching vessel without cork or cloth</x:v>
      </x:c>
      <x:c r="F20" s="4" t="str">
        <x:v>Part-sized</x:v>
      </x:c>
      <x:c r="G20" s="4" t="str">
        <x:v>Matched seat</x:v>
      </x:c>
      <x:c r="H20" s="4" t="str">
        <x:v>Vessel closure, not an independent payload</x:v>
      </x:c>
      <x:c r="I20" s="4" t="str">
        <x:v>Fit and material compatibility matter; no universal stopper or separate durability chore assumed</x:v>
      </x:c>
      <x:c r="J20" s="4" t="str">
        <x:v>New glass closure component proposal</x:v>
      </x:c>
      <x:c r="K2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1" ht="90" customHeight="1">
      <x:c r="A21" s="4" t="str">
        <x:v>proposal.container.seal_collar</x:v>
      </x:c>
      <x:c r="B21" s="4" t="str">
        <x:v>Compression seal collar</x:v>
      </x:c>
      <x:c r="C21" s="4" t="str">
        <x:v>Closure component</x:v>
      </x:c>
      <x:c r="D21" s="4" t="str">
        <x:v>Metal/shell collar; compatible mineral/biological seal insert TBD</x:v>
      </x:c>
      <x:c r="E21" s="4" t="str">
        <x:v>Retain and compress a vessel lid/seat</x:v>
      </x:c>
      <x:c r="F21" s="4" t="str">
        <x:v>Part-sized</x:v>
      </x:c>
      <x:c r="G21" s="4" t="str">
        <x:v>Mechanical collar</x:v>
      </x:c>
      <x:c r="H21" s="4" t="str">
        <x:v>Vessel closure, not a liquid container</x:v>
      </x:c>
      <x:c r="I21" s="4" t="str">
        <x:v>Biological membrane is not automatically compatible; no fat/oil/gasket recipe accepted</x:v>
      </x:c>
      <x:c r="J21" s="4" t="str">
        <x:v>New closure assembly proposal; exact seal material unresolved</x:v>
      </x:c>
      <x:c r="K2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</x:sheetData>
  <x:pageMargins left="0.7" right="0.7" top="0.75" bottom="0.75" header="0.3" footer="0.3"/>
  <x:tableParts count="1">
    <x:tablePart xmlns:r="http://schemas.openxmlformats.org/officeDocument/2006/relationships" r:id="Rc6c1c1572fe647d1"/>
  </x:tableParts>
</x:worksheet>
</file>