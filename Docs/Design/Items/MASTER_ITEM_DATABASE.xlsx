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23c5565c2594195" /></Relationships>
</file>

<file path=xl/workbook.xml><?xml version="1.0" encoding="utf-8"?>
<x:workbook xmlns:x="http://schemas.openxmlformats.org/spreadsheetml/2006/main">
  <x:sheets>
    <x:sheet xmlns:r="http://schemas.openxmlformats.org/officeDocument/2006/relationships" name="Items" sheetId="1" r:id="R5ef441d4d88842bc"/>
    <x:sheet xmlns:r="http://schemas.openxmlformats.org/officeDocument/2006/relationships" name="Variants" sheetId="2" r:id="Rbb6c35a0ba844e78"/>
    <x:sheet xmlns:r="http://schemas.openxmlformats.org/officeDocument/2006/relationships" name="Recipes" sheetId="3" r:id="R31522a92dcfe46d7"/>
    <x:sheet xmlns:r="http://schemas.openxmlformats.org/officeDocument/2006/relationships" name="Categories" sheetId="4" r:id="R2e272b24fce540bc"/>
    <x:sheet xmlns:r="http://schemas.openxmlformats.org/officeDocument/2006/relationships" name="Guide" sheetId="5" r:id="R16702a69b29d4969"/>
    <x:sheet xmlns:r="http://schemas.openxmlformats.org/officeDocument/2006/relationships" name="Resource chains" sheetId="6" r:id="R3dc389cd18f24428"/>
    <x:sheet xmlns:r="http://schemas.openxmlformats.org/officeDocument/2006/relationships" name="Creature concepts" sheetId="7" r:id="Rdf246c7ff1224028"/>
    <x:sheet xmlns:r="http://schemas.openxmlformats.org/officeDocument/2006/relationships" name="Chemical concepts" sheetId="8" r:id="R44841d0fc35143eb"/>
    <x:sheet xmlns:r="http://schemas.openxmlformats.org/officeDocument/2006/relationships" name="Container concepts" sheetId="9" r:id="Re451a4828bfc4f27"/>
    <x:sheet xmlns:r="http://schemas.openxmlformats.org/officeDocument/2006/relationships" name="Equipment concepts" sheetId="10" r:id="R5af7dcc1a9f647d3"/>
    <x:sheet xmlns:r="http://schemas.openxmlformats.org/officeDocument/2006/relationships" name="Canister concepts" sheetId="11" r:id="R6ca86be74c784f35"/>
    <x:sheet xmlns:r="http://schemas.openxmlformats.org/officeDocument/2006/relationships" name="Taxonomy" sheetId="12" r:id="R2880a21984a4455f"/>
    <x:sheet xmlns:r="http://schemas.openxmlformats.org/officeDocument/2006/relationships" name="Item uses" sheetId="13" r:id="Ra7d13549decc42f0"/>
    <x:sheet xmlns:r="http://schemas.openxmlformats.org/officeDocument/2006/relationships" name="Material routes" sheetId="14" r:id="Rdb4a244e4d294cee"/>
    <x:sheet xmlns:r="http://schemas.openxmlformats.org/officeDocument/2006/relationships" name="Regional demand" sheetId="15" r:id="R81d33f751e9a4a39"/>
    <x:sheet xmlns:r="http://schemas.openxmlformats.org/officeDocument/2006/relationships" name="Crafting recipes" sheetId="16" r:id="R11aa2ecb9247424c"/>
    <x:sheet xmlns:r="http://schemas.openxmlformats.org/officeDocument/2006/relationships" name="Crafting browser" sheetId="17" r:id="R435b0a46a821438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4">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c9f58c85a9243a6" /><Relationship Type="http://schemas.openxmlformats.org/officeDocument/2006/relationships/theme" Target="/xl/theme/theme1.xml" Id="Ra7bc88a4d8174110" /><Relationship Type="http://schemas.microsoft.com/office/2022/11/relationships/FeaturePropertyBag" Target="/xl/featurePropertyBag/featurePropertyBag.xml" Id="Rb826bd8bb14d42a1" /><Relationship Type="http://schemas.openxmlformats.org/officeDocument/2006/relationships/sharedStrings" Target="/xl/sharedStrings.xml" Id="R7e1389542520471a" /><Relationship Type="http://schemas.openxmlformats.org/officeDocument/2006/relationships/worksheet" Target="/xl/worksheets/sheet1.xml" Id="R5ef441d4d88842bc" /><Relationship Type="http://schemas.openxmlformats.org/officeDocument/2006/relationships/worksheet" Target="/xl/worksheets/sheet2.xml" Id="Rbb6c35a0ba844e78" /><Relationship Type="http://schemas.openxmlformats.org/officeDocument/2006/relationships/worksheet" Target="/xl/worksheets/sheet3.xml" Id="R31522a92dcfe46d7" /><Relationship Type="http://schemas.openxmlformats.org/officeDocument/2006/relationships/worksheet" Target="/xl/worksheets/sheet4.xml" Id="R2e272b24fce540bc" /><Relationship Type="http://schemas.openxmlformats.org/officeDocument/2006/relationships/worksheet" Target="/xl/worksheets/sheet5.xml" Id="R16702a69b29d4969" /><Relationship Type="http://schemas.openxmlformats.org/officeDocument/2006/relationships/worksheet" Target="/xl/worksheets/sheet6.xml" Id="R3dc389cd18f24428" /><Relationship Type="http://schemas.openxmlformats.org/officeDocument/2006/relationships/worksheet" Target="/xl/worksheets/sheet7.xml" Id="Rdf246c7ff1224028" /><Relationship Type="http://schemas.openxmlformats.org/officeDocument/2006/relationships/worksheet" Target="/xl/worksheets/sheet8.xml" Id="R44841d0fc35143eb" /><Relationship Type="http://schemas.openxmlformats.org/officeDocument/2006/relationships/worksheet" Target="/xl/worksheets/sheet9.xml" Id="Re451a4828bfc4f27" /><Relationship Type="http://schemas.openxmlformats.org/officeDocument/2006/relationships/worksheet" Target="/xl/worksheets/sheet10.xml" Id="R5af7dcc1a9f647d3" /><Relationship Type="http://schemas.openxmlformats.org/officeDocument/2006/relationships/worksheet" Target="/xl/worksheets/sheet11.xml" Id="R6ca86be74c784f35" /><Relationship Type="http://schemas.openxmlformats.org/officeDocument/2006/relationships/worksheet" Target="/xl/worksheets/sheet12.xml" Id="R2880a21984a4455f" /><Relationship Type="http://schemas.openxmlformats.org/officeDocument/2006/relationships/worksheet" Target="/xl/worksheets/sheet13.xml" Id="Ra7d13549decc42f0" /><Relationship Type="http://schemas.openxmlformats.org/officeDocument/2006/relationships/worksheet" Target="/xl/worksheets/sheet14.xml" Id="Rdb4a244e4d294cee" /><Relationship Type="http://schemas.openxmlformats.org/officeDocument/2006/relationships/worksheet" Target="/xl/worksheets/sheet15.xml" Id="R81d33f751e9a4a39" /><Relationship Type="http://schemas.openxmlformats.org/officeDocument/2006/relationships/worksheet" Target="/xl/worksheets/sheet16.xml" Id="R11aa2ecb9247424c" /><Relationship Type="http://schemas.openxmlformats.org/officeDocument/2006/relationships/worksheet" Target="/xl/worksheets/sheet17.xml" Id="R435b0a46a821438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8" name="ItemsTable" displayName="ItemsTable" ref="A5:AM413" headerRowCount="1" totalsRowCount="0" totalsRowShown="0">
  <x:autoFilter ref="A5:AM413"/>
  <x:tableColumns count="39">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96" headerRowCount="1" totalsRowCount="0" totalsRowShown="0">
  <x:autoFilter ref="A5:B19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72" headerRowCount="1" totalsRowCount="0" totalsRowShown="0">
  <x:autoFilter ref="A5:F57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156" headerRowCount="1" totalsRowCount="0" totalsRowShown="0">
  <x:autoFilter ref="A5:Q15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77" headerRowCount="1" totalsRowCount="0" totalsRowShown="0">
  <x:autoFilter ref="A5:M77"/>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84" headerRowCount="1" totalsRowCount="0" totalsRowShown="0">
  <x:autoFilter ref="A5:V84"/>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cfd902964974729" /></Relationships>
</file>

<file path=xl/worksheets/_rels/sheet2.xml.rels>&#65279;<?xml version="1.0" encoding="utf-8"?><Relationships xmlns="http://schemas.openxmlformats.org/package/2006/relationships"><Relationship Type="http://schemas.openxmlformats.org/officeDocument/2006/relationships/table" Target="/xl/tables/table2.xml" Id="Ref5a5f2d151243ce" /></Relationships>
</file>

<file path=xl/worksheets/_rels/sheet3.xml.rels>&#65279;<?xml version="1.0" encoding="utf-8"?><Relationships xmlns="http://schemas.openxmlformats.org/package/2006/relationships"><Relationship Type="http://schemas.openxmlformats.org/officeDocument/2006/relationships/table" Target="/xl/tables/table3.xml" Id="Recdfe43939454843" /></Relationships>
</file>

<file path=xl/worksheets/_rels/sheet4.xml.rels>&#65279;<?xml version="1.0" encoding="utf-8"?><Relationships xmlns="http://schemas.openxmlformats.org/package/2006/relationships"><Relationship Type="http://schemas.openxmlformats.org/officeDocument/2006/relationships/table" Target="/xl/tables/table4.xml" Id="R8e2bc9e5211542a2" /></Relationships>
</file>

<file path=xl/worksheets/_rels/sheet5.xml.rels>&#65279;<?xml version="1.0" encoding="utf-8"?><Relationships xmlns="http://schemas.openxmlformats.org/package/2006/relationships"><Relationship Type="http://schemas.openxmlformats.org/officeDocument/2006/relationships/table" Target="/xl/tables/table5.xml" Id="Rd97bed5a66a74092" /></Relationships>
</file>

<file path=xl/worksheets/_rels/sheet6.xml.rels>&#65279;<?xml version="1.0" encoding="utf-8"?><Relationships xmlns="http://schemas.openxmlformats.org/package/2006/relationships"><Relationship Type="http://schemas.openxmlformats.org/officeDocument/2006/relationships/table" Target="/xl/tables/table6.xml" Id="R25bb6d4ea0184f44" /></Relationships>
</file>

<file path=xl/worksheets/_rels/sheet7.xml.rels>&#65279;<?xml version="1.0" encoding="utf-8"?><Relationships xmlns="http://schemas.openxmlformats.org/package/2006/relationships"><Relationship Type="http://schemas.openxmlformats.org/officeDocument/2006/relationships/table" Target="/xl/tables/table7.xml" Id="R86e6a43408214253" /></Relationships>
</file>

<file path=xl/worksheets/_rels/sheet8.xml.rels>&#65279;<?xml version="1.0" encoding="utf-8"?><Relationships xmlns="http://schemas.openxmlformats.org/package/2006/relationships"><Relationship Type="http://schemas.openxmlformats.org/officeDocument/2006/relationships/table" Target="/xl/tables/table8.xml" Id="Rac3dea5e175644eb" /></Relationships>
</file>

<file path=xl/worksheets/_rels/sheet9.xml.rels>&#65279;<?xml version="1.0" encoding="utf-8"?><Relationships xmlns="http://schemas.openxmlformats.org/package/2006/relationships"><Relationship Type="http://schemas.openxmlformats.org/officeDocument/2006/relationships/table" Target="/xl/tables/table9.xml" Id="R7f03ee5dc97b4151" /></Relationships>
</file>

<file path=xl/worksheets/_rels/sheet10.xml.rels>&#65279;<?xml version="1.0" encoding="utf-8"?><Relationships xmlns="http://schemas.openxmlformats.org/package/2006/relationships"><Relationship Type="http://schemas.openxmlformats.org/officeDocument/2006/relationships/table" Target="/xl/tables/table10.xml" Id="R47f12f53beab46fb" /></Relationships>
</file>

<file path=xl/worksheets/_rels/sheet11.xml.rels>&#65279;<?xml version="1.0" encoding="utf-8"?><Relationships xmlns="http://schemas.openxmlformats.org/package/2006/relationships"><Relationship Type="http://schemas.openxmlformats.org/officeDocument/2006/relationships/table" Target="/xl/tables/table11.xml" Id="R0ef5859d8c7441b0" /></Relationships>
</file>

<file path=xl/worksheets/_rels/sheet12.xml.rels>&#65279;<?xml version="1.0" encoding="utf-8"?><Relationships xmlns="http://schemas.openxmlformats.org/package/2006/relationships"><Relationship Type="http://schemas.openxmlformats.org/officeDocument/2006/relationships/table" Target="/xl/tables/table12.xml" Id="R1cda8690c12d4766" /></Relationships>
</file>

<file path=xl/worksheets/_rels/sheet13.xml.rels>&#65279;<?xml version="1.0" encoding="utf-8"?><Relationships xmlns="http://schemas.openxmlformats.org/package/2006/relationships"><Relationship Type="http://schemas.openxmlformats.org/officeDocument/2006/relationships/table" Target="/xl/tables/table13.xml" Id="R69ca7fd519374638" /></Relationships>
</file>

<file path=xl/worksheets/_rels/sheet14.xml.rels>&#65279;<?xml version="1.0" encoding="utf-8"?><Relationships xmlns="http://schemas.openxmlformats.org/package/2006/relationships"><Relationship Type="http://schemas.openxmlformats.org/officeDocument/2006/relationships/table" Target="/xl/tables/table14.xml" Id="Rd5a0b2243b034853" /></Relationships>
</file>

<file path=xl/worksheets/_rels/sheet15.xml.rels>&#65279;<?xml version="1.0" encoding="utf-8"?><Relationships xmlns="http://schemas.openxmlformats.org/package/2006/relationships"><Relationship Type="http://schemas.openxmlformats.org/officeDocument/2006/relationships/table" Target="/xl/tables/table15.xml" Id="R13a19aebaed54683" /></Relationships>
</file>

<file path=xl/worksheets/_rels/sheet16.xml.rels>&#65279;<?xml version="1.0" encoding="utf-8"?><Relationships xmlns="http://schemas.openxmlformats.org/package/2006/relationships"><Relationship Type="http://schemas.openxmlformats.org/officeDocument/2006/relationships/table" Target="/xl/tables/table16.xml" Id="R0ddabe37033c4545" /></Relationships>
</file>

<file path=xl/worksheets/_rels/sheet17.xml.rels>&#65279;<?xml version="1.0" encoding="utf-8"?><Relationships xmlns="http://schemas.openxmlformats.org/package/2006/relationships"><Relationship Type="http://schemas.openxmlformats.org/officeDocument/2006/relationships/table" Target="/xl/tables/table17.xml" Id="R4a33df4827904b97"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Crafting browser shows inputs and outputs together. AF material tier and AI crafting role are separate; AJ:AM summarize recipe coverage.</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"&amp;U6&amp;"; "&amp;AF6&amp;"; "&amp;AH6&amp;"; "&amp;AI6)</x:f>
        <x:v>lab.salvage.drive_assembly; drive assembly; crafting components; salvage; crafting component; recovered part; recovered machinery; machinery repair; mixed / unresolved; assembly; existing definition; ; unassigned; not applicable; component</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status/completeness",IF(AF6="T0","Raw entry feed; no production route","No production route listed"))</x:f>
        <x:v>No production route listed</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"&amp;U7&amp;"; "&amp;AF7&amp;"; "&amp;AH7&amp;"; "&amp;AI7)</x:f>
        <x:v>lab.salvage.metal_plate; metal plate; crafting components; salvage; crafting component; recovered part; recovered machinery; fabrication; metal; solid part; existing definition; ; unassigned; not applicable; component</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status/completeness",IF(AF7="T0","Raw entry feed; no production route","No production route listed"))</x:f>
        <x:v>No production route listed</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"&amp;U8&amp;"; "&amp;AF8&amp;"; "&amp;AH8&amp;"; "&amp;AI8)</x:f>
        <x:v>lab.salvage.wire_bundle; wire bundle; crafting components; salvage; crafting component; recovered part; recovered machinery; electrical work; metal; bundle; existing definition; ; unassigned; not applicable; component</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status/completeness",IF(AF8="T0","Raw entry feed; no production route","No production route listed"))</x:f>
        <x:v>No production route listed</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"&amp;U9&amp;"; "&amp;AF9&amp;"; "&amp;AH9&amp;"; "&amp;AI9)</x:f>
        <x:v>equipment.algae_canister; algae canister; equipment; survival; container; finished item; living culture; survival provision; mixed / unresolved; assembly; existing definition; injury treatment; not applicable; unassigned; finished item</x:v>
      </x:c>
      <x:c r="AE9" s="4" t="str">
        <x:v>From current item description. Proposed uses retain their existing approval status.</x:v>
      </x:c>
      <x:c r="AF9" s="4" t="str">
        <x:v>Not applicable</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status/completeness",IF(AF9="T0","Raw entry feed; no production route","No production route listed"))</x:f>
        <x:v>No production route listed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"&amp;U10&amp;"; "&amp;AF10&amp;"; "&amp;AH10&amp;"; "&amp;AI10)</x:f>
        <x:v>equipment.cloak; cloak; equipment; clothing; wearable; finished item; unresolved; clothing; unresolved; garment; existing definition; camp rest; not applicable; unassigned; finished item</x:v>
      </x:c>
      <x:c r="AE10" s="4" t="str">
        <x:v>From current item description. Proposed uses retain their existing approval status.</x:v>
      </x:c>
      <x:c r="AF10" s="4" t="str">
        <x:v>Not applicable</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status/completeness",IF(AF10="T0","Raw entry feed; no production route","No production route listed"))</x:f>
        <x:v>No production route listed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"&amp;U11&amp;"; "&amp;AF11&amp;"; "&amp;AH11&amp;"; "&amp;AI11)</x:f>
        <x:v>equipment.digging_tool; digging shovel axe; equipment; excavation; tool; finished item; unresolved; excavation; mixed / unresolved; assembly; existing definition; ; not applicable; unassigned; finished item</x:v>
      </x:c>
      <x:c r="AE11" s="4" t="str">
        <x:v>From current item description. Proposed uses retain their existing approval status.</x:v>
      </x:c>
      <x:c r="AF11" s="4" t="str">
        <x:v>Not applicable</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status/completeness",IF(AF11="T0","Raw entry feed; no production route","No production route listed"))</x:f>
        <x:v>No production route listed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"&amp;U12&amp;"; "&amp;AF12&amp;"; "&amp;AH12&amp;"; "&amp;AI12)</x:f>
        <x:v>tool.micro_dust_harvester; dust canister; equipment; harvesting; tool; finished item; unresolved; resource collection; mixed / unresolved; assembly; existing definition; ; not applicable; unassigned; finished item</x:v>
      </x:c>
      <x:c r="AE12" s="4" t="str">
        <x:v>From current item description. Proposed uses retain their existing approval status.</x:v>
      </x:c>
      <x:c r="AF12" s="4" t="str">
        <x:v>Not applicable</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status/completeness",IF(AF12="T0","Raw entry feed; no production route","No production route listed"))</x:f>
        <x:v>No production route listed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"&amp;U13&amp;"; "&amp;AF13&amp;"; "&amp;AH13&amp;"; "&amp;AI13)</x:f>
        <x:v>equipment.grappling_hook; grappling hook; equipment; traversal; tool; finished item; unresolved; traversal; mixed / unresolved; assembly; existing definition; ; not applicable; unassigned; finished item</x:v>
      </x:c>
      <x:c r="AE13" s="4" t="str">
        <x:v>From current item description. Proposed uses retain their existing approval status.</x:v>
      </x:c>
      <x:c r="AF13" s="4" t="str">
        <x:v>Not applicable</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status/completeness",IF(AF13="T0","Raw entry feed; no production route","No production route listed"))</x:f>
        <x:v>No production route listed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"&amp;U14&amp;"; "&amp;AF14&amp;"; "&amp;AH14&amp;"; "&amp;AI14)</x:f>
        <x:v>equipment.jacket; jacket; equipment; clothing; wearable; finished item; unresolved; clothing; unresolved; garment; existing definition; ; not applicable; unassigned; finished item</x:v>
      </x:c>
      <x:c r="AE14" s="4" t="str">
        <x:v>From current item description. Proposed uses retain their existing approval status.</x:v>
      </x:c>
      <x:c r="AF14" s="4" t="str">
        <x:v>Not applicable</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status/completeness",IF(AF14="T0","Raw entry feed; no production route","No production route listed"))</x:f>
        <x:v>No production route listed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"&amp;U15&amp;"; "&amp;AF15&amp;"; "&amp;AH15&amp;"; "&amp;AI15)</x:f>
        <x:v>equipment.arc_battery_charged; charged arc battery; field supplies; energy container; energy storage; finished item; manufactured / unresolved; energy storage; mixed / unresolved; assembly; existing definition; ; not applicable; unassigned; finished item</x:v>
      </x:c>
      <x:c r="AE15" s="4" t="str">
        <x:v>From current item description. Proposed uses retain their existing approval status.</x:v>
      </x:c>
      <x:c r="AF15" s="4" t="str">
        <x:v>Not applicable</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status/completeness",IF(AF15="T0","Raw entry feed; no production route","No production route listed"))</x:f>
        <x:v>Route listed; review status/completeness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"&amp;U16&amp;"; "&amp;AF16&amp;";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E16" s="4" t="str">
        <x:v>From current item description. Proposed uses retain their existing approval status.</x:v>
      </x:c>
      <x:c r="AF16" s="4" t="str">
        <x:v>Not applicable</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status/completeness",IF(AF16="T0","Raw entry feed; no production route","No production route listed"))</x:f>
        <x:v>Route listed; review status/completeness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"&amp;U17&amp;"; "&amp;AF17&amp;"; "&amp;AH17&amp;"; "&amp;AI17)</x:f>
        <x:v>tool.popup_camp; pop-up camp; field supplies; camp bundle; shelter kit; finished item; unresolved; camp rest; mixed / unresolved; assembly; existing definition; sun shading; vertical sun shade shelter; not applicable; unassigned; finished item</x:v>
      </x:c>
      <x:c r="AE17" s="4" t="str">
        <x:v>From current item description. Proposed uses retain their existing approval status.</x:v>
      </x:c>
      <x:c r="AF17" s="4" t="str">
        <x:v>Not applicable</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status/completeness",IF(AF17="T0","Raw entry feed; no production route","No production route listed"))</x:f>
        <x:v>No production route listed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"&amp;U18&amp;"; "&amp;AF18&amp;"; "&amp;AH18&amp;"; "&amp;AI18)</x:f>
        <x:v>resource.airborne_dust; airborne dust; resources; airborne resource; raw material; raw; atmospheric; energy processing; unresolved; particles; existing definition; ; t0; not applicable; material</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status/completeness",IF(AF18="T0","Raw entry feed; no production route","No production route listed"))</x:f>
        <x:v>Raw entry feed; no production route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"&amp;U19&amp;"; "&amp;AF19&amp;"; "&amp;AH19&amp;"; "&amp;AI19)</x:f>
        <x:v>lab.ironstone.aggregate; coarse aggregate; resources; processed mineral; processed material; processed intermediate; geological; use unresolved; mineral; particles; existing definition; ; unassigned; not applicable; material</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status/completeness",IF(AF19="T0","Raw entry feed; no production route","No production route listed"))</x:f>
        <x:v>Route listed; review status/completeness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"&amp;U20&amp;"; "&amp;AF20&amp;"; "&amp;AH20&amp;"; "&amp;AI20)</x:f>
        <x:v>lab.ironstone.concentrate; iron-rich concentrate; resources; processed mineral; processed material; processed intermediate; geological; metal refining; mineral; particles; existing definition; ; t1; not applicable; material</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status/completeness",IF(AF20="T0","Raw entry feed; no production route","No production route listed"))</x:f>
        <x:v>Route listed; review status/completeness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"&amp;U21&amp;"; "&amp;AF21&amp;"; "&amp;AH21&amp;"; "&amp;AI21)</x:f>
        <x:v>resource.ironstone_ore; ironstone ore; resources; raw mineral; raw material; raw; geological; metal refining; mineral; rock; existing definition; fabrication; unprocessed iron rich stone; t0; not applicable; material</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status/completeness",IF(AF21="T0","Raw entry feed; no production route","No production route listed"))</x:f>
        <x:v>Raw entry feed; no production route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"&amp;U22&amp;"; "&amp;AF22&amp;"; "&amp;AH22&amp;"; "&amp;AI22)</x:f>
        <x:v>lab.ironstone.mineral_dust; mineral dust; resources; processed mineral; processed material; processed intermediate; geological; use unresolved; mineral; particles; existing definition; ; unassigned; not applicable; material</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status/completeness",IF(AF22="T0","Raw entry feed; no production route","No production route listed"))</x:f>
        <x:v>Route listed; review status/completeness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"&amp;U23&amp;"; "&amp;AF23&amp;"; "&amp;AH23&amp;"; "&amp;AI23)</x:f>
        <x:v>lab.ironstone.sand; mineral sand; resources; processed mineral; processed material; processed intermediate; geological; use unresolved; mineral; particles; existing definition; ; unassigned; not applicable; material</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status/completeness",IF(AF23="T0","Raw entry feed; no production route","No production route listed"))</x:f>
        <x:v>Route listed; review status/completeness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"&amp;U24&amp;"; "&amp;AF24&amp;"; "&amp;AH24&amp;"; "&amp;AI24)</x:f>
        <x:v>proposal.gear.magnets; field magnets; equipment; magnetic recovery; tool; finished item; manufactured / unresolved; resource collection; mixed / unresolved; assembly; author direction; work holding; not applicable; unassigned; finished item</x:v>
      </x:c>
      <x:c r="AE24" s="4" t="str">
        <x:v>From current item description. Proposed uses retain their existing approval status.</x:v>
      </x:c>
      <x:c r="AF24" s="4" t="str">
        <x:v>Not applicable</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status/completeness",IF(AF24="T0","Raw entry feed; no production route","No production route listed"))</x:f>
        <x:v>No production route listed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"&amp;U25&amp;"; "&amp;AF25&amp;"; "&amp;AH25&amp;"; "&amp;AI25)</x:f>
        <x:v>proposal.gear.grounding_kit; static grounding kit; equipment; charge management; tool; finished item; manufactured / unresolved; static management; mixed / unresolved; assembly; author direction; ; not applicable; unassigned; finished item</x:v>
      </x:c>
      <x:c r="AE25" s="4" t="str">
        <x:v>From current item description. Proposed uses retain their existing approval status.</x:v>
      </x:c>
      <x:c r="AF25" s="4" t="str">
        <x:v>Not applicable</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status/completeness",IF(AF25="T0","Raw entry feed; no production route","No production route listed"))</x:f>
        <x:v>Route listed; review status/completeness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"&amp;U26&amp;"; "&amp;AF26&amp;"; "&amp;AH26&amp;"; "&amp;AI26)</x:f>
        <x:v>proposal.natural.magnetite; magnetite-rich stone; resources; raw mineral; raw material; raw; geological; metal refining; mineral; rock; proposal; magnetic tools; t0; not applicable; material</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status/completeness",IF(AF26="T0","Raw entry feed; no production route","No production route listed"))</x:f>
        <x:v>Raw entry feed; no production route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"&amp;U27&amp;"; "&amp;AF27&amp;"; "&amp;AH27&amp;"; "&amp;AI27)</x:f>
        <x:v>proposal.natural.silica; silica-rich grit; resources; raw mineral; raw material; raw; geological; surface finishing; mineral; particles; proposal; glass and ceramics; t0; not applicable; material</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status/completeness",IF(AF27="T0","Raw entry feed; no production route","No production route listed"))</x:f>
        <x:v>Raw entry feed; no production route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"&amp;U28&amp;"; "&amp;AF28&amp;"; "&amp;AH28&amp;"; "&amp;AI28)</x:f>
        <x:v>proposal.natural.alumina; alumina-rich rock; resources; raw mineral; raw material; raw; geological; glass and ceramics; mineral; rock; proposal; electrical insulation; t0; not applicable; material</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1</x:v>
      </x:c>
      <x:c r="AL28" s="4" t="n">
        <x:f>COUNTIFS('Material routes'!$D$6:$D$1005,A28,'Material routes'!$C$6:$C$1005,"Tool candidate")</x:f>
        <x:v>0</x:v>
      </x:c>
      <x:c r="AM28" s="4" t="str">
        <x:f>IF(AJ28&gt;0,"Route listed; review status/completeness",IF(AF28="T0","Raw entry feed; no production route","No production route listed"))</x:f>
        <x:v>Raw entry feed; no production route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"&amp;U29&amp;"; "&amp;AF29&amp;"; "&amp;AH29&amp;"; "&amp;AI29)</x:f>
        <x:v>proposal.natural.claystone; claystone; resources; raw mineral; raw material; raw; geological; glass and ceramics; mineral; rock; proposal; ; t0; not applicable; material</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status/completeness",IF(AF29="T0","Raw entry feed; no production route","No production route listed"))</x:f>
        <x:v>Raw entry feed; no production route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"&amp;U30&amp;"; "&amp;AF30&amp;"; "&amp;AH30&amp;"; "&amp;AI30)</x:f>
        <x:v>proposal.natural.carbonate; carbonate stone; resources; raw mineral; raw material; raw; geological; binding and construction; mineral; rock; proposal; ; t0; not applicable; material</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1</x:v>
      </x:c>
      <x:c r="AL30" s="4" t="n">
        <x:f>COUNTIFS('Material routes'!$D$6:$D$1005,A30,'Material routes'!$C$6:$C$1005,"Tool candidate")</x:f>
        <x:v>0</x:v>
      </x:c>
      <x:c r="AM30" s="4" t="str">
        <x:f>IF(AJ30&gt;0,"Route listed; review status/completeness",IF(AF30="T0","Raw entry feed; no production route","No production route listed"))</x:f>
        <x:v>Raw entry feed; no production route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"&amp;U31&amp;"; "&amp;AF31&amp;"; "&amp;AH31&amp;"; "&amp;AI31)</x:f>
        <x:v>proposal.natural.salts; dry mineral salts; resources; raw mineral; raw material; raw; geological; culture support; mineral; particles; proposal; ; t0; not applicable; material</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status/completeness",IF(AF31="T0","Raw entry feed; no production route","No production route listed"))</x:f>
        <x:v>Raw entry feed; no production route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"&amp;U32&amp;"; "&amp;AF32&amp;"; "&amp;AH32&amp;"; "&amp;AI32)</x:f>
        <x:v>proposal.natural.graphite; graphite-bearing stone; resources; raw mineral; raw material; raw; geological; lubrication; mineral; particles; proposal; electrical conduction; t0; not applicable; material</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status/completeness",IF(AF32="T0","Raw entry feed; no production route","No production route listed"))</x:f>
        <x:v>Raw entry feed; no production route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"&amp;U33&amp;"; "&amp;AF33&amp;"; "&amp;AH33&amp;"; "&amp;AI33)</x:f>
        <x:v>proposal.natural.mica; mica sheets; resources; raw mineral; raw material; raw; geological; electrical insulation; mineral; sheet; proposal; protective fabrication; t0; not applicable; material</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status/completeness",IF(AF33="T0","Raw entry feed; no production route","No production route listed"))</x:f>
        <x:v>Raw entry feed; no production route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"&amp;U34&amp;"; "&amp;AF34&amp;"; "&amp;AH34&amp;"; "&amp;AI34)</x:f>
        <x:v>proposal.natural.iron_feed; iron-rich mineral feed; resources; processed mineral; processed material; processed intermediate; geological; metal refining; mineral; particles; proposal; ; t1; not applicable; material</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status/completeness",IF(AF34="T0","Raw entry feed; no production route","No production route listed"))</x:f>
        <x:v>Route listed; review status/completeness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"&amp;U35&amp;"; "&amp;AF35&amp;"; "&amp;AH35&amp;"; "&amp;AI35)</x:f>
        <x:v>proposal.natural.iron_stock; worked iron stock; resources; processed mineral; processed material; processed intermediate; geological; fabrication; mineral; solid part; proposal; equipment repair; t2; not applicable; material</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status/completeness",IF(AF35="T0","Raw entry feed; no production route","No production route listed"))</x:f>
        <x:v>Route listed; review status/completeness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"&amp;U36&amp;"; "&amp;AF36&amp;"; "&amp;AH36&amp;"; "&amp;AI36)</x:f>
        <x:v>proposal.natural.abrasive; graded abrasive grit; resources; processed mineral; processed material; processed intermediate; geological; surface finishing; mineral; particles; proposal; ; t1; not applicable; material</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0</x:v>
      </x:c>
      <x:c r="AL36" s="4" t="n">
        <x:f>COUNTIFS('Material routes'!$D$6:$D$1005,A36,'Material routes'!$C$6:$C$1005,"Tool candidate")</x:f>
        <x:v>0</x:v>
      </x:c>
      <x:c r="AM36" s="4" t="str">
        <x:f>IF(AJ36&gt;0,"Route listed; review status/completeness",IF(AF36="T0","Raw entry feed; no production route","No production route listed"))</x:f>
        <x:v>Route listed; review status/completeness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"&amp;U37&amp;"; "&amp;AF37&amp;"; "&amp;AH37&amp;"; "&amp;AI37)</x:f>
        <x:v>proposal.natural.ceramic; insulating ceramic blanks; resources; processed mineral; processed material; processed intermediate; geological; electrical insulation; ceramic; solid part; proposal; protective fabrication; mineral; unassigned; not applicable; material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c r="AI37" s="4" t="str">
        <x:v>Material</x:v>
      </x:c>
      <x:c r="AJ37" s="4" t="n">
        <x:f>COUNTIFS('Material routes'!$D$6:$D$1005,A37,'Material routes'!$C$6:$C$1005,"Output")</x:f>
        <x:v>1</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0</x:v>
      </x:c>
      <x:c r="AL37" s="4" t="n">
        <x:f>COUNTIFS('Material routes'!$D$6:$D$1005,A37,'Material routes'!$C$6:$C$1005,"Tool candidate")</x:f>
        <x:v>0</x:v>
      </x:c>
      <x:c r="AM37" s="4" t="str">
        <x:f>IF(AJ37&gt;0,"Route listed; review status/completeness",IF(AF37="T0","Raw entry feed; no production route","No production route listed"))</x:f>
        <x:v>Route listed; review status/completeness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"&amp;U38&amp;"; "&amp;AF38&amp;"; "&amp;AH38&amp;"; "&amp;AI38)</x:f>
        <x:v>proposal.natural.lime; calcined mineral binder; resources; processed mineral; processed material; processed intermediate; geological; binding and construction; mineral; particles; proposal; ; t1; not applicable; material</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0</x:v>
      </x:c>
      <x:c r="AL38" s="4" t="n">
        <x:f>COUNTIFS('Material routes'!$D$6:$D$1005,A38,'Material routes'!$C$6:$C$1005,"Tool candidate")</x:f>
        <x:v>0</x:v>
      </x:c>
      <x:c r="AM38" s="4" t="str">
        <x:f>IF(AJ38&gt;0,"Route listed; review status/completeness",IF(AF38="T0","Raw entry feed; no production route","No production route listed"))</x:f>
        <x:v>Route listed; review status/completeness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"&amp;U39&amp;"; "&amp;AF39&amp;"; "&amp;AH39&amp;"; "&amp;AI39)</x:f>
        <x:v>proposal.natural.carbon; graded graphite flakes; resources; processed mineral; processed material; processed intermediate; geological; lubrication; mineral; particles; proposal; electrical conduction; t1; not applicable; material</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1</x:v>
      </x:c>
      <x:c r="AL39" s="4" t="n">
        <x:f>COUNTIFS('Material routes'!$D$6:$D$1005,A39,'Material routes'!$C$6:$C$1005,"Tool candidate")</x:f>
        <x:v>0</x:v>
      </x:c>
      <x:c r="AM39" s="4" t="str">
        <x:f>IF(AJ39&gt;0,"Route listed; review status/completeness",IF(AF39="T0","Raw entry feed; no production route","No production route listed"))</x:f>
        <x:v>Route listed; review status/completeness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"&amp;U40&amp;"; "&amp;AF40&amp;"; "&amp;AH40&amp;"; "&amp;AI40)</x:f>
        <x:v>proposal.bio.shell; shell husks / shed plates; resources; molted exoskeleton; raw material; raw; fauna; fabrication; shell / chitin; shell plate; author direction; fiber processing; t0; not applicable; material</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status/completeness",IF(AF40="T0","Raw entry feed; no production route","No production route listed"))</x:f>
        <x:v>Raw entry feed; no production route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"&amp;U41&amp;"; "&amp;AF41&amp;"; "&amp;AH41&amp;"; "&amp;AI41)</x:f>
        <x:v>proposal.bio.tendon; dried tendon bundles; resources; connective tissue; raw material; raw; fauna; binding and construction; faunal tissue; bundle; proposal; ; t0; not applicable; material</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status/completeness",IF(AF41="T0","Raw entry feed; no production route","No production route listed"))</x:f>
        <x:v>Raw entry feed; no production route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"&amp;U42&amp;"; "&amp;AF42&amp;"; "&amp;AH42&amp;"; "&amp;AI42)</x:f>
        <x:v>proposal.bio.bristles; coarse sensory bristles; resources; dry fibers; raw material; raw; fauna; dust exclusion; faunal fiber; fiber; proposal; ; t0; not applicable; material</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status/completeness",IF(AF42="T0","Raw entry feed; no production route","No production route listed"))</x:f>
        <x:v>Raw entry feed; no production route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"&amp;U43&amp;"; "&amp;AF43&amp;"; "&amp;AH43&amp;"; "&amp;AI43)</x:f>
        <x:v>proposal.bio.underfur; shed underfur; resources; dry fibers; raw material; raw; fauna; textile processing; fur; fiber; proposal; ; t0; not applicable; material</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status/completeness",IF(AF43="T0","Raw entry feed; no production route","No production route listed"))</x:f>
        <x:v>Raw entry feed; no production route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"&amp;U44&amp;"; "&amp;AF44&amp;"; "&amp;AH44&amp;"; "&amp;AI44)</x:f>
        <x:v>proposal.bio.jaw; dense jaw plates; resources; hard tissue; raw material; raw; fauna; tool fabrication; faunal tissue; solid piece; proposal; ; t0; not applicable; material</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status/completeness",IF(AF44="T0","Raw entry feed; no production route","No production route listed"))</x:f>
        <x:v>Raw entry feed; no production route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"&amp;U45&amp;"; "&amp;AF45&amp;"; "&amp;AH45&amp;"; "&amp;AI45)</x:f>
        <x:v>proposal.bio.membrane; dried joint membrane; resources; flexible tissue; raw material; processed intermediate; fauna; sealing; faunal membrane; sheet; proposal; equipment repair; t0; not applicable; material</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status/completeness",IF(AF45="T0","Raw entry feed; no production route","No production route listed"))</x:f>
        <x:v>Raw entry feed; no production route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"&amp;U46&amp;"; "&amp;AF46&amp;"; "&amp;AH46&amp;"; "&amp;AI46)</x:f>
        <x:v>proposal.bio.fat; unverified fat-like tissue concept; resources; perishable tissue; raw material; unresolved; fauna; use unresolved; unresolved; unresolved; withheld assumption; ; unassigned; unassigned; material</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status/completeness",IF(AF46="T0","Raw entry feed; no production route","No production route listed"))</x:f>
        <x:v>No production route listed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"&amp;U47&amp;"; "&amp;AF47&amp;"; "&amp;AH47&amp;"; "&amp;AI47)</x:f>
        <x:v>proposal.bio.organ; charge-organ tissue; resources; specialized tissue; raw material; raw; fauna; electrical work; faunal tissue; solid piece; proposal; ; t0; not applicable; material</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status/completeness",IF(AF47="T0","Raw entry feed; no production route","No production route listed"))</x:f>
        <x:v>Raw entry feed; no production route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"&amp;U48&amp;"; "&amp;AF48&amp;"; "&amp;AH48&amp;"; "&amp;AI48)</x:f>
        <x:v>proposal.bio.laminate; shell laminate; crafting components; processed biological; crafting component; processed intermediate; fauna; protective fabrication; shell / chitin; panel; proposal; ; t2; not applicable; component</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1</x:v>
      </x:c>
      <x:c r="AL48" s="4" t="n">
        <x:f>COUNTIFS('Material routes'!$D$6:$D$1005,A48,'Material routes'!$C$6:$C$1005,"Tool candidate")</x:f>
        <x:v>0</x:v>
      </x:c>
      <x:c r="AM48" s="4" t="str">
        <x:f>IF(AJ48&gt;0,"Route listed; review status/completeness",IF(AF48="T0","Raw entry feed; no production route","No production route listed"))</x:f>
        <x:v>Route listed; review status/completeness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"&amp;U49&amp;"; "&amp;AF49&amp;"; "&amp;AH49&amp;"; "&amp;AI49)</x:f>
        <x:v>proposal.bio.cord; tendon cord; crafting components; processed biological; crafting component; processed intermediate; fauna; binding and construction; faunal tissue; cord; proposal; equipment repair; t1; not applicable; component</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0</x:v>
      </x:c>
      <x:c r="AL49" s="4" t="n">
        <x:f>COUNTIFS('Material routes'!$D$6:$D$1005,A49,'Material routes'!$C$6:$C$1005,"Tool candidate")</x:f>
        <x:v>0</x:v>
      </x:c>
      <x:c r="AM49" s="4" t="str">
        <x:f>IF(AJ49&gt;0,"Route listed; review status/completeness",IF(AF49="T0","Raw entry feed; no production route","No production route listed"))</x:f>
        <x:v>Route listed; review status/completeness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"&amp;U50&amp;"; "&amp;AF50&amp;"; "&amp;AH50&amp;"; "&amp;AI50)</x:f>
        <x:v>proposal.bio.brush; bristle brush strips; crafting components; processed biological; crafting component; processed intermediate; fauna; dust exclusion; faunal fiber; strip; proposal; ; unassigned; not applicable; component</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status/completeness",IF(AF50="T0","Raw entry feed; no production route","No production route listed"))</x:f>
        <x:v>Route listed; review status/completeness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"&amp;U51&amp;"; "&amp;AF51&amp;"; "&amp;AH51&amp;"; "&amp;AI51)</x:f>
        <x:v>proposal.bio.liner; pressed fur-fiber material; crafting components; processed biological; processed material; processed intermediate; fauna; textile processing; fur; unresolved; proposal; ; t1; not applicable; material</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status/completeness",IF(AF51="T0","Raw entry feed; no production route","No production route listed"))</x:f>
        <x:v>Route listed; review status/completeness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"&amp;U52&amp;"; "&amp;AF52&amp;"; "&amp;AH52&amp;"; "&amp;AI52)</x:f>
        <x:v>proposal.bio.insert; jaw cutting insert; crafting components; processed biological; crafting component; processed intermediate; fauna; tool fabrication; faunal tissue; solid part; proposal; ; unassigned; not applicable; component</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status/completeness",IF(AF52="T0","Raw entry feed; no production route","No production route listed"))</x:f>
        <x:v>Route listed; review status/completeness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"&amp;U53&amp;"; "&amp;AF53&amp;"; "&amp;AH53&amp;"; "&amp;AI53)</x:f>
        <x:v>proposal.bio.seal; membrane seal patches; crafting components; processed biological; crafting component; processed intermediate; fauna; sealing; faunal membrane; patch; proposal; equipment repair; t1; not applicable; component</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status/completeness",IF(AF53="T0","Raw entry feed; no production route","No production route listed"))</x:f>
        <x:v>Route listed; review status/completeness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"&amp;U54&amp;"; "&amp;AF54&amp;"; "&amp;AH54&amp;"; "&amp;AI54)</x:f>
        <x:v>proposal.bio.wax; solid biological wax; crafting components; processed biological; processed material; unresolved; fauna; use unresolved; biological chemical; solid piece; withheld assumption; ; unassigned; unassigned; material</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status/completeness",IF(AF54="T0","Raw entry feed; no production route","No production route listed"))</x:f>
        <x:v>Route listed; review status/completeness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"&amp;U55&amp;"; "&amp;AF55&amp;"; "&amp;AH55&amp;"; "&amp;AI55)</x:f>
        <x:v>proposal.bio.electrode; dry organ electrode scaffold; crafting components; processed biological; crafting component; processed intermediate; fauna; electrical work; faunal tissue; solid part; proposal; ; unassigned; not applicable; component</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status/completeness",IF(AF55="T0","Raw entry feed; no production route","No production route listed"))</x:f>
        <x:v>Route listed; review status/completeness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"&amp;U56&amp;"; "&amp;AF56&amp;"; "&amp;AH56&amp;"; "&amp;AI56)</x:f>
        <x:v>proposal.natural.charcoal; charcoal; resources; processed fuel; processed material; processed intermediate; unresolved; fuel; carbonaceous material; particles; author direction; metal refining; unassigned; not applicable; material</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status/completeness",IF(AF56="T0","Raw entry feed; no production route","No production route listed"))</x:f>
        <x:v>Route listed; review status/completeness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"&amp;U57&amp;"; "&amp;AF57&amp;"; "&amp;AH57&amp;"; "&amp;AI57)</x:f>
        <x:v>proposal.natural.copper_stone; unprocessed copper-rich stone; resources; raw mineral; raw material; raw; geological; metal refining; mineral; rock; author direction; ; t0; not applicable; material</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status/completeness",IF(AF57="T0","Raw entry feed; no production route","No production route listed"))</x:f>
        <x:v>Raw entry feed; no production route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"&amp;U58&amp;"; "&amp;AF58&amp;"; "&amp;AH58&amp;"; "&amp;AI58)</x:f>
        <x:v>proposal.natural.copper_ore; copper ore; resources; sorted ore; raw material; processed intermediate; geological; metal refining; mineral; rock; author direction; ; unassigned; not applicable; material</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status/completeness",IF(AF58="T0","Raw entry feed; no production route","No production route listed"))</x:f>
        <x:v>Route listed; review status/completeness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"&amp;U59&amp;"; "&amp;AF59&amp;"; "&amp;AH59&amp;"; "&amp;AI59)</x:f>
        <x:v>proposal.natural.raw_copper; raw copper lump; resources; unworked metal; processed material; unworked metal; geological; electrical conduction; metal; solid piece; author direction; fabrication; t0; not applicable; material</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status/completeness",IF(AF59="T0","Raw entry feed; no production route","No production route listed"))</x:f>
        <x:v>Route listed; review status/completeness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"&amp;U60&amp;"; "&amp;AF60&amp;"; "&amp;AH60&amp;"; "&amp;AI60)</x:f>
        <x:v>proposal.natural.tungsten_ore; tungsten-bearing ore; resources; raw mineral; raw material; raw; geological; metal refining; mineral; rock; author direction; tool fabrication; t0; not applicable; material</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status/completeness",IF(AF60="T0","Raw entry feed; no production route","No production route listed"))</x:f>
        <x:v>Raw entry feed; no production route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"&amp;U61&amp;"; "&amp;AF61&amp;"; "&amp;AH61&amp;"; "&amp;AI61)</x:f>
        <x:v>proposal.natural.magnesium_rock; magnesium-bearing rock; resources; raw mineral; raw material; raw; geological; metal refining; mineral; rock; author direction; ; t0; not applicable; material</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status/completeness",IF(AF61="T0","Raw entry feed; no production route","No production route listed"))</x:f>
        <x:v>Raw entry feed; no production route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"&amp;U62&amp;"; "&amp;AF62&amp;"; "&amp;AH62&amp;"; "&amp;AI62)</x:f>
        <x:v>proposal.natural.raw_magnesium; raw magnesium metal; resources; unworked metal; processed material; unworked metal; geological; fabrication; metal; solid piece; author direction; ; t0; not applicable; material</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status/completeness",IF(AF62="T0","Raw entry feed; no production route","No production route listed"))</x:f>
        <x:v>Route listed; review status/completeness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"&amp;U63&amp;"; "&amp;AF63&amp;"; "&amp;AH63&amp;"; "&amp;AI63)</x:f>
        <x:v>proposal.natural.hematite; raw hematite; resources; iron oxide mineral; raw material; raw; geological; metal refining; mineral; rock; author direction; ; t0; not applicable; material</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status/completeness",IF(AF63="T0","Raw entry feed; no production route","No production route listed"))</x:f>
        <x:v>Raw entry feed; no production route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"&amp;U64&amp;"; "&amp;AF64&amp;"; "&amp;AH64&amp;"; "&amp;AI64)</x:f>
        <x:v>proposal.natural.sulfur; raw sulfur; resources; native nonmetal; raw material; raw; geological; chemical processing; mineral; rock; author direction; ; t0; not applicable; material</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status/completeness",IF(AF64="T0","Raw entry feed; no production route","No production route listed"))</x:f>
        <x:v>Raw entry feed; no production route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"&amp;U65&amp;"; "&amp;AF65&amp;"; "&amp;AH65&amp;"; "&amp;AI65)</x:f>
        <x:v>proposal.natural.borate; raw borate minerals; resources; evaporite mineral; raw material; raw; geological; glass and ceramics; mineral; rock; proposal; ; t0; not applicable; material</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1</x:v>
      </x:c>
      <x:c r="AL65" s="4" t="n">
        <x:f>COUNTIFS('Material routes'!$D$6:$D$1005,A65,'Material routes'!$C$6:$C$1005,"Tool candidate")</x:f>
        <x:v>0</x:v>
      </x:c>
      <x:c r="AM65" s="4" t="str">
        <x:f>IF(AJ65&gt;0,"Route listed; review status/completeness",IF(AF65="T0","Raw entry feed; no production route","No production route listed"))</x:f>
        <x:v>Raw entry feed; no production route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"&amp;U66&amp;"; "&amp;AF66&amp;"; "&amp;AH66&amp;"; "&amp;AI66)</x:f>
        <x:v>proposal.natural.gypsum; raw gypsum; resources; sulfate mineral; raw material; raw; geological; glass and ceramics; mineral; rock; proposal; ; t0; not applicable; material</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status/completeness",IF(AF66="T0","Raw entry feed; no production route","No production route listed"))</x:f>
        <x:v>Raw entry feed; no production route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"&amp;U67&amp;"; "&amp;AF67&amp;"; "&amp;AH67&amp;"; "&amp;AI67)</x:f>
        <x:v>proposal.natural.talc; raw talc; resources; industrial mineral; raw material; raw; geological; glass and ceramics; mineral; rock; proposal; surface finishing; t0; not applicable; material</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status/completeness",IF(AF67="T0","Raw entry feed; no production route","No production route listed"))</x:f>
        <x:v>Raw entry feed; no production route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"&amp;U68&amp;"; "&amp;AF68&amp;"; "&amp;AH68&amp;"; "&amp;AI68)</x:f>
        <x:v>proposal.natural.manganese_ore; manganese-bearing ore; resources; raw mineral; raw material; raw; geological; metal refining; mineral; rock; proposal; decoration; t0; not applicable; material</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0</x:v>
      </x:c>
      <x:c r="AL68" s="4" t="n">
        <x:f>COUNTIFS('Material routes'!$D$6:$D$1005,A68,'Material routes'!$C$6:$C$1005,"Tool candidate")</x:f>
        <x:v>0</x:v>
      </x:c>
      <x:c r="AM68" s="4" t="str">
        <x:f>IF(AJ68&gt;0,"Route listed; review status/completeness",IF(AF68="T0","Raw entry feed; no production route","No production route listed"))</x:f>
        <x:v>Raw entry feed; no production route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"&amp;U69&amp;"; "&amp;AF69&amp;"; "&amp;AH69&amp;"; "&amp;AI69)</x:f>
        <x:v>proposal.natural.lead_ore; lead-bearing ore; resources; raw mineral; raw material; raw; geological; metal refining; mineral; rock; proposal; ; t0; not applicable; material</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status/completeness",IF(AF69="T0","Raw entry feed; no production route","No production route listed"))</x:f>
        <x:v>Raw entry feed; no production route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"&amp;U70&amp;"; "&amp;AF70&amp;"; "&amp;AH70&amp;"; "&amp;AI70)</x:f>
        <x:v>proposal.natural.zinc_ore; zinc-bearing ore; resources; raw mineral; raw material; raw; geological; metal refining; mineral; rock; proposal; ; t0; not applicable; material</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status/completeness",IF(AF70="T0","Raw entry feed; no production route","No production route listed"))</x:f>
        <x:v>Raw entry feed; no production route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"&amp;U71&amp;"; "&amp;AF71&amp;"; "&amp;AH71&amp;"; "&amp;AI71)</x:f>
        <x:v>proposal.natural.silver_ore; silver-bearing ore; resources; raw mineral; raw material; raw; geological; metal refining; mineral; rock; proposal; electrical conduction; t0; not applicable; material</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status/completeness",IF(AF71="T0","Raw entry feed; no production route","No production route listed"))</x:f>
        <x:v>Raw entry feed; no production route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"&amp;U72&amp;"; "&amp;AF72&amp;"; "&amp;AH72&amp;"; "&amp;AI72)</x:f>
        <x:v>proposal.natural.gold_rock; gold-bearing rock; resources; raw mineral; raw material; raw; geological; metal refining; mineral; rock; proposal; decoration; t0; not applicable; material</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status/completeness",IF(AF72="T0","Raw entry feed; no production route","No production route listed"))</x:f>
        <x:v>Raw entry feed; no production route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"&amp;U73&amp;"; "&amp;AF73&amp;"; "&amp;AH73&amp;"; "&amp;AI73)</x:f>
        <x:v>proposal.natural.fluorite; raw fluorite; resources; industrial mineral; raw material; raw; geological; glass and ceramics; mineral; rock; proposal; metal refining; t0; not applicable; material</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status/completeness",IF(AF73="T0","Raw entry feed; no production route","No production route listed"))</x:f>
        <x:v>Raw entry feed; no production route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"&amp;U74&amp;"; "&amp;AF74&amp;"; "&amp;AH74&amp;"; "&amp;AI74)</x:f>
        <x:v>proposal.natural.antimony_ore; antimony-bearing ore; resources; raw mineral; raw material; raw; geological; metal refining; mineral; rock; proposal; ; t0; not applicable; material</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status/completeness",IF(AF74="T0","Raw entry feed; no production route","No production route listed"))</x:f>
        <x:v>Raw entry feed; no production route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"&amp;U75&amp;"; "&amp;AF75&amp;"; "&amp;AH75&amp;"; "&amp;AI75)</x:f>
        <x:v>proposal.bio.chitin_fibers; scraped chitin fibers; resources; raw husk fiber; raw material; raw; fauna; paper making; shell / chitin; fiber; author direction; textile processing; t0; not applicable; material</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status/completeness",IF(AF75="T0","Raw entry feed; no production route","No production route listed"))</x:f>
        <x:v>Route listed; review status/completeness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"&amp;U76&amp;"; "&amp;AF76&amp;"; "&amp;AH76&amp;"; "&amp;AI76)</x:f>
        <x:v>proposal.bio.icore_fibers; scraped icore fibers; resources; raw husk fiber; raw material; raw; fauna; paper making; husk fiber; fiber; author direction; textile processing; icore husk fibers not liquid ichor; t0; not applicable; material</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status/completeness",IF(AF76="T0","Raw entry feed; no production route","No production route listed"))</x:f>
        <x:v>Route listed; review status/completeness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"&amp;U77&amp;"; "&amp;AF77&amp;"; "&amp;AH77&amp;"; "&amp;AI77)</x:f>
        <x:v>proposal.bio.husk_paper; husk-fiber paper; crafting components; paper; processed material; processed intermediate; fauna; writing and records; husk fiber; sheet; author direction; paper stationery; t2; not applicable; material</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1</x:v>
      </x:c>
      <x:c r="AL77" s="4" t="n">
        <x:f>COUNTIFS('Material routes'!$D$6:$D$1005,A77,'Material routes'!$C$6:$C$1005,"Tool candidate")</x:f>
        <x:v>0</x:v>
      </x:c>
      <x:c r="AM77" s="4" t="str">
        <x:f>IF(AJ77&gt;0,"Route listed; review status/completeness",IF(AF77="T0","Raw entry feed; no production route","No production route listed"))</x:f>
        <x:v>Route listed; review status/completeness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"&amp;U78&amp;"; "&amp;AF78&amp;"; "&amp;AH78&amp;"; "&amp;AI78)</x:f>
        <x:v>proposal.bio.pressed_husk; pressed husk-fiber textile material; crafting components; pressed textile material; processed material; processed intermediate; fauna; clothing fabrication; husk fiber; sheet; author direction; ; t1; not applicable; material</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0</x:v>
      </x:c>
      <x:c r="AL78" s="4" t="n">
        <x:f>COUNTIFS('Material routes'!$D$6:$D$1005,A78,'Material routes'!$C$6:$C$1005,"Tool candidate")</x:f>
        <x:v>0</x:v>
      </x:c>
      <x:c r="AM78" s="4" t="str">
        <x:f>IF(AJ78&gt;0,"Route listed; review status/completeness",IF(AF78="T0","Raw entry feed; no production route","No production route listed"))</x:f>
        <x:v>Route listed; review status/completeness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"&amp;U79&amp;"; "&amp;AF79&amp;"; "&amp;AH79&amp;"; "&amp;AI79)</x:f>
        <x:v>proposal.bio.hide; raw hide; resources; animal hide; raw material; raw; fauna; textile processing; hide; sheet; author direction; ; t0; not applicable; material</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status/completeness",IF(AF79="T0","Raw entry feed; no production route","No production route listed"))</x:f>
        <x:v>Raw entry feed; no production route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"&amp;U80&amp;"; "&amp;AF80&amp;"; "&amp;AH80&amp;"; "&amp;AI80)</x:f>
        <x:v>proposal.bio.hide_material; processed hide material; crafting components; processed biological; processed material; processed intermediate; fauna; clothing fabrication; hide; sheet; author direction; ; t1; not applicable; material</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status/completeness",IF(AF80="T0","Raw entry feed; no production route","No production route listed"))</x:f>
        <x:v>Route listed; review status/completeness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"&amp;U81&amp;"; "&amp;AF81&amp;"; "&amp;AH81&amp;"; "&amp;AI81)</x:f>
        <x:v>proposal.bio.edible_fraction; edible fauna fraction (species tbd); resources; food candidate; food material; unresolved; fauna; nutrition; faunal tissue; unresolved; author direction; ; unassigned; not applicable; material</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status/completeness",IF(AF81="T0","Raw entry feed; no production route","No production route listed"))</x:f>
        <x:v>No production route listed</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"&amp;U82&amp;"; "&amp;AF82&amp;"; "&amp;AH82&amp;"; "&amp;AI82)</x:f>
        <x:v>proposal.bio.chemical_material; faunal chemical material (unspecified); resources; chemical material; chemical material; unresolved; fauna; chemical processing; biological chemical; unresolved; author direction; ; t0; not applicable; material</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status/completeness",IF(AF82="T0","Raw entry feed; no production route","No production route listed"))</x:f>
        <x:v>Raw entry feed; no production route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"&amp;U83&amp;"; "&amp;AF83&amp;"; "&amp;AH83&amp;"; "&amp;AI83)</x:f>
        <x:v>proposal.bio.liquid_material; faunal liquid material (unspecified); resources; biological liquid material; chemical material; extracted material; fauna; chemical processing; biological chemical; liquid; author direction; ; t0; not applicable; material</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status/completeness",IF(AF83="T0","Raw entry feed; no production route","No production route listed"))</x:f>
        <x:v>Raw entry feed; no production route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"&amp;U84&amp;"; "&amp;AF84&amp;"; "&amp;AH84&amp;"; "&amp;AI84)</x:f>
        <x:v>proposal.chemical.digestive_etchant; digestive etchant; resources; faunal chemical concept; chemical material; extracted material; fauna; chemical processing; biological chemical; unresolved; proposal; surface finishing; t0; not applicable; material</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0</x:v>
      </x:c>
      <x:c r="AL84" s="4" t="n">
        <x:f>COUNTIFS('Material routes'!$D$6:$D$1005,A84,'Material routes'!$C$6:$C$1005,"Tool candidate")</x:f>
        <x:v>0</x:v>
      </x:c>
      <x:c r="AM84" s="4" t="str">
        <x:f>IF(AJ84&gt;0,"Route listed; review status/completeness",IF(AF84="T0","Raw entry feed; no production route","No production route listed"))</x:f>
        <x:v>Raw entry feed; no production route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"&amp;U85&amp;"; "&amp;AF85&amp;";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status/completeness",IF(AF85="T0","Raw entry feed; no production route","No production route listed"))</x:f>
        <x:v>Raw entry feed; no production route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"&amp;U86&amp;"; "&amp;AF86&amp;";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status/completeness",IF(AF86="T0","Raw entry feed; no production route","No production route listed"))</x:f>
        <x:v>Raw entry feed; no production route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"&amp;U87&amp;"; "&amp;AF87&amp;"; "&amp;AH87&amp;"; "&amp;AI87)</x:f>
        <x:v>proposal.chemical.clotting_compound; mineral clotting compound; resources; faunal chemical concept; chemical material; extracted material; fauna; equipment repair; biological chemical; unresolved; proposal; sealing; t0; not applicable; material</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status/completeness",IF(AF87="T0","Raw entry feed; no production route","No production route listed"))</x:f>
        <x:v>Raw entry feed; no production route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"&amp;U88&amp;"; "&amp;AF88&amp;";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status/completeness",IF(AF88="T0","Raw entry feed; no production route","No production route listed"))</x:f>
        <x:v>Raw entry feed; no production route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"&amp;U89&amp;"; "&amp;AF89&amp;"; "&amp;AH89&amp;"; "&amp;AI89)</x:f>
        <x:v>proposal.chemical.joint_lubricant; joint-lubricating secretion; resources; faunal chemical concept; chemical material; extracted material; fauna; lubrication; biological chemical; unresolved; proposal; sealing; t0; not applicable; material</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status/completeness",IF(AF89="T0","Raw entry feed; no production route","No production route listed"))</x:f>
        <x:v>Raw entry feed; no production route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"&amp;U90&amp;"; "&amp;AF90&amp;"; "&amp;AH90&amp;"; "&amp;AI90)</x:f>
        <x:v>proposal.chemical.insulating_secretion; insulating secretion; resources; faunal chemical concept; chemical material; extracted material; fauna; electrical insulation; biological chemical; unresolved; proposal; ; t0; not applicable; material</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status/completeness",IF(AF90="T0","Raw entry feed; no production route","No production route listed"))</x:f>
        <x:v>Raw entry feed; no production route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"&amp;U91&amp;"; "&amp;AF91&amp;"; "&amp;AH91&amp;"; "&amp;AI91)</x:f>
        <x:v>proposal.chemical.conductive_gel; charge-conducting gel; resources; faunal chemical concept; chemical material; extracted material; fauna; electrical conduction; biological chemical; gel; proposal; ; t0; not applicable; material</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status/completeness",IF(AF91="T0","Raw entry feed; no production route","No production route listed"))</x:f>
        <x:v>Raw entry feed; no production route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"&amp;U92&amp;"; "&amp;AF92&amp;"; "&amp;AH92&amp;"; "&amp;AI92)</x:f>
        <x:v>proposal.chemical.molt_release; molt-release compound; resources; faunal chemical concept; chemical material; extracted material; fauna; surface finishing; biological chemical; unresolved; proposal; fiber processing; t0; not applicable; material</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status/completeness",IF(AF92="T0","Raw entry feed; no production route","No production route listed"))</x:f>
        <x:v>Raw entry feed; no production route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"&amp;U93&amp;"; "&amp;AF93&amp;"; "&amp;AH93&amp;"; "&amp;AI93)</x:f>
        <x:v>proposal.chemical.defensive_irritant; defensive irritant secretion; resources; faunal chemical concept; chemical material; extracted material; fauna; material exclusion; biological chemical; unresolved; proposal; ; t0; not applicable; material</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status/completeness",IF(AF93="T0","Raw entry feed; no production route","No production route listed"))</x:f>
        <x:v>Raw entry feed; no production route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"&amp;U94&amp;"; "&amp;AF94&amp;"; "&amp;AH94&amp;"; "&amp;AI94)</x:f>
        <x:v>proposal.chemical.disabling_venom; disabling venom fraction; resources; faunal chemical concept; chemical material; extracted material; fauna; specialist samples; biological chemical; unresolved; proposal; ; t0; not applicable; material</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status/completeness",IF(AF94="T0","Raw entry feed; no production route","No production route listed"))</x:f>
        <x:v>Raw entry feed; no production route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"&amp;U95&amp;"; "&amp;AF95&amp;"; "&amp;AH95&amp;"; "&amp;AI95)</x:f>
        <x:v>proposal.chemical.scent_marker; chemical scent marker; resources; faunal chemical concept; chemical material; extracted material; fauna; fauna interaction; biological chemical; unresolved; proposal; ; t0; not applicable; material</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status/completeness",IF(AF95="T0","Raw entry feed; no production route","No production route listed"))</x:f>
        <x:v>Raw entry feed; no production route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"&amp;U96&amp;"; "&amp;AF96&amp;"; "&amp;AH96&amp;"; "&amp;AI96)</x:f>
        <x:v>proposal.container.sample_vial; clear sample vial; containers; primary vessel; container; finished item; manufactured / unresolved; liquid and bulk containment; glass; solid part; proposal; inspection; not applicable; unassigned; finished item</x:v>
      </x:c>
      <x:c r="AE96" s="4" t="str">
        <x:v>From current item description. Proposed uses retain their existing approval status.</x:v>
      </x:c>
      <x:c r="AF96" s="4" t="str">
        <x:v>Not applicable</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status/completeness",IF(AF96="T0","Raw entry feed; no production route","No production route listed"))</x:f>
        <x:v>No production route listed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"&amp;U97&amp;"; "&amp;AF97&amp;"; "&amp;AH97&amp;"; "&amp;AI97)</x:f>
        <x:v>proposal.container.reagent_bottle; opaque reagent bottle; containers; primary vessel; container; finished item; manufactured / unresolved; liquid and bulk containment; glass; solid part; proposal; ; not applicable; unassigned; finished item</x:v>
      </x:c>
      <x:c r="AE97" s="4" t="str">
        <x:v>From current item description. Proposed uses retain their existing approval status.</x:v>
      </x:c>
      <x:c r="AF97" s="4" t="str">
        <x:v>Not applicable</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status/completeness",IF(AF97="T0","Raw entry feed; no production route","No production route listed"))</x:f>
        <x:v>No production route listed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"&amp;U98&amp;"; "&amp;AF98&amp;"; "&amp;AH98&amp;"; "&amp;AI98)</x:f>
        <x:v>proposal.container.wide_jar; wide-mouth sample jar; containers; primary vessel; container; finished item; manufactured / unresolved; liquid and bulk containment; glass; solid part; proposal; ; not applicable; unassigned; finished item</x:v>
      </x:c>
      <x:c r="AE98" s="4" t="str">
        <x:v>From current item description. Proposed uses retain their existing approval status.</x:v>
      </x:c>
      <x:c r="AF98" s="4" t="str">
        <x:v>Not applicable</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status/completeness",IF(AF98="T0","Raw entry feed; no production route","No production route listed"))</x:f>
        <x:v>No production route listed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"&amp;U99&amp;"; "&amp;AF99&amp;"; "&amp;AH99&amp;"; "&amp;AI99)</x:f>
        <x:v>proposal.container.ampoule; sealed sample ampoule; containers; primary vessel; container; finished item; manufactured / unresolved; liquid and bulk containment; glass; solid part; proposal; ; not applicable; unassigned; finished item</x:v>
      </x:c>
      <x:c r="AE99" s="4" t="str">
        <x:v>From current item description. Proposed uses retain their existing approval status.</x:v>
      </x:c>
      <x:c r="AF99" s="4" t="str">
        <x:v>Not applicable</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status/completeness",IF(AF99="T0","Raw entry feed; no production route","No production route listed"))</x:f>
        <x:v>No production route listed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"&amp;U100&amp;"; "&amp;AF100&amp;"; "&amp;AH100&amp;"; "&amp;AI100)</x:f>
        <x:v>proposal.container.marked_flask; marked glass flask; containers; primary vessel; container; finished item; manufactured / unresolved; liquid and bulk containment; glass; solid part; proposal; inspection; not applicable; unassigned; finished item</x:v>
      </x:c>
      <x:c r="AE100" s="4" t="str">
        <x:v>From current item description. Proposed uses retain their existing approval status.</x:v>
      </x:c>
      <x:c r="AF100" s="4" t="str">
        <x:v>Not applicable</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status/completeness",IF(AF100="T0","Raw entry feed; no production route","No production route listed"))</x:f>
        <x:v>No production route listed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"&amp;U101&amp;"; "&amp;AF101&amp;";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E101" s="4" t="str">
        <x:v>From current item description. Proposed uses retain their existing approval status.</x:v>
      </x:c>
      <x:c r="AF101" s="4" t="str">
        <x:v>Not applicable</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status/completeness",IF(AF101="T0","Raw entry feed; no production route","No production route listed"))</x:f>
        <x:v>No production route listed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"&amp;U102&amp;"; "&amp;AF102&amp;";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E102" s="4" t="str">
        <x:v>From current item description. Proposed uses retain their existing approval status.</x:v>
      </x:c>
      <x:c r="AF102" s="4" t="str">
        <x:v>Not applicable</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status/completeness",IF(AF102="T0","Raw entry feed; no production route","No production route listed"))</x:f>
        <x:v>No production route listed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"&amp;U103&amp;"; "&amp;AF103&amp;"; "&amp;AH103&amp;"; "&amp;AI103)</x:f>
        <x:v>proposal.container.ceramic_jar; glazed ceramic reagent jar; containers; primary vessel; container; finished item; manufactured / unresolved; liquid and bulk containment; ceramic; solid part; proposal; ; not applicable; unassigned; finished item</x:v>
      </x:c>
      <x:c r="AE103" s="4" t="str">
        <x:v>From current item description. Proposed uses retain their existing approval status.</x:v>
      </x:c>
      <x:c r="AF103" s="4" t="str">
        <x:v>Not applicable</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status/completeness",IF(AF103="T0","Raw entry feed; no production route","No production route listed"))</x:f>
        <x:v>No production route listed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"&amp;U104&amp;"; "&amp;AF104&amp;"; "&amp;AH104&amp;"; "&amp;AI104)</x:f>
        <x:v>proposal.container.bulk_ichor; bulk ichor vessel; containers; primary vessel; container; finished item; manufactured / unresolved; liquid and bulk containment; mixed / unresolved; assembly; proposal; ; not applicable; unassigned; finished item</x:v>
      </x:c>
      <x:c r="AE104" s="4" t="str">
        <x:v>From current item description. Proposed uses retain their existing approval status.</x:v>
      </x:c>
      <x:c r="AF104" s="4" t="str">
        <x:v>Not applicable</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status/completeness",IF(AF104="T0","Raw entry feed; no production route","No production route listed"))</x:f>
        <x:v>No production route listed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"&amp;U105&amp;"; "&amp;AF105&amp;"; "&amp;AH105&amp;"; "&amp;AI105)</x:f>
        <x:v>proposal.container.vial_case; divided vial case; containers; protective carrier; carrier; finished item; manufactured / unresolved; cargo organization; mixed / unresolved; assembly; proposal; ; not applicable; unassigned; finished item</x:v>
      </x:c>
      <x:c r="AE105" s="4" t="str">
        <x:v>From current item description. Proposed uses retain their existing approval status.</x:v>
      </x:c>
      <x:c r="AF105" s="4" t="str">
        <x:v>Not applicable</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status/completeness",IF(AF105="T0","Raw entry feed; no production route","No production route listed"))</x:f>
        <x:v>No production route listed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"&amp;U106&amp;"; "&amp;AF106&amp;"; "&amp;AH106&amp;"; "&amp;AI106)</x:f>
        <x:v>proposal.container.sealed_box; sealed cargo box; containers; protective carrier; carrier; finished item; manufactured / unresolved; cargo organization; mixed / unresolved; assembly; proposal; ; not applicable; unassigned; finished item</x:v>
      </x:c>
      <x:c r="AE106" s="4" t="str">
        <x:v>From current item description. Proposed uses retain their existing approval status.</x:v>
      </x:c>
      <x:c r="AF106" s="4" t="str">
        <x:v>Not applicable</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status/completeness",IF(AF106="T0","Raw entry feed; no production route","No production route listed"))</x:f>
        <x:v>No production route listed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"&amp;U107&amp;"; "&amp;AF107&amp;"; "&amp;AH107&amp;"; "&amp;AI107)</x:f>
        <x:v>proposal.container.field_chest; locking field chest; containers; storage object candidate; container; finished item; manufactured / unresolved; cargo organization; mixed / unresolved; assembly; proposal; ; not applicable; unassigned; finished item</x:v>
      </x:c>
      <x:c r="AE107" s="4" t="str">
        <x:v>From current item description. Proposed uses retain their existing approval status.</x:v>
      </x:c>
      <x:c r="AF107" s="4" t="str">
        <x:v>Not applicable</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status/completeness",IF(AF107="T0","Raw entry feed; no production route","No production route listed"))</x:f>
        <x:v>No production route listed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"&amp;U108&amp;"; "&amp;AF108&amp;"; "&amp;AH108&amp;"; "&amp;AI108)</x:f>
        <x:v>proposal.container.funnel; glass transfer funnel; containers; transfer glassware; tool; finished item; manufactured / unresolved; material transfer; glass; solid part; proposal; ; not applicable; unassigned; finished item</x:v>
      </x:c>
      <x:c r="AE108" s="4" t="str">
        <x:v>From current item description. Proposed uses retain their existing approval status.</x:v>
      </x:c>
      <x:c r="AF108" s="4" t="str">
        <x:v>Not applicable</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status/completeness",IF(AF108="T0","Raw entry feed; no production route","No production route listed"))</x:f>
        <x:v>No production route listed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"&amp;U109&amp;"; "&amp;AF109&amp;"; "&amp;AH109&amp;"; "&amp;AI109)</x:f>
        <x:v>proposal.container.draw_tube; glass draw tube; containers; transfer glassware; tool; finished item; manufactured / unresolved; material transfer; glass; solid part; proposal; ; not applicable; unassigned; finished item</x:v>
      </x:c>
      <x:c r="AE109" s="4" t="str">
        <x:v>From current item description. Proposed uses retain their existing approval status.</x:v>
      </x:c>
      <x:c r="AF109" s="4" t="str">
        <x:v>Not applicable</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status/completeness",IF(AF109="T0","Raw entry feed; no production route","No production route listed"))</x:f>
        <x:v>No production route listed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"&amp;U110&amp;"; "&amp;AF110&amp;"; "&amp;AH110&amp;"; "&amp;AI110)</x:f>
        <x:v>proposal.container.glass_stopper; matched glass stopper; containers; closure component; container part; processed intermediate; manufactured / unresolved; sealing; glass; solid part; proposal; ; unassigned; not applicable; component</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status/completeness",IF(AF110="T0","Raw entry feed; no production route","No production route listed"))</x:f>
        <x:v>No production route listed</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"&amp;U111&amp;"; "&amp;AF111&amp;"; "&amp;AH111&amp;"; "&amp;AI111)</x:f>
        <x:v>proposal.container.seal_collar; compression seal collar; containers; closure component; container part; processed intermediate; manufactured / unresolved; sealing; mixed / unresolved; solid part; proposal; ; unassigned; not applicable; component</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status/completeness",IF(AF111="T0","Raw entry feed; no production route","No production route listed"))</x:f>
        <x:v>No production route listed</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"&amp;U112&amp;"; "&amp;AF112&amp;"; "&amp;AH112&amp;"; "&amp;AI112)</x:f>
        <x:v>proposal.gear.mail_shirt; chainmail shirt; equipment; torso layer; armor; finished item; manufactured / unresolved; clothing; metal; garment; author direction; protection; chain mail shirt; not applicable; unassigned; finished item</x:v>
      </x:c>
      <x:c r="AE112" s="4" t="str">
        <x:v>From current item description. Proposed uses retain their existing approval status.</x:v>
      </x:c>
      <x:c r="AF112" s="4" t="str">
        <x:v>Not applicable</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status/completeness",IF(AF112="T0","Raw entry feed; no production route","No production route listed"))</x:f>
        <x:v>No production route listed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"&amp;U113&amp;"; "&amp;AF113&amp;"; "&amp;AH113&amp;"; "&amp;AI113)</x:f>
        <x:v>proposal.gear.metal_armor_set; assembled metal armor; equipment; whole-body assembly candidate; armor; finished item; manufactured / unresolved; protection; metal; assembly; author direction; ; not applicable; unassigned; finished item</x:v>
      </x:c>
      <x:c r="AE113" s="4" t="str">
        <x:v>From current item description. Proposed uses retain their existing approval status.</x:v>
      </x:c>
      <x:c r="AF113" s="4" t="str">
        <x:v>Not applicable</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status/completeness",IF(AF113="T0","Raw entry feed; no production route","No production route listed"))</x:f>
        <x:v>No production route listed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"&amp;U114&amp;"; "&amp;AF114&amp;"; "&amp;AH114&amp;"; "&amp;AI114)</x:f>
        <x:v>proposal.gear.chest_armor; chest armor; equipment; torso plate; armor; finished item; manufactured / unresolved; protection; metal; assembly; author direction; ; not applicable; unassigned; finished item</x:v>
      </x:c>
      <x:c r="AE114" s="4" t="str">
        <x:v>From current item description. Proposed uses retain their existing approval status.</x:v>
      </x:c>
      <x:c r="AF114" s="4" t="str">
        <x:v>Not applicable</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status/completeness",IF(AF114="T0","Raw entry feed; no production route","No production route listed"))</x:f>
        <x:v>Route listed; review status/completeness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"&amp;U115&amp;"; "&amp;AF115&amp;"; "&amp;AH115&amp;"; "&amp;AI115)</x:f>
        <x:v>proposal.gear.helmet; helmet; equipment; head; armor; finished item; manufactured / unresolved; protection; metal; assembly; author direction; ; not applicable; unassigned; finished item</x:v>
      </x:c>
      <x:c r="AE115" s="4" t="str">
        <x:v>From current item description. Proposed uses retain their existing approval status.</x:v>
      </x:c>
      <x:c r="AF115" s="4" t="str">
        <x:v>Not applicable</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status/completeness",IF(AF115="T0","Raw entry feed; no production route","No production route listed"))</x:f>
        <x:v>No production route listed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"&amp;U116&amp;"; "&amp;AF116&amp;"; "&amp;AH116&amp;"; "&amp;AI116)</x:f>
        <x:v>proposal.gear.leg_armor; leg armor; equipment; lower limbs; armor; finished item; manufactured / unresolved; protection; metal; assembly; author direction; ; not applicable; unassigned; finished item</x:v>
      </x:c>
      <x:c r="AE116" s="4" t="str">
        <x:v>From current item description. Proposed uses retain their existing approval status.</x:v>
      </x:c>
      <x:c r="AF116" s="4" t="str">
        <x:v>Not applicable</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status/completeness",IF(AF116="T0","Raw entry feed; no production route","No production route listed"))</x:f>
        <x:v>No production route listed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"&amp;U117&amp;"; "&amp;AF117&amp;"; "&amp;AH117&amp;"; "&amp;AI117)</x:f>
        <x:v>proposal.gear.boots; boots; equipment; feet; wearable; finished item; manufactured / unresolved; protection; mixed / unresolved; garment; author direction; traversal; not applicable; unassigned; finished item</x:v>
      </x:c>
      <x:c r="AE117" s="4" t="str">
        <x:v>From current item description. Proposed uses retain their existing approval status.</x:v>
      </x:c>
      <x:c r="AF117" s="4" t="str">
        <x:v>Not applicable</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status/completeness",IF(AF117="T0","Raw entry feed; no production route","No production route listed"))</x:f>
        <x:v>No production route listed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"&amp;U118&amp;"; "&amp;AF118&amp;"; "&amp;AH118&amp;"; "&amp;AI118)</x:f>
        <x:v>proposal.gear.gloves; gloves; equipment; hands; wearable; finished item; manufactured / unresolved; protection; mixed / unresolved; garment; author direction; ; not applicable; unassigned; finished item</x:v>
      </x:c>
      <x:c r="AE118" s="4" t="str">
        <x:v>From current item description. Proposed uses retain their existing approval status.</x:v>
      </x:c>
      <x:c r="AF118" s="4" t="str">
        <x:v>Not applicable</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status/completeness",IF(AF118="T0","Raw entry feed; no production route","No production route listed"))</x:f>
        <x:v>No production route listed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"&amp;U119&amp;"; "&amp;AF119&amp;"; "&amp;AH119&amp;"; "&amp;AI119)</x:f>
        <x:v>proposal.gear.backpack; backpack; equipment; back-mounted carrier; carrier; finished item; manufactured / unresolved; cargo organization; mixed / unresolved; assembly; author direction; ; not applicable; unassigned; finished item</x:v>
      </x:c>
      <x:c r="AE119" s="4" t="str">
        <x:v>From current item description. Proposed uses retain their existing approval status.</x:v>
      </x:c>
      <x:c r="AF119" s="4" t="str">
        <x:v>Not applicable</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status/completeness",IF(AF119="T0","Raw entry feed; no production route","No production route listed"))</x:f>
        <x:v>No production route listed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"&amp;U120&amp;"; "&amp;AF120&amp;"; "&amp;AH120&amp;"; "&amp;AI120)</x:f>
        <x:v>proposal.gear.special_plates; specialized armor plates; equipment; modular protection; armor; finished item; manufactured / unresolved; protection; metal; assembly; author direction; ; not applicable; unassigned; finished item</x:v>
      </x:c>
      <x:c r="AE120" s="4" t="str">
        <x:v>From current item description. Proposed uses retain their existing approval status.</x:v>
      </x:c>
      <x:c r="AF120" s="4" t="str">
        <x:v>Not applicable</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status/completeness",IF(AF120="T0","Raw entry feed; no production route","No production route listed"))</x:f>
        <x:v>No production route listed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"&amp;U121&amp;"; "&amp;AF121&amp;"; "&amp;AH121&amp;"; "&amp;AI121)</x:f>
        <x:v>proposal.gear.shield; shield; equipment; held / mounted defensive gear; shield; finished item; manufactured / unresolved; protection; mixed / unresolved; assembly; author direction; ; not applicable; unassigned; finished item</x:v>
      </x:c>
      <x:c r="AE121" s="4" t="str">
        <x:v>From current item description. Proposed uses retain their existing approval status.</x:v>
      </x:c>
      <x:c r="AF121" s="4" t="str">
        <x:v>Not applicable</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status/completeness",IF(AF121="T0","Raw entry feed; no production route","No production route listed"))</x:f>
        <x:v>No production route listed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"&amp;U122&amp;"; "&amp;AF122&amp;"; "&amp;AH122&amp;"; "&amp;AI122)</x:f>
        <x:v>proposal.weapon.caltrops; caltrops; weapons; trip-ups; trip hazard; finished item; manufactured / unresolved; area denial; unresolved; solid part; author direction; ; not applicable; unassigned; finished item</x:v>
      </x:c>
      <x:c r="AE122" s="4" t="str">
        <x:v>From current item description. Proposed uses retain their existing approval status.</x:v>
      </x:c>
      <x:c r="AF122" s="4" t="str">
        <x:v>Not applicable</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status/completeness",IF(AF122="T0","Raw entry feed; no production route","No production route listed"))</x:f>
        <x:v>No production route listed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"&amp;U123&amp;"; "&amp;AF123&amp;";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status/completeness",IF(AF123="T0","Raw entry feed; no production route","No production route listed"))</x:f>
        <x:v>No production route listed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"&amp;U124&amp;"; "&amp;AF124&amp;";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status/completeness",IF(AF124="T0","Raw entry feed; no production route","No production route listed"))</x:f>
        <x:v>No production route listed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"&amp;U125&amp;"; "&amp;AF125&amp;";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status/completeness",IF(AF125="T0","Raw entry feed; no production route","No production route listed"))</x:f>
        <x:v>No production route listed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"&amp;U126&amp;"; "&amp;AF126&amp;"; "&amp;AH126&amp;"; "&amp;AI126)</x:f>
        <x:v>proposal.fashion.special_spectacles; specialized spectacles; equipment; specialist eyewear; wearable; finished item; manufactured / unresolved; vision; mixed / unresolved; assembly; author direction; ; not applicable; unassigned; finished item</x:v>
      </x:c>
      <x:c r="AE126" s="4" t="str">
        <x:v>From current item description. Proposed uses retain their existing approval status.</x:v>
      </x:c>
      <x:c r="AF126" s="4" t="str">
        <x:v>Not applicable</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status/completeness",IF(AF126="T0","Raw entry feed; no production route","No production route listed"))</x:f>
        <x:v>No production route listed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"&amp;U127&amp;"; "&amp;AF127&amp;"; "&amp;AH127&amp;"; "&amp;AI127)</x:f>
        <x:v>proposal.fashion.eyeglasses; eyeglasses; equipment; eyewear; wearable; finished item; manufactured / unresolved; vision; mixed / unresolved; assembly; author direction; ; not applicable; unassigned; finished item</x:v>
      </x:c>
      <x:c r="AE127" s="4" t="str">
        <x:v>From current item description. Proposed uses retain their existing approval status.</x:v>
      </x:c>
      <x:c r="AF127" s="4" t="str">
        <x:v>Not applicable</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status/completeness",IF(AF127="T0","Raw entry feed; no production route","No production route listed"))</x:f>
        <x:v>No production route listed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"&amp;U128&amp;"; "&amp;AF128&amp;"; "&amp;AH128&amp;"; "&amp;AI128)</x:f>
        <x:v>proposal.fashion.hat; hat; equipment; headwear; wearable; finished item; manufactured / unresolved; clothing; mixed / unresolved; garment; author direction; fashion; not applicable; unassigned; finished item</x:v>
      </x:c>
      <x:c r="AE128" s="4" t="str">
        <x:v>From current item description. Proposed uses retain their existing approval status.</x:v>
      </x:c>
      <x:c r="AF128" s="4" t="str">
        <x:v>Not applicable</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status/completeness",IF(AF128="T0","Raw entry feed; no production route","No production route listed"))</x:f>
        <x:v>No production route listed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"&amp;U129&amp;"; "&amp;AF129&amp;"; "&amp;AH129&amp;"; "&amp;AI129)</x:f>
        <x:v>proposal.fashion.husk_garment; elaborate husk-fiber wear; equipment; fashion garment; wearable; finished item; manufactured / unresolved; fashion; husk fiber; garment; author direction; ; not applicable; unassigned; finished item</x:v>
      </x:c>
      <x:c r="AE129" s="4" t="str">
        <x:v>From current item description. Proposed uses retain their existing approval status.</x:v>
      </x:c>
      <x:c r="AF129" s="4" t="str">
        <x:v>Not applicable</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status/completeness",IF(AF129="T0","Raw entry feed; no production route","No production route listed"))</x:f>
        <x:v>No production route listed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"&amp;U130&amp;"; "&amp;AF130&amp;"; "&amp;AH130&amp;"; "&amp;AI130)</x:f>
        <x:v>proposal.fashion.fur_garment; elaborate fur wear; equipment; fashion garment; wearable; finished item; manufactured / unresolved; fashion; fur; garment; author direction; ; not applicable; unassigned; finished item</x:v>
      </x:c>
      <x:c r="AE130" s="4" t="str">
        <x:v>From current item description. Proposed uses retain their existing approval status.</x:v>
      </x:c>
      <x:c r="AF130" s="4" t="str">
        <x:v>Not applicable</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status/completeness",IF(AF130="T0","Raw entry feed; no production route","No production route listed"))</x:f>
        <x:v>No production route listed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"&amp;U131&amp;"; "&amp;AF131&amp;"; "&amp;AH131&amp;"; "&amp;AI131)</x:f>
        <x:v>proposal.fashion.hide_garment; elaborate hide wear; equipment; fashion garment; wearable; finished item; manufactured / unresolved; fashion; hide; garment; author direction; ; not applicable; unassigned; finished item</x:v>
      </x:c>
      <x:c r="AE131" s="4" t="str">
        <x:v>From current item description. Proposed uses retain their existing approval status.</x:v>
      </x:c>
      <x:c r="AF131" s="4" t="str">
        <x:v>Not applicable</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status/completeness",IF(AF131="T0","Raw entry feed; no production route","No production route listed"))</x:f>
        <x:v>No production route listed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"&amp;U132&amp;"; "&amp;AF132&amp;"; "&amp;AH132&amp;"; "&amp;AI132)</x:f>
        <x:v>proposal.gem.clear_quartz; clear quartz; resources; gemstone concept; gem material; unresolved; geological; decoration; gemstone; unresolved; proposal; ; t0; not applicable; material</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status/completeness",IF(AF132="T0","Raw entry feed; no production route","No production route listed"))</x:f>
        <x:v>Raw entry feed; no production route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"&amp;U133&amp;"; "&amp;AF133&amp;"; "&amp;AH133&amp;"; "&amp;AI133)</x:f>
        <x:v>proposal.gem.smoky_quartz; smoky quartz; resources; gemstone concept; gem material; unresolved; geological; decoration; gemstone; unresolved; proposal; ; t0; not applicable; material</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status/completeness",IF(AF133="T0","Raw entry feed; no production route","No production route listed"))</x:f>
        <x:v>Raw entry feed; no production route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"&amp;U134&amp;"; "&amp;AF134&amp;"; "&amp;AH134&amp;"; "&amp;AI134)</x:f>
        <x:v>proposal.gem.garnet; garnet; resources; gemstone concept; gem material; unresolved; geological; decoration; gemstone; unresolved; proposal; ; t0; not applicable; material</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status/completeness",IF(AF134="T0","Raw entry feed; no production route","No production route listed"))</x:f>
        <x:v>Raw entry feed; no production route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"&amp;U135&amp;"; "&amp;AF135&amp;"; "&amp;AH135&amp;"; "&amp;AI135)</x:f>
        <x:v>proposal.gem.spinel; spinel; resources; gemstone concept; gem material; unresolved; geological; decoration; gemstone; unresolved; proposal; ; t0; not applicable; material</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status/completeness",IF(AF135="T0","Raw entry feed; no production route","No production route listed"))</x:f>
        <x:v>Raw entry feed; no production route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"&amp;U136&amp;"; "&amp;AF136&amp;"; "&amp;AH136&amp;"; "&amp;AI136)</x:f>
        <x:v>proposal.gem.peridot; peridot; resources; gemstone concept; gem material; unresolved; geological; decoration; gemstone; unresolved; proposal; ; t0; not applicable; material</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status/completeness",IF(AF136="T0","Raw entry feed; no production route","No production route listed"))</x:f>
        <x:v>Raw entry feed; no production route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"&amp;U137&amp;"; "&amp;AF137&amp;"; "&amp;AH137&amp;"; "&amp;AI137)</x:f>
        <x:v>proposal.gem.corundum; ruby / sapphire corundum; resources; gemstone concept; gem material; unresolved; geological; decoration; gemstone; unresolved; proposal; ; t0; not applicable; material</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status/completeness",IF(AF137="T0","Raw entry feed; no production route","No production route listed"))</x:f>
        <x:v>Raw entry feed; no production route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"&amp;U138&amp;"; "&amp;AF138&amp;"; "&amp;AH138&amp;"; "&amp;AI138)</x:f>
        <x:v>proposal.gem.tourmaline; tourmaline; resources; gemstone concept; gem material; unresolved; geological; decoration; gemstone; unresolved; proposal; ; t0; not applicable; material</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status/completeness",IF(AF138="T0","Raw entry feed; no production route","No production route listed"))</x:f>
        <x:v>Raw entry feed; no production route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"&amp;U139&amp;"; "&amp;AF139&amp;"; "&amp;AH139&amp;"; "&amp;AI139)</x:f>
        <x:v>proposal.gem.zircon; zircon; resources; gemstone concept; gem material; unresolved; geological; decoration; gemstone; unresolved; proposal; ; t0; not applicable; material</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status/completeness",IF(AF139="T0","Raw entry feed; no production route","No production route listed"))</x:f>
        <x:v>Raw entry feed; no production route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"&amp;U140&amp;"; "&amp;AF140&amp;"; "&amp;AH140&amp;"; "&amp;AI140)</x:f>
        <x:v>proposal.gear.simple_wraps; simple everyday wraps; equipment; everyday clothing; wearable; finished item; manufactured / unresolved; clothing; mixed / unresolved; garment; author direction; ; not applicable; unassigned; finished item</x:v>
      </x:c>
      <x:c r="AE140" s="4" t="str">
        <x:v>From current item description. Proposed uses retain their existing approval status.</x:v>
      </x:c>
      <x:c r="AF140" s="4" t="str">
        <x:v>Not applicable</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status/completeness",IF(AF140="T0","Raw entry feed; no production route","No production route listed"))</x:f>
        <x:v>No production route listed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"&amp;U141&amp;"; "&amp;AF141&amp;"; "&amp;AH141&amp;"; "&amp;AI141)</x:f>
        <x:v>proposal.bio.inner_wing; delicate inner wing; resources; wing material; raw material; raw; fauna; sun shading; wing membrane; membrane; author direction; sail membrane; wind propulsion; t0; not applicable; material</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status/completeness",IF(AF141="T0","Raw entry feed; no production route","No production route listed"))</x:f>
        <x:v>Raw entry feed; no production route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"&amp;U142&amp;"; "&amp;AF142&amp;"; "&amp;AH142&amp;"; "&amp;AI142)</x:f>
        <x:v>proposal.bio.wing_panel; prepared wing shade panel; crafting components; wing material; crafting component; processed intermediate; fauna; sun shading; wing membrane; panel; proposal; ; t1; not applicable; component</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status/completeness",IF(AF142="T0","Raw entry feed; no production route","No production route listed"))</x:f>
        <x:v>Route listed; review status/completeness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"&amp;U143&amp;"; "&amp;AF143&amp;";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status/completeness",IF(AF143="T0","Raw entry feed; no production route","No production route listed"))</x:f>
        <x:v>No production route listed</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"&amp;U144&amp;"; "&amp;AF144&amp;";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status/completeness",IF(AF144="T0","Raw entry feed; no production route","No production route listed"))</x:f>
        <x:v>No production route listed</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"&amp;U145&amp;"; "&amp;AF145&amp;"; "&amp;AH145&amp;"; "&amp;AI145)</x:f>
        <x:v>proposal.canister.seal_seat; fitted seal seat; crafting components; canister economy concept; container part; processed intermediate; manufactured / unresolved; sealing; mixed / unresolved; solid part; proposal; ; unassigned; not applicable; component</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status/completeness",IF(AF145="T0","Raw entry feed; no production route","No production route listed"))</x:f>
        <x:v>No production route listed</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"&amp;U146&amp;"; "&amp;AF146&amp;"; "&amp;AH146&amp;"; "&amp;AI146)</x:f>
        <x:v>proposal.canister.sealant; canister joint sealant; crafting components; canister economy concept; chemical material; processed intermediate; manufactured / unresolved; sealing; mixed / unresolved; unresolved; proposal; ; unassigned; not applicable; material</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c r="AI146" s="4" t="str">
        <x:v>Material</x:v>
      </x:c>
      <x:c r="AJ146" s="4" t="n">
        <x:f>COUNTIFS('Material routes'!$D$6:$D$1005,A146,'Material routes'!$C$6:$C$1005,"Output")</x:f>
        <x:v>0</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status/completeness",IF(AF146="T0","Raw entry feed; no production route","No production route listed"))</x:f>
        <x:v>No production route listed</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"&amp;U147&amp;"; "&amp;AF147&amp;";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status/completeness",IF(AF147="T0","Raw entry feed; no production route","No production route listed"))</x:f>
        <x:v>No production route listed</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"&amp;U148&amp;"; "&amp;AF148&amp;";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status/completeness",IF(AF148="T0","Raw entry feed; no production route","No production route listed"))</x:f>
        <x:v>No production route listed</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"&amp;U149&amp;"; "&amp;AF149&amp;";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status/completeness",IF(AF149="T0","Raw entry feed; no production route","No production route listed"))</x:f>
        <x:v>No production route listed</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"&amp;U150&amp;"; "&amp;AF150&amp;"; "&amp;AH150&amp;"; "&amp;AI150)</x:f>
        <x:v>proposal.canister.window; canister viewing-port insert; crafting components; canister economy concept; container part; processed intermediate; manufactured / unresolved; inspection; glass; solid part; proposal; ; unassigned; not applicable; component</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status/completeness",IF(AF150="T0","Raw entry feed; no production route","No production route listed"))</x:f>
        <x:v>No production route listed</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"&amp;U151&amp;"; "&amp;AF151&amp;";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status/completeness",IF(AF151="T0","Raw entry feed; no production route","No production route listed"))</x:f>
        <x:v>No production route listed</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"&amp;U152&amp;"; "&amp;AF152&amp;"; "&amp;AH152&amp;"; "&amp;AI152)</x:f>
        <x:v>proposal.canister.harness; fitted canister harness; equipment; canister economy concept; carrier; finished item; manufactured / unresolved; equipment mounting; mixed / unresolved; assembly; proposal; ; not applicable; unassigned; finished item</x:v>
      </x:c>
      <x:c r="AE152" s="4" t="str">
        <x:v>From current item description. Proposed uses retain their existing approval status.</x:v>
      </x:c>
      <x:c r="AF152" s="4" t="str">
        <x:v>Not applicable</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status/completeness",IF(AF152="T0","Raw entry feed; no production route","No production route listed"))</x:f>
        <x:v>No production route listed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"&amp;U153&amp;"; "&amp;AF153&amp;"; "&amp;AH153&amp;"; "&amp;AI153)</x:f>
        <x:v>proposal.canister.inspection_gauge; seal inspection gauge; equipment; canister economy concept; tool; finished item; manufactured / unresolved; inspection; mixed / unresolved; assembly; proposal; ; not applicable; unassigned; finished item</x:v>
      </x:c>
      <x:c r="AE153" s="4" t="str">
        <x:v>From current item description. Proposed uses retain their existing approval status.</x:v>
      </x:c>
      <x:c r="AF153" s="4" t="str">
        <x:v>Not applicable</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status/completeness",IF(AF153="T0","Raw entry feed; no production route","No production route listed"))</x:f>
        <x:v>No production route listed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"&amp;U154&amp;"; "&amp;AF154&amp;";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E154" s="4" t="str">
        <x:v>From current item description. Proposed uses retain their existing approval status.</x:v>
      </x:c>
      <x:c r="AF154" s="4" t="str">
        <x:v>Not applicable</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status/completeness",IF(AF154="T0","Raw entry feed; no production route","No production route listed"))</x:f>
        <x:v>No production route listed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"&amp;U155&amp;"; "&amp;AF155&amp;";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status/completeness",IF(AF155="T0","Raw entry feed; no production route","No production route listed"))</x:f>
        <x:v>No production route listed</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"&amp;U156&amp;"; "&amp;AF156&amp;";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status/completeness",IF(AF156="T0","Raw entry feed; no production route","No production route listed"))</x:f>
        <x:v>No production route listed</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"&amp;U157&amp;"; "&amp;AF157&amp;";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status/completeness",IF(AF157="T0","Raw entry feed; no production route","No production route listed"))</x:f>
        <x:v>No production route listed</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"&amp;U158&amp;"; "&amp;AF158&amp;"; "&amp;AH158&amp;"; "&amp;AI158)</x:f>
        <x:v>proposal.culture.icon; preserver icon token; cultural objects; religious; cultural object; finished item; manufactured / unresolved; devotion; metal or shell; solid piece; proposal; ; not applicable; unassigned; finished item</x:v>
      </x:c>
      <x:c r="AE158" s="4" t="str">
        <x:v>From current item description. Proposed uses retain their existing approval status.</x:v>
      </x:c>
      <x:c r="AF158" s="4" t="str">
        <x:v>Not applicable</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status/completeness",IF(AF158="T0","Raw entry feed; no production route","No production route listed"))</x:f>
        <x:v>No production route listed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"&amp;U159&amp;"; "&amp;AF159&amp;"; "&amp;AH159&amp;"; "&amp;AI159)</x:f>
        <x:v>proposal.culture.shrine; household shrine plaque; cultural objects; religious; cultural object; finished item; manufactured / unresolved; devotion; metal or shell; panel; proposal; ; not applicable; unassigned; finished item</x:v>
      </x:c>
      <x:c r="AE159" s="4" t="str">
        <x:v>From current item description. Proposed uses retain their existing approval status.</x:v>
      </x:c>
      <x:c r="AF159" s="4" t="str">
        <x:v>Not applicable</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status/completeness",IF(AF159="T0","Raw entry feed; no production route","No production route listed"))</x:f>
        <x:v>No production route listed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"&amp;U160&amp;"; "&amp;AF160&amp;"; "&amp;AH160&amp;"; "&amp;AI160)</x:f>
        <x:v>proposal.culture.altar_vial; altar display vial; cultural objects; religious; container; finished item; manufactured / unresolved; ceremony; glass and metal; assembly; proposal; liquid and bulk containment; not applicable; unassigned; finished item</x:v>
      </x:c>
      <x:c r="AE160" s="4" t="str">
        <x:v>From current item description. Proposed uses retain their existing approval status.</x:v>
      </x:c>
      <x:c r="AF160" s="4" t="str">
        <x:v>Not applicable</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status/completeness",IF(AF160="T0","Raw entry feed; no production route","No production route listed"))</x:f>
        <x:v>No production route listed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"&amp;U161&amp;"; "&amp;AF161&amp;"; "&amp;AH161&amp;"; "&amp;AI161)</x:f>
        <x:v>proposal.culture.reliquary; relic case; cultural objects; religious; container; finished item; manufactured / unresolved; devotion; metal or shell; assembly; proposal; keepsake storage; not applicable; unassigned; finished item</x:v>
      </x:c>
      <x:c r="AE161" s="4" t="str">
        <x:v>From current item description. Proposed uses retain their existing approval status.</x:v>
      </x:c>
      <x:c r="AF161" s="4" t="str">
        <x:v>Not applicable</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status/completeness",IF(AF161="T0","Raw entry feed; no production route","No production route listed"))</x:f>
        <x:v>No production route listed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"&amp;U162&amp;"; "&amp;AF162&amp;"; "&amp;AH162&amp;"; "&amp;AI162)</x:f>
        <x:v>proposal.culture.prayer_leaf; husk-paper prayer leaf; cultural objects; religious; document; finished item; manufactured / unresolved; devotion; husk fiber; sheet; proposal; writing and records; not applicable; unassigned; finished item</x:v>
      </x:c>
      <x:c r="AE162" s="4" t="str">
        <x:v>From current item description. Proposed uses retain their existing approval status.</x:v>
      </x:c>
      <x:c r="AF162" s="4" t="str">
        <x:v>Not applicable</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status/completeness",IF(AF162="T0","Raw entry feed; no production route","No production route listed"))</x:f>
        <x:v>Route listed; review status/completeness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"&amp;U163&amp;"; "&amp;AF163&amp;"; "&amp;AH163&amp;"; "&amp;AI163)</x:f>
        <x:v>proposal.culture.offering; votive shell token; cultural objects; religious; cultural object; finished item; manufactured / unresolved; devotion; shell / chitin; solid piece; proposal; ; not applicable; unassigned; finished item</x:v>
      </x:c>
      <x:c r="AE163" s="4" t="str">
        <x:v>From current item description. Proposed uses retain their existing approval status.</x:v>
      </x:c>
      <x:c r="AF163" s="4" t="str">
        <x:v>Not applicable</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status/completeness",IF(AF163="T0","Raw entry feed; no production route","No production route listed"))</x:f>
        <x:v>No production route listed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"&amp;U164&amp;"; "&amp;AF164&amp;"; "&amp;AH164&amp;"; "&amp;AI164)</x:f>
        <x:v>proposal.culture.badge; civic office badge; cultural objects; political / civic; cultural object; finished item; manufactured / unresolved; civic identification; metal or shell; solid piece; proposal; ; not applicable; unassigned; finished item</x:v>
      </x:c>
      <x:c r="AE164" s="4" t="str">
        <x:v>From current item description. Proposed uses retain their existing approval status.</x:v>
      </x:c>
      <x:c r="AF164" s="4" t="str">
        <x:v>Not applicable</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status/completeness",IF(AF164="T0","Raw entry feed; no production route","No production route listed"))</x:f>
        <x:v>No production route listed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"&amp;U165&amp;"; "&amp;AF165&amp;";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E165" s="4" t="str">
        <x:v>From current item description. Proposed uses retain their existing approval status.</x:v>
      </x:c>
      <x:c r="AF165" s="4" t="str">
        <x:v>Not applicable</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status/completeness",IF(AF165="T0","Raw entry feed; no production route","No production route listed"))</x:f>
        <x:v>No production route listed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"&amp;U166&amp;"; "&amp;AF166&amp;";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E166" s="4" t="str">
        <x:v>From current item description. Proposed uses retain their existing approval status.</x:v>
      </x:c>
      <x:c r="AF166" s="4" t="str">
        <x:v>Not applicable</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status/completeness",IF(AF166="T0","Raw entry feed; no production route","No production route listed"))</x:f>
        <x:v>No production route listed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"&amp;U167&amp;"; "&amp;AF167&amp;"; "&amp;AH167&amp;"; "&amp;AI167)</x:f>
        <x:v>proposal.culture.notice; public notice plate; cultural objects; political / civic; document; finished item; manufactured / unresolved; public communication; metal or shell; panel; proposal; ; not applicable; unassigned; finished item</x:v>
      </x:c>
      <x:c r="AE167" s="4" t="str">
        <x:v>From current item description. Proposed uses retain their existing approval status.</x:v>
      </x:c>
      <x:c r="AF167" s="4" t="str">
        <x:v>Not applicable</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status/completeness",IF(AF167="T0","Raw entry feed; no production route","No production route listed"))</x:f>
        <x:v>No production route listed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"&amp;U168&amp;"; "&amp;AF168&amp;"; "&amp;AH168&amp;"; "&amp;AI168)</x:f>
        <x:v>proposal.culture.petition; petition leaf; cultural objects; political / civic; document; finished item; manufactured / unresolved; public communication; husk fiber; sheet; proposal; ; not applicable; unassigned; finished item</x:v>
      </x:c>
      <x:c r="AE168" s="4" t="str">
        <x:v>From current item description. Proposed uses retain their existing approval status.</x:v>
      </x:c>
      <x:c r="AF168" s="4" t="str">
        <x:v>Not applicable</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status/completeness",IF(AF168="T0","Raw entry feed; no production route","No production route listed"))</x:f>
        <x:v>No production route listed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"&amp;U169&amp;"; "&amp;AF169&amp;"; "&amp;AH169&amp;"; "&amp;AI169)</x:f>
        <x:v>proposal.culture.commendation; community service medallion; cultural objects; political / civic; cultural object; finished item; manufactured / unresolved; civic recognition; metal; solid piece; proposal; ; not applicable; unassigned; finished item</x:v>
      </x:c>
      <x:c r="AE169" s="4" t="str">
        <x:v>From current item description. Proposed uses retain their existing approval status.</x:v>
      </x:c>
      <x:c r="AF169" s="4" t="str">
        <x:v>Not applicable</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status/completeness",IF(AF169="T0","Raw entry feed; no production route","No production route listed"))</x:f>
        <x:v>No production route listed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"&amp;U170&amp;"; "&amp;AF170&amp;"; "&amp;AH170&amp;"; "&amp;AI170)</x:f>
        <x:v>proposal.culture.pilgrim_die; pilgrimage marking die; cultural objects; ritual; tool; finished item; manufactured / unresolved; ceremony; metal; solid part; proposal; provenance; not applicable; unassigned; finished item</x:v>
      </x:c>
      <x:c r="AE170" s="4" t="str">
        <x:v>From current item description. Proposed uses retain their existing approval status.</x:v>
      </x:c>
      <x:c r="AF170" s="4" t="str">
        <x:v>Not applicable</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status/completeness",IF(AF170="T0","Raw entry feed; no production route","No production route listed"))</x:f>
        <x:v>No production route listed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"&amp;U171&amp;"; "&amp;AF171&amp;"; "&amp;AH171&amp;"; "&amp;AI171)</x:f>
        <x:v>proposal.culture.memorial; memorial name plate; cultural objects; ritual; cultural object; finished item; manufactured / unresolved; remembrance; metal or shell; panel; proposal; ; not applicable; unassigned; finished item</x:v>
      </x:c>
      <x:c r="AE171" s="4" t="str">
        <x:v>From current item description. Proposed uses retain their existing approval status.</x:v>
      </x:c>
      <x:c r="AF171" s="4" t="str">
        <x:v>Not applicable</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status/completeness",IF(AF171="T0","Raw entry feed; no production route","No production route listed"))</x:f>
        <x:v>No production route listed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"&amp;U172&amp;"; "&amp;AF172&amp;"; "&amp;AH172&amp;"; "&amp;AI172)</x:f>
        <x:v>proposal.culture.oath_ring; oath exchange ring; cultural objects; ritual; cultural object; finished item; manufactured / unresolved; ceremony; metal; solid piece; proposal; ; not applicable; unassigned; finished item</x:v>
      </x:c>
      <x:c r="AE172" s="4" t="str">
        <x:v>From current item description. Proposed uses retain their existing approval status.</x:v>
      </x:c>
      <x:c r="AF172" s="4" t="str">
        <x:v>Not applicable</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status/completeness",IF(AF172="T0","Raw entry feed; no production route","No production route listed"))</x:f>
        <x:v>No production route listed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"&amp;U173&amp;"; "&amp;AF173&amp;"; "&amp;AH173&amp;"; "&amp;AI173)</x:f>
        <x:v>proposal.culture.milestone; life-event charm; cultural objects; ritual; cultural object; finished item; manufactured / unresolved; remembrance; metal or shell; solid piece; proposal; ceremony; not applicable; unassigned; finished item</x:v>
      </x:c>
      <x:c r="AE173" s="4" t="str">
        <x:v>From current item description. Proposed uses retain their existing approval status.</x:v>
      </x:c>
      <x:c r="AF173" s="4" t="str">
        <x:v>Not applicable</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status/completeness",IF(AF173="T0","Raw entry feed; no production route","No production route listed"))</x:f>
        <x:v>No production route listed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"&amp;U174&amp;"; "&amp;AF174&amp;"; "&amp;AH174&amp;"; "&amp;AI174)</x:f>
        <x:v>proposal.culture.rattle; ceremonial shell rattle; cultural objects; ritual; musical instrument; finished item; manufactured / unresolved; ceremony; shell and mineral; assembly; proposal; music; not applicable; unassigned; finished item</x:v>
      </x:c>
      <x:c r="AE174" s="4" t="str">
        <x:v>From current item description. Proposed uses retain their existing approval status.</x:v>
      </x:c>
      <x:c r="AF174" s="4" t="str">
        <x:v>Not applicable</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status/completeness",IF(AF174="T0","Raw entry feed; no production route","No production route listed"))</x:f>
        <x:v>No production route listed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"&amp;U175&amp;"; "&amp;AF175&amp;"; "&amp;AH175&amp;"; "&amp;AI175)</x:f>
        <x:v>proposal.culture.gift_case; ceremonial gift case; cultural objects; ritual; container; finished item; manufactured / unresolved; ceremony; metal or shell; assembly; proposal; keepsake storage; not applicable; unassigned; finished item</x:v>
      </x:c>
      <x:c r="AE175" s="4" t="str">
        <x:v>From current item description. Proposed uses retain their existing approval status.</x:v>
      </x:c>
      <x:c r="AF175" s="4" t="str">
        <x:v>Not applicable</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status/completeness",IF(AF175="T0","Raw entry feed; no production route","No production route listed"))</x:f>
        <x:v>No production route listed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"&amp;U176&amp;"; "&amp;AF176&amp;"; "&amp;AH176&amp;"; "&amp;AI176)</x:f>
        <x:v>proposal.culture.bowl; everyday shell bowl; everyday objects; everyday household; household utensil; finished item; manufactured / unresolved; food service; metal or shell; solid piece; proposal; ; not applicable; unassigned; finished item</x:v>
      </x:c>
      <x:c r="AE176" s="4" t="str">
        <x:v>From current item description. Proposed uses retain their existing approval status.</x:v>
      </x:c>
      <x:c r="AF176" s="4" t="str">
        <x:v>Not applicable</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status/completeness",IF(AF176="T0","Raw entry feed; no production route","No production route listed"))</x:f>
        <x:v>No production route listed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"&amp;U177&amp;"; "&amp;AF177&amp;"; "&amp;AH177&amp;"; "&amp;AI177)</x:f>
        <x:v>proposal.culture.spoon; algae spoon / scraper; everyday objects; everyday household; household utensil; finished item; manufactured / unresolved; food service; metal or shell; solid piece; proposal; ; not applicable; unassigned; finished item</x:v>
      </x:c>
      <x:c r="AE177" s="4" t="str">
        <x:v>From current item description. Proposed uses retain their existing approval status.</x:v>
      </x:c>
      <x:c r="AF177" s="4" t="str">
        <x:v>Not applicable</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status/completeness",IF(AF177="T0","Raw entry feed; no production route","No production route listed"))</x:f>
        <x:v>No production route listed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"&amp;U178&amp;"; "&amp;AF178&amp;"; "&amp;AH178&amp;"; "&amp;AI178)</x:f>
        <x:v>proposal.culture.brush; dust brush; everyday objects; everyday household; tool; finished item; manufactured / unresolved; cleaning; faunal fiber and shell; assembly; proposal; ; not applicable; unassigned; finished item</x:v>
      </x:c>
      <x:c r="AE178" s="4" t="str">
        <x:v>From current item description. Proposed uses retain their existing approval status.</x:v>
      </x:c>
      <x:c r="AF178" s="4" t="str">
        <x:v>Not applicable</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status/completeness",IF(AF178="T0","Raw entry feed; no production route","No production route listed"))</x:f>
        <x:v>No production route listed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"&amp;U179&amp;"; "&amp;AF179&amp;"; "&amp;AH179&amp;"; "&amp;AI179)</x:f>
        <x:v>proposal.culture.comb; shell comb; everyday objects; everyday household; household utensil; finished item; manufactured / unresolved; grooming; metal or shell; solid piece; proposal; ; not applicable; unassigned; finished item</x:v>
      </x:c>
      <x:c r="AE179" s="4" t="str">
        <x:v>From current item description. Proposed uses retain their existing approval status.</x:v>
      </x:c>
      <x:c r="AF179" s="4" t="str">
        <x:v>Not applicable</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status/completeness",IF(AF179="T0","Raw entry feed; no production route","No production route listed"))</x:f>
        <x:v>No production route listed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"&amp;U180&amp;"; "&amp;AF180&amp;"; "&amp;AH180&amp;"; "&amp;AI180)</x:f>
        <x:v>proposal.culture.tablet; reusable tally tablet; everyday objects; everyday household; document; finished item; manufactured / unresolved; writing and records; mineral or shell; solid piece; proposal; ; not applicable; unassigned; finished item</x:v>
      </x:c>
      <x:c r="AE180" s="4" t="str">
        <x:v>From current item description. Proposed uses retain their existing approval status.</x:v>
      </x:c>
      <x:c r="AF180" s="4" t="str">
        <x:v>Not applicable</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status/completeness",IF(AF180="T0","Raw entry feed; no production route","No production route listed"))</x:f>
        <x:v>No production route listed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"&amp;U181&amp;"; "&amp;AF181&amp;"; "&amp;AH181&amp;"; "&amp;AI181)</x:f>
        <x:v>proposal.culture.stylus; marking stylus; everyday objects; everyday household; tool; finished item; manufactured / unresolved; writing and records; metal and shell; solid part; proposal; ; not applicable; unassigned; finished item</x:v>
      </x:c>
      <x:c r="AE181" s="4" t="str">
        <x:v>From current item description. Proposed uses retain their existing approval status.</x:v>
      </x:c>
      <x:c r="AF181" s="4" t="str">
        <x:v>Not applicable</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status/completeness",IF(AF181="T0","Raw entry feed; no production route","No production route listed"))</x:f>
        <x:v>No production route listed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"&amp;U182&amp;"; "&amp;AF182&amp;";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0</x:v>
      </x:c>
      <x:c r="AL182" s="4" t="n">
        <x:f>COUNTIFS('Material routes'!$D$6:$D$1005,A182,'Material routes'!$C$6:$C$1005,"Tool candidate")</x:f>
        <x:v>0</x:v>
      </x:c>
      <x:c r="AM182" s="4" t="str">
        <x:f>IF(AJ182&gt;0,"Route listed; review status/completeness",IF(AF182="T0","Raw entry feed; no production route","No production route listed"))</x:f>
        <x:v>Route listed; review status/completeness</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"&amp;U183&amp;"; "&amp;AF183&amp;";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1</x:v>
      </x:c>
      <x:c r="AL183" s="4" t="n">
        <x:f>COUNTIFS('Material routes'!$D$6:$D$1005,A183,'Material routes'!$C$6:$C$1005,"Tool candidate")</x:f>
        <x:v>0</x:v>
      </x:c>
      <x:c r="AM183" s="4" t="str">
        <x:f>IF(AJ183&gt;0,"Route listed; review status/completeness",IF(AF183="T0","Raw entry feed; no production route","No production route listed"))</x:f>
        <x:v>Route listed; review status/completeness</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"&amp;U184&amp;"; "&amp;AF184&amp;";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0</x:v>
      </x:c>
      <x:c r="AL184" s="4" t="n">
        <x:f>COUNTIFS('Material routes'!$D$6:$D$1005,A184,'Material routes'!$C$6:$C$1005,"Tool candidate")</x:f>
        <x:v>0</x:v>
      </x:c>
      <x:c r="AM184" s="4" t="str">
        <x:f>IF(AJ184&gt;0,"Route listed; review status/completeness",IF(AF184="T0","Raw entry feed; no production route","No production route listed"))</x:f>
        <x:v>Route listed; review status/completeness</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"&amp;U185&amp;"; "&amp;AF185&amp;";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status/completeness",IF(AF185="T0","Raw entry feed; no production route","No production route listed"))</x:f>
        <x:v>No production route listed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"&amp;U186&amp;"; "&amp;AF186&amp;"; "&amp;AH186&amp;"; "&amp;AI186)</x:f>
        <x:v>proposal.ceramic.bowl; plain ceramic eating bowl; everyday objects; ceramic household; household utensil; finished item; manufactured / unresolved; food service; ceramic; solid part; proposal; pottery; not applicable; unassigned; finished item</x:v>
      </x:c>
      <x:c r="AE186" s="4" t="str">
        <x:v>Specific item proposed from author ceramics direction; functional and material limits remain unresolved.</x:v>
      </x:c>
      <x:c r="AF186" s="4" t="str">
        <x:v>Not applicable</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status/completeness",IF(AF186="T0","Raw entry feed; no production route","No production route listed"))</x:f>
        <x:v>Route listed; review status/completeness</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"&amp;U187&amp;"; "&amp;AF187&amp;"; "&amp;AH187&amp;"; "&amp;AI187)</x:f>
        <x:v>proposal.ceramic.cup; small ceramic cup; everyday objects; ceramic household; household utensil; finished item; manufactured / unresolved; food service; ceramic; solid part; proposal; pottery; not applicable; unassigned; finished item</x:v>
      </x:c>
      <x:c r="AE187" s="4" t="str">
        <x:v>Specific item proposed from author ceramics direction; functional and material limits remain unresolved.</x:v>
      </x:c>
      <x:c r="AF187" s="4" t="str">
        <x:v>Not applicable</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status/completeness",IF(AF187="T0","Raw entry feed; no production route","No production route listed"))</x:f>
        <x:v>No production route listed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"&amp;U188&amp;"; "&amp;AF188&amp;"; "&amp;AH188&amp;"; "&amp;AI188)</x:f>
        <x:v>proposal.ceramic.plate; ceramic serving plate; everyday objects; ceramic household; household utensil; finished item; manufactured / unresolved; food service; ceramic; solid part; proposal; pottery; not applicable; unassigned; finished item</x:v>
      </x:c>
      <x:c r="AE188" s="4" t="str">
        <x:v>Specific item proposed from author ceramics direction; functional and material limits remain unresolved.</x:v>
      </x:c>
      <x:c r="AF188" s="4" t="str">
        <x:v>Not applicable</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status/completeness",IF(AF188="T0","Raw entry feed; no production route","No production route listed"))</x:f>
        <x:v>No production route listed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"&amp;U189&amp;"; "&amp;AF189&amp;";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E189" s="4" t="str">
        <x:v>Specific item proposed from author ceramics direction; functional and material limits remain unresolved.</x:v>
      </x:c>
      <x:c r="AF189" s="4" t="str">
        <x:v>Not applicable</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status/completeness",IF(AF189="T0","Raw entry feed; no production route","No production route listed"))</x:f>
        <x:v>No production route listed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"&amp;U190&amp;"; "&amp;AF190&amp;"; "&amp;AH190&amp;"; "&amp;AI190)</x:f>
        <x:v>proposal.ceramic.crucible; ceramic crucible; equipment; ceramic workshop; tool; finished item; manufactured / unresolved; metal refining; ceramic; solid part; proposal; glass and ceramics; pottery; not applicable; unassigned; finished item</x:v>
      </x:c>
      <x:c r="AE190" s="4" t="str">
        <x:v>Specific item proposed from author ceramics direction; functional and material limits remain unresolved.</x:v>
      </x:c>
      <x:c r="AF190" s="4" t="str">
        <x:v>Not applicable</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0</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status/completeness",IF(AF190="T0","Raw entry feed; no production route","No production route listed"))</x:f>
        <x:v>No production route listed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"&amp;U191&amp;"; "&amp;AF191&amp;"; "&amp;AH191&amp;"; "&amp;AI191)</x:f>
        <x:v>proposal.ceramic.casting_mold; ceramic casting mold; equipment; ceramic workshop; tool; finished item; manufactured / unresolved; fabrication; ceramic; solid part; proposal; metal refining; pottery; not applicable; unassigned; finished item</x:v>
      </x:c>
      <x:c r="AE191" s="4" t="str">
        <x:v>Specific item proposed from author ceramics direction; functional and material limits remain unresolved.</x:v>
      </x:c>
      <x:c r="AF191" s="4" t="str">
        <x:v>Not applicable</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status/completeness",IF(AF191="T0","Raw entry feed; no production route","No production route listed"))</x:f>
        <x:v>No production route listed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"&amp;U192&amp;"; "&amp;AF192&amp;"; "&amp;AH192&amp;"; "&amp;AI192)</x:f>
        <x:v>proposal.ceramic.mortar; ceramic grinding mortar; equipment; ceramic workshop; tool; finished item; manufactured / unresolved; chemical processing; ceramic; solid part; proposal; glass and ceramics; pottery; not applicable; unassigned; finished item</x:v>
      </x:c>
      <x:c r="AE192" s="4" t="str">
        <x:v>Specific item proposed from author ceramics direction; functional and material limits remain unresolved.</x:v>
      </x:c>
      <x:c r="AF192" s="4" t="str">
        <x:v>Not applicable</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status/completeness",IF(AF192="T0","Raw entry feed; no production route","No production route listed"))</x:f>
        <x:v>No production route listed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"&amp;U193&amp;"; "&amp;AF193&amp;"; "&amp;AH193&amp;"; "&amp;AI193)</x:f>
        <x:v>proposal.ceramic.pestle; ceramic pestle; equipment; ceramic workshop; tool; finished item; manufactured / unresolved; chemical processing; ceramic; solid part; proposal; glass and ceramics; pottery; not applicable; unassigned; finished item</x:v>
      </x:c>
      <x:c r="AE193" s="4" t="str">
        <x:v>Specific item proposed from author ceramics direction; functional and material limits remain unresolved.</x:v>
      </x:c>
      <x:c r="AF193" s="4" t="str">
        <x:v>Not applicable</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status/completeness",IF(AF193="T0","Raw entry feed; no production route","No production route listed"))</x:f>
        <x:v>No production route listed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"&amp;U194&amp;"; "&amp;AF194&amp;"; "&amp;AH194&amp;"; "&amp;AI194)</x:f>
        <x:v>proposal.ceramic.firing_tray; ceramic firing tray; equipment; ceramic workshop; tool; finished item; manufactured / unresolved; glass and ceramics; ceramic; panel; proposal; pottery; not applicable; unassigned; finished item</x:v>
      </x:c>
      <x:c r="AE194" s="4" t="str">
        <x:v>Specific item proposed from author ceramics direction; functional and material limits remain unresolved.</x:v>
      </x:c>
      <x:c r="AF194" s="4" t="str">
        <x:v>Not applicable</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status/completeness",IF(AF194="T0","Raw entry feed; no production route","No production route listed"))</x:f>
        <x:v>No production route listed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"&amp;U195&amp;"; "&amp;AF195&amp;";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status/completeness",IF(AF195="T0","Raw entry feed; no production route","No production route listed"))</x:f>
        <x:v>No production route listed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"&amp;U196&amp;"; "&amp;AF196&amp;";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status/completeness",IF(AF196="T0","Raw entry feed; no production route","No production route listed"))</x:f>
        <x:v>No production route listed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"&amp;U197&amp;"; "&amp;AF197&amp;";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status/completeness",IF(AF197="T0","Raw entry feed; no production route","No production route listed"))</x:f>
        <x:v>No production route listed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"&amp;U198&amp;"; "&amp;AF198&amp;";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status/completeness",IF(AF198="T0","Raw entry feed; no production route","No production route listed"))</x:f>
        <x:v>No production route listed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"&amp;U199&amp;"; "&amp;AF199&amp;";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status/completeness",IF(AF199="T0","Raw entry feed; no production route","No production route listed"))</x:f>
        <x:v>No production route listed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"&amp;U200&amp;"; "&amp;AF200&amp;"; "&amp;AH200&amp;"; "&amp;AI200)</x:f>
        <x:v>proposal.ceramic.stopper; fitted ceramic stopper; crafting components; ceramic vessel fitting; container part; processed intermediate; manufactured / unresolved; sealing; ceramic; solid part; proposal; pottery; unassigned; not applicable; component</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status/completeness",IF(AF200="T0","Raw entry feed; no production route","No production route listed"))</x:f>
        <x:v>No production route listed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"&amp;U201&amp;"; "&amp;AF201&amp;";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status/completeness",IF(AF201="T0","Raw entry feed; no production route","No production route listed"))</x:f>
        <x:v>No production route listed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"&amp;U202&amp;"; "&amp;AF202&amp;";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status/completeness",IF(AF202="T0","Raw entry feed; no production route","No production route listed"))</x:f>
        <x:v>No production route listed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"&amp;U203&amp;"; "&amp;AF203&amp;";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status/completeness",IF(AF203="T0","Raw entry feed; no production route","No production route listed"))</x:f>
        <x:v>No production route listed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"&amp;U204&amp;"; "&amp;AF204&amp;"; "&amp;AH204&amp;"; "&amp;AI204)</x:f>
        <x:v>proposal.ceramic.votive_plaque; ceramic votive plaque; cultural objects; ceramic ceremonial; cultural object; finished item; manufactured / unresolved; devotion; ceramic; panel; proposal; decoration; pottery; not applicable; unassigned; finished item</x:v>
      </x:c>
      <x:c r="AE204" s="4" t="str">
        <x:v>Specific item proposed from author ceramics direction; functional and material limits remain unresolved.</x:v>
      </x:c>
      <x:c r="AF204" s="4" t="str">
        <x:v>Not applicable</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status/completeness",IF(AF204="T0","Raw entry feed; no production route","No production route listed"))</x:f>
        <x:v>No production route listed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"&amp;U205&amp;"; "&amp;AF205&amp;";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E205" s="4" t="str">
        <x:v>Specific item proposed from author ceramics direction; functional and material limits remain unresolved.</x:v>
      </x:c>
      <x:c r="AF205" s="4" t="str">
        <x:v>Not applicable</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status/completeness",IF(AF205="T0","Raw entry feed; no production route","No production route listed"))</x:f>
        <x:v>No production route listed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"&amp;U206&amp;"; "&amp;AF206&amp;";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E206" s="4" t="str">
        <x:v>Specific item proposed from author ceramics direction; functional and material limits remain unresolved.</x:v>
      </x:c>
      <x:c r="AF206" s="4" t="str">
        <x:v>Not applicable</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status/completeness",IF(AF206="T0","Raw entry feed; no production route","No production route listed"))</x:f>
        <x:v>No production route listed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"&amp;U207&amp;"; "&amp;AF207&amp;"; "&amp;AH207&amp;"; "&amp;AI207)</x:f>
        <x:v>proposal.ceramic.armor_insert; specialist ceramic armor insert; equipment; ceramic protection; armor; finished item; manufactured / unresolved; protection; ceramic; panel; proposal; pottery; not applicable; unassigned; finished item</x:v>
      </x:c>
      <x:c r="AE207" s="4" t="str">
        <x:v>Specific item proposed from author ceramics direction; functional and material limits remain unresolved.</x:v>
      </x:c>
      <x:c r="AF207" s="4" t="str">
        <x:v>Not applicable</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status/completeness",IF(AF207="T0","Raw entry feed; no production route","No production route listed"))</x:f>
        <x:v>No production route listed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"&amp;U208&amp;"; "&amp;AF208&amp;";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status/completeness",IF(AF208="T0","Raw entry feed; no production route","No production route listed"))</x:f>
        <x:v>No production route listed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"&amp;U209&amp;"; "&amp;AF209&amp;"; "&amp;AH209&amp;"; "&amp;AI209)</x:f>
        <x:v>proposal.ceramic.grinding_disc; ceramic abrasive disc; equipment; ceramic workshop; tool; finished item; manufactured / unresolved; surface finishing; ceramic; solid part; proposal; pottery; not applicable; unassigned; finished item</x:v>
      </x:c>
      <x:c r="AE209" s="4" t="str">
        <x:v>Specific item proposed from author ceramics direction; functional and material limits remain unresolved.</x:v>
      </x:c>
      <x:c r="AF209" s="4" t="str">
        <x:v>Not applicable</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status/completeness",IF(AF209="T0","Raw entry feed; no production route","No production route listed"))</x:f>
        <x:v>No production route listed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"&amp;U210&amp;"; "&amp;AF210&amp;";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status/completeness",IF(AF210="T0","Raw entry feed; no production route","No production route listed"))</x:f>
        <x:v>No production route listed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"&amp;U211&amp;"; "&amp;AF211&amp;"; "&amp;AH211&amp;"; "&amp;AI211)</x:f>
        <x:v>proposal.fire.oxygen_stone; oxygen-releasing stone; resources; special stone; raw material; raw; geological; atmospheric support; mineral; rock; author direction; ; t0; not applicable; material</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status/completeness",IF(AF211="T0","Raw entry feed; no production route","No production route listed"))</x:f>
        <x:v>Raw entry feed; no production route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"&amp;U212&amp;"; "&amp;AF212&amp;"; "&amp;AH212&amp;"; "&amp;AI212)</x:f>
        <x:v>proposal.fire.glow_stone; glowing stone; resources; special stone; raw material; raw; geological; illumination; mineral; rock; author direction; ; t0; not applicable; material</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status/completeness",IF(AF212="T0","Raw entry feed; no production route","No production route listed"))</x:f>
        <x:v>Raw entry feed; no production route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"&amp;U213&amp;"; "&amp;AF213&amp;"; "&amp;AH213&amp;"; "&amp;AI213)</x:f>
        <x:v>proposal.fire.flint; flint stone; resources; special stone; raw material; raw; geological; ignition; mineral; rock; author direction; tool fabrication; t0; not applicable; material</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status/completeness",IF(AF213="T0","Raw entry feed; no production route","No production route listed"))</x:f>
        <x:v>Raw entry feed; no production route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"&amp;U214&amp;"; "&amp;AF214&amp;"; "&amp;AH214&amp;"; "&amp;AI214)</x:f>
        <x:v>proposal.fire.striker; flint striking tool; equipment; ignition tool; tool; finished item; manufactured / unresolved; ignition; metal or shell; assembly; proposal; ; not applicable; unassigned; finished item</x:v>
      </x:c>
      <x:c r="AE214" s="4" t="str">
        <x:v>Author direction establishes stone families. Source mechanisms remain proposal-stage; specific equipment functions are proposals.</x:v>
      </x:c>
      <x:c r="AF214" s="4" t="str">
        <x:v>Not applicable</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status/completeness",IF(AF214="T0","Raw entry feed; no production route","No production route listed"))</x:f>
        <x:v>No production route listed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"&amp;U215&amp;"; "&amp;AF215&amp;"; "&amp;AH215&amp;"; "&amp;AI215)</x:f>
        <x:v>proposal.fire.chitin_char; chitin-char; resources; fire fuel; processed material; processed intermediate; fauna; fuel; carbonaceous material; solid piece; source proposal; ; unassigned; not applicable; material</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status/completeness",IF(AF215="T0","Raw entry feed; no production route","No production route listed"))</x:f>
        <x:v>No production route listed</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"&amp;U216&amp;"; "&amp;AF216&amp;"; "&amp;AH216&amp;"; "&amp;AI216)</x:f>
        <x:v>proposal.fire.cooking_pot; ceramic cooking pot; equipment; cooking vessel; tool; finished item; manufactured / unresolved; cooking; ceramic; solid part; proposal; ; not applicable; unassigned; finished item</x:v>
      </x:c>
      <x:c r="AE216" s="4" t="str">
        <x:v>Author direction establishes stone families. Source mechanisms remain proposal-stage; specific equipment functions are proposals.</x:v>
      </x:c>
      <x:c r="AF216" s="4" t="str">
        <x:v>Not applicable</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status/completeness",IF(AF216="T0","Raw entry feed; no production route","No production route listed"))</x:f>
        <x:v>No production route listed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"&amp;U217&amp;"; "&amp;AF217&amp;"; "&amp;AH217&amp;"; "&amp;AI217)</x:f>
        <x:v>proposal.fire.cooking_slab; cooking stone slab; equipment; cooking tool; tool; processed intermediate; geological; cooking; mineral; panel; proposal; ; not applicable; unassigned; finished item</x:v>
      </x:c>
      <x:c r="AE217" s="4" t="str">
        <x:v>Author direction establishes stone families. Source mechanisms remain proposal-stage; specific equipment functions are proposals.</x:v>
      </x:c>
      <x:c r="AF217" s="4" t="str">
        <x:v>Not applicable</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status/completeness",IF(AF217="T0","Raw entry feed; no production route","No production route listed"))</x:f>
        <x:v>No production route listed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"&amp;U218&amp;"; "&amp;AF218&amp;"; "&amp;AH218&amp;"; "&amp;AI218)</x:f>
        <x:v>proposal.fire.lidded_pan; lidded cooking pan; equipment; cooking vessel; tool; finished item; manufactured / unresolved; cooking; metal; assembly; proposal; ; not applicable; unassigned; finished item</x:v>
      </x:c>
      <x:c r="AE218" s="4" t="str">
        <x:v>Author direction establishes stone families. Source mechanisms remain proposal-stage; specific equipment functions are proposals.</x:v>
      </x:c>
      <x:c r="AF218" s="4" t="str">
        <x:v>Not applicable</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status/completeness",IF(AF218="T0","Raw entry feed; no production route","No production route listed"))</x:f>
        <x:v>No production route listed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"&amp;U219&amp;"; "&amp;AF219&amp;"; "&amp;AH219&amp;"; "&amp;AI219)</x:f>
        <x:v>proposal.fire.rack; cooking rack; equipment; cooking tool; tool; finished item; manufactured / unresolved; cooking; metal; assembly; proposal; ; not applicable; unassigned; finished item</x:v>
      </x:c>
      <x:c r="AE219" s="4" t="str">
        <x:v>Author direction establishes stone families. Source mechanisms remain proposal-stage; specific equipment functions are proposals.</x:v>
      </x:c>
      <x:c r="AF219" s="4" t="str">
        <x:v>Not applicable</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status/completeness",IF(AF219="T0","Raw entry feed; no production route","No production route listed"))</x:f>
        <x:v>No production route listed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"&amp;U220&amp;"; "&amp;AF220&amp;"; "&amp;AH220&amp;"; "&amp;AI220)</x:f>
        <x:v>proposal.fire.pot_stand; cooking pot stand; equipment; cooking tool; tool; finished item; manufactured / unresolved; cooking; metal; assembly; proposal; ; not applicable; unassigned; finished item</x:v>
      </x:c>
      <x:c r="AE220" s="4" t="str">
        <x:v>Author direction establishes stone families. Source mechanisms remain proposal-stage; specific equipment functions are proposals.</x:v>
      </x:c>
      <x:c r="AF220" s="4" t="str">
        <x:v>Not applicable</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status/completeness",IF(AF220="T0","Raw entry feed; no production route","No production route listed"))</x:f>
        <x:v>No production route listed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"&amp;U221&amp;"; "&amp;AF221&amp;"; "&amp;AH221&amp;"; "&amp;AI221)</x:f>
        <x:v>proposal.fire.tongs; cooking tongs; equipment; cooking tool; tool; finished item; manufactured / unresolved; cooking; metal; assembly; proposal; ; not applicable; unassigned; finished item</x:v>
      </x:c>
      <x:c r="AE221" s="4" t="str">
        <x:v>Author direction establishes stone families. Source mechanisms remain proposal-stage; specific equipment functions are proposals.</x:v>
      </x:c>
      <x:c r="AF221" s="4" t="str">
        <x:v>Not applicable</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status/completeness",IF(AF221="T0","Raw entry feed; no production route","No production route listed"))</x:f>
        <x:v>No production route listed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"&amp;U222&amp;"; "&amp;AF222&amp;"; "&amp;AH222&amp;"; "&amp;AI222)</x:f>
        <x:v>proposal.fire.firebox; managed cooking firebox; equipment; fire management; tool; finished item; manufactured / unresolved; cooking; mixed / unresolved; assembly; proposal; fire management; not applicable; unassigned; finished item</x:v>
      </x:c>
      <x:c r="AE222" s="4" t="str">
        <x:v>Author direction establishes stone families. Source mechanisms remain proposal-stage; specific equipment functions are proposals.</x:v>
      </x:c>
      <x:c r="AF222" s="4" t="str">
        <x:v>Not applicable</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status/completeness",IF(AF222="T0","Raw entry feed; no production route","No production route listed"))</x:f>
        <x:v>No production route listed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"&amp;U223&amp;"; "&amp;AF223&amp;"; "&amp;AH223&amp;"; "&amp;AI223)</x:f>
        <x:v>proposal.fire.wind_baffle; cooking wind baffle; crafting components; fire management; crafting component; processed intermediate; manufactured / unresolved; fire management; metal; panel; proposal; cooking; unassigned; not applicable; component</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status/completeness",IF(AF223="T0","Raw entry feed; no production route","No production route listed"))</x:f>
        <x:v>No production route listed</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"&amp;U224&amp;"; "&amp;AF224&amp;"; "&amp;AH224&amp;"; "&amp;AI224)</x:f>
        <x:v>proposal.fire.draft_collar; cooking draft collar; crafting components; fire management; crafting component; processed intermediate; manufactured / unresolved; fire management; ceramic; solid part; proposal; cooking; unassigned; not applicable; component</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status/completeness",IF(AF224="T0","Raw entry feed; no production route","No production route listed"))</x:f>
        <x:v>No production route listed</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"&amp;U225&amp;"; "&amp;AF225&amp;"; "&amp;AH225&amp;"; "&amp;AI225)</x:f>
        <x:v>proposal.fire.heat_shroud; cooking heat shroud; crafting components; fire management; crafting component; processed intermediate; manufactured / unresolved; cooking; ceramic; panel; proposal; protective fabrication; unassigned; not applicable; component</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status/completeness",IF(AF225="T0","Raw entry feed; no production route","No production route listed"))</x:f>
        <x:v>No production route listed</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"&amp;U226&amp;"; "&amp;AF226&amp;"; "&amp;AH226&amp;"; "&amp;AI226)</x:f>
        <x:v>proposal.fire.glow_holder; shuttered glow-stone holder; equipment; mineral light; tool; finished item; manufactured / unresolved; illumination; mixed / unresolved; assembly; proposal; ; not applicable; unassigned; finished item</x:v>
      </x:c>
      <x:c r="AE226" s="4" t="str">
        <x:v>Author direction establishes stone families. Source mechanisms remain proposal-stage; specific equipment functions are proposals.</x:v>
      </x:c>
      <x:c r="AF226" s="4" t="str">
        <x:v>Not applicable</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status/completeness",IF(AF226="T0","Raw entry feed; no production route","No production route listed"))</x:f>
        <x:v>No production route listed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"&amp;U227&amp;"; "&amp;AF227&amp;";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1</x:v>
      </x:c>
      <x:c r="AL227" s="4" t="n">
        <x:f>COUNTIFS('Material routes'!$D$6:$D$1005,A227,'Material routes'!$C$6:$C$1005,"Tool candidate")</x:f>
        <x:v>0</x:v>
      </x:c>
      <x:c r="AM227" s="4" t="str">
        <x:f>IF(AJ227&gt;0,"Route listed; review status/completeness",IF(AF227="T0","Raw entry feed; no production route","No production route listed"))</x:f>
        <x:v>Route listed; review status/completeness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"&amp;U228&amp;"; "&amp;AF228&amp;";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1</x:v>
      </x:c>
      <x:c r="AL228" s="4" t="n">
        <x:f>COUNTIFS('Material routes'!$D$6:$D$1005,A228,'Material routes'!$C$6:$C$1005,"Tool candidate")</x:f>
        <x:v>0</x:v>
      </x:c>
      <x:c r="AM228" s="4" t="str">
        <x:f>IF(AJ228&gt;0,"Route listed; review status/completeness",IF(AF228="T0","Raw entry feed; no production route","No production route listed"))</x:f>
        <x:v>Route listed; review status/completeness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"&amp;U229&amp;"; "&amp;AF229&amp;";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0</x:v>
      </x:c>
      <x:c r="AL229" s="4" t="n">
        <x:f>COUNTIFS('Material routes'!$D$6:$D$1005,A229,'Material routes'!$C$6:$C$1005,"Tool candidate")</x:f>
        <x:v>0</x:v>
      </x:c>
      <x:c r="AM229" s="4" t="str">
        <x:f>IF(AJ229&gt;0,"Route listed; review status/completeness",IF(AF229="T0","Raw entry feed; no production route","No production route listed"))</x:f>
        <x:v>Route listed; review status/completeness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"&amp;U230&amp;"; "&amp;AF230&amp;";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status/completeness",IF(AF230="T0","Raw entry feed; no production route","No production route listed"))</x:f>
        <x:v>No production route listed</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"&amp;U231&amp;"; "&amp;AF231&amp;";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status/completeness",IF(AF231="T0","Raw entry feed; no production route","No production route listed"))</x:f>
        <x:v>No production route listed</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"&amp;U232&amp;"; "&amp;AF232&amp;"; "&amp;AH232&amp;"; "&amp;AI232)</x:f>
        <x:v>proposal.lubricant.graphite_grease; graphite faunal grease; resources; finished lubricant; chemical material; finished item; fauna; lubrication; biological and mineral mixture; paste; proposal; grease; lubricant; fauna chemistry; equipment repair; unassigned; not applicable; material</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c r="AI232" s="4" t="str">
        <x:v>Material</x:v>
      </x:c>
      <x:c r="AJ232" s="4" t="n">
        <x:f>COUNTIFS('Material routes'!$D$6:$D$1005,A232,'Material routes'!$C$6:$C$1005,"Output")</x:f>
        <x:v>0</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status/completeness",IF(AF232="T0","Raw entry feed; no production route","No production route listed"))</x:f>
        <x:v>No production route listed</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"&amp;U233&amp;"; "&amp;AF233&amp;";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status/completeness",IF(AF233="T0","Raw entry feed; no production route","No production route listed"))</x:f>
        <x:v>No production route listed</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"&amp;U234&amp;"; "&amp;AF234&amp;"; "&amp;AH234&amp;"; "&amp;AI234)</x:f>
        <x:v>proposal.lubricant.precision_oil; fine mechanism oil; resources; finished lubricant; chemical material; finished item; fauna; lubrication; biological chemical; liquid; proposal; grease; lubricant; fauna chemistry; equipment repair; unassigned; not applicable; material</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c r="AI234" s="4" t="str">
        <x:v>Material</x:v>
      </x:c>
      <x:c r="AJ234" s="4" t="n">
        <x:f>COUNTIFS('Material routes'!$D$6:$D$1005,A234,'Material routes'!$C$6:$C$1005,"Output")</x:f>
        <x:v>0</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0</x:v>
      </x:c>
      <x:c r="AL234" s="4" t="n">
        <x:f>COUNTIFS('Material routes'!$D$6:$D$1005,A234,'Material routes'!$C$6:$C$1005,"Tool candidate")</x:f>
        <x:v>0</x:v>
      </x:c>
      <x:c r="AM234" s="4" t="str">
        <x:f>IF(AJ234&gt;0,"Route listed; review status/completeness",IF(AF234="T0","Raw entry feed; no production route","No production route listed"))</x:f>
        <x:v>No production route listed</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"&amp;U235&amp;"; "&amp;AF235&amp;"; "&amp;AH235&amp;"; "&amp;AI235)</x:f>
        <x:v>proposal.wind.turbine; salvaged wind turbine; equipment; wind machine; machine; finished item; recovered machinery; wind power; mixed / unresolved; assembly; author direction; machinery drive; wind; sail; not applicable; unassigned; finished item</x:v>
      </x:c>
      <x:c r="AE235" s="4" t="str">
        <x:v>Author direction for equipment families; proposed components and unimplemented behavior remain explicitly separate.</x:v>
      </x:c>
      <x:c r="AF235" s="4" t="str">
        <x:v>Not applicable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status/completeness",IF(AF235="T0","Raw entry feed; no production route","No production route listed"))</x:f>
        <x:v>No production route listed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"&amp;U236&amp;"; "&amp;AF236&amp;";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0</x:v>
      </x:c>
      <x:c r="AL236" s="4" t="n">
        <x:f>COUNTIFS('Material routes'!$D$6:$D$1005,A236,'Material routes'!$C$6:$C$1005,"Tool candidate")</x:f>
        <x:v>0</x:v>
      </x:c>
      <x:c r="AM236" s="4" t="str">
        <x:f>IF(AJ236&gt;0,"Route listed; review status/completeness",IF(AF236="T0","Raw entry feed; no production route","No production route listed"))</x:f>
        <x:v>Route listed; review status/completeness</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"&amp;U237&amp;"; "&amp;AF237&amp;";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E237" s="4" t="str">
        <x:v>Author direction for equipment families; proposed components and unimplemented behavior remain explicitly separate.</x:v>
      </x:c>
      <x:c r="AF237" s="4" t="str">
        <x:v>Not applicable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status/completeness",IF(AF237="T0","Raw entry feed; no production route","No production route listed"))</x:f>
        <x:v>No production route listed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"&amp;U238&amp;"; "&amp;AF238&amp;";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E238" s="4" t="str">
        <x:v>Author direction for equipment families; proposed components and unimplemented behavior remain explicitly separate.</x:v>
      </x:c>
      <x:c r="AF238" s="4" t="str">
        <x:v>Not applicable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status/completeness",IF(AF238="T0","Raw entry feed; no production route","No production route listed"))</x:f>
        <x:v>No production route listed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"&amp;U239&amp;"; "&amp;AF239&amp;";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status/completeness",IF(AF239="T0","Raw entry feed; no production route","No production route listed"))</x:f>
        <x:v>No production route listed</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"&amp;U240&amp;"; "&amp;AF240&amp;";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status/completeness",IF(AF240="T0","Raw entry feed; no production route","No production route listed"))</x:f>
        <x:v>No production route listed</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"&amp;U241&amp;"; "&amp;AF241&amp;";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status/completeness",IF(AF241="T0","Raw entry feed; no production route","No production route listed"))</x:f>
        <x:v>No production route listed</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"&amp;U242&amp;"; "&amp;AF242&amp;";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status/completeness",IF(AF242="T0","Raw entry feed; no production route","No production route listed"))</x:f>
        <x:v>No production route listed</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"&amp;U243&amp;"; "&amp;AF243&amp;";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status/completeness",IF(AF243="T0","Raw entry feed; no production route","No production route listed"))</x:f>
        <x:v>No production route listed</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"&amp;U244&amp;"; "&amp;AF244&amp;";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status/completeness",IF(AF244="T0","Raw entry feed; no production route","No production route listed"))</x:f>
        <x:v>No production route listed</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"&amp;U245&amp;"; "&amp;AF245&amp;";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E245" s="4" t="str">
        <x:v>Specific parts and protective properties remain proposals; ancient-material scarcity is established author direction.</x:v>
      </x:c>
      <x:c r="AF245" s="4" t="str">
        <x:v>Not applicable</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status/completeness",IF(AF245="T0","Raw entry feed; no production route","No production route listed"))</x:f>
        <x:v>No production route listed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"&amp;U246&amp;"; "&amp;AF246&amp;";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E246" s="4" t="str">
        <x:v>Specific parts and protective properties remain proposals; ancient-material scarcity is established author direction.</x:v>
      </x:c>
      <x:c r="AF246" s="4" t="str">
        <x:v>Not applicable</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status/completeness",IF(AF246="T0","Raw entry feed; no production route","No production route listed"))</x:f>
        <x:v>No production route listed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"&amp;U247&amp;"; "&amp;AF247&amp;";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status/completeness",IF(AF247="T0","Raw entry feed; no production route","No production route listed"))</x:f>
        <x:v>No production route listed</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"&amp;U248&amp;"; "&amp;AF248&amp;";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status/completeness",IF(AF248="T0","Raw entry feed; no production route","No production route listed"))</x:f>
        <x:v>No production route listed</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"&amp;U249&amp;"; "&amp;AF249&amp;";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status/completeness",IF(AF249="T0","Raw entry feed; no production route","No production route listed"))</x:f>
        <x:v>No production route listed</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"&amp;U250&amp;"; "&amp;AF250&amp;";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status/completeness",IF(AF250="T0","Raw entry feed; no production route","No production route listed"))</x:f>
        <x:v>No production route listed</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"&amp;U251&amp;"; "&amp;AF251&amp;";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E251" s="4" t="str">
        <x:v>Specific parts and protective properties remain proposals; ancient-material scarcity is established author direction.</x:v>
      </x:c>
      <x:c r="AF251" s="4" t="str">
        <x:v>Not applicable</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status/completeness",IF(AF251="T0","Raw entry feed; no production route","No production route listed"))</x:f>
        <x:v>No production route listed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"&amp;U252&amp;"; "&amp;AF252&amp;";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status/completeness",IF(AF252="T0","Raw entry feed; no production route","No production route listed"))</x:f>
        <x:v>No production route listed</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"&amp;U253&amp;"; "&amp;AF253&amp;";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status/completeness",IF(AF253="T0","Raw entry feed; no production route","No production route listed"))</x:f>
        <x:v>No production route listed</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"&amp;U254&amp;"; "&amp;AF254&amp;";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status/completeness",IF(AF254="T0","Raw entry feed; no production route","No production route listed"))</x:f>
        <x:v>No production route listed</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"&amp;U255&amp;"; "&amp;AF255&amp;";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status/completeness",IF(AF255="T0","Raw entry feed; no production route","No production route listed"))</x:f>
        <x:v>No production route listed</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"&amp;U256&amp;"; "&amp;AF256&amp;";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status/completeness",IF(AF256="T0","Raw entry feed; no production route","No production route listed"))</x:f>
        <x:v>No production route listed</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"&amp;U257&amp;"; "&amp;AF257&amp;";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status/completeness",IF(AF257="T0","Raw entry feed; no production route","No production route listed"))</x:f>
        <x:v>No production route listed</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"&amp;U258&amp;"; "&amp;AF258&amp;";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status/completeness",IF(AF258="T0","Raw entry feed; no production route","No production route listed"))</x:f>
        <x:v>No production route listed</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"&amp;U259&amp;"; "&amp;AF259&amp;";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status/completeness",IF(AF259="T0","Raw entry feed; no production route","No production route listed"))</x:f>
        <x:v>No production route listed</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"&amp;U260&amp;"; "&amp;AF260&amp;";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E260" s="4" t="str">
        <x:v>Specific parts and protective properties remain proposals; ancient-material scarcity is established author direction.</x:v>
      </x:c>
      <x:c r="AF260" s="4" t="str">
        <x:v>Not applicable</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status/completeness",IF(AF260="T0","Raw entry feed; no production route","No production route listed"))</x:f>
        <x:v>No production route listed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"&amp;U261&amp;"; "&amp;AF261&amp;"; "&amp;AH261&amp;"; "&amp;AI261)</x:f>
        <x:v>proposal.legger.shell_guard; chitin chassis guard; equipment; legger armor; armor; finished item; manufactured / unresolved; protection; shell / chitin; panel; proposal; legger; leger; companion replacement part; not applicable; unassigned; finished item</x:v>
      </x:c>
      <x:c r="AE261" s="4" t="str">
        <x:v>Specific parts and protective properties remain proposals; ancient-material scarcity is established author direction.</x:v>
      </x:c>
      <x:c r="AF261" s="4" t="str">
        <x:v>Not applicable</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status/completeness",IF(AF261="T0","Raw entry feed; no production route","No production route listed"))</x:f>
        <x:v>No production route listed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"&amp;U262&amp;"; "&amp;AF262&amp;"; "&amp;AH262&amp;"; "&amp;AI262)</x:f>
        <x:v>proposal.legger.iron_guard; iron chassis guard; equipment; legger armor; armor; finished item; manufactured / unresolved; protection; metal; panel; proposal; legger; leger; companion replacement part; not applicable; unassigned; finished item</x:v>
      </x:c>
      <x:c r="AE262" s="4" t="str">
        <x:v>Specific parts and protective properties remain proposals; ancient-material scarcity is established author direction.</x:v>
      </x:c>
      <x:c r="AF262" s="4" t="str">
        <x:v>Not applicable</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status/completeness",IF(AF262="T0","Raw entry feed; no production route","No production route listed"))</x:f>
        <x:v>No production route listed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"&amp;U263&amp;"; "&amp;AF263&amp;";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E263" s="4" t="str">
        <x:v>Specific parts and protective properties remain proposals; ancient-material scarcity is established author direction.</x:v>
      </x:c>
      <x:c r="AF263" s="4" t="str">
        <x:v>Not applicable</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status/completeness",IF(AF263="T0","Raw entry feed; no production route","No production route listed"))</x:f>
        <x:v>No production route listed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"&amp;U264&amp;"; "&amp;AF264&amp;";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E264" s="4" t="str">
        <x:v>Specific parts and protective properties remain proposals; ancient-material scarcity is established author direction.</x:v>
      </x:c>
      <x:c r="AF264" s="4" t="str">
        <x:v>Not applicable</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status/completeness",IF(AF264="T0","Raw entry feed; no production route","No production route listed"))</x:f>
        <x:v>No production route listed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"&amp;U265&amp;"; "&amp;AF265&amp;";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status/completeness",IF(AF265="T0","Raw entry feed; no production route","No production route listed"))</x:f>
        <x:v>No production route listed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"&amp;U266&amp;"; "&amp;AF266&amp;";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E266" s="4" t="str">
        <x:v>Specific parts and protective properties remain proposals; ancient-material scarcity is established author direction.</x:v>
      </x:c>
      <x:c r="AF266" s="4" t="str">
        <x:v>Not applicable</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status/completeness",IF(AF266="T0","Raw entry feed; no production route","No production route listed"))</x:f>
        <x:v>No production route listed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"&amp;U267&amp;"; "&amp;AF267&amp;";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status/completeness",IF(AF267="T0","Raw entry feed; no production route","No production route listed"))</x:f>
        <x:v>No production route listed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"&amp;U268&amp;"; "&amp;AF268&amp;";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E268" s="4" t="str">
        <x:v>Specific parts and protective properties remain proposals; ancient-material scarcity is established author direction.</x:v>
      </x:c>
      <x:c r="AF268" s="4" t="str">
        <x:v>Not applicable</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status/completeness",IF(AF268="T0","Raw entry feed; no production route","No production route listed"))</x:f>
        <x:v>No production route listed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"&amp;U269&amp;"; "&amp;AF269&amp;";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E269" s="4" t="str">
        <x:v>Specific parts and protective properties remain proposals; ancient-material scarcity is established author direction.</x:v>
      </x:c>
      <x:c r="AF269" s="4" t="str">
        <x:v>Not applicable</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status/completeness",IF(AF269="T0","Raw entry feed; no production route","No production route listed"))</x:f>
        <x:v>No production route listed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"&amp;U270&amp;"; "&amp;AF270&amp;";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E270" s="4" t="str">
        <x:v>Specific parts and protective properties remain proposals; ancient-material scarcity is established author direction.</x:v>
      </x:c>
      <x:c r="AF270" s="4" t="str">
        <x:v>Not applicable</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status/completeness",IF(AF270="T0","Raw entry feed; no production route","No production route listed"))</x:f>
        <x:v>No production route listed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"&amp;U271&amp;"; "&amp;AF271&amp;";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E271" s="4" t="str">
        <x:v>Specific parts and protective properties remain proposals; ancient-material scarcity is established author direction.</x:v>
      </x:c>
      <x:c r="AF271" s="4" t="str">
        <x:v>Not applicable</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status/completeness",IF(AF271="T0","Raw entry feed; no production route","No production route listed"))</x:f>
        <x:v>No production route listed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"&amp;U272&amp;"; "&amp;AF272&amp;";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status/completeness",IF(AF272="T0","Raw entry feed; no production route","No production route listed"))</x:f>
        <x:v>No production route listed</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"&amp;U273&amp;"; "&amp;AF273&amp;";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status/completeness",IF(AF273="T0","Raw entry feed; no production route","No production route listed"))</x:f>
        <x:v>No production route listed</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"&amp;U274&amp;"; "&amp;AF274&amp;";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E274" s="4" t="str">
        <x:v>Specific parts and protective properties remain proposals; ancient-material scarcity is established author direction.</x:v>
      </x:c>
      <x:c r="AF274" s="4" t="str">
        <x:v>Not applicable</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status/completeness",IF(AF274="T0","Raw entry feed; no production route","No production route listed"))</x:f>
        <x:v>No production route listed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"&amp;U275&amp;"; "&amp;AF275&amp;";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status/completeness",IF(AF275="T0","Raw entry feed; no production route","No production route listed"))</x:f>
        <x:v>No production route listed</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"&amp;U276&amp;"; "&amp;AF276&amp;";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status/completeness",IF(AF276="T0","Raw entry feed; no production route","No production route listed"))</x:f>
        <x:v>No production route listed</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"&amp;U277&amp;"; "&amp;AF277&amp;";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status/completeness",IF(AF277="T0","Raw entry feed; no production route","No production route listed"))</x:f>
        <x:v>No production route listed</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"&amp;U278&amp;"; "&amp;AF278&amp;";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status/completeness",IF(AF278="T0","Raw entry feed; no production route","No production route listed"))</x:f>
        <x:v>No production route listed</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"&amp;U279&amp;"; "&amp;AF279&amp;";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status/completeness",IF(AF279="T0","Raw entry feed; no production route","No production route listed"))</x:f>
        <x:v>No production route listed</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"&amp;U280&amp;"; "&amp;AF280&amp;";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status/completeness",IF(AF280="T0","Raw entry feed; no production route","No production route listed"))</x:f>
        <x:v>No production route listed</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"&amp;U281&amp;"; "&amp;AF281&amp;";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status/completeness",IF(AF281="T0","Raw entry feed; no production route","No production route listed"))</x:f>
        <x:v>No production route listed</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"&amp;U282&amp;"; "&amp;AF282&amp;";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status/completeness",IF(AF282="T0","Raw entry feed; no production route","No production route listed"))</x:f>
        <x:v>No production route listed</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"&amp;U283&amp;"; "&amp;AF283&amp;";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status/completeness",IF(AF283="T0","Raw entry feed; no production route","No production route listed"))</x:f>
        <x:v>No production route listed</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"&amp;U284&amp;"; "&amp;AF284&amp;";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status/completeness",IF(AF284="T0","Raw entry feed; no production route","No production route listed"))</x:f>
        <x:v>No production route listed</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"&amp;U285&amp;"; "&amp;AF285&amp;";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status/completeness",IF(AF285="T0","Raw entry feed; no production route","No production route listed"))</x:f>
        <x:v>No production route listed</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"&amp;U286&amp;"; "&amp;AF286&amp;";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status/completeness",IF(AF286="T0","Raw entry feed; no production route","No production route listed"))</x:f>
        <x:v>No production route listed</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"&amp;U287&amp;"; "&amp;AF287&amp;";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E287" s="4" t="str">
        <x:v>Specific parts and protective properties remain proposals; ancient-material scarcity is established author direction.</x:v>
      </x:c>
      <x:c r="AF287" s="4" t="str">
        <x:v>Not applicable</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status/completeness",IF(AF287="T0","Raw entry feed; no production route","No production route listed"))</x:f>
        <x:v>No production route listed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"&amp;U288&amp;"; "&amp;AF288&amp;";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status/completeness",IF(AF288="T0","Raw entry feed; no production route","No production route listed"))</x:f>
        <x:v>No production route listed</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"&amp;U289&amp;"; "&amp;AF289&amp;";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E289" s="4" t="str">
        <x:v>Specific parts and protective properties remain proposals; ancient-material scarcity is established author direction.</x:v>
      </x:c>
      <x:c r="AF289" s="4" t="str">
        <x:v>Not applicable</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status/completeness",IF(AF289="T0","Raw entry feed; no production route","No production route listed"))</x:f>
        <x:v>No production route listed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"&amp;U290&amp;"; "&amp;AF290&amp;";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E290" s="4" t="str">
        <x:v>Specific parts and protective properties remain proposals; ancient-material scarcity is established author direction.</x:v>
      </x:c>
      <x:c r="AF290" s="4" t="str">
        <x:v>Not applicable</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status/completeness",IF(AF290="T0","Raw entry feed; no production route","No production route listed"))</x:f>
        <x:v>No production route listed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"&amp;U291&amp;"; "&amp;AF291&amp;";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E291" s="4" t="str">
        <x:v>Specific parts and protective properties remain proposals; ancient-material scarcity is established author direction.</x:v>
      </x:c>
      <x:c r="AF291" s="4" t="str">
        <x:v>Not applicable</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status/completeness",IF(AF291="T0","Raw entry feed; no production route","No production route listed"))</x:f>
        <x:v>No production route listed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"&amp;U292&amp;"; "&amp;AF292&amp;";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E292" s="4" t="str">
        <x:v>Specific parts and protective properties remain proposals; ancient-material scarcity is established author direction.</x:v>
      </x:c>
      <x:c r="AF292" s="4" t="str">
        <x:v>Not applicable</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status/completeness",IF(AF292="T0","Raw entry feed; no production route","No production route listed"))</x:f>
        <x:v>No production route listed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"&amp;U293&amp;"; "&amp;AF293&amp;"; "&amp;AH293&amp;"; "&amp;AI293)</x:f>
        <x:v>proposal.legger.edge_guard; chassis leading-edge guard; equipment; legger armor; armor; finished item; manufactured / unresolved; protection; metal; panel; proposal; legger; leger; companion replacement part; not applicable; unassigned; finished item</x:v>
      </x:c>
      <x:c r="AE293" s="4" t="str">
        <x:v>Specific parts and protective properties remain proposals; ancient-material scarcity is established author direction.</x:v>
      </x:c>
      <x:c r="AF293" s="4" t="str">
        <x:v>Not applicable</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status/completeness",IF(AF293="T0","Raw entry feed; no production route","No production route listed"))</x:f>
        <x:v>No production route listed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"&amp;U294&amp;"; "&amp;AF294&amp;";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E294" s="4" t="str">
        <x:v>Specific parts and protective properties remain proposals; ancient-material scarcity is established author direction.</x:v>
      </x:c>
      <x:c r="AF294" s="4" t="str">
        <x:v>Not applicable</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status/completeness",IF(AF294="T0","Raw entry feed; no production route","No production route listed"))</x:f>
        <x:v>No production route listed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"&amp;U295&amp;"; "&amp;AF295&amp;"; "&amp;AH295&amp;"; "&amp;AI295)</x:f>
        <x:v>proposal.legger.seam_guard; armor seam-cover strip; equipment; legger armor; armor; finished item; manufactured / unresolved; protection; metal; panel; proposal; legger; leger; companion replacement part; not applicable; unassigned; finished item</x:v>
      </x:c>
      <x:c r="AE295" s="4" t="str">
        <x:v>Specific parts and protective properties remain proposals; ancient-material scarcity is established author direction.</x:v>
      </x:c>
      <x:c r="AF295" s="4" t="str">
        <x:v>Not applicable</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status/completeness",IF(AF295="T0","Raw entry feed; no production route","No production route listed"))</x:f>
        <x:v>No production route listed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"&amp;U296&amp;"; "&amp;AF296&amp;";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E296" s="4" t="str">
        <x:v>Specific parts and protective properties remain proposals; ancient-material scarcity is established author direction.</x:v>
      </x:c>
      <x:c r="AF296" s="4" t="str">
        <x:v>Not applicable</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status/completeness",IF(AF296="T0","Raw entry feed; no production route","No production route listed"))</x:f>
        <x:v>No production route listed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"&amp;U297&amp;"; "&amp;AF297&amp;";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E297" s="4" t="str">
        <x:v>Specific parts and protective properties remain proposals; ancient-material scarcity is established author direction.</x:v>
      </x:c>
      <x:c r="AF297" s="4" t="str">
        <x:v>Not applicable</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status/completeness",IF(AF297="T0","Raw entry feed; no production route","No production route listed"))</x:f>
        <x:v>No production route listed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"&amp;U298&amp;"; "&amp;AF298&amp;";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status/completeness",IF(AF298="T0","Raw entry feed; no production route","No production route listed"))</x:f>
        <x:v>No production route listed</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"&amp;U299&amp;"; "&amp;AF299&amp;";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status/completeness",IF(AF299="T0","Raw entry feed; no production route","No production route listed"))</x:f>
        <x:v>No production route listed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"&amp;U300&amp;"; "&amp;AF300&amp;";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status/completeness",IF(AF300="T0","Raw entry feed; no production route","No production route listed"))</x:f>
        <x:v>No production route listed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"&amp;U301&amp;"; "&amp;AF301&amp;";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status/completeness",IF(AF301="T0","Raw entry feed; no production route","No production route listed"))</x:f>
        <x:v>No production route listed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"&amp;U302&amp;"; "&amp;AF302&amp;";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status/completeness",IF(AF302="T0","Raw entry feed; no production route","No production route listed"))</x:f>
        <x:v>No production route listed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"&amp;U303&amp;"; "&amp;AF303&amp;";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E303" s="4" t="str">
        <x:v>Specific parts and protective properties remain proposals; ancient-material scarcity is established author direction.</x:v>
      </x:c>
      <x:c r="AF303" s="4" t="str">
        <x:v>Not applicable</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status/completeness",IF(AF303="T0","Raw entry feed; no production route","No production route listed"))</x:f>
        <x:v>No production route listed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"&amp;U304&amp;"; "&amp;AF304&amp;";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status/completeness",IF(AF304="T0","Raw entry feed; no production route","No production route listed"))</x:f>
        <x:v>No production route listed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"&amp;U305&amp;"; "&amp;AF305&amp;";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E305" s="4" t="str">
        <x:v>Accepted direction for processed-food families; individual recipes, ingredient qualification and effects remain design proposals.</x:v>
      </x:c>
      <x:c r="AF305" s="4" t="str">
        <x:v>Not applicable</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status/completeness",IF(AF305="T0","Raw entry feed; no production route","No production route listed"))</x:f>
        <x:v>No production route listed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"&amp;U306&amp;"; "&amp;AF306&amp;"; "&amp;AH306&amp;"; "&amp;AI306)</x:f>
        <x:v>proposal.food.dense_drink; dense phagia nutrient drink; consumables; phagia drink; drink consumable; finished item; living culture; nutrition; phagia preparation; liquid; proposal; hydration; phagea; algae; not applicable; unassigned; finished item</x:v>
      </x:c>
      <x:c r="AE306" s="4" t="str">
        <x:v>Accepted direction for processed-food families; individual recipes, ingredient qualification and effects remain design proposals.</x:v>
      </x:c>
      <x:c r="AF306" s="4" t="str">
        <x:v>Not applicable</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status/completeness",IF(AF306="T0","Raw entry feed; no production route","No production route listed"))</x:f>
        <x:v>No production route listed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"&amp;U307&amp;"; "&amp;AF307&amp;"; "&amp;AH307&amp;"; "&amp;AI307)</x:f>
        <x:v>proposal.food.ration_bar; phagia ration bar; consumables; phagia bar; food consumable; finished item; living culture; nutrition; phagia preparation; solid piece; author direction; phagea; algae; not applicable; unassigned; finished item</x:v>
      </x:c>
      <x:c r="AE307" s="4" t="str">
        <x:v>Accepted direction for processed-food families; individual recipes, ingredient qualification and effects remain design proposals.</x:v>
      </x:c>
      <x:c r="AF307" s="4" t="str">
        <x:v>Not applicable</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status/completeness",IF(AF307="T0","Raw entry feed; no production route","No production route listed"))</x:f>
        <x:v>No production route listed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"&amp;U308&amp;"; "&amp;AF308&amp;"; "&amp;AH308&amp;"; "&amp;AI308)</x:f>
        <x:v>proposal.food.dried_bar; dried phagia travel bar; consumables; phagia bar; food consumable; finished item; living culture; nutrition; phagia preparation; solid piece; author direction; phagea; algae; not applicable; unassigned; finished item</x:v>
      </x:c>
      <x:c r="AE308" s="4" t="str">
        <x:v>Accepted direction for processed-food families; individual recipes, ingredient qualification and effects remain design proposals.</x:v>
      </x:c>
      <x:c r="AF308" s="4" t="str">
        <x:v>Not applicable</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status/completeness",IF(AF308="T0","Raw entry feed; no production route","No production route listed"))</x:f>
        <x:v>No production route listed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"&amp;U309&amp;"; "&amp;AF309&amp;"; "&amp;AH309&amp;"; "&amp;AI309)</x:f>
        <x:v>proposal.food.meal_paste; prepared phagia meal paste; consumables; phagia prepared meal; food consumable; finished item; living culture; nutrition; phagia preparation; paste; proposal; phagea; algae; not applicable; unassigned; finished item</x:v>
      </x:c>
      <x:c r="AE309" s="4" t="str">
        <x:v>Accepted direction for processed-food families; individual recipes, ingredient qualification and effects remain design proposals.</x:v>
      </x:c>
      <x:c r="AF309" s="4" t="str">
        <x:v>Not applicable</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status/completeness",IF(AF309="T0","Raw entry feed; no production route","No production route listed"))</x:f>
        <x:v>No production route listed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"&amp;U310&amp;"; "&amp;AF310&amp;";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E310" s="4" t="str">
        <x:v>Accepted direction for processed-food families; individual recipes, ingredient qualification and effects remain design proposals.</x:v>
      </x:c>
      <x:c r="AF310" s="4" t="str">
        <x:v>Not applicable</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status/completeness",IF(AF310="T0","Raw entry feed; no production route","No production route listed"))</x:f>
        <x:v>No production route listed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"&amp;U311&amp;"; "&amp;AF311&amp;";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E311" s="4" t="str">
        <x:v>Accepted direction for processed-food families; individual recipes, ingredient qualification and effects remain design proposals.</x:v>
      </x:c>
      <x:c r="AF311" s="4" t="str">
        <x:v>Not applicable</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status/completeness",IF(AF311="T0","Raw entry feed; no production route","No production route listed"))</x:f>
        <x:v>No production route listed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"&amp;U312&amp;"; "&amp;AF312&amp;";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E312" s="4" t="str">
        <x:v>Accepted direction for processed-food families; individual recipes, ingredient qualification and effects remain design proposals.</x:v>
      </x:c>
      <x:c r="AF312" s="4" t="str">
        <x:v>Not applicable</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status/completeness",IF(AF312="T0","Raw entry feed; no production route","No production route listed"))</x:f>
        <x:v>No production route listed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"&amp;U313&amp;"; "&amp;AF313&amp;"; "&amp;AH313&amp;"; "&amp;AI313)</x:f>
        <x:v>proposal.food.crisp_delicacy; crisp phagia-fauna wafer; consumables; phagia delicacy; food consumable; finished item; biological mixture; nutrition; phagia and edible fauna; solid piece; proposal; phagea; algae; not applicable; unassigned; finished item</x:v>
      </x:c>
      <x:c r="AE313" s="4" t="str">
        <x:v>Accepted direction for processed-food families; individual recipes, ingredient qualification and effects remain design proposals.</x:v>
      </x:c>
      <x:c r="AF313" s="4" t="str">
        <x:v>Not applicable</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status/completeness",IF(AF313="T0","Raw entry feed; no production route","No production route listed"))</x:f>
        <x:v>No production route listed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"&amp;U314&amp;"; "&amp;AF314&amp;"; "&amp;AH314&amp;"; "&amp;AI314)</x:f>
        <x:v>proposal.food.edible_flakes; prepared edible-fauna flakes; resources; prepared fauna food ingredient; food material; processed intermediate; fauna; food preparation; faunal tissue; particles; proposal; phagea; algae; unassigned; not applicable; material</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status/completeness",IF(AF314="T0","Raw entry feed; no production route","No production route listed"))</x:f>
        <x:v>No production route listed</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"&amp;U315&amp;"; "&amp;AF315&amp;"; "&amp;AH315&amp;"; "&amp;AI315)</x:f>
        <x:v>proposal.food.edible_paste; prepared edible-fauna paste; resources; prepared fauna food ingredient; food material; processed intermediate; fauna; food preparation; faunal tissue; paste; proposal; phagea; algae; unassigned; not applicable; material</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status/completeness",IF(AF315="T0","Raw entry feed; no production route","No production route listed"))</x:f>
        <x:v>No production route listed</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"&amp;U316&amp;"; "&amp;AF316&amp;";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E316" s="4" t="str">
        <x:v>Accepted direction for processed-food families; individual recipes, ingredient qualification and effects remain design proposals.</x:v>
      </x:c>
      <x:c r="AF316" s="4" t="str">
        <x:v>Not applicable</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status/completeness",IF(AF316="T0","Raw entry feed; no production route","No production route listed"))</x:f>
        <x:v>No production route listed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"&amp;U317&amp;"; "&amp;AF317&amp;"; "&amp;AH317&amp;"; "&amp;AI317)</x:f>
        <x:v>proposal.food.bar_case; phagia ration-bar case; containers; food packaging; carrier; finished item; manufactured / unresolved; food service; metal or shell; assembly; proposal; cargo organization; phagea; algae; not applicable; unassigned; finished item</x:v>
      </x:c>
      <x:c r="AE317" s="4" t="str">
        <x:v>Accepted direction for processed-food families; individual recipes, ingredient qualification and effects remain design proposals.</x:v>
      </x:c>
      <x:c r="AF317" s="4" t="str">
        <x:v>Not applicable</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status/completeness",IF(AF317="T0","Raw entry feed; no production route","No production route listed"))</x:f>
        <x:v>No production route listed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"&amp;U318&amp;"; "&amp;AF318&amp;"; "&amp;AH318&amp;"; "&amp;AI318)</x:f>
        <x:v>proposal.food.meal_carrier; prepared-meal carrier; containers; food packaging; container; finished item; manufactured / unresolved; food service; ceramic; assembly; proposal; cargo organization; phagea; algae; not applicable; unassigned; finished item</x:v>
      </x:c>
      <x:c r="AE318" s="4" t="str">
        <x:v>Accepted direction for processed-food families; individual recipes, ingredient qualification and effects remain design proposals.</x:v>
      </x:c>
      <x:c r="AF318" s="4" t="str">
        <x:v>Not applicable</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status/completeness",IF(AF318="T0","Raw entry feed; no production route","No production route listed"))</x:f>
        <x:v>No production route listed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"&amp;U319&amp;"; "&amp;AF319&amp;"; "&amp;AH319&amp;"; "&amp;AI319)</x:f>
        <x:v>proposal.raw.basalt; basalt blocks; resources; stone feedstock; raw material; raw; geological; binding and construction; mineral; rock; proposal; ; t0; not applicable; material</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status/completeness",IF(AF319="T0","Raw entry feed; no production route","No production route listed"))</x:f>
        <x:v>Raw entry feed; no production route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"&amp;U320&amp;"; "&amp;AF320&amp;"; "&amp;AH320&amp;"; "&amp;AI320)</x:f>
        <x:v>proposal.raw.slate; slate plates; resources; stone feedstock; raw material; raw; geological; fabrication; mineral; panel; proposal; writing and records; t0; not applicable; material</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status/completeness",IF(AF320="T0","Raw entry feed; no production route","No production route listed"))</x:f>
        <x:v>Raw entry feed; no production route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"&amp;U321&amp;"; "&amp;AF321&amp;"; "&amp;AH321&amp;"; "&amp;AI321)</x:f>
        <x:v>proposal.raw.pumice; pumice lumps; resources; stone feedstock; raw material; raw; geological; surface finishing; mineral; rock; proposal; ; t0; not applicable; material</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status/completeness",IF(AF321="T0","Raw entry feed; no production route","No production route listed"))</x:f>
        <x:v>Raw entry feed; no production route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"&amp;U322&amp;"; "&amp;AF322&amp;"; "&amp;AH322&amp;"; "&amp;AI322)</x:f>
        <x:v>proposal.raw.feldspar; feldspar fragments; resources; stone feedstock; raw material; raw; geological; glass and ceramics; mineral; rock; proposal; ; t0; not applicable; material</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status/completeness",IF(AF322="T0","Raw entry feed; no production route","No production route listed"))</x:f>
        <x:v>Raw entry feed; no production route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"&amp;U323&amp;"; "&amp;AF323&amp;"; "&amp;AH323&amp;"; "&amp;AI323)</x:f>
        <x:v>proposal.raw.spines; loose fauna spines; resources; faunal hard-part feedstock; raw material; raw; fauna; tool fabrication; faunal hard tissue; solid piece; proposal; ; t0; not applicable; material</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status/completeness",IF(AF323="T0","Raw entry feed; no production route","No production route listed"))</x:f>
        <x:v>Raw entry feed; no production route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"&amp;U324&amp;"; "&amp;AF324&amp;"; "&amp;AH324&amp;"; "&amp;AI324)</x:f>
        <x:v>proposal.raw.claws; fauna claw tips; resources; faunal hard-part feedstock; raw material; raw; fauna; tool fabrication; faunal hard tissue; solid piece; proposal; ; t0; not applicable; material</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status/completeness",IF(AF324="T0","Raw entry feed; no production route","No production route listed"))</x:f>
        <x:v>Raw entry feed; no production route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"&amp;U325&amp;"; "&amp;AF325&amp;"; "&amp;AH325&amp;"; "&amp;AI325)</x:f>
        <x:v>proposal.raw.brood_casing; empty brood casings; resources; faunal hard-part feedstock; raw material; raw; fauna; fabrication; faunal hard tissue; shell plate; proposal; ; t0; not applicable; material</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status/completeness",IF(AF325="T0","Raw entry feed; no production route","No production route listed"))</x:f>
        <x:v>Raw entry feed; no production route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"&amp;U326&amp;"; "&amp;AF326&amp;"; "&amp;AH326&amp;"; "&amp;AI326)</x:f>
        <x:v>proposal.raw.antenna_sheath; empty antenna sheaths; resources; faunal hard-part feedstock; raw material; raw; fauna; fabrication; faunal hard tissue; solid piece; proposal; ; t0; not applicable; material</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status/completeness",IF(AF326="T0","Raw entry feed; no production route","No production route listed"))</x:f>
        <x:v>Raw entry feed; no production route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"&amp;U327&amp;"; "&amp;AF327&amp;"; "&amp;AH327&amp;"; "&amp;AI327)</x:f>
        <x:v>proposal.raw.wing_ribs; insectoid wing ribs; resources; faunal hard-part feedstock; raw material; raw; fauna; fabrication; faunal hard tissue; solid piece; proposal; equipment fabrication; t0; not applicable; material</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status/completeness",IF(AF327="T0","Raw entry feed; no production route","No production route listed"))</x:f>
        <x:v>Raw entry feed; no production route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"&amp;U328&amp;"; "&amp;AF328&amp;"; "&amp;AH328&amp;"; "&amp;AI328)</x:f>
        <x:v>proposal.raw.ceramic_shards; broken ceramic shards; resources; salvaged feedstock; raw material; recovered material; industrial salvage; glass and ceramics; ceramic; solid piece; proposal; ; t0; not applicable; material</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status/completeness",IF(AF328="T0","Raw entry feed; no production route","No production route listed"))</x:f>
        <x:v>Raw entry feed; no production route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"&amp;U329&amp;"; "&amp;AF329&amp;"; "&amp;AH329&amp;"; "&amp;AI329)</x:f>
        <x:v>proposal.raw.glass_shards; broken glass pieces; resources; salvaged feedstock; raw material; recovered material; industrial salvage; glass and ceramics; glass; solid piece; proposal; ; t0; not applicable; material</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status/completeness",IF(AF329="T0","Raw entry feed; no production route","No production route listed"))</x:f>
        <x:v>Raw entry feed; no production route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"&amp;U330&amp;"; "&amp;AF330&amp;"; "&amp;AH330&amp;"; "&amp;AI330)</x:f>
        <x:v>proposal.raw.spring_strips; salvaged spring-metal strips; resources; salvaged feedstock; raw material; recovered material; industrial salvage; equipment fabrication; metal; strip; proposal; equipment repair; t0; not applicable; material</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status/completeness",IF(AF330="T0","Raw entry feed; no production route","No production route listed"))</x:f>
        <x:v>Raw entry feed; no production route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"&amp;U331&amp;"; "&amp;AF331&amp;"; "&amp;AH331&amp;"; "&amp;AI331)</x:f>
        <x:v>proposal.raw.metal_cable; salvaged metal cable; resources; salvaged feedstock; raw material; recovered material; industrial salvage; binding and construction; metal; cord; proposal; equipment mounting; t0; not applicable; material</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status/completeness",IF(AF331="T0","Raw entry feed; no production route","No production route listed"))</x:f>
        <x:v>Raw entry feed; no production route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"&amp;U332&amp;"; "&amp;AF332&amp;"; "&amp;AH332&amp;"; "&amp;AI332)</x:f>
        <x:v>proposal.raw.metal_mesh; metal mesh scrap; resources; salvaged feedstock; raw material; recovered material; industrial salvage; fabrication; metal; sheet; proposal; protection; t0; not applicable; material</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status/completeness",IF(AF332="T0","Raw entry feed; no production route","No production route listed"))</x:f>
        <x:v>Raw entry feed; no production route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"&amp;U333&amp;"; "&amp;AF333&amp;"; "&amp;AH333&amp;"; "&amp;AI333)</x:f>
        <x:v>proposal.raw.clinker; furnace clinker chunks; resources; salvaged feedstock; raw material; recovered material; industrial salvage; binding and construction; mixed / unresolved; rock; proposal; ; t0; not applicable; material</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status/completeness",IF(AF333="T0","Raw entry feed; no production route","No production route listed"))</x:f>
        <x:v>Raw entry feed; no production route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"&amp;U334&amp;"; "&amp;AF334&amp;"; "&amp;AH334&amp;"; "&amp;AI334)</x:f>
        <x:v>proposal.raw.spent_refractory; spent refractory chunks; resources; salvaged feedstock; raw material; recovered material; industrial salvage; glass and ceramics; ceramic; solid piece; proposal; equipment repair; t0; not applicable; material</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status/completeness",IF(AF334="T0","Raw entry feed; no production route","No production route listed"))</x:f>
        <x:v>Raw entry feed; no production route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"&amp;U335&amp;"; "&amp;AF335&amp;"; "&amp;AH335&amp;"; "&amp;AI335)</x:f>
        <x:v>proposal.raw.sandstone; sandstone blocks; resources; stone feedstock; raw material; raw; geological; binding and construction; mineral; rock; proposal; ; t0; not applicable; material</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status/completeness",IF(AF335="T0","Raw entry feed; no production route","No production route listed"))</x:f>
        <x:v>Raw entry feed; no production route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"&amp;U336&amp;"; "&amp;AF336&amp;"; "&amp;AH336&amp;"; "&amp;AI336)</x:f>
        <x:v>proposal.raw.obsidian; obsidian chunks; resources; stone feedstock; raw material; raw; geological; tool fabrication; mineral; rock; proposal; ; t0; not applicable; material</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status/completeness",IF(AF336="T0","Raw entry feed; no production route","No production route listed"))</x:f>
        <x:v>Raw entry feed; no production route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"&amp;U337&amp;"; "&amp;AF337&amp;"; "&amp;AH337&amp;"; "&amp;AI337)</x:f>
        <x:v>proposal.raw.emery; emery-bearing lumps; resources; stone feedstock; raw material; raw; geological; surface finishing; mineral; rock; proposal; ; t0; not applicable; material</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status/completeness",IF(AF337="T0","Raw entry feed; no production route","No production route listed"))</x:f>
        <x:v>Raw entry feed; no production route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"&amp;U338&amp;"; "&amp;AF338&amp;"; "&amp;AH338&amp;"; "&amp;AI338)</x:f>
        <x:v>proposal.raw.barite; dense barite lumps; resources; stone feedstock; raw material; raw; geological; fabrication; mineral; rock; proposal; ; t0; not applicable; material</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status/completeness",IF(AF338="T0","Raw entry feed; no production route","No production route listed"))</x:f>
        <x:v>Raw entry feed; no production route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"&amp;U339&amp;"; "&amp;AF339&amp;"; "&amp;AH339&amp;"; "&amp;AI339)</x:f>
        <x:v>proposal.raw.grinding_pebbles; rounded grinding stones; resources; stone feedstock; raw material; raw; geological; chemical processing; mineral; rock; proposal; food preparation; t0; not applicable; material</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status/completeness",IF(AF339="T0","Raw entry feed; no production route","No production route listed"))</x:f>
        <x:v>Raw entry feed; no production route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"&amp;U340&amp;"; "&amp;AF340&amp;"; "&amp;AH340&amp;"; "&amp;AI340)</x:f>
        <x:v>proposal.raw.ochre; yellow ochre clods; resources; stone feedstock; raw material; raw; geological; decoration; mineral; rock; proposal; writing and records; t0; not applicable; material</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status/completeness",IF(AF340="T0","Raw entry feed; no production route","No production route listed"))</x:f>
        <x:v>Raw entry feed; no production route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"&amp;U341&amp;"; "&amp;AF341&amp;"; "&amp;AH341&amp;"; "&amp;AI341)</x:f>
        <x:v>proposal.raw.horn_core; fauna horn cores; resources; faunal hard-part feedstock; raw material; raw; fauna; tool fabrication; faunal hard tissue; solid piece; proposal; ; t0; not applicable; material</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status/completeness",IF(AF341="T0","Raw entry feed; no production route","No production route listed"))</x:f>
        <x:v>Raw entry feed; no production route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"&amp;U342&amp;"; "&amp;AF342&amp;"; "&amp;AH342&amp;"; "&amp;AI342)</x:f>
        <x:v>proposal.raw.tail_rings; fauna tail rings; resources; faunal hard-part feedstock; raw material; raw; fauna; protective fabrication; faunal hard tissue; shell plate; proposal; fabrication; t0; not applicable; material</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status/completeness",IF(AF342="T0","Raw entry feed; no production route","No production route listed"))</x:f>
        <x:v>Raw entry feed; no production route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"&amp;U343&amp;"; "&amp;AF343&amp;"; "&amp;AH343&amp;"; "&amp;AI343)</x:f>
        <x:v>proposal.raw.socket_cups; fauna joint-socket cups; resources; faunal hard-part feedstock; raw material; raw; fauna; fabrication; faunal hard tissue; solid piece; proposal; ; t0; not applicable; material</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status/completeness",IF(AF343="T0","Raw entry feed; no production route","No production route listed"))</x:f>
        <x:v>Raw entry feed; no production route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"&amp;U344&amp;"; "&amp;AF344&amp;"; "&amp;AH344&amp;"; "&amp;AI344)</x:f>
        <x:v>proposal.raw.eye_lenses; fauna eye lenses; resources; faunal hard-part feedstock; raw material; raw; fauna; vision; faunal tissue; solid piece; proposal; ; t0; not applicable; material</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status/completeness",IF(AF344="T0","Raw entry feed; no production route","No production route listed"))</x:f>
        <x:v>Raw entry feed; no production route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"&amp;U345&amp;"; "&amp;AF345&amp;"; "&amp;AH345&amp;"; "&amp;AI345)</x:f>
        <x:v>proposal.raw.filter_plates; fauna breathing-filter plates; resources; faunal hard-part feedstock; raw material; raw; fauna; dust exclusion; faunal hard tissue; panel; proposal; ; t0; not applicable; material</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status/completeness",IF(AF345="T0","Raw entry feed; no production route","No production route listed"))</x:f>
        <x:v>Raw entry feed; no production route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"&amp;U346&amp;"; "&amp;AF346&amp;"; "&amp;AH346&amp;"; "&amp;AI346)</x:f>
        <x:v>proposal.raw.droppings; dried mineral-rich fauna droppings; resources; faunal waste feedstock; raw material; raw; fauna; chemical processing; mixed / unresolved; solid piece; proposal; ; t0; not applicable; material</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status/completeness",IF(AF346="T0","Raw entry feed; no production route","No production route listed"))</x:f>
        <x:v>Raw entry feed; no production route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"&amp;U347&amp;"; "&amp;AF347&amp;"; "&amp;AH347&amp;"; "&amp;AI347)</x:f>
        <x:v>proposal.raw.chain; rusted chain lengths; resources; salvaged feedstock; raw material; recovered material; industrial salvage; binding and construction; metal; assembly; proposal; equipment mounting; t0; not applicable; material</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status/completeness",IF(AF347="T0","Raw entry feed; no production route","No production route listed"))</x:f>
        <x:v>Raw entry feed; no production route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"&amp;U348&amp;"; "&amp;AF348&amp;"; "&amp;AH348&amp;"; "&amp;AI348)</x:f>
        <x:v>proposal.raw.brass_scrap; salvaged brass fragments; resources; salvaged feedstock; raw material; recovered material; industrial salvage; metal refining; metal; solid piece; proposal; ; t0; not applicable; material</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status/completeness",IF(AF348="T0","Raw entry feed; no production route","No production route listed"))</x:f>
        <x:v>Raw entry feed; no production route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"&amp;U349&amp;"; "&amp;AF349&amp;"; "&amp;AH349&amp;"; "&amp;AI349)</x:f>
        <x:v>proposal.raw.bronze_scrap; salvaged bronze fragments; resources; salvaged feedstock; raw material; recovered material; industrial salvage; metal refining; metal; solid piece; proposal; ; t0; not applicable; material</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status/completeness",IF(AF349="T0","Raw entry feed; no production route","No production route listed"))</x:f>
        <x:v>Raw entry feed; no production route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"&amp;U350&amp;"; "&amp;AF350&amp;"; "&amp;AH350&amp;"; "&amp;AI350)</x:f>
        <x:v>proposal.raw.hinge_halves; discarded hinge halves; resources; salvaged feedstock; raw material; recovered material; industrial salvage; equipment fabrication; metal; solid part; proposal; equipment repair; t0; not applicable; material</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status/completeness",IF(AF350="T0","Raw entry feed; no production route","No production route listed"))</x:f>
        <x:v>Raw entry feed; no production route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"&amp;U351&amp;"; "&amp;AF351&amp;"; "&amp;AH351&amp;"; "&amp;AI351)</x:f>
        <x:v>proposal.raw.hoop_bands; salvaged metal hoop bands; resources; salvaged feedstock; raw material; recovered material; industrial salvage; equipment mounting; metal; strip; proposal; fabrication; t0; not applicable; material</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status/completeness",IF(AF351="T0","Raw entry feed; no production route","No production route listed"))</x:f>
        <x:v>Raw entry feed; no production route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"&amp;U352&amp;"; "&amp;AF352&amp;"; "&amp;AH352&amp;"; "&amp;AI352)</x:f>
        <x:v>proposal.raw.pipe_sections; old metal pipe sections; resources; salvaged feedstock; raw material; recovered material; industrial salvage; fabrication; metal; solid piece; proposal; ; t0; not applicable; material</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status/completeness",IF(AF352="T0","Raw entry feed; no production route","No production route listed"))</x:f>
        <x:v>Raw entry feed; no production route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"&amp;U353&amp;"; "&amp;AF353&amp;"; "&amp;AH353&amp;"; "&amp;AI353)</x:f>
        <x:v>proposal.raw.coated_sheet; coated sheet-metal scrap; resources; salvaged feedstock; raw material; recovered material; industrial salvage; fabrication; metal; sheet; proposal; ; t0; not applicable; material</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status/completeness",IF(AF353="T0","Raw entry feed; no production route","No production route listed"))</x:f>
        <x:v>Raw entry feed; no production route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"&amp;U354&amp;"; "&amp;AF354&amp;"; "&amp;AH354&amp;"; "&amp;AI354)</x:f>
        <x:v>proposal.raw.bent_fasteners; bent nails and rivets; resources; salvaged feedstock; raw material; recovered material; industrial salvage; metal refining; metal; solid piece; proposal; equipment fabrication; t0; not applicable; material</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status/completeness",IF(AF354="T0","Raw entry feed; no production route","No production route listed"))</x:f>
        <x:v>Raw entry feed; no production route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"&amp;U355&amp;"; "&amp;AF355&amp;"; "&amp;AH355&amp;"; "&amp;AI355)</x:f>
        <x:v>proposal.raw.furnace_ash; coarse furnace ash; resources; salvaged feedstock; raw material; recovered material; industrial salvage; chemical processing; mixed / unresolved; particles; proposal; ; t0; not applicable; material</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status/completeness",IF(AF355="T0","Raw entry feed; no production route","No production route listed"))</x:f>
        <x:v>Raw entry feed; no production route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"&amp;U356&amp;"; "&amp;AF356&amp;"; "&amp;AH356&amp;"; "&amp;AI356)</x:f>
        <x:v>proposal.raw.abrasive_fragments; broken abrasive-wheel fragments; resources; salvaged feedstock; raw material; recovered material; industrial salvage; surface finishing; mixed / unresolved; solid piece; proposal; ; t0; not applicable; material</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status/completeness",IF(AF356="T0","Raw entry feed; no production route","No production route listed"))</x:f>
        <x:v>Raw entry feed; no production route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"&amp;U357&amp;"; "&amp;AF357&amp;"; "&amp;AH357&amp;"; "&amp;AI357)</x:f>
        <x:v>proposal.raw.magnet_fragments; broken magnet fragments; resources; salvaged feedstock; raw material; recovered material; industrial salvage; magnetic tools; mixed / unresolved; solid piece; proposal; work holding; t0; not applicable; material</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status/completeness",IF(AF357="T0","Raw entry feed; no production route","No production route listed"))</x:f>
        <x:v>Raw entry feed; no production route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"&amp;U358&amp;"; "&amp;AF358&amp;"; "&amp;AH358&amp;"; "&amp;AI358)</x:f>
        <x:v>proposal.raw.punching_offcuts; metal punching offcuts; resources; salvaged feedstock; raw material; recovered material; industrial salvage; equipment fabrication; metal; solid piece; proposal; ; t0; not applicable; material</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status/completeness",IF(AF358="T0","Raw entry feed; no production route","No production route listed"))</x:f>
        <x:v>Raw entry feed; no production route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"&amp;U359&amp;"; "&amp;AF359&amp;"; "&amp;AH359&amp;"; "&amp;AI359)</x:f>
        <x:v>proposal.t1.iron_bloom; smelted iron bloom; resources; tier 1 material concept; processed material; processed intermediate; geological; metal refining; metal; solid piece; proposal; fabrication; t1; not applicable; material</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1</x:v>
      </x:c>
      <x:c r="AL359" s="4" t="n">
        <x:f>COUNTIFS('Material routes'!$D$6:$D$1005,A359,'Material routes'!$C$6:$C$1005,"Tool candidate")</x:f>
        <x:v>0</x:v>
      </x:c>
      <x:c r="AM359" s="4" t="str">
        <x:f>IF(AJ359&gt;0,"Route listed; review status/completeness",IF(AF359="T0","Raw entry feed; no production route","No production route listed"))</x:f>
        <x:v>Route listed; review status/completeness</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"&amp;U360&amp;"; "&amp;AF360&amp;"; "&amp;AH360&amp;"; "&amp;AI360)</x:f>
        <x:v>proposal.t1.copper_cake; refined copper cake; resources; tier 1 material concept; processed material; processed intermediate; geological; electrical conduction; metal; solid piece; proposal; fabrication; t1; not applicable; material</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0</x:v>
      </x:c>
      <x:c r="AL360" s="4" t="n">
        <x:f>COUNTIFS('Material routes'!$D$6:$D$1005,A360,'Material routes'!$C$6:$C$1005,"Tool candidate")</x:f>
        <x:v>0</x:v>
      </x:c>
      <x:c r="AM360" s="4" t="str">
        <x:f>IF(AJ360&gt;0,"Route listed; review status/completeness",IF(AF360="T0","Raw entry feed; no production route","No production route listed"))</x:f>
        <x:v>Route listed; review status/completeness</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"&amp;U361&amp;"; "&amp;AF361&amp;"; "&amp;AH361&amp;"; "&amp;AI361)</x:f>
        <x:v>proposal.t1.brass_billet; reclaimed brass billet; resources; tier 1 material concept; processed material; processed intermediate; industrial salvage; fabrication; metal; solid piece; proposal; ; t1; not applicable; material</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status/completeness",IF(AF361="T0","Raw entry feed; no production route","No production route listed"))</x:f>
        <x:v>Route listed; review status/completeness</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"&amp;U362&amp;"; "&amp;AF362&amp;"; "&amp;AH362&amp;"; "&amp;AI362)</x:f>
        <x:v>proposal.t1.bronze_billet; reclaimed bronze billet; resources; tier 1 material concept; processed material; processed intermediate; industrial salvage; fabrication; metal; solid piece; proposal; ; t1; not applicable; material</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0</x:v>
      </x:c>
      <x:c r="AL362" s="4" t="n">
        <x:f>COUNTIFS('Material routes'!$D$6:$D$1005,A362,'Material routes'!$C$6:$C$1005,"Tool candidate")</x:f>
        <x:v>0</x:v>
      </x:c>
      <x:c r="AM362" s="4" t="str">
        <x:f>IF(AJ362&gt;0,"Route listed; review status/completeness",IF(AF362="T0","Raw entry feed; no production route","No production route listed"))</x:f>
        <x:v>Route listed; review status/completeness</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"&amp;U363&amp;"; "&amp;AF363&amp;"; "&amp;AH363&amp;"; "&amp;AI363)</x:f>
        <x:v>proposal.t1.opaque_glass; opaque mineral-glass stock; resources; tier 1 material concept; processed material; processed intermediate; geological; glass and ceramics; glass; solid piece; proposal; fabrication; t1; not applicable; material</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0</x:v>
      </x:c>
      <x:c r="AL363" s="4" t="n">
        <x:f>COUNTIFS('Material routes'!$D$6:$D$1005,A363,'Material routes'!$C$6:$C$1005,"Tool candidate")</x:f>
        <x:v>0</x:v>
      </x:c>
      <x:c r="AM363" s="4" t="str">
        <x:f>IF(AJ363&gt;0,"Route listed; review status/completeness",IF(AF363="T0","Raw entry feed; no production route","No production route listed"))</x:f>
        <x:v>Route listed; review status/completeness</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"&amp;U364&amp;"; "&amp;AF364&amp;"; "&amp;AH364&amp;"; "&amp;AI364)</x:f>
        <x:v>proposal.t1.clear_glass_blank; rough clear-glass blank; resources; tier 1 material concept; processed material; processed intermediate; geological; inspection; glass; solid piece; proposal; glass and ceramics; t1; not applicable; material</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0</x:v>
      </x:c>
      <x:c r="AL364" s="4" t="n">
        <x:f>COUNTIFS('Material routes'!$D$6:$D$1005,A364,'Material routes'!$C$6:$C$1005,"Tool candidate")</x:f>
        <x:v>0</x:v>
      </x:c>
      <x:c r="AM364" s="4" t="str">
        <x:f>IF(AJ364&gt;0,"Route listed; review status/completeness",IF(AF364="T0","Raw entry feed; no production route","No production route listed"))</x:f>
        <x:v>Route listed; review status/completeness</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"&amp;U365&amp;"; "&amp;AF365&amp;"; "&amp;AH365&amp;"; "&amp;AI365)</x:f>
        <x:v>proposal.t1.dressed_stone; dressed building-stone stock; resources; tier 1 material concept; processed material; processed intermediate; geological; binding and construction; mineral; solid piece; proposal; fabrication; t1; not applicable; material</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status/completeness",IF(AF365="T0","Raw entry feed; no production route","No production route listed"))</x:f>
        <x:v>Route listed; review status/completeness</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"&amp;U366&amp;"; "&amp;AF366&amp;"; "&amp;AH366&amp;"; "&amp;AI366)</x:f>
        <x:v>proposal.t1.resonant_blank; selected resonant-stone blank; resources; tier 1 material concept; processed material; processed intermediate; geological; music; mineral; solid piece; proposal; fabrication; t1; not applicable; material</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0</x:v>
      </x:c>
      <x:c r="AL366" s="4" t="n">
        <x:f>COUNTIFS('Material routes'!$D$6:$D$1005,A366,'Material routes'!$C$6:$C$1005,"Tool candidate")</x:f>
        <x:v>0</x:v>
      </x:c>
      <x:c r="AM366" s="4" t="str">
        <x:f>IF(AJ366&gt;0,"Route listed; review status/completeness",IF(AF366="T0","Raw entry feed; no production route","No production route listed"))</x:f>
        <x:v>Route listed; review status/completeness</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"&amp;U367&amp;"; "&amp;AF367&amp;"; "&amp;AH367&amp;"; "&amp;AI367)</x:f>
        <x:v>proposal.t1.pigment_powder; prepared mineral pigment powder; resources; tier 1 material concept; processed material; processed intermediate; geological; decoration; mineral; particles; proposal; writing and records; t1; not applicable; material</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0</x:v>
      </x:c>
      <x:c r="AL367" s="4" t="n">
        <x:f>COUNTIFS('Material routes'!$D$6:$D$1005,A367,'Material routes'!$C$6:$C$1005,"Tool candidate")</x:f>
        <x:v>0</x:v>
      </x:c>
      <x:c r="AM367" s="4" t="str">
        <x:f>IF(AJ367&gt;0,"Route listed; review status/completeness",IF(AF367="T0","Raw entry feed; no production route","No production route listed"))</x:f>
        <x:v>Route listed; review status/completeness</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"&amp;U368&amp;"; "&amp;AF368&amp;"; "&amp;AH368&amp;"; "&amp;AI368)</x:f>
        <x:v>proposal.t1.mineral_filler; graded mineral filler; resources; tier 1 material concept; processed material; processed intermediate; geological; binding and construction; mineral; particles; proposal; fabrication; t1; not applicable; material</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0</x:v>
      </x:c>
      <x:c r="AL368" s="4" t="n">
        <x:f>COUNTIFS('Material routes'!$D$6:$D$1005,A368,'Material routes'!$C$6:$C$1005,"Tool candidate")</x:f>
        <x:v>0</x:v>
      </x:c>
      <x:c r="AM368" s="4" t="str">
        <x:f>IF(AJ368&gt;0,"Route listed; review status/completeness",IF(AF368="T0","Raw entry feed; no production route","No production route listed"))</x:f>
        <x:v>Route listed; review status/completeness</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"&amp;U369&amp;"; "&amp;AF369&amp;"; "&amp;AH369&amp;"; "&amp;AI369)</x:f>
        <x:v>proposal.t1.glass_feed; sorted glass remelt feed; resources; tier 1 material concept; processed material; processed intermediate; industrial salvage; glass and ceramics; glass; particles; proposal; ; t1; not applicable; material</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status/completeness",IF(AF369="T0","Raw entry feed; no production route","No production route listed"))</x:f>
        <x:v>Route listed; review status/completeness</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"&amp;U370&amp;"; "&amp;AF370&amp;"; "&amp;AH370&amp;"; "&amp;AI370)</x:f>
        <x:v>proposal.t1.mica_flakes; separated mica flake grade; resources; tier 1 material concept; processed material; processed intermediate; geological; fabrication; mineral; particles; proposal; decoration; t1; not applicable; material</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0</x:v>
      </x:c>
      <x:c r="AL370" s="4" t="n">
        <x:f>COUNTIFS('Material routes'!$D$6:$D$1005,A370,'Material routes'!$C$6:$C$1005,"Tool candidate")</x:f>
        <x:v>0</x:v>
      </x:c>
      <x:c r="AM370" s="4" t="str">
        <x:f>IF(AJ370&gt;0,"Route listed; review status/completeness",IF(AF370="T0","Raw entry feed; no production route","No production route listed"))</x:f>
        <x:v>Route listed; review status/completeness</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"&amp;U371&amp;"; "&amp;AF371&amp;"; "&amp;AH371&amp;"; "&amp;AI371)</x:f>
        <x:v>proposal.t1.husk_pulp; prepared husk-fiber pulp; resources; tier 1 material concept; processed material; processed intermediate; fauna; paper making; husk fiber; unresolved; proposal; textile processing; t1; not applicable; material</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status/completeness",IF(AF371="T0","Raw entry feed; no production route","No production route listed"))</x:f>
        <x:v>Route listed; review status/completeness</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"&amp;U372&amp;"; "&amp;AF372&amp;"; "&amp;AH372&amp;"; "&amp;AI372)</x:f>
        <x:v>proposal.t1.bristle_bundle; clean graded bristle bundles; resources; tier 1 material concept; processed material; processed intermediate; fauna; dust exclusion; faunal fiber; bundle; proposal; ; t1; not applicable; material</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status/completeness",IF(AF372="T0","Raw entry feed; no production route","No production route listed"))</x:f>
        <x:v>Route listed; review status/completeness</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"&amp;U373&amp;"; "&amp;AF373&amp;"; "&amp;AH373&amp;"; "&amp;AI373)</x:f>
        <x:v>proposal.t1.shell_lamina; separated shell lamina stock; resources; tier 1 material concept; processed material; processed intermediate; fauna; protective fabrication; shell / chitin; sheet; proposal; fabrication; t1; not applicable; material</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status/completeness",IF(AF373="T0","Raw entry feed; no production route","No production route listed"))</x:f>
        <x:v>Route listed; review status/completeness</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"&amp;U374&amp;"; "&amp;AF374&amp;"; "&amp;AH374&amp;"; "&amp;AI374)</x:f>
        <x:v>proposal.t1.hardpart_blank; shaped fauna hard-part blanks; resources; tier 1 material concept; processed material; processed intermediate; fauna; tool fabrication; faunal hard tissue; solid piece; proposal; ; t1; not applicable; material</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status/completeness",IF(AF374="T0","Raw entry feed; no production route","No production route listed"))</x:f>
        <x:v>Route listed; review status/completeness</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"&amp;U375&amp;"; "&amp;AF375&amp;"; "&amp;AH375&amp;"; "&amp;AI375)</x:f>
        <x:v>proposal.t1.process_salts; graded process salts; resources; tier 1 material concept; processed material; processed intermediate; geological; chemical processing; mineral; particles; proposal; ; t1; not applicable; material</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0</x:v>
      </x:c>
      <x:c r="AL375" s="4" t="n">
        <x:f>COUNTIFS('Material routes'!$D$6:$D$1005,A375,'Material routes'!$C$6:$C$1005,"Tool candidate")</x:f>
        <x:v>0</x:v>
      </x:c>
      <x:c r="AM375" s="4" t="str">
        <x:f>IF(AJ375&gt;0,"Route listed; review status/completeness",IF(AF375="T0","Raw entry feed; no production route","No production route listed"))</x:f>
        <x:v>Route listed; review status/completeness</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"&amp;U376&amp;"; "&amp;AF376&amp;";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0</x:v>
      </x:c>
      <x:c r="AL376" s="4" t="n">
        <x:f>COUNTIFS('Material routes'!$D$6:$D$1005,A376,'Material routes'!$C$6:$C$1005,"Tool candidate")</x:f>
        <x:v>0</x:v>
      </x:c>
      <x:c r="AM376" s="4" t="str">
        <x:f>IF(AJ376&gt;0,"Route listed; review status/completeness",IF(AF376="T0","Raw entry feed; no production route","No production route listed"))</x:f>
        <x:v>Route listed; review status/completeness</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"&amp;U377&amp;"; "&amp;AF377&amp;";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1</x:v>
      </x:c>
      <x:c r="AL377" s="4" t="n">
        <x:f>COUNTIFS('Material routes'!$D$6:$D$1005,A377,'Material routes'!$C$6:$C$1005,"Tool candidate")</x:f>
        <x:v>0</x:v>
      </x:c>
      <x:c r="AM377" s="4" t="str">
        <x:f>IF(AJ377&gt;0,"Route listed; review status/completeness",IF(AF377="T0","Raw entry feed; no production route","No production route listed"))</x:f>
        <x:v>Route listed; review status/completeness</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"&amp;U378&amp;"; "&amp;AF378&amp;"; "&amp;AH378&amp;"; "&amp;AI378)</x:f>
        <x:v>proposal.t1.clot_seal; prepared clot-seal compound; resources; tier 1 material concept; chemical material; processed intermediate; fauna; equipment repair; biological chemical; unresolved; proposal; sealing; t1; not applicable; material</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0</x:v>
      </x:c>
      <x:c r="AL378" s="4" t="n">
        <x:f>COUNTIFS('Material routes'!$D$6:$D$1005,A378,'Material routes'!$C$6:$C$1005,"Tool candidate")</x:f>
        <x:v>0</x:v>
      </x:c>
      <x:c r="AM378" s="4" t="str">
        <x:f>IF(AJ378&gt;0,"Route listed; review status/completeness",IF(AF378="T0","Raw entry feed; no production route","No production route listed"))</x:f>
        <x:v>Route listed; review status/completeness</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"&amp;U379&amp;"; "&amp;AF379&amp;"; "&amp;AH379&amp;"; "&amp;AI379)</x:f>
        <x:v>proposal.t1.gem_preform; cut gemstone preform; resources; tier 1 material concept; processed material; processed intermediate; geological; decoration; gemstone; solid piece; proposal; ; t1; not applicable; material</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0</x:v>
      </x:c>
      <x:c r="AL379" s="4" t="n">
        <x:f>COUNTIFS('Material routes'!$D$6:$D$1005,A379,'Material routes'!$C$6:$C$1005,"Tool candidate")</x:f>
        <x:v>0</x:v>
      </x:c>
      <x:c r="AM379" s="4" t="str">
        <x:f>IF(AJ379&gt;0,"Route listed; review status/completeness",IF(AF379="T0","Raw entry feed; no production route","No production route listed"))</x:f>
        <x:v>Route listed; review status/completeness</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"&amp;U380&amp;"; "&amp;AF380&amp;"; "&amp;AH380&amp;"; "&amp;AI380)</x:f>
        <x:v>proposal.t1.gem_chips; graded stone inlay chips; resources; tier 1 material concept; processed material; processed intermediate; geological; decoration; gemstone; particles; proposal; ; t1; not applicable; material</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status/completeness",IF(AF380="T0","Raw entry feed; no production route","No production route listed"))</x:f>
        <x:v>Route listed; review status/completeness</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"&amp;U381&amp;"; "&amp;AF381&amp;"; "&amp;AH381&amp;"; "&amp;AI381)</x:f>
        <x:v>proposal.t1.shell_inlay; burnished shell inlay scales; resources; tier 1 material concept; processed material; processed intermediate; fauna; decoration; shell / chitin; sheet; proposal; ; t1; not applicable; material</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status/completeness",IF(AF381="T0","Raw entry feed; no production route","No production route listed"))</x:f>
        <x:v>Route listed; review status/completeness</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"&amp;U382&amp;"; "&amp;AF382&amp;"; "&amp;AH382&amp;"; "&amp;AI382)</x:f>
        <x:v>proposal.t1.mica_window; sized mica viewing sheet; resources; tier 1 material concept; processed material; processed intermediate; geological; inspection; mineral; sheet; proposal; fabrication; t1; not applicable; material</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status/completeness",IF(AF382="T0","Raw entry feed; no production route","No production route listed"))</x:f>
        <x:v>Route listed; review status/completeness</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"&amp;U383&amp;"; "&amp;AF383&amp;";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E383" s="4" t="str">
        <x:v>Existence and machine-tech reverse-engineering origin are author direction. Physical construction and performance remain undefined.</x:v>
      </x:c>
      <x:c r="AF383" s="4" t="str">
        <x:v>Not applicable</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status/completeness",IF(AF383="T0","Raw entry feed; no production route","No production route listed"))</x:f>
        <x:v>No production route listed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"&amp;U384&amp;"; "&amp;AF384&amp;";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E384" s="4" t="str">
        <x:v>Ancient machine-tech family is author direction. Reverse-engineered examples exist in the broader technology tradition; specific reproducible families remain open.</x:v>
      </x:c>
      <x:c r="AF384" s="4" t="str">
        <x:v>Not applicable</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status/completeness",IF(AF384="T0","Raw entry feed; no production route","No production route listed"))</x:f>
        <x:v>No production route listed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"&amp;U385&amp;"; "&amp;AF385&amp;";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E385" s="4" t="str">
        <x:v>Ancient machine-tech family is author direction. Reverse-engineered examples exist in the broader technology tradition; specific reproducible families remain open.</x:v>
      </x:c>
      <x:c r="AF385" s="4" t="str">
        <x:v>Not applicable</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status/completeness",IF(AF385="T0","Raw entry feed; no production route","No production route listed"))</x:f>
        <x:v>No production route listed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"&amp;U386&amp;"; "&amp;AF386&amp;";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E386" s="4" t="str">
        <x:v>Ancient machine-tech family is author direction. Reverse-engineered examples exist in the broader technology tradition; specific reproducible families remain open.</x:v>
      </x:c>
      <x:c r="AF386" s="4" t="str">
        <x:v>Not applicable</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status/completeness",IF(AF386="T0","Raw entry feed; no production route","No production route listed"))</x:f>
        <x:v>No production route listed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"&amp;U387&amp;"; "&amp;AF387&amp;";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E387" s="4" t="str">
        <x:v>Ancient machine-tech family is author direction. Reverse-engineered examples exist in the broader technology tradition; specific reproducible families remain open.</x:v>
      </x:c>
      <x:c r="AF387" s="4" t="str">
        <x:v>Not applicable</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status/completeness",IF(AF387="T0","Raw entry feed; no production route","No production route listed"))</x:f>
        <x:v>No production route listed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"&amp;U388&amp;"; "&amp;AF388&amp;";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E388" s="4" t="str">
        <x:v>Existence and intended function are author direction; construction and technical origin remain unassigned.</x:v>
      </x:c>
      <x:c r="AF388" s="4" t="str">
        <x:v>Not applicable</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status/completeness",IF(AF388="T0","Raw entry feed; no production route","No production route listed"))</x:f>
        <x:v>No production route listed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"&amp;U389&amp;"; "&amp;AF389&amp;";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E389" s="4" t="str">
        <x:v>Existence and intended function are author direction; construction and technical origin remain unassigned.</x:v>
      </x:c>
      <x:c r="AF389" s="4" t="str">
        <x:v>Not applicable</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status/completeness",IF(AF389="T0","Raw entry feed; no production route","No production route listed"))</x:f>
        <x:v>No production route listed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"&amp;U390&amp;"; "&amp;AF390&amp;";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E390" s="4" t="str">
        <x:v>Existence and intended function are author direction; construction and technical origin remain unassigned.</x:v>
      </x:c>
      <x:c r="AF390" s="4" t="str">
        <x:v>Not applicable</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status/completeness",IF(AF390="T0","Raw entry feed; no production route","No production route listed"))</x:f>
        <x:v>No production route listed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"&amp;U391&amp;"; "&amp;AF391&amp;";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E391" s="4" t="str">
        <x:v>Existence and intended function are author direction; construction and technical origin remain unassigned.</x:v>
      </x:c>
      <x:c r="AF391" s="4" t="str">
        <x:v>Not applicable</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status/completeness",IF(AF391="T0","Raw entry feed; no production route","No production route listed"))</x:f>
        <x:v>No production route listed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"&amp;U392&amp;"; "&amp;AF392&amp;";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E392" s="4" t="str">
        <x:v>Existence and intended function are author direction; construction and technical origin remain unassigned.</x:v>
      </x:c>
      <x:c r="AF392" s="4" t="str">
        <x:v>Not applicable</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status/completeness",IF(AF392="T0","Raw entry feed; no production route","No production route listed"))</x:f>
        <x:v>No production route listed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"&amp;U393&amp;"; "&amp;AF393&amp;";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E393" s="4" t="str">
        <x:v>Existence and intended function are author direction; construction and technical origin remain unassigned.</x:v>
      </x:c>
      <x:c r="AF393" s="4" t="str">
        <x:v>Not applicable</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status/completeness",IF(AF393="T0","Raw entry feed; no production route","No production route listed"))</x:f>
        <x:v>No production route listed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"&amp;U394&amp;"; "&amp;AF394&amp;";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status/completeness",IF(AF394="T0","Raw entry feed; no production route","No production route listed"))</x:f>
        <x:v>No production route listed</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"&amp;U395&amp;"; "&amp;AF395&amp;";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E395" s="4" t="str">
        <x:v>Existence and intended function are author direction; construction and technical origin remain unassigned.</x:v>
      </x:c>
      <x:c r="AF395" s="4" t="str">
        <x:v>Not applicable</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status/completeness",IF(AF395="T0","Raw entry feed; no production route","No production route listed"))</x:f>
        <x:v>No production route listed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"&amp;U396&amp;"; "&amp;AF396&amp;";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E396" s="4" t="str">
        <x:v>Existence and intended function are author direction; construction and technical origin remain unassigned.</x:v>
      </x:c>
      <x:c r="AF396" s="4" t="str">
        <x:v>Not applicable</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0</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status/completeness",IF(AF396="T0","Raw entry feed; no production route","No production route listed"))</x:f>
        <x:v>No production route listed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"&amp;U397&amp;"; "&amp;AF397&amp;";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E397" s="4" t="str">
        <x:v>Existence and intended function are author direction; construction and technical origin remain unassigned.</x:v>
      </x:c>
      <x:c r="AF397" s="4" t="str">
        <x:v>Not applicable</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status/completeness",IF(AF397="T0","Raw entry feed; no production route","No production route listed"))</x:f>
        <x:v>No production route listed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"&amp;U398&amp;"; "&amp;AF398&amp;";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E398" s="4" t="str">
        <x:v>Forging hammers and anvils explicitly requested by the author; detailed construction unresolved.</x:v>
      </x:c>
      <x:c r="AF398" s="4" t="str">
        <x:v>Not applicable</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status/completeness",IF(AF398="T0","Raw entry feed; no production route","No production route listed"))</x:f>
        <x:v>Route listed; review status/completeness</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"&amp;U399&amp;"; "&amp;AF399&amp;"; "&amp;AH399&amp;"; "&amp;AI399)</x:f>
        <x:v>author.forging.anvil; anvil; equipment; workshop forging fixture; tool; finished item; manufactured / unresolved; metal forging; mixed / unresolved; assembly; author direction; smithing anvil; forging anvil; not applicable; unassigned; finished item</x:v>
      </x:c>
      <x:c r="AE399" s="4" t="str">
        <x:v>Forging hammers and anvils explicitly requested by the author; detailed construction unresolved.</x:v>
      </x:c>
      <x:c r="AF399" s="4" t="str">
        <x:v>Not applicable</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status/completeness",IF(AF399="T0","Raw entry feed; no production route","No production route listed"))</x:f>
        <x:v>No production route listed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"&amp;U400&amp;"; "&amp;AF400&amp;";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E400" s="4" t="str">
        <x:v>Supporting smithing tool proposed for review; not separately established game canon.</x:v>
      </x:c>
      <x:c r="AF400" s="4" t="str">
        <x:v>Not applicable</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status/completeness",IF(AF400="T0","Raw entry feed; no production route","No production route listed"))</x:f>
        <x:v>No production route listed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"&amp;U401&amp;"; "&amp;AF401&amp;";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E401" s="4" t="str">
        <x:v>Supporting smithing tool proposed for review; not separately established game canon.</x:v>
      </x:c>
      <x:c r="AF401" s="4" t="str">
        <x:v>Not applicable</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status/completeness",IF(AF401="T0","Raw entry feed; no production route","No production route listed"))</x:f>
        <x:v>No production route listed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"&amp;U402&amp;"; "&amp;AF402&amp;"; "&amp;AH402&amp;"; "&amp;AI402)</x:f>
        <x:v>proposal.forging.hot_cut; hot-cut chisel; equipment; metal cutting tool; tool; finished item; manufactured / unresolved; metal forging; mixed / unresolved; assembly; proposal; hot chisel; hot cut; forging chisel; not applicable; unassigned; finished item</x:v>
      </x:c>
      <x:c r="AE402" s="4" t="str">
        <x:v>Supporting smithing tool proposed for review; not separately established game canon.</x:v>
      </x:c>
      <x:c r="AF402" s="4" t="str">
        <x:v>Not applicable</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status/completeness",IF(AF402="T0","Raw entry feed; no production route","No production route listed"))</x:f>
        <x:v>No production route listed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"&amp;U403&amp;"; "&amp;AF403&amp;"; "&amp;AH403&amp;"; "&amp;AI403)</x:f>
        <x:v>proposal.forging.punch; forging punch; equipment; metal piercing tool; tool; finished item; manufactured / unresolved; metal forging; mixed / unresolved; assembly; proposal; smithing punch; hot punch; metal punch; not applicable; unassigned; finished item</x:v>
      </x:c>
      <x:c r="AE403" s="4" t="str">
        <x:v>Supporting smithing tool proposed for review; not separately established game canon.</x:v>
      </x:c>
      <x:c r="AF403" s="4" t="str">
        <x:v>Not applicable</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status/completeness",IF(AF403="T0","Raw entry feed; no production route","No production route listed"))</x:f>
        <x:v>No production route listed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"&amp;U404&amp;"; "&amp;AF404&amp;";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E404" s="4" t="str">
        <x:v>Supporting smithing tool proposed for review; not separately established game canon.</x:v>
      </x:c>
      <x:c r="AF404" s="4" t="str">
        <x:v>Not applicable</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status/completeness",IF(AF404="T0","Raw entry feed; no production route","No production route listed"))</x:f>
        <x:v>No production route listed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"&amp;U405&amp;"; "&amp;AF405&amp;";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E405" s="4" t="str">
        <x:v>Supporting smithing tool proposed for review; not separately established game canon.</x:v>
      </x:c>
      <x:c r="AF405" s="4" t="str">
        <x:v>Not applicable</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status/completeness",IF(AF405="T0","Raw entry feed; no production route","No production route listed"))</x:f>
        <x:v>No production route listed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"&amp;U406&amp;"; "&amp;AF406&amp;";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E406" s="4" t="str">
        <x:v>Supporting smithing tool proposed for review; not separately established game canon.</x:v>
      </x:c>
      <x:c r="AF406" s="4" t="str">
        <x:v>Not applicable</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status/completeness",IF(AF406="T0","Raw entry feed; no production route","No production route listed"))</x:f>
        <x:v>No production route listed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"&amp;U407&amp;"; "&amp;AF407&amp;";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E407" s="4" t="str">
        <x:v>Supporting smithing tool proposed for review; not separately established game canon.</x:v>
      </x:c>
      <x:c r="AF407" s="4" t="str">
        <x:v>Not applicable</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status/completeness",IF(AF407="T0","Raw entry feed; no production route","No production route listed"))</x:f>
        <x:v>No production route listed</x:v>
      </x:c>
    </x:row>
    <x:row r="408" ht="115" customHeight="1">
      <x:c r="A408" s="9" t="str">
        <x:v>author.metallurgy.steel_stock</x:v>
      </x:c>
      <x:c r="B408" s="9" t="str">
        <x:v>Steel stock</x:v>
      </x:c>
      <x:c r="C408" s="9" t="str">
        <x:v>Resources</x:v>
      </x:c>
      <x:c r="D408" s="9" t="str">
        <x:v>Steel material</x:v>
      </x:c>
      <x:c r="E408" s="9" t="str">
        <x:v>Author-directed concept</x:v>
      </x:c>
      <x:c r="F408" s="9" t="str">
        <x:v>Manufactured steel stock for later fabrication.</x:v>
      </x:c>
      <x:c r="G408" s="9" t="str">
        <x:v>None</x:v>
      </x:c>
      <x:c r="H408" s="9" t="str">
        <x:v>Workshop or cargo stock; forms unresolved</x:v>
      </x:c>
      <x:c r="I408" s="13"/>
      <x:c r="J408" s="15"/>
      <x:c r="K408" s="9" t="str">
        <x:v>Contemporary steelmaking capability; production and access details unresolved</x:v>
      </x:c>
      <x:c r="L408" s="9" t="str">
        <x:v>Fairly advanced steelmaking is author direction. Specific feedstocks, refining routes, alloying and heat treatment remain open.</x:v>
      </x:c>
      <x:c r="M408" s="9" t="str">
        <x:v>Material family; not implemented</x:v>
      </x:c>
      <x:c r="N408" s="9" t="str">
        <x:v>No particular steel grade, composition, performance, abundance or manufacturing recipe established</x:v>
      </x:c>
      <x:c r="O408" s="17"/>
      <x:c r="P408" s="17"/>
      <x:c r="Q408" s="17"/>
      <x:c r="R408" s="17"/>
      <x:c r="S408" s="17"/>
      <x:c r="T408" s="9" t="str">
        <x:v>Select material grades and production routes before assigning tiers, costs, yield or properties.</x:v>
      </x:c>
      <x:c r="U408" s="11" t="str">
        <x:v>steel; steelmaking; advanced metallurgy; refined steel</x:v>
      </x:c>
      <x:c r="V408" s="9" t="str">
        <x:v>Direct author direction, October 14, 2026; Docs/WORLD_BASIS.md#forging-and-workshop-tooling</x:v>
      </x:c>
      <x:c r="W408" s="4" t="str">
        <x:v>Processed material</x:v>
      </x:c>
      <x:c r="X408" s="4" t="str">
        <x:v>Processed intermediate</x:v>
      </x:c>
      <x:c r="Y408" s="4" t="str">
        <x:v>Manufactured / unresolved</x:v>
      </x:c>
      <x:c r="Z408" s="4" t="str">
        <x:v>Fabrication</x:v>
      </x:c>
      <x:c r="AA408" s="4" t="str">
        <x:v>Metal</x:v>
      </x:c>
      <x:c r="AB408" s="4" t="str">
        <x:v>Unresolved</x:v>
      </x:c>
      <x:c r="AC408" s="4" t="str">
        <x:v>Author direction</x:v>
      </x:c>
      <x:c r="AD408" s="4" t="str">
        <x:f>LOWER(A408&amp;"; "&amp;B408&amp;"; "&amp;C408&amp;"; "&amp;D408&amp;"; "&amp;W408&amp;"; "&amp;X408&amp;"; "&amp;Y408&amp;"; "&amp;Z408&amp;"; "&amp;AA408&amp;"; "&amp;AB408&amp;"; "&amp;AC408&amp;"; "&amp;U408&amp;"; "&amp;AF408&amp;"; "&amp;AH408&amp;"; "&amp;AI408)</x:f>
        <x:v>author.metallurgy.steel_stock; steel stock; resources; steel material; processed material; processed intermediate; manufactured / unresolved; fabrication; metal; unresolved; author direction; steel; steelmaking; advanced metallurgy; refined steel; unassigned; not applicable; material</x:v>
      </x:c>
      <x:c r="AE408" s="4" t="str">
        <x:v>Fairly advanced contemporary steelmaking is established; this does not establish specific modern alloy grades or ancient-material reproduction.</x:v>
      </x:c>
      <x:c r="AF408" s="4" t="str">
        <x:v>Unassigned</x:v>
      </x:c>
      <x:c r="AG408" s="4" t="str">
        <x:v>A chosen production route is required. Advanced processing capability alone does not determine refinement depth.</x:v>
      </x:c>
      <x:c r="AH408" s="4" t="str">
        <x:v>Not applicable</x:v>
      </x:c>
      <x:c r="AI408" s="4" t="str">
        <x:v>Material</x:v>
      </x:c>
      <x:c r="AJ408" s="4" t="n">
        <x:f>COUNTIFS('Material routes'!$D$6:$D$1005,A408,'Material routes'!$C$6:$C$1005,"Output")</x:f>
        <x:v>0</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1</x:v>
      </x:c>
      <x:c r="AL408" s="4" t="n">
        <x:f>COUNTIFS('Material routes'!$D$6:$D$1005,A408,'Material routes'!$C$6:$C$1005,"Tool candidate")</x:f>
        <x:v>0</x:v>
      </x:c>
      <x:c r="AM408" s="4" t="str">
        <x:f>IF(AJ408&gt;0,"Route listed; review status/completeness",IF(AF408="T0","Raw entry feed; no production route","No production route listed"))</x:f>
        <x:v>No production route listed</x:v>
      </x:c>
    </x:row>
    <x:row r="409" ht="115" customHeight="1">
      <x:c r="A409" s="9" t="str">
        <x:v>author.city_transport.carriage</x:v>
      </x:c>
      <x:c r="B409" s="9" t="str">
        <x:v>Inner-city carriage</x:v>
      </x:c>
      <x:c r="C409" s="9" t="str">
        <x:v>Equipment</x:v>
      </x:c>
      <x:c r="D409" s="9" t="str">
        <x:v>Inner-city transport machine</x:v>
      </x:c>
      <x:c r="E409" s="9" t="str">
        <x:v>Author-directed concept</x:v>
      </x:c>
      <x:c r="F409" s="9" t="str">
        <x:v>Transport in the inner cities.</x:v>
      </x:c>
      <x:c r="G409" s="9" t="str">
        <x:v>None / vehicle</x:v>
      </x:c>
      <x:c r="H409" s="9" t="str">
        <x:v>Vehicle placement, storage and handling unresolved</x:v>
      </x:c>
      <x:c r="I409" s="13"/>
      <x:c r="J409" s="15"/>
      <x:c r="K409" s="9" t="str">
        <x:v>Inner-city transport; acquisition and ownership unresolved</x:v>
      </x:c>
      <x:c r="L409" s="9" t="str">
        <x:v>Construction, power source, materials and input tiers unresolved</x:v>
      </x:c>
      <x:c r="M409" s="9" t="str">
        <x:v>Lore item family; not implemented</x:v>
      </x:c>
      <x:c r="N409" s="9" t="str">
        <x:v>Most inner-city transport machinery is bipedal. Exact locomotion of this family remains open; wheels, draft animals and combustion engines are not established.</x:v>
      </x:c>
      <x:c r="O409" s="17"/>
      <x:c r="P409" s="17"/>
      <x:c r="Q409" s="17"/>
      <x:c r="R409" s="17"/>
      <x:c r="S409" s="17"/>
      <x:c r="T409" s="9" t="str">
        <x:v>Capacity, operation, ownership, availability outside cities and exact relation of cars/carriages to bipedal designs remain open.</x:v>
      </x:c>
      <x:c r="U409" s="11" t="str">
        <x:v>carriage; urban transport; inner city carriage</x:v>
      </x:c>
      <x:c r="V409" s="9" t="str">
        <x:v>Direct author direction, October 14, 2026; Docs/WORLD_BASIS.md#inner-city-transport</x:v>
      </x:c>
      <x:c r="W409" s="4" t="str">
        <x:v>Machine</x:v>
      </x:c>
      <x:c r="X409" s="4" t="str">
        <x:v>Finished item</x:v>
      </x:c>
      <x:c r="Y409" s="4" t="str">
        <x:v>Manufactured / unresolved</x:v>
      </x:c>
      <x:c r="Z409" s="4" t="str">
        <x:v>Traversal</x:v>
      </x:c>
      <x:c r="AA409" s="4" t="str">
        <x:v>Mixed / unresolved</x:v>
      </x:c>
      <x:c r="AB409" s="4" t="str">
        <x:v>Assembly</x:v>
      </x:c>
      <x:c r="AC409" s="4" t="str">
        <x:v>Author direction</x:v>
      </x:c>
      <x:c r="AD409" s="4" t="str">
        <x:f>LOWER(A409&amp;"; "&amp;B409&amp;"; "&amp;C409&amp;"; "&amp;D409&amp;"; "&amp;W409&amp;"; "&amp;X409&amp;"; "&amp;Y409&amp;"; "&amp;Z409&amp;"; "&amp;AA409&amp;"; "&amp;AB409&amp;"; "&amp;AC409&amp;"; "&amp;U409&amp;"; "&amp;AF409&amp;";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E409" s="4" t="str">
        <x:v>Inner-city carriage/car families and a dominant bipedal machinery context are author direction; their individual construction remains undefined.</x:v>
      </x:c>
      <x:c r="AF409" s="4" t="str">
        <x:v>Not applicable</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status/completeness",IF(AF409="T0","Raw entry feed; no production route","No production route listed"))</x:f>
        <x:v>No production route listed</x:v>
      </x:c>
    </x:row>
    <x:row r="410" ht="115" customHeight="1">
      <x:c r="A410" s="9" t="str">
        <x:v>author.city_transport.car</x:v>
      </x:c>
      <x:c r="B410" s="9" t="str">
        <x:v>Inner-city car</x:v>
      </x:c>
      <x:c r="C410" s="9" t="str">
        <x:v>Equipment</x:v>
      </x:c>
      <x:c r="D410" s="9" t="str">
        <x:v>Inner-city transport machine</x:v>
      </x:c>
      <x:c r="E410" s="9" t="str">
        <x:v>Author-directed concept</x:v>
      </x:c>
      <x:c r="F410" s="9" t="str">
        <x:v>Transport in the inner cities.</x:v>
      </x:c>
      <x:c r="G410" s="9" t="str">
        <x:v>None / vehicle</x:v>
      </x:c>
      <x:c r="H410" s="9" t="str">
        <x:v>Vehicle placement, storage and handling unresolved</x:v>
      </x:c>
      <x:c r="I410" s="13"/>
      <x:c r="J410" s="15"/>
      <x:c r="K410" s="9" t="str">
        <x:v>Inner-city transport; acquisition and ownership unresolved</x:v>
      </x:c>
      <x:c r="L410" s="9" t="str">
        <x:v>Construction, power source, materials and input tiers unresolved</x:v>
      </x:c>
      <x:c r="M410" s="9" t="str">
        <x:v>Lore item family; not implemented</x:v>
      </x:c>
      <x:c r="N410" s="9" t="str">
        <x:v>Most inner-city transport machinery is bipedal. Exact locomotion of this family remains open; wheels, draft animals and combustion engines are not established.</x:v>
      </x:c>
      <x:c r="O410" s="17"/>
      <x:c r="P410" s="17"/>
      <x:c r="Q410" s="17"/>
      <x:c r="R410" s="17"/>
      <x:c r="S410" s="17"/>
      <x:c r="T410" s="9" t="str">
        <x:v>Capacity, operation, ownership, availability outside cities and exact relation of cars/carriages to bipedal designs remain open.</x:v>
      </x:c>
      <x:c r="U410" s="11" t="str">
        <x:v>car; urban transport; inner city car</x:v>
      </x:c>
      <x:c r="V410" s="9" t="str">
        <x:v>Direct author direction, October 14, 2026; Docs/WORLD_BASIS.md#inner-city-transport</x:v>
      </x:c>
      <x:c r="W410" s="4" t="str">
        <x:v>Machine</x:v>
      </x:c>
      <x:c r="X410" s="4" t="str">
        <x:v>Finished item</x:v>
      </x:c>
      <x:c r="Y410" s="4" t="str">
        <x:v>Manufactured / unresolved</x:v>
      </x:c>
      <x:c r="Z410" s="4" t="str">
        <x:v>Traversal</x:v>
      </x:c>
      <x:c r="AA410" s="4" t="str">
        <x:v>Mixed / unresolved</x:v>
      </x:c>
      <x:c r="AB410" s="4" t="str">
        <x:v>Assembly</x:v>
      </x:c>
      <x:c r="AC410" s="4" t="str">
        <x:v>Author direction</x:v>
      </x:c>
      <x:c r="AD410" s="4" t="str">
        <x:f>LOWER(A410&amp;"; "&amp;B410&amp;"; "&amp;C410&amp;"; "&amp;D410&amp;"; "&amp;W410&amp;"; "&amp;X410&amp;"; "&amp;Y410&amp;"; "&amp;Z410&amp;"; "&amp;AA410&amp;"; "&amp;AB410&amp;"; "&amp;AC410&amp;"; "&amp;U410&amp;"; "&amp;AF410&amp;";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E410" s="4" t="str">
        <x:v>Inner-city carriage/car families and a dominant bipedal machinery context are author direction; their individual construction remains undefined.</x:v>
      </x:c>
      <x:c r="AF410" s="4" t="str">
        <x:v>Not applicable</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status/completeness",IF(AF410="T0","Raw entry feed; no production route","No production route listed"))</x:f>
        <x:v>No production route listed</x:v>
      </x:c>
    </x:row>
    <x:row r="411" ht="115" customHeight="1">
      <x:c r="A411" s="9" t="str">
        <x:v>author.corrosion.advanced_remover</x:v>
      </x:c>
      <x:c r="B411" s="9" t="str">
        <x:v>Advanced rust-removal compound</x:v>
      </x:c>
      <x:c r="C411" s="9" t="str">
        <x:v>Resources</x:v>
      </x:c>
      <x:c r="D411" s="9" t="str">
        <x:v>Metal surface-treatment material</x:v>
      </x:c>
      <x:c r="E411" s="9" t="str">
        <x:v>Author-directed concept</x:v>
      </x:c>
      <x:c r="F411" s="9" t="str">
        <x:v>Advanced de-rusting material intended to remove corrosion products from iron/steel.</x:v>
      </x:c>
      <x:c r="G411" s="9" t="str">
        <x:v>None</x:v>
      </x:c>
      <x:c r="H411" s="9" t="str">
        <x:v>Contained workshop material; physical form and carrier unresolved</x:v>
      </x:c>
      <x:c r="I411" s="13"/>
      <x:c r="J411" s="15"/>
      <x:c r="K411" s="9" t="str">
        <x:v>Workshop manufacture or trade; inputs unresolved</x:v>
      </x:c>
      <x:c r="L411" s="9" t="str">
        <x:v>Mineral/faunal chemistry is a possible game direction, not an accepted formulation. Composition, carrier and material tier remain open.</x:v>
      </x:c>
      <x:c r="M411" s="9" t="str">
        <x:v>Material concept; not implemented</x:v>
      </x:c>
      <x:c r="N411" s="9" t="str">
        <x:v>Removal, conversion and prevention are distinct functions. Substrate compatibility, residues and effects on existing finishes remain undefined.</x:v>
      </x:c>
      <x:c r="O411" s="17"/>
      <x:c r="P411" s="17"/>
      <x:c r="Q411" s="17"/>
      <x:c r="R411" s="17"/>
      <x:c r="S411" s="17"/>
      <x:c r="T411" s="9" t="str">
        <x:v>No exact reagent, free-water bath, plant extract, numeric effect or restoration of lost metal is established.</x:v>
      </x:c>
      <x:c r="U411" s="11" t="str">
        <x:v>derusting; de-rusting; rust remover; oxide removal compound</x:v>
      </x:c>
      <x:c r="V411" s="9" t="str">
        <x:v>Direct author direction, October 14, 2026. Docs/WORLD_BASIS.md#metal-corrosion-and-surface-treatment; real-world function reference only: https://www.canada.ca/en/conservation-institute/services/care-objects/metals/basic-care-iron.html . Reference methods are not game recipes.</x:v>
      </x:c>
      <x:c r="W411" s="4" t="str">
        <x:v>Chemical material</x:v>
      </x:c>
      <x:c r="X411" s="4" t="str">
        <x:v>Processed intermediate</x:v>
      </x:c>
      <x:c r="Y411" s="4" t="str">
        <x:v>Manufactured / unresolved</x:v>
      </x:c>
      <x:c r="Z411" s="4" t="str">
        <x:v>Surface finishing</x:v>
      </x:c>
      <x:c r="AA411" s="4" t="str">
        <x:v>Mixed / unresolved</x:v>
      </x:c>
      <x:c r="AB411" s="4" t="str">
        <x:v>Unresolved</x:v>
      </x:c>
      <x:c r="AC411" s="4" t="str">
        <x:v>Author direction</x:v>
      </x:c>
      <x:c r="AD411" s="4" t="str">
        <x:f>LOWER(A411&amp;"; "&amp;B411&amp;"; "&amp;C411&amp;"; "&amp;D411&amp;"; "&amp;W411&amp;"; "&amp;X411&amp;"; "&amp;Y411&amp;"; "&amp;Z411&amp;"; "&amp;AA411&amp;"; "&amp;AB411&amp;"; "&amp;AC411&amp;"; "&amp;U411&amp;"; "&amp;AF411&amp;";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unassigned; not applicable; material</x:v>
      </x:c>
      <x:c r="AE411" s="4" t="str">
        <x:v>Advanced de-rusting material family is author direction; formulation and performance are not specified.</x:v>
      </x:c>
      <x:c r="AF411" s="4" t="str">
        <x:v>Unassigned</x:v>
      </x:c>
      <x:c r="AG411" s="4" t="str">
        <x:v>Choose a material production route before assigning a numeric refinement tier.</x:v>
      </x:c>
      <x:c r="AH411" s="4" t="str">
        <x:v>Not applicable</x:v>
      </x:c>
      <x:c r="AI411" s="4" t="str">
        <x:v>Material</x:v>
      </x:c>
      <x:c r="AJ411" s="4" t="n">
        <x:f>COUNTIFS('Material routes'!$D$6:$D$1005,A411,'Material routes'!$C$6:$C$1005,"Output")</x:f>
        <x:v>0</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status/completeness",IF(AF411="T0","Raw entry feed; no production route","No production route listed"))</x:f>
        <x:v>No production route listed</x:v>
      </x:c>
    </x:row>
    <x:row r="412" ht="115" customHeight="1">
      <x:c r="A412" s="9" t="str">
        <x:v>proposal.corrosion.converter</x:v>
      </x:c>
      <x:c r="B412" s="9" t="str">
        <x:v>Rust-conversion treatment</x:v>
      </x:c>
      <x:c r="C412" s="9" t="str">
        <x:v>Resources</x:v>
      </x:c>
      <x:c r="D412" s="9" t="str">
        <x:v>Metal surface-treatment material</x:v>
      </x:c>
      <x:c r="E412" s="9" t="str">
        <x:v>New proposal</x:v>
      </x:c>
      <x:c r="F412" s="9" t="str">
        <x:v>Candidate treatment that changes selected residual rust into an adherent conversion layer rather than removing it.</x:v>
      </x:c>
      <x:c r="G412" s="9" t="str">
        <x:v>None</x:v>
      </x:c>
      <x:c r="H412" s="9" t="str">
        <x:v>Contained workshop material; physical form and carrier unresolved</x:v>
      </x:c>
      <x:c r="I412" s="13"/>
      <x:c r="J412" s="15"/>
      <x:c r="K412" s="9" t="str">
        <x:v>Workshop manufacture or trade; inputs unresolved</x:v>
      </x:c>
      <x:c r="L412" s="9" t="str">
        <x:v>Mineral/faunal chemistry is a possible game direction, not an accepted formulation. Composition, carrier and material tier remain open.</x:v>
      </x:c>
      <x:c r="M412" s="9" t="str">
        <x:v>Material concept; not implemented</x:v>
      </x:c>
      <x:c r="N412" s="9" t="str">
        <x:v>Removal, conversion and prevention are distinct functions. Substrate compatibility, residues and effects on existing finishes remain undefined.</x:v>
      </x:c>
      <x:c r="O412" s="17"/>
      <x:c r="P412" s="17"/>
      <x:c r="Q412" s="17"/>
      <x:c r="R412" s="17"/>
      <x:c r="S412" s="17"/>
      <x:c r="T412" s="9" t="str">
        <x:v>No exact reagent, free-water bath, plant extract, numeric effect or restoration of lost metal is established.</x:v>
      </x:c>
      <x:c r="U412" s="11" t="str">
        <x:v>rust converter; conversion treatment; oxide conversion</x:v>
      </x:c>
      <x:c r="V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W412" s="4" t="str">
        <x:v>Chemical material</x:v>
      </x:c>
      <x:c r="X412" s="4" t="str">
        <x:v>Processed intermediate</x:v>
      </x:c>
      <x:c r="Y412" s="4" t="str">
        <x:v>Manufactured / unresolved</x:v>
      </x:c>
      <x:c r="Z412" s="4" t="str">
        <x:v>Surface finishing</x:v>
      </x:c>
      <x:c r="AA412" s="4" t="str">
        <x:v>Mixed / unresolved</x:v>
      </x:c>
      <x:c r="AB412" s="4" t="str">
        <x:v>Unresolved</x:v>
      </x:c>
      <x:c r="AC412" s="4" t="str">
        <x:v>Proposal</x:v>
      </x:c>
      <x:c r="AD412" s="4" t="str">
        <x:f>LOWER(A412&amp;"; "&amp;B412&amp;"; "&amp;C412&amp;"; "&amp;D412&amp;"; "&amp;W412&amp;"; "&amp;X412&amp;"; "&amp;Y412&amp;"; "&amp;Z412&amp;"; "&amp;AA412&amp;"; "&amp;AB412&amp;"; "&amp;AC412&amp;"; "&amp;U412&amp;"; "&amp;AF412&amp;";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E412" s="4" t="str">
        <x:v>Supporting surface-treatment proposal informed by real-world distinctions; not separately accepted game canon.</x:v>
      </x:c>
      <x:c r="AF412" s="4" t="str">
        <x:v>Unassigned</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status/completeness",IF(AF412="T0","Raw entry feed; no production route","No production route listed"))</x:f>
        <x:v>No production route listed</x:v>
      </x:c>
    </x:row>
    <x:row r="413" ht="115" customHeight="1">
      <x:c r="A413" s="9" t="str">
        <x:v>proposal.corrosion.inhibitor</x:v>
      </x:c>
      <x:c r="B413" s="9" t="str">
        <x:v>Corrosion-inhibiting finish</x:v>
      </x:c>
      <x:c r="C413" s="9" t="str">
        <x:v>Resources</x:v>
      </x:c>
      <x:c r="D413" s="9" t="str">
        <x:v>Metal surface-treatment material</x:v>
      </x:c>
      <x:c r="E413" s="9" t="str">
        <x:v>New proposal</x:v>
      </x:c>
      <x:c r="F413" s="9" t="str">
        <x:v>Candidate finish intended to slow renewed corrosion after appropriate surface preparation.</x:v>
      </x:c>
      <x:c r="G413" s="9" t="str">
        <x:v>None</x:v>
      </x:c>
      <x:c r="H413" s="9" t="str">
        <x:v>Contained workshop material; physical form and carrier unresolved</x:v>
      </x:c>
      <x:c r="I413" s="13"/>
      <x:c r="J413" s="15"/>
      <x:c r="K413" s="9" t="str">
        <x:v>Workshop manufacture or trade; inputs unresolved</x:v>
      </x:c>
      <x:c r="L413" s="9" t="str">
        <x:v>Mineral/faunal chemistry is a possible game direction, not an accepted formulation. Composition, carrier and material tier remain open.</x:v>
      </x:c>
      <x:c r="M413" s="9" t="str">
        <x:v>Material concept; not implemented</x:v>
      </x:c>
      <x:c r="N413" s="9" t="str">
        <x:v>Removal, conversion and prevention are distinct functions. Substrate compatibility, residues and effects on existing finishes remain undefined.</x:v>
      </x:c>
      <x:c r="O413" s="17"/>
      <x:c r="P413" s="17"/>
      <x:c r="Q413" s="17"/>
      <x:c r="R413" s="17"/>
      <x:c r="S413" s="17"/>
      <x:c r="T413" s="9" t="str">
        <x:v>No exact reagent, free-water bath, plant extract, numeric effect or restoration of lost metal is established.</x:v>
      </x:c>
      <x:c r="U413" s="11" t="str">
        <x:v>rust prevention; corrosion inhibitor; protective finish</x:v>
      </x:c>
      <x:c r="V413" s="9" t="str">
        <x:v>New game proposal. Docs/WORLD_BASIS.md#metal-corrosion-and-surface-treatment; real-world function reference only: https://www.canada.ca/en/conservation-institute/services/care-objects/metals/basic-care-iron.html . Reference methods are not game recipes.</x:v>
      </x:c>
      <x:c r="W413" s="4" t="str">
        <x:v>Chemical material</x:v>
      </x:c>
      <x:c r="X413" s="4" t="str">
        <x:v>Processed intermediate</x:v>
      </x:c>
      <x:c r="Y413" s="4" t="str">
        <x:v>Manufactured / unresolved</x:v>
      </x:c>
      <x:c r="Z413" s="4" t="str">
        <x:v>Surface finishing</x:v>
      </x:c>
      <x:c r="AA413" s="4" t="str">
        <x:v>Mixed / unresolved</x:v>
      </x:c>
      <x:c r="AB413" s="4" t="str">
        <x:v>Unresolved</x:v>
      </x:c>
      <x:c r="AC413" s="4" t="str">
        <x:v>Proposal</x:v>
      </x:c>
      <x:c r="AD413" s="4" t="str">
        <x:f>LOWER(A413&amp;"; "&amp;B413&amp;"; "&amp;C413&amp;"; "&amp;D413&amp;"; "&amp;W413&amp;"; "&amp;X413&amp;"; "&amp;Y413&amp;"; "&amp;Z413&amp;"; "&amp;AA413&amp;"; "&amp;AB413&amp;"; "&amp;AC413&amp;"; "&amp;U413&amp;"; "&amp;AF413&amp;";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E413" s="4" t="str">
        <x:v>Supporting surface-treatment proposal informed by real-world distinctions; not separately accepted game canon.</x:v>
      </x:c>
      <x:c r="AF413" s="4" t="str">
        <x:v>Unassigned</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status/completeness",IF(AF413="T0","Raw entry feed; no production route","No production route listed"))</x:f>
        <x:v>No production route listed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1">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 type="list" sqref="AI6:AI1005">
      <x:formula1>'Taxonomy'!$B$210:$B$213</x:formula1>
    </x:dataValidation>
  </x:dataValidations>
  <x:pageMargins left="0.7" right="0.7" top="0.75" bottom="0.75" header="0.3" footer="0.3"/>
  <x:tableParts count="1">
    <x:tablePart xmlns:r="http://schemas.openxmlformats.org/officeDocument/2006/relationships" r:id="Rfcfd902964974729"/>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ef5a5f2d151243ce"/>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ecdfe43939454843"/>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163</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8e2bc9e5211542a2"/>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408 catalog entries: 18 existing definition IDs and 390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C and W:AC, material tier in AF and crafting role in AI. AH retains known endpoint input-tier information. U supplies extra aliases; AD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413. AI owns crafting role; AJ:AM and AD are calculated. AF is material tier, AH is endpoint input-tier information where known. Add recipe relationships separately and rebuild browser pairs when topology changes.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AF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gaps awaiting design</x:v>
      </x:c>
      <x:c r="B191" s="4" t="str">
        <x:v>T3 and T4 remain reserved vocabulary with no assigned material items. Unassigned is intentional where no route establishes manufacturing depth. Choose actual advanced material products and their required intermediate stocks before filling those tiers.</x:v>
      </x:c>
    </x:row>
    <x:row r="192" ht="115" customHeight="1">
      <x:c r="A192" s="4" t="str">
        <x:v>Audit: catalog item count</x:v>
      </x:c>
      <x:c r="B192" s="4" t="n">
        <x:f>COUNTA(Items!$A$6:$A$1005)</x:f>
        <x:v>408</x:v>
      </x:c>
    </x:row>
    <x:row r="193" ht="115" customHeight="1">
      <x:c r="A193" s="4" t="str">
        <x:v>Audit: recipe count</x:v>
      </x:c>
      <x:c r="B193" s="4" t="n">
        <x:f>COUNTA('Crafting recipes'!$A$6:$A$1005)</x:f>
        <x:v>72</x:v>
      </x:c>
    </x:row>
    <x:row r="194" ht="115" customHeight="1">
      <x:c r="A194" s="4" t="str">
        <x:v>Audit: relationship count</x:v>
      </x:c>
      <x:c r="B194" s="4" t="n">
        <x:f>COUNTA('Material routes'!$A$6:$A$1005)</x:f>
        <x:v>151</x:v>
      </x:c>
    </x:row>
    <x:row r="195" ht="115" customHeight="1">
      <x:c r="A195" s="4" t="str">
        <x:v>Audit: browser pair count</x:v>
      </x:c>
      <x:c r="B195" s="4" t="n">
        <x:f>COUNTA('Crafting browser'!$J$6:$J$1005)</x:f>
        <x:v>79</x:v>
      </x:c>
    </x:row>
    <x:row r="196" ht="115" customHeight="1">
      <x:c r="A196" s="4" t="str">
        <x:v>Audit: unassigned tiers</x:v>
      </x:c>
      <x:c r="B196" s="4" t="n">
        <x:f>COUNTIFS(Items!$AF$6:$AF$1005,"Unassigned")</x:f>
        <x:v>101</x:v>
      </x:c>
    </x:row>
  </x:sheetData>
  <x:pageMargins left="0.7" right="0.7" top="0.75" bottom="0.75" header="0.3" footer="0.3"/>
  <x:tableParts count="1">
    <x:tablePart xmlns:r="http://schemas.openxmlformats.org/officeDocument/2006/relationships" r:id="Rd97bed5a66a74092"/>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25bb6d4ea0184f44"/>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6e6a4340821425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ac3dea5e175644eb"/>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7f03ee5dc97b4151"/>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47f12f53beab46fb"/>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0ef5859d8c7441b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1cda8690c12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IFERROR(INDEX(Items!$C$6:$C$1005,MATCH(A564,Items!$A$6:$A$1005,0)),"MISSING ITEM ID")</x:f>
        <x:v>Resources</x:v>
      </x:c>
      <x:c r="D564" s="3" t="str">
        <x:v>Primary</x:v>
      </x:c>
      <x:c r="E564" s="3" t="str">
        <x:f>IFERROR(INDEX(Items!$Z$6:$Z$1005,MATCH(A564,Items!$A$6:$A$1005,0)),"MISSING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IFERROR(INDEX(Items!$C$6:$C$1005,MATCH(A565,Items!$A$6:$A$1005,0)),"MISSING ITEM ID")</x:f>
        <x:v>Equipment</x:v>
      </x:c>
      <x:c r="D565" s="3" t="str">
        <x:v>Primary</x:v>
      </x:c>
      <x:c r="E565" s="3" t="str">
        <x:f>IFERROR(INDEX(Items!$Z$6:$Z$1005,MATCH(A565,Items!$A$6:$A$1005,0)),"MISSING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IFERROR(INDEX(Items!$C$6:$C$1005,MATCH(A566,Items!$A$6:$A$1005,0)),"MISSING ITEM ID")</x:f>
        <x:v>Equipment</x:v>
      </x:c>
      <x:c r="D566" s="3" t="str">
        <x:v>Primary</x:v>
      </x:c>
      <x:c r="E566" s="3" t="str">
        <x:f>IFERROR(INDEX(Items!$Z$6:$Z$1005,MATCH(A566,Items!$A$6:$A$1005,0)),"MISSING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IFERROR(INDEX(Items!$C$6:$C$1005,MATCH(A567,Items!$A$6:$A$1005,0)),"MISSING ITEM ID")</x:f>
        <x:v>Resources</x:v>
      </x:c>
      <x:c r="D567" s="3" t="str">
        <x:v>Primary</x:v>
      </x:c>
      <x:c r="E567" s="3" t="str">
        <x:f>IFERROR(INDEX(Items!$Z$6:$Z$1005,MATCH(A567,Items!$A$6:$A$1005,0)),"MISSING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IFERROR(INDEX(Items!$C$6:$C$1005,MATCH(A568,Items!$A$6:$A$1005,0)),"MISSING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IFERROR(INDEX(Items!$C$6:$C$1005,MATCH(A569,Items!$A$6:$A$1005,0)),"MISSING ITEM ID")</x:f>
        <x:v>Resources</x:v>
      </x:c>
      <x:c r="D569" s="3" t="str">
        <x:v>Primary</x:v>
      </x:c>
      <x:c r="E569" s="3" t="str">
        <x:f>IFERROR(INDEX(Items!$Z$6:$Z$1005,MATCH(A569,Items!$A$6:$A$1005,0)),"MISSING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IFERROR(INDEX(Items!$C$6:$C$1005,MATCH(A570,Items!$A$6:$A$1005,0)),"MISSING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IFERROR(INDEX(Items!$C$6:$C$1005,MATCH(A571,Items!$A$6:$A$1005,0)),"MISSING ITEM ID")</x:f>
        <x:v>Resources</x:v>
      </x:c>
      <x:c r="D571" s="3" t="str">
        <x:v>Primary</x:v>
      </x:c>
      <x:c r="E571" s="3" t="str">
        <x:f>IFERROR(INDEX(Items!$Z$6:$Z$1005,MATCH(A571,Items!$A$6:$A$1005,0)),"MISSING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IFERROR(INDEX(Items!$C$6:$C$1005,MATCH(A572,Items!$A$6:$A$1005,0)),"MISSING ITEM ID")</x:f>
        <x:v>Resources</x:v>
      </x:c>
      <x:c r="D572" s="3" t="str">
        <x:v>Secondary</x:v>
      </x:c>
      <x:c r="E572" s="3" t="str">
        <x:v>Equipment repair</x:v>
      </x:c>
      <x:c r="F572" s="3" t="str">
        <x:v>Candidate maintenance use; compatibility must be specified.</x:v>
      </x:c>
    </x:row>
  </x:sheetData>
  <x:dataValidations count="3">
    <x:dataValidation type="list" sqref="A6:A1005">
      <x:formula1>'Items'!$A$6:$A$413</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69ca7fd519374638"/>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IFERROR(INDEX('Items'!$AF$6:$AF$1005,MATCH(D6,'Items'!$A$6:$A$1005,0)),"MISSING ID")</x:f>
        <x:v>T0</x:v>
      </x:c>
      <x:c r="G6" s="4" t="str">
        <x:f>IFERROR(INDEX('Items'!$C$6:$C$1005,MATCH(D6,'Items'!$A$6:$A$1005,0)),"MISSING ID")</x:f>
        <x:v>Resources</x:v>
      </x:c>
      <x:c r="H6" s="4" t="str">
        <x:f>IFERROR(INDEX('Items'!$W$6:$W$1005,MATCH(D6,'Items'!$A$6:$A$1005,0)),"MISSING ID")</x:f>
        <x:v>Raw material</x:v>
      </x:c>
      <x:c r="I6" s="4"/>
      <x:c r="J6" s="4" t="str">
        <x:v>Unspecified</x:v>
      </x:c>
      <x:c r="K6" s="4" t="str">
        <x:f>IFERROR(INDEX('Crafting recipes'!$D$6:$D$1005,MATCH(B6,'Crafting recipes'!$A$6:$A$1005,0)),"MISSING ID")</x:f>
        <x:v>Proposal</x:v>
      </x:c>
      <x:c r="L6" s="4" t="str">
        <x:f>IFERROR(INDEX('Items'!$AC$6:$AC$1005,MATCH(D6,'Items'!$A$6:$A$1005,0)),"MISSING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IFERROR(INDEX('Items'!$AF$6:$AF$1005,MATCH(D7,'Items'!$A$6:$A$1005,0)),"MISSING ID")</x:f>
        <x:v>T0</x:v>
      </x:c>
      <x:c r="G7" s="4" t="str">
        <x:f>IFERROR(INDEX('Items'!$C$6:$C$1005,MATCH(D7,'Items'!$A$6:$A$1005,0)),"MISSING ID")</x:f>
        <x:v>Resources</x:v>
      </x:c>
      <x:c r="H7" s="4" t="str">
        <x:f>IFERROR(INDEX('Items'!$W$6:$W$1005,MATCH(D7,'Items'!$A$6:$A$1005,0)),"MISSING ID")</x:f>
        <x:v>Raw material</x:v>
      </x:c>
      <x:c r="I7" s="4"/>
      <x:c r="J7" s="4" t="str">
        <x:v>Unspecified</x:v>
      </x:c>
      <x:c r="K7" s="4" t="str">
        <x:f>IFERROR(INDEX('Crafting recipes'!$D$6:$D$1005,MATCH(B7,'Crafting recipes'!$A$6:$A$1005,0)),"MISSING ID")</x:f>
        <x:v>Proposal</x:v>
      </x:c>
      <x:c r="L7" s="4" t="str">
        <x:f>IFERROR(INDEX('Items'!$AC$6:$AC$1005,MATCH(D7,'Items'!$A$6:$A$1005,0)),"MISSING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IFERROR(INDEX('Items'!$AF$6:$AF$1005,MATCH(D8,'Items'!$A$6:$A$1005,0)),"MISSING ID")</x:f>
        <x:v>T0</x:v>
      </x:c>
      <x:c r="G8" s="4" t="str">
        <x:f>IFERROR(INDEX('Items'!$C$6:$C$1005,MATCH(D8,'Items'!$A$6:$A$1005,0)),"MISSING ID")</x:f>
        <x:v>Resources</x:v>
      </x:c>
      <x:c r="H8" s="4" t="str">
        <x:f>IFERROR(INDEX('Items'!$W$6:$W$1005,MATCH(D8,'Items'!$A$6:$A$1005,0)),"MISSING ID")</x:f>
        <x:v>Raw material</x:v>
      </x:c>
      <x:c r="I8" s="4"/>
      <x:c r="J8" s="4" t="str">
        <x:v>Unspecified</x:v>
      </x:c>
      <x:c r="K8" s="4" t="str">
        <x:f>IFERROR(INDEX('Crafting recipes'!$D$6:$D$1005,MATCH(B8,'Crafting recipes'!$A$6:$A$1005,0)),"MISSING ID")</x:f>
        <x:v>Proposal</x:v>
      </x:c>
      <x:c r="L8" s="4" t="str">
        <x:f>IFERROR(INDEX('Items'!$AC$6:$AC$1005,MATCH(D8,'Items'!$A$6:$A$1005,0)),"MISSING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IFERROR(INDEX('Items'!$AF$6:$AF$1005,MATCH(D9,'Items'!$A$6:$A$1005,0)),"MISSING ID")</x:f>
        <x:v>T0</x:v>
      </x:c>
      <x:c r="G9" s="4" t="str">
        <x:f>IFERROR(INDEX('Items'!$C$6:$C$1005,MATCH(D9,'Items'!$A$6:$A$1005,0)),"MISSING ID")</x:f>
        <x:v>Resources</x:v>
      </x:c>
      <x:c r="H9" s="4" t="str">
        <x:f>IFERROR(INDEX('Items'!$W$6:$W$1005,MATCH(D9,'Items'!$A$6:$A$1005,0)),"MISSING ID")</x:f>
        <x:v>Raw material</x:v>
      </x:c>
      <x:c r="I9" s="4"/>
      <x:c r="J9" s="4" t="str">
        <x:v>Unspecified</x:v>
      </x:c>
      <x:c r="K9" s="4" t="str">
        <x:f>IFERROR(INDEX('Crafting recipes'!$D$6:$D$1005,MATCH(B9,'Crafting recipes'!$A$6:$A$1005,0)),"MISSING ID")</x:f>
        <x:v>Proposal</x:v>
      </x:c>
      <x:c r="L9" s="4" t="str">
        <x:f>IFERROR(INDEX('Items'!$AC$6:$AC$1005,MATCH(D9,'Items'!$A$6:$A$1005,0)),"MISSING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IFERROR(INDEX('Items'!$AF$6:$AF$1005,MATCH(D10,'Items'!$A$6:$A$1005,0)),"MISSING ID")</x:f>
        <x:v>T0</x:v>
      </x:c>
      <x:c r="G10" s="4" t="str">
        <x:f>IFERROR(INDEX('Items'!$C$6:$C$1005,MATCH(D10,'Items'!$A$6:$A$1005,0)),"MISSING ID")</x:f>
        <x:v>Resources</x:v>
      </x:c>
      <x:c r="H10" s="4" t="str">
        <x:f>IFERROR(INDEX('Items'!$W$6:$W$1005,MATCH(D10,'Items'!$A$6:$A$1005,0)),"MISSING ID")</x:f>
        <x:v>Raw material</x:v>
      </x:c>
      <x:c r="I10" s="4"/>
      <x:c r="J10" s="4" t="str">
        <x:v>Unspecified</x:v>
      </x:c>
      <x:c r="K10" s="4" t="str">
        <x:f>IFERROR(INDEX('Crafting recipes'!$D$6:$D$1005,MATCH(B10,'Crafting recipes'!$A$6:$A$1005,0)),"MISSING ID")</x:f>
        <x:v>Proposal</x:v>
      </x:c>
      <x:c r="L10" s="4" t="str">
        <x:f>IFERROR(INDEX('Items'!$AC$6:$AC$1005,MATCH(D10,'Items'!$A$6:$A$1005,0)),"MISSING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IFERROR(INDEX('Items'!$AF$6:$AF$1005,MATCH(D11,'Items'!$A$6:$A$1005,0)),"MISSING ID")</x:f>
        <x:v>T0</x:v>
      </x:c>
      <x:c r="G11" s="4" t="str">
        <x:f>IFERROR(INDEX('Items'!$C$6:$C$1005,MATCH(D11,'Items'!$A$6:$A$1005,0)),"MISSING ID")</x:f>
        <x:v>Resources</x:v>
      </x:c>
      <x:c r="H11" s="4" t="str">
        <x:f>IFERROR(INDEX('Items'!$W$6:$W$1005,MATCH(D11,'Items'!$A$6:$A$1005,0)),"MISSING ID")</x:f>
        <x:v>Raw material</x:v>
      </x:c>
      <x:c r="I11" s="4"/>
      <x:c r="J11" s="4" t="str">
        <x:v>Unspecified</x:v>
      </x:c>
      <x:c r="K11" s="4" t="str">
        <x:f>IFERROR(INDEX('Crafting recipes'!$D$6:$D$1005,MATCH(B11,'Crafting recipes'!$A$6:$A$1005,0)),"MISSING ID")</x:f>
        <x:v>Proposal</x:v>
      </x:c>
      <x:c r="L11" s="4" t="str">
        <x:f>IFERROR(INDEX('Items'!$AC$6:$AC$1005,MATCH(D11,'Items'!$A$6:$A$1005,0)),"MISSING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IFERROR(INDEX('Items'!$AF$6:$AF$1005,MATCH(D12,'Items'!$A$6:$A$1005,0)),"MISSING ID")</x:f>
        <x:v>T0</x:v>
      </x:c>
      <x:c r="G12" s="4" t="str">
        <x:f>IFERROR(INDEX('Items'!$C$6:$C$1005,MATCH(D12,'Items'!$A$6:$A$1005,0)),"MISSING ID")</x:f>
        <x:v>Resources</x:v>
      </x:c>
      <x:c r="H12" s="4" t="str">
        <x:f>IFERROR(INDEX('Items'!$W$6:$W$1005,MATCH(D12,'Items'!$A$6:$A$1005,0)),"MISSING ID")</x:f>
        <x:v>Raw material</x:v>
      </x:c>
      <x:c r="I12" s="4"/>
      <x:c r="J12" s="4" t="str">
        <x:v>Unspecified</x:v>
      </x:c>
      <x:c r="K12" s="4" t="str">
        <x:f>IFERROR(INDEX('Crafting recipes'!$D$6:$D$1005,MATCH(B12,'Crafting recipes'!$A$6:$A$1005,0)),"MISSING ID")</x:f>
        <x:v>Proposal</x:v>
      </x:c>
      <x:c r="L12" s="4" t="str">
        <x:f>IFERROR(INDEX('Items'!$AC$6:$AC$1005,MATCH(D12,'Items'!$A$6:$A$1005,0)),"MISSING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IFERROR(INDEX('Items'!$AF$6:$AF$1005,MATCH(D13,'Items'!$A$6:$A$1005,0)),"MISSING ID")</x:f>
        <x:v>T0</x:v>
      </x:c>
      <x:c r="G13" s="4" t="str">
        <x:f>IFERROR(INDEX('Items'!$C$6:$C$1005,MATCH(D13,'Items'!$A$6:$A$1005,0)),"MISSING ID")</x:f>
        <x:v>Resources</x:v>
      </x:c>
      <x:c r="H13" s="4" t="str">
        <x:f>IFERROR(INDEX('Items'!$W$6:$W$1005,MATCH(D13,'Items'!$A$6:$A$1005,0)),"MISSING ID")</x:f>
        <x:v>Raw material</x:v>
      </x:c>
      <x:c r="I13" s="4"/>
      <x:c r="J13" s="4" t="str">
        <x:v>Unspecified</x:v>
      </x:c>
      <x:c r="K13" s="4" t="str">
        <x:f>IFERROR(INDEX('Crafting recipes'!$D$6:$D$1005,MATCH(B13,'Crafting recipes'!$A$6:$A$1005,0)),"MISSING ID")</x:f>
        <x:v>Proposal</x:v>
      </x:c>
      <x:c r="L13" s="4" t="str">
        <x:f>IFERROR(INDEX('Items'!$AC$6:$AC$1005,MATCH(D13,'Items'!$A$6:$A$1005,0)),"MISSING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IFERROR(INDEX('Items'!$AF$6:$AF$1005,MATCH(D14,'Items'!$A$6:$A$1005,0)),"MISSING ID")</x:f>
        <x:v>T0</x:v>
      </x:c>
      <x:c r="G14" s="4" t="str">
        <x:f>IFERROR(INDEX('Items'!$C$6:$C$1005,MATCH(D14,'Items'!$A$6:$A$1005,0)),"MISSING ID")</x:f>
        <x:v>Resources</x:v>
      </x:c>
      <x:c r="H14" s="4" t="str">
        <x:f>IFERROR(INDEX('Items'!$W$6:$W$1005,MATCH(D14,'Items'!$A$6:$A$1005,0)),"MISSING ID")</x:f>
        <x:v>Raw material</x:v>
      </x:c>
      <x:c r="I14" s="4"/>
      <x:c r="J14" s="4" t="str">
        <x:v>Unspecified</x:v>
      </x:c>
      <x:c r="K14" s="4" t="str">
        <x:f>IFERROR(INDEX('Crafting recipes'!$D$6:$D$1005,MATCH(B14,'Crafting recipes'!$A$6:$A$1005,0)),"MISSING ID")</x:f>
        <x:v>Proposal</x:v>
      </x:c>
      <x:c r="L14" s="4" t="str">
        <x:f>IFERROR(INDEX('Items'!$AC$6:$AC$1005,MATCH(D14,'Items'!$A$6:$A$1005,0)),"MISSING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IFERROR(INDEX('Items'!$AF$6:$AF$1005,MATCH(D15,'Items'!$A$6:$A$1005,0)),"MISSING ID")</x:f>
        <x:v>T0</x:v>
      </x:c>
      <x:c r="G15" s="4" t="str">
        <x:f>IFERROR(INDEX('Items'!$C$6:$C$1005,MATCH(D15,'Items'!$A$6:$A$1005,0)),"MISSING ID")</x:f>
        <x:v>Resources</x:v>
      </x:c>
      <x:c r="H15" s="4" t="str">
        <x:f>IFERROR(INDEX('Items'!$W$6:$W$1005,MATCH(D15,'Items'!$A$6:$A$1005,0)),"MISSING ID")</x:f>
        <x:v>Raw material</x:v>
      </x:c>
      <x:c r="I15" s="4"/>
      <x:c r="J15" s="4" t="str">
        <x:v>Unspecified</x:v>
      </x:c>
      <x:c r="K15" s="4" t="str">
        <x:f>IFERROR(INDEX('Crafting recipes'!$D$6:$D$1005,MATCH(B15,'Crafting recipes'!$A$6:$A$1005,0)),"MISSING ID")</x:f>
        <x:v>Proposal</x:v>
      </x:c>
      <x:c r="L15" s="4" t="str">
        <x:f>IFERROR(INDEX('Items'!$AC$6:$AC$1005,MATCH(D15,'Items'!$A$6:$A$1005,0)),"MISSING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IFERROR(INDEX('Items'!$AF$6:$AF$1005,MATCH(D16,'Items'!$A$6:$A$1005,0)),"MISSING ID")</x:f>
        <x:v>T0</x:v>
      </x:c>
      <x:c r="G16" s="4" t="str">
        <x:f>IFERROR(INDEX('Items'!$C$6:$C$1005,MATCH(D16,'Items'!$A$6:$A$1005,0)),"MISSING ID")</x:f>
        <x:v>Resources</x:v>
      </x:c>
      <x:c r="H16" s="4" t="str">
        <x:f>IFERROR(INDEX('Items'!$W$6:$W$1005,MATCH(D16,'Items'!$A$6:$A$1005,0)),"MISSING ID")</x:f>
        <x:v>Raw material</x:v>
      </x:c>
      <x:c r="I16" s="4"/>
      <x:c r="J16" s="4" t="str">
        <x:v>Unspecified</x:v>
      </x:c>
      <x:c r="K16" s="4" t="str">
        <x:f>IFERROR(INDEX('Crafting recipes'!$D$6:$D$1005,MATCH(B16,'Crafting recipes'!$A$6:$A$1005,0)),"MISSING ID")</x:f>
        <x:v>Proposal</x:v>
      </x:c>
      <x:c r="L16" s="4" t="str">
        <x:f>IFERROR(INDEX('Items'!$AC$6:$AC$1005,MATCH(D16,'Items'!$A$6:$A$1005,0)),"MISSING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IFERROR(INDEX('Items'!$AF$6:$AF$1005,MATCH(D17,'Items'!$A$6:$A$1005,0)),"MISSING ID")</x:f>
        <x:v>T0</x:v>
      </x:c>
      <x:c r="G17" s="4" t="str">
        <x:f>IFERROR(INDEX('Items'!$C$6:$C$1005,MATCH(D17,'Items'!$A$6:$A$1005,0)),"MISSING ID")</x:f>
        <x:v>Resources</x:v>
      </x:c>
      <x:c r="H17" s="4" t="str">
        <x:f>IFERROR(INDEX('Items'!$W$6:$W$1005,MATCH(D17,'Items'!$A$6:$A$1005,0)),"MISSING ID")</x:f>
        <x:v>Raw material</x:v>
      </x:c>
      <x:c r="I17" s="4"/>
      <x:c r="J17" s="4" t="str">
        <x:v>Unspecified</x:v>
      </x:c>
      <x:c r="K17" s="4" t="str">
        <x:f>IFERROR(INDEX('Crafting recipes'!$D$6:$D$1005,MATCH(B17,'Crafting recipes'!$A$6:$A$1005,0)),"MISSING ID")</x:f>
        <x:v>Proposal</x:v>
      </x:c>
      <x:c r="L17" s="4" t="str">
        <x:f>IFERROR(INDEX('Items'!$AC$6:$AC$1005,MATCH(D17,'Items'!$A$6:$A$1005,0)),"MISSING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IFERROR(INDEX('Items'!$AF$6:$AF$1005,MATCH(D18,'Items'!$A$6:$A$1005,0)),"MISSING ID")</x:f>
        <x:v>T0</x:v>
      </x:c>
      <x:c r="G18" s="4" t="str">
        <x:f>IFERROR(INDEX('Items'!$C$6:$C$1005,MATCH(D18,'Items'!$A$6:$A$1005,0)),"MISSING ID")</x:f>
        <x:v>Resources</x:v>
      </x:c>
      <x:c r="H18" s="4" t="str">
        <x:f>IFERROR(INDEX('Items'!$W$6:$W$1005,MATCH(D18,'Items'!$A$6:$A$1005,0)),"MISSING ID")</x:f>
        <x:v>Raw material</x:v>
      </x:c>
      <x:c r="I18" s="4"/>
      <x:c r="J18" s="4" t="str">
        <x:v>Unspecified</x:v>
      </x:c>
      <x:c r="K18" s="4" t="str">
        <x:f>IFERROR(INDEX('Crafting recipes'!$D$6:$D$1005,MATCH(B18,'Crafting recipes'!$A$6:$A$1005,0)),"MISSING ID")</x:f>
        <x:v>Proposal</x:v>
      </x:c>
      <x:c r="L18" s="4" t="str">
        <x:f>IFERROR(INDEX('Items'!$AC$6:$AC$1005,MATCH(D18,'Items'!$A$6:$A$1005,0)),"MISSING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IFERROR(INDEX('Items'!$AF$6:$AF$1005,MATCH(D19,'Items'!$A$6:$A$1005,0)),"MISSING ID")</x:f>
        <x:v>T0</x:v>
      </x:c>
      <x:c r="G19" s="4" t="str">
        <x:f>IFERROR(INDEX('Items'!$C$6:$C$1005,MATCH(D19,'Items'!$A$6:$A$1005,0)),"MISSING ID")</x:f>
        <x:v>Resources</x:v>
      </x:c>
      <x:c r="H19" s="4" t="str">
        <x:f>IFERROR(INDEX('Items'!$W$6:$W$1005,MATCH(D19,'Items'!$A$6:$A$1005,0)),"MISSING ID")</x:f>
        <x:v>Raw material</x:v>
      </x:c>
      <x:c r="I19" s="4"/>
      <x:c r="J19" s="4" t="str">
        <x:v>Unspecified</x:v>
      </x:c>
      <x:c r="K19" s="4" t="str">
        <x:f>IFERROR(INDEX('Crafting recipes'!$D$6:$D$1005,MATCH(B19,'Crafting recipes'!$A$6:$A$1005,0)),"MISSING ID")</x:f>
        <x:v>Proposal</x:v>
      </x:c>
      <x:c r="L19" s="4" t="str">
        <x:f>IFERROR(INDEX('Items'!$AC$6:$AC$1005,MATCH(D19,'Items'!$A$6:$A$1005,0)),"MISSING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IFERROR(INDEX('Items'!$AF$6:$AF$1005,MATCH(D20,'Items'!$A$6:$A$1005,0)),"MISSING ID")</x:f>
        <x:v>T0</x:v>
      </x:c>
      <x:c r="G20" s="4" t="str">
        <x:f>IFERROR(INDEX('Items'!$C$6:$C$1005,MATCH(D20,'Items'!$A$6:$A$1005,0)),"MISSING ID")</x:f>
        <x:v>Resources</x:v>
      </x:c>
      <x:c r="H20" s="4" t="str">
        <x:f>IFERROR(INDEX('Items'!$W$6:$W$1005,MATCH(D20,'Items'!$A$6:$A$1005,0)),"MISSING ID")</x:f>
        <x:v>Chemical material</x:v>
      </x:c>
      <x:c r="I20" s="4"/>
      <x:c r="J20" s="4" t="str">
        <x:v>Unspecified</x:v>
      </x:c>
      <x:c r="K20" s="4" t="str">
        <x:f>IFERROR(INDEX('Crafting recipes'!$D$6:$D$1005,MATCH(B20,'Crafting recipes'!$A$6:$A$1005,0)),"MISSING ID")</x:f>
        <x:v>Proposal</x:v>
      </x:c>
      <x:c r="L20" s="4" t="str">
        <x:f>IFERROR(INDEX('Items'!$AC$6:$AC$1005,MATCH(D20,'Items'!$A$6:$A$1005,0)),"MISSING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IFERROR(INDEX('Items'!$AF$6:$AF$1005,MATCH(D21,'Items'!$A$6:$A$1005,0)),"MISSING ID")</x:f>
        <x:v>T0</x:v>
      </x:c>
      <x:c r="G21" s="4" t="str">
        <x:f>IFERROR(INDEX('Items'!$C$6:$C$1005,MATCH(D21,'Items'!$A$6:$A$1005,0)),"MISSING ID")</x:f>
        <x:v>Resources</x:v>
      </x:c>
      <x:c r="H21" s="4" t="str">
        <x:f>IFERROR(INDEX('Items'!$W$6:$W$1005,MATCH(D21,'Items'!$A$6:$A$1005,0)),"MISSING ID")</x:f>
        <x:v>Chemical material</x:v>
      </x:c>
      <x:c r="I21" s="4"/>
      <x:c r="J21" s="4" t="str">
        <x:v>Unspecified</x:v>
      </x:c>
      <x:c r="K21" s="4" t="str">
        <x:f>IFERROR(INDEX('Crafting recipes'!$D$6:$D$1005,MATCH(B21,'Crafting recipes'!$A$6:$A$1005,0)),"MISSING ID")</x:f>
        <x:v>Proposal</x:v>
      </x:c>
      <x:c r="L21" s="4" t="str">
        <x:f>IFERROR(INDEX('Items'!$AC$6:$AC$1005,MATCH(D21,'Items'!$A$6:$A$1005,0)),"MISSING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IFERROR(INDEX('Items'!$AF$6:$AF$1005,MATCH(D22,'Items'!$A$6:$A$1005,0)),"MISSING ID")</x:f>
        <x:v>T0</x:v>
      </x:c>
      <x:c r="G22" s="4" t="str">
        <x:f>IFERROR(INDEX('Items'!$C$6:$C$1005,MATCH(D22,'Items'!$A$6:$A$1005,0)),"MISSING ID")</x:f>
        <x:v>Resources</x:v>
      </x:c>
      <x:c r="H22" s="4" t="str">
        <x:f>IFERROR(INDEX('Items'!$W$6:$W$1005,MATCH(D22,'Items'!$A$6:$A$1005,0)),"MISSING ID")</x:f>
        <x:v>Raw material</x:v>
      </x:c>
      <x:c r="I22" s="4"/>
      <x:c r="J22" s="4" t="str">
        <x:v>Unspecified</x:v>
      </x:c>
      <x:c r="K22" s="4" t="str">
        <x:f>IFERROR(INDEX('Crafting recipes'!$D$6:$D$1005,MATCH(B22,'Crafting recipes'!$A$6:$A$1005,0)),"MISSING ID")</x:f>
        <x:v>Proposal</x:v>
      </x:c>
      <x:c r="L22" s="4" t="str">
        <x:f>IFERROR(INDEX('Items'!$AC$6:$AC$1005,MATCH(D22,'Items'!$A$6:$A$1005,0)),"MISSING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IFERROR(INDEX('Items'!$AF$6:$AF$1005,MATCH(D23,'Items'!$A$6:$A$1005,0)),"MISSING ID")</x:f>
        <x:v>T0</x:v>
      </x:c>
      <x:c r="G23" s="4" t="str">
        <x:f>IFERROR(INDEX('Items'!$C$6:$C$1005,MATCH(D23,'Items'!$A$6:$A$1005,0)),"MISSING ID")</x:f>
        <x:v>Resources</x:v>
      </x:c>
      <x:c r="H23" s="4" t="str">
        <x:f>IFERROR(INDEX('Items'!$W$6:$W$1005,MATCH(D23,'Items'!$A$6:$A$1005,0)),"MISSING ID")</x:f>
        <x:v>Processed material</x:v>
      </x:c>
      <x:c r="I23" s="4"/>
      <x:c r="J23" s="4" t="str">
        <x:v>Unspecified</x:v>
      </x:c>
      <x:c r="K23" s="4" t="str">
        <x:f>IFERROR(INDEX('Crafting recipes'!$D$6:$D$1005,MATCH(B23,'Crafting recipes'!$A$6:$A$1005,0)),"MISSING ID")</x:f>
        <x:v>Proposal</x:v>
      </x:c>
      <x:c r="L23" s="4" t="str">
        <x:f>IFERROR(INDEX('Items'!$AC$6:$AC$1005,MATCH(D23,'Items'!$A$6:$A$1005,0)),"MISSING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IFERROR(INDEX('Items'!$AF$6:$AF$1005,MATCH(D24,'Items'!$A$6:$A$1005,0)),"MISSING ID")</x:f>
        <x:v>T0</x:v>
      </x:c>
      <x:c r="G24" s="4" t="str">
        <x:f>IFERROR(INDEX('Items'!$C$6:$C$1005,MATCH(D24,'Items'!$A$6:$A$1005,0)),"MISSING ID")</x:f>
        <x:v>Resources</x:v>
      </x:c>
      <x:c r="H24" s="4" t="str">
        <x:f>IFERROR(INDEX('Items'!$W$6:$W$1005,MATCH(D24,'Items'!$A$6:$A$1005,0)),"MISSING ID")</x:f>
        <x:v>Raw material</x:v>
      </x:c>
      <x:c r="I24" s="4"/>
      <x:c r="J24" s="4" t="str">
        <x:v>Unspecified</x:v>
      </x:c>
      <x:c r="K24" s="4" t="str">
        <x:f>IFERROR(INDEX('Crafting recipes'!$D$6:$D$1005,MATCH(B24,'Crafting recipes'!$A$6:$A$1005,0)),"MISSING ID")</x:f>
        <x:v>Proposal</x:v>
      </x:c>
      <x:c r="L24" s="4" t="str">
        <x:f>IFERROR(INDEX('Items'!$AC$6:$AC$1005,MATCH(D24,'Items'!$A$6:$A$1005,0)),"MISSING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IFERROR(INDEX('Items'!$AF$6:$AF$1005,MATCH(D25,'Items'!$A$6:$A$1005,0)),"MISSING ID")</x:f>
        <x:v>T0</x:v>
      </x:c>
      <x:c r="G25" s="4" t="str">
        <x:f>IFERROR(INDEX('Items'!$C$6:$C$1005,MATCH(D25,'Items'!$A$6:$A$1005,0)),"MISSING ID")</x:f>
        <x:v>Resources</x:v>
      </x:c>
      <x:c r="H25" s="4" t="str">
        <x:f>IFERROR(INDEX('Items'!$W$6:$W$1005,MATCH(D25,'Items'!$A$6:$A$1005,0)),"MISSING ID")</x:f>
        <x:v>Raw material</x:v>
      </x:c>
      <x:c r="I25" s="4"/>
      <x:c r="J25" s="4" t="str">
        <x:v>Unspecified</x:v>
      </x:c>
      <x:c r="K25" s="4" t="str">
        <x:f>IFERROR(INDEX('Crafting recipes'!$D$6:$D$1005,MATCH(B25,'Crafting recipes'!$A$6:$A$1005,0)),"MISSING ID")</x:f>
        <x:v>Proposal</x:v>
      </x:c>
      <x:c r="L25" s="4" t="str">
        <x:f>IFERROR(INDEX('Items'!$AC$6:$AC$1005,MATCH(D25,'Items'!$A$6:$A$1005,0)),"MISSING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IFERROR(INDEX('Items'!$AF$6:$AF$1005,MATCH(D26,'Items'!$A$6:$A$1005,0)),"MISSING ID")</x:f>
        <x:v>T0</x:v>
      </x:c>
      <x:c r="G26" s="4" t="str">
        <x:f>IFERROR(INDEX('Items'!$C$6:$C$1005,MATCH(D26,'Items'!$A$6:$A$1005,0)),"MISSING ID")</x:f>
        <x:v>Resources</x:v>
      </x:c>
      <x:c r="H26" s="4" t="str">
        <x:f>IFERROR(INDEX('Items'!$W$6:$W$1005,MATCH(D26,'Items'!$A$6:$A$1005,0)),"MISSING ID")</x:f>
        <x:v>Raw material</x:v>
      </x:c>
      <x:c r="I26" s="4"/>
      <x:c r="J26" s="4" t="str">
        <x:v>Unspecified</x:v>
      </x:c>
      <x:c r="K26" s="4" t="str">
        <x:f>IFERROR(INDEX('Crafting recipes'!$D$6:$D$1005,MATCH(B26,'Crafting recipes'!$A$6:$A$1005,0)),"MISSING ID")</x:f>
        <x:v>Proposal</x:v>
      </x:c>
      <x:c r="L26" s="4" t="str">
        <x:f>IFERROR(INDEX('Items'!$AC$6:$AC$1005,MATCH(D26,'Items'!$A$6:$A$1005,0)),"MISSING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IFERROR(INDEX('Items'!$AF$6:$AF$1005,MATCH(D27,'Items'!$A$6:$A$1005,0)),"MISSING ID")</x:f>
        <x:v>T0</x:v>
      </x:c>
      <x:c r="G27" s="4" t="str">
        <x:f>IFERROR(INDEX('Items'!$C$6:$C$1005,MATCH(D27,'Items'!$A$6:$A$1005,0)),"MISSING ID")</x:f>
        <x:v>Resources</x:v>
      </x:c>
      <x:c r="H27" s="4" t="str">
        <x:f>IFERROR(INDEX('Items'!$W$6:$W$1005,MATCH(D27,'Items'!$A$6:$A$1005,0)),"MISSING ID")</x:f>
        <x:v>Raw material</x:v>
      </x:c>
      <x:c r="I27" s="4"/>
      <x:c r="J27" s="4" t="str">
        <x:v>Unspecified</x:v>
      </x:c>
      <x:c r="K27" s="4" t="str">
        <x:f>IFERROR(INDEX('Crafting recipes'!$D$6:$D$1005,MATCH(B27,'Crafting recipes'!$A$6:$A$1005,0)),"MISSING ID")</x:f>
        <x:v>Proposal</x:v>
      </x:c>
      <x:c r="L27" s="4" t="str">
        <x:f>IFERROR(INDEX('Items'!$AC$6:$AC$1005,MATCH(D27,'Items'!$A$6:$A$1005,0)),"MISSING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IFERROR(INDEX('Items'!$AF$6:$AF$1005,MATCH(D28,'Items'!$A$6:$A$1005,0)),"MISSING ID")</x:f>
        <x:v>T0</x:v>
      </x:c>
      <x:c r="G28" s="4" t="str">
        <x:f>IFERROR(INDEX('Items'!$C$6:$C$1005,MATCH(D28,'Items'!$A$6:$A$1005,0)),"MISSING ID")</x:f>
        <x:v>Resources</x:v>
      </x:c>
      <x:c r="H28" s="4" t="str">
        <x:f>IFERROR(INDEX('Items'!$W$6:$W$1005,MATCH(D28,'Items'!$A$6:$A$1005,0)),"MISSING ID")</x:f>
        <x:v>Raw material</x:v>
      </x:c>
      <x:c r="I28" s="4"/>
      <x:c r="J28" s="4" t="str">
        <x:v>Unspecified</x:v>
      </x:c>
      <x:c r="K28" s="4" t="str">
        <x:f>IFERROR(INDEX('Crafting recipes'!$D$6:$D$1005,MATCH(B28,'Crafting recipes'!$A$6:$A$1005,0)),"MISSING ID")</x:f>
        <x:v>Proposal</x:v>
      </x:c>
      <x:c r="L28" s="4" t="str">
        <x:f>IFERROR(INDEX('Items'!$AC$6:$AC$1005,MATCH(D28,'Items'!$A$6:$A$1005,0)),"MISSING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IFERROR(INDEX('Items'!$AF$6:$AF$1005,MATCH(D29,'Items'!$A$6:$A$1005,0)),"MISSING ID")</x:f>
        <x:v>T0</x:v>
      </x:c>
      <x:c r="G29" s="4" t="str">
        <x:f>IFERROR(INDEX('Items'!$C$6:$C$1005,MATCH(D29,'Items'!$A$6:$A$1005,0)),"MISSING ID")</x:f>
        <x:v>Resources</x:v>
      </x:c>
      <x:c r="H29" s="4" t="str">
        <x:f>IFERROR(INDEX('Items'!$W$6:$W$1005,MATCH(D29,'Items'!$A$6:$A$1005,0)),"MISSING ID")</x:f>
        <x:v>Raw material</x:v>
      </x:c>
      <x:c r="I29" s="4"/>
      <x:c r="J29" s="4" t="str">
        <x:v>Unspecified</x:v>
      </x:c>
      <x:c r="K29" s="4" t="str">
        <x:f>IFERROR(INDEX('Crafting recipes'!$D$6:$D$1005,MATCH(B29,'Crafting recipes'!$A$6:$A$1005,0)),"MISSING ID")</x:f>
        <x:v>Proposal</x:v>
      </x:c>
      <x:c r="L29" s="4" t="str">
        <x:f>IFERROR(INDEX('Items'!$AC$6:$AC$1005,MATCH(D29,'Items'!$A$6:$A$1005,0)),"MISSING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IFERROR(INDEX('Items'!$AF$6:$AF$1005,MATCH(D30,'Items'!$A$6:$A$1005,0)),"MISSING ID")</x:f>
        <x:v>T0</x:v>
      </x:c>
      <x:c r="G30" s="4" t="str">
        <x:f>IFERROR(INDEX('Items'!$C$6:$C$1005,MATCH(D30,'Items'!$A$6:$A$1005,0)),"MISSING ID")</x:f>
        <x:v>Resources</x:v>
      </x:c>
      <x:c r="H30" s="4" t="str">
        <x:f>IFERROR(INDEX('Items'!$W$6:$W$1005,MATCH(D30,'Items'!$A$6:$A$1005,0)),"MISSING ID")</x:f>
        <x:v>Raw material</x:v>
      </x:c>
      <x:c r="I30" s="4"/>
      <x:c r="J30" s="4" t="str">
        <x:v>Unspecified</x:v>
      </x:c>
      <x:c r="K30" s="4" t="str">
        <x:f>IFERROR(INDEX('Crafting recipes'!$D$6:$D$1005,MATCH(B30,'Crafting recipes'!$A$6:$A$1005,0)),"MISSING ID")</x:f>
        <x:v>Proposal</x:v>
      </x:c>
      <x:c r="L30" s="4" t="str">
        <x:f>IFERROR(INDEX('Items'!$AC$6:$AC$1005,MATCH(D30,'Items'!$A$6:$A$1005,0)),"MISSING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IFERROR(INDEX('Items'!$AF$6:$AF$1005,MATCH(D31,'Items'!$A$6:$A$1005,0)),"MISSING ID")</x:f>
        <x:v>T0</x:v>
      </x:c>
      <x:c r="G31" s="4" t="str">
        <x:f>IFERROR(INDEX('Items'!$C$6:$C$1005,MATCH(D31,'Items'!$A$6:$A$1005,0)),"MISSING ID")</x:f>
        <x:v>Resources</x:v>
      </x:c>
      <x:c r="H31" s="4" t="str">
        <x:f>IFERROR(INDEX('Items'!$W$6:$W$1005,MATCH(D31,'Items'!$A$6:$A$1005,0)),"MISSING ID")</x:f>
        <x:v>Raw material</x:v>
      </x:c>
      <x:c r="I31" s="4"/>
      <x:c r="J31" s="4" t="str">
        <x:v>Unspecified</x:v>
      </x:c>
      <x:c r="K31" s="4" t="str">
        <x:f>IFERROR(INDEX('Crafting recipes'!$D$6:$D$1005,MATCH(B31,'Crafting recipes'!$A$6:$A$1005,0)),"MISSING ID")</x:f>
        <x:v>Proposal</x:v>
      </x:c>
      <x:c r="L31" s="4" t="str">
        <x:f>IFERROR(INDEX('Items'!$AC$6:$AC$1005,MATCH(D31,'Items'!$A$6:$A$1005,0)),"MISSING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IFERROR(INDEX('Items'!$AF$6:$AF$1005,MATCH(D32,'Items'!$A$6:$A$1005,0)),"MISSING ID")</x:f>
        <x:v>T0</x:v>
      </x:c>
      <x:c r="G32" s="4" t="str">
        <x:f>IFERROR(INDEX('Items'!$C$6:$C$1005,MATCH(D32,'Items'!$A$6:$A$1005,0)),"MISSING ID")</x:f>
        <x:v>Resources</x:v>
      </x:c>
      <x:c r="H32" s="4" t="str">
        <x:f>IFERROR(INDEX('Items'!$W$6:$W$1005,MATCH(D32,'Items'!$A$6:$A$1005,0)),"MISSING ID")</x:f>
        <x:v>Raw material</x:v>
      </x:c>
      <x:c r="I32" s="4"/>
      <x:c r="J32" s="4" t="str">
        <x:v>Unspecified</x:v>
      </x:c>
      <x:c r="K32" s="4" t="str">
        <x:f>IFERROR(INDEX('Crafting recipes'!$D$6:$D$1005,MATCH(B32,'Crafting recipes'!$A$6:$A$1005,0)),"MISSING ID")</x:f>
        <x:v>Proposal</x:v>
      </x:c>
      <x:c r="L32" s="4" t="str">
        <x:f>IFERROR(INDEX('Items'!$AC$6:$AC$1005,MATCH(D32,'Items'!$A$6:$A$1005,0)),"MISSING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IFERROR(INDEX('Items'!$AF$6:$AF$1005,MATCH(D33,'Items'!$A$6:$A$1005,0)),"MISSING ID")</x:f>
        <x:v>T0</x:v>
      </x:c>
      <x:c r="G33" s="4" t="str">
        <x:f>IFERROR(INDEX('Items'!$C$6:$C$1005,MATCH(D33,'Items'!$A$6:$A$1005,0)),"MISSING ID")</x:f>
        <x:v>Resources</x:v>
      </x:c>
      <x:c r="H33" s="4" t="str">
        <x:f>IFERROR(INDEX('Items'!$W$6:$W$1005,MATCH(D33,'Items'!$A$6:$A$1005,0)),"MISSING ID")</x:f>
        <x:v>Raw material</x:v>
      </x:c>
      <x:c r="I33" s="4"/>
      <x:c r="J33" s="4" t="str">
        <x:v>Unspecified</x:v>
      </x:c>
      <x:c r="K33" s="4" t="str">
        <x:f>IFERROR(INDEX('Crafting recipes'!$D$6:$D$1005,MATCH(B33,'Crafting recipes'!$A$6:$A$1005,0)),"MISSING ID")</x:f>
        <x:v>Proposal</x:v>
      </x:c>
      <x:c r="L33" s="4" t="str">
        <x:f>IFERROR(INDEX('Items'!$AC$6:$AC$1005,MATCH(D33,'Items'!$A$6:$A$1005,0)),"MISSING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IFERROR(INDEX('Items'!$AF$6:$AF$1005,MATCH(D34,'Items'!$A$6:$A$1005,0)),"MISSING ID")</x:f>
        <x:v>T0</x:v>
      </x:c>
      <x:c r="G34" s="4" t="str">
        <x:f>IFERROR(INDEX('Items'!$C$6:$C$1005,MATCH(D34,'Items'!$A$6:$A$1005,0)),"MISSING ID")</x:f>
        <x:v>Resources</x:v>
      </x:c>
      <x:c r="H34" s="4" t="str">
        <x:f>IFERROR(INDEX('Items'!$W$6:$W$1005,MATCH(D34,'Items'!$A$6:$A$1005,0)),"MISSING ID")</x:f>
        <x:v>Raw material</x:v>
      </x:c>
      <x:c r="I34" s="4"/>
      <x:c r="J34" s="4" t="str">
        <x:v>Unspecified</x:v>
      </x:c>
      <x:c r="K34" s="4" t="str">
        <x:f>IFERROR(INDEX('Crafting recipes'!$D$6:$D$1005,MATCH(B34,'Crafting recipes'!$A$6:$A$1005,0)),"MISSING ID")</x:f>
        <x:v>Proposal</x:v>
      </x:c>
      <x:c r="L34" s="4" t="str">
        <x:f>IFERROR(INDEX('Items'!$AC$6:$AC$1005,MATCH(D34,'Items'!$A$6:$A$1005,0)),"MISSING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IFERROR(INDEX('Items'!$AF$6:$AF$1005,MATCH(D35,'Items'!$A$6:$A$1005,0)),"MISSING ID")</x:f>
        <x:v>T0</x:v>
      </x:c>
      <x:c r="G35" s="4" t="str">
        <x:f>IFERROR(INDEX('Items'!$C$6:$C$1005,MATCH(D35,'Items'!$A$6:$A$1005,0)),"MISSING ID")</x:f>
        <x:v>Resources</x:v>
      </x:c>
      <x:c r="H35" s="4" t="str">
        <x:f>IFERROR(INDEX('Items'!$W$6:$W$1005,MATCH(D35,'Items'!$A$6:$A$1005,0)),"MISSING ID")</x:f>
        <x:v>Raw material</x:v>
      </x:c>
      <x:c r="I35" s="4"/>
      <x:c r="J35" s="4" t="str">
        <x:v>Unspecified</x:v>
      </x:c>
      <x:c r="K35" s="4" t="str">
        <x:f>IFERROR(INDEX('Crafting recipes'!$D$6:$D$1005,MATCH(B35,'Crafting recipes'!$A$6:$A$1005,0)),"MISSING ID")</x:f>
        <x:v>Proposal</x:v>
      </x:c>
      <x:c r="L35" s="4" t="str">
        <x:f>IFERROR(INDEX('Items'!$AC$6:$AC$1005,MATCH(D35,'Items'!$A$6:$A$1005,0)),"MISSING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IFERROR(INDEX('Items'!$AF$6:$AF$1005,MATCH(D36,'Items'!$A$6:$A$1005,0)),"MISSING ID")</x:f>
        <x:v>T0</x:v>
      </x:c>
      <x:c r="G36" s="4" t="str">
        <x:f>IFERROR(INDEX('Items'!$C$6:$C$1005,MATCH(D36,'Items'!$A$6:$A$1005,0)),"MISSING ID")</x:f>
        <x:v>Resources</x:v>
      </x:c>
      <x:c r="H36" s="4" t="str">
        <x:f>IFERROR(INDEX('Items'!$W$6:$W$1005,MATCH(D36,'Items'!$A$6:$A$1005,0)),"MISSING ID")</x:f>
        <x:v>Raw material</x:v>
      </x:c>
      <x:c r="I36" s="4"/>
      <x:c r="J36" s="4" t="str">
        <x:v>Unspecified</x:v>
      </x:c>
      <x:c r="K36" s="4" t="str">
        <x:f>IFERROR(INDEX('Crafting recipes'!$D$6:$D$1005,MATCH(B36,'Crafting recipes'!$A$6:$A$1005,0)),"MISSING ID")</x:f>
        <x:v>Proposal</x:v>
      </x:c>
      <x:c r="L36" s="4" t="str">
        <x:f>IFERROR(INDEX('Items'!$AC$6:$AC$1005,MATCH(D36,'Items'!$A$6:$A$1005,0)),"MISSING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IFERROR(INDEX('Items'!$AF$6:$AF$1005,MATCH(D37,'Items'!$A$6:$A$1005,0)),"MISSING ID")</x:f>
        <x:v>T0</x:v>
      </x:c>
      <x:c r="G37" s="4" t="str">
        <x:f>IFERROR(INDEX('Items'!$C$6:$C$1005,MATCH(D37,'Items'!$A$6:$A$1005,0)),"MISSING ID")</x:f>
        <x:v>Resources</x:v>
      </x:c>
      <x:c r="H37" s="4" t="str">
        <x:f>IFERROR(INDEX('Items'!$W$6:$W$1005,MATCH(D37,'Items'!$A$6:$A$1005,0)),"MISSING ID")</x:f>
        <x:v>Raw material</x:v>
      </x:c>
      <x:c r="I37" s="4"/>
      <x:c r="J37" s="4" t="str">
        <x:v>Unspecified</x:v>
      </x:c>
      <x:c r="K37" s="4" t="str">
        <x:f>IFERROR(INDEX('Crafting recipes'!$D$6:$D$1005,MATCH(B37,'Crafting recipes'!$A$6:$A$1005,0)),"MISSING ID")</x:f>
        <x:v>Proposal</x:v>
      </x:c>
      <x:c r="L37" s="4" t="str">
        <x:f>IFERROR(INDEX('Items'!$AC$6:$AC$1005,MATCH(D37,'Items'!$A$6:$A$1005,0)),"MISSING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IFERROR(INDEX('Items'!$AF$6:$AF$1005,MATCH(D38,'Items'!$A$6:$A$1005,0)),"MISSING ID")</x:f>
        <x:v>T0</x:v>
      </x:c>
      <x:c r="G38" s="4" t="str">
        <x:f>IFERROR(INDEX('Items'!$C$6:$C$1005,MATCH(D38,'Items'!$A$6:$A$1005,0)),"MISSING ID")</x:f>
        <x:v>Resources</x:v>
      </x:c>
      <x:c r="H38" s="4" t="str">
        <x:f>IFERROR(INDEX('Items'!$W$6:$W$1005,MATCH(D38,'Items'!$A$6:$A$1005,0)),"MISSING ID")</x:f>
        <x:v>Raw material</x:v>
      </x:c>
      <x:c r="I38" s="4"/>
      <x:c r="J38" s="4" t="str">
        <x:v>Unspecified</x:v>
      </x:c>
      <x:c r="K38" s="4" t="str">
        <x:f>IFERROR(INDEX('Crafting recipes'!$D$6:$D$1005,MATCH(B38,'Crafting recipes'!$A$6:$A$1005,0)),"MISSING ID")</x:f>
        <x:v>Proposal</x:v>
      </x:c>
      <x:c r="L38" s="4" t="str">
        <x:f>IFERROR(INDEX('Items'!$AC$6:$AC$1005,MATCH(D38,'Items'!$A$6:$A$1005,0)),"MISSING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IFERROR(INDEX('Items'!$AF$6:$AF$1005,MATCH(D39,'Items'!$A$6:$A$1005,0)),"MISSING ID")</x:f>
        <x:v>T0</x:v>
      </x:c>
      <x:c r="G39" s="4" t="str">
        <x:f>IFERROR(INDEX('Items'!$C$6:$C$1005,MATCH(D39,'Items'!$A$6:$A$1005,0)),"MISSING ID")</x:f>
        <x:v>Resources</x:v>
      </x:c>
      <x:c r="H39" s="4" t="str">
        <x:f>IFERROR(INDEX('Items'!$W$6:$W$1005,MATCH(D39,'Items'!$A$6:$A$1005,0)),"MISSING ID")</x:f>
        <x:v>Chemical material</x:v>
      </x:c>
      <x:c r="I39" s="4"/>
      <x:c r="J39" s="4" t="str">
        <x:v>Unspecified</x:v>
      </x:c>
      <x:c r="K39" s="4" t="str">
        <x:f>IFERROR(INDEX('Crafting recipes'!$D$6:$D$1005,MATCH(B39,'Crafting recipes'!$A$6:$A$1005,0)),"MISSING ID")</x:f>
        <x:v>Proposal</x:v>
      </x:c>
      <x:c r="L39" s="4" t="str">
        <x:f>IFERROR(INDEX('Items'!$AC$6:$AC$1005,MATCH(D39,'Items'!$A$6:$A$1005,0)),"MISSING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IFERROR(INDEX('Items'!$AF$6:$AF$1005,MATCH(D40,'Items'!$A$6:$A$1005,0)),"MISSING ID")</x:f>
        <x:v>T0</x:v>
      </x:c>
      <x:c r="G40" s="4" t="str">
        <x:f>IFERROR(INDEX('Items'!$C$6:$C$1005,MATCH(D40,'Items'!$A$6:$A$1005,0)),"MISSING ID")</x:f>
        <x:v>Resources</x:v>
      </x:c>
      <x:c r="H40" s="4" t="str">
        <x:f>IFERROR(INDEX('Items'!$W$6:$W$1005,MATCH(D40,'Items'!$A$6:$A$1005,0)),"MISSING ID")</x:f>
        <x:v>Chemical material</x:v>
      </x:c>
      <x:c r="I40" s="4"/>
      <x:c r="J40" s="4" t="str">
        <x:v>Unspecified</x:v>
      </x:c>
      <x:c r="K40" s="4" t="str">
        <x:f>IFERROR(INDEX('Crafting recipes'!$D$6:$D$1005,MATCH(B40,'Crafting recipes'!$A$6:$A$1005,0)),"MISSING ID")</x:f>
        <x:v>Proposal</x:v>
      </x:c>
      <x:c r="L40" s="4" t="str">
        <x:f>IFERROR(INDEX('Items'!$AC$6:$AC$1005,MATCH(D40,'Items'!$A$6:$A$1005,0)),"MISSING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IFERROR(INDEX('Items'!$AF$6:$AF$1005,MATCH(D41,'Items'!$A$6:$A$1005,0)),"MISSING ID")</x:f>
        <x:v>T0</x:v>
      </x:c>
      <x:c r="G41" s="4" t="str">
        <x:f>IFERROR(INDEX('Items'!$C$6:$C$1005,MATCH(D41,'Items'!$A$6:$A$1005,0)),"MISSING ID")</x:f>
        <x:v>Resources</x:v>
      </x:c>
      <x:c r="H41" s="4" t="str">
        <x:f>IFERROR(INDEX('Items'!$W$6:$W$1005,MATCH(D41,'Items'!$A$6:$A$1005,0)),"MISSING ID")</x:f>
        <x:v>Chemical material</x:v>
      </x:c>
      <x:c r="I41" s="4"/>
      <x:c r="J41" s="4" t="str">
        <x:v>Unspecified</x:v>
      </x:c>
      <x:c r="K41" s="4" t="str">
        <x:f>IFERROR(INDEX('Crafting recipes'!$D$6:$D$1005,MATCH(B41,'Crafting recipes'!$A$6:$A$1005,0)),"MISSING ID")</x:f>
        <x:v>Proposal</x:v>
      </x:c>
      <x:c r="L41" s="4" t="str">
        <x:f>IFERROR(INDEX('Items'!$AC$6:$AC$1005,MATCH(D41,'Items'!$A$6:$A$1005,0)),"MISSING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IFERROR(INDEX('Items'!$AF$6:$AF$1005,MATCH(D42,'Items'!$A$6:$A$1005,0)),"MISSING ID")</x:f>
        <x:v>T0</x:v>
      </x:c>
      <x:c r="G42" s="4" t="str">
        <x:f>IFERROR(INDEX('Items'!$C$6:$C$1005,MATCH(D42,'Items'!$A$6:$A$1005,0)),"MISSING ID")</x:f>
        <x:v>Resources</x:v>
      </x:c>
      <x:c r="H42" s="4" t="str">
        <x:f>IFERROR(INDEX('Items'!$W$6:$W$1005,MATCH(D42,'Items'!$A$6:$A$1005,0)),"MISSING ID")</x:f>
        <x:v>Gem material</x:v>
      </x:c>
      <x:c r="I42" s="4"/>
      <x:c r="J42" s="4" t="str">
        <x:v>Unspecified</x:v>
      </x:c>
      <x:c r="K42" s="4" t="str">
        <x:f>IFERROR(INDEX('Crafting recipes'!$D$6:$D$1005,MATCH(B42,'Crafting recipes'!$A$6:$A$1005,0)),"MISSING ID")</x:f>
        <x:v>Proposal</x:v>
      </x:c>
      <x:c r="L42" s="4" t="str">
        <x:f>IFERROR(INDEX('Items'!$AC$6:$AC$1005,MATCH(D42,'Items'!$A$6:$A$1005,0)),"MISSING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IFERROR(INDEX('Items'!$AF$6:$AF$1005,MATCH(D43,'Items'!$A$6:$A$1005,0)),"MISSING ID")</x:f>
        <x:v>T0</x:v>
      </x:c>
      <x:c r="G43" s="4" t="str">
        <x:f>IFERROR(INDEX('Items'!$C$6:$C$1005,MATCH(D43,'Items'!$A$6:$A$1005,0)),"MISSING ID")</x:f>
        <x:v>Resources</x:v>
      </x:c>
      <x:c r="H43" s="4" t="str">
        <x:f>IFERROR(INDEX('Items'!$W$6:$W$1005,MATCH(D43,'Items'!$A$6:$A$1005,0)),"MISSING ID")</x:f>
        <x:v>Gem material</x:v>
      </x:c>
      <x:c r="I43" s="4"/>
      <x:c r="J43" s="4" t="str">
        <x:v>Unspecified</x:v>
      </x:c>
      <x:c r="K43" s="4" t="str">
        <x:f>IFERROR(INDEX('Crafting recipes'!$D$6:$D$1005,MATCH(B43,'Crafting recipes'!$A$6:$A$1005,0)),"MISSING ID")</x:f>
        <x:v>Proposal</x:v>
      </x:c>
      <x:c r="L43" s="4" t="str">
        <x:f>IFERROR(INDEX('Items'!$AC$6:$AC$1005,MATCH(D43,'Items'!$A$6:$A$1005,0)),"MISSING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IFERROR(INDEX('Items'!$AF$6:$AF$1005,MATCH(D44,'Items'!$A$6:$A$1005,0)),"MISSING ID")</x:f>
        <x:v>T0</x:v>
      </x:c>
      <x:c r="G44" s="4" t="str">
        <x:f>IFERROR(INDEX('Items'!$C$6:$C$1005,MATCH(D44,'Items'!$A$6:$A$1005,0)),"MISSING ID")</x:f>
        <x:v>Resources</x:v>
      </x:c>
      <x:c r="H44" s="4" t="str">
        <x:f>IFERROR(INDEX('Items'!$W$6:$W$1005,MATCH(D44,'Items'!$A$6:$A$1005,0)),"MISSING ID")</x:f>
        <x:v>Raw material</x:v>
      </x:c>
      <x:c r="I44" s="4"/>
      <x:c r="J44" s="4" t="str">
        <x:v>Unspecified</x:v>
      </x:c>
      <x:c r="K44" s="4" t="str">
        <x:f>IFERROR(INDEX('Crafting recipes'!$D$6:$D$1005,MATCH(B44,'Crafting recipes'!$A$6:$A$1005,0)),"MISSING ID")</x:f>
        <x:v>Proposal</x:v>
      </x:c>
      <x:c r="L44" s="4" t="str">
        <x:f>IFERROR(INDEX('Items'!$AC$6:$AC$1005,MATCH(D44,'Items'!$A$6:$A$1005,0)),"MISSING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IFERROR(INDEX('Items'!$AF$6:$AF$1005,MATCH(D45,'Items'!$A$6:$A$1005,0)),"MISSING ID")</x:f>
        <x:v>T0</x:v>
      </x:c>
      <x:c r="G45" s="4" t="str">
        <x:f>IFERROR(INDEX('Items'!$C$6:$C$1005,MATCH(D45,'Items'!$A$6:$A$1005,0)),"MISSING ID")</x:f>
        <x:v>Resources</x:v>
      </x:c>
      <x:c r="H45" s="4" t="str">
        <x:f>IFERROR(INDEX('Items'!$W$6:$W$1005,MATCH(D45,'Items'!$A$6:$A$1005,0)),"MISSING ID")</x:f>
        <x:v>Raw material</x:v>
      </x:c>
      <x:c r="I45" s="4"/>
      <x:c r="J45" s="4" t="str">
        <x:v>Unspecified</x:v>
      </x:c>
      <x:c r="K45" s="4" t="str">
        <x:f>IFERROR(INDEX('Crafting recipes'!$D$6:$D$1005,MATCH(B45,'Crafting recipes'!$A$6:$A$1005,0)),"MISSING ID")</x:f>
        <x:v>Proposal</x:v>
      </x:c>
      <x:c r="L45" s="4" t="str">
        <x:f>IFERROR(INDEX('Items'!$AC$6:$AC$1005,MATCH(D45,'Items'!$A$6:$A$1005,0)),"MISSING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IFERROR(INDEX('Items'!$AF$6:$AF$1005,MATCH(D46,'Items'!$A$6:$A$1005,0)),"MISSING ID")</x:f>
        <x:v>T1</x:v>
      </x:c>
      <x:c r="G46" s="4" t="str">
        <x:f>IFERROR(INDEX('Items'!$C$6:$C$1005,MATCH(D46,'Items'!$A$6:$A$1005,0)),"MISSING ID")</x:f>
        <x:v>Resources</x:v>
      </x:c>
      <x:c r="H46" s="4" t="str">
        <x:f>IFERROR(INDEX('Items'!$W$6:$W$1005,MATCH(D46,'Items'!$A$6:$A$1005,0)),"MISSING ID")</x:f>
        <x:v>Processed material</x:v>
      </x:c>
      <x:c r="I46" s="4"/>
      <x:c r="J46" s="4" t="str">
        <x:v>Unspecified</x:v>
      </x:c>
      <x:c r="K46" s="4" t="str">
        <x:f>IFERROR(INDEX('Crafting recipes'!$D$6:$D$1005,MATCH(B46,'Crafting recipes'!$A$6:$A$1005,0)),"MISSING ID")</x:f>
        <x:v>Proposal</x:v>
      </x:c>
      <x:c r="L46" s="4" t="str">
        <x:f>IFERROR(INDEX('Items'!$AC$6:$AC$1005,MATCH(D46,'Items'!$A$6:$A$1005,0)),"MISSING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IFERROR(INDEX('Items'!$AF$6:$AF$1005,MATCH(D47,'Items'!$A$6:$A$1005,0)),"MISSING ID")</x:f>
        <x:v>T1</x:v>
      </x:c>
      <x:c r="G47" s="4" t="str">
        <x:f>IFERROR(INDEX('Items'!$C$6:$C$1005,MATCH(D47,'Items'!$A$6:$A$1005,0)),"MISSING ID")</x:f>
        <x:v>Resources</x:v>
      </x:c>
      <x:c r="H47" s="4" t="str">
        <x:f>IFERROR(INDEX('Items'!$W$6:$W$1005,MATCH(D47,'Items'!$A$6:$A$1005,0)),"MISSING ID")</x:f>
        <x:v>Processed material</x:v>
      </x:c>
      <x:c r="I47" s="4"/>
      <x:c r="J47" s="4" t="str">
        <x:v>Unspecified</x:v>
      </x:c>
      <x:c r="K47" s="4" t="str">
        <x:f>IFERROR(INDEX('Crafting recipes'!$D$6:$D$1005,MATCH(B47,'Crafting recipes'!$A$6:$A$1005,0)),"MISSING ID")</x:f>
        <x:v>Proposal</x:v>
      </x:c>
      <x:c r="L47" s="4" t="str">
        <x:f>IFERROR(INDEX('Items'!$AC$6:$AC$1005,MATCH(D47,'Items'!$A$6:$A$1005,0)),"MISSING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IFERROR(INDEX('Items'!$AF$6:$AF$1005,MATCH(D48,'Items'!$A$6:$A$1005,0)),"MISSING ID")</x:f>
        <x:v>T1</x:v>
      </x:c>
      <x:c r="G48" s="4" t="str">
        <x:f>IFERROR(INDEX('Items'!$C$6:$C$1005,MATCH(D48,'Items'!$A$6:$A$1005,0)),"MISSING ID")</x:f>
        <x:v>Resources</x:v>
      </x:c>
      <x:c r="H48" s="4" t="str">
        <x:f>IFERROR(INDEX('Items'!$W$6:$W$1005,MATCH(D48,'Items'!$A$6:$A$1005,0)),"MISSING ID")</x:f>
        <x:v>Processed material</x:v>
      </x:c>
      <x:c r="I48" s="4"/>
      <x:c r="J48" s="4" t="str">
        <x:v>Unspecified</x:v>
      </x:c>
      <x:c r="K48" s="4" t="str">
        <x:f>IFERROR(INDEX('Crafting recipes'!$D$6:$D$1005,MATCH(B48,'Crafting recipes'!$A$6:$A$1005,0)),"MISSING ID")</x:f>
        <x:v>Proposal</x:v>
      </x:c>
      <x:c r="L48" s="4" t="str">
        <x:f>IFERROR(INDEX('Items'!$AC$6:$AC$1005,MATCH(D48,'Items'!$A$6:$A$1005,0)),"MISSING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IFERROR(INDEX('Items'!$AF$6:$AF$1005,MATCH(D49,'Items'!$A$6:$A$1005,0)),"MISSING ID")</x:f>
        <x:v>T1</x:v>
      </x:c>
      <x:c r="G49" s="4" t="str">
        <x:f>IFERROR(INDEX('Items'!$C$6:$C$1005,MATCH(D49,'Items'!$A$6:$A$1005,0)),"MISSING ID")</x:f>
        <x:v>Resources</x:v>
      </x:c>
      <x:c r="H49" s="4" t="str">
        <x:f>IFERROR(INDEX('Items'!$W$6:$W$1005,MATCH(D49,'Items'!$A$6:$A$1005,0)),"MISSING ID")</x:f>
        <x:v>Chemical material</x:v>
      </x:c>
      <x:c r="I49" s="4"/>
      <x:c r="J49" s="4" t="str">
        <x:v>Unspecified</x:v>
      </x:c>
      <x:c r="K49" s="4" t="str">
        <x:f>IFERROR(INDEX('Crafting recipes'!$D$6:$D$1005,MATCH(B49,'Crafting recipes'!$A$6:$A$1005,0)),"MISSING ID")</x:f>
        <x:v>Proposal</x:v>
      </x:c>
      <x:c r="L49" s="4" t="str">
        <x:f>IFERROR(INDEX('Items'!$AC$6:$AC$1005,MATCH(D49,'Items'!$A$6:$A$1005,0)),"MISSING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IFERROR(INDEX('Items'!$AF$6:$AF$1005,MATCH(D50,'Items'!$A$6:$A$1005,0)),"MISSING ID")</x:f>
        <x:v>T1</x:v>
      </x:c>
      <x:c r="G50" s="4" t="str">
        <x:f>IFERROR(INDEX('Items'!$C$6:$C$1005,MATCH(D50,'Items'!$A$6:$A$1005,0)),"MISSING ID")</x:f>
        <x:v>Resources</x:v>
      </x:c>
      <x:c r="H50" s="4" t="str">
        <x:f>IFERROR(INDEX('Items'!$W$6:$W$1005,MATCH(D50,'Items'!$A$6:$A$1005,0)),"MISSING ID")</x:f>
        <x:v>Chemical material</x:v>
      </x:c>
      <x:c r="I50" s="4"/>
      <x:c r="J50" s="4" t="str">
        <x:v>Unspecified</x:v>
      </x:c>
      <x:c r="K50" s="4" t="str">
        <x:f>IFERROR(INDEX('Crafting recipes'!$D$6:$D$1005,MATCH(B50,'Crafting recipes'!$A$6:$A$1005,0)),"MISSING ID")</x:f>
        <x:v>Proposal</x:v>
      </x:c>
      <x:c r="L50" s="4" t="str">
        <x:f>IFERROR(INDEX('Items'!$AC$6:$AC$1005,MATCH(D50,'Items'!$A$6:$A$1005,0)),"MISSING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IFERROR(INDEX('Items'!$AF$6:$AF$1005,MATCH(D51,'Items'!$A$6:$A$1005,0)),"MISSING ID")</x:f>
        <x:v>T1</x:v>
      </x:c>
      <x:c r="G51" s="4" t="str">
        <x:f>IFERROR(INDEX('Items'!$C$6:$C$1005,MATCH(D51,'Items'!$A$6:$A$1005,0)),"MISSING ID")</x:f>
        <x:v>Resources</x:v>
      </x:c>
      <x:c r="H51" s="4" t="str">
        <x:f>IFERROR(INDEX('Items'!$W$6:$W$1005,MATCH(D51,'Items'!$A$6:$A$1005,0)),"MISSING ID")</x:f>
        <x:v>Chemical material</x:v>
      </x:c>
      <x:c r="I51" s="4"/>
      <x:c r="J51" s="4" t="str">
        <x:v>Unspecified</x:v>
      </x:c>
      <x:c r="K51" s="4" t="str">
        <x:f>IFERROR(INDEX('Crafting recipes'!$D$6:$D$1005,MATCH(B51,'Crafting recipes'!$A$6:$A$1005,0)),"MISSING ID")</x:f>
        <x:v>Proposal</x:v>
      </x:c>
      <x:c r="L51" s="4" t="str">
        <x:f>IFERROR(INDEX('Items'!$AC$6:$AC$1005,MATCH(D51,'Items'!$A$6:$A$1005,0)),"MISSING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IFERROR(INDEX('Items'!$AF$6:$AF$1005,MATCH(D52,'Items'!$A$6:$A$1005,0)),"MISSING ID")</x:f>
        <x:v>T1</x:v>
      </x:c>
      <x:c r="G52" s="4" t="str">
        <x:f>IFERROR(INDEX('Items'!$C$6:$C$1005,MATCH(D52,'Items'!$A$6:$A$1005,0)),"MISSING ID")</x:f>
        <x:v>Resources</x:v>
      </x:c>
      <x:c r="H52" s="4" t="str">
        <x:f>IFERROR(INDEX('Items'!$W$6:$W$1005,MATCH(D52,'Items'!$A$6:$A$1005,0)),"MISSING ID")</x:f>
        <x:v>Processed material</x:v>
      </x:c>
      <x:c r="I52" s="4"/>
      <x:c r="J52" s="4" t="str">
        <x:v>Unspecified</x:v>
      </x:c>
      <x:c r="K52" s="4" t="str">
        <x:f>IFERROR(INDEX('Crafting recipes'!$D$6:$D$1005,MATCH(B52,'Crafting recipes'!$A$6:$A$1005,0)),"MISSING ID")</x:f>
        <x:v>Proposal</x:v>
      </x:c>
      <x:c r="L52" s="4" t="str">
        <x:f>IFERROR(INDEX('Items'!$AC$6:$AC$1005,MATCH(D52,'Items'!$A$6:$A$1005,0)),"MISSING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IFERROR(INDEX('Items'!$AF$6:$AF$1005,MATCH(D53,'Items'!$A$6:$A$1005,0)),"MISSING ID")</x:f>
        <x:v>T1</x:v>
      </x:c>
      <x:c r="G53" s="4" t="str">
        <x:f>IFERROR(INDEX('Items'!$C$6:$C$1005,MATCH(D53,'Items'!$A$6:$A$1005,0)),"MISSING ID")</x:f>
        <x:v>Resources</x:v>
      </x:c>
      <x:c r="H53" s="4" t="str">
        <x:f>IFERROR(INDEX('Items'!$W$6:$W$1005,MATCH(D53,'Items'!$A$6:$A$1005,0)),"MISSING ID")</x:f>
        <x:v>Processed material</x:v>
      </x:c>
      <x:c r="I53" s="4"/>
      <x:c r="J53" s="4" t="str">
        <x:v>Unspecified</x:v>
      </x:c>
      <x:c r="K53" s="4" t="str">
        <x:f>IFERROR(INDEX('Crafting recipes'!$D$6:$D$1005,MATCH(B53,'Crafting recipes'!$A$6:$A$1005,0)),"MISSING ID")</x:f>
        <x:v>Proposal</x:v>
      </x:c>
      <x:c r="L53" s="4" t="str">
        <x:f>IFERROR(INDEX('Items'!$AC$6:$AC$1005,MATCH(D53,'Items'!$A$6:$A$1005,0)),"MISSING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IFERROR(INDEX('Items'!$AF$6:$AF$1005,MATCH(D54,'Items'!$A$6:$A$1005,0)),"MISSING ID")</x:f>
        <x:v>T1</x:v>
      </x:c>
      <x:c r="G54" s="4" t="str">
        <x:f>IFERROR(INDEX('Items'!$C$6:$C$1005,MATCH(D54,'Items'!$A$6:$A$1005,0)),"MISSING ID")</x:f>
        <x:v>Resources</x:v>
      </x:c>
      <x:c r="H54" s="4" t="str">
        <x:f>IFERROR(INDEX('Items'!$W$6:$W$1005,MATCH(D54,'Items'!$A$6:$A$1005,0)),"MISSING ID")</x:f>
        <x:v>Processed material</x:v>
      </x:c>
      <x:c r="I54" s="4"/>
      <x:c r="J54" s="4" t="str">
        <x:v>Unspecified</x:v>
      </x:c>
      <x:c r="K54" s="4" t="str">
        <x:f>IFERROR(INDEX('Crafting recipes'!$D$6:$D$1005,MATCH(B54,'Crafting recipes'!$A$6:$A$1005,0)),"MISSING ID")</x:f>
        <x:v>Proposal</x:v>
      </x:c>
      <x:c r="L54" s="4" t="str">
        <x:f>IFERROR(INDEX('Items'!$AC$6:$AC$1005,MATCH(D54,'Items'!$A$6:$A$1005,0)),"MISSING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IFERROR(INDEX('Items'!$AF$6:$AF$1005,MATCH(D55,'Items'!$A$6:$A$1005,0)),"MISSING ID")</x:f>
        <x:v>T1</x:v>
      </x:c>
      <x:c r="G55" s="4" t="str">
        <x:f>IFERROR(INDEX('Items'!$C$6:$C$1005,MATCH(D55,'Items'!$A$6:$A$1005,0)),"MISSING ID")</x:f>
        <x:v>Resources</x:v>
      </x:c>
      <x:c r="H55" s="4" t="str">
        <x:f>IFERROR(INDEX('Items'!$W$6:$W$1005,MATCH(D55,'Items'!$A$6:$A$1005,0)),"MISSING ID")</x:f>
        <x:v>Processed material</x:v>
      </x:c>
      <x:c r="I55" s="4"/>
      <x:c r="J55" s="4" t="str">
        <x:v>Unspecified</x:v>
      </x:c>
      <x:c r="K55" s="4" t="str">
        <x:f>IFERROR(INDEX('Crafting recipes'!$D$6:$D$1005,MATCH(B55,'Crafting recipes'!$A$6:$A$1005,0)),"MISSING ID")</x:f>
        <x:v>Proposal</x:v>
      </x:c>
      <x:c r="L55" s="4" t="str">
        <x:f>IFERROR(INDEX('Items'!$AC$6:$AC$1005,MATCH(D55,'Items'!$A$6:$A$1005,0)),"MISSING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IFERROR(INDEX('Items'!$AF$6:$AF$1005,MATCH(D56,'Items'!$A$6:$A$1005,0)),"MISSING ID")</x:f>
        <x:v>T1</x:v>
      </x:c>
      <x:c r="G56" s="4" t="str">
        <x:f>IFERROR(INDEX('Items'!$C$6:$C$1005,MATCH(D56,'Items'!$A$6:$A$1005,0)),"MISSING ID")</x:f>
        <x:v>Resources</x:v>
      </x:c>
      <x:c r="H56" s="4" t="str">
        <x:f>IFERROR(INDEX('Items'!$W$6:$W$1005,MATCH(D56,'Items'!$A$6:$A$1005,0)),"MISSING ID")</x:f>
        <x:v>Processed material</x:v>
      </x:c>
      <x:c r="I56" s="4"/>
      <x:c r="J56" s="4" t="str">
        <x:v>Unspecified</x:v>
      </x:c>
      <x:c r="K56" s="4" t="str">
        <x:f>IFERROR(INDEX('Crafting recipes'!$D$6:$D$1005,MATCH(B56,'Crafting recipes'!$A$6:$A$1005,0)),"MISSING ID")</x:f>
        <x:v>Proposal</x:v>
      </x:c>
      <x:c r="L56" s="4" t="str">
        <x:f>IFERROR(INDEX('Items'!$AC$6:$AC$1005,MATCH(D56,'Items'!$A$6:$A$1005,0)),"MISSING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IFERROR(INDEX('Items'!$AF$6:$AF$1005,MATCH(D57,'Items'!$A$6:$A$1005,0)),"MISSING ID")</x:f>
        <x:v>T1</x:v>
      </x:c>
      <x:c r="G57" s="4" t="str">
        <x:f>IFERROR(INDEX('Items'!$C$6:$C$1005,MATCH(D57,'Items'!$A$6:$A$1005,0)),"MISSING ID")</x:f>
        <x:v>Resources</x:v>
      </x:c>
      <x:c r="H57" s="4" t="str">
        <x:f>IFERROR(INDEX('Items'!$W$6:$W$1005,MATCH(D57,'Items'!$A$6:$A$1005,0)),"MISSING ID")</x:f>
        <x:v>Processed material</x:v>
      </x:c>
      <x:c r="I57" s="4"/>
      <x:c r="J57" s="4" t="str">
        <x:v>Unspecified</x:v>
      </x:c>
      <x:c r="K57" s="4" t="str">
        <x:f>IFERROR(INDEX('Crafting recipes'!$D$6:$D$1005,MATCH(B57,'Crafting recipes'!$A$6:$A$1005,0)),"MISSING ID")</x:f>
        <x:v>Proposal</x:v>
      </x:c>
      <x:c r="L57" s="4" t="str">
        <x:f>IFERROR(INDEX('Items'!$AC$6:$AC$1005,MATCH(D57,'Items'!$A$6:$A$1005,0)),"MISSING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IFERROR(INDEX('Items'!$AF$6:$AF$1005,MATCH(D58,'Items'!$A$6:$A$1005,0)),"MISSING ID")</x:f>
        <x:v>T1</x:v>
      </x:c>
      <x:c r="G58" s="4" t="str">
        <x:f>IFERROR(INDEX('Items'!$C$6:$C$1005,MATCH(D58,'Items'!$A$6:$A$1005,0)),"MISSING ID")</x:f>
        <x:v>Resources</x:v>
      </x:c>
      <x:c r="H58" s="4" t="str">
        <x:f>IFERROR(INDEX('Items'!$W$6:$W$1005,MATCH(D58,'Items'!$A$6:$A$1005,0)),"MISSING ID")</x:f>
        <x:v>Processed material</x:v>
      </x:c>
      <x:c r="I58" s="4"/>
      <x:c r="J58" s="4" t="str">
        <x:v>Unspecified</x:v>
      </x:c>
      <x:c r="K58" s="4" t="str">
        <x:f>IFERROR(INDEX('Crafting recipes'!$D$6:$D$1005,MATCH(B58,'Crafting recipes'!$A$6:$A$1005,0)),"MISSING ID")</x:f>
        <x:v>Proposal</x:v>
      </x:c>
      <x:c r="L58" s="4" t="str">
        <x:f>IFERROR(INDEX('Items'!$AC$6:$AC$1005,MATCH(D58,'Items'!$A$6:$A$1005,0)),"MISSING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IFERROR(INDEX('Items'!$AF$6:$AF$1005,MATCH(D59,'Items'!$A$6:$A$1005,0)),"MISSING ID")</x:f>
        <x:v>T1</x:v>
      </x:c>
      <x:c r="G59" s="4" t="str">
        <x:f>IFERROR(INDEX('Items'!$C$6:$C$1005,MATCH(D59,'Items'!$A$6:$A$1005,0)),"MISSING ID")</x:f>
        <x:v>Crafting components</x:v>
      </x:c>
      <x:c r="H59" s="4" t="str">
        <x:f>IFERROR(INDEX('Items'!$W$6:$W$1005,MATCH(D59,'Items'!$A$6:$A$1005,0)),"MISSING ID")</x:f>
        <x:v>Processed material</x:v>
      </x:c>
      <x:c r="I59" s="4"/>
      <x:c r="J59" s="4" t="str">
        <x:v>Unspecified</x:v>
      </x:c>
      <x:c r="K59" s="4" t="str">
        <x:f>IFERROR(INDEX('Crafting recipes'!$D$6:$D$1005,MATCH(B59,'Crafting recipes'!$A$6:$A$1005,0)),"MISSING ID")</x:f>
        <x:v>Proposal</x:v>
      </x:c>
      <x:c r="L59" s="4" t="str">
        <x:f>IFERROR(INDEX('Items'!$AC$6:$AC$1005,MATCH(D59,'Items'!$A$6:$A$1005,0)),"MISSING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IFERROR(INDEX('Items'!$AF$6:$AF$1005,MATCH(D60,'Items'!$A$6:$A$1005,0)),"MISSING ID")</x:f>
        <x:v>T1</x:v>
      </x:c>
      <x:c r="G60" s="4" t="str">
        <x:f>IFERROR(INDEX('Items'!$C$6:$C$1005,MATCH(D60,'Items'!$A$6:$A$1005,0)),"MISSING ID")</x:f>
        <x:v>Crafting components</x:v>
      </x:c>
      <x:c r="H60" s="4" t="str">
        <x:f>IFERROR(INDEX('Items'!$W$6:$W$1005,MATCH(D60,'Items'!$A$6:$A$1005,0)),"MISSING ID")</x:f>
        <x:v>Processed material</x:v>
      </x:c>
      <x:c r="I60" s="4"/>
      <x:c r="J60" s="4" t="str">
        <x:v>Unspecified</x:v>
      </x:c>
      <x:c r="K60" s="4" t="str">
        <x:f>IFERROR(INDEX('Crafting recipes'!$D$6:$D$1005,MATCH(B60,'Crafting recipes'!$A$6:$A$1005,0)),"MISSING ID")</x:f>
        <x:v>Proposal</x:v>
      </x:c>
      <x:c r="L60" s="4" t="str">
        <x:f>IFERROR(INDEX('Items'!$AC$6:$AC$1005,MATCH(D60,'Items'!$A$6:$A$1005,0)),"MISSING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IFERROR(INDEX('Items'!$AF$6:$AF$1005,MATCH(D61,'Items'!$A$6:$A$1005,0)),"MISSING ID")</x:f>
        <x:v>T1</x:v>
      </x:c>
      <x:c r="G61" s="4" t="str">
        <x:f>IFERROR(INDEX('Items'!$C$6:$C$1005,MATCH(D61,'Items'!$A$6:$A$1005,0)),"MISSING ID")</x:f>
        <x:v>Crafting components</x:v>
      </x:c>
      <x:c r="H61" s="4" t="str">
        <x:f>IFERROR(INDEX('Items'!$W$6:$W$1005,MATCH(D61,'Items'!$A$6:$A$1005,0)),"MISSING ID")</x:f>
        <x:v>Crafting component</x:v>
      </x:c>
      <x:c r="I61" s="4"/>
      <x:c r="J61" s="4" t="str">
        <x:v>Unspecified</x:v>
      </x:c>
      <x:c r="K61" s="4" t="str">
        <x:f>IFERROR(INDEX('Crafting recipes'!$D$6:$D$1005,MATCH(B61,'Crafting recipes'!$A$6:$A$1005,0)),"MISSING ID")</x:f>
        <x:v>Proposal</x:v>
      </x:c>
      <x:c r="L61" s="4" t="str">
        <x:f>IFERROR(INDEX('Items'!$AC$6:$AC$1005,MATCH(D61,'Items'!$A$6:$A$1005,0)),"MISSING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IFERROR(INDEX('Items'!$AF$6:$AF$1005,MATCH(D62,'Items'!$A$6:$A$1005,0)),"MISSING ID")</x:f>
        <x:v>T1</x:v>
      </x:c>
      <x:c r="G62" s="4" t="str">
        <x:f>IFERROR(INDEX('Items'!$C$6:$C$1005,MATCH(D62,'Items'!$A$6:$A$1005,0)),"MISSING ID")</x:f>
        <x:v>Crafting components</x:v>
      </x:c>
      <x:c r="H62" s="4" t="str">
        <x:f>IFERROR(INDEX('Items'!$W$6:$W$1005,MATCH(D62,'Items'!$A$6:$A$1005,0)),"MISSING ID")</x:f>
        <x:v>Crafting component</x:v>
      </x:c>
      <x:c r="I62" s="4"/>
      <x:c r="J62" s="4" t="str">
        <x:v>Unspecified</x:v>
      </x:c>
      <x:c r="K62" s="4" t="str">
        <x:f>IFERROR(INDEX('Crafting recipes'!$D$6:$D$1005,MATCH(B62,'Crafting recipes'!$A$6:$A$1005,0)),"MISSING ID")</x:f>
        <x:v>Proposal</x:v>
      </x:c>
      <x:c r="L62" s="4" t="str">
        <x:f>IFERROR(INDEX('Items'!$AC$6:$AC$1005,MATCH(D62,'Items'!$A$6:$A$1005,0)),"MISSING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IFERROR(INDEX('Items'!$AF$6:$AF$1005,MATCH(D63,'Items'!$A$6:$A$1005,0)),"MISSING ID")</x:f>
        <x:v>T1</x:v>
      </x:c>
      <x:c r="G63" s="4" t="str">
        <x:f>IFERROR(INDEX('Items'!$C$6:$C$1005,MATCH(D63,'Items'!$A$6:$A$1005,0)),"MISSING ID")</x:f>
        <x:v>Crafting components</x:v>
      </x:c>
      <x:c r="H63" s="4" t="str">
        <x:f>IFERROR(INDEX('Items'!$W$6:$W$1005,MATCH(D63,'Items'!$A$6:$A$1005,0)),"MISSING ID")</x:f>
        <x:v>Processed material</x:v>
      </x:c>
      <x:c r="I63" s="4"/>
      <x:c r="J63" s="4" t="str">
        <x:v>Unspecified</x:v>
      </x:c>
      <x:c r="K63" s="4" t="str">
        <x:f>IFERROR(INDEX('Crafting recipes'!$D$6:$D$1005,MATCH(B63,'Crafting recipes'!$A$6:$A$1005,0)),"MISSING ID")</x:f>
        <x:v>Proposal</x:v>
      </x:c>
      <x:c r="L63" s="4" t="str">
        <x:f>IFERROR(INDEX('Items'!$AC$6:$AC$1005,MATCH(D63,'Items'!$A$6:$A$1005,0)),"MISSING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IFERROR(INDEX('Items'!$AF$6:$AF$1005,MATCH(D64,'Items'!$A$6:$A$1005,0)),"MISSING ID")</x:f>
        <x:v>T1</x:v>
      </x:c>
      <x:c r="G64" s="4" t="str">
        <x:f>IFERROR(INDEX('Items'!$C$6:$C$1005,MATCH(D64,'Items'!$A$6:$A$1005,0)),"MISSING ID")</x:f>
        <x:v>Crafting components</x:v>
      </x:c>
      <x:c r="H64" s="4" t="str">
        <x:f>IFERROR(INDEX('Items'!$W$6:$W$1005,MATCH(D64,'Items'!$A$6:$A$1005,0)),"MISSING ID")</x:f>
        <x:v>Crafting component</x:v>
      </x:c>
      <x:c r="I64" s="4"/>
      <x:c r="J64" s="4" t="str">
        <x:v>Unspecified</x:v>
      </x:c>
      <x:c r="K64" s="4" t="str">
        <x:f>IFERROR(INDEX('Crafting recipes'!$D$6:$D$1005,MATCH(B64,'Crafting recipes'!$A$6:$A$1005,0)),"MISSING ID")</x:f>
        <x:v>Proposal</x:v>
      </x:c>
      <x:c r="L64" s="4" t="str">
        <x:f>IFERROR(INDEX('Items'!$AC$6:$AC$1005,MATCH(D64,'Items'!$A$6:$A$1005,0)),"MISSING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IFERROR(INDEX('Items'!$AF$6:$AF$1005,MATCH(D65,'Items'!$A$6:$A$1005,0)),"MISSING ID")</x:f>
        <x:v>T1</x:v>
      </x:c>
      <x:c r="G65" s="4" t="str">
        <x:f>IFERROR(INDEX('Items'!$C$6:$C$1005,MATCH(D65,'Items'!$A$6:$A$1005,0)),"MISSING ID")</x:f>
        <x:v>Crafting components</x:v>
      </x:c>
      <x:c r="H65" s="4" t="str">
        <x:f>IFERROR(INDEX('Items'!$W$6:$W$1005,MATCH(D65,'Items'!$A$6:$A$1005,0)),"MISSING ID")</x:f>
        <x:v>Crafting component</x:v>
      </x:c>
      <x:c r="I65" s="4"/>
      <x:c r="J65" s="4" t="str">
        <x:v>Unspecified</x:v>
      </x:c>
      <x:c r="K65" s="4" t="str">
        <x:f>IFERROR(INDEX('Crafting recipes'!$D$6:$D$1005,MATCH(B65,'Crafting recipes'!$A$6:$A$1005,0)),"MISSING ID")</x:f>
        <x:v>Proposal</x:v>
      </x:c>
      <x:c r="L65" s="4" t="str">
        <x:f>IFERROR(INDEX('Items'!$AC$6:$AC$1005,MATCH(D65,'Items'!$A$6:$A$1005,0)),"MISSING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IFERROR(INDEX('Items'!$AF$6:$AF$1005,MATCH(D66,'Items'!$A$6:$A$1005,0)),"MISSING ID")</x:f>
        <x:v>T1</x:v>
      </x:c>
      <x:c r="G66" s="4" t="str">
        <x:f>IFERROR(INDEX('Items'!$C$6:$C$1005,MATCH(D66,'Items'!$A$6:$A$1005,0)),"MISSING ID")</x:f>
        <x:v>Resources</x:v>
      </x:c>
      <x:c r="H66" s="4" t="str">
        <x:f>IFERROR(INDEX('Items'!$W$6:$W$1005,MATCH(D66,'Items'!$A$6:$A$1005,0)),"MISSING ID")</x:f>
        <x:v>Chemical material</x:v>
      </x:c>
      <x:c r="I66" s="4"/>
      <x:c r="J66" s="4" t="str">
        <x:v>Unspecified</x:v>
      </x:c>
      <x:c r="K66" s="4" t="str">
        <x:f>IFERROR(INDEX('Crafting recipes'!$D$6:$D$1005,MATCH(B66,'Crafting recipes'!$A$6:$A$1005,0)),"MISSING ID")</x:f>
        <x:v>Proposal</x:v>
      </x:c>
      <x:c r="L66" s="4" t="str">
        <x:f>IFERROR(INDEX('Items'!$AC$6:$AC$1005,MATCH(D66,'Items'!$A$6:$A$1005,0)),"MISSING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IFERROR(INDEX('Items'!$AF$6:$AF$1005,MATCH(D67,'Items'!$A$6:$A$1005,0)),"MISSING ID")</x:f>
        <x:v>T1</x:v>
      </x:c>
      <x:c r="G67" s="4" t="str">
        <x:f>IFERROR(INDEX('Items'!$C$6:$C$1005,MATCH(D67,'Items'!$A$6:$A$1005,0)),"MISSING ID")</x:f>
        <x:v>Resources</x:v>
      </x:c>
      <x:c r="H67" s="4" t="str">
        <x:f>IFERROR(INDEX('Items'!$W$6:$W$1005,MATCH(D67,'Items'!$A$6:$A$1005,0)),"MISSING ID")</x:f>
        <x:v>Chemical material</x:v>
      </x:c>
      <x:c r="I67" s="4"/>
      <x:c r="J67" s="4" t="str">
        <x:v>Unspecified</x:v>
      </x:c>
      <x:c r="K67" s="4" t="str">
        <x:f>IFERROR(INDEX('Crafting recipes'!$D$6:$D$1005,MATCH(B67,'Crafting recipes'!$A$6:$A$1005,0)),"MISSING ID")</x:f>
        <x:v>Proposal</x:v>
      </x:c>
      <x:c r="L67" s="4" t="str">
        <x:f>IFERROR(INDEX('Items'!$AC$6:$AC$1005,MATCH(D67,'Items'!$A$6:$A$1005,0)),"MISSING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IFERROR(INDEX('Items'!$AF$6:$AF$1005,MATCH(D68,'Items'!$A$6:$A$1005,0)),"MISSING ID")</x:f>
        <x:v>T1</x:v>
      </x:c>
      <x:c r="G68" s="4" t="str">
        <x:f>IFERROR(INDEX('Items'!$C$6:$C$1005,MATCH(D68,'Items'!$A$6:$A$1005,0)),"MISSING ID")</x:f>
        <x:v>Resources</x:v>
      </x:c>
      <x:c r="H68" s="4" t="str">
        <x:f>IFERROR(INDEX('Items'!$W$6:$W$1005,MATCH(D68,'Items'!$A$6:$A$1005,0)),"MISSING ID")</x:f>
        <x:v>Processed material</x:v>
      </x:c>
      <x:c r="I68" s="4"/>
      <x:c r="J68" s="4" t="str">
        <x:v>Unspecified</x:v>
      </x:c>
      <x:c r="K68" s="4" t="str">
        <x:f>IFERROR(INDEX('Crafting recipes'!$D$6:$D$1005,MATCH(B68,'Crafting recipes'!$A$6:$A$1005,0)),"MISSING ID")</x:f>
        <x:v>Proposal</x:v>
      </x:c>
      <x:c r="L68" s="4" t="str">
        <x:f>IFERROR(INDEX('Items'!$AC$6:$AC$1005,MATCH(D68,'Items'!$A$6:$A$1005,0)),"MISSING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IFERROR(INDEX('Items'!$AF$6:$AF$1005,MATCH(D69,'Items'!$A$6:$A$1005,0)),"MISSING ID")</x:f>
        <x:v>T1</x:v>
      </x:c>
      <x:c r="G69" s="4" t="str">
        <x:f>IFERROR(INDEX('Items'!$C$6:$C$1005,MATCH(D69,'Items'!$A$6:$A$1005,0)),"MISSING ID")</x:f>
        <x:v>Resources</x:v>
      </x:c>
      <x:c r="H69" s="4" t="str">
        <x:f>IFERROR(INDEX('Items'!$W$6:$W$1005,MATCH(D69,'Items'!$A$6:$A$1005,0)),"MISSING ID")</x:f>
        <x:v>Processed material</x:v>
      </x:c>
      <x:c r="I69" s="4"/>
      <x:c r="J69" s="4" t="str">
        <x:v>Unspecified</x:v>
      </x:c>
      <x:c r="K69" s="4" t="str">
        <x:f>IFERROR(INDEX('Crafting recipes'!$D$6:$D$1005,MATCH(B69,'Crafting recipes'!$A$6:$A$1005,0)),"MISSING ID")</x:f>
        <x:v>Proposal</x:v>
      </x:c>
      <x:c r="L69" s="4" t="str">
        <x:f>IFERROR(INDEX('Items'!$AC$6:$AC$1005,MATCH(D69,'Items'!$A$6:$A$1005,0)),"MISSING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IFERROR(INDEX('Items'!$AF$6:$AF$1005,MATCH(D70,'Items'!$A$6:$A$1005,0)),"MISSING ID")</x:f>
        <x:v>T1</x:v>
      </x:c>
      <x:c r="G70" s="4" t="str">
        <x:f>IFERROR(INDEX('Items'!$C$6:$C$1005,MATCH(D70,'Items'!$A$6:$A$1005,0)),"MISSING ID")</x:f>
        <x:v>Resources</x:v>
      </x:c>
      <x:c r="H70" s="4" t="str">
        <x:f>IFERROR(INDEX('Items'!$W$6:$W$1005,MATCH(D70,'Items'!$A$6:$A$1005,0)),"MISSING ID")</x:f>
        <x:v>Processed material</x:v>
      </x:c>
      <x:c r="I70" s="4"/>
      <x:c r="J70" s="4" t="str">
        <x:v>Unspecified</x:v>
      </x:c>
      <x:c r="K70" s="4" t="str">
        <x:f>IFERROR(INDEX('Crafting recipes'!$D$6:$D$1005,MATCH(B70,'Crafting recipes'!$A$6:$A$1005,0)),"MISSING ID")</x:f>
        <x:v>Proposal</x:v>
      </x:c>
      <x:c r="L70" s="4" t="str">
        <x:f>IFERROR(INDEX('Items'!$AC$6:$AC$1005,MATCH(D70,'Items'!$A$6:$A$1005,0)),"MISSING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IFERROR(INDEX('Items'!$AF$6:$AF$1005,MATCH(D71,'Items'!$A$6:$A$1005,0)),"MISSING ID")</x:f>
        <x:v>T1</x:v>
      </x:c>
      <x:c r="G71" s="4" t="str">
        <x:f>IFERROR(INDEX('Items'!$C$6:$C$1005,MATCH(D71,'Items'!$A$6:$A$1005,0)),"MISSING ID")</x:f>
        <x:v>Resources</x:v>
      </x:c>
      <x:c r="H71" s="4" t="str">
        <x:f>IFERROR(INDEX('Items'!$W$6:$W$1005,MATCH(D71,'Items'!$A$6:$A$1005,0)),"MISSING ID")</x:f>
        <x:v>Processed material</x:v>
      </x:c>
      <x:c r="I71" s="4"/>
      <x:c r="J71" s="4" t="str">
        <x:v>Unspecified</x:v>
      </x:c>
      <x:c r="K71" s="4" t="str">
        <x:f>IFERROR(INDEX('Crafting recipes'!$D$6:$D$1005,MATCH(B71,'Crafting recipes'!$A$6:$A$1005,0)),"MISSING ID")</x:f>
        <x:v>Proposal</x:v>
      </x:c>
      <x:c r="L71" s="4" t="str">
        <x:f>IFERROR(INDEX('Items'!$AC$6:$AC$1005,MATCH(D71,'Items'!$A$6:$A$1005,0)),"MISSING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IFERROR(INDEX('Items'!$AF$6:$AF$1005,MATCH(D72,'Items'!$A$6:$A$1005,0)),"MISSING ID")</x:f>
        <x:v>T1</x:v>
      </x:c>
      <x:c r="G72" s="4" t="str">
        <x:f>IFERROR(INDEX('Items'!$C$6:$C$1005,MATCH(D72,'Items'!$A$6:$A$1005,0)),"MISSING ID")</x:f>
        <x:v>Resources</x:v>
      </x:c>
      <x:c r="H72" s="4" t="str">
        <x:f>IFERROR(INDEX('Items'!$W$6:$W$1005,MATCH(D72,'Items'!$A$6:$A$1005,0)),"MISSING ID")</x:f>
        <x:v>Processed material</x:v>
      </x:c>
      <x:c r="I72" s="4"/>
      <x:c r="J72" s="4" t="str">
        <x:v>Unspecified</x:v>
      </x:c>
      <x:c r="K72" s="4" t="str">
        <x:f>IFERROR(INDEX('Crafting recipes'!$D$6:$D$1005,MATCH(B72,'Crafting recipes'!$A$6:$A$1005,0)),"MISSING ID")</x:f>
        <x:v>Proposal</x:v>
      </x:c>
      <x:c r="L72" s="4" t="str">
        <x:f>IFERROR(INDEX('Items'!$AC$6:$AC$1005,MATCH(D72,'Items'!$A$6:$A$1005,0)),"MISSING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IFERROR(INDEX('Items'!$AF$6:$AF$1005,MATCH(D73,'Items'!$A$6:$A$1005,0)),"MISSING ID")</x:f>
        <x:v>T1</x:v>
      </x:c>
      <x:c r="G73" s="4" t="str">
        <x:f>IFERROR(INDEX('Items'!$C$6:$C$1005,MATCH(D73,'Items'!$A$6:$A$1005,0)),"MISSING ID")</x:f>
        <x:v>Resources</x:v>
      </x:c>
      <x:c r="H73" s="4" t="str">
        <x:f>IFERROR(INDEX('Items'!$W$6:$W$1005,MATCH(D73,'Items'!$A$6:$A$1005,0)),"MISSING ID")</x:f>
        <x:v>Processed material</x:v>
      </x:c>
      <x:c r="I73" s="4"/>
      <x:c r="J73" s="4" t="str">
        <x:v>Unspecified</x:v>
      </x:c>
      <x:c r="K73" s="4" t="str">
        <x:f>IFERROR(INDEX('Crafting recipes'!$D$6:$D$1005,MATCH(B73,'Crafting recipes'!$A$6:$A$1005,0)),"MISSING ID")</x:f>
        <x:v>Proposal</x:v>
      </x:c>
      <x:c r="L73" s="4" t="str">
        <x:f>IFERROR(INDEX('Items'!$AC$6:$AC$1005,MATCH(D73,'Items'!$A$6:$A$1005,0)),"MISSING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IFERROR(INDEX('Items'!$AF$6:$AF$1005,MATCH(D74,'Items'!$A$6:$A$1005,0)),"MISSING ID")</x:f>
        <x:v>T1</x:v>
      </x:c>
      <x:c r="G74" s="4" t="str">
        <x:f>IFERROR(INDEX('Items'!$C$6:$C$1005,MATCH(D74,'Items'!$A$6:$A$1005,0)),"MISSING ID")</x:f>
        <x:v>Resources</x:v>
      </x:c>
      <x:c r="H74" s="4" t="str">
        <x:f>IFERROR(INDEX('Items'!$W$6:$W$1005,MATCH(D74,'Items'!$A$6:$A$1005,0)),"MISSING ID")</x:f>
        <x:v>Processed material</x:v>
      </x:c>
      <x:c r="I74" s="4"/>
      <x:c r="J74" s="4" t="str">
        <x:v>Unspecified</x:v>
      </x:c>
      <x:c r="K74" s="4" t="str">
        <x:f>IFERROR(INDEX('Crafting recipes'!$D$6:$D$1005,MATCH(B74,'Crafting recipes'!$A$6:$A$1005,0)),"MISSING ID")</x:f>
        <x:v>Proposal</x:v>
      </x:c>
      <x:c r="L74" s="4" t="str">
        <x:f>IFERROR(INDEX('Items'!$AC$6:$AC$1005,MATCH(D74,'Items'!$A$6:$A$1005,0)),"MISSING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IFERROR(INDEX('Items'!$AF$6:$AF$1005,MATCH(D75,'Items'!$A$6:$A$1005,0)),"MISSING ID")</x:f>
        <x:v>T1</x:v>
      </x:c>
      <x:c r="G75" s="4" t="str">
        <x:f>IFERROR(INDEX('Items'!$C$6:$C$1005,MATCH(D75,'Items'!$A$6:$A$1005,0)),"MISSING ID")</x:f>
        <x:v>Resources</x:v>
      </x:c>
      <x:c r="H75" s="4" t="str">
        <x:f>IFERROR(INDEX('Items'!$W$6:$W$1005,MATCH(D75,'Items'!$A$6:$A$1005,0)),"MISSING ID")</x:f>
        <x:v>Processed material</x:v>
      </x:c>
      <x:c r="I75" s="4"/>
      <x:c r="J75" s="4" t="str">
        <x:v>Unspecified</x:v>
      </x:c>
      <x:c r="K75" s="4" t="str">
        <x:f>IFERROR(INDEX('Crafting recipes'!$D$6:$D$1005,MATCH(B75,'Crafting recipes'!$A$6:$A$1005,0)),"MISSING ID")</x:f>
        <x:v>Proposal</x:v>
      </x:c>
      <x:c r="L75" s="4" t="str">
        <x:f>IFERROR(INDEX('Items'!$AC$6:$AC$1005,MATCH(D75,'Items'!$A$6:$A$1005,0)),"MISSING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IFERROR(INDEX('Items'!$AF$6:$AF$1005,MATCH(D76,'Items'!$A$6:$A$1005,0)),"MISSING ID")</x:f>
        <x:v>T1</x:v>
      </x:c>
      <x:c r="G76" s="4" t="str">
        <x:f>IFERROR(INDEX('Items'!$C$6:$C$1005,MATCH(D76,'Items'!$A$6:$A$1005,0)),"MISSING ID")</x:f>
        <x:v>Resources</x:v>
      </x:c>
      <x:c r="H76" s="4" t="str">
        <x:f>IFERROR(INDEX('Items'!$W$6:$W$1005,MATCH(D76,'Items'!$A$6:$A$1005,0)),"MISSING ID")</x:f>
        <x:v>Processed material</x:v>
      </x:c>
      <x:c r="I76" s="4"/>
      <x:c r="J76" s="4" t="str">
        <x:v>Unspecified</x:v>
      </x:c>
      <x:c r="K76" s="4" t="str">
        <x:f>IFERROR(INDEX('Crafting recipes'!$D$6:$D$1005,MATCH(B76,'Crafting recipes'!$A$6:$A$1005,0)),"MISSING ID")</x:f>
        <x:v>Proposal</x:v>
      </x:c>
      <x:c r="L76" s="4" t="str">
        <x:f>IFERROR(INDEX('Items'!$AC$6:$AC$1005,MATCH(D76,'Items'!$A$6:$A$1005,0)),"MISSING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IFERROR(INDEX('Items'!$AF$6:$AF$1005,MATCH(D77,'Items'!$A$6:$A$1005,0)),"MISSING ID")</x:f>
        <x:v>T1</x:v>
      </x:c>
      <x:c r="G77" s="4" t="str">
        <x:f>IFERROR(INDEX('Items'!$C$6:$C$1005,MATCH(D77,'Items'!$A$6:$A$1005,0)),"MISSING ID")</x:f>
        <x:v>Resources</x:v>
      </x:c>
      <x:c r="H77" s="4" t="str">
        <x:f>IFERROR(INDEX('Items'!$W$6:$W$1005,MATCH(D77,'Items'!$A$6:$A$1005,0)),"MISSING ID")</x:f>
        <x:v>Processed material</x:v>
      </x:c>
      <x:c r="I77" s="4"/>
      <x:c r="J77" s="4" t="str">
        <x:v>Unspecified</x:v>
      </x:c>
      <x:c r="K77" s="4" t="str">
        <x:f>IFERROR(INDEX('Crafting recipes'!$D$6:$D$1005,MATCH(B77,'Crafting recipes'!$A$6:$A$1005,0)),"MISSING ID")</x:f>
        <x:v>Proposal</x:v>
      </x:c>
      <x:c r="L77" s="4" t="str">
        <x:f>IFERROR(INDEX('Items'!$AC$6:$AC$1005,MATCH(D77,'Items'!$A$6:$A$1005,0)),"MISSING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IFERROR(INDEX('Items'!$AF$6:$AF$1005,MATCH(D78,'Items'!$A$6:$A$1005,0)),"MISSING ID")</x:f>
        <x:v>T1</x:v>
      </x:c>
      <x:c r="G78" s="4" t="str">
        <x:f>IFERROR(INDEX('Items'!$C$6:$C$1005,MATCH(D78,'Items'!$A$6:$A$1005,0)),"MISSING ID")</x:f>
        <x:v>Resources</x:v>
      </x:c>
      <x:c r="H78" s="4" t="str">
        <x:f>IFERROR(INDEX('Items'!$W$6:$W$1005,MATCH(D78,'Items'!$A$6:$A$1005,0)),"MISSING ID")</x:f>
        <x:v>Processed material</x:v>
      </x:c>
      <x:c r="I78" s="4"/>
      <x:c r="J78" s="4" t="str">
        <x:v>Unspecified</x:v>
      </x:c>
      <x:c r="K78" s="4" t="str">
        <x:f>IFERROR(INDEX('Crafting recipes'!$D$6:$D$1005,MATCH(B78,'Crafting recipes'!$A$6:$A$1005,0)),"MISSING ID")</x:f>
        <x:v>Proposal</x:v>
      </x:c>
      <x:c r="L78" s="4" t="str">
        <x:f>IFERROR(INDEX('Items'!$AC$6:$AC$1005,MATCH(D78,'Items'!$A$6:$A$1005,0)),"MISSING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IFERROR(INDEX('Items'!$AF$6:$AF$1005,MATCH(D79,'Items'!$A$6:$A$1005,0)),"MISSING ID")</x:f>
        <x:v>T1</x:v>
      </x:c>
      <x:c r="G79" s="4" t="str">
        <x:f>IFERROR(INDEX('Items'!$C$6:$C$1005,MATCH(D79,'Items'!$A$6:$A$1005,0)),"MISSING ID")</x:f>
        <x:v>Resources</x:v>
      </x:c>
      <x:c r="H79" s="4" t="str">
        <x:f>IFERROR(INDEX('Items'!$W$6:$W$1005,MATCH(D79,'Items'!$A$6:$A$1005,0)),"MISSING ID")</x:f>
        <x:v>Processed material</x:v>
      </x:c>
      <x:c r="I79" s="4"/>
      <x:c r="J79" s="4" t="str">
        <x:v>Unspecified</x:v>
      </x:c>
      <x:c r="K79" s="4" t="str">
        <x:f>IFERROR(INDEX('Crafting recipes'!$D$6:$D$1005,MATCH(B79,'Crafting recipes'!$A$6:$A$1005,0)),"MISSING ID")</x:f>
        <x:v>Proposal</x:v>
      </x:c>
      <x:c r="L79" s="4" t="str">
        <x:f>IFERROR(INDEX('Items'!$AC$6:$AC$1005,MATCH(D79,'Items'!$A$6:$A$1005,0)),"MISSING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IFERROR(INDEX('Items'!$AF$6:$AF$1005,MATCH(D80,'Items'!$A$6:$A$1005,0)),"MISSING ID")</x:f>
        <x:v>T1</x:v>
      </x:c>
      <x:c r="G80" s="4" t="str">
        <x:f>IFERROR(INDEX('Items'!$C$6:$C$1005,MATCH(D80,'Items'!$A$6:$A$1005,0)),"MISSING ID")</x:f>
        <x:v>Resources</x:v>
      </x:c>
      <x:c r="H80" s="4" t="str">
        <x:f>IFERROR(INDEX('Items'!$W$6:$W$1005,MATCH(D80,'Items'!$A$6:$A$1005,0)),"MISSING ID")</x:f>
        <x:v>Processed material</x:v>
      </x:c>
      <x:c r="I80" s="4"/>
      <x:c r="J80" s="4" t="str">
        <x:v>Unspecified</x:v>
      </x:c>
      <x:c r="K80" s="4" t="str">
        <x:f>IFERROR(INDEX('Crafting recipes'!$D$6:$D$1005,MATCH(B80,'Crafting recipes'!$A$6:$A$1005,0)),"MISSING ID")</x:f>
        <x:v>Proposal</x:v>
      </x:c>
      <x:c r="L80" s="4" t="str">
        <x:f>IFERROR(INDEX('Items'!$AC$6:$AC$1005,MATCH(D80,'Items'!$A$6:$A$1005,0)),"MISSING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IFERROR(INDEX('Items'!$AF$6:$AF$1005,MATCH(D81,'Items'!$A$6:$A$1005,0)),"MISSING ID")</x:f>
        <x:v>T1</x:v>
      </x:c>
      <x:c r="G81" s="4" t="str">
        <x:f>IFERROR(INDEX('Items'!$C$6:$C$1005,MATCH(D81,'Items'!$A$6:$A$1005,0)),"MISSING ID")</x:f>
        <x:v>Resources</x:v>
      </x:c>
      <x:c r="H81" s="4" t="str">
        <x:f>IFERROR(INDEX('Items'!$W$6:$W$1005,MATCH(D81,'Items'!$A$6:$A$1005,0)),"MISSING ID")</x:f>
        <x:v>Processed material</x:v>
      </x:c>
      <x:c r="I81" s="4"/>
      <x:c r="J81" s="4" t="str">
        <x:v>Unspecified</x:v>
      </x:c>
      <x:c r="K81" s="4" t="str">
        <x:f>IFERROR(INDEX('Crafting recipes'!$D$6:$D$1005,MATCH(B81,'Crafting recipes'!$A$6:$A$1005,0)),"MISSING ID")</x:f>
        <x:v>Proposal</x:v>
      </x:c>
      <x:c r="L81" s="4" t="str">
        <x:f>IFERROR(INDEX('Items'!$AC$6:$AC$1005,MATCH(D81,'Items'!$A$6:$A$1005,0)),"MISSING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IFERROR(INDEX('Items'!$AF$6:$AF$1005,MATCH(D82,'Items'!$A$6:$A$1005,0)),"MISSING ID")</x:f>
        <x:v>T1</x:v>
      </x:c>
      <x:c r="G82" s="4" t="str">
        <x:f>IFERROR(INDEX('Items'!$C$6:$C$1005,MATCH(D82,'Items'!$A$6:$A$1005,0)),"MISSING ID")</x:f>
        <x:v>Resources</x:v>
      </x:c>
      <x:c r="H82" s="4" t="str">
        <x:f>IFERROR(INDEX('Items'!$W$6:$W$1005,MATCH(D82,'Items'!$A$6:$A$1005,0)),"MISSING ID")</x:f>
        <x:v>Processed material</x:v>
      </x:c>
      <x:c r="I82" s="4"/>
      <x:c r="J82" s="4" t="str">
        <x:v>Unspecified</x:v>
      </x:c>
      <x:c r="K82" s="4" t="str">
        <x:f>IFERROR(INDEX('Crafting recipes'!$D$6:$D$1005,MATCH(B82,'Crafting recipes'!$A$6:$A$1005,0)),"MISSING ID")</x:f>
        <x:v>Proposal</x:v>
      </x:c>
      <x:c r="L82" s="4" t="str">
        <x:f>IFERROR(INDEX('Items'!$AC$6:$AC$1005,MATCH(D82,'Items'!$A$6:$A$1005,0)),"MISSING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IFERROR(INDEX('Items'!$AF$6:$AF$1005,MATCH(D83,'Items'!$A$6:$A$1005,0)),"MISSING ID")</x:f>
        <x:v>T1</x:v>
      </x:c>
      <x:c r="G83" s="4" t="str">
        <x:f>IFERROR(INDEX('Items'!$C$6:$C$1005,MATCH(D83,'Items'!$A$6:$A$1005,0)),"MISSING ID")</x:f>
        <x:v>Resources</x:v>
      </x:c>
      <x:c r="H83" s="4" t="str">
        <x:f>IFERROR(INDEX('Items'!$W$6:$W$1005,MATCH(D83,'Items'!$A$6:$A$1005,0)),"MISSING ID")</x:f>
        <x:v>Processed material</x:v>
      </x:c>
      <x:c r="I83" s="4"/>
      <x:c r="J83" s="4" t="str">
        <x:v>Unspecified</x:v>
      </x:c>
      <x:c r="K83" s="4" t="str">
        <x:f>IFERROR(INDEX('Crafting recipes'!$D$6:$D$1005,MATCH(B83,'Crafting recipes'!$A$6:$A$1005,0)),"MISSING ID")</x:f>
        <x:v>Proposal</x:v>
      </x:c>
      <x:c r="L83" s="4" t="str">
        <x:f>IFERROR(INDEX('Items'!$AC$6:$AC$1005,MATCH(D83,'Items'!$A$6:$A$1005,0)),"MISSING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IFERROR(INDEX('Items'!$AF$6:$AF$1005,MATCH(D84,'Items'!$A$6:$A$1005,0)),"MISSING ID")</x:f>
        <x:v>T1</x:v>
      </x:c>
      <x:c r="G84" s="4" t="str">
        <x:f>IFERROR(INDEX('Items'!$C$6:$C$1005,MATCH(D84,'Items'!$A$6:$A$1005,0)),"MISSING ID")</x:f>
        <x:v>Resources</x:v>
      </x:c>
      <x:c r="H84" s="4" t="str">
        <x:f>IFERROR(INDEX('Items'!$W$6:$W$1005,MATCH(D84,'Items'!$A$6:$A$1005,0)),"MISSING ID")</x:f>
        <x:v>Processed material</x:v>
      </x:c>
      <x:c r="I84" s="4"/>
      <x:c r="J84" s="4" t="str">
        <x:v>Unspecified</x:v>
      </x:c>
      <x:c r="K84" s="4" t="str">
        <x:f>IFERROR(INDEX('Crafting recipes'!$D$6:$D$1005,MATCH(B84,'Crafting recipes'!$A$6:$A$1005,0)),"MISSING ID")</x:f>
        <x:v>Proposal</x:v>
      </x:c>
      <x:c r="L84" s="4" t="str">
        <x:f>IFERROR(INDEX('Items'!$AC$6:$AC$1005,MATCH(D84,'Items'!$A$6:$A$1005,0)),"MISSING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IFERROR(INDEX('Items'!$AF$6:$AF$1005,MATCH(D85,'Items'!$A$6:$A$1005,0)),"MISSING ID")</x:f>
        <x:v>T1</x:v>
      </x:c>
      <x:c r="G85" s="4" t="str">
        <x:f>IFERROR(INDEX('Items'!$C$6:$C$1005,MATCH(D85,'Items'!$A$6:$A$1005,0)),"MISSING ID")</x:f>
        <x:v>Resources</x:v>
      </x:c>
      <x:c r="H85" s="4" t="str">
        <x:f>IFERROR(INDEX('Items'!$W$6:$W$1005,MATCH(D85,'Items'!$A$6:$A$1005,0)),"MISSING ID")</x:f>
        <x:v>Chemical material</x:v>
      </x:c>
      <x:c r="I85" s="4"/>
      <x:c r="J85" s="4" t="str">
        <x:v>Unspecified</x:v>
      </x:c>
      <x:c r="K85" s="4" t="str">
        <x:f>IFERROR(INDEX('Crafting recipes'!$D$6:$D$1005,MATCH(B85,'Crafting recipes'!$A$6:$A$1005,0)),"MISSING ID")</x:f>
        <x:v>Proposal</x:v>
      </x:c>
      <x:c r="L85" s="4" t="str">
        <x:f>IFERROR(INDEX('Items'!$AC$6:$AC$1005,MATCH(D85,'Items'!$A$6:$A$1005,0)),"MISSING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IFERROR(INDEX('Items'!$AF$6:$AF$1005,MATCH(D86,'Items'!$A$6:$A$1005,0)),"MISSING ID")</x:f>
        <x:v>T1</x:v>
      </x:c>
      <x:c r="G86" s="4" t="str">
        <x:f>IFERROR(INDEX('Items'!$C$6:$C$1005,MATCH(D86,'Items'!$A$6:$A$1005,0)),"MISSING ID")</x:f>
        <x:v>Resources</x:v>
      </x:c>
      <x:c r="H86" s="4" t="str">
        <x:f>IFERROR(INDEX('Items'!$W$6:$W$1005,MATCH(D86,'Items'!$A$6:$A$1005,0)),"MISSING ID")</x:f>
        <x:v>Chemical material</x:v>
      </x:c>
      <x:c r="I86" s="4"/>
      <x:c r="J86" s="4" t="str">
        <x:v>Unspecified</x:v>
      </x:c>
      <x:c r="K86" s="4" t="str">
        <x:f>IFERROR(INDEX('Crafting recipes'!$D$6:$D$1005,MATCH(B86,'Crafting recipes'!$A$6:$A$1005,0)),"MISSING ID")</x:f>
        <x:v>Proposal</x:v>
      </x:c>
      <x:c r="L86" s="4" t="str">
        <x:f>IFERROR(INDEX('Items'!$AC$6:$AC$1005,MATCH(D86,'Items'!$A$6:$A$1005,0)),"MISSING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IFERROR(INDEX('Items'!$AF$6:$AF$1005,MATCH(D87,'Items'!$A$6:$A$1005,0)),"MISSING ID")</x:f>
        <x:v>T1</x:v>
      </x:c>
      <x:c r="G87" s="4" t="str">
        <x:f>IFERROR(INDEX('Items'!$C$6:$C$1005,MATCH(D87,'Items'!$A$6:$A$1005,0)),"MISSING ID")</x:f>
        <x:v>Resources</x:v>
      </x:c>
      <x:c r="H87" s="4" t="str">
        <x:f>IFERROR(INDEX('Items'!$W$6:$W$1005,MATCH(D87,'Items'!$A$6:$A$1005,0)),"MISSING ID")</x:f>
        <x:v>Chemical material</x:v>
      </x:c>
      <x:c r="I87" s="4"/>
      <x:c r="J87" s="4" t="str">
        <x:v>Unspecified</x:v>
      </x:c>
      <x:c r="K87" s="4" t="str">
        <x:f>IFERROR(INDEX('Crafting recipes'!$D$6:$D$1005,MATCH(B87,'Crafting recipes'!$A$6:$A$1005,0)),"MISSING ID")</x:f>
        <x:v>Proposal</x:v>
      </x:c>
      <x:c r="L87" s="4" t="str">
        <x:f>IFERROR(INDEX('Items'!$AC$6:$AC$1005,MATCH(D87,'Items'!$A$6:$A$1005,0)),"MISSING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IFERROR(INDEX('Items'!$AF$6:$AF$1005,MATCH(D88,'Items'!$A$6:$A$1005,0)),"MISSING ID")</x:f>
        <x:v>T1</x:v>
      </x:c>
      <x:c r="G88" s="4" t="str">
        <x:f>IFERROR(INDEX('Items'!$C$6:$C$1005,MATCH(D88,'Items'!$A$6:$A$1005,0)),"MISSING ID")</x:f>
        <x:v>Resources</x:v>
      </x:c>
      <x:c r="H88" s="4" t="str">
        <x:f>IFERROR(INDEX('Items'!$W$6:$W$1005,MATCH(D88,'Items'!$A$6:$A$1005,0)),"MISSING ID")</x:f>
        <x:v>Processed material</x:v>
      </x:c>
      <x:c r="I88" s="4"/>
      <x:c r="J88" s="4" t="str">
        <x:v>Unspecified</x:v>
      </x:c>
      <x:c r="K88" s="4" t="str">
        <x:f>IFERROR(INDEX('Crafting recipes'!$D$6:$D$1005,MATCH(B88,'Crafting recipes'!$A$6:$A$1005,0)),"MISSING ID")</x:f>
        <x:v>Proposal</x:v>
      </x:c>
      <x:c r="L88" s="4" t="str">
        <x:f>IFERROR(INDEX('Items'!$AC$6:$AC$1005,MATCH(D88,'Items'!$A$6:$A$1005,0)),"MISSING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IFERROR(INDEX('Items'!$AF$6:$AF$1005,MATCH(D89,'Items'!$A$6:$A$1005,0)),"MISSING ID")</x:f>
        <x:v>T1</x:v>
      </x:c>
      <x:c r="G89" s="4" t="str">
        <x:f>IFERROR(INDEX('Items'!$C$6:$C$1005,MATCH(D89,'Items'!$A$6:$A$1005,0)),"MISSING ID")</x:f>
        <x:v>Resources</x:v>
      </x:c>
      <x:c r="H89" s="4" t="str">
        <x:f>IFERROR(INDEX('Items'!$W$6:$W$1005,MATCH(D89,'Items'!$A$6:$A$1005,0)),"MISSING ID")</x:f>
        <x:v>Processed material</x:v>
      </x:c>
      <x:c r="I89" s="4"/>
      <x:c r="J89" s="4" t="str">
        <x:v>Unspecified</x:v>
      </x:c>
      <x:c r="K89" s="4" t="str">
        <x:f>IFERROR(INDEX('Crafting recipes'!$D$6:$D$1005,MATCH(B89,'Crafting recipes'!$A$6:$A$1005,0)),"MISSING ID")</x:f>
        <x:v>Proposal</x:v>
      </x:c>
      <x:c r="L89" s="4" t="str">
        <x:f>IFERROR(INDEX('Items'!$AC$6:$AC$1005,MATCH(D89,'Items'!$A$6:$A$1005,0)),"MISSING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IFERROR(INDEX('Items'!$AF$6:$AF$1005,MATCH(D90,'Items'!$A$6:$A$1005,0)),"MISSING ID")</x:f>
        <x:v>T1</x:v>
      </x:c>
      <x:c r="G90" s="4" t="str">
        <x:f>IFERROR(INDEX('Items'!$C$6:$C$1005,MATCH(D90,'Items'!$A$6:$A$1005,0)),"MISSING ID")</x:f>
        <x:v>Resources</x:v>
      </x:c>
      <x:c r="H90" s="4" t="str">
        <x:f>IFERROR(INDEX('Items'!$W$6:$W$1005,MATCH(D90,'Items'!$A$6:$A$1005,0)),"MISSING ID")</x:f>
        <x:v>Processed material</x:v>
      </x:c>
      <x:c r="I90" s="4"/>
      <x:c r="J90" s="4" t="str">
        <x:v>Unspecified</x:v>
      </x:c>
      <x:c r="K90" s="4" t="str">
        <x:f>IFERROR(INDEX('Crafting recipes'!$D$6:$D$1005,MATCH(B90,'Crafting recipes'!$A$6:$A$1005,0)),"MISSING ID")</x:f>
        <x:v>Proposal</x:v>
      </x:c>
      <x:c r="L90" s="4" t="str">
        <x:f>IFERROR(INDEX('Items'!$AC$6:$AC$1005,MATCH(D90,'Items'!$A$6:$A$1005,0)),"MISSING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IFERROR(INDEX('Items'!$AF$6:$AF$1005,MATCH(D91,'Items'!$A$6:$A$1005,0)),"MISSING ID")</x:f>
        <x:v>T1</x:v>
      </x:c>
      <x:c r="G91" s="4" t="str">
        <x:f>IFERROR(INDEX('Items'!$C$6:$C$1005,MATCH(D91,'Items'!$A$6:$A$1005,0)),"MISSING ID")</x:f>
        <x:v>Resources</x:v>
      </x:c>
      <x:c r="H91" s="4" t="str">
        <x:f>IFERROR(INDEX('Items'!$W$6:$W$1005,MATCH(D91,'Items'!$A$6:$A$1005,0)),"MISSING ID")</x:f>
        <x:v>Processed material</x:v>
      </x:c>
      <x:c r="I91" s="4"/>
      <x:c r="J91" s="4" t="str">
        <x:v>Unspecified</x:v>
      </x:c>
      <x:c r="K91" s="4" t="str">
        <x:f>IFERROR(INDEX('Crafting recipes'!$D$6:$D$1005,MATCH(B91,'Crafting recipes'!$A$6:$A$1005,0)),"MISSING ID")</x:f>
        <x:v>Proposal</x:v>
      </x:c>
      <x:c r="L91" s="4" t="str">
        <x:f>IFERROR(INDEX('Items'!$AC$6:$AC$1005,MATCH(D91,'Items'!$A$6:$A$1005,0)),"MISSING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IFERROR(INDEX('Items'!$AF$6:$AF$1005,MATCH(D92,'Items'!$A$6:$A$1005,0)),"MISSING ID")</x:f>
        <x:v>T2</x:v>
      </x:c>
      <x:c r="G92" s="4" t="str">
        <x:f>IFERROR(INDEX('Items'!$C$6:$C$1005,MATCH(D92,'Items'!$A$6:$A$1005,0)),"MISSING ID")</x:f>
        <x:v>Crafting components</x:v>
      </x:c>
      <x:c r="H92" s="4" t="str">
        <x:f>IFERROR(INDEX('Items'!$W$6:$W$1005,MATCH(D92,'Items'!$A$6:$A$1005,0)),"MISSING ID")</x:f>
        <x:v>Processed material</x:v>
      </x:c>
      <x:c r="I92" s="4"/>
      <x:c r="J92" s="4" t="str">
        <x:v>Unspecified</x:v>
      </x:c>
      <x:c r="K92" s="4" t="str">
        <x:f>IFERROR(INDEX('Crafting recipes'!$D$6:$D$1005,MATCH(B92,'Crafting recipes'!$A$6:$A$1005,0)),"MISSING ID")</x:f>
        <x:v>Proposal</x:v>
      </x:c>
      <x:c r="L92" s="4" t="str">
        <x:f>IFERROR(INDEX('Items'!$AC$6:$AC$1005,MATCH(D92,'Items'!$A$6:$A$1005,0)),"MISSING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IFERROR(INDEX('Items'!$AF$6:$AF$1005,MATCH(D93,'Items'!$A$6:$A$1005,0)),"MISSING ID")</x:f>
        <x:v>T2</x:v>
      </x:c>
      <x:c r="G93" s="4" t="str">
        <x:f>IFERROR(INDEX('Items'!$C$6:$C$1005,MATCH(D93,'Items'!$A$6:$A$1005,0)),"MISSING ID")</x:f>
        <x:v>Resources</x:v>
      </x:c>
      <x:c r="H93" s="4" t="str">
        <x:f>IFERROR(INDEX('Items'!$W$6:$W$1005,MATCH(D93,'Items'!$A$6:$A$1005,0)),"MISSING ID")</x:f>
        <x:v>Processed material</x:v>
      </x:c>
      <x:c r="I93" s="4"/>
      <x:c r="J93" s="4" t="str">
        <x:v>Unspecified</x:v>
      </x:c>
      <x:c r="K93" s="4" t="str">
        <x:f>IFERROR(INDEX('Crafting recipes'!$D$6:$D$1005,MATCH(B93,'Crafting recipes'!$A$6:$A$1005,0)),"MISSING ID")</x:f>
        <x:v>Proposal</x:v>
      </x:c>
      <x:c r="L93" s="4" t="str">
        <x:f>IFERROR(INDEX('Items'!$AC$6:$AC$1005,MATCH(D93,'Items'!$A$6:$A$1005,0)),"MISSING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IFERROR(INDEX('Items'!$AF$6:$AF$1005,MATCH(D94,'Items'!$A$6:$A$1005,0)),"MISSING ID")</x:f>
        <x:v>T2</x:v>
      </x:c>
      <x:c r="G94" s="4" t="str">
        <x:f>IFERROR(INDEX('Items'!$C$6:$C$1005,MATCH(D94,'Items'!$A$6:$A$1005,0)),"MISSING ID")</x:f>
        <x:v>Crafting components</x:v>
      </x:c>
      <x:c r="H94" s="4" t="str">
        <x:f>IFERROR(INDEX('Items'!$W$6:$W$1005,MATCH(D94,'Items'!$A$6:$A$1005,0)),"MISSING ID")</x:f>
        <x:v>Crafting component</x:v>
      </x:c>
      <x:c r="I94" s="4"/>
      <x:c r="J94" s="4" t="str">
        <x:v>Unspecified</x:v>
      </x:c>
      <x:c r="K94" s="4" t="str">
        <x:f>IFERROR(INDEX('Crafting recipes'!$D$6:$D$1005,MATCH(B94,'Crafting recipes'!$A$6:$A$1005,0)),"MISSING ID")</x:f>
        <x:v>Proposal</x:v>
      </x:c>
      <x:c r="L94" s="4" t="str">
        <x:f>IFERROR(INDEX('Items'!$AC$6:$AC$1005,MATCH(D94,'Items'!$A$6:$A$1005,0)),"MISSING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IFERROR(INDEX('Items'!$AF$6:$AF$1005,MATCH(D95,'Items'!$A$6:$A$1005,0)),"MISSING ID")</x:f>
        <x:v>T2</x:v>
      </x:c>
      <x:c r="G95" s="4" t="str">
        <x:f>IFERROR(INDEX('Items'!$C$6:$C$1005,MATCH(D95,'Items'!$A$6:$A$1005,0)),"MISSING ID")</x:f>
        <x:v>Resources</x:v>
      </x:c>
      <x:c r="H95" s="4" t="str">
        <x:f>IFERROR(INDEX('Items'!$W$6:$W$1005,MATCH(D95,'Items'!$A$6:$A$1005,0)),"MISSING ID")</x:f>
        <x:v>Chemical material</x:v>
      </x:c>
      <x:c r="I95" s="4"/>
      <x:c r="J95" s="4" t="str">
        <x:v>Unspecified</x:v>
      </x:c>
      <x:c r="K95" s="4" t="str">
        <x:f>IFERROR(INDEX('Crafting recipes'!$D$6:$D$1005,MATCH(B95,'Crafting recipes'!$A$6:$A$1005,0)),"MISSING ID")</x:f>
        <x:v>Proposal</x:v>
      </x:c>
      <x:c r="L95" s="4" t="str">
        <x:f>IFERROR(INDEX('Items'!$AC$6:$AC$1005,MATCH(D95,'Items'!$A$6:$A$1005,0)),"MISSING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IFERROR(INDEX('Items'!$AF$6:$AF$1005,MATCH(D96,'Items'!$A$6:$A$1005,0)),"MISSING ID")</x:f>
        <x:v>T0</x:v>
      </x:c>
      <x:c r="G96" s="4" t="str">
        <x:f>IFERROR(INDEX('Items'!$C$6:$C$1005,MATCH(D96,'Items'!$A$6:$A$1005,0)),"MISSING ID")</x:f>
        <x:v>Resources</x:v>
      </x:c>
      <x:c r="H96" s="4" t="str">
        <x:f>IFERROR(INDEX('Items'!$W$6:$W$1005,MATCH(D96,'Items'!$A$6:$A$1005,0)),"MISSING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IFERROR(INDEX('Items'!$AC$6:$AC$1005,MATCH(D96,'Items'!$A$6:$A$1005,0)),"MISSING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IFERROR(INDEX('Items'!$AF$6:$AF$1005,MATCH(D97,'Items'!$A$6:$A$1005,0)),"MISSING ID")</x:f>
        <x:v>Not applicable</x:v>
      </x:c>
      <x:c r="G97" s="4" t="str">
        <x:f>IFERROR(INDEX('Items'!$C$6:$C$1005,MATCH(D97,'Items'!$A$6:$A$1005,0)),"MISSING ID")</x:f>
        <x:v>Field supplies</x:v>
      </x:c>
      <x:c r="H97" s="4" t="str">
        <x:f>IFERROR(INDEX('Items'!$W$6:$W$1005,MATCH(D97,'Items'!$A$6:$A$1005,0)),"MISSING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IFERROR(INDEX('Items'!$AC$6:$AC$1005,MATCH(D97,'Items'!$A$6:$A$1005,0)),"MISSING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IFERROR(INDEX('Items'!$AF$6:$AF$1005,MATCH(D98,'Items'!$A$6:$A$1005,0)),"MISSING ID")</x:f>
        <x:v>T0</x:v>
      </x:c>
      <x:c r="G98" s="4" t="str">
        <x:f>IFERROR(INDEX('Items'!$C$6:$C$1005,MATCH(D98,'Items'!$A$6:$A$1005,0)),"MISSING ID")</x:f>
        <x:v>Resources</x:v>
      </x:c>
      <x:c r="H98" s="4" t="str">
        <x:f>IFERROR(INDEX('Items'!$W$6:$W$1005,MATCH(D98,'Items'!$A$6:$A$1005,0)),"MISSING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IFERROR(INDEX('Items'!$AC$6:$AC$1005,MATCH(D98,'Items'!$A$6:$A$1005,0)),"MISSING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IFERROR(INDEX('Items'!$AF$6:$AF$1005,MATCH(D99,'Items'!$A$6:$A$1005,0)),"MISSING ID")</x:f>
        <x:v>Unassigned</x:v>
      </x:c>
      <x:c r="G99" s="4" t="str">
        <x:f>IFERROR(INDEX('Items'!$C$6:$C$1005,MATCH(D99,'Items'!$A$6:$A$1005,0)),"MISSING ID")</x:f>
        <x:v>Resources</x:v>
      </x:c>
      <x:c r="H99" s="4" t="str">
        <x:f>IFERROR(INDEX('Items'!$W$6:$W$1005,MATCH(D99,'Items'!$A$6:$A$1005,0)),"MISSING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IFERROR(INDEX('Items'!$AC$6:$AC$1005,MATCH(D99,'Items'!$A$6:$A$1005,0)),"MISSING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IFERROR(INDEX('Items'!$AF$6:$AF$1005,MATCH(D100,'Items'!$A$6:$A$1005,0)),"MISSING ID")</x:f>
        <x:v>T1</x:v>
      </x:c>
      <x:c r="G100" s="4" t="str">
        <x:f>IFERROR(INDEX('Items'!$C$6:$C$1005,MATCH(D100,'Items'!$A$6:$A$1005,0)),"MISSING ID")</x:f>
        <x:v>Resources</x:v>
      </x:c>
      <x:c r="H100" s="4" t="str">
        <x:f>IFERROR(INDEX('Items'!$W$6:$W$1005,MATCH(D100,'Items'!$A$6:$A$1005,0)),"MISSING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IFERROR(INDEX('Items'!$AC$6:$AC$1005,MATCH(D100,'Items'!$A$6:$A$1005,0)),"MISSING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IFERROR(INDEX('Items'!$AF$6:$AF$1005,MATCH(D101,'Items'!$A$6:$A$1005,0)),"MISSING ID")</x:f>
        <x:v>Unassigned</x:v>
      </x:c>
      <x:c r="G101" s="4" t="str">
        <x:f>IFERROR(INDEX('Items'!$C$6:$C$1005,MATCH(D101,'Items'!$A$6:$A$1005,0)),"MISSING ID")</x:f>
        <x:v>Resources</x:v>
      </x:c>
      <x:c r="H101" s="4" t="str">
        <x:f>IFERROR(INDEX('Items'!$W$6:$W$1005,MATCH(D101,'Items'!$A$6:$A$1005,0)),"MISSING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IFERROR(INDEX('Items'!$AC$6:$AC$1005,MATCH(D101,'Items'!$A$6:$A$1005,0)),"MISSING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IFERROR(INDEX('Items'!$AF$6:$AF$1005,MATCH(D102,'Items'!$A$6:$A$1005,0)),"MISSING ID")</x:f>
        <x:v>Unassigned</x:v>
      </x:c>
      <x:c r="G102" s="4" t="str">
        <x:f>IFERROR(INDEX('Items'!$C$6:$C$1005,MATCH(D102,'Items'!$A$6:$A$1005,0)),"MISSING ID")</x:f>
        <x:v>Resources</x:v>
      </x:c>
      <x:c r="H102" s="4" t="str">
        <x:f>IFERROR(INDEX('Items'!$W$6:$W$1005,MATCH(D102,'Items'!$A$6:$A$1005,0)),"MISSING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IFERROR(INDEX('Items'!$AC$6:$AC$1005,MATCH(D102,'Items'!$A$6:$A$1005,0)),"MISSING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IFERROR(INDEX('Items'!$AF$6:$AF$1005,MATCH(D103,'Items'!$A$6:$A$1005,0)),"MISSING ID")</x:f>
        <x:v>Not applicable</x:v>
      </x:c>
      <x:c r="G103" s="4" t="str">
        <x:f>IFERROR(INDEX('Items'!$C$6:$C$1005,MATCH(D103,'Items'!$A$6:$A$1005,0)),"MISSING ID")</x:f>
        <x:v>Field supplies</x:v>
      </x:c>
      <x:c r="H103" s="4" t="str">
        <x:f>IFERROR(INDEX('Items'!$W$6:$W$1005,MATCH(D103,'Items'!$A$6:$A$1005,0)),"MISSING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IFERROR(INDEX('Items'!$AC$6:$AC$1005,MATCH(D103,'Items'!$A$6:$A$1005,0)),"MISSING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IFERROR(INDEX('Items'!$AF$6:$AF$1005,MATCH(D104,'Items'!$A$6:$A$1005,0)),"MISSING ID")</x:f>
        <x:v>T0</x:v>
      </x:c>
      <x:c r="G104" s="4" t="str">
        <x:f>IFERROR(INDEX('Items'!$C$6:$C$1005,MATCH(D104,'Items'!$A$6:$A$1005,0)),"MISSING ID")</x:f>
        <x:v>Resources</x:v>
      </x:c>
      <x:c r="H104" s="4" t="str">
        <x:f>IFERROR(INDEX('Items'!$W$6:$W$1005,MATCH(D104,'Items'!$A$6:$A$1005,0)),"MISSING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IFERROR(INDEX('Items'!$AC$6:$AC$1005,MATCH(D104,'Items'!$A$6:$A$1005,0)),"MISSING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IFERROR(INDEX('Items'!$AF$6:$AF$1005,MATCH(D105,'Items'!$A$6:$A$1005,0)),"MISSING ID")</x:f>
        <x:v>Not applicable</x:v>
      </x:c>
      <x:c r="G105" s="4" t="str">
        <x:f>IFERROR(INDEX('Items'!$C$6:$C$1005,MATCH(D105,'Items'!$A$6:$A$1005,0)),"MISSING ID")</x:f>
        <x:v>Field supplies</x:v>
      </x:c>
      <x:c r="H105" s="4" t="str">
        <x:f>IFERROR(INDEX('Items'!$W$6:$W$1005,MATCH(D105,'Items'!$A$6:$A$1005,0)),"MISSING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IFERROR(INDEX('Items'!$AC$6:$AC$1005,MATCH(D105,'Items'!$A$6:$A$1005,0)),"MISSING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IFERROR(INDEX('Items'!$AF$6:$AF$1005,MATCH(D106,'Items'!$A$6:$A$1005,0)),"MISSING ID")</x:f>
        <x:v>T1</x:v>
      </x:c>
      <x:c r="G106" s="4" t="str">
        <x:f>IFERROR(INDEX('Items'!$C$6:$C$1005,MATCH(D106,'Items'!$A$6:$A$1005,0)),"MISSING ID")</x:f>
        <x:v>Resources</x:v>
      </x:c>
      <x:c r="H106" s="4" t="str">
        <x:f>IFERROR(INDEX('Items'!$W$6:$W$1005,MATCH(D106,'Items'!$A$6:$A$1005,0)),"MISSING ID")</x:f>
        <x:v>Processed material</x:v>
      </x:c>
      <x:c r="I106" s="4"/>
      <x:c r="J106" s="4" t="str">
        <x:v>Unspecified</x:v>
      </x:c>
      <x:c r="K106" s="4" t="str">
        <x:f>IFERROR(INDEX('Crafting recipes'!$D$6:$D$1005,MATCH(B106,'Crafting recipes'!$A$6:$A$1005,0)),"MISSING ID")</x:f>
        <x:v>Concept outline</x:v>
      </x:c>
      <x:c r="L106" s="4" t="str">
        <x:f>IFERROR(INDEX('Items'!$AC$6:$AC$1005,MATCH(D106,'Items'!$A$6:$A$1005,0)),"MISSING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IFERROR(INDEX('Items'!$AF$6:$AF$1005,MATCH(D107,'Items'!$A$6:$A$1005,0)),"MISSING ID")</x:f>
        <x:v>T2</x:v>
      </x:c>
      <x:c r="G107" s="4" t="str">
        <x:f>IFERROR(INDEX('Items'!$C$6:$C$1005,MATCH(D107,'Items'!$A$6:$A$1005,0)),"MISSING ID")</x:f>
        <x:v>Resources</x:v>
      </x:c>
      <x:c r="H107" s="4" t="str">
        <x:f>IFERROR(INDEX('Items'!$W$6:$W$1005,MATCH(D107,'Items'!$A$6:$A$1005,0)),"MISSING ID")</x:f>
        <x:v>Processed material</x:v>
      </x:c>
      <x:c r="I107" s="4"/>
      <x:c r="J107" s="4" t="str">
        <x:v>Unspecified</x:v>
      </x:c>
      <x:c r="K107" s="4" t="str">
        <x:f>IFERROR(INDEX('Crafting recipes'!$D$6:$D$1005,MATCH(B107,'Crafting recipes'!$A$6:$A$1005,0)),"MISSING ID")</x:f>
        <x:v>Concept outline</x:v>
      </x:c>
      <x:c r="L107" s="4" t="str">
        <x:f>IFERROR(INDEX('Items'!$AC$6:$AC$1005,MATCH(D107,'Items'!$A$6:$A$1005,0)),"MISSING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IFERROR(INDEX('Items'!$AF$6:$AF$1005,MATCH(D108,'Items'!$A$6:$A$1005,0)),"MISSING ID")</x:f>
        <x:v>T0</x:v>
      </x:c>
      <x:c r="G108" s="4" t="str">
        <x:f>IFERROR(INDEX('Items'!$C$6:$C$1005,MATCH(D108,'Items'!$A$6:$A$1005,0)),"MISSING ID")</x:f>
        <x:v>Resources</x:v>
      </x:c>
      <x:c r="H108" s="4" t="str">
        <x:f>IFERROR(INDEX('Items'!$W$6:$W$1005,MATCH(D108,'Items'!$A$6:$A$1005,0)),"MISSING ID")</x:f>
        <x:v>Raw material</x:v>
      </x:c>
      <x:c r="I108" s="4"/>
      <x:c r="J108" s="4" t="str">
        <x:v>Unspecified</x:v>
      </x:c>
      <x:c r="K108" s="4" t="str">
        <x:f>IFERROR(INDEX('Crafting recipes'!$D$6:$D$1005,MATCH(B108,'Crafting recipes'!$A$6:$A$1005,0)),"MISSING ID")</x:f>
        <x:v>Concept outline</x:v>
      </x:c>
      <x:c r="L108" s="4" t="str">
        <x:f>IFERROR(INDEX('Items'!$AC$6:$AC$1005,MATCH(D108,'Items'!$A$6:$A$1005,0)),"MISSING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IFERROR(INDEX('Items'!$AF$6:$AF$1005,MATCH(D109,'Items'!$A$6:$A$1005,0)),"MISSING ID")</x:f>
        <x:v>T1</x:v>
      </x:c>
      <x:c r="G109" s="4" t="str">
        <x:f>IFERROR(INDEX('Items'!$C$6:$C$1005,MATCH(D109,'Items'!$A$6:$A$1005,0)),"MISSING ID")</x:f>
        <x:v>Resources</x:v>
      </x:c>
      <x:c r="H109" s="4" t="str">
        <x:f>IFERROR(INDEX('Items'!$W$6:$W$1005,MATCH(D109,'Items'!$A$6:$A$1005,0)),"MISSING ID")</x:f>
        <x:v>Processed material</x:v>
      </x:c>
      <x:c r="I109" s="4"/>
      <x:c r="J109" s="4" t="str">
        <x:v>Unspecified</x:v>
      </x:c>
      <x:c r="K109" s="4" t="str">
        <x:f>IFERROR(INDEX('Crafting recipes'!$D$6:$D$1005,MATCH(B109,'Crafting recipes'!$A$6:$A$1005,0)),"MISSING ID")</x:f>
        <x:v>Concept outline</x:v>
      </x:c>
      <x:c r="L109" s="4" t="str">
        <x:f>IFERROR(INDEX('Items'!$AC$6:$AC$1005,MATCH(D109,'Items'!$A$6:$A$1005,0)),"MISSING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IFERROR(INDEX('Items'!$AF$6:$AF$1005,MATCH(D110,'Items'!$A$6:$A$1005,0)),"MISSING ID")</x:f>
        <x:v>T0</x:v>
      </x:c>
      <x:c r="G110" s="4" t="str">
        <x:f>IFERROR(INDEX('Items'!$C$6:$C$1005,MATCH(D110,'Items'!$A$6:$A$1005,0)),"MISSING ID")</x:f>
        <x:v>Resources</x:v>
      </x:c>
      <x:c r="H110" s="4" t="str">
        <x:f>IFERROR(INDEX('Items'!$W$6:$W$1005,MATCH(D110,'Items'!$A$6:$A$1005,0)),"MISSING ID")</x:f>
        <x:v>Raw material</x:v>
      </x:c>
      <x:c r="I110" s="4"/>
      <x:c r="J110" s="4" t="str">
        <x:v>Unspecified</x:v>
      </x:c>
      <x:c r="K110" s="4" t="str">
        <x:f>IFERROR(INDEX('Crafting recipes'!$D$6:$D$1005,MATCH(B110,'Crafting recipes'!$A$6:$A$1005,0)),"MISSING ID")</x:f>
        <x:v>Concept outline</x:v>
      </x:c>
      <x:c r="L110" s="4" t="str">
        <x:f>IFERROR(INDEX('Items'!$AC$6:$AC$1005,MATCH(D110,'Items'!$A$6:$A$1005,0)),"MISSING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IFERROR(INDEX('Items'!$AF$6:$AF$1005,MATCH(D111,'Items'!$A$6:$A$1005,0)),"MISSING ID")</x:f>
        <x:v>Unassigned</x:v>
      </x:c>
      <x:c r="G111" s="4" t="str">
        <x:f>IFERROR(INDEX('Items'!$C$6:$C$1005,MATCH(D111,'Items'!$A$6:$A$1005,0)),"MISSING ID")</x:f>
        <x:v>Resources</x:v>
      </x:c>
      <x:c r="H111" s="4" t="str">
        <x:f>IFERROR(INDEX('Items'!$W$6:$W$1005,MATCH(D111,'Items'!$A$6:$A$1005,0)),"MISSING ID")</x:f>
        <x:v>Processed material</x:v>
      </x:c>
      <x:c r="I111" s="4"/>
      <x:c r="J111" s="4" t="str">
        <x:v>Unspecified</x:v>
      </x:c>
      <x:c r="K111" s="4" t="str">
        <x:f>IFERROR(INDEX('Crafting recipes'!$D$6:$D$1005,MATCH(B111,'Crafting recipes'!$A$6:$A$1005,0)),"MISSING ID")</x:f>
        <x:v>Concept outline</x:v>
      </x:c>
      <x:c r="L111" s="4" t="str">
        <x:f>IFERROR(INDEX('Items'!$AC$6:$AC$1005,MATCH(D111,'Items'!$A$6:$A$1005,0)),"MISSING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IFERROR(INDEX('Items'!$AF$6:$AF$1005,MATCH(D112,'Items'!$A$6:$A$1005,0)),"MISSING ID")</x:f>
        <x:v>T0</x:v>
      </x:c>
      <x:c r="G112" s="4" t="str">
        <x:f>IFERROR(INDEX('Items'!$C$6:$C$1005,MATCH(D112,'Items'!$A$6:$A$1005,0)),"MISSING ID")</x:f>
        <x:v>Resources</x:v>
      </x:c>
      <x:c r="H112" s="4" t="str">
        <x:f>IFERROR(INDEX('Items'!$W$6:$W$1005,MATCH(D112,'Items'!$A$6:$A$1005,0)),"MISSING ID")</x:f>
        <x:v>Raw material</x:v>
      </x:c>
      <x:c r="I112" s="4"/>
      <x:c r="J112" s="4" t="str">
        <x:v>Unspecified</x:v>
      </x:c>
      <x:c r="K112" s="4" t="str">
        <x:f>IFERROR(INDEX('Crafting recipes'!$D$6:$D$1005,MATCH(B112,'Crafting recipes'!$A$6:$A$1005,0)),"MISSING ID")</x:f>
        <x:v>Needs tier review</x:v>
      </x:c>
      <x:c r="L112" s="4" t="str">
        <x:f>IFERROR(INDEX('Items'!$AC$6:$AC$1005,MATCH(D112,'Items'!$A$6:$A$1005,0)),"MISSING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IFERROR(INDEX('Items'!$AF$6:$AF$1005,MATCH(D113,'Items'!$A$6:$A$1005,0)),"MISSING ID")</x:f>
        <x:v>T2</x:v>
      </x:c>
      <x:c r="G113" s="4" t="str">
        <x:f>IFERROR(INDEX('Items'!$C$6:$C$1005,MATCH(D113,'Items'!$A$6:$A$1005,0)),"MISSING ID")</x:f>
        <x:v>Crafting components</x:v>
      </x:c>
      <x:c r="H113" s="4" t="str">
        <x:f>IFERROR(INDEX('Items'!$W$6:$W$1005,MATCH(D113,'Items'!$A$6:$A$1005,0)),"MISSING ID")</x:f>
        <x:v>Crafting component</x:v>
      </x:c>
      <x:c r="I113" s="4"/>
      <x:c r="J113" s="4" t="str">
        <x:v>Unspecified</x:v>
      </x:c>
      <x:c r="K113" s="4" t="str">
        <x:f>IFERROR(INDEX('Crafting recipes'!$D$6:$D$1005,MATCH(B113,'Crafting recipes'!$A$6:$A$1005,0)),"MISSING ID")</x:f>
        <x:v>Needs tier review</x:v>
      </x:c>
      <x:c r="L113" s="4" t="str">
        <x:f>IFERROR(INDEX('Items'!$AC$6:$AC$1005,MATCH(D113,'Items'!$A$6:$A$1005,0)),"MISSING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IFERROR(INDEX('Items'!$AF$6:$AF$1005,MATCH(D114,'Items'!$A$6:$A$1005,0)),"MISSING ID")</x:f>
        <x:v>T0</x:v>
      </x:c>
      <x:c r="G114" s="4" t="str">
        <x:f>IFERROR(INDEX('Items'!$C$6:$C$1005,MATCH(D114,'Items'!$A$6:$A$1005,0)),"MISSING ID")</x:f>
        <x:v>Resources</x:v>
      </x:c>
      <x:c r="H114" s="4" t="str">
        <x:f>IFERROR(INDEX('Items'!$W$6:$W$1005,MATCH(D114,'Items'!$A$6:$A$1005,0)),"MISSING ID")</x:f>
        <x:v>Raw material</x:v>
      </x:c>
      <x:c r="I114" s="4"/>
      <x:c r="J114" s="4" t="str">
        <x:v>Unspecified</x:v>
      </x:c>
      <x:c r="K114" s="4" t="str">
        <x:f>IFERROR(INDEX('Crafting recipes'!$D$6:$D$1005,MATCH(B114,'Crafting recipes'!$A$6:$A$1005,0)),"MISSING ID")</x:f>
        <x:v>Concept outline</x:v>
      </x:c>
      <x:c r="L114" s="4" t="str">
        <x:f>IFERROR(INDEX('Items'!$AC$6:$AC$1005,MATCH(D114,'Items'!$A$6:$A$1005,0)),"MISSING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IFERROR(INDEX('Items'!$AF$6:$AF$1005,MATCH(D115,'Items'!$A$6:$A$1005,0)),"MISSING ID")</x:f>
        <x:v>Unassigned</x:v>
      </x:c>
      <x:c r="G115" s="4" t="str">
        <x:f>IFERROR(INDEX('Items'!$C$6:$C$1005,MATCH(D115,'Items'!$A$6:$A$1005,0)),"MISSING ID")</x:f>
        <x:v>Crafting components</x:v>
      </x:c>
      <x:c r="H115" s="4" t="str">
        <x:f>IFERROR(INDEX('Items'!$W$6:$W$1005,MATCH(D115,'Items'!$A$6:$A$1005,0)),"MISSING ID")</x:f>
        <x:v>Crafting component</x:v>
      </x:c>
      <x:c r="I115" s="4"/>
      <x:c r="J115" s="4" t="str">
        <x:v>Unspecified</x:v>
      </x:c>
      <x:c r="K115" s="4" t="str">
        <x:f>IFERROR(INDEX('Crafting recipes'!$D$6:$D$1005,MATCH(B115,'Crafting recipes'!$A$6:$A$1005,0)),"MISSING ID")</x:f>
        <x:v>Concept outline</x:v>
      </x:c>
      <x:c r="L115" s="4" t="str">
        <x:f>IFERROR(INDEX('Items'!$AC$6:$AC$1005,MATCH(D115,'Items'!$A$6:$A$1005,0)),"MISSING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IFERROR(INDEX('Items'!$AF$6:$AF$1005,MATCH(D116,'Items'!$A$6:$A$1005,0)),"MISSING ID")</x:f>
        <x:v>T0</x:v>
      </x:c>
      <x:c r="G116" s="4" t="str">
        <x:f>IFERROR(INDEX('Items'!$C$6:$C$1005,MATCH(D116,'Items'!$A$6:$A$1005,0)),"MISSING ID")</x:f>
        <x:v>Resources</x:v>
      </x:c>
      <x:c r="H116" s="4" t="str">
        <x:f>IFERROR(INDEX('Items'!$W$6:$W$1005,MATCH(D116,'Items'!$A$6:$A$1005,0)),"MISSING ID")</x:f>
        <x:v>Raw material</x:v>
      </x:c>
      <x:c r="I116" s="4"/>
      <x:c r="J116" s="4" t="str">
        <x:v>Unspecified</x:v>
      </x:c>
      <x:c r="K116" s="4" t="str">
        <x:f>IFERROR(INDEX('Crafting recipes'!$D$6:$D$1005,MATCH(B116,'Crafting recipes'!$A$6:$A$1005,0)),"MISSING ID")</x:f>
        <x:v>Concept outline</x:v>
      </x:c>
      <x:c r="L116" s="4" t="str">
        <x:f>IFERROR(INDEX('Items'!$AC$6:$AC$1005,MATCH(D116,'Items'!$A$6:$A$1005,0)),"MISSING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IFERROR(INDEX('Items'!$AF$6:$AF$1005,MATCH(D117,'Items'!$A$6:$A$1005,0)),"MISSING ID")</x:f>
        <x:v>Unassigned</x:v>
      </x:c>
      <x:c r="G117" s="4" t="str">
        <x:f>IFERROR(INDEX('Items'!$C$6:$C$1005,MATCH(D117,'Items'!$A$6:$A$1005,0)),"MISSING ID")</x:f>
        <x:v>Crafting components</x:v>
      </x:c>
      <x:c r="H117" s="4" t="str">
        <x:f>IFERROR(INDEX('Items'!$W$6:$W$1005,MATCH(D117,'Items'!$A$6:$A$1005,0)),"MISSING ID")</x:f>
        <x:v>Crafting component</x:v>
      </x:c>
      <x:c r="I117" s="4"/>
      <x:c r="J117" s="4" t="str">
        <x:v>Unspecified</x:v>
      </x:c>
      <x:c r="K117" s="4" t="str">
        <x:f>IFERROR(INDEX('Crafting recipes'!$D$6:$D$1005,MATCH(B117,'Crafting recipes'!$A$6:$A$1005,0)),"MISSING ID")</x:f>
        <x:v>Concept outline</x:v>
      </x:c>
      <x:c r="L117" s="4" t="str">
        <x:f>IFERROR(INDEX('Items'!$AC$6:$AC$1005,MATCH(D117,'Items'!$A$6:$A$1005,0)),"MISSING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IFERROR(INDEX('Items'!$AF$6:$AF$1005,MATCH(D118,'Items'!$A$6:$A$1005,0)),"MISSING ID")</x:f>
        <x:v>Unassigned</x:v>
      </x:c>
      <x:c r="G118" s="4" t="str">
        <x:f>IFERROR(INDEX('Items'!$C$6:$C$1005,MATCH(D118,'Items'!$A$6:$A$1005,0)),"MISSING ID")</x:f>
        <x:v>Resources</x:v>
      </x:c>
      <x:c r="H118" s="4" t="str">
        <x:f>IFERROR(INDEX('Items'!$W$6:$W$1005,MATCH(D118,'Items'!$A$6:$A$1005,0)),"MISSING ID")</x:f>
        <x:v>Raw material</x:v>
      </x:c>
      <x:c r="I118" s="4"/>
      <x:c r="J118" s="4" t="str">
        <x:v>Unspecified</x:v>
      </x:c>
      <x:c r="K118" s="4" t="str">
        <x:f>IFERROR(INDEX('Crafting recipes'!$D$6:$D$1005,MATCH(B118,'Crafting recipes'!$A$6:$A$1005,0)),"MISSING ID")</x:f>
        <x:v>Withheld</x:v>
      </x:c>
      <x:c r="L118" s="4" t="str">
        <x:f>IFERROR(INDEX('Items'!$AC$6:$AC$1005,MATCH(D118,'Items'!$A$6:$A$1005,0)),"MISSING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IFERROR(INDEX('Items'!$AF$6:$AF$1005,MATCH(D119,'Items'!$A$6:$A$1005,0)),"MISSING ID")</x:f>
        <x:v>Unassigned</x:v>
      </x:c>
      <x:c r="G119" s="4" t="str">
        <x:f>IFERROR(INDEX('Items'!$C$6:$C$1005,MATCH(D119,'Items'!$A$6:$A$1005,0)),"MISSING ID")</x:f>
        <x:v>Crafting components</x:v>
      </x:c>
      <x:c r="H119" s="4" t="str">
        <x:f>IFERROR(INDEX('Items'!$W$6:$W$1005,MATCH(D119,'Items'!$A$6:$A$1005,0)),"MISSING ID")</x:f>
        <x:v>Processed material</x:v>
      </x:c>
      <x:c r="I119" s="4"/>
      <x:c r="J119" s="4" t="str">
        <x:v>Unspecified</x:v>
      </x:c>
      <x:c r="K119" s="4" t="str">
        <x:f>IFERROR(INDEX('Crafting recipes'!$D$6:$D$1005,MATCH(B119,'Crafting recipes'!$A$6:$A$1005,0)),"MISSING ID")</x:f>
        <x:v>Withheld</x:v>
      </x:c>
      <x:c r="L119" s="4" t="str">
        <x:f>IFERROR(INDEX('Items'!$AC$6:$AC$1005,MATCH(D119,'Items'!$A$6:$A$1005,0)),"MISSING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IFERROR(INDEX('Items'!$AF$6:$AF$1005,MATCH(D120,'Items'!$A$6:$A$1005,0)),"MISSING ID")</x:f>
        <x:v>T0</x:v>
      </x:c>
      <x:c r="G120" s="4" t="str">
        <x:f>IFERROR(INDEX('Items'!$C$6:$C$1005,MATCH(D120,'Items'!$A$6:$A$1005,0)),"MISSING ID")</x:f>
        <x:v>Resources</x:v>
      </x:c>
      <x:c r="H120" s="4" t="str">
        <x:f>IFERROR(INDEX('Items'!$W$6:$W$1005,MATCH(D120,'Items'!$A$6:$A$1005,0)),"MISSING ID")</x:f>
        <x:v>Raw material</x:v>
      </x:c>
      <x:c r="I120" s="4"/>
      <x:c r="J120" s="4" t="str">
        <x:v>Unspecified</x:v>
      </x:c>
      <x:c r="K120" s="4" t="str">
        <x:f>IFERROR(INDEX('Crafting recipes'!$D$6:$D$1005,MATCH(B120,'Crafting recipes'!$A$6:$A$1005,0)),"MISSING ID")</x:f>
        <x:v>Concept outline</x:v>
      </x:c>
      <x:c r="L120" s="4" t="str">
        <x:f>IFERROR(INDEX('Items'!$AC$6:$AC$1005,MATCH(D120,'Items'!$A$6:$A$1005,0)),"MISSING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IFERROR(INDEX('Items'!$AF$6:$AF$1005,MATCH(D121,'Items'!$A$6:$A$1005,0)),"MISSING ID")</x:f>
        <x:v>Unassigned</x:v>
      </x:c>
      <x:c r="G121" s="4" t="str">
        <x:f>IFERROR(INDEX('Items'!$C$6:$C$1005,MATCH(D121,'Items'!$A$6:$A$1005,0)),"MISSING ID")</x:f>
        <x:v>Crafting components</x:v>
      </x:c>
      <x:c r="H121" s="4" t="str">
        <x:f>IFERROR(INDEX('Items'!$W$6:$W$1005,MATCH(D121,'Items'!$A$6:$A$1005,0)),"MISSING ID")</x:f>
        <x:v>Crafting component</x:v>
      </x:c>
      <x:c r="I121" s="4"/>
      <x:c r="J121" s="4" t="str">
        <x:v>Unspecified</x:v>
      </x:c>
      <x:c r="K121" s="4" t="str">
        <x:f>IFERROR(INDEX('Crafting recipes'!$D$6:$D$1005,MATCH(B121,'Crafting recipes'!$A$6:$A$1005,0)),"MISSING ID")</x:f>
        <x:v>Concept outline</x:v>
      </x:c>
      <x:c r="L121" s="4" t="str">
        <x:f>IFERROR(INDEX('Items'!$AC$6:$AC$1005,MATCH(D121,'Items'!$A$6:$A$1005,0)),"MISSING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IFERROR(INDEX('Items'!$AF$6:$AF$1005,MATCH(D122,'Items'!$A$6:$A$1005,0)),"MISSING ID")</x:f>
        <x:v>T0</x:v>
      </x:c>
      <x:c r="G122" s="4" t="str">
        <x:f>IFERROR(INDEX('Items'!$C$6:$C$1005,MATCH(D122,'Items'!$A$6:$A$1005,0)),"MISSING ID")</x:f>
        <x:v>Resources</x:v>
      </x:c>
      <x:c r="H122" s="4" t="str">
        <x:f>IFERROR(INDEX('Items'!$W$6:$W$1005,MATCH(D122,'Items'!$A$6:$A$1005,0)),"MISSING ID")</x:f>
        <x:v>Raw material</x:v>
      </x:c>
      <x:c r="I122" s="4"/>
      <x:c r="J122" s="4" t="str">
        <x:v>Unspecified</x:v>
      </x:c>
      <x:c r="K122" s="4" t="str">
        <x:f>IFERROR(INDEX('Crafting recipes'!$D$6:$D$1005,MATCH(B122,'Crafting recipes'!$A$6:$A$1005,0)),"MISSING ID")</x:f>
        <x:v>Concept outline</x:v>
      </x:c>
      <x:c r="L122" s="4" t="str">
        <x:f>IFERROR(INDEX('Items'!$AC$6:$AC$1005,MATCH(D122,'Items'!$A$6:$A$1005,0)),"MISSING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IFERROR(INDEX('Items'!$AF$6:$AF$1005,MATCH(D123,'Items'!$A$6:$A$1005,0)),"MISSING ID")</x:f>
        <x:v>Not applicable</x:v>
      </x:c>
      <x:c r="G123" s="4" t="str">
        <x:f>IFERROR(INDEX('Items'!$C$6:$C$1005,MATCH(D123,'Items'!$A$6:$A$1005,0)),"MISSING ID")</x:f>
        <x:v>Equipment</x:v>
      </x:c>
      <x:c r="H123" s="4" t="str">
        <x:f>IFERROR(INDEX('Items'!$W$6:$W$1005,MATCH(D123,'Items'!$A$6:$A$1005,0)),"MISSING ID")</x:f>
        <x:v>Tool</x:v>
      </x:c>
      <x:c r="I123" s="4"/>
      <x:c r="J123" s="4" t="str">
        <x:v>Unspecified</x:v>
      </x:c>
      <x:c r="K123" s="4" t="str">
        <x:f>IFERROR(INDEX('Crafting recipes'!$D$6:$D$1005,MATCH(B123,'Crafting recipes'!$A$6:$A$1005,0)),"MISSING ID")</x:f>
        <x:v>Concept outline</x:v>
      </x:c>
      <x:c r="L123" s="4" t="str">
        <x:f>IFERROR(INDEX('Items'!$AC$6:$AC$1005,MATCH(D123,'Items'!$A$6:$A$1005,0)),"MISSING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IFERROR(INDEX('Items'!$AF$6:$AF$1005,MATCH(D124,'Items'!$A$6:$A$1005,0)),"MISSING ID")</x:f>
        <x:v>T1</x:v>
      </x:c>
      <x:c r="G124" s="4" t="str">
        <x:f>IFERROR(INDEX('Items'!$C$6:$C$1005,MATCH(D124,'Items'!$A$6:$A$1005,0)),"MISSING ID")</x:f>
        <x:v>Resources</x:v>
      </x:c>
      <x:c r="H124" s="4" t="str">
        <x:f>IFERROR(INDEX('Items'!$W$6:$W$1005,MATCH(D124,'Items'!$A$6:$A$1005,0)),"MISSING ID")</x:f>
        <x:v>Processed material</x:v>
      </x:c>
      <x:c r="I124" s="4"/>
      <x:c r="J124" s="4" t="str">
        <x:v>Unspecified</x:v>
      </x:c>
      <x:c r="K124" s="4" t="str">
        <x:f>IFERROR(INDEX('Crafting recipes'!$D$6:$D$1005,MATCH(B124,'Crafting recipes'!$A$6:$A$1005,0)),"MISSING ID")</x:f>
        <x:v>Concept outline</x:v>
      </x:c>
      <x:c r="L124" s="4" t="str">
        <x:f>IFERROR(INDEX('Items'!$AC$6:$AC$1005,MATCH(D124,'Items'!$A$6:$A$1005,0)),"MISSING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IFERROR(INDEX('Items'!$AF$6:$AF$1005,MATCH(D125,'Items'!$A$6:$A$1005,0)),"MISSING ID")</x:f>
        <x:v>Not applicable</x:v>
      </x:c>
      <x:c r="G125" s="4" t="str">
        <x:f>IFERROR(INDEX('Items'!$C$6:$C$1005,MATCH(D125,'Items'!$A$6:$A$1005,0)),"MISSING ID")</x:f>
        <x:v>Equipment</x:v>
      </x:c>
      <x:c r="H125" s="4" t="str">
        <x:f>IFERROR(INDEX('Items'!$W$6:$W$1005,MATCH(D125,'Items'!$A$6:$A$1005,0)),"MISSING ID")</x:f>
        <x:v>Tool</x:v>
      </x:c>
      <x:c r="I125" s="4"/>
      <x:c r="J125" s="4" t="str">
        <x:v>Unspecified</x:v>
      </x:c>
      <x:c r="K125" s="4" t="str">
        <x:f>IFERROR(INDEX('Crafting recipes'!$D$6:$D$1005,MATCH(B125,'Crafting recipes'!$A$6:$A$1005,0)),"MISSING ID")</x:f>
        <x:v>Concept outline</x:v>
      </x:c>
      <x:c r="L125" s="4" t="str">
        <x:f>IFERROR(INDEX('Items'!$AC$6:$AC$1005,MATCH(D125,'Items'!$A$6:$A$1005,0)),"MISSING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IFERROR(INDEX('Items'!$AF$6:$AF$1005,MATCH(D126,'Items'!$A$6:$A$1005,0)),"MISSING ID")</x:f>
        <x:v>T0</x:v>
      </x:c>
      <x:c r="G126" s="4" t="str">
        <x:f>IFERROR(INDEX('Items'!$C$6:$C$1005,MATCH(D126,'Items'!$A$6:$A$1005,0)),"MISSING ID")</x:f>
        <x:v>Resources</x:v>
      </x:c>
      <x:c r="H126" s="4" t="str">
        <x:f>IFERROR(INDEX('Items'!$W$6:$W$1005,MATCH(D126,'Items'!$A$6:$A$1005,0)),"MISSING ID")</x:f>
        <x:v>Raw material</x:v>
      </x:c>
      <x:c r="I126" s="4"/>
      <x:c r="J126" s="4" t="str">
        <x:v>Unspecified</x:v>
      </x:c>
      <x:c r="K126" s="4" t="str">
        <x:f>IFERROR(INDEX('Crafting recipes'!$D$6:$D$1005,MATCH(B126,'Crafting recipes'!$A$6:$A$1005,0)),"MISSING ID")</x:f>
        <x:v>Concept outline</x:v>
      </x:c>
      <x:c r="L126" s="4" t="str">
        <x:f>IFERROR(INDEX('Items'!$AC$6:$AC$1005,MATCH(D126,'Items'!$A$6:$A$1005,0)),"MISSING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IFERROR(INDEX('Items'!$AF$6:$AF$1005,MATCH(D127,'Items'!$A$6:$A$1005,0)),"MISSING ID")</x:f>
        <x:v>Unassigned</x:v>
      </x:c>
      <x:c r="G127" s="4" t="str">
        <x:f>IFERROR(INDEX('Items'!$C$6:$C$1005,MATCH(D127,'Items'!$A$6:$A$1005,0)),"MISSING ID")</x:f>
        <x:v>Resources</x:v>
      </x:c>
      <x:c r="H127" s="4" t="str">
        <x:f>IFERROR(INDEX('Items'!$W$6:$W$1005,MATCH(D127,'Items'!$A$6:$A$1005,0)),"MISSING ID")</x:f>
        <x:v>Raw material</x:v>
      </x:c>
      <x:c r="I127" s="4"/>
      <x:c r="J127" s="4" t="str">
        <x:v>Unspecified</x:v>
      </x:c>
      <x:c r="K127" s="4" t="str">
        <x:f>IFERROR(INDEX('Crafting recipes'!$D$6:$D$1005,MATCH(B127,'Crafting recipes'!$A$6:$A$1005,0)),"MISSING ID")</x:f>
        <x:v>Concept outline</x:v>
      </x:c>
      <x:c r="L127" s="4" t="str">
        <x:f>IFERROR(INDEX('Items'!$AC$6:$AC$1005,MATCH(D127,'Items'!$A$6:$A$1005,0)),"MISSING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IFERROR(INDEX('Items'!$AF$6:$AF$1005,MATCH(D128,'Items'!$A$6:$A$1005,0)),"MISSING ID")</x:f>
        <x:v>Unassigned</x:v>
      </x:c>
      <x:c r="G128" s="4" t="str">
        <x:f>IFERROR(INDEX('Items'!$C$6:$C$1005,MATCH(D128,'Items'!$A$6:$A$1005,0)),"MISSING ID")</x:f>
        <x:v>Resources</x:v>
      </x:c>
      <x:c r="H128" s="4" t="str">
        <x:f>IFERROR(INDEX('Items'!$W$6:$W$1005,MATCH(D128,'Items'!$A$6:$A$1005,0)),"MISSING ID")</x:f>
        <x:v>Raw material</x:v>
      </x:c>
      <x:c r="I128" s="4"/>
      <x:c r="J128" s="4" t="str">
        <x:v>Unspecified</x:v>
      </x:c>
      <x:c r="K128" s="4" t="str">
        <x:f>IFERROR(INDEX('Crafting recipes'!$D$6:$D$1005,MATCH(B128,'Crafting recipes'!$A$6:$A$1005,0)),"MISSING ID")</x:f>
        <x:v>Concept outline</x:v>
      </x:c>
      <x:c r="L128" s="4" t="str">
        <x:f>IFERROR(INDEX('Items'!$AC$6:$AC$1005,MATCH(D128,'Items'!$A$6:$A$1005,0)),"MISSING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IFERROR(INDEX('Items'!$AF$6:$AF$1005,MATCH(D129,'Items'!$A$6:$A$1005,0)),"MISSING ID")</x:f>
        <x:v>T0</x:v>
      </x:c>
      <x:c r="G129" s="4" t="str">
        <x:f>IFERROR(INDEX('Items'!$C$6:$C$1005,MATCH(D129,'Items'!$A$6:$A$1005,0)),"MISSING ID")</x:f>
        <x:v>Resources</x:v>
      </x:c>
      <x:c r="H129" s="4" t="str">
        <x:f>IFERROR(INDEX('Items'!$W$6:$W$1005,MATCH(D129,'Items'!$A$6:$A$1005,0)),"MISSING ID")</x:f>
        <x:v>Processed material</x:v>
      </x:c>
      <x:c r="I129" s="4"/>
      <x:c r="J129" s="4" t="str">
        <x:v>Unspecified</x:v>
      </x:c>
      <x:c r="K129" s="4" t="str">
        <x:f>IFERROR(INDEX('Crafting recipes'!$D$6:$D$1005,MATCH(B129,'Crafting recipes'!$A$6:$A$1005,0)),"MISSING ID")</x:f>
        <x:v>Concept outline</x:v>
      </x:c>
      <x:c r="L129" s="4" t="str">
        <x:f>IFERROR(INDEX('Items'!$AC$6:$AC$1005,MATCH(D129,'Items'!$A$6:$A$1005,0)),"MISSING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IFERROR(INDEX('Items'!$AF$6:$AF$1005,MATCH(D130,'Items'!$A$6:$A$1005,0)),"MISSING ID")</x:f>
        <x:v>T0</x:v>
      </x:c>
      <x:c r="G130" s="4" t="str">
        <x:f>IFERROR(INDEX('Items'!$C$6:$C$1005,MATCH(D130,'Items'!$A$6:$A$1005,0)),"MISSING ID")</x:f>
        <x:v>Resources</x:v>
      </x:c>
      <x:c r="H130" s="4" t="str">
        <x:f>IFERROR(INDEX('Items'!$W$6:$W$1005,MATCH(D130,'Items'!$A$6:$A$1005,0)),"MISSING ID")</x:f>
        <x:v>Raw material</x:v>
      </x:c>
      <x:c r="I130" s="4"/>
      <x:c r="J130" s="4" t="str">
        <x:v>Unspecified</x:v>
      </x:c>
      <x:c r="K130" s="4" t="str">
        <x:f>IFERROR(INDEX('Crafting recipes'!$D$6:$D$1005,MATCH(B130,'Crafting recipes'!$A$6:$A$1005,0)),"MISSING ID")</x:f>
        <x:v>Needs tier review</x:v>
      </x:c>
      <x:c r="L130" s="4" t="str">
        <x:f>IFERROR(INDEX('Items'!$AC$6:$AC$1005,MATCH(D130,'Items'!$A$6:$A$1005,0)),"MISSING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IFERROR(INDEX('Items'!$AF$6:$AF$1005,MATCH(D131,'Items'!$A$6:$A$1005,0)),"MISSING ID")</x:f>
        <x:v>T0</x:v>
      </x:c>
      <x:c r="G131" s="4" t="str">
        <x:f>IFERROR(INDEX('Items'!$C$6:$C$1005,MATCH(D131,'Items'!$A$6:$A$1005,0)),"MISSING ID")</x:f>
        <x:v>Resources</x:v>
      </x:c>
      <x:c r="H131" s="4" t="str">
        <x:f>IFERROR(INDEX('Items'!$W$6:$W$1005,MATCH(D131,'Items'!$A$6:$A$1005,0)),"MISSING ID")</x:f>
        <x:v>Processed material</x:v>
      </x:c>
      <x:c r="I131" s="4"/>
      <x:c r="J131" s="4" t="str">
        <x:v>Unspecified</x:v>
      </x:c>
      <x:c r="K131" s="4" t="str">
        <x:f>IFERROR(INDEX('Crafting recipes'!$D$6:$D$1005,MATCH(B131,'Crafting recipes'!$A$6:$A$1005,0)),"MISSING ID")</x:f>
        <x:v>Needs tier review</x:v>
      </x:c>
      <x:c r="L131" s="4" t="str">
        <x:f>IFERROR(INDEX('Items'!$AC$6:$AC$1005,MATCH(D131,'Items'!$A$6:$A$1005,0)),"MISSING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IFERROR(INDEX('Items'!$AF$6:$AF$1005,MATCH(D132,'Items'!$A$6:$A$1005,0)),"MISSING ID")</x:f>
        <x:v>T0</x:v>
      </x:c>
      <x:c r="G132" s="4" t="str">
        <x:f>IFERROR(INDEX('Items'!$C$6:$C$1005,MATCH(D132,'Items'!$A$6:$A$1005,0)),"MISSING ID")</x:f>
        <x:v>Resources</x:v>
      </x:c>
      <x:c r="H132" s="4" t="str">
        <x:f>IFERROR(INDEX('Items'!$W$6:$W$1005,MATCH(D132,'Items'!$A$6:$A$1005,0)),"MISSING ID")</x:f>
        <x:v>Raw material</x:v>
      </x:c>
      <x:c r="I132" s="4"/>
      <x:c r="J132" s="4" t="str">
        <x:v>Unspecified</x:v>
      </x:c>
      <x:c r="K132" s="4" t="str">
        <x:f>IFERROR(INDEX('Crafting recipes'!$D$6:$D$1005,MATCH(B132,'Crafting recipes'!$A$6:$A$1005,0)),"MISSING ID")</x:f>
        <x:v>Concept outline</x:v>
      </x:c>
      <x:c r="L132" s="4" t="str">
        <x:f>IFERROR(INDEX('Items'!$AC$6:$AC$1005,MATCH(D132,'Items'!$A$6:$A$1005,0)),"MISSING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IFERROR(INDEX('Items'!$AF$6:$AF$1005,MATCH(D133,'Items'!$A$6:$A$1005,0)),"MISSING ID")</x:f>
        <x:v>T1</x:v>
      </x:c>
      <x:c r="G133" s="4" t="str">
        <x:f>IFERROR(INDEX('Items'!$C$6:$C$1005,MATCH(D133,'Items'!$A$6:$A$1005,0)),"MISSING ID")</x:f>
        <x:v>Resources</x:v>
      </x:c>
      <x:c r="H133" s="4" t="str">
        <x:f>IFERROR(INDEX('Items'!$W$6:$W$1005,MATCH(D133,'Items'!$A$6:$A$1005,0)),"MISSING ID")</x:f>
        <x:v>Processed material</x:v>
      </x:c>
      <x:c r="I133" s="4"/>
      <x:c r="J133" s="4" t="str">
        <x:v>Unspecified</x:v>
      </x:c>
      <x:c r="K133" s="4" t="str">
        <x:f>IFERROR(INDEX('Crafting recipes'!$D$6:$D$1005,MATCH(B133,'Crafting recipes'!$A$6:$A$1005,0)),"MISSING ID")</x:f>
        <x:v>Concept outline</x:v>
      </x:c>
      <x:c r="L133" s="4" t="str">
        <x:f>IFERROR(INDEX('Items'!$AC$6:$AC$1005,MATCH(D133,'Items'!$A$6:$A$1005,0)),"MISSING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IFERROR(INDEX('Items'!$AF$6:$AF$1005,MATCH(D134,'Items'!$A$6:$A$1005,0)),"MISSING ID")</x:f>
        <x:v>T0</x:v>
      </x:c>
      <x:c r="G134" s="4" t="str">
        <x:f>IFERROR(INDEX('Items'!$C$6:$C$1005,MATCH(D134,'Items'!$A$6:$A$1005,0)),"MISSING ID")</x:f>
        <x:v>Resources</x:v>
      </x:c>
      <x:c r="H134" s="4" t="str">
        <x:f>IFERROR(INDEX('Items'!$W$6:$W$1005,MATCH(D134,'Items'!$A$6:$A$1005,0)),"MISSING ID")</x:f>
        <x:v>Raw material</x:v>
      </x:c>
      <x:c r="I134" s="4"/>
      <x:c r="J134" s="4" t="str">
        <x:v>Unspecified</x:v>
      </x:c>
      <x:c r="K134" s="4" t="str">
        <x:f>IFERROR(INDEX('Crafting recipes'!$D$6:$D$1005,MATCH(B134,'Crafting recipes'!$A$6:$A$1005,0)),"MISSING ID")</x:f>
        <x:v>Concept outline</x:v>
      </x:c>
      <x:c r="L134" s="4" t="str">
        <x:f>IFERROR(INDEX('Items'!$AC$6:$AC$1005,MATCH(D134,'Items'!$A$6:$A$1005,0)),"MISSING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IFERROR(INDEX('Items'!$AF$6:$AF$1005,MATCH(D135,'Items'!$A$6:$A$1005,0)),"MISSING ID")</x:f>
        <x:v>Unassigned</x:v>
      </x:c>
      <x:c r="G135" s="4" t="str">
        <x:f>IFERROR(INDEX('Items'!$C$6:$C$1005,MATCH(D135,'Items'!$A$6:$A$1005,0)),"MISSING ID")</x:f>
        <x:v>Resources</x:v>
      </x:c>
      <x:c r="H135" s="4" t="str">
        <x:f>IFERROR(INDEX('Items'!$W$6:$W$1005,MATCH(D135,'Items'!$A$6:$A$1005,0)),"MISSING ID")</x:f>
        <x:v>Processed material</x:v>
      </x:c>
      <x:c r="I135" s="4"/>
      <x:c r="J135" s="4" t="str">
        <x:v>Unspecified</x:v>
      </x:c>
      <x:c r="K135" s="4" t="str">
        <x:f>IFERROR(INDEX('Crafting recipes'!$D$6:$D$1005,MATCH(B135,'Crafting recipes'!$A$6:$A$1005,0)),"MISSING ID")</x:f>
        <x:v>Concept outline</x:v>
      </x:c>
      <x:c r="L135" s="4" t="str">
        <x:f>IFERROR(INDEX('Items'!$AC$6:$AC$1005,MATCH(D135,'Items'!$A$6:$A$1005,0)),"MISSING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IFERROR(INDEX('Items'!$AF$6:$AF$1005,MATCH(D136,'Items'!$A$6:$A$1005,0)),"MISSING ID")</x:f>
        <x:v>T0</x:v>
      </x:c>
      <x:c r="G136" s="4" t="str">
        <x:f>IFERROR(INDEX('Items'!$C$6:$C$1005,MATCH(D136,'Items'!$A$6:$A$1005,0)),"MISSING ID")</x:f>
        <x:v>Resources</x:v>
      </x:c>
      <x:c r="H136" s="4" t="str">
        <x:f>IFERROR(INDEX('Items'!$W$6:$W$1005,MATCH(D136,'Items'!$A$6:$A$1005,0)),"MISSING ID")</x:f>
        <x:v>Processed material</x:v>
      </x:c>
      <x:c r="I136" s="4"/>
      <x:c r="J136" s="4" t="str">
        <x:v>Unspecified</x:v>
      </x:c>
      <x:c r="K136" s="4" t="str">
        <x:f>IFERROR(INDEX('Crafting recipes'!$D$6:$D$1005,MATCH(B136,'Crafting recipes'!$A$6:$A$1005,0)),"MISSING ID")</x:f>
        <x:v>Concept outline</x:v>
      </x:c>
      <x:c r="L136" s="4" t="str">
        <x:f>IFERROR(INDEX('Items'!$AC$6:$AC$1005,MATCH(D136,'Items'!$A$6:$A$1005,0)),"MISSING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IFERROR(INDEX('Items'!$AF$6:$AF$1005,MATCH(D137,'Items'!$A$6:$A$1005,0)),"MISSING ID")</x:f>
        <x:v>Not applicable</x:v>
      </x:c>
      <x:c r="G137" s="4" t="str">
        <x:f>IFERROR(INDEX('Items'!$C$6:$C$1005,MATCH(D137,'Items'!$A$6:$A$1005,0)),"MISSING ID")</x:f>
        <x:v>Equipment</x:v>
      </x:c>
      <x:c r="H137" s="4" t="str">
        <x:f>IFERROR(INDEX('Items'!$W$6:$W$1005,MATCH(D137,'Items'!$A$6:$A$1005,0)),"MISSING ID")</x:f>
        <x:v>Tool</x:v>
      </x:c>
      <x:c r="I137" s="4"/>
      <x:c r="J137" s="4" t="str">
        <x:v>Unspecified</x:v>
      </x:c>
      <x:c r="K137" s="4" t="str">
        <x:f>IFERROR(INDEX('Crafting recipes'!$D$6:$D$1005,MATCH(B137,'Crafting recipes'!$A$6:$A$1005,0)),"MISSING ID")</x:f>
        <x:v>Concept outline</x:v>
      </x:c>
      <x:c r="L137" s="4" t="str">
        <x:f>IFERROR(INDEX('Items'!$AC$6:$AC$1005,MATCH(D137,'Items'!$A$6:$A$1005,0)),"MISSING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IFERROR(INDEX('Items'!$AF$6:$AF$1005,MATCH(D138,'Items'!$A$6:$A$1005,0)),"MISSING ID")</x:f>
        <x:v>T0</x:v>
      </x:c>
      <x:c r="G138" s="4" t="str">
        <x:f>IFERROR(INDEX('Items'!$C$6:$C$1005,MATCH(D138,'Items'!$A$6:$A$1005,0)),"MISSING ID")</x:f>
        <x:v>Resources</x:v>
      </x:c>
      <x:c r="H138" s="4" t="str">
        <x:f>IFERROR(INDEX('Items'!$W$6:$W$1005,MATCH(D138,'Items'!$A$6:$A$1005,0)),"MISSING ID")</x:f>
        <x:v>Raw material</x:v>
      </x:c>
      <x:c r="I138" s="4"/>
      <x:c r="J138" s="4" t="str">
        <x:v>Unspecified</x:v>
      </x:c>
      <x:c r="K138" s="4" t="str">
        <x:f>IFERROR(INDEX('Crafting recipes'!$D$6:$D$1005,MATCH(B138,'Crafting recipes'!$A$6:$A$1005,0)),"MISSING ID")</x:f>
        <x:v>Concept outline</x:v>
      </x:c>
      <x:c r="L138" s="4" t="str">
        <x:f>IFERROR(INDEX('Items'!$AC$6:$AC$1005,MATCH(D138,'Items'!$A$6:$A$1005,0)),"MISSING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IFERROR(INDEX('Items'!$AF$6:$AF$1005,MATCH(D139,'Items'!$A$6:$A$1005,0)),"MISSING ID")</x:f>
        <x:v>T0</x:v>
      </x:c>
      <x:c r="G139" s="4" t="str">
        <x:f>IFERROR(INDEX('Items'!$C$6:$C$1005,MATCH(D139,'Items'!$A$6:$A$1005,0)),"MISSING ID")</x:f>
        <x:v>Resources</x:v>
      </x:c>
      <x:c r="H139" s="4" t="str">
        <x:f>IFERROR(INDEX('Items'!$W$6:$W$1005,MATCH(D139,'Items'!$A$6:$A$1005,0)),"MISSING ID")</x:f>
        <x:v>Raw material</x:v>
      </x:c>
      <x:c r="I139" s="4"/>
      <x:c r="J139" s="4" t="str">
        <x:v>Unspecified</x:v>
      </x:c>
      <x:c r="K139" s="4" t="str">
        <x:f>IFERROR(INDEX('Crafting recipes'!$D$6:$D$1005,MATCH(B139,'Crafting recipes'!$A$6:$A$1005,0)),"MISSING ID")</x:f>
        <x:v>Concept outline</x:v>
      </x:c>
      <x:c r="L139" s="4" t="str">
        <x:f>IFERROR(INDEX('Items'!$AC$6:$AC$1005,MATCH(D139,'Items'!$A$6:$A$1005,0)),"MISSING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IFERROR(INDEX('Items'!$AF$6:$AF$1005,MATCH(D140,'Items'!$A$6:$A$1005,0)),"MISSING ID")</x:f>
        <x:v>T0</x:v>
      </x:c>
      <x:c r="G140" s="4" t="str">
        <x:f>IFERROR(INDEX('Items'!$C$6:$C$1005,MATCH(D140,'Items'!$A$6:$A$1005,0)),"MISSING ID")</x:f>
        <x:v>Resources</x:v>
      </x:c>
      <x:c r="H140" s="4" t="str">
        <x:f>IFERROR(INDEX('Items'!$W$6:$W$1005,MATCH(D140,'Items'!$A$6:$A$1005,0)),"MISSING ID")</x:f>
        <x:v>Raw material</x:v>
      </x:c>
      <x:c r="I140" s="4"/>
      <x:c r="J140" s="4" t="str">
        <x:v>Unspecified</x:v>
      </x:c>
      <x:c r="K140" s="4" t="str">
        <x:f>IFERROR(INDEX('Crafting recipes'!$D$6:$D$1005,MATCH(B140,'Crafting recipes'!$A$6:$A$1005,0)),"MISSING ID")</x:f>
        <x:v>Concept outline</x:v>
      </x:c>
      <x:c r="L140" s="4" t="str">
        <x:f>IFERROR(INDEX('Items'!$AC$6:$AC$1005,MATCH(D140,'Items'!$A$6:$A$1005,0)),"MISSING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IFERROR(INDEX('Items'!$AF$6:$AF$1005,MATCH(D141,'Items'!$A$6:$A$1005,0)),"MISSING ID")</x:f>
        <x:v>T0</x:v>
      </x:c>
      <x:c r="G141" s="4" t="str">
        <x:f>IFERROR(INDEX('Items'!$C$6:$C$1005,MATCH(D141,'Items'!$A$6:$A$1005,0)),"MISSING ID")</x:f>
        <x:v>Resources</x:v>
      </x:c>
      <x:c r="H141" s="4" t="str">
        <x:f>IFERROR(INDEX('Items'!$W$6:$W$1005,MATCH(D141,'Items'!$A$6:$A$1005,0)),"MISSING ID")</x:f>
        <x:v>Raw material</x:v>
      </x:c>
      <x:c r="I141" s="4"/>
      <x:c r="J141" s="4" t="str">
        <x:v>Unspecified</x:v>
      </x:c>
      <x:c r="K141" s="4" t="str">
        <x:f>IFERROR(INDEX('Crafting recipes'!$D$6:$D$1005,MATCH(B141,'Crafting recipes'!$A$6:$A$1005,0)),"MISSING ID")</x:f>
        <x:v>Concept outline</x:v>
      </x:c>
      <x:c r="L141" s="4" t="str">
        <x:f>IFERROR(INDEX('Items'!$AC$6:$AC$1005,MATCH(D141,'Items'!$A$6:$A$1005,0)),"MISSING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IFERROR(INDEX('Items'!$AF$6:$AF$1005,MATCH(D142,'Items'!$A$6:$A$1005,0)),"MISSING ID")</x:f>
        <x:v>T0</x:v>
      </x:c>
      <x:c r="G142" s="4" t="str">
        <x:f>IFERROR(INDEX('Items'!$C$6:$C$1005,MATCH(D142,'Items'!$A$6:$A$1005,0)),"MISSING ID")</x:f>
        <x:v>Resources</x:v>
      </x:c>
      <x:c r="H142" s="4" t="str">
        <x:f>IFERROR(INDEX('Items'!$W$6:$W$1005,MATCH(D142,'Items'!$A$6:$A$1005,0)),"MISSING ID")</x:f>
        <x:v>Raw material</x:v>
      </x:c>
      <x:c r="I142" s="4"/>
      <x:c r="J142" s="4" t="str">
        <x:v>Unspecified</x:v>
      </x:c>
      <x:c r="K142" s="4" t="str">
        <x:f>IFERROR(INDEX('Crafting recipes'!$D$6:$D$1005,MATCH(B142,'Crafting recipes'!$A$6:$A$1005,0)),"MISSING ID")</x:f>
        <x:v>Needs tier review</x:v>
      </x:c>
      <x:c r="L142" s="4" t="str">
        <x:f>IFERROR(INDEX('Items'!$AC$6:$AC$1005,MATCH(D142,'Items'!$A$6:$A$1005,0)),"MISSING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IFERROR(INDEX('Items'!$AF$6:$AF$1005,MATCH(D143,'Items'!$A$6:$A$1005,0)),"MISSING ID")</x:f>
        <x:v>T2</x:v>
      </x:c>
      <x:c r="G143" s="4" t="str">
        <x:f>IFERROR(INDEX('Items'!$C$6:$C$1005,MATCH(D143,'Items'!$A$6:$A$1005,0)),"MISSING ID")</x:f>
        <x:v>Crafting components</x:v>
      </x:c>
      <x:c r="H143" s="4" t="str">
        <x:f>IFERROR(INDEX('Items'!$W$6:$W$1005,MATCH(D143,'Items'!$A$6:$A$1005,0)),"MISSING ID")</x:f>
        <x:v>Processed material</x:v>
      </x:c>
      <x:c r="I143" s="4"/>
      <x:c r="J143" s="4" t="str">
        <x:v>Unspecified</x:v>
      </x:c>
      <x:c r="K143" s="4" t="str">
        <x:f>IFERROR(INDEX('Crafting recipes'!$D$6:$D$1005,MATCH(B143,'Crafting recipes'!$A$6:$A$1005,0)),"MISSING ID")</x:f>
        <x:v>Needs tier review</x:v>
      </x:c>
      <x:c r="L143" s="4" t="str">
        <x:f>IFERROR(INDEX('Items'!$AC$6:$AC$1005,MATCH(D143,'Items'!$A$6:$A$1005,0)),"MISSING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IFERROR(INDEX('Items'!$AF$6:$AF$1005,MATCH(D144,'Items'!$A$6:$A$1005,0)),"MISSING ID")</x:f>
        <x:v>T0</x:v>
      </x:c>
      <x:c r="G144" s="4" t="str">
        <x:f>IFERROR(INDEX('Items'!$C$6:$C$1005,MATCH(D144,'Items'!$A$6:$A$1005,0)),"MISSING ID")</x:f>
        <x:v>Resources</x:v>
      </x:c>
      <x:c r="H144" s="4" t="str">
        <x:f>IFERROR(INDEX('Items'!$W$6:$W$1005,MATCH(D144,'Items'!$A$6:$A$1005,0)),"MISSING ID")</x:f>
        <x:v>Raw material</x:v>
      </x:c>
      <x:c r="I144" s="4"/>
      <x:c r="J144" s="4" t="str">
        <x:v>Unspecified</x:v>
      </x:c>
      <x:c r="K144" s="4" t="str">
        <x:f>IFERROR(INDEX('Crafting recipes'!$D$6:$D$1005,MATCH(B144,'Crafting recipes'!$A$6:$A$1005,0)),"MISSING ID")</x:f>
        <x:v>Needs tier review</x:v>
      </x:c>
      <x:c r="L144" s="4" t="str">
        <x:f>IFERROR(INDEX('Items'!$AC$6:$AC$1005,MATCH(D144,'Items'!$A$6:$A$1005,0)),"MISSING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IFERROR(INDEX('Items'!$AF$6:$AF$1005,MATCH(D145,'Items'!$A$6:$A$1005,0)),"MISSING ID")</x:f>
        <x:v>T2</x:v>
      </x:c>
      <x:c r="G145" s="4" t="str">
        <x:f>IFERROR(INDEX('Items'!$C$6:$C$1005,MATCH(D145,'Items'!$A$6:$A$1005,0)),"MISSING ID")</x:f>
        <x:v>Crafting components</x:v>
      </x:c>
      <x:c r="H145" s="4" t="str">
        <x:f>IFERROR(INDEX('Items'!$W$6:$W$1005,MATCH(D145,'Items'!$A$6:$A$1005,0)),"MISSING ID")</x:f>
        <x:v>Processed material</x:v>
      </x:c>
      <x:c r="I145" s="4"/>
      <x:c r="J145" s="4" t="str">
        <x:v>Unspecified</x:v>
      </x:c>
      <x:c r="K145" s="4" t="str">
        <x:f>IFERROR(INDEX('Crafting recipes'!$D$6:$D$1005,MATCH(B145,'Crafting recipes'!$A$6:$A$1005,0)),"MISSING ID")</x:f>
        <x:v>Needs tier review</x:v>
      </x:c>
      <x:c r="L145" s="4" t="str">
        <x:f>IFERROR(INDEX('Items'!$AC$6:$AC$1005,MATCH(D145,'Items'!$A$6:$A$1005,0)),"MISSING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IFERROR(INDEX('Items'!$AF$6:$AF$1005,MATCH(D146,'Items'!$A$6:$A$1005,0)),"MISSING ID")</x:f>
        <x:v>T0</x:v>
      </x:c>
      <x:c r="G146" s="4" t="str">
        <x:f>IFERROR(INDEX('Items'!$C$6:$C$1005,MATCH(D146,'Items'!$A$6:$A$1005,0)),"MISSING ID")</x:f>
        <x:v>Resources</x:v>
      </x:c>
      <x:c r="H146" s="4" t="str">
        <x:f>IFERROR(INDEX('Items'!$W$6:$W$1005,MATCH(D146,'Items'!$A$6:$A$1005,0)),"MISSING ID")</x:f>
        <x:v>Raw material</x:v>
      </x:c>
      <x:c r="I146" s="4"/>
      <x:c r="J146" s="4" t="str">
        <x:v>Unspecified</x:v>
      </x:c>
      <x:c r="K146" s="4" t="str">
        <x:f>IFERROR(INDEX('Crafting recipes'!$D$6:$D$1005,MATCH(B146,'Crafting recipes'!$A$6:$A$1005,0)),"MISSING ID")</x:f>
        <x:v>Concept outline</x:v>
      </x:c>
      <x:c r="L146" s="4" t="str">
        <x:f>IFERROR(INDEX('Items'!$AC$6:$AC$1005,MATCH(D146,'Items'!$A$6:$A$1005,0)),"MISSING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IFERROR(INDEX('Items'!$AF$6:$AF$1005,MATCH(D147,'Items'!$A$6:$A$1005,0)),"MISSING ID")</x:f>
        <x:v>T1</x:v>
      </x:c>
      <x:c r="G147" s="4" t="str">
        <x:f>IFERROR(INDEX('Items'!$C$6:$C$1005,MATCH(D147,'Items'!$A$6:$A$1005,0)),"MISSING ID")</x:f>
        <x:v>Crafting components</x:v>
      </x:c>
      <x:c r="H147" s="4" t="str">
        <x:f>IFERROR(INDEX('Items'!$W$6:$W$1005,MATCH(D147,'Items'!$A$6:$A$1005,0)),"MISSING ID")</x:f>
        <x:v>Processed material</x:v>
      </x:c>
      <x:c r="I147" s="4"/>
      <x:c r="J147" s="4" t="str">
        <x:v>Unspecified</x:v>
      </x:c>
      <x:c r="K147" s="4" t="str">
        <x:f>IFERROR(INDEX('Crafting recipes'!$D$6:$D$1005,MATCH(B147,'Crafting recipes'!$A$6:$A$1005,0)),"MISSING ID")</x:f>
        <x:v>Concept outline</x:v>
      </x:c>
      <x:c r="L147" s="4" t="str">
        <x:f>IFERROR(INDEX('Items'!$AC$6:$AC$1005,MATCH(D147,'Items'!$A$6:$A$1005,0)),"MISSING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IFERROR(INDEX('Items'!$AF$6:$AF$1005,MATCH(D148,'Items'!$A$6:$A$1005,0)),"MISSING ID")</x:f>
        <x:v>T2</x:v>
      </x:c>
      <x:c r="G148" s="4" t="str">
        <x:f>IFERROR(INDEX('Items'!$C$6:$C$1005,MATCH(D148,'Items'!$A$6:$A$1005,0)),"MISSING ID")</x:f>
        <x:v>Crafting components</x:v>
      </x:c>
      <x:c r="H148" s="4" t="str">
        <x:f>IFERROR(INDEX('Items'!$W$6:$W$1005,MATCH(D148,'Items'!$A$6:$A$1005,0)),"MISSING ID")</x:f>
        <x:v>Processed material</x:v>
      </x:c>
      <x:c r="I148" s="4"/>
      <x:c r="J148" s="4" t="str">
        <x:v>Unspecified</x:v>
      </x:c>
      <x:c r="K148" s="4" t="str">
        <x:f>IFERROR(INDEX('Crafting recipes'!$D$6:$D$1005,MATCH(B148,'Crafting recipes'!$A$6:$A$1005,0)),"MISSING ID")</x:f>
        <x:v>Proposal</x:v>
      </x:c>
      <x:c r="L148" s="4" t="str">
        <x:f>IFERROR(INDEX('Items'!$AC$6:$AC$1005,MATCH(D148,'Items'!$A$6:$A$1005,0)),"MISSING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IFERROR(INDEX('Items'!$AF$6:$AF$1005,MATCH(D149,'Items'!$A$6:$A$1005,0)),"MISSING ID")</x:f>
        <x:v>Not applicable</x:v>
      </x:c>
      <x:c r="G149" s="4" t="str">
        <x:f>IFERROR(INDEX('Items'!$C$6:$C$1005,MATCH(D149,'Items'!$A$6:$A$1005,0)),"MISSING ID")</x:f>
        <x:v>Cultural objects</x:v>
      </x:c>
      <x:c r="H149" s="4" t="str">
        <x:f>IFERROR(INDEX('Items'!$W$6:$W$1005,MATCH(D149,'Items'!$A$6:$A$1005,0)),"MISSING ID")</x:f>
        <x:v>Document</x:v>
      </x:c>
      <x:c r="I149" s="4"/>
      <x:c r="J149" s="4" t="str">
        <x:v>Unspecified</x:v>
      </x:c>
      <x:c r="K149" s="4" t="str">
        <x:f>IFERROR(INDEX('Crafting recipes'!$D$6:$D$1005,MATCH(B149,'Crafting recipes'!$A$6:$A$1005,0)),"MISSING ID")</x:f>
        <x:v>Proposal</x:v>
      </x:c>
      <x:c r="L149" s="4" t="str">
        <x:f>IFERROR(INDEX('Items'!$AC$6:$AC$1005,MATCH(D149,'Items'!$A$6:$A$1005,0)),"MISSING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IFERROR(INDEX('Items'!$AF$6:$AF$1005,MATCH(D150,'Items'!$A$6:$A$1005,0)),"MISSING ID")</x:f>
        <x:v>T2</x:v>
      </x:c>
      <x:c r="G150" s="4" t="str">
        <x:f>IFERROR(INDEX('Items'!$C$6:$C$1005,MATCH(D150,'Items'!$A$6:$A$1005,0)),"MISSING ID")</x:f>
        <x:v>Crafting components</x:v>
      </x:c>
      <x:c r="H150" s="4" t="str">
        <x:f>IFERROR(INDEX('Items'!$W$6:$W$1005,MATCH(D150,'Items'!$A$6:$A$1005,0)),"MISSING ID")</x:f>
        <x:v>Crafting component</x:v>
      </x:c>
      <x:c r="I150" s="4"/>
      <x:c r="J150" s="4" t="str">
        <x:v>Unspecified</x:v>
      </x:c>
      <x:c r="K150" s="4" t="str">
        <x:f>IFERROR(INDEX('Crafting recipes'!$D$6:$D$1005,MATCH(B150,'Crafting recipes'!$A$6:$A$1005,0)),"MISSING ID")</x:f>
        <x:v>Proposal</x:v>
      </x:c>
      <x:c r="L150" s="4" t="str">
        <x:f>IFERROR(INDEX('Items'!$AC$6:$AC$1005,MATCH(D150,'Items'!$A$6:$A$1005,0)),"MISSING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IFERROR(INDEX('Items'!$AF$6:$AF$1005,MATCH(D151,'Items'!$A$6:$A$1005,0)),"MISSING ID")</x:f>
        <x:v>Not applicable</x:v>
      </x:c>
      <x:c r="G151" s="4" t="str">
        <x:f>IFERROR(INDEX('Items'!$C$6:$C$1005,MATCH(D151,'Items'!$A$6:$A$1005,0)),"MISSING ID")</x:f>
        <x:v>Equipment</x:v>
      </x:c>
      <x:c r="H151" s="4" t="str">
        <x:f>IFERROR(INDEX('Items'!$W$6:$W$1005,MATCH(D151,'Items'!$A$6:$A$1005,0)),"MISSING ID")</x:f>
        <x:v>Armor</x:v>
      </x:c>
      <x:c r="I151" s="4"/>
      <x:c r="J151" s="4" t="str">
        <x:v>Unspecified</x:v>
      </x:c>
      <x:c r="K151" s="4" t="str">
        <x:f>IFERROR(INDEX('Crafting recipes'!$D$6:$D$1005,MATCH(B151,'Crafting recipes'!$A$6:$A$1005,0)),"MISSING ID")</x:f>
        <x:v>Proposal</x:v>
      </x:c>
      <x:c r="L151" s="4" t="str">
        <x:f>IFERROR(INDEX('Items'!$AC$6:$AC$1005,MATCH(D151,'Items'!$A$6:$A$1005,0)),"MISSING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IFERROR(INDEX('Items'!$AF$6:$AF$1005,MATCH(D152,'Items'!$A$6:$A$1005,0)),"MISSING ID")</x:f>
        <x:v>T1</x:v>
      </x:c>
      <x:c r="G152" s="4" t="str">
        <x:f>IFERROR(INDEX('Items'!$C$6:$C$1005,MATCH(D152,'Items'!$A$6:$A$1005,0)),"MISSING ID")</x:f>
        <x:v>Resources</x:v>
      </x:c>
      <x:c r="H152" s="4" t="str">
        <x:f>IFERROR(INDEX('Items'!$W$6:$W$1005,MATCH(D152,'Items'!$A$6:$A$1005,0)),"MISSING ID")</x:f>
        <x:v>Processed material</x:v>
      </x:c>
      <x:c r="I152" s="4"/>
      <x:c r="J152" s="4" t="str">
        <x:v>Unspecified</x:v>
      </x:c>
      <x:c r="K152" s="4" t="str">
        <x:f>IFERROR(INDEX('Crafting recipes'!$D$6:$D$1005,MATCH(B152,'Crafting recipes'!$A$6:$A$1005,0)),"MISSING ID")</x:f>
        <x:v>Proposal</x:v>
      </x:c>
      <x:c r="L152" s="4" t="str">
        <x:f>IFERROR(INDEX('Items'!$AC$6:$AC$1005,MATCH(D152,'Items'!$A$6:$A$1005,0)),"MISSING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IFERROR(INDEX('Items'!$AF$6:$AF$1005,MATCH(D153,'Items'!$A$6:$A$1005,0)),"MISSING ID")</x:f>
        <x:v>Not applicable</x:v>
      </x:c>
      <x:c r="G153" s="4" t="str">
        <x:f>IFERROR(INDEX('Items'!$C$6:$C$1005,MATCH(D153,'Items'!$A$6:$A$1005,0)),"MISSING ID")</x:f>
        <x:v>Everyday objects</x:v>
      </x:c>
      <x:c r="H153" s="4" t="str">
        <x:f>IFERROR(INDEX('Items'!$W$6:$W$1005,MATCH(D153,'Items'!$A$6:$A$1005,0)),"MISSING ID")</x:f>
        <x:v>Household utensil</x:v>
      </x:c>
      <x:c r="I153" s="4"/>
      <x:c r="J153" s="4" t="str">
        <x:v>Unspecified</x:v>
      </x:c>
      <x:c r="K153" s="4" t="str">
        <x:f>IFERROR(INDEX('Crafting recipes'!$D$6:$D$1005,MATCH(B153,'Crafting recipes'!$A$6:$A$1005,0)),"MISSING ID")</x:f>
        <x:v>Proposal</x:v>
      </x:c>
      <x:c r="L153" s="4" t="str">
        <x:f>IFERROR(INDEX('Items'!$AC$6:$AC$1005,MATCH(D153,'Items'!$A$6:$A$1005,0)),"MISSING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IFERROR(INDEX('Items'!$AF$6:$AF$1005,MATCH(D154,'Items'!$A$6:$A$1005,0)),"MISSING ID")</x:f>
        <x:v>Unassigned</x:v>
      </x:c>
      <x:c r="G154" s="4" t="str">
        <x:f>IFERROR(INDEX('Items'!$C$6:$C$1005,MATCH(D154,'Items'!$A$6:$A$1005,0)),"MISSING ID")</x:f>
        <x:v>Resources</x:v>
      </x:c>
      <x:c r="H154" s="4" t="str">
        <x:f>IFERROR(INDEX('Items'!$W$6:$W$1005,MATCH(D154,'Items'!$A$6:$A$1005,0)),"MISSING ID")</x:f>
        <x:v>Processed material</x:v>
      </x:c>
      <x:c r="I154" s="4"/>
      <x:c r="J154" s="4" t="str">
        <x:v>Unspecified</x:v>
      </x:c>
      <x:c r="K154" s="4" t="str">
        <x:f>IFERROR(INDEX('Crafting recipes'!$D$6:$D$1005,MATCH(B154,'Crafting recipes'!$A$6:$A$1005,0)),"MISSING ID")</x:f>
        <x:v>Proposal</x:v>
      </x:c>
      <x:c r="L154" s="4" t="str">
        <x:f>IFERROR(INDEX('Items'!$AC$6:$AC$1005,MATCH(D154,'Items'!$A$6:$A$1005,0)),"MISSING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-1</x:v>
      </x:c>
      <x:c r="Q154" s="4" t="n">
        <x:f>IF(AND(OR(C154="Ingredient candidate",C154="Consumed input",C154="Contained input",C154="Transform input"),P154=-1),1,0)</x:f>
        <x:v>1</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IFERROR(INDEX('Items'!$AF$6:$AF$1005,MATCH(D155,'Items'!$A$6:$A$1005,0)),"MISSING ID")</x:f>
        <x:v>Not applicable</x:v>
      </x:c>
      <x:c r="G155" s="4" t="str">
        <x:f>IFERROR(INDEX('Items'!$C$6:$C$1005,MATCH(D155,'Items'!$A$6:$A$1005,0)),"MISSING ID")</x:f>
        <x:v>Equipment</x:v>
      </x:c>
      <x:c r="H155" s="4" t="str">
        <x:f>IFERROR(INDEX('Items'!$W$6:$W$1005,MATCH(D155,'Items'!$A$6:$A$1005,0)),"MISSING ID")</x:f>
        <x:v>Tool</x:v>
      </x:c>
      <x:c r="I155" s="4"/>
      <x:c r="J155" s="4" t="str">
        <x:v>Unspecified</x:v>
      </x:c>
      <x:c r="K155" s="4" t="str">
        <x:f>IFERROR(INDEX('Crafting recipes'!$D$6:$D$1005,MATCH(B155,'Crafting recipes'!$A$6:$A$1005,0)),"MISSING ID")</x:f>
        <x:v>Proposal</x:v>
      </x:c>
      <x:c r="L155" s="4" t="str">
        <x:f>IFERROR(INDEX('Items'!$AC$6:$AC$1005,MATCH(D155,'Items'!$A$6:$A$1005,0)),"MISSING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IFERROR(INDEX('Items'!$AF$6:$AF$1005,MATCH(D156,'Items'!$A$6:$A$1005,0)),"MISSING ID")</x:f>
        <x:v>Not applicable</x:v>
      </x:c>
      <x:c r="G156" s="4" t="str">
        <x:f>IFERROR(INDEX('Items'!$C$6:$C$1005,MATCH(D156,'Items'!$A$6:$A$1005,0)),"MISSING ID")</x:f>
        <x:v>Equipment</x:v>
      </x:c>
      <x:c r="H156" s="4" t="str">
        <x:f>IFERROR(INDEX('Items'!$W$6:$W$1005,MATCH(D156,'Items'!$A$6:$A$1005,0)),"MISSING ID")</x:f>
        <x:v>Tool</x:v>
      </x:c>
      <x:c r="I156" s="4"/>
      <x:c r="J156" s="4" t="str">
        <x:v>Unspecified</x:v>
      </x:c>
      <x:c r="K156" s="4" t="str">
        <x:f>IFERROR(INDEX('Crafting recipes'!$D$6:$D$1005,MATCH(B156,'Crafting recipes'!$A$6:$A$1005,0)),"MISSING ID")</x:f>
        <x:v>Proposal</x:v>
      </x:c>
      <x:c r="L156" s="4" t="str">
        <x:f>IFERROR(INDEX('Items'!$AC$6:$AC$1005,MATCH(D156,'Items'!$A$6:$A$1005,0)),"MISSING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sheetData>
  <x:dataValidations count="3">
    <x:dataValidation type="list" sqref="B6:B1005">
      <x:formula1>'Crafting recipes'!$A$6:$A$77</x:formula1>
    </x:dataValidation>
    <x:dataValidation type="list" sqref="D6:D1005">
      <x:formula1>'Items'!$A$6:$A$413</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d5a0b2243b03485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13a19aebaed54683"/>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Concept outline</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Partial contribution only. This is not a complete alternative recipe or a claim that all other ingredients are unnecessary.</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Unassigned</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0ddabe37033c4545"/>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Unassigned</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Concept outline</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Tier unresolved</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Unassigned</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sheetData>
  <x:pageMargins left="0.7" right="0.7" top="0.75" bottom="0.75" header="0.3" footer="0.3"/>
  <x:tableParts count="1">
    <x:tablePart xmlns:r="http://schemas.openxmlformats.org/officeDocument/2006/relationships" r:id="R4a33df4827904b97"/>
  </x:tableParts>
</x:worksheet>
</file>