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7c889b1174343c9" /></Relationships>
</file>

<file path=xl/workbook.xml><?xml version="1.0" encoding="utf-8"?>
<x:workbook xmlns:x="http://schemas.openxmlformats.org/spreadsheetml/2006/main">
  <x:sheets>
    <x:sheet xmlns:r="http://schemas.openxmlformats.org/officeDocument/2006/relationships" name="Items" sheetId="1" r:id="R04083613f3454fd4"/>
    <x:sheet xmlns:r="http://schemas.openxmlformats.org/officeDocument/2006/relationships" name="Variants" sheetId="2" r:id="R21470474509f4330"/>
    <x:sheet xmlns:r="http://schemas.openxmlformats.org/officeDocument/2006/relationships" name="Recipes" sheetId="3" r:id="Rc596a779cb4e428e"/>
    <x:sheet xmlns:r="http://schemas.openxmlformats.org/officeDocument/2006/relationships" name="Categories" sheetId="4" r:id="R42d00a8d3f2f4d23"/>
    <x:sheet xmlns:r="http://schemas.openxmlformats.org/officeDocument/2006/relationships" name="Guide" sheetId="5" r:id="R03cc37416e1e46ce"/>
    <x:sheet xmlns:r="http://schemas.openxmlformats.org/officeDocument/2006/relationships" name="Resource chains" sheetId="6" r:id="Re52eac4c8a4e44b4"/>
    <x:sheet xmlns:r="http://schemas.openxmlformats.org/officeDocument/2006/relationships" name="Creature concepts" sheetId="7" r:id="R70845a9ab0c547e0"/>
    <x:sheet xmlns:r="http://schemas.openxmlformats.org/officeDocument/2006/relationships" name="Chemical concepts" sheetId="8" r:id="R266fb9edfc7743da"/>
    <x:sheet xmlns:r="http://schemas.openxmlformats.org/officeDocument/2006/relationships" name="Container concepts" sheetId="9" r:id="Rb27f584c645d4eca"/>
    <x:sheet xmlns:r="http://schemas.openxmlformats.org/officeDocument/2006/relationships" name="Equipment concepts" sheetId="10" r:id="R5292bf5ede2549a0"/>
    <x:sheet xmlns:r="http://schemas.openxmlformats.org/officeDocument/2006/relationships" name="Canister concepts" sheetId="11" r:id="R5a2307731cdc4f14"/>
    <x:sheet xmlns:r="http://schemas.openxmlformats.org/officeDocument/2006/relationships" name="Taxonomy" sheetId="12" r:id="R343cb6e3bd1d431b"/>
    <x:sheet xmlns:r="http://schemas.openxmlformats.org/officeDocument/2006/relationships" name="Item uses" sheetId="13" r:id="Ra1c232f0a1f741f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1">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23fd524e70640a4" /><Relationship Type="http://schemas.openxmlformats.org/officeDocument/2006/relationships/theme" Target="/xl/theme/theme1.xml" Id="Re815ec0b26cc45cd" /><Relationship Type="http://schemas.microsoft.com/office/2022/11/relationships/FeaturePropertyBag" Target="/xl/featurePropertyBag/featurePropertyBag.xml" Id="R73e30a0fa0e349f1" /><Relationship Type="http://schemas.openxmlformats.org/officeDocument/2006/relationships/sharedStrings" Target="/xl/sharedStrings.xml" Id="R0f1fc47cadf94cae" /><Relationship Type="http://schemas.openxmlformats.org/officeDocument/2006/relationships/worksheet" Target="/xl/worksheets/sheet1.xml" Id="R04083613f3454fd4" /><Relationship Type="http://schemas.openxmlformats.org/officeDocument/2006/relationships/worksheet" Target="/xl/worksheets/sheet2.xml" Id="R21470474509f4330" /><Relationship Type="http://schemas.openxmlformats.org/officeDocument/2006/relationships/worksheet" Target="/xl/worksheets/sheet3.xml" Id="Rc596a779cb4e428e" /><Relationship Type="http://schemas.openxmlformats.org/officeDocument/2006/relationships/worksheet" Target="/xl/worksheets/sheet4.xml" Id="R42d00a8d3f2f4d23" /><Relationship Type="http://schemas.openxmlformats.org/officeDocument/2006/relationships/worksheet" Target="/xl/worksheets/sheet5.xml" Id="R03cc37416e1e46ce" /><Relationship Type="http://schemas.openxmlformats.org/officeDocument/2006/relationships/worksheet" Target="/xl/worksheets/sheet6.xml" Id="Re52eac4c8a4e44b4" /><Relationship Type="http://schemas.openxmlformats.org/officeDocument/2006/relationships/worksheet" Target="/xl/worksheets/sheet7.xml" Id="R70845a9ab0c547e0" /><Relationship Type="http://schemas.openxmlformats.org/officeDocument/2006/relationships/worksheet" Target="/xl/worksheets/sheet8.xml" Id="R266fb9edfc7743da" /><Relationship Type="http://schemas.openxmlformats.org/officeDocument/2006/relationships/worksheet" Target="/xl/worksheets/sheet9.xml" Id="Rb27f584c645d4eca" /><Relationship Type="http://schemas.openxmlformats.org/officeDocument/2006/relationships/worksheet" Target="/xl/worksheets/sheet10.xml" Id="R5292bf5ede2549a0" /><Relationship Type="http://schemas.openxmlformats.org/officeDocument/2006/relationships/worksheet" Target="/xl/worksheets/sheet11.xml" Id="R5a2307731cdc4f14" /><Relationship Type="http://schemas.openxmlformats.org/officeDocument/2006/relationships/worksheet" Target="/xl/worksheets/sheet12.xml" Id="R343cb6e3bd1d431b" /><Relationship Type="http://schemas.openxmlformats.org/officeDocument/2006/relationships/worksheet" Target="/xl/worksheets/sheet13.xml" Id="Ra1c232f0a1f741f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2" name="ItemsTable" displayName="ItemsTable" ref="A5:AE268" headerRowCount="1" totalsRowCount="0" totalsRowShown="0">
  <x:autoFilter ref="A5:AE268"/>
  <x:tableColumns count="31">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Column21"/>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4" name="CategoriesTable" displayName="CategoriesTable" ref="A5:D36" headerRowCount="1" totalsRowCount="0" totalsRowShown="0">
  <x:tableColumns count="4">
    <x:tableColumn id="1" name="Category"/>
    <x:tableColumn id="2" name="Current coverage"/>
    <x:tableColumn id="3" name="Existing basis"/>
    <x:tableColumn id="4" name="Later brainstorm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37" headerRowCount="1" totalsRowCount="0" totalsRowShown="0">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15" name="ItemTaxonomy" displayName="ItemTaxonomy" ref="A5:C184" headerRowCount="1" totalsRowCount="0" totalsRowShown="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372" headerRowCount="1" totalsRowCount="0" totalsRowShown="0">
  <x:autoFilter ref="A5:F372"/>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bfbdf116d8a4d0e" /></Relationships>
</file>

<file path=xl/worksheets/_rels/sheet2.xml.rels>&#65279;<?xml version="1.0" encoding="utf-8"?><Relationships xmlns="http://schemas.openxmlformats.org/package/2006/relationships"><Relationship Type="http://schemas.openxmlformats.org/officeDocument/2006/relationships/table" Target="/xl/tables/table2.xml" Id="R1b1f1157290d4092" /></Relationships>
</file>

<file path=xl/worksheets/_rels/sheet3.xml.rels>&#65279;<?xml version="1.0" encoding="utf-8"?><Relationships xmlns="http://schemas.openxmlformats.org/package/2006/relationships"><Relationship Type="http://schemas.openxmlformats.org/officeDocument/2006/relationships/table" Target="/xl/tables/table3.xml" Id="R36c05c50b9b4462e" /></Relationships>
</file>

<file path=xl/worksheets/_rels/sheet4.xml.rels>&#65279;<?xml version="1.0" encoding="utf-8"?><Relationships xmlns="http://schemas.openxmlformats.org/package/2006/relationships"><Relationship Type="http://schemas.openxmlformats.org/officeDocument/2006/relationships/table" Target="/xl/tables/table4.xml" Id="R3b0576aad39641e3" /></Relationships>
</file>

<file path=xl/worksheets/_rels/sheet5.xml.rels>&#65279;<?xml version="1.0" encoding="utf-8"?><Relationships xmlns="http://schemas.openxmlformats.org/package/2006/relationships"><Relationship Type="http://schemas.openxmlformats.org/officeDocument/2006/relationships/table" Target="/xl/tables/table5.xml" Id="Rb18fc306c55d4317" /></Relationships>
</file>

<file path=xl/worksheets/_rels/sheet6.xml.rels>&#65279;<?xml version="1.0" encoding="utf-8"?><Relationships xmlns="http://schemas.openxmlformats.org/package/2006/relationships"><Relationship Type="http://schemas.openxmlformats.org/officeDocument/2006/relationships/table" Target="/xl/tables/table6.xml" Id="Ra2064bc84fd74a15" /></Relationships>
</file>

<file path=xl/worksheets/_rels/sheet7.xml.rels>&#65279;<?xml version="1.0" encoding="utf-8"?><Relationships xmlns="http://schemas.openxmlformats.org/package/2006/relationships"><Relationship Type="http://schemas.openxmlformats.org/officeDocument/2006/relationships/table" Target="/xl/tables/table7.xml" Id="Rc803812decfa4bf4" /></Relationships>
</file>

<file path=xl/worksheets/_rels/sheet8.xml.rels>&#65279;<?xml version="1.0" encoding="utf-8"?><Relationships xmlns="http://schemas.openxmlformats.org/package/2006/relationships"><Relationship Type="http://schemas.openxmlformats.org/officeDocument/2006/relationships/table" Target="/xl/tables/table8.xml" Id="R460f93cf9bcd4d86" /></Relationships>
</file>

<file path=xl/worksheets/_rels/sheet9.xml.rels>&#65279;<?xml version="1.0" encoding="utf-8"?><Relationships xmlns="http://schemas.openxmlformats.org/package/2006/relationships"><Relationship Type="http://schemas.openxmlformats.org/officeDocument/2006/relationships/table" Target="/xl/tables/table9.xml" Id="R49061129120245c4" /></Relationships>
</file>

<file path=xl/worksheets/_rels/sheet10.xml.rels>&#65279;<?xml version="1.0" encoding="utf-8"?><Relationships xmlns="http://schemas.openxmlformats.org/package/2006/relationships"><Relationship Type="http://schemas.openxmlformats.org/officeDocument/2006/relationships/table" Target="/xl/tables/table10.xml" Id="R17d3326ef41f42eb" /></Relationships>
</file>

<file path=xl/worksheets/_rels/sheet11.xml.rels>&#65279;<?xml version="1.0" encoding="utf-8"?><Relationships xmlns="http://schemas.openxmlformats.org/package/2006/relationships"><Relationship Type="http://schemas.openxmlformats.org/officeDocument/2006/relationships/table" Target="/xl/tables/table11.xml" Id="Rccb776a39f17488d" /></Relationships>
</file>

<file path=xl/worksheets/_rels/sheet12.xml.rels>&#65279;<?xml version="1.0" encoding="utf-8"?><Relationships xmlns="http://schemas.openxmlformats.org/package/2006/relationships"><Relationship Type="http://schemas.openxmlformats.org/officeDocument/2006/relationships/table" Target="/xl/tables/table12.xml" Id="R6ec566f944364d48" /></Relationships>
</file>

<file path=xl/worksheets/_rels/sheet13.xml.rels>&#65279;<?xml version="1.0" encoding="utf-8"?><Relationships xmlns="http://schemas.openxmlformats.org/package/2006/relationships"><Relationship Type="http://schemas.openxmlformats.org/officeDocument/2006/relationships/table" Target="/xl/tables/table13.xml" Id="Rb650c84453cf4e32"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3"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263 entries. Legger cargo rigging, chassis, replacements, service parts and armor are classified proposals. Search Legger or filter Subtype.</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10"/>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v>lab salvage drive assembly; drive assembly; crafting components; salvage; machinery repair; crafting component; recovered part; recovered machinery; machinery repair; mixed / unresolved; assembly; existing definition</x:v>
      </x:c>
      <x:c r="AE6" s="4" t="str">
        <x:v>From current item description. Proposed uses retain their existing approval status.</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v>lab salvage metal plate; metal plate; crafting components; salvage; fabrication; crafting component; recovered part; recovered machinery; fabrication; metal; solid part; existing definition</x:v>
      </x:c>
      <x:c r="AE7" s="4" t="str">
        <x:v>From current item description. Proposed uses retain their existing approval status.</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v>lab salvage wire bundle; wire bundle; crafting components; salvage; electrical work; crafting component; recovered part; recovered machinery; electrical work; metal; bundle; existing definition</x:v>
      </x:c>
      <x:c r="AE8" s="4" t="str">
        <x:v>From current item description. Proposed uses retain their existing approval status.</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v>equipment algae canister; algae canister; equipment; survival; survival provision; injury treatment; container; finished item; living culture; survival provision; mixed / unresolved; assembly; existing definition</x:v>
      </x:c>
      <x:c r="AE9" s="4" t="str">
        <x:v>From current item description. Proposed uses retain their existing approval status.</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v>equipment cloak; cloak; equipment; clothing; camp rest; wearable; finished item; unresolved; clothing; unresolved; garment; existing definition</x:v>
      </x:c>
      <x:c r="AE10" s="4" t="str">
        <x:v>From current item description. Proposed uses retain their existing approval status.</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v>equipment digging tool; digging shovel axe; equipment; excavation; tool; finished item; unresolved; excavation; mixed / unresolved; assembly; existing definition</x:v>
      </x:c>
      <x:c r="AE11" s="4" t="str">
        <x:v>From current item description. Proposed uses retain their existing approval status.</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v>tool micro dust harvester; dust canister; equipment; harvesting; resource collection; tool; finished item; unresolved; resource collection; mixed / unresolved; assembly; existing definition</x:v>
      </x:c>
      <x:c r="AE12" s="4" t="str">
        <x:v>From current item description. Proposed uses retain their existing approval status.</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v>equipment grappling hook; grappling hook; equipment; traversal; tool; finished item; unresolved; traversal; mixed / unresolved; assembly; existing definition</x:v>
      </x:c>
      <x:c r="AE13" s="4" t="str">
        <x:v>From current item description. Proposed uses retain their existing approval status.</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v>equipment jacket; jacket; equipment; clothing; wearable; finished item; unresolved; clothing; unresolved; garment; existing definition</x:v>
      </x:c>
      <x:c r="AE14" s="4" t="str">
        <x:v>From current item description. Proposed uses retain their existing approval status.</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v>equipment arc battery charged; charged arc battery; field supplies; energy container; energy storage; energy storage; finished item; manufactured / unresolved; energy storage; mixed / unresolved; assembly; existing definition</x:v>
      </x:c>
      <x:c r="AE15" s="4" t="str">
        <x:v>From current item description. Proposed uses retain their existing approval status.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v>equipment arc battery empty; empty arc battery; field supplies; energy container; energy storage; energy processing; energy storage; finished item; manufactured / unresolved; energy storage; mixed / unresolved; assembly; existing definition</x:v>
      </x:c>
      <x:c r="AE16" s="4" t="str">
        <x:v>From current item description. Proposed uses retain their existing approval status.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v>tool popup camp; pop-up camp; field supplies; camp bundle; camp rest; sun shading; vertical sun shade shelter; shelter kit; finished item; unresolved; camp rest; mixed / unresolved; assembly; existing definition</x:v>
      </x:c>
      <x:c r="AE17" s="4" t="str">
        <x:v>From current item description. Proposed uses retain their existing approval status.</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v>resource airborne dust; airborne dust; resources; airborne resource; energy processing; raw material; raw; atmospheric; energy processing; unresolved; particles; existing definition</x:v>
      </x:c>
      <x:c r="AE18" s="4" t="str">
        <x:v>From current item description. Proposed uses retain their existing approval status.</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v>lab ironstone aggregate; coarse aggregate; resources; processed mineral; use unresolved; processed material; processed intermediate; geological; use unresolved; mineral; particles; existing definition</x:v>
      </x:c>
      <x:c r="AE19" s="4" t="str">
        <x:v>From current item description. Proposed uses retain their existing approval status.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v>lab ironstone concentrate; iron-rich concentrate; resources; processed mineral; metal refining; processed material; processed intermediate; geological; metal refining; mineral; particles; existing definition</x:v>
      </x:c>
      <x:c r="AE20" s="4" t="str">
        <x:v>From current item description. Proposed uses retain their existing approval status.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v>resource ironstone ore; ironstone ore; resources; raw mineral; metal refining; fabrication; unprocessed iron rich stone; raw material; raw; geological; metal refining; mineral; rock; existing definition</x:v>
      </x:c>
      <x:c r="AE21" s="4" t="str">
        <x:v>From current item description. Proposed uses retain their existing approval status.</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v>lab ironstone mineral dust; mineral dust; resources; processed mineral; use unresolved; processed material; processed intermediate; geological; use unresolved; mineral; particles; existing definition</x:v>
      </x:c>
      <x:c r="AE22" s="4" t="str">
        <x:v>From current item description. Proposed uses retain their existing approval status.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v>lab ironstone sand; mineral sand; resources; processed mineral; use unresolved; processed material; processed intermediate; geological; use unresolved; mineral; particles; existing definition</x:v>
      </x:c>
      <x:c r="AE23" s="4" t="str">
        <x:v>From current item description. Proposed uses retain their existing approval status.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23"/>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v>proposal gear magnets; field magnets; equipment; magnetic recovery; resource collection; work holding; tool; finished item; manufactured / unresolved; resource collection; mixed / unresolved; assembly; author direction</x:v>
      </x:c>
      <x:c r="AE24" s="4" t="str">
        <x:v>From current item description. Proposed uses retain their existing approval status.</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23"/>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v>proposal gear grounding kit; static grounding kit; equipment; charge management; static management; tool; finished item; manufactured / unresolved; static management; mixed / unresolved; assembly; author direction</x:v>
      </x:c>
      <x:c r="AE25" s="4" t="str">
        <x:v>From current item description. Proposed uses retain their existing approval status.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23"/>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v>proposal natural magnetite; magnetite-rich stone; resources; raw mineral; metal refining; magnetic tools; raw material; raw; geological; metal refining; mineral; rock; proposal</x:v>
      </x:c>
      <x:c r="AE26" s="4" t="str">
        <x:v>From current item description. Proposed uses retain their existing approval status.</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23"/>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v>proposal natural silica; silica-rich grit; resources; raw mineral; surface finishing; glass and ceramics; raw material; raw; geological; surface finishing; mineral; particles; proposal</x:v>
      </x:c>
      <x:c r="AE27" s="4" t="str">
        <x:v>From current item description. Proposed uses retain their existing approval status.</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23"/>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v>proposal natural alumina; alumina-rich rock; resources; raw mineral; glass and ceramics; electrical insulation; raw material; raw; geological; glass and ceramics; mineral; rock; proposal</x:v>
      </x:c>
      <x:c r="AE28" s="4" t="str">
        <x:v>From current item description. Proposed uses retain their existing approval status.</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23"/>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v>proposal natural claystone; claystone; resources; raw mineral; glass and ceramics; raw material; raw; geological; glass and ceramics; mineral; rock; proposal</x:v>
      </x:c>
      <x:c r="AE29" s="4" t="str">
        <x:v>From current item description. Proposed uses retain their existing approval status.</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23"/>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v>proposal natural carbonate; carbonate stone; resources; raw mineral; binding and construction; raw material; raw; geological; binding and construction; mineral; rock; proposal</x:v>
      </x:c>
      <x:c r="AE30" s="4" t="str">
        <x:v>From current item description. Proposed uses retain their existing approval status.</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23"/>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v>proposal natural salts; dry mineral salts; resources; raw mineral; culture support; raw material; raw; geological; culture support; mineral; particles; proposal</x:v>
      </x:c>
      <x:c r="AE31" s="4" t="str">
        <x:v>From current item description. Proposed uses retain their existing approval status.</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23"/>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v>proposal natural graphite; graphite-bearing stone; resources; raw mineral; lubrication; electrical conduction; raw material; raw; geological; lubrication; mineral; particles; proposal</x:v>
      </x:c>
      <x:c r="AE32" s="4" t="str">
        <x:v>From current item description. Proposed uses retain their existing approval status.</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23"/>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v>proposal natural mica; mica sheets; resources; raw mineral; electrical insulation; protective fabrication; raw material; raw; geological; electrical insulation; mineral; sheet; proposal</x:v>
      </x:c>
      <x:c r="AE33" s="4" t="str">
        <x:v>From current item description. Proposed uses retain their existing approval status.</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23"/>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v>proposal natural iron feed; iron-rich mineral feed; resources; processed mineral; metal refining; processed material; processed intermediate; geological; metal refining; mineral; particles; proposal</x:v>
      </x:c>
      <x:c r="AE34" s="4" t="str">
        <x:v>From current item description. Proposed uses retain their existing approval status.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23"/>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v>proposal natural iron stock; worked iron stock; resources; processed mineral; fabrication; equipment repair; processed material; processed intermediate; geological; fabrication; mineral; solid part; proposal</x:v>
      </x:c>
      <x:c r="AE35" s="4" t="str">
        <x:v>From current item description. Proposed uses retain their existing approval status.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23"/>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v>proposal natural abrasive; graded abrasive grit; resources; processed mineral; surface finishing; processed material; processed intermediate; geological; surface finishing; mineral; particles; proposal</x:v>
      </x:c>
      <x:c r="AE36" s="4" t="str">
        <x:v>From current item description. Proposed uses retain their existing approval status.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23"/>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v>proposal natural ceramic; insulating ceramic blanks; resources; processed mineral; electrical insulation; protective fabrication; processed material; processed intermediate; geological; electrical insulation; mineral; solid part; proposal</x:v>
      </x:c>
      <x:c r="AE37" s="4" t="str">
        <x:v>From current item description. Proposed uses retain their existing approval status.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23"/>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v>proposal natural lime; calcined mineral binder; resources; processed mineral; binding and construction; processed material; processed intermediate; geological; binding and construction; mineral; particles; proposal</x:v>
      </x:c>
      <x:c r="AE38" s="4" t="str">
        <x:v>From current item description. Proposed uses retain their existing approval status.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23"/>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v>proposal natural carbon; graded graphite flakes; resources; processed mineral; lubrication; electrical conduction; processed material; processed intermediate; geological; lubrication; mineral; particles; proposal</x:v>
      </x:c>
      <x:c r="AE39" s="4" t="str">
        <x:v>From current item description. Proposed uses retain their existing approval status.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23"/>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v>proposal bio shell; shell husks / shed plates; resources; molted exoskeleton; fabrication; fiber processing; raw material; raw; fauna; fabrication; shell / chitin; shell plate; author direction</x:v>
      </x:c>
      <x:c r="AE40" s="4" t="str">
        <x:v>From current item description. Proposed uses retain their existing approval status.</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23"/>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v>proposal bio tendon; dried tendon bundles; resources; connective tissue; binding and construction; raw material; raw; fauna; binding and construction; faunal tissue; bundle; proposal</x:v>
      </x:c>
      <x:c r="AE41" s="4" t="str">
        <x:v>From current item description. Proposed uses retain their existing approval status.</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23"/>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v>proposal bio bristles; coarse sensory bristles; resources; dry fibers; dust exclusion; raw material; raw; fauna; dust exclusion; faunal fiber; fiber; proposal</x:v>
      </x:c>
      <x:c r="AE42" s="4" t="str">
        <x:v>From current item description. Proposed uses retain their existing approval status.</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23"/>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v>proposal bio underfur; shed underfur; resources; dry fibers; textile processing; raw material; raw; fauna; textile processing; fur; fiber; proposal</x:v>
      </x:c>
      <x:c r="AE43" s="4" t="str">
        <x:v>From current item description. Proposed uses retain their existing approval status.</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23"/>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v>proposal bio jaw; dense jaw plates; resources; hard tissue; tool fabrication; raw material; raw; fauna; tool fabrication; faunal tissue; solid piece; proposal</x:v>
      </x:c>
      <x:c r="AE44" s="4" t="str">
        <x:v>From current item description. Proposed uses retain their existing approval status.</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23"/>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v>proposal bio membrane; dried joint membrane; resources; flexible tissue; sealing; equipment repair; raw material; processed intermediate; fauna; sealing; faunal membrane; sheet; proposal</x:v>
      </x:c>
      <x:c r="AE45" s="4" t="str">
        <x:v>From current item description. Proposed uses retain their existing approval status.</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23"/>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v>proposal bio fat; unverified fat-like tissue concept; resources; perishable tissue; use unresolved; raw material; unresolved; fauna; use unresolved; unresolved; unresolved; withheld assumption</x:v>
      </x:c>
      <x:c r="AE46" s="4" t="str">
        <x:v>From current item description. Proposed uses retain their existing approval status.</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23"/>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v>proposal bio organ; charge-organ tissue; resources; specialized tissue; electrical work; raw material; raw; fauna; electrical work; faunal tissue; solid piece; proposal</x:v>
      </x:c>
      <x:c r="AE47" s="4" t="str">
        <x:v>From current item description. Proposed uses retain their existing approval status.</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23"/>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v>proposal bio laminate; shell laminate; crafting components; processed biological; protective fabrication; crafting component; processed intermediate; fauna; protective fabrication; shell / chitin; panel; proposal</x:v>
      </x:c>
      <x:c r="AE48" s="4" t="str">
        <x:v>From current item description. Proposed uses retain their existing approval status.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23"/>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v>proposal bio cord; tendon cord; crafting components; processed biological; binding and construction; equipment repair; crafting component; processed intermediate; fauna; binding and construction; faunal tissue; cord; proposal</x:v>
      </x:c>
      <x:c r="AE49" s="4" t="str">
        <x:v>From current item description. Proposed uses retain their existing approval status.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23"/>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v>proposal bio brush; bristle brush strips; crafting components; processed biological; dust exclusion; crafting component; processed intermediate; fauna; dust exclusion; faunal fiber; strip; proposal</x:v>
      </x:c>
      <x:c r="AE50" s="4" t="str">
        <x:v>From current item description. Proposed uses retain their existing approval status.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23"/>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v>proposal bio liner; pressed fur-fiber material; crafting components; processed biological; textile processing; processed material; processed intermediate; fauna; textile processing; fur; unresolved; proposal</x:v>
      </x:c>
      <x:c r="AE51" s="4" t="str">
        <x:v>From current item description. Proposed uses retain their existing approval status.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23"/>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v>proposal bio insert; jaw cutting insert; crafting components; processed biological; tool fabrication; crafting component; processed intermediate; fauna; tool fabrication; faunal tissue; solid part; proposal</x:v>
      </x:c>
      <x:c r="AE52" s="4" t="str">
        <x:v>From current item description. Proposed uses retain their existing approval status.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23"/>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v>proposal bio seal; membrane seal patches; crafting components; processed biological; sealing; equipment repair; crafting component; processed intermediate; fauna; sealing; faunal membrane; patch; proposal</x:v>
      </x:c>
      <x:c r="AE53" s="4" t="str">
        <x:v>From current item description. Proposed uses retain their existing approval status.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23"/>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v>proposal bio wax; solid biological wax; crafting components; processed biological; use unresolved; processed material; unresolved; fauna; use unresolved; biological chemical; solid piece; withheld assumption</x:v>
      </x:c>
      <x:c r="AE54" s="4" t="str">
        <x:v>From current item description. Proposed uses retain their existing approval status.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23"/>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v>proposal bio electrode; dry organ electrode scaffold; crafting components; processed biological; electrical work; crafting component; processed intermediate; fauna; electrical work; faunal tissue; solid part; proposal</x:v>
      </x:c>
      <x:c r="AE55" s="4" t="str">
        <x:v>From current item description. Proposed uses retain their existing approval status.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27"/>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v>proposal natural charcoal; charcoal; resources; processed fuel; fuel; metal refining; processed material; processed intermediate; unresolved; fuel; carbonaceous material; particles; author direction</x:v>
      </x:c>
      <x:c r="AE56" s="4" t="str">
        <x:v>From current item description. Proposed uses retain their existing approval status.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27"/>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v>proposal natural copper stone; unprocessed copper-rich stone; resources; raw mineral; metal refining; raw material; raw; geological; metal refining; mineral; rock; author direction</x:v>
      </x:c>
      <x:c r="AE57" s="4" t="str">
        <x:v>From current item description. Proposed uses retain their existing approval status.</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27"/>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v>proposal natural copper ore; copper ore; resources; sorted ore; metal refining; raw material; processed intermediate; geological; metal refining; mineral; rock; author direction</x:v>
      </x:c>
      <x:c r="AE58" s="4" t="str">
        <x:v>From current item description. Proposed uses retain their existing approval status.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27"/>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v>proposal natural raw copper; raw copper lump; resources; unworked metal; electrical conduction; fabrication; processed material; unworked metal; geological; electrical conduction; metal; solid piece; author direction</x:v>
      </x:c>
      <x:c r="AE59" s="4" t="str">
        <x:v>From current item description. Proposed uses retain their existing approval status.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27"/>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v>proposal natural tungsten ore; tungsten-bearing ore; resources; raw mineral; metal refining; tool fabrication; raw material; raw; geological; metal refining; mineral; rock; author direction</x:v>
      </x:c>
      <x:c r="AE60" s="4" t="str">
        <x:v>From current item description. Proposed uses retain their existing approval status.</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27"/>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v>proposal natural magnesium rock; magnesium-bearing rock; resources; raw mineral; metal refining; raw material; raw; geological; metal refining; mineral; rock; author direction</x:v>
      </x:c>
      <x:c r="AE61" s="4" t="str">
        <x:v>From current item description. Proposed uses retain their existing approval status.</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27"/>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v>proposal natural raw magnesium; raw magnesium metal; resources; unworked metal; fabrication; processed material; unworked metal; geological; fabrication; metal; solid piece; author direction</x:v>
      </x:c>
      <x:c r="AE62" s="4" t="str">
        <x:v>From current item description. Proposed uses retain their existing approval status.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27"/>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v>proposal natural hematite; raw hematite; resources; iron oxide mineral; metal refining; raw material; raw; geological; metal refining; mineral; rock; author direction</x:v>
      </x:c>
      <x:c r="AE63" s="4" t="str">
        <x:v>From current item description. Proposed uses retain their existing approval status.</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27"/>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v>proposal natural sulfur; raw sulfur; resources; native nonmetal; chemical processing; raw material; raw; geological; chemical processing; mineral; rock; author direction</x:v>
      </x:c>
      <x:c r="AE64" s="4" t="str">
        <x:v>From current item description. Proposed uses retain their existing approval status.</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27"/>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v>proposal natural borate; raw borate minerals; resources; evaporite mineral; glass and ceramics; raw material; raw; geological; glass and ceramics; mineral; rock; proposal</x:v>
      </x:c>
      <x:c r="AE65" s="4" t="str">
        <x:v>From current item description. Proposed uses retain their existing approval status.</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27"/>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v>proposal natural gypsum; raw gypsum; resources; sulfate mineral; glass and ceramics; raw material; raw; geological; glass and ceramics; mineral; rock; proposal</x:v>
      </x:c>
      <x:c r="AE66" s="4" t="str">
        <x:v>From current item description. Proposed uses retain their existing approval status.</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27"/>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v>proposal natural talc; raw talc; resources; industrial mineral; glass and ceramics; surface finishing; raw material; raw; geological; glass and ceramics; mineral; rock; proposal</x:v>
      </x:c>
      <x:c r="AE67" s="4" t="str">
        <x:v>From current item description. Proposed uses retain their existing approval status.</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27"/>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v>proposal natural manganese ore; manganese-bearing ore; resources; raw mineral; metal refining; decoration; raw material; raw; geological; metal refining; mineral; rock; proposal</x:v>
      </x:c>
      <x:c r="AE68" s="4" t="str">
        <x:v>From current item description. Proposed uses retain their existing approval status.</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27"/>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v>proposal natural lead ore; lead-bearing ore; resources; raw mineral; metal refining; raw material; raw; geological; metal refining; mineral; rock; proposal</x:v>
      </x:c>
      <x:c r="AE69" s="4" t="str">
        <x:v>From current item description. Proposed uses retain their existing approval status.</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27"/>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v>proposal natural zinc ore; zinc-bearing ore; resources; raw mineral; metal refining; raw material; raw; geological; metal refining; mineral; rock; proposal</x:v>
      </x:c>
      <x:c r="AE70" s="4" t="str">
        <x:v>From current item description. Proposed uses retain their existing approval status.</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27"/>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v>proposal natural silver ore; silver-bearing ore; resources; raw mineral; metal refining; electrical conduction; raw material; raw; geological; metal refining; mineral; rock; proposal</x:v>
      </x:c>
      <x:c r="AE71" s="4" t="str">
        <x:v>From current item description. Proposed uses retain their existing approval status.</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27"/>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v>proposal natural gold rock; gold-bearing rock; resources; raw mineral; metal refining; decoration; raw material; raw; geological; metal refining; mineral; rock; proposal</x:v>
      </x:c>
      <x:c r="AE72" s="4" t="str">
        <x:v>From current item description. Proposed uses retain their existing approval status.</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27"/>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v>proposal natural fluorite; raw fluorite; resources; industrial mineral; glass and ceramics; metal refining; raw material; raw; geological; glass and ceramics; mineral; rock; proposal</x:v>
      </x:c>
      <x:c r="AE73" s="4" t="str">
        <x:v>From current item description. Proposed uses retain their existing approval status.</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27"/>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v>proposal natural antimony ore; antimony-bearing ore; resources; raw mineral; metal refining; raw material; raw; geological; metal refining; mineral; rock; proposal</x:v>
      </x:c>
      <x:c r="AE74" s="4" t="str">
        <x:v>From current item description. Proposed uses retain their existing approval status.</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29"/>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v>proposal bio chitin fibers; scraped chitin fibers; resources; raw husk fiber; paper making; textile processing; raw material; raw; fauna; paper making; shell / chitin; fiber; author direction</x:v>
      </x:c>
      <x:c r="AE75" s="4" t="str">
        <x:v>From current item description. Proposed uses retain their existing approval status.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29"/>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v>proposal bio icore fibers; scraped icore fibers; resources; raw husk fiber; paper making; textile processing; icore husk fibers not liquid ichor; raw material; raw; fauna; paper making; husk fiber; fiber; author direction</x:v>
      </x:c>
      <x:c r="AE76" s="4" t="str">
        <x:v>From current item description. Proposed uses retain their existing approval status.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29"/>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v>proposal bio husk paper; husk-fiber paper; crafting components; paper; writing and records; paper stationery; processed material; processed intermediate; fauna; writing and records; husk fiber; sheet; author direction</x:v>
      </x:c>
      <x:c r="AE77" s="4" t="str">
        <x:v>From current item description. Proposed uses retain their existing approval status.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29"/>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v>proposal bio pressed husk; pressed husk-fiber textile material; crafting components; pressed textile material; clothing fabrication; processed material; processed intermediate; fauna; clothing fabrication; husk fiber; sheet; author direction</x:v>
      </x:c>
      <x:c r="AE78" s="4" t="str">
        <x:v>From current item description. Proposed uses retain their existing approval status.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29"/>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v>proposal bio hide; raw hide; resources; animal hide; textile processing; raw material; raw; fauna; textile processing; hide; sheet; author direction</x:v>
      </x:c>
      <x:c r="AE79" s="4" t="str">
        <x:v>From current item description. Proposed uses retain their existing approval status.</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29"/>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v>proposal bio hide material; processed hide material; crafting components; processed biological; clothing fabrication; processed material; processed intermediate; fauna; clothing fabrication; hide; sheet; author direction</x:v>
      </x:c>
      <x:c r="AE80" s="4" t="str">
        <x:v>From current item description. Proposed uses retain their existing approval status.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3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v>proposal bio edible fraction; edible fauna fraction (species tbd); resources; food candidate; nutrition; food material; unresolved; fauna; nutrition; faunal tissue; unresolved; author direction</x:v>
      </x:c>
      <x:c r="AE81" s="4" t="str">
        <x:v>From current item description. Proposed uses retain their existing approval status.</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3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v>proposal bio chemical material; faunal chemical material (unspecified); resources; chemical material; chemical processing; chemical material; unresolved; fauna; chemical processing; biological chemical; unresolved; author direction</x:v>
      </x:c>
      <x:c r="AE82" s="4" t="str">
        <x:v>From current item description. Proposed uses retain their existing approval status.</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3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v>proposal bio liquid material; faunal liquid material (unspecified); resources; biological liquid material; chemical processing; chemical material; extracted material; fauna; chemical processing; biological chemical; liquid; author direction</x:v>
      </x:c>
      <x:c r="AE83" s="4" t="str">
        <x:v>From current item description. Proposed uses retain their existing approval status.</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33"/>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v>proposal chemical digestive etchant; digestive etchant; resources; faunal chemical concept; chemical processing; surface finishing; chemical material; extracted material; fauna; chemical processing; biological chemical; unresolved; proposal</x:v>
      </x:c>
      <x:c r="AE84" s="4" t="str">
        <x:v>From current item description. Proposed uses retain their existing approval status.</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33"/>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v>proposal chemical husk enzyme; husk-separation enzyme; resources; faunal chemical concept; fiber processing; paper making; textile processing; chemical material; extracted material; fauna; fiber processing; biological chemical; unresolved; proposal</x:v>
      </x:c>
      <x:c r="AE85" s="4" t="str">
        <x:v>From current item description. Proposed uses retain their existing approval status.</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33"/>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v>proposal chemical shell binder; shell-binding secretion; resources; faunal chemical concept; binding and construction; protective fabrication; textile processing; chemical material; extracted material; fauna; binding and construction; biological chemical; unresolved; proposal</x:v>
      </x:c>
      <x:c r="AE86" s="4" t="str">
        <x:v>From current item description. Proposed uses retain their existing approval status.</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33"/>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v>proposal chemical clotting compound; mineral clotting compound; resources; faunal chemical concept; equipment repair; sealing; chemical material; extracted material; fauna; equipment repair; biological chemical; unresolved; proposal</x:v>
      </x:c>
      <x:c r="AE87" s="4" t="str">
        <x:v>From current item description. Proposed uses retain their existing approval status.</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33"/>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v>proposal chemical mineral ichor; mineral-rich ichor; resources; faunal chemical concept; chemical processing; decoration; ichor liquid not icore fiber; chemical material; extracted material; fauna; chemical processing; biological chemical; liquid; proposal</x:v>
      </x:c>
      <x:c r="AE88" s="4" t="str">
        <x:v>From current item description. Proposed uses retain their existing approval status.</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33"/>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v>proposal chemical joint lubricant; joint-lubricating secretion; resources; faunal chemical concept; lubrication; sealing; chemical material; extracted material; fauna; lubrication; biological chemical; unresolved; proposal</x:v>
      </x:c>
      <x:c r="AE89" s="4" t="str">
        <x:v>From current item description. Proposed uses retain their existing approval status.</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33"/>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v>proposal chemical insulating secretion; insulating secretion; resources; faunal chemical concept; electrical insulation; chemical material; extracted material; fauna; electrical insulation; biological chemical; unresolved; proposal</x:v>
      </x:c>
      <x:c r="AE90" s="4" t="str">
        <x:v>From current item description. Proposed uses retain their existing approval status.</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33"/>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v>proposal chemical conductive gel; charge-conducting gel; resources; faunal chemical concept; electrical conduction; chemical material; extracted material; fauna; electrical conduction; biological chemical; gel; proposal</x:v>
      </x:c>
      <x:c r="AE91" s="4" t="str">
        <x:v>From current item description. Proposed uses retain their existing approval status.</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33"/>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v>proposal chemical molt release; molt-release compound; resources; faunal chemical concept; surface finishing; fiber processing; chemical material; extracted material; fauna; surface finishing; biological chemical; unresolved; proposal</x:v>
      </x:c>
      <x:c r="AE92" s="4" t="str">
        <x:v>From current item description. Proposed uses retain their existing approval status.</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33"/>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v>proposal chemical defensive irritant; defensive irritant secretion; resources; faunal chemical concept; material exclusion; chemical material; extracted material; fauna; material exclusion; biological chemical; unresolved; proposal</x:v>
      </x:c>
      <x:c r="AE93" s="4" t="str">
        <x:v>From current item description. Proposed uses retain their existing approval status.</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33"/>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v>proposal chemical disabling venom; disabling venom fraction; resources; faunal chemical concept; specialist samples; chemical material; extracted material; fauna; specialist samples; biological chemical; unresolved; proposal</x:v>
      </x:c>
      <x:c r="AE94" s="4" t="str">
        <x:v>From current item description. Proposed uses retain their existing approval status.</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33"/>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v>proposal chemical scent marker; chemical scent marker; resources; faunal chemical concept; fauna interaction; chemical material; extracted material; fauna; fauna interaction; biological chemical; unresolved; proposal</x:v>
      </x:c>
      <x:c r="AE95" s="4" t="str">
        <x:v>From current item description. Proposed uses retain their existing approval status.</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37"/>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v>proposal container sample vial; clear sample vial; containers; primary vessel; liquid and bulk containment; inspection; container; finished item; manufactured / unresolved; liquid and bulk containment; glass; solid part; proposal</x:v>
      </x:c>
      <x:c r="AE96" s="4" t="str">
        <x:v>From current item description. Proposed uses retain their existing approval status.</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37"/>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v>proposal container reagent bottle; opaque reagent bottle; containers; primary vessel; liquid and bulk containment; container; finished item; manufactured / unresolved; liquid and bulk containment; glass; solid part; proposal</x:v>
      </x:c>
      <x:c r="AE97" s="4" t="str">
        <x:v>From current item description. Proposed uses retain their existing approval status.</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37"/>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v>proposal container wide jar; wide-mouth sample jar; containers; primary vessel; liquid and bulk containment; container; finished item; manufactured / unresolved; liquid and bulk containment; glass; solid part; proposal</x:v>
      </x:c>
      <x:c r="AE98" s="4" t="str">
        <x:v>From current item description. Proposed uses retain their existing approval status.</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37"/>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v>proposal container ampoule; sealed sample ampoule; containers; primary vessel; liquid and bulk containment; container; finished item; manufactured / unresolved; liquid and bulk containment; glass; solid part; proposal</x:v>
      </x:c>
      <x:c r="AE99" s="4" t="str">
        <x:v>From current item description. Proposed uses retain their existing approval status.</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37"/>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v>proposal container marked flask; marked glass flask; containers; primary vessel; liquid and bulk containment; inspection; container; finished item; manufactured / unresolved; liquid and bulk containment; glass; solid part; proposal</x:v>
      </x:c>
      <x:c r="AE100" s="4" t="str">
        <x:v>From current item description. Proposed uses retain their existing approval status.</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37"/>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v>proposal container shell cage; shell-caged glass flask; containers; protected vessel assembly; liquid and bulk containment; container; finished item; manufactured / unresolved; liquid and bulk containment; glass and shell; assembly; proposal</x:v>
      </x:c>
      <x:c r="AE101" s="4" t="str">
        <x:v>From current item description. Proposed uses retain their existing approval status.</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37"/>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v>proposal container lined canister; glass-lined haul canister; containers; protected vessel assembly; liquid and bulk containment; container; finished item; manufactured / unresolved; liquid and bulk containment; glass with unresolved casing; assembly; proposal</x:v>
      </x:c>
      <x:c r="AE102" s="4" t="str">
        <x:v>From current item description. Proposed uses retain their existing approval status.</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37"/>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v>proposal container ceramic jar; glazed ceramic reagent jar; containers; primary vessel; liquid and bulk containment; container; finished item; manufactured / unresolved; liquid and bulk containment; ceramic; solid part; proposal</x:v>
      </x:c>
      <x:c r="AE103" s="4" t="str">
        <x:v>From current item description. Proposed uses retain their existing approval status.</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37"/>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v>proposal container bulk ichor; bulk ichor vessel; containers; primary vessel; liquid and bulk containment; container; finished item; manufactured / unresolved; liquid and bulk containment; mixed / unresolved; assembly; proposal</x:v>
      </x:c>
      <x:c r="AE104" s="4" t="str">
        <x:v>From current item description. Proposed uses retain their existing approval status.</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37"/>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v>proposal container vial case; divided vial case; containers; protective carrier; cargo organization; carrier; finished item; manufactured / unresolved; cargo organization; mixed / unresolved; assembly; proposal</x:v>
      </x:c>
      <x:c r="AE105" s="4" t="str">
        <x:v>From current item description. Proposed uses retain their existing approval status.</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37"/>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v>proposal container sealed box; sealed cargo box; containers; protective carrier; cargo organization; carrier; finished item; manufactured / unresolved; cargo organization; mixed / unresolved; assembly; proposal</x:v>
      </x:c>
      <x:c r="AE106" s="4" t="str">
        <x:v>From current item description. Proposed uses retain their existing approval status.</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37"/>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v>proposal container field chest; locking field chest; containers; storage object candidate; cargo organization; container; finished item; manufactured / unresolved; cargo organization; mixed / unresolved; assembly; proposal</x:v>
      </x:c>
      <x:c r="AE107" s="4" t="str">
        <x:v>From current item description. Proposed uses retain their existing approval status.</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37"/>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v>proposal container funnel; glass transfer funnel; containers; transfer glassware; material transfer; tool; finished item; manufactured / unresolved; material transfer; glass; solid part; proposal</x:v>
      </x:c>
      <x:c r="AE108" s="4" t="str">
        <x:v>From current item description. Proposed uses retain their existing approval status.</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37"/>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v>proposal container draw tube; glass draw tube; containers; transfer glassware; material transfer; tool; finished item; manufactured / unresolved; material transfer; glass; solid part; proposal</x:v>
      </x:c>
      <x:c r="AE109" s="4" t="str">
        <x:v>From current item description. Proposed uses retain their existing approval status.</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37"/>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v>proposal container glass stopper; matched glass stopper; containers; closure component; sealing; container part; processed intermediate; manufactured / unresolved; sealing; glass; solid part; proposal</x:v>
      </x:c>
      <x:c r="AE110" s="4" t="str">
        <x:v>From current item description. Proposed uses retain their existing approval status.</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37"/>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v>proposal container seal collar; compression seal collar; containers; closure component; sealing; container part; processed intermediate; manufactured / unresolved; sealing; mixed / unresolved; solid part; proposal</x:v>
      </x:c>
      <x:c r="AE111" s="4" t="str">
        <x:v>From current item description. Proposed uses retain their existing approval status.</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43"/>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v>proposal gear mail shirt; chainmail shirt; equipment; torso layer; clothing; protection; chain mail shirt; armor; finished item; manufactured / unresolved; clothing; metal; garment; author direction</x:v>
      </x:c>
      <x:c r="AE112" s="4" t="str">
        <x:v>From current item description. Proposed uses retain their existing approval status.</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43"/>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v>proposal gear metal armor set; assembled metal armor; equipment; whole-body assembly candidate; protection; armor; finished item; manufactured / unresolved; protection; metal; assembly; author direction</x:v>
      </x:c>
      <x:c r="AE113" s="4" t="str">
        <x:v>From current item description. Proposed uses retain their existing approval status.</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43"/>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v>proposal gear chest armor; chest armor; equipment; torso plate; protection; armor; finished item; manufactured / unresolved; protection; metal; assembly; author direction</x:v>
      </x:c>
      <x:c r="AE114" s="4" t="str">
        <x:v>From current item description. Proposed uses retain their existing approval status.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43"/>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v>proposal gear helmet; helmet; equipment; head; protection; armor; finished item; manufactured / unresolved; protection; metal; assembly; author direction</x:v>
      </x:c>
      <x:c r="AE115" s="4" t="str">
        <x:v>From current item description. Proposed uses retain their existing approval status.</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43"/>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v>proposal gear leg armor; leg armor; equipment; lower limbs; protection; armor; finished item; manufactured / unresolved; protection; metal; assembly; author direction</x:v>
      </x:c>
      <x:c r="AE116" s="4" t="str">
        <x:v>From current item description. Proposed uses retain their existing approval status.</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43"/>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v>proposal gear boots; boots; equipment; feet; protection; traversal; wearable; finished item; manufactured / unresolved; protection; mixed / unresolved; garment; author direction</x:v>
      </x:c>
      <x:c r="AE117" s="4" t="str">
        <x:v>From current item description. Proposed uses retain their existing approval status.</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43"/>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v>proposal gear gloves; gloves; equipment; hands; protection; wearable; finished item; manufactured / unresolved; protection; mixed / unresolved; garment; author direction</x:v>
      </x:c>
      <x:c r="AE118" s="4" t="str">
        <x:v>From current item description. Proposed uses retain their existing approval status.</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43"/>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v>proposal gear backpack; backpack; equipment; back-mounted carrier; cargo organization; carrier; finished item; manufactured / unresolved; cargo organization; mixed / unresolved; assembly; author direction</x:v>
      </x:c>
      <x:c r="AE119" s="4" t="str">
        <x:v>From current item description. Proposed uses retain their existing approval status.</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43"/>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v>proposal gear special plates; specialized armor plates; equipment; modular protection; protection; armor; finished item; manufactured / unresolved; protection; metal; assembly; author direction</x:v>
      </x:c>
      <x:c r="AE120" s="4" t="str">
        <x:v>From current item description. Proposed uses retain their existing approval status.</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43"/>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v>proposal gear shield; shield; equipment; held / mounted defensive gear; protection; shield; finished item; manufactured / unresolved; protection; mixed / unresolved; assembly; author direction</x:v>
      </x:c>
      <x:c r="AE121" s="4" t="str">
        <x:v>From current item description. Proposed uses retain their existing approval status.</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v>proposal weapon caltrops; caltrops; weapons; trip-ups; area denial; trip hazard; finished item; manufactured / unresolved; area denial; unresolved; solid part; author direction</x:v>
      </x:c>
      <x:c r="AE122" s="4" t="str">
        <x:v>From current item description. Proposed uses retain their existing approval status.</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v>proposal ancient carbon composite; ancient carbon composite; resources; ancient manufactured material; use unresolved; processed material; ancient manufactured; ancient technology; use unresolved; ancient composite; unresolved; author direction</x:v>
      </x:c>
      <x:c r="AE123" s="4" t="str">
        <x:v>From current item description. Proposed uses retain their existing approval status.</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v>proposal ancient nanocarbon; ancient nanocarbon material; resources; ancient manufactured material; use unresolved; processed material; ancient manufactured; ancient technology; use unresolved; ancient composite; unresolved; author direction</x:v>
      </x:c>
      <x:c r="AE124" s="4" t="str">
        <x:v>From current item description. Proposed uses retain their existing approval status.</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v>proposal ancient plasteel; ancient plasteel material; resources; ancient manufactured material; use unresolved; processed material; ancient manufactured; ancient technology; use unresolved; ancient composite; unresolved; author direction</x:v>
      </x:c>
      <x:c r="AE125" s="4" t="str">
        <x:v>From current item description. Proposed uses retain their existing approval status.</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v>proposal fashion special spectacles; specialized spectacles; equipment; specialist eyewear; vision; wearable; finished item; manufactured / unresolved; vision; mixed / unresolved; assembly; author direction</x:v>
      </x:c>
      <x:c r="AE126" s="4" t="str">
        <x:v>From current item description. Proposed uses retain their existing approval status.</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v>proposal fashion eyeglasses; eyeglasses; equipment; eyewear; vision; wearable; finished item; manufactured / unresolved; vision; mixed / unresolved; assembly; author direction</x:v>
      </x:c>
      <x:c r="AE127" s="4" t="str">
        <x:v>From current item description. Proposed uses retain their existing approval status.</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v>proposal fashion hat; hat; equipment; headwear; clothing; fashion; wearable; finished item; manufactured / unresolved; clothing; mixed / unresolved; garment; author direction</x:v>
      </x:c>
      <x:c r="AE128" s="4" t="str">
        <x:v>From current item description. Proposed uses retain their existing approval status.</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v>proposal fashion husk garment; elaborate husk-fiber wear; equipment; fashion garment; fashion; wearable; finished item; manufactured / unresolved; fashion; husk fiber; garment; author direction</x:v>
      </x:c>
      <x:c r="AE129" s="4" t="str">
        <x:v>From current item description. Proposed uses retain their existing approval status.</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v>proposal fashion fur garment; elaborate fur wear; equipment; fashion garment; fashion; wearable; finished item; manufactured / unresolved; fashion; fur; garment; author direction</x:v>
      </x:c>
      <x:c r="AE130" s="4" t="str">
        <x:v>From current item description. Proposed uses retain their existing approval status.</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v>proposal fashion hide garment; elaborate hide wear; equipment; fashion garment; fashion; wearable; finished item; manufactured / unresolved; fashion; hide; garment; author direction</x:v>
      </x:c>
      <x:c r="AE131" s="4" t="str">
        <x:v>From current item description. Proposed uses retain their existing approval status.</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49"/>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v>proposal gem clear quartz; clear quartz; resources; gemstone concept; decoration; gem material; unresolved; geological; decoration; gemstone; unresolved; proposal</x:v>
      </x:c>
      <x:c r="AE132" s="4" t="str">
        <x:v>From current item description. Proposed uses retain their existing approval status.</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49"/>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v>proposal gem smoky quartz; smoky quartz; resources; gemstone concept; decoration; gem material; unresolved; geological; decoration; gemstone; unresolved; proposal</x:v>
      </x:c>
      <x:c r="AE133" s="4" t="str">
        <x:v>From current item description. Proposed uses retain their existing approval status.</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49"/>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v>proposal gem garnet; garnet; resources; gemstone concept; decoration; gem material; unresolved; geological; decoration; gemstone; unresolved; proposal</x:v>
      </x:c>
      <x:c r="AE134" s="4" t="str">
        <x:v>From current item description. Proposed uses retain their existing approval status.</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49"/>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v>proposal gem spinel; spinel; resources; gemstone concept; decoration; gem material; unresolved; geological; decoration; gemstone; unresolved; proposal</x:v>
      </x:c>
      <x:c r="AE135" s="4" t="str">
        <x:v>From current item description. Proposed uses retain their existing approval status.</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49"/>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v>proposal gem peridot; peridot; resources; gemstone concept; decoration; gem material; unresolved; geological; decoration; gemstone; unresolved; proposal</x:v>
      </x:c>
      <x:c r="AE136" s="4" t="str">
        <x:v>From current item description. Proposed uses retain their existing approval status.</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49"/>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v>proposal gem corundum; ruby / sapphire corundum; resources; gemstone concept; decoration; gem material; unresolved; geological; decoration; gemstone; unresolved; proposal</x:v>
      </x:c>
      <x:c r="AE137" s="4" t="str">
        <x:v>From current item description. Proposed uses retain their existing approval status.</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49"/>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v>proposal gem tourmaline; tourmaline; resources; gemstone concept; decoration; gem material; unresolved; geological; decoration; gemstone; unresolved; proposal</x:v>
      </x:c>
      <x:c r="AE138" s="4" t="str">
        <x:v>From current item description. Proposed uses retain their existing approval status.</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49"/>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v>proposal gem zircon; zircon; resources; gemstone concept; decoration; gem material; unresolved; geological; decoration; gemstone; unresolved; proposal</x:v>
      </x:c>
      <x:c r="AE139" s="4" t="str">
        <x:v>From current item description. Proposed uses retain their existing approval status.</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v>proposal gear simple wraps; simple everyday wraps; equipment; everyday clothing; clothing; wearable; finished item; manufactured / unresolved; clothing; mixed / unresolved; garment; author direction</x:v>
      </x:c>
      <x:c r="AE140" s="4" t="str">
        <x:v>From current item description. Proposed uses retain their existing approval status.</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v>proposal bio inner wing; delicate inner wing; resources; wing material; sun shading; raw material; raw; fauna; sun shading; wing membrane; membrane; author direction; sail membrane; wind propulsion</x:v>
      </x:c>
      <x:c r="AE141" s="4" t="str">
        <x:v>From current item description. Proposed uses retain their existing approval status.</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v>proposal bio wing panel; prepared wing shade panel; crafting components; wing material; sun shading; crafting component; processed intermediate; fauna; sun shading; wing membrane; panel; proposal</x:v>
      </x:c>
      <x:c r="AE142" s="4" t="str">
        <x:v>From current item description. Proposed uses retain their existing approval status.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v>proposal canister body blank; canister body blank; crafting components; canister economy concept; liquid and bulk containment; container part; processed intermediate; manufactured / unresolved; liquid and bulk containment; mixed / unresolved; solid part; proposal</x:v>
      </x:c>
      <x:c r="AE143" s="4" t="str">
        <x:v>From current item description. Proposed uses retain their existing approval status.</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v>proposal canister seal ring; replacement seal ring; crafting components; canister economy concept; sealing; gasket; container part; processed intermediate; manufactured / unresolved; sealing; mixed / unresolved; solid part; proposal</x:v>
      </x:c>
      <x:c r="AE144" s="4" t="str">
        <x:v>From current item description. Proposed uses retain their existing approval status.</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v>proposal canister seal seat; fitted seal seat; crafting components; canister economy concept; sealing; container part; processed intermediate; manufactured / unresolved; sealing; mixed / unresolved; solid part; proposal</x:v>
      </x:c>
      <x:c r="AE145" s="4" t="str">
        <x:v>From current item description. Proposed uses retain their existing approval status.</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v>proposal canister sealant; canister joint sealant; crafting components; canister economy concept; sealing; chemical material; processed intermediate; manufactured / unresolved; sealing; mixed / unresolved; unresolved; proposal</x:v>
      </x:c>
      <x:c r="AE146" s="4" t="str">
        <x:v>From current item description. Proposed uses retain their existing approval status.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v>proposal canister feed line; feed-line section; crafting components; canister economy concept; material transfer; container part; processed intermediate; manufactured / unresolved; material transfer; mixed / unresolved; solid part; proposal</x:v>
      </x:c>
      <x:c r="AE147" s="4" t="str">
        <x:v>From current item description. Proposed uses retain their existing approval status.</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v>proposal canister coupling; feed-line coupling; crafting components; canister economy concept; material transfer; sealing; container part; processed intermediate; manufactured / unresolved; material transfer; mixed / unresolved; solid part; proposal</x:v>
      </x:c>
      <x:c r="AE148" s="4" t="str">
        <x:v>From current item description. Proposed uses retain their existing approval status.</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v>proposal canister mouthpiece; canister mouthpiece interface; crafting components; canister economy concept; survival provision; container part; processed intermediate; manufactured / unresolved; survival provision; mixed / unresolved; solid part; proposal</x:v>
      </x:c>
      <x:c r="AE149" s="4" t="str">
        <x:v>From current item description. Proposed uses retain their existing approval status.</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v>proposal canister window; canister viewing-port insert; crafting components; canister economy concept; inspection; container part; processed intermediate; manufactured / unresolved; inspection; glass; solid part; proposal</x:v>
      </x:c>
      <x:c r="AE150" s="4" t="str">
        <x:v>From current item description. Proposed uses retain their existing approval status.</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v>proposal canister mount; canister mounting bracket; crafting components; canister economy concept; equipment mounting; container part; processed intermediate; manufactured / unresolved; equipment mounting; mixed / unresolved; solid part; proposal</x:v>
      </x:c>
      <x:c r="AE151" s="4" t="str">
        <x:v>From current item description. Proposed uses retain their existing approval status.</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v>proposal canister harness; fitted canister harness; equipment; canister economy concept; equipment mounting; carrier; finished item; manufactured / unresolved; equipment mounting; mixed / unresolved; assembly; proposal</x:v>
      </x:c>
      <x:c r="AE152" s="4" t="str">
        <x:v>From current item description. Proposed uses retain their existing approval status.</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v>proposal canister inspection gauge; seal inspection gauge; equipment; canister economy concept; inspection; tool; finished item; manufactured / unresolved; inspection; mixed / unresolved; assembly; proposal</x:v>
      </x:c>
      <x:c r="AE153" s="4" t="str">
        <x:v>From current item description. Proposed uses retain their existing approval status.</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v>proposal canister service kit; canister service kit; field supplies; canister economy concept; equipment repair; sealing; service kit; finished item; manufactured / unresolved; equipment repair; mixed / unresolved; assembly; proposal</x:v>
      </x:c>
      <x:c r="AE154" s="4" t="str">
        <x:v>From current item description. Proposed uses retain their existing approval status.</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v>proposal canister maker plate; canister maker plate; crafting components; canister economy concept; provenance; decoration; crafting component; processed intermediate; manufactured / unresolved; provenance; mixed / unresolved; solid part; proposal</x:v>
      </x:c>
      <x:c r="AE155" s="4" t="str">
        <x:v>From current item description. Proposed uses retain their existing approval status.</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v>proposal canister trim; decorative canister panel; crafting components; canister economy concept; decoration; crafting component; processed intermediate; manufactured / unresolved; decoration; mixed / unresolved; solid part; proposal</x:v>
      </x:c>
      <x:c r="AE156" s="4" t="str">
        <x:v>From current item description. Proposed uses retain their existing approval status.</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v>proposal canister endcap; canister protective endcap; crafting components; canister economy concept; protection; dust exclusion; container part; processed intermediate; manufactured / unresolved; protection; mixed / unresolved; solid part; proposal</x:v>
      </x:c>
      <x:c r="AE157" s="4" t="str">
        <x:v>From current item description. Proposed uses retain their existing approval status.</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v>proposal culture icon; preserver icon token; cultural objects; religious; devotion; cultural object; finished item; manufactured / unresolved; devotion; metal or shell; solid piece; proposal</x:v>
      </x:c>
      <x:c r="AE158" s="4" t="str">
        <x:v>From current item description. Proposed uses retain their existing approval status.</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v>proposal culture shrine; household shrine plaque; cultural objects; religious; devotion; cultural object; finished item; manufactured / unresolved; devotion; metal or shell; panel; proposal</x:v>
      </x:c>
      <x:c r="AE159" s="4" t="str">
        <x:v>From current item description. Proposed uses retain their existing approval status.</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v>proposal culture altar vial; altar display vial; cultural objects; religious; ceremony; liquid and bulk containment; container; finished item; manufactured / unresolved; ceremony; glass and metal; assembly; proposal</x:v>
      </x:c>
      <x:c r="AE160" s="4" t="str">
        <x:v>From current item description. Proposed uses retain their existing approval status.</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v>proposal culture reliquary; relic case; cultural objects; religious; devotion; keepsake storage; container; finished item; manufactured / unresolved; devotion; metal or shell; assembly; proposal</x:v>
      </x:c>
      <x:c r="AE161" s="4" t="str">
        <x:v>From current item description. Proposed uses retain their existing approval status.</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v>proposal culture prayer leaf; husk-paper prayer leaf; cultural objects; religious; devotion; writing and records; document; finished item; manufactured / unresolved; devotion; husk fiber; sheet; proposal</x:v>
      </x:c>
      <x:c r="AE162" s="4" t="str">
        <x:v>From current item description. Proposed uses retain their existing approval status.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v>proposal culture offering; votive shell token; cultural objects; religious; devotion; cultural object; finished item; manufactured / unresolved; devotion; shell / chitin; solid piece; proposal</x:v>
      </x:c>
      <x:c r="AE163" s="4" t="str">
        <x:v>From current item description. Proposed uses retain their existing approval status.</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v>proposal culture badge; civic office badge; cultural objects; political / civic; civic identification; cultural object; finished item; manufactured / unresolved; civic identification; metal or shell; solid piece; proposal</x:v>
      </x:c>
      <x:c r="AE164" s="4" t="str">
        <x:v>From current item description. Proposed uses retain their existing approval status.</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v>proposal culture stamp; official seal stamp; cultural objects; political / civic; writing and records; civic identification; document authentication stamp not pressure seal; tool; finished item; manufactured / unresolved; writing and records; metal; solid part; proposal</x:v>
      </x:c>
      <x:c r="AE165" s="4" t="str">
        <x:v>From current item description. Proposed uses retain their existing approval status.</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v>proposal culture register; civic register folio; cultural objects; political / civic; writing and records; civic recognition; document; finished item; manufactured / unresolved; writing and records; husk fiber and shell; folio; proposal</x:v>
      </x:c>
      <x:c r="AE166" s="4" t="str">
        <x:v>From current item description. Proposed uses retain their existing approval status.</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v>proposal culture notice; public notice plate; cultural objects; political / civic; public communication; document; finished item; manufactured / unresolved; public communication; metal or shell; panel; proposal</x:v>
      </x:c>
      <x:c r="AE167" s="4" t="str">
        <x:v>From current item description. Proposed uses retain their existing approval status.</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v>proposal culture petition; petition leaf; cultural objects; political / civic; public communication; document; finished item; manufactured / unresolved; public communication; husk fiber; sheet; proposal</x:v>
      </x:c>
      <x:c r="AE168" s="4" t="str">
        <x:v>From current item description. Proposed uses retain their existing approval status.</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v>proposal culture commendation; community service medallion; cultural objects; political / civic; civic recognition; cultural object; finished item; manufactured / unresolved; civic recognition; metal; solid piece; proposal</x:v>
      </x:c>
      <x:c r="AE169" s="4" t="str">
        <x:v>From current item description. Proposed uses retain their existing approval status.</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v>proposal culture pilgrim die; pilgrimage marking die; cultural objects; ritual; ceremony; provenance; tool; finished item; manufactured / unresolved; ceremony; metal; solid part; proposal</x:v>
      </x:c>
      <x:c r="AE170" s="4" t="str">
        <x:v>From current item description. Proposed uses retain their existing approval status.</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v>proposal culture memorial; memorial name plate; cultural objects; ritual; remembrance; cultural object; finished item; manufactured / unresolved; remembrance; metal or shell; panel; proposal</x:v>
      </x:c>
      <x:c r="AE171" s="4" t="str">
        <x:v>From current item description. Proposed uses retain their existing approval status.</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v>proposal culture oath ring; oath exchange ring; cultural objects; ritual; ceremony; cultural object; finished item; manufactured / unresolved; ceremony; metal; solid piece; proposal</x:v>
      </x:c>
      <x:c r="AE172" s="4" t="str">
        <x:v>From current item description. Proposed uses retain their existing approval status.</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v>proposal culture milestone; life-event charm; cultural objects; ritual; remembrance; ceremony; cultural object; finished item; manufactured / unresolved; remembrance; metal or shell; solid piece; proposal</x:v>
      </x:c>
      <x:c r="AE173" s="4" t="str">
        <x:v>From current item description. Proposed uses retain their existing approval status.</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v>proposal culture rattle; ceremonial shell rattle; cultural objects; ritual; ceremony; music; musical instrument; finished item; manufactured / unresolved; ceremony; shell and mineral; assembly; proposal</x:v>
      </x:c>
      <x:c r="AE174" s="4" t="str">
        <x:v>From current item description. Proposed uses retain their existing approval status.</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v>proposal culture gift case; ceremonial gift case; cultural objects; ritual; ceremony; keepsake storage; container; finished item; manufactured / unresolved; ceremony; metal or shell; assembly; proposal</x:v>
      </x:c>
      <x:c r="AE175" s="4" t="str">
        <x:v>From current item description. Proposed uses retain their existing approval status.</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v>proposal culture bowl; everyday shell bowl; everyday objects; everyday household; food service; household utensil; finished item; manufactured / unresolved; food service; metal or shell; solid piece; proposal</x:v>
      </x:c>
      <x:c r="AE176" s="4" t="str">
        <x:v>From current item description. Proposed uses retain their existing approval status.</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v>proposal culture spoon; algae spoon / scraper; everyday objects; everyday household; food service; household utensil; finished item; manufactured / unresolved; food service; metal or shell; solid piece; proposal</x:v>
      </x:c>
      <x:c r="AE177" s="4" t="str">
        <x:v>From current item description. Proposed uses retain their existing approval status.</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v>proposal culture brush; dust brush; everyday objects; everyday household; cleaning; tool; finished item; manufactured / unresolved; cleaning; faunal fiber and shell; assembly; proposal</x:v>
      </x:c>
      <x:c r="AE178" s="4" t="str">
        <x:v>From current item description. Proposed uses retain their existing approval status.</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v>proposal culture comb; shell comb; everyday objects; everyday household; grooming; household utensil; finished item; manufactured / unresolved; grooming; metal or shell; solid piece; proposal</x:v>
      </x:c>
      <x:c r="AE179" s="4" t="str">
        <x:v>From current item description. Proposed uses retain their existing approval status.</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v>proposal culture tablet; reusable tally tablet; everyday objects; everyday household; writing and records; document; finished item; manufactured / unresolved; writing and records; mineral or shell; solid piece; proposal</x:v>
      </x:c>
      <x:c r="AE180" s="4" t="str">
        <x:v>From current item description. Proposed uses retain their existing approval status.</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v>proposal culture stylus; marking stylus; everyday objects; everyday household; writing and records; tool; finished item; manufactured / unresolved; writing and records; metal and shell; solid part; proposal</x:v>
      </x:c>
      <x:c r="AE181" s="4" t="str">
        <x:v>From current item description. Proposed uses retain their existing approval status.</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v>crushed fired ceramic grit; fabrication; glass and ceramics; ceramic; pottery; ceramic feedstock; processed material; ceramic feed mixture</x:v>
      </x:c>
      <x:c r="AE182" s="4" t="str">
        <x:v>Specific item proposed from author ceramics direction; functional and material limits remain unresolved.</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v>prepared ceramic body feed; fabrication; glass and ceramics; ceramic; pottery; ceramic feedstock; processed material; ceramic feed mixture</x:v>
      </x:c>
      <x:c r="AE183" s="4" t="str">
        <x:v>Specific item proposed from author ceramics direction; functional and material limits remain unresolved.</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v>prepared glaze feed; surface finishing; glass and ceramics; ceramic; pottery; ceramic feedstock; processed material; ceramic feed mixture</x:v>
      </x:c>
      <x:c r="AE184" s="4" t="str">
        <x:v>Specific item proposed from author ceramics direction; functional and material limits remain unresolved.</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v>unfired shaped ceramic blank; glass and ceramics; ceramic; pottery; ceramic intermediate; crafting component; ceramic</x:v>
      </x:c>
      <x:c r="AE185" s="4" t="str">
        <x:v>Specific item proposed from author ceramics direction; functional and material limits remain unresolved.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v>plain ceramic eating bowl; food service; ceramic; pottery; ceramic household; household utensil; ceramic</x:v>
      </x:c>
      <x:c r="AE186" s="4" t="str">
        <x:v>Specific item proposed from author ceramics direction; functional and material limits remain unresolved.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v>small ceramic cup; food service; ceramic; pottery; ceramic household; household utensil; ceramic</x:v>
      </x:c>
      <x:c r="AE187" s="4" t="str">
        <x:v>Specific item proposed from author ceramics direction; functional and material limits remain unresolved.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v>ceramic serving plate; food service; ceramic; pottery; ceramic household; household utensil; ceramic</x:v>
      </x:c>
      <x:c r="AE188" s="4" t="str">
        <x:v>Specific item proposed from author ceramics direction; functional and material limits remain unresolved.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v>ceramic dry-storage crock; liquid and bulk containment; cargo organization; ceramic; pottery; ceramic storage; container; ceramic</x:v>
      </x:c>
      <x:c r="AE189" s="4" t="str">
        <x:v>Specific item proposed from author ceramics direction; functional and material limits remain unresolved.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v>ceramic crucible; glass and ceramics; metal refining; ceramic; pottery; ceramic workshop; tool; ceramic</x:v>
      </x:c>
      <x:c r="AE190" s="4" t="str">
        <x:v>Specific item proposed from author ceramics direction; functional and material limits remain unresolved.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v>ceramic casting mold; metal refining; fabrication; ceramic; pottery; ceramic workshop; tool; ceramic</x:v>
      </x:c>
      <x:c r="AE191" s="4" t="str">
        <x:v>Specific item proposed from author ceramics direction; functional and material limits remain unresolved.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v>ceramic grinding mortar; glass and ceramics; chemical processing; ceramic; pottery; ceramic workshop; tool; ceramic</x:v>
      </x:c>
      <x:c r="AE192" s="4" t="str">
        <x:v>Specific item proposed from author ceramics direction; functional and material limits remain unresolved.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v>ceramic pestle; glass and ceramics; chemical processing; ceramic; pottery; ceramic workshop; tool; ceramic</x:v>
      </x:c>
      <x:c r="AE193" s="4" t="str">
        <x:v>Specific item proposed from author ceramics direction; functional and material limits remain unresolved.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v>ceramic firing tray; glass and ceramics; ceramic; pottery; ceramic workshop; tool; ceramic</x:v>
      </x:c>
      <x:c r="AE194" s="4" t="str">
        <x:v>Specific item proposed from author ceramics direction; functional and material limits remain unresolved.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v>refractory ceramic brick; glass and ceramics; metal refining; protective fabrication; ceramic; pottery; ceramic thermal component; crafting component; ceramic</x:v>
      </x:c>
      <x:c r="AE195" s="4" t="str">
        <x:v>Specific item proposed from author ceramics direction; functional and material limits remain unresolved.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v>ceramic kiln lining panel; glass and ceramics; protective fabrication; ceramic; pottery; ceramic thermal component; crafting component; ceramic</x:v>
      </x:c>
      <x:c r="AE196" s="4" t="str">
        <x:v>Specific item proposed from author ceramics direction; functional and material limits remain unresolved.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v>ceramic insulating bead; electrical work; electrical insulation; ceramic; pottery; ceramic electrical component; crafting component; ceramic</x:v>
      </x:c>
      <x:c r="AE197" s="4" t="str">
        <x:v>Specific item proposed from author ceramics direction; functional and material limits remain unresolved.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v>ceramic insulating spacer; electrical work; electrical insulation; ceramic; pottery; ceramic electrical component; crafting component; ceramic</x:v>
      </x:c>
      <x:c r="AE198" s="4" t="str">
        <x:v>Specific item proposed from author ceramics direction; functional and material limits remain unresolved.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v>ceramic electrical feedthrough; electrical conduction; electrical insulation; ceramic; pottery; ceramic electrical component; crafting component; ceramic and metal</x:v>
      </x:c>
      <x:c r="AE199" s="4" t="str">
        <x:v>Specific item proposed from author ceramics direction; functional and material limits remain unresolved.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v>fitted ceramic stopper; sealing; ceramic; pottery; ceramic vessel fitting; container part; ceramic</x:v>
      </x:c>
      <x:c r="AE200" s="4" t="str">
        <x:v>Specific item proposed from author ceramics direction; functional and material limits remain unresolved.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v>ceramic vessel lid; dust exclusion; liquid and bulk containment; ceramic; pottery; ceramic vessel fitting; container part; ceramic</x:v>
      </x:c>
      <x:c r="AE201" s="4" t="str">
        <x:v>Specific item proposed from author ceramics direction; functional and material limits remain unresolved.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v>ceramic pouring spout; material transfer; ceramic; pottery; ceramic vessel fitting; container part; ceramic</x:v>
      </x:c>
      <x:c r="AE202" s="4" t="str">
        <x:v>Specific item proposed from author ceramics direction; functional and material limits remain unresolved.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v>ceramic conduit section; material transfer; ceramic; pottery; ceramic vessel fitting; crafting component; ceramic</x:v>
      </x:c>
      <x:c r="AE203" s="4" t="str">
        <x:v>Specific item proposed from author ceramics direction; functional and material limits remain unresolved.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v>ceramic votive plaque; decoration; devotion; ceramic; pottery; ceramic ceremonial; cultural object; ceramic</x:v>
      </x:c>
      <x:c r="AE204" s="4" t="str">
        <x:v>Specific item proposed from author ceramics direction; functional and material limits remain unresolved.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v>ceramic commemorative figurine; decoration; remembrance; ceramic; pottery; ceramic ceremonial; cultural object; ceramic</x:v>
      </x:c>
      <x:c r="AE205" s="4" t="str">
        <x:v>Specific item proposed from author ceramics direction; functional and material limits remain unresolved.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v>ceremonial ceramic bowl; decoration; ceremony; ceramic; pottery; ceramic ceremonial; cultural object; ceramic</x:v>
      </x:c>
      <x:c r="AE206" s="4" t="str">
        <x:v>Specific item proposed from author ceramics direction; functional and material limits remain unresolved.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v>specialist ceramic armor insert; protection; ceramic; pottery; ceramic protection; armor; ceramic</x:v>
      </x:c>
      <x:c r="AE207" s="4" t="str">
        <x:v>Specific item proposed from author ceramics direction; functional and material limits remain unresolved.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v>ceramic toggle fastener; equipment mounting; clothing fabrication; ceramic; pottery; ceramic household fitting; crafting component; ceramic</x:v>
      </x:c>
      <x:c r="AE208" s="4" t="str">
        <x:v>Specific item proposed from author ceramics direction; functional and material limits remain unresolved.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v>ceramic abrasive disc; surface finishing; ceramic; pottery; ceramic workshop; tool; ceramic</x:v>
      </x:c>
      <x:c r="AE209" s="4" t="str">
        <x:v>Specific item proposed from author ceramics direction; functional and material limits remain unresolved.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v>imperial commons; commons; marks; currency; money; trade; exchange; denomination unspecified</x:v>
      </x:c>
      <x:c r="AE210" s="4" t="str">
        <x:v>Source record explicitly names the currency and aliases; no physical denomination item inferred.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v>oxygen-releasing stone; special stone; raw material; mineral; atmospheric support</x:v>
      </x:c>
      <x:c r="AE211" s="4" t="str">
        <x:v>Author direction establishes stone families. Source mechanisms remain proposal-stage; specific equipment functions are proposals.</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v>glowing stone; special stone; raw material; mineral; illumination</x:v>
      </x:c>
      <x:c r="AE212" s="4" t="str">
        <x:v>Author direction establishes stone families. Source mechanisms remain proposal-stage; specific equipment functions are proposals.</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v>flint stone; special stone; raw material; mineral; ignition; tool fabrication</x:v>
      </x:c>
      <x:c r="AE213" s="4" t="str">
        <x:v>Author direction establishes stone families. Source mechanisms remain proposal-stage; specific equipment functions are proposals.</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v>flint striking tool; ignition tool; tool; metal or shell; ignition</x:v>
      </x:c>
      <x:c r="AE214" s="4" t="str">
        <x:v>Author direction establishes stone families. Source mechanisms remain proposal-stage; specific equipment functions are proposals.</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v>chitin-char; fire fuel; processed material; carbonaceous material; fuel</x:v>
      </x:c>
      <x:c r="AE215" s="4" t="str">
        <x:v>Author direction establishes stone families. Source mechanisms remain proposal-stage; specific equipment functions are proposals.</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v>ceramic cooking pot; cooking vessel; tool; ceramic; cooking</x:v>
      </x:c>
      <x:c r="AE216" s="4" t="str">
        <x:v>Author direction establishes stone families. Source mechanisms remain proposal-stage; specific equipment functions are proposals.</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v>cooking stone slab; cooking tool; tool; mineral; cooking</x:v>
      </x:c>
      <x:c r="AE217" s="4" t="str">
        <x:v>Author direction establishes stone families. Source mechanisms remain proposal-stage; specific equipment functions are proposals.</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v>lidded cooking pan; cooking vessel; tool; metal; cooking</x:v>
      </x:c>
      <x:c r="AE218" s="4" t="str">
        <x:v>Author direction establishes stone families. Source mechanisms remain proposal-stage; specific equipment functions are proposals.</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v>cooking rack; cooking tool; tool; metal; cooking</x:v>
      </x:c>
      <x:c r="AE219" s="4" t="str">
        <x:v>Author direction establishes stone families. Source mechanisms remain proposal-stage; specific equipment functions are proposals.</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v>cooking pot stand; cooking tool; tool; metal; cooking</x:v>
      </x:c>
      <x:c r="AE220" s="4" t="str">
        <x:v>Author direction establishes stone families. Source mechanisms remain proposal-stage; specific equipment functions are proposals.</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v>cooking tongs; cooking tool; tool; metal; cooking</x:v>
      </x:c>
      <x:c r="AE221" s="4" t="str">
        <x:v>Author direction establishes stone families. Source mechanisms remain proposal-stage; specific equipment functions are proposals.</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v>managed cooking firebox; fire management; tool; mixed / unresolved; cooking; fire management</x:v>
      </x:c>
      <x:c r="AE222" s="4" t="str">
        <x:v>Author direction establishes stone families. Source mechanisms remain proposal-stage; specific equipment functions are proposals.</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v>cooking wind baffle; fire management; crafting component; metal; fire management; cooking</x:v>
      </x:c>
      <x:c r="AE223" s="4" t="str">
        <x:v>Author direction establishes stone families. Source mechanisms remain proposal-stage; specific equipment functions are proposals.</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v>cooking draft collar; fire management; crafting component; ceramic; fire management; cooking</x:v>
      </x:c>
      <x:c r="AE224" s="4" t="str">
        <x:v>Author direction establishes stone families. Source mechanisms remain proposal-stage; specific equipment functions are proposals.</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v>cooking heat shroud; fire management; crafting component; ceramic; cooking; protective fabrication</x:v>
      </x:c>
      <x:c r="AE225" s="4" t="str">
        <x:v>Author direction establishes stone families. Source mechanisms remain proposal-stage; specific equipment functions are proposals.</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v>shuttered glow-stone holder; mineral light; tool; mixed / unresolved; illumination</x:v>
      </x:c>
      <x:c r="AE226" s="4" t="str">
        <x:v>Author direction establishes stone families. Source mechanisms remain proposal-stage; specific equipment functions are proposals.</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v>clarified faunal lubricant base; grease; lubricant; fauna chemistry; lubrication; chemical processing</x:v>
      </x:c>
      <x:c r="AE227" s="4" t="str">
        <x:v>Specific formulation is proposed; source oils and existing joint secretion are references, not validated recipes.</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v>prepared secretion thickener; grease; lubricant; fauna chemistry; lubrication; chemical processing</x:v>
      </x:c>
      <x:c r="AE228" s="4" t="str">
        <x:v>Specific formulation is proposed; source oils and existing joint secretion are references, not validated recipes.</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v>faunal joint grease; grease; lubricant; fauna chemistry; equipment repair; lubrication</x:v>
      </x:c>
      <x:c r="AE229" s="4" t="str">
        <x:v>Specific formulation is proposed; source oils and existing joint secretion are references, not validated recipes.</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v>dust-shedding lubricant film; grease; lubricant; fauna chemistry; dust exclusion; lubrication</x:v>
      </x:c>
      <x:c r="AE230" s="4" t="str">
        <x:v>Specific formulation is proposed; source oils and existing joint secretion are references, not validated recipes.</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v>seal-conditioning paste; grease; lubricant; fauna chemistry; sealing; lubrication</x:v>
      </x:c>
      <x:c r="AE231" s="4" t="str">
        <x:v>Specific formulation is proposed; source oils and existing joint secretion are references, not validated recipes.</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v>graphite faunal grease; grease; lubricant; fauna chemistry; equipment repair; lubrication</x:v>
      </x:c>
      <x:c r="AE232" s="4" t="str">
        <x:v>Specific formulation is proposed; source oils and existing joint secretion are references, not validated recipes.</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v>electrically insulating grease; grease; lubricant; fauna chemistry; electrical insulation; lubrication</x:v>
      </x:c>
      <x:c r="AE233" s="4" t="str">
        <x:v>Specific formulation is proposed; source oils and existing joint secretion are references, not validated recipes.</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v>fine mechanism oil; grease; lubricant; fauna chemistry; equipment repair; lubrication</x:v>
      </x:c>
      <x:c r="AE234" s="4" t="str">
        <x:v>Specific formulation is proposed; source oils and existing joint secretion are references, not validated recipes.</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v>salvaged wind turbine; wind machine; wind power; machinery drive; wind; sail; </x:v>
      </x:c>
      <x:c r="AE235" s="4" t="str">
        <x:v>Author direction for equipment families; proposed components and unimplemented behavior remain explicitly separate.</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v>prepared insect-wing sail panel; wind sail material; wind propulsion; wind; sail; </x:v>
      </x:c>
      <x:c r="AE236" s="4" t="str">
        <x:v>Author direction for equipment families; proposed components and unimplemented behavior remain explicitly separate.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v>collapsible handheld wind sail; wind traversal gear; wind propulsion; traversal; wind; sail; </x:v>
      </x:c>
      <x:c r="AE237" s="4" t="str">
        <x:v>Author direction for equipment families; proposed components and unimplemented behavior remain explicitly separate.</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v>four-wheel all-terrain dirtboard; wind traversal gear; traversal; wind propulsion; wind; sail; skateboard mountainboard four wheel dirt board</x:v>
      </x:c>
      <x:c r="AE238" s="4" t="str">
        <x:v>Author direction for equipment families; proposed components and unimplemented behavior remain explicitly separate.</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v>collapsible sail frame; wind sail component; equipment fabrication; wind; sail; </x:v>
      </x:c>
      <x:c r="AE239" s="4" t="str">
        <x:v>Author direction for equipment families; proposed components and unimplemented behavior remain explicitly separate.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v>hand-sail grip assembly; wind sail component; equipment fabrication; equipment mounting; wind; sail; </x:v>
      </x:c>
      <x:c r="AE240" s="4" t="str">
        <x:v>Author direction for equipment families; proposed components and unimplemented behavior remain explicitly separate.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v>dirtboard wheel assembly; dirtboard component; equipment fabrication; equipment repair; wind; sail; </x:v>
      </x:c>
      <x:c r="AE241" s="4" t="str">
        <x:v>Author direction for equipment families; proposed components and unimplemented behavior remain explicitly separate.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v>dirtboard axle / steering assembly; dirtboard component; equipment fabrication; equipment repair; wind; sail; </x:v>
      </x:c>
      <x:c r="AE242" s="4" t="str">
        <x:v>Author direction for equipment families; proposed components and unimplemented behavior remain explicitly separate.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v>salvaged turbine rotor assembly; wind machine component; equipment fabrication; wind power; wind; sail; </x:v>
      </x:c>
      <x:c r="AE243" s="4" t="str">
        <x:v>Author direction for equipment families; proposed components and unimplemented behavior remain explicitly separate.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v>salvaged generator assembly; wind machine component; energy processing; wind power; wind; sail; </x:v>
      </x:c>
      <x:c r="AE244" s="4" t="str">
        <x:v>Author direction for equipment families; proposed components and unimplemented behavior remain explicitly separate.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v>legger cargo sling; legger cargo rigging; carrier; mixed / unresolved; cargo organization; equipment mounting; legger; leger; companion replacement part; </x:v>
      </x:c>
      <x:c r="AE245" s="4" t="str">
        <x:v>Specific parts and protective properties remain proposals; ancient-material scarcity is established author direction.</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v>legger rigid cargo cradle; legger cargo rigging; carrier; metal; cargo organization; equipment mounting; legger; leger; companion replacement part; </x:v>
      </x:c>
      <x:c r="AE246" s="4" t="str">
        <x:v>Specific parts and protective properties remain proposals; ancient-material scarcity is established author direction.</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v>legger lashing-anchor set; legger cargo rigging; crafting component; metal; equipment mounting; legger; leger; companion replacement part; </x:v>
      </x:c>
      <x:c r="AE247" s="4" t="str">
        <x:v>Specific parts and protective properties remain proposals; ancient-material scarcity is established author direction.</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v>legger load-balance linkage; legger cargo rigging; crafting component; metal; cargo organization; equipment mounting; legger; leger; companion replacement part; </x:v>
      </x:c>
      <x:c r="AE248" s="4" t="str">
        <x:v>Specific parts and protective properties remain proposals; ancient-material scarcity is established author direction.</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v>iron chassis replacement rib; legger chassis; crafting component; metal; equipment repair; legger; leger; companion replacement part; </x:v>
      </x:c>
      <x:c r="AE249" s="4" t="str">
        <x:v>Specific parts and protective properties remain proposals; ancient-material scarcity is established author direction.</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v>chassis crossbrace; legger chassis; crafting component; metal; equipment repair; equipment fabrication; legger; leger; companion replacement part; </x:v>
      </x:c>
      <x:c r="AE250" s="4" t="str">
        <x:v>Specific parts and protective properties remain proposals; ancient-material scarcity is established author direction.</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v>legger chassis belly pan; legger chassis; armor; metal; protection; dust exclusion; legger; leger; companion replacement part; </x:v>
      </x:c>
      <x:c r="AE251" s="4" t="str">
        <x:v>Specific parts and protective properties remain proposals; ancient-material scarcity is established author direction.</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v>legger attachment rail; legger chassis; crafting component; metal; equipment mounting; legger; leger; companion replacement part; </x:v>
      </x:c>
      <x:c r="AE252" s="4" t="str">
        <x:v>Specific parts and protective properties remain proposals; ancient-material scarcity is established author direction.</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v>iron joint bushing; legger mechanical parts; crafting component; metal; equipment repair; legger; leger; companion replacement part; </x:v>
      </x:c>
      <x:c r="AE253" s="4" t="str">
        <x:v>Specific parts and protective properties remain proposals; ancient-material scarcity is established author direction.</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v>replacement bearing assembly; legger mechanical parts; crafting component; mixed / unresolved; equipment repair; legger; leger; companion replacement part; </x:v>
      </x:c>
      <x:c r="AE254" s="4" t="str">
        <x:v>Specific parts and protective properties remain proposals; ancient-material scarcity is established author direction.</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v>replaceable foot contact plate; legger mechanical parts; crafting component; metal; equipment repair; traversal; legger; leger; companion replacement part; </x:v>
      </x:c>
      <x:c r="AE255" s="4" t="str">
        <x:v>Specific parts and protective properties remain proposals; ancient-material scarcity is established author direction.</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v>replacement actuator link; legger mechanical parts; crafting component; metal; equipment repair; legger; leger; companion replacement part; </x:v>
      </x:c>
      <x:c r="AE256" s="4" t="str">
        <x:v>Specific parts and protective properties remain proposals; ancient-material scarcity is established author direction.</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v>joint dust shroud; legger service parts; crafting component; mixed / unresolved; dust exclusion; protection; legger; leger; companion replacement part; </x:v>
      </x:c>
      <x:c r="AE257" s="4" t="str">
        <x:v>Specific parts and protective properties remain proposals; ancient-material scarcity is established author direction.</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v>fitted joint lubricant cup; legger service parts; container part; metal; lubrication; legger; leger; companion replacement part; </x:v>
      </x:c>
      <x:c r="AE258" s="4" t="str">
        <x:v>Specific parts and protective properties remain proposals; ancient-material scarcity is established author direction.</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v>replaceable joint-seal cartridge; legger service parts; crafting component; mixed / unresolved; sealing; equipment repair; legger; leger; companion replacement part; </x:v>
      </x:c>
      <x:c r="AE259" s="4" t="str">
        <x:v>Specific parts and protective properties remain proposals; ancient-material scarcity is established author direction.</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v>legger service fastener pack; legger service parts; service kit; metal; equipment repair; legger; leger; companion replacement part; </x:v>
      </x:c>
      <x:c r="AE260" s="4" t="str">
        <x:v>Specific parts and protective properties remain proposals; ancient-material scarcity is established author direction.</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v>chitin chassis guard; legger armor; armor; shell / chitin; protection; legger; leger; companion replacement part; </x:v>
      </x:c>
      <x:c r="AE261" s="4" t="str">
        <x:v>Specific parts and protective properties remain proposals; ancient-material scarcity is established author direction.</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v>iron chassis guard; legger armor; armor; metal; protection; legger; leger; companion replacement part; </x:v>
      </x:c>
      <x:c r="AE262" s="4" t="str">
        <x:v>Specific parts and protective properties remain proposals; ancient-material scarcity is established author direction.</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v>articulated joint guard; legger armor; armor; mixed / unresolved; protection; legger; leger; companion replacement part; </x:v>
      </x:c>
      <x:c r="AE263" s="4" t="str">
        <x:v>Specific parts and protective properties remain proposals; ancient-material scarcity is established author direction.</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v>ceramic armor backing insert; legger armor; armor; ceramic; protection; legger; leger; companion replacement part; </x:v>
      </x:c>
      <x:c r="AE264" s="4" t="str">
        <x:v>Specific parts and protective properties remain proposals; ancient-material scarcity is established author direction.</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v>ancient plasteel replacement member; legger ancient replacement; crafting component; ancient composite; equipment repair; legger; leger; companion replacement part; ancient salvage plasteel nanotube ballistic</x:v>
      </x:c>
      <x:c r="AE265" s="4" t="str">
        <x:v>Specific parts and protective properties remain proposals; ancient-material scarcity is established author direction.</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v>ancient nanocarbon armor panel; legger ancient replacement; armor; ancient composite; protection; legger; leger; companion replacement part; ancient salvage plasteel nanotube ballistic</x:v>
      </x:c>
      <x:c r="AE266" s="4" t="str">
        <x:v>Specific parts and protective properties remain proposals; ancient-material scarcity is established author direction.</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v>ancient bearing cassette; legger ancient replacement; crafting component; unresolved; equipment repair; legger; leger; companion replacement part; ancient salvage plasteel nanotube ballistic</x:v>
      </x:c>
      <x:c r="AE267" s="4" t="str">
        <x:v>Specific parts and protective properties remain proposals; ancient-material scarcity is established author direction.</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v>ancient ballistic-deflecting guard; legger ancient replacement; armor; ancient composite; protection; legger; leger; companion replacement part; ancient salvage plasteel nanotube ballistic</x:v>
      </x:c>
      <x:c r="AE268" s="4" t="str">
        <x:v>Specific parts and protective properties remain proposals; ancient-material scarcity is established author direction.</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8">
    <x:dataValidation type="list" sqref="C6:C1005">
      <x:formula1>'Taxonomy'!$B$6:$B$14</x:formula1>
    </x:dataValidation>
    <x:dataValidation type="list" sqref="W6:W1005">
      <x:formula1>'Taxonomy'!$B$15:$B$38</x:formula1>
    </x:dataValidation>
    <x:dataValidation type="list" sqref="X6:X1005">
      <x:formula1>'Taxonomy'!$B$39:$B$47</x:formula1>
    </x:dataValidation>
    <x:dataValidation type="list" sqref="Y6:Y1005">
      <x:formula1>'Taxonomy'!$B$48:$B$55</x:formula1>
    </x:dataValidation>
    <x:dataValidation type="list" sqref="Z6:Z1005">
      <x:formula1>'Taxonomy'!$B$56:$B$128</x:formula1>
    </x:dataValidation>
    <x:dataValidation type="list" sqref="AA6:AA1005">
      <x:formula1>'Taxonomy'!$B$129:$B$159</x:formula1>
    </x:dataValidation>
    <x:dataValidation type="list" sqref="AB6:AB1005">
      <x:formula1>'Taxonomy'!$B$160:$B$179</x:formula1>
    </x:dataValidation>
    <x:dataValidation type="list" sqref="AC6:AC1005">
      <x:formula1>'Taxonomy'!$B$180:$B$184</x:formula1>
    </x:dataValidation>
  </x:dataValidations>
  <x:pageMargins left="0.7" right="0.7" top="0.75" bottom="0.75" header="0.3" footer="0.3"/>
  <x:tableParts count="1">
    <x:tablePart xmlns:r="http://schemas.openxmlformats.org/officeDocument/2006/relationships" r:id="Rbbfbdf116d8a4d0e"/>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1b1f1157290d409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36c05c50b9b4462e"/>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s>
  <x:sheetData>
    <x:row r="1">
      <x:c r="A1" s="1"/>
      <x:c r="B1" s="1"/>
      <x:c r="C1" s="1"/>
      <x:c r="D1" s="1"/>
    </x:row>
    <x:row r="2">
      <x:c r="A2" s="2" t="str">
        <x:v>Item categories and roster gaps</x:v>
      </x:c>
      <x:c r="B2" s="1"/>
      <x:c r="C2" s="1"/>
      <x:c r="D2" s="1"/>
    </x:row>
    <x:row r="3">
      <x:c r="A3" s="1"/>
      <x:c r="B3" s="1"/>
      <x:c r="C3" s="1"/>
      <x:c r="D3" s="1"/>
    </x:row>
    <x:row r="4">
      <x:c r="A4" s="1"/>
      <x:c r="B4" s="1"/>
      <x:c r="C4" s="1"/>
      <x:c r="D4" s="1"/>
    </x:row>
    <x:row r="5" ht="32" customHeight="1">
      <x:c r="A5" s="8" t="str">
        <x:v>Category</x:v>
      </x:c>
      <x:c r="B5" s="8" t="str">
        <x:v>Current coverage</x:v>
      </x:c>
      <x:c r="C5" s="8" t="str">
        <x:v>Existing basis</x:v>
      </x:c>
      <x:c r="D5" s="8" t="str">
        <x:v>Later brainstorming</x:v>
      </x:c>
    </x:row>
    <x:row r="6" ht="48" customHeight="1">
      <x:c r="A6" s="9" t="str">
        <x:v>Equipment</x:v>
      </x:c>
      <x:c r="B6" s="9" t="n">
        <x:f>COUNTIF(Items!$C$6:$C$1005,A6)</x:f>
        <x:v>55</x:v>
      </x:c>
      <x:c r="C6" s="9" t="str">
        <x:v>Existing gear plus armor, carriers, rare eyewear/headwear and very rare fashion families</x:v>
      </x:c>
      <x:c r="D6" s="9" t="str">
        <x:v>New equipment concepts have no implemented slots, effects or layering rules</x:v>
      </x:c>
    </x:row>
    <x:row r="7" ht="48" customHeight="1">
      <x:c r="A7" s="4" t="str">
        <x:v>Field supplies</x:v>
      </x:c>
      <x:c r="B7" s="4" t="n">
        <x:f>COUNTIF(Items!$C$6:$C$1005,A7)</x:f>
        <x:v>5</x:v>
      </x:c>
      <x:c r="C7" s="4" t="str">
        <x:v>Pop-up camp and two battery states</x:v>
      </x:c>
      <x:c r="D7" s="4" t="str">
        <x:v>Additional supplies await later design</x:v>
      </x:c>
    </x:row>
    <x:row r="8" ht="48" customHeight="1">
      <x:c r="A8" s="9" t="str">
        <x:v>Resources</x:v>
      </x:c>
      <x:c r="B8" s="9" t="n">
        <x:f>COUNTIF(Items!$C$6:$C$1005,A8)</x:f>
        <x:v>92</x:v>
      </x:c>
      <x:c r="C8" s="9" t="str">
        <x:v>Minerals, biological resources, generic chemistry placeholders and twelve new chemical concepts</x:v>
      </x:c>
      <x:c r="D8" s="9" t="str">
        <x:v>Some concepts may merge: etchant/enzyme/molt agent, or binder/clot compound. No new canon.</x:v>
      </x:c>
    </x:row>
    <x:row r="9" ht="48" customHeight="1">
      <x:c r="A9" s="4" t="str">
        <x:v>Crafting components</x:v>
      </x:c>
      <x:c r="B9" s="4" t="n">
        <x:f>COUNTIF(Items!$C$6:$C$1005,A9)</x:f>
        <x:v>62</x:v>
      </x:c>
      <x:c r="C9" s="4" t="str">
        <x:v>Existing salvage and proposed materials, including husk-fiber paper and difficult pressed textiles</x:v>
      </x:c>
      <x:c r="D9" s="4" t="str">
        <x:v>No cloth. Hide/fur conversion yields extremely little usable material.</x:v>
      </x:c>
    </x:row>
    <x:row r="10" ht="48" customHeight="1">
      <x:c r="A10" s="9" t="str">
        <x:v>Survival contents</x:v>
      </x:c>
      <x:c r="B10" s="9" t="str">
        <x:v>Not discrete items</x:v>
      </x:c>
      <x:c r="C10" s="9" t="str">
        <x:v>Living algae in its attached personal canister</x:v>
      </x:c>
      <x:c r="D10" s="9" t="str">
        <x:v>Do not create a duplicate algae stack</x:v>
      </x:c>
    </x:row>
    <x:row r="11" ht="48" customHeight="1">
      <x:c r="A11" s="4" t="str">
        <x:v>Energy</x:v>
      </x:c>
      <x:c r="B11" s="4" t="str">
        <x:v>Not discrete items</x:v>
      </x:c>
      <x:c r="C11" s="4" t="str">
        <x:v>Arc Energy contained by charged batteries</x:v>
      </x:c>
      <x:c r="D11" s="4" t="str">
        <x:v>No separate energy inventory definition</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row>
    <x:row r="14" ht="48" customHeight="1">
      <x:c r="A14" s="9" t="str">
        <x:v>Companion gear and upgrades</x:v>
      </x:c>
      <x:c r="B14" s="9" t="str">
        <x:v>No current item definitions</x:v>
      </x:c>
      <x:c r="C14" s="9" t="str">
        <x:v>Legger has finite cargo; upgrades are a core-loop direction</x:v>
      </x:c>
      <x:c r="D14" s="9" t="str">
        <x:v>Legger is a companion, not an inventory item or crafting platform</x:v>
      </x:c>
    </x:row>
    <x:row r="15" ht="48" customHeight="1">
      <x:c r="A15" s="4" t="str">
        <x:v>Trade and quest items</x:v>
      </x:c>
      <x:c r="B15" s="4" t="str">
        <x:v>No current item definitions</x:v>
      </x:c>
      <x:c r="C15" s="4" t="str">
        <x:v>Settlement trade is part of the core loop</x:v>
      </x:c>
      <x:c r="D15" s="4" t="str">
        <x:v>Currency, prices, quest-item roster and rarity remain open</x:v>
      </x:c>
    </x:row>
    <x:row r="16" ht="70" customHeight="1">
      <x:c r="A16" s="41" t="str">
        <x:v>Containers</x:v>
      </x:c>
      <x:c r="B16" s="41" t="n">
        <x:f>COUNTIF(Items!$C$6:$C$1005,A16)</x:f>
        <x:v>17</x:v>
      </x:c>
      <x:c r="C16" s="41" t="str">
        <x:v>Primary vessels, protective carriers, transfer glassware and closures</x:v>
      </x:c>
      <x:c r="D16" s="41" t="str">
        <x:v>16 proposals; form distinguishes actual vessels from boxes, tools and the possible fixed chest</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row>
    <x:row r="19" ht="60" customHeight="1">
      <x:c r="A19" s="4" t="str">
        <x:v>Traps</x:v>
      </x:c>
      <x:c r="B19" s="4" t="n">
        <x:f>COUNTIFS(Items!$C$6:$C$1005,"Weapons",Items!$D$6:$D$1005,A19)</x:f>
        <x:v>0</x:v>
      </x:c>
      <x:c r="C19" s="4" t="str">
        <x:v>Reserved category; no named trap added</x:v>
      </x:c>
      <x:c r="D19" s="4" t="str">
        <x:v>Targets, trigger, recovery and mechanics deferred</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row>
    <x:row r="21" ht="65" customHeight="1">
      <x:c r="A21" s="4" t="str">
        <x:v>Ancient technology materials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row>
    <x:row r="26" ht="85" customHeight="1">
      <x:c r="A26" s="4" t="str">
        <x:v>Megafauna wing materials</x:v>
      </x:c>
      <x:c r="B26" s="4" t="n">
        <x:f>COUNTIF(Items!$D$6:$D$1005,"Wing material")</x:f>
        <x:v>2</x:v>
      </x:c>
      <x:c r="C26" s="4" t="str">
        <x:v>Delicate inner wings and proposed prepared shade panels</x:v>
      </x:c>
      <x:c r="D26" s="4" t="str">
        <x:v>Vertical shade uses the existing popup-camp family. Ordinary shells separately become cheap bulk resource.</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row>
    <x:row r="30" ht="85" customHeight="1">
      <x:c r="A30" s="4" t="str">
        <x:v>Everyday household</x:v>
      </x:c>
      <x:c r="B30" s="4" t="n">
        <x:f>COUNTIF(Items!$D$6:$D$1005,"Everyday household")</x:f>
        <x:v>6</x:v>
      </x:c>
      <x:c r="C30" s="4" t="str">
        <x:v>Bowls, algae spoons, dust brushes, combs, tally tablets and marking tools</x:v>
      </x:c>
      <x:c r="D30" s="4" t="str">
        <x:v>Simple shell/metal forms; no wood or ordinary cloth assumed.</x:v>
      </x:c>
    </x:row>
    <x:row r="31" ht="110" customHeight="1">
      <x:c r="A31" s="3" t="str">
        <x:v>Ceramics</x:v>
      </x:c>
      <x:c r="B31" s="3" t="n">
        <x:f>COUNTIF(Items!$AA$6:$AA$1005,"Ceramic")+COUNTIF(Items!$AA$6:$AA$1005,"Ceramic feed mixture")+COUNTIF(Items!$AA$6:$AA$1005,"Ceramic and metal")</x:f>
        <x:v>34</x:v>
      </x:c>
      <x:c r="C31" s="3" t="str">
        <x:v>28 new ceramic-specific feeds, intermediate blanks, tableware, storage, workshop tools, thermal/electrical parts, vessel fittings, ceremonial work and protection candidates</x:v>
      </x:c>
      <x:c r="D31" s="3" t="str">
        <x:v>Existing claystone, alumina, borate, insulating blanks and ceramic reagent jar remain their original entries.</x:v>
      </x:c>
    </x:row>
    <x:row r="32" ht="90" customHeight="1">
      <x:c r="A32" s="3" t="str">
        <x:v>Currency</x:v>
      </x:c>
      <x:c r="B32" s="3" t="n">
        <x:f>COUNTIF(Items!$C$6:$C$1005,"Currency")</x:f>
        <x:v>1</x:v>
      </x:c>
      <x:c r="C32" s="3" t="str">
        <x:v>Imperial Commons currency family; aliases Commons and marks</x:v>
      </x:c>
      <x:c r="D32" s="3" t="str">
        <x:v>WLD-0032 draft/proposal names the currency but does not define denominations, physical tokens or exchange ratios.</x:v>
      </x:c>
    </x:row>
    <x:row r="33" ht="110" customHeight="1">
      <x:c r="A33" s="3" t="str">
        <x:v>Special stones, fire and cooking</x:v>
      </x:c>
      <x:c r="B33" s="3" t="n">
        <x:f>COUNTIF(Items!$D$6:$D$1005,"Special stone")+COUNTIF(Items!$D$6:$D$1005,"Ignition tool")+COUNTIF(Items!$D$6:$D$1005,"Fire fuel")+COUNTIF(Items!$D$6:$D$1005,"Cooking vessel")+COUNTIF(Items!$D$6:$D$1005,"Cooking tool")+COUNTIF(Items!$D$6:$D$1005,"Fire management")+COUNTIF(Items!$D$6:$D$1005,"Mineral light")</x:f>
        <x:v>16</x:v>
      </x:c>
      <x:c r="C33" s="3" t="str">
        <x:v>Oxygen-releasing rock, glow stone, flint, ignition, chitin-char, food-heating vessels/tools and managed-fire parts</x:v>
      </x:c>
      <x:c r="D33" s="3" t="str">
        <x:v>Source fire behavior is proposal-stage. Extracted-stone behavior, fuel/air supply, cooking effects and equipment performance unresolved.</x:v>
      </x:c>
    </x:row>
    <x:row r="34" ht="105" customHeight="1">
      <x:c r="A34" s="3" t="str">
        <x:v>Faunal lubricants</x:v>
      </x:c>
      <x:c r="B34" s="3" t="n">
        <x:f>COUNTIF(Items!$D$6:$D$1005,"Lubricant intermediate")+COUNTIF(Items!$D$6:$D$1005,"Finished lubricant")</x:f>
        <x:v>8</x:v>
      </x:c>
      <x:c r="C34" s="3" t="str">
        <x:v>Two candidate processing intermediates and six finished oil/grease/film families</x:v>
      </x:c>
      <x:c r="D34" s="3" t="str">
        <x:v>Reuse existing raw joint secretion and graphite flakes. Industrial lubricant is distinct from adhesives, sealant, food and conductive gel.</x:v>
      </x:c>
    </x:row>
    <x:row r="35" ht="115" customHeight="1">
      <x:c r="A35" s="3" t="str">
        <x:v>Wind gear and machines</x:v>
      </x:c>
      <x:c r="B35" s="3" t="n">
        <x:f>COUNTIF(Items!$D$6:$D$1005,"Wind machine")+COUNTIF(Items!$D$6:$D$1005,"Wind sail material")+COUNTIF(Items!$D$6:$D$1005,"Wind traversal gear")+COUNTIF(Items!$D$6:$D$1005,"Wind sail component")+COUNTIF(Items!$D$6:$D$1005,"Dirtboard component")+COUNTIF(Items!$D$6:$D$1005,"Wind machine component")</x:f>
        <x:v>10</x:v>
      </x:c>
      <x:c r="C35" s="3" t="str">
        <x:v>Salvaged turbine; wing sail panel; collapsible handheld sail; four-wheel dirtboard; proposed frame, grip, wheels, steering, rotor and generator parts</x:v>
      </x:c>
      <x:c r="D35" s="3" t="str">
        <x:v>Existing delicate inner-wing resource gains sail use. Author-directed equipment is catalog design; assembly, movement and energy conversion remain unimplemented.</x:v>
      </x:c>
    </x:row>
    <x:row r="36" ht="115" customHeight="1">
      <x:c r="A36" s="3" t="str">
        <x:v>Legger parts and fitments</x:v>
      </x:c>
      <x:c r="B36" s="3" t="n">
        <x:f>COUNTIF(Items!$D$6:$D$1005,"Legger cargo rigging")+COUNTIF(Items!$D$6:$D$1005,"Legger chassis")+COUNTIF(Items!$D$6:$D$1005,"Legger mechanical parts")+COUNTIF(Items!$D$6:$D$1005,"Legger service parts")+COUNTIF(Items!$D$6:$D$1005,"Legger armor")+COUNTIF(Items!$D$6:$D$1005,"Legger ancient replacement")</x:f>
        <x:v>24</x:v>
      </x:c>
      <x:c r="C36" s="3" t="str">
        <x:v>24 proposals across cargo rigging, chassis, mechanical parts, service parts, armor and ancient replacements</x:v>
      </x:c>
      <x:c r="D36" s="3" t="str">
        <x:v>Legger-specific fit and physical ownership retained; ordinary iron repairs and extremely rare ancient replacements do not imply a linear upgrade ladder.</x:v>
      </x:c>
    </x:row>
  </x:sheetData>
  <x:pageMargins left="0.7" right="0.7" top="0.75" bottom="0.75" header="0.3" footer="0.3"/>
  <x:tableParts count="1">
    <x:tablePart xmlns:r="http://schemas.openxmlformats.org/officeDocument/2006/relationships" r:id="R3b0576aad39641e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v>263 design entries: 18 existing item IDs and 245 design/source concepts. Includes 24 Legger fitment and replacement proposals.</x:v>
      </x:c>
    </x:row>
    <x:row r="9" ht="38" customHeight="1">
      <x:c r="A9" s="4" t="str">
        <x:v>Variants</x:v>
      </x:c>
      <x:c r="B9" s="4" t="str">
        <x:v>All 20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 is one native filterable table, A5:AE268. Category and Subtype retain earlier detail. New fields W:AC separate item type, processing stage, origin, primary use, material, form and status. Search terms are in AD. Freeze panes keep IDs/names visible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across the workbook, or Text Filters &gt; Contains on Search terms (AD). These combine labels, stable IDs, use labels and selected synonyms. Controlled fields and Item uses support exact filters. Update Search terms when item descriptions or purposes change.</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 with a unique stable Item ID. Fill W:AC, Search terms and Classification basis. Add one Primary relationship in Item uses plus any Secondary rows, copying linked formulas from an existing row. Update item-ID validation range, counts, table ranges and search terms as the catalog grows.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Items &gt; Material family for Ceramic, Ceramic feed mixture or Ceramic and metal. Use Subtype for feedstock, household, storage, workshop, thermal, electrical, vessel-fitting, ceremonial, protection and household-fitting branches. Item uses includes primary and secondary ceramic uses.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sheetData>
  <x:pageMargins left="0.7" right="0.7" top="0.75" bottom="0.75" header="0.3" footer="0.3"/>
  <x:tableParts count="1">
    <x:tablePart xmlns:r="http://schemas.openxmlformats.org/officeDocument/2006/relationships" r:id="Rb18fc306c55d4317"/>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a2064bc84fd74a15"/>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803812decfa4bf4"/>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460f93cf9bcd4d86"/>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49061129120245c4"/>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17d3326ef41f42eb"/>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cb776a39f17488d"/>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Containers</x:v>
      </x:c>
      <x:c r="C6" s="4" t="str">
        <x:v>Broad existing inventory/design grouping. One per master item.</x:v>
      </x:c>
    </x:row>
    <x:row r="7" ht="45" customHeight="1">
      <x:c r="A7" s="4" t="str">
        <x:v>Category</x:v>
      </x:c>
      <x:c r="B7" s="4" t="str">
        <x:v>Crafting components</x:v>
      </x:c>
      <x:c r="C7" s="4" t="str">
        <x:v>Broad existing inventory/design grouping. One per master item.</x:v>
      </x:c>
    </x:row>
    <x:row r="8" ht="45" customHeight="1">
      <x:c r="A8" s="4" t="str">
        <x:v>Category</x:v>
      </x:c>
      <x:c r="B8" s="4" t="str">
        <x:v>Cultural objects</x:v>
      </x:c>
      <x:c r="C8" s="4" t="str">
        <x:v>Broad existing inventory/design grouping. One per master item.</x:v>
      </x:c>
    </x:row>
    <x:row r="9" ht="45" customHeight="1">
      <x:c r="A9" s="4" t="str">
        <x:v>Category</x:v>
      </x:c>
      <x:c r="B9" s="4" t="str">
        <x:v>Currency</x:v>
      </x:c>
      <x:c r="C9" s="4" t="str">
        <x:v>Broad existing inventory/design grouping. One per master item.</x:v>
      </x:c>
    </x:row>
    <x:row r="10" ht="45" customHeight="1">
      <x:c r="A10" s="4" t="str">
        <x:v>Category</x:v>
      </x:c>
      <x:c r="B10" s="4" t="str">
        <x:v>Equipment</x:v>
      </x:c>
      <x:c r="C10" s="4" t="str">
        <x:v>Broad existing inventory/design grouping. One per master item.</x:v>
      </x:c>
    </x:row>
    <x:row r="11" ht="45" customHeight="1">
      <x:c r="A11" s="4" t="str">
        <x:v>Category</x:v>
      </x:c>
      <x:c r="B11" s="4" t="str">
        <x:v>Everyday objects</x:v>
      </x:c>
      <x:c r="C11" s="4" t="str">
        <x:v>Broad existing inventory/design grouping. One per master item.</x:v>
      </x:c>
    </x:row>
    <x:row r="12" ht="45" customHeight="1">
      <x:c r="A12" s="4" t="str">
        <x:v>Category</x:v>
      </x:c>
      <x:c r="B12" s="4" t="str">
        <x:v>Field supplies</x:v>
      </x:c>
      <x:c r="C12" s="4" t="str">
        <x:v>Broad existing inventory/design grouping. One per master item.</x:v>
      </x:c>
    </x:row>
    <x:row r="13" ht="45" customHeight="1">
      <x:c r="A13" s="4" t="str">
        <x:v>Category</x:v>
      </x:c>
      <x:c r="B13" s="4" t="str">
        <x:v>Resources</x:v>
      </x:c>
      <x:c r="C13" s="4" t="str">
        <x:v>Broad existing inventory/design grouping. One per master item.</x:v>
      </x:c>
    </x:row>
    <x:row r="14" ht="45" customHeight="1">
      <x:c r="A14" s="4" t="str">
        <x:v>Category</x:v>
      </x:c>
      <x:c r="B14" s="4" t="str">
        <x:v>Weapons</x:v>
      </x:c>
      <x:c r="C14" s="4" t="str">
        <x:v>Broad existing inventory/design grouping. One per master item.</x:v>
      </x:c>
    </x:row>
    <x:row r="15" ht="45" customHeight="1">
      <x:c r="A15" s="4" t="str">
        <x:v>Item type</x:v>
      </x:c>
      <x:c r="B15" s="4" t="str">
        <x:v>Armor</x:v>
      </x:c>
      <x:c r="C15" s="4" t="str">
        <x:v>What the object is, independent of material, culture and use.</x:v>
      </x:c>
    </x:row>
    <x:row r="16" ht="45" customHeight="1">
      <x:c r="A16" s="4" t="str">
        <x:v>Item type</x:v>
      </x:c>
      <x:c r="B16" s="4" t="str">
        <x:v>Carrier</x:v>
      </x:c>
      <x:c r="C16" s="4" t="str">
        <x:v>What the object is, independent of material, culture and use.</x:v>
      </x:c>
    </x:row>
    <x:row r="17" ht="45" customHeight="1">
      <x:c r="A17" s="4" t="str">
        <x:v>Item type</x:v>
      </x:c>
      <x:c r="B17" s="4" t="str">
        <x:v>Chemical material</x:v>
      </x:c>
      <x:c r="C17" s="4" t="str">
        <x:v>What the object is, independent of material, culture and use.</x:v>
      </x:c>
    </x:row>
    <x:row r="18" ht="45" customHeight="1">
      <x:c r="A18" s="4" t="str">
        <x:v>Item type</x:v>
      </x:c>
      <x:c r="B18" s="4" t="str">
        <x:v>Container</x:v>
      </x:c>
      <x:c r="C18" s="4" t="str">
        <x:v>What the object is, independent of material, culture and use.</x:v>
      </x:c>
    </x:row>
    <x:row r="19" ht="45" customHeight="1">
      <x:c r="A19" s="4" t="str">
        <x:v>Item type</x:v>
      </x:c>
      <x:c r="B19" s="4" t="str">
        <x:v>Container part</x:v>
      </x:c>
      <x:c r="C19" s="4" t="str">
        <x:v>What the object is, independent of material, culture and use.</x:v>
      </x:c>
    </x:row>
    <x:row r="20" ht="45" customHeight="1">
      <x:c r="A20" s="4" t="str">
        <x:v>Item type</x:v>
      </x:c>
      <x:c r="B20" s="4" t="str">
        <x:v>Crafting component</x:v>
      </x:c>
      <x:c r="C20" s="4" t="str">
        <x:v>What the object is, independent of material, culture and use.</x:v>
      </x:c>
    </x:row>
    <x:row r="21" ht="45" customHeight="1">
      <x:c r="A21" s="4" t="str">
        <x:v>Item type</x:v>
      </x:c>
      <x:c r="B21" s="4" t="str">
        <x:v>Cultural object</x:v>
      </x:c>
      <x:c r="C21" s="4" t="str">
        <x:v>What the object is, independent of material, culture and use.</x:v>
      </x:c>
    </x:row>
    <x:row r="22" ht="45" customHeight="1">
      <x:c r="A22" s="4" t="str">
        <x:v>Item type</x:v>
      </x:c>
      <x:c r="B22" s="4" t="str">
        <x:v>Currency</x:v>
      </x:c>
      <x:c r="C22" s="4" t="str">
        <x:v>What the object is, independent of material, culture and use.</x:v>
      </x:c>
    </x:row>
    <x:row r="23" ht="45" customHeight="1">
      <x:c r="A23" s="4" t="str">
        <x:v>Item type</x:v>
      </x:c>
      <x:c r="B23" s="4" t="str">
        <x:v>Document</x:v>
      </x:c>
      <x:c r="C23" s="4" t="str">
        <x:v>What the object is, independent of material, culture and use.</x:v>
      </x:c>
    </x:row>
    <x:row r="24" ht="45" customHeight="1">
      <x:c r="A24" s="4" t="str">
        <x:v>Item type</x:v>
      </x:c>
      <x:c r="B24" s="4" t="str">
        <x:v>Energy storage</x:v>
      </x:c>
      <x:c r="C24" s="4" t="str">
        <x:v>What the object is, independent of material, culture and use.</x:v>
      </x:c>
    </x:row>
    <x:row r="25" ht="45" customHeight="1">
      <x:c r="A25" s="4" t="str">
        <x:v>Item type</x:v>
      </x:c>
      <x:c r="B25" s="4" t="str">
        <x:v>Food material</x:v>
      </x:c>
      <x:c r="C25" s="4" t="str">
        <x:v>What the object is, independent of material, culture and use.</x:v>
      </x:c>
    </x:row>
    <x:row r="26" ht="45" customHeight="1">
      <x:c r="A26" s="4" t="str">
        <x:v>Item type</x:v>
      </x:c>
      <x:c r="B26" s="4" t="str">
        <x:v>Gem material</x:v>
      </x:c>
      <x:c r="C26" s="4" t="str">
        <x:v>What the object is, independent of material, culture and use.</x:v>
      </x:c>
    </x:row>
    <x:row r="27" ht="45" customHeight="1">
      <x:c r="A27" s="4" t="str">
        <x:v>Item type</x:v>
      </x:c>
      <x:c r="B27" s="4" t="str">
        <x:v>Household utensil</x:v>
      </x:c>
      <x:c r="C27" s="4" t="str">
        <x:v>What the object is, independent of material, culture and use.</x:v>
      </x:c>
    </x:row>
    <x:row r="28" ht="45" customHeight="1">
      <x:c r="A28" s="4" t="str">
        <x:v>Item type</x:v>
      </x:c>
      <x:c r="B28" s="4" t="str">
        <x:v>Machine</x:v>
      </x:c>
      <x:c r="C28" s="4" t="str">
        <x:v>What the object is, independent of material, culture and use.</x:v>
      </x:c>
    </x:row>
    <x:row r="29" ht="45" customHeight="1">
      <x:c r="A29" s="4" t="str">
        <x:v>Item type</x:v>
      </x:c>
      <x:c r="B29" s="4" t="str">
        <x:v>Musical instrument</x:v>
      </x:c>
      <x:c r="C29" s="4" t="str">
        <x:v>What the object is, independent of material, culture and use.</x:v>
      </x:c>
    </x:row>
    <x:row r="30" ht="45" customHeight="1">
      <x:c r="A30" s="4" t="str">
        <x:v>Item type</x:v>
      </x:c>
      <x:c r="B30" s="4" t="str">
        <x:v>Processed material</x:v>
      </x:c>
      <x:c r="C30" s="4" t="str">
        <x:v>What the object is, independent of material, culture and use.</x:v>
      </x:c>
    </x:row>
    <x:row r="31" ht="45" customHeight="1">
      <x:c r="A31" s="4" t="str">
        <x:v>Item type</x:v>
      </x:c>
      <x:c r="B31" s="4" t="str">
        <x:v>Raw material</x:v>
      </x:c>
      <x:c r="C31" s="4" t="str">
        <x:v>What the object is, independent of material, culture and use.</x:v>
      </x:c>
    </x:row>
    <x:row r="32" ht="45" customHeight="1">
      <x:c r="A32" s="4" t="str">
        <x:v>Item type</x:v>
      </x:c>
      <x:c r="B32" s="4" t="str">
        <x:v>Service kit</x:v>
      </x:c>
      <x:c r="C32" s="4" t="str">
        <x:v>What the object is, independent of material, culture and use.</x:v>
      </x:c>
    </x:row>
    <x:row r="33" ht="45" customHeight="1">
      <x:c r="A33" s="4" t="str">
        <x:v>Item type</x:v>
      </x:c>
      <x:c r="B33" s="4" t="str">
        <x:v>Shelter kit</x:v>
      </x:c>
      <x:c r="C33" s="4" t="str">
        <x:v>What the object is, independent of material, culture and use.</x:v>
      </x:c>
    </x:row>
    <x:row r="34" ht="45" customHeight="1">
      <x:c r="A34" s="4" t="str">
        <x:v>Item type</x:v>
      </x:c>
      <x:c r="B34" s="4" t="str">
        <x:v>Shield</x:v>
      </x:c>
      <x:c r="C34" s="4" t="str">
        <x:v>What the object is, independent of material, culture and use.</x:v>
      </x:c>
    </x:row>
    <x:row r="35" ht="45" customHeight="1">
      <x:c r="A35" s="4" t="str">
        <x:v>Item type</x:v>
      </x:c>
      <x:c r="B35" s="4" t="str">
        <x:v>Tool</x:v>
      </x:c>
      <x:c r="C35" s="4" t="str">
        <x:v>What the object is, independent of material, culture and use.</x:v>
      </x:c>
    </x:row>
    <x:row r="36" ht="45" customHeight="1">
      <x:c r="A36" s="4" t="str">
        <x:v>Item type</x:v>
      </x:c>
      <x:c r="B36" s="4" t="str">
        <x:v>Traversal device</x:v>
      </x:c>
      <x:c r="C36" s="4" t="str">
        <x:v>What the object is, independent of material, culture and use.</x:v>
      </x:c>
    </x:row>
    <x:row r="37" ht="45" customHeight="1">
      <x:c r="A37" s="4" t="str">
        <x:v>Item type</x:v>
      </x:c>
      <x:c r="B37" s="4" t="str">
        <x:v>Trip hazard</x:v>
      </x:c>
      <x:c r="C37" s="4" t="str">
        <x:v>What the object is, independent of material, culture and use.</x:v>
      </x:c>
    </x:row>
    <x:row r="38" ht="45" customHeight="1">
      <x:c r="A38" s="4" t="str">
        <x:v>Item type</x:v>
      </x:c>
      <x:c r="B38" s="4" t="str">
        <x:v>Wearable</x:v>
      </x:c>
      <x:c r="C38" s="4" t="str">
        <x:v>What the object is, independent of material, culture and use.</x:v>
      </x:c>
    </x:row>
    <x:row r="39" ht="45" customHeight="1">
      <x:c r="A39" s="4" t="str">
        <x:v>Processing stage</x:v>
      </x:c>
      <x:c r="B39" s="4" t="str">
        <x:v>Ancient manufactured</x:v>
      </x:c>
      <x:c r="C39" s="4" t="str">
        <x:v>State of the listed item, not its next recipe. Stage unresolved means raw-versus-processed is undecided.</x:v>
      </x:c>
    </x:row>
    <x:row r="40" ht="45" customHeight="1">
      <x:c r="A40" s="4" t="str">
        <x:v>Processing stage</x:v>
      </x:c>
      <x:c r="B40" s="4" t="str">
        <x:v>Extracted material</x:v>
      </x:c>
      <x:c r="C40" s="4" t="str">
        <x:v>State of the listed item, not its next recipe. Stage unresolved means raw-versus-processed is undecided.</x:v>
      </x:c>
    </x:row>
    <x:row r="41" ht="45" customHeight="1">
      <x:c r="A41" s="4" t="str">
        <x:v>Processing stage</x:v>
      </x:c>
      <x:c r="B41" s="4" t="str">
        <x:v>Finished item</x:v>
      </x:c>
      <x:c r="C41" s="4" t="str">
        <x:v>State of the listed item, not its next recipe. Stage unresolved means raw-versus-processed is undecided.</x:v>
      </x:c>
    </x:row>
    <x:row r="42" ht="45" customHeight="1">
      <x:c r="A42" s="4" t="str">
        <x:v>Processing stage</x:v>
      </x:c>
      <x:c r="B42" s="4" t="str">
        <x:v>Processed intermediate</x:v>
      </x:c>
      <x:c r="C42" s="4" t="str">
        <x:v>State of the listed item, not its next recipe. Stage unresolved means raw-versus-processed is undecided.</x:v>
      </x:c>
    </x:row>
    <x:row r="43" ht="45" customHeight="1">
      <x:c r="A43" s="4" t="str">
        <x:v>Processing stage</x:v>
      </x:c>
      <x:c r="B43" s="4" t="str">
        <x:v>Raw</x:v>
      </x:c>
      <x:c r="C43" s="4" t="str">
        <x:v>State of the listed item, not its next recipe. Stage unresolved means raw-versus-processed is undecided.</x:v>
      </x:c>
    </x:row>
    <x:row r="44" ht="45" customHeight="1">
      <x:c r="A44" s="4" t="str">
        <x:v>Processing stage</x:v>
      </x:c>
      <x:c r="B44" s="4" t="str">
        <x:v>Recovered part</x:v>
      </x:c>
      <x:c r="C44" s="4" t="str">
        <x:v>State of the listed item, not its next recipe. Stage unresolved means raw-versus-processed is undecided.</x:v>
      </x:c>
    </x:row>
    <x:row r="45" ht="45" customHeight="1">
      <x:c r="A45" s="4" t="str">
        <x:v>Processing stage</x:v>
      </x:c>
      <x:c r="B45" s="4" t="str">
        <x:v>Unfired intermediate</x:v>
      </x:c>
      <x:c r="C45" s="4" t="str">
        <x:v>State of the listed item, not its next recipe. Stage unresolved means raw-versus-processed is undecided.</x:v>
      </x:c>
    </x:row>
    <x:row r="46" ht="45" customHeight="1">
      <x:c r="A46" s="4" t="str">
        <x:v>Processing stage</x:v>
      </x:c>
      <x:c r="B46" s="4" t="str">
        <x:v>Unresolved</x:v>
      </x:c>
      <x:c r="C46" s="4" t="str">
        <x:v>State of the listed item, not its next recipe. Stage unresolved means raw-versus-processed is undecided.</x:v>
      </x:c>
    </x:row>
    <x:row r="47" ht="45" customHeight="1">
      <x:c r="A47" s="4" t="str">
        <x:v>Processing stage</x:v>
      </x:c>
      <x:c r="B47" s="4" t="str">
        <x:v>Unworked metal</x:v>
      </x:c>
      <x:c r="C47" s="4" t="str">
        <x:v>State of the listed item, not its next recipe. Stage unresolved means raw-versus-processed is undecided.</x:v>
      </x:c>
    </x:row>
    <x:row r="48" ht="45" customHeight="1">
      <x:c r="A48" s="4" t="str">
        <x:v>Origin family</x:v>
      </x:c>
      <x:c r="B48" s="4" t="str">
        <x:v>Ancient technology</x:v>
      </x:c>
      <x:c r="C48" s="4" t="str">
        <x:v>Broad provenance. Manufactured / unresolved does not identify raw ingredients.</x:v>
      </x:c>
    </x:row>
    <x:row r="49" ht="45" customHeight="1">
      <x:c r="A49" s="4" t="str">
        <x:v>Origin family</x:v>
      </x:c>
      <x:c r="B49" s="4" t="str">
        <x:v>Atmospheric</x:v>
      </x:c>
      <x:c r="C49" s="4" t="str">
        <x:v>Broad provenance. Manufactured / unresolved does not identify raw ingredients.</x:v>
      </x:c>
    </x:row>
    <x:row r="50" ht="45" customHeight="1">
      <x:c r="A50" s="4" t="str">
        <x:v>Origin family</x:v>
      </x:c>
      <x:c r="B50" s="4" t="str">
        <x:v>Fauna</x:v>
      </x:c>
      <x:c r="C50" s="4" t="str">
        <x:v>Broad provenance. Manufactured / unresolved does not identify raw ingredients.</x:v>
      </x:c>
    </x:row>
    <x:row r="51" ht="45" customHeight="1">
      <x:c r="A51" s="4" t="str">
        <x:v>Origin family</x:v>
      </x:c>
      <x:c r="B51" s="4" t="str">
        <x:v>Geological</x:v>
      </x:c>
      <x:c r="C51" s="4" t="str">
        <x:v>Broad provenance. Manufactured / unresolved does not identify raw ingredients.</x:v>
      </x:c>
    </x:row>
    <x:row r="52" ht="45" customHeight="1">
      <x:c r="A52" s="4" t="str">
        <x:v>Origin family</x:v>
      </x:c>
      <x:c r="B52" s="4" t="str">
        <x:v>Living culture</x:v>
      </x:c>
      <x:c r="C52" s="4" t="str">
        <x:v>Broad provenance. Manufactured / unresolved does not identify raw ingredients.</x:v>
      </x:c>
    </x:row>
    <x:row r="53" ht="45" customHeight="1">
      <x:c r="A53" s="4" t="str">
        <x:v>Origin family</x:v>
      </x:c>
      <x:c r="B53" s="4" t="str">
        <x:v>Manufactured / unresolved</x:v>
      </x:c>
      <x:c r="C53" s="4" t="str">
        <x:v>Broad provenance. Manufactured / unresolved does not identify raw ingredients.</x:v>
      </x:c>
    </x:row>
    <x:row r="54" ht="45" customHeight="1">
      <x:c r="A54" s="4" t="str">
        <x:v>Origin family</x:v>
      </x:c>
      <x:c r="B54" s="4" t="str">
        <x:v>Recovered machinery</x:v>
      </x:c>
      <x:c r="C54" s="4" t="str">
        <x:v>Broad provenance. Manufactured / unresolved does not identify raw ingredients.</x:v>
      </x:c>
    </x:row>
    <x:row r="55" ht="45" customHeight="1">
      <x:c r="A55" s="4" t="str">
        <x:v>Origin family</x:v>
      </x:c>
      <x:c r="B55" s="4" t="str">
        <x:v>Unresolved</x:v>
      </x:c>
      <x:c r="C55" s="4" t="str">
        <x:v>Broad provenance. Manufactured / unresolved does not identify raw ingredients.</x:v>
      </x:c>
    </x:row>
    <x:row r="56" ht="45" customHeight="1">
      <x:c r="A56" s="4" t="str">
        <x:v>Primary use</x:v>
      </x:c>
      <x:c r="B56" s="4" t="str">
        <x:v>Area denial</x:v>
      </x:c>
      <x:c r="C56" s="4" t="str">
        <x:v>Main catalog purpose. Item uses lists additional purposes as separate filterable rows.</x:v>
      </x:c>
    </x:row>
    <x:row r="57" ht="45" customHeight="1">
      <x:c r="A57" s="4" t="str">
        <x:v>Primary use</x:v>
      </x:c>
      <x:c r="B57" s="4" t="str">
        <x:v>Atmospheric support</x:v>
      </x:c>
      <x:c r="C57" s="4" t="str">
        <x:v>Main catalog purpose. Item uses lists additional purposes as separate filterable rows.</x:v>
      </x:c>
    </x:row>
    <x:row r="58" ht="45" customHeight="1">
      <x:c r="A58" s="4" t="str">
        <x:v>Primary use</x:v>
      </x:c>
      <x:c r="B58" s="4" t="str">
        <x:v>Binding and construction</x:v>
      </x:c>
      <x:c r="C58" s="4" t="str">
        <x:v>Main catalog purpose. Item uses lists additional purposes as separate filterable rows.</x:v>
      </x:c>
    </x:row>
    <x:row r="59" ht="45" customHeight="1">
      <x:c r="A59" s="4" t="str">
        <x:v>Primary use</x:v>
      </x:c>
      <x:c r="B59" s="4" t="str">
        <x:v>Camp rest</x:v>
      </x:c>
      <x:c r="C59" s="4" t="str">
        <x:v>Main catalog purpose. Item uses lists additional purposes as separate filterable rows.</x:v>
      </x:c>
    </x:row>
    <x:row r="60" ht="45" customHeight="1">
      <x:c r="A60" s="4" t="str">
        <x:v>Primary use</x:v>
      </x:c>
      <x:c r="B60" s="4" t="str">
        <x:v>Cargo organization</x:v>
      </x:c>
      <x:c r="C60" s="4" t="str">
        <x:v>Main catalog purpose. Item uses lists additional purposes as separate filterable rows.</x:v>
      </x:c>
    </x:row>
    <x:row r="61" ht="45" customHeight="1">
      <x:c r="A61" s="4" t="str">
        <x:v>Primary use</x:v>
      </x:c>
      <x:c r="B61" s="4" t="str">
        <x:v>Ceremony</x:v>
      </x:c>
      <x:c r="C61" s="4" t="str">
        <x:v>Main catalog purpose. Item uses lists additional purposes as separate filterable rows.</x:v>
      </x:c>
    </x:row>
    <x:row r="62" ht="45" customHeight="1">
      <x:c r="A62" s="4" t="str">
        <x:v>Primary use</x:v>
      </x:c>
      <x:c r="B62" s="4" t="str">
        <x:v>Chemical processing</x:v>
      </x:c>
      <x:c r="C62" s="4" t="str">
        <x:v>Main catalog purpose. Item uses lists additional purposes as separate filterable rows.</x:v>
      </x:c>
    </x:row>
    <x:row r="63" ht="45" customHeight="1">
      <x:c r="A63" s="4" t="str">
        <x:v>Primary use</x:v>
      </x:c>
      <x:c r="B63" s="4" t="str">
        <x:v>Civic identification</x:v>
      </x:c>
      <x:c r="C63" s="4" t="str">
        <x:v>Main catalog purpose. Item uses lists additional purposes as separate filterable rows.</x:v>
      </x:c>
    </x:row>
    <x:row r="64" ht="45" customHeight="1">
      <x:c r="A64" s="4" t="str">
        <x:v>Primary use</x:v>
      </x:c>
      <x:c r="B64" s="4" t="str">
        <x:v>Civic recognition</x:v>
      </x:c>
      <x:c r="C64" s="4" t="str">
        <x:v>Main catalog purpose. Item uses lists additional purposes as separate filterable rows.</x:v>
      </x:c>
    </x:row>
    <x:row r="65" ht="45" customHeight="1">
      <x:c r="A65" s="4" t="str">
        <x:v>Primary use</x:v>
      </x:c>
      <x:c r="B65" s="4" t="str">
        <x:v>Cleaning</x:v>
      </x:c>
      <x:c r="C65" s="4" t="str">
        <x:v>Main catalog purpose. Item uses lists additional purposes as separate filterable rows.</x:v>
      </x:c>
    </x:row>
    <x:row r="66" ht="45" customHeight="1">
      <x:c r="A66" s="4" t="str">
        <x:v>Primary use</x:v>
      </x:c>
      <x:c r="B66" s="4" t="str">
        <x:v>Clothing</x:v>
      </x:c>
      <x:c r="C66" s="4" t="str">
        <x:v>Main catalog purpose. Item uses lists additional purposes as separate filterable rows.</x:v>
      </x:c>
    </x:row>
    <x:row r="67" ht="45" customHeight="1">
      <x:c r="A67" s="4" t="str">
        <x:v>Primary use</x:v>
      </x:c>
      <x:c r="B67" s="4" t="str">
        <x:v>Clothing fabrication</x:v>
      </x:c>
      <x:c r="C67" s="4" t="str">
        <x:v>Main catalog purpose. Item uses lists additional purposes as separate filterable rows.</x:v>
      </x:c>
    </x:row>
    <x:row r="68" ht="45" customHeight="1">
      <x:c r="A68" s="4" t="str">
        <x:v>Primary use</x:v>
      </x:c>
      <x:c r="B68" s="4" t="str">
        <x:v>Cooking</x:v>
      </x:c>
      <x:c r="C68" s="4" t="str">
        <x:v>Main catalog purpose. Item uses lists additional purposes as separate filterable rows.</x:v>
      </x:c>
    </x:row>
    <x:row r="69" ht="45" customHeight="1">
      <x:c r="A69" s="4" t="str">
        <x:v>Primary use</x:v>
      </x:c>
      <x:c r="B69" s="4" t="str">
        <x:v>Culture support</x:v>
      </x:c>
      <x:c r="C69" s="4" t="str">
        <x:v>Main catalog purpose. Item uses lists additional purposes as separate filterable rows.</x:v>
      </x:c>
    </x:row>
    <x:row r="70" ht="45" customHeight="1">
      <x:c r="A70" s="4" t="str">
        <x:v>Primary use</x:v>
      </x:c>
      <x:c r="B70" s="4" t="str">
        <x:v>Decoration</x:v>
      </x:c>
      <x:c r="C70" s="4" t="str">
        <x:v>Main catalog purpose. Item uses lists additional purposes as separate filterable rows.</x:v>
      </x:c>
    </x:row>
    <x:row r="71" ht="45" customHeight="1">
      <x:c r="A71" s="4" t="str">
        <x:v>Primary use</x:v>
      </x:c>
      <x:c r="B71" s="4" t="str">
        <x:v>Devotion</x:v>
      </x:c>
      <x:c r="C71" s="4" t="str">
        <x:v>Main catalog purpose. Item uses lists additional purposes as separate filterable rows.</x:v>
      </x:c>
    </x:row>
    <x:row r="72" ht="45" customHeight="1">
      <x:c r="A72" s="4" t="str">
        <x:v>Primary use</x:v>
      </x:c>
      <x:c r="B72" s="4" t="str">
        <x:v>Dust exclusion</x:v>
      </x:c>
      <x:c r="C72" s="4" t="str">
        <x:v>Main catalog purpose. Item uses lists additional purposes as separate filterable rows.</x:v>
      </x:c>
    </x:row>
    <x:row r="73" ht="45" customHeight="1">
      <x:c r="A73" s="4" t="str">
        <x:v>Primary use</x:v>
      </x:c>
      <x:c r="B73" s="4" t="str">
        <x:v>Electrical conduction</x:v>
      </x:c>
      <x:c r="C73" s="4" t="str">
        <x:v>Main catalog purpose. Item uses lists additional purposes as separate filterable rows.</x:v>
      </x:c>
    </x:row>
    <x:row r="74" ht="45" customHeight="1">
      <x:c r="A74" s="4" t="str">
        <x:v>Primary use</x:v>
      </x:c>
      <x:c r="B74" s="4" t="str">
        <x:v>Electrical insulation</x:v>
      </x:c>
      <x:c r="C74" s="4" t="str">
        <x:v>Main catalog purpose. Item uses lists additional purposes as separate filterable rows.</x:v>
      </x:c>
    </x:row>
    <x:row r="75" ht="45" customHeight="1">
      <x:c r="A75" s="4" t="str">
        <x:v>Primary use</x:v>
      </x:c>
      <x:c r="B75" s="4" t="str">
        <x:v>Electrical work</x:v>
      </x:c>
      <x:c r="C75" s="4" t="str">
        <x:v>Main catalog purpose. Item uses lists additional purposes as separate filterable rows.</x:v>
      </x:c>
    </x:row>
    <x:row r="76" ht="45" customHeight="1">
      <x:c r="A76" s="4" t="str">
        <x:v>Primary use</x:v>
      </x:c>
      <x:c r="B76" s="4" t="str">
        <x:v>Energy processing</x:v>
      </x:c>
      <x:c r="C76" s="4" t="str">
        <x:v>Main catalog purpose. Item uses lists additional purposes as separate filterable rows.</x:v>
      </x:c>
    </x:row>
    <x:row r="77" ht="45" customHeight="1">
      <x:c r="A77" s="4" t="str">
        <x:v>Primary use</x:v>
      </x:c>
      <x:c r="B77" s="4" t="str">
        <x:v>Energy storage</x:v>
      </x:c>
      <x:c r="C77" s="4" t="str">
        <x:v>Main catalog purpose. Item uses lists additional purposes as separate filterable rows.</x:v>
      </x:c>
    </x:row>
    <x:row r="78" ht="45" customHeight="1">
      <x:c r="A78" s="4" t="str">
        <x:v>Primary use</x:v>
      </x:c>
      <x:c r="B78" s="4" t="str">
        <x:v>Equipment fabrication</x:v>
      </x:c>
      <x:c r="C78" s="4" t="str">
        <x:v>Main catalog purpose. Item uses lists additional purposes as separate filterable rows.</x:v>
      </x:c>
    </x:row>
    <x:row r="79" ht="45" customHeight="1">
      <x:c r="A79" s="4" t="str">
        <x:v>Primary use</x:v>
      </x:c>
      <x:c r="B79" s="4" t="str">
        <x:v>Equipment mounting</x:v>
      </x:c>
      <x:c r="C79" s="4" t="str">
        <x:v>Main catalog purpose. Item uses lists additional purposes as separate filterable rows.</x:v>
      </x:c>
    </x:row>
    <x:row r="80" ht="45" customHeight="1">
      <x:c r="A80" s="4" t="str">
        <x:v>Primary use</x:v>
      </x:c>
      <x:c r="B80" s="4" t="str">
        <x:v>Equipment repair</x:v>
      </x:c>
      <x:c r="C80" s="4" t="str">
        <x:v>Main catalog purpose. Item uses lists additional purposes as separate filterable rows.</x:v>
      </x:c>
    </x:row>
    <x:row r="81" ht="45" customHeight="1">
      <x:c r="A81" s="4" t="str">
        <x:v>Primary use</x:v>
      </x:c>
      <x:c r="B81" s="4" t="str">
        <x:v>Excavation</x:v>
      </x:c>
      <x:c r="C81" s="4" t="str">
        <x:v>Main catalog purpose. Item uses lists additional purposes as separate filterable rows.</x:v>
      </x:c>
    </x:row>
    <x:row r="82" ht="45" customHeight="1">
      <x:c r="A82" s="4" t="str">
        <x:v>Primary use</x:v>
      </x:c>
      <x:c r="B82" s="4" t="str">
        <x:v>Fabrication</x:v>
      </x:c>
      <x:c r="C82" s="4" t="str">
        <x:v>Main catalog purpose. Item uses lists additional purposes as separate filterable rows.</x:v>
      </x:c>
    </x:row>
    <x:row r="83" ht="45" customHeight="1">
      <x:c r="A83" s="4" t="str">
        <x:v>Primary use</x:v>
      </x:c>
      <x:c r="B83" s="4" t="str">
        <x:v>Fashion</x:v>
      </x:c>
      <x:c r="C83" s="4" t="str">
        <x:v>Main catalog purpose. Item uses lists additional purposes as separate filterable rows.</x:v>
      </x:c>
    </x:row>
    <x:row r="84" ht="45" customHeight="1">
      <x:c r="A84" s="4" t="str">
        <x:v>Primary use</x:v>
      </x:c>
      <x:c r="B84" s="4" t="str">
        <x:v>Fauna interaction</x:v>
      </x:c>
      <x:c r="C84" s="4" t="str">
        <x:v>Main catalog purpose. Item uses lists additional purposes as separate filterable rows.</x:v>
      </x:c>
    </x:row>
    <x:row r="85" ht="45" customHeight="1">
      <x:c r="A85" s="4" t="str">
        <x:v>Primary use</x:v>
      </x:c>
      <x:c r="B85" s="4" t="str">
        <x:v>Fiber processing</x:v>
      </x:c>
      <x:c r="C85" s="4" t="str">
        <x:v>Main catalog purpose. Item uses lists additional purposes as separate filterable rows.</x:v>
      </x:c>
    </x:row>
    <x:row r="86" ht="45" customHeight="1">
      <x:c r="A86" s="4" t="str">
        <x:v>Primary use</x:v>
      </x:c>
      <x:c r="B86" s="4" t="str">
        <x:v>Fire management</x:v>
      </x:c>
      <x:c r="C86" s="4" t="str">
        <x:v>Main catalog purpose. Item uses lists additional purposes as separate filterable rows.</x:v>
      </x:c>
    </x:row>
    <x:row r="87" ht="45" customHeight="1">
      <x:c r="A87" s="4" t="str">
        <x:v>Primary use</x:v>
      </x:c>
      <x:c r="B87" s="4" t="str">
        <x:v>Food service</x:v>
      </x:c>
      <x:c r="C87" s="4" t="str">
        <x:v>Main catalog purpose. Item uses lists additional purposes as separate filterable rows.</x:v>
      </x:c>
    </x:row>
    <x:row r="88" ht="45" customHeight="1">
      <x:c r="A88" s="4" t="str">
        <x:v>Primary use</x:v>
      </x:c>
      <x:c r="B88" s="4" t="str">
        <x:v>Fuel</x:v>
      </x:c>
      <x:c r="C88" s="4" t="str">
        <x:v>Main catalog purpose. Item uses lists additional purposes as separate filterable rows.</x:v>
      </x:c>
    </x:row>
    <x:row r="89" ht="45" customHeight="1">
      <x:c r="A89" s="4" t="str">
        <x:v>Primary use</x:v>
      </x:c>
      <x:c r="B89" s="4" t="str">
        <x:v>Glass and ceramics</x:v>
      </x:c>
      <x:c r="C89" s="4" t="str">
        <x:v>Main catalog purpose. Item uses lists additional purposes as separate filterable rows.</x:v>
      </x:c>
    </x:row>
    <x:row r="90" ht="45" customHeight="1">
      <x:c r="A90" s="4" t="str">
        <x:v>Primary use</x:v>
      </x:c>
      <x:c r="B90" s="4" t="str">
        <x:v>Grooming</x:v>
      </x:c>
      <x:c r="C90" s="4" t="str">
        <x:v>Main catalog purpose. Item uses lists additional purposes as separate filterable rows.</x:v>
      </x:c>
    </x:row>
    <x:row r="91" ht="45" customHeight="1">
      <x:c r="A91" s="4" t="str">
        <x:v>Primary use</x:v>
      </x:c>
      <x:c r="B91" s="4" t="str">
        <x:v>Ignition</x:v>
      </x:c>
      <x:c r="C91" s="4" t="str">
        <x:v>Main catalog purpose. Item uses lists additional purposes as separate filterable rows.</x:v>
      </x:c>
    </x:row>
    <x:row r="92" ht="45" customHeight="1">
      <x:c r="A92" s="4" t="str">
        <x:v>Primary use</x:v>
      </x:c>
      <x:c r="B92" s="4" t="str">
        <x:v>Illumination</x:v>
      </x:c>
      <x:c r="C92" s="4" t="str">
        <x:v>Main catalog purpose. Item uses lists additional purposes as separate filterable rows.</x:v>
      </x:c>
    </x:row>
    <x:row r="93" ht="45" customHeight="1">
      <x:c r="A93" s="4" t="str">
        <x:v>Primary use</x:v>
      </x:c>
      <x:c r="B93" s="4" t="str">
        <x:v>Injury treatment</x:v>
      </x:c>
      <x:c r="C93" s="4" t="str">
        <x:v>Main catalog purpose. Item uses lists additional purposes as separate filterable rows.</x:v>
      </x:c>
    </x:row>
    <x:row r="94" ht="45" customHeight="1">
      <x:c r="A94" s="4" t="str">
        <x:v>Primary use</x:v>
      </x:c>
      <x:c r="B94" s="4" t="str">
        <x:v>Inspection</x:v>
      </x:c>
      <x:c r="C94" s="4" t="str">
        <x:v>Main catalog purpose. Item uses lists additional purposes as separate filterable rows.</x:v>
      </x:c>
    </x:row>
    <x:row r="95" ht="45" customHeight="1">
      <x:c r="A95" s="4" t="str">
        <x:v>Primary use</x:v>
      </x:c>
      <x:c r="B95" s="4" t="str">
        <x:v>Keepsake storage</x:v>
      </x:c>
      <x:c r="C95" s="4" t="str">
        <x:v>Main catalog purpose. Item uses lists additional purposes as separate filterable rows.</x:v>
      </x:c>
    </x:row>
    <x:row r="96" ht="45" customHeight="1">
      <x:c r="A96" s="4" t="str">
        <x:v>Primary use</x:v>
      </x:c>
      <x:c r="B96" s="4" t="str">
        <x:v>Liquid and bulk containment</x:v>
      </x:c>
      <x:c r="C96" s="4" t="str">
        <x:v>Main catalog purpose. Item uses lists additional purposes as separate filterable rows.</x:v>
      </x:c>
    </x:row>
    <x:row r="97" ht="45" customHeight="1">
      <x:c r="A97" s="4" t="str">
        <x:v>Primary use</x:v>
      </x:c>
      <x:c r="B97" s="4" t="str">
        <x:v>Lubrication</x:v>
      </x:c>
      <x:c r="C97" s="4" t="str">
        <x:v>Main catalog purpose. Item uses lists additional purposes as separate filterable rows.</x:v>
      </x:c>
    </x:row>
    <x:row r="98" ht="45" customHeight="1">
      <x:c r="A98" s="4" t="str">
        <x:v>Primary use</x:v>
      </x:c>
      <x:c r="B98" s="4" t="str">
        <x:v>Machinery drive</x:v>
      </x:c>
      <x:c r="C98" s="4" t="str">
        <x:v>Main catalog purpose. Item uses lists additional purposes as separate filterable rows.</x:v>
      </x:c>
    </x:row>
    <x:row r="99" ht="45" customHeight="1">
      <x:c r="A99" s="4" t="str">
        <x:v>Primary use</x:v>
      </x:c>
      <x:c r="B99" s="4" t="str">
        <x:v>Machinery repair</x:v>
      </x:c>
      <x:c r="C99" s="4" t="str">
        <x:v>Main catalog purpose. Item uses lists additional purposes as separate filterable rows.</x:v>
      </x:c>
    </x:row>
    <x:row r="100" ht="45" customHeight="1">
      <x:c r="A100" s="4" t="str">
        <x:v>Primary use</x:v>
      </x:c>
      <x:c r="B100" s="4" t="str">
        <x:v>Magnetic tools</x:v>
      </x:c>
      <x:c r="C100" s="4" t="str">
        <x:v>Main catalog purpose. Item uses lists additional purposes as separate filterable rows.</x:v>
      </x:c>
    </x:row>
    <x:row r="101" ht="45" customHeight="1">
      <x:c r="A101" s="4" t="str">
        <x:v>Primary use</x:v>
      </x:c>
      <x:c r="B101" s="4" t="str">
        <x:v>Material exclusion</x:v>
      </x:c>
      <x:c r="C101" s="4" t="str">
        <x:v>Main catalog purpose. Item uses lists additional purposes as separate filterable rows.</x:v>
      </x:c>
    </x:row>
    <x:row r="102" ht="45" customHeight="1">
      <x:c r="A102" s="4" t="str">
        <x:v>Primary use</x:v>
      </x:c>
      <x:c r="B102" s="4" t="str">
        <x:v>Material transfer</x:v>
      </x:c>
      <x:c r="C102" s="4" t="str">
        <x:v>Main catalog purpose. Item uses lists additional purposes as separate filterable rows.</x:v>
      </x:c>
    </x:row>
    <x:row r="103" ht="45" customHeight="1">
      <x:c r="A103" s="4" t="str">
        <x:v>Primary use</x:v>
      </x:c>
      <x:c r="B103" s="4" t="str">
        <x:v>Metal refining</x:v>
      </x:c>
      <x:c r="C103" s="4" t="str">
        <x:v>Main catalog purpose. Item uses lists additional purposes as separate filterable rows.</x:v>
      </x:c>
    </x:row>
    <x:row r="104" ht="45" customHeight="1">
      <x:c r="A104" s="4" t="str">
        <x:v>Primary use</x:v>
      </x:c>
      <x:c r="B104" s="4" t="str">
        <x:v>Music</x:v>
      </x:c>
      <x:c r="C104" s="4" t="str">
        <x:v>Main catalog purpose. Item uses lists additional purposes as separate filterable rows.</x:v>
      </x:c>
    </x:row>
    <x:row r="105" ht="45" customHeight="1">
      <x:c r="A105" s="4" t="str">
        <x:v>Primary use</x:v>
      </x:c>
      <x:c r="B105" s="4" t="str">
        <x:v>Nutrition</x:v>
      </x:c>
      <x:c r="C105" s="4" t="str">
        <x:v>Main catalog purpose. Item uses lists additional purposes as separate filterable rows.</x:v>
      </x:c>
    </x:row>
    <x:row r="106" ht="45" customHeight="1">
      <x:c r="A106" s="4" t="str">
        <x:v>Primary use</x:v>
      </x:c>
      <x:c r="B106" s="4" t="str">
        <x:v>Paper making</x:v>
      </x:c>
      <x:c r="C106" s="4" t="str">
        <x:v>Main catalog purpose. Item uses lists additional purposes as separate filterable rows.</x:v>
      </x:c>
    </x:row>
    <x:row r="107" ht="45" customHeight="1">
      <x:c r="A107" s="4" t="str">
        <x:v>Primary use</x:v>
      </x:c>
      <x:c r="B107" s="4" t="str">
        <x:v>Protection</x:v>
      </x:c>
      <x:c r="C107" s="4" t="str">
        <x:v>Main catalog purpose. Item uses lists additional purposes as separate filterable rows.</x:v>
      </x:c>
    </x:row>
    <x:row r="108" ht="45" customHeight="1">
      <x:c r="A108" s="4" t="str">
        <x:v>Primary use</x:v>
      </x:c>
      <x:c r="B108" s="4" t="str">
        <x:v>Protective fabrication</x:v>
      </x:c>
      <x:c r="C108" s="4" t="str">
        <x:v>Main catalog purpose. Item uses lists additional purposes as separate filterable rows.</x:v>
      </x:c>
    </x:row>
    <x:row r="109" ht="45" customHeight="1">
      <x:c r="A109" s="4" t="str">
        <x:v>Primary use</x:v>
      </x:c>
      <x:c r="B109" s="4" t="str">
        <x:v>Provenance</x:v>
      </x:c>
      <x:c r="C109" s="4" t="str">
        <x:v>Main catalog purpose. Item uses lists additional purposes as separate filterable rows.</x:v>
      </x:c>
    </x:row>
    <x:row r="110" ht="45" customHeight="1">
      <x:c r="A110" s="4" t="str">
        <x:v>Primary use</x:v>
      </x:c>
      <x:c r="B110" s="4" t="str">
        <x:v>Public communication</x:v>
      </x:c>
      <x:c r="C110" s="4" t="str">
        <x:v>Main catalog purpose. Item uses lists additional purposes as separate filterable rows.</x:v>
      </x:c>
    </x:row>
    <x:row r="111" ht="45" customHeight="1">
      <x:c r="A111" s="4" t="str">
        <x:v>Primary use</x:v>
      </x:c>
      <x:c r="B111" s="4" t="str">
        <x:v>Remembrance</x:v>
      </x:c>
      <x:c r="C111" s="4" t="str">
        <x:v>Main catalog purpose. Item uses lists additional purposes as separate filterable rows.</x:v>
      </x:c>
    </x:row>
    <x:row r="112" ht="45" customHeight="1">
      <x:c r="A112" s="4" t="str">
        <x:v>Primary use</x:v>
      </x:c>
      <x:c r="B112" s="4" t="str">
        <x:v>Resource collection</x:v>
      </x:c>
      <x:c r="C112" s="4" t="str">
        <x:v>Main catalog purpose. Item uses lists additional purposes as separate filterable rows.</x:v>
      </x:c>
    </x:row>
    <x:row r="113" ht="45" customHeight="1">
      <x:c r="A113" s="4" t="str">
        <x:v>Primary use</x:v>
      </x:c>
      <x:c r="B113" s="4" t="str">
        <x:v>Sealing</x:v>
      </x:c>
      <x:c r="C113" s="4" t="str">
        <x:v>Main catalog purpose. Item uses lists additional purposes as separate filterable rows.</x:v>
      </x:c>
    </x:row>
    <x:row r="114" ht="45" customHeight="1">
      <x:c r="A114" s="4" t="str">
        <x:v>Primary use</x:v>
      </x:c>
      <x:c r="B114" s="4" t="str">
        <x:v>Specialist samples</x:v>
      </x:c>
      <x:c r="C114" s="4" t="str">
        <x:v>Main catalog purpose. Item uses lists additional purposes as separate filterable rows.</x:v>
      </x:c>
    </x:row>
    <x:row r="115" ht="45" customHeight="1">
      <x:c r="A115" s="4" t="str">
        <x:v>Primary use</x:v>
      </x:c>
      <x:c r="B115" s="4" t="str">
        <x:v>Static management</x:v>
      </x:c>
      <x:c r="C115" s="4" t="str">
        <x:v>Main catalog purpose. Item uses lists additional purposes as separate filterable rows.</x:v>
      </x:c>
    </x:row>
    <x:row r="116" ht="45" customHeight="1">
      <x:c r="A116" s="4" t="str">
        <x:v>Primary use</x:v>
      </x:c>
      <x:c r="B116" s="4" t="str">
        <x:v>Sun shading</x:v>
      </x:c>
      <x:c r="C116" s="4" t="str">
        <x:v>Main catalog purpose. Item uses lists additional purposes as separate filterable rows.</x:v>
      </x:c>
    </x:row>
    <x:row r="117" ht="45" customHeight="1">
      <x:c r="A117" s="4" t="str">
        <x:v>Primary use</x:v>
      </x:c>
      <x:c r="B117" s="4" t="str">
        <x:v>Surface finishing</x:v>
      </x:c>
      <x:c r="C117" s="4" t="str">
        <x:v>Main catalog purpose. Item uses lists additional purposes as separate filterable rows.</x:v>
      </x:c>
    </x:row>
    <x:row r="118" ht="45" customHeight="1">
      <x:c r="A118" s="4" t="str">
        <x:v>Primary use</x:v>
      </x:c>
      <x:c r="B118" s="4" t="str">
        <x:v>Survival provision</x:v>
      </x:c>
      <x:c r="C118" s="4" t="str">
        <x:v>Main catalog purpose. Item uses lists additional purposes as separate filterable rows.</x:v>
      </x:c>
    </x:row>
    <x:row r="119" ht="45" customHeight="1">
      <x:c r="A119" s="4" t="str">
        <x:v>Primary use</x:v>
      </x:c>
      <x:c r="B119" s="4" t="str">
        <x:v>Textile processing</x:v>
      </x:c>
      <x:c r="C119" s="4" t="str">
        <x:v>Main catalog purpose. Item uses lists additional purposes as separate filterable rows.</x:v>
      </x:c>
    </x:row>
    <x:row r="120" ht="45" customHeight="1">
      <x:c r="A120" s="4" t="str">
        <x:v>Primary use</x:v>
      </x:c>
      <x:c r="B120" s="4" t="str">
        <x:v>Tool fabrication</x:v>
      </x:c>
      <x:c r="C120" s="4" t="str">
        <x:v>Main catalog purpose. Item uses lists additional purposes as separate filterable rows.</x:v>
      </x:c>
    </x:row>
    <x:row r="121" ht="45" customHeight="1">
      <x:c r="A121" s="4" t="str">
        <x:v>Primary use</x:v>
      </x:c>
      <x:c r="B121" s="4" t="str">
        <x:v>Trade</x:v>
      </x:c>
      <x:c r="C121" s="4" t="str">
        <x:v>Main catalog purpose. Item uses lists additional purposes as separate filterable rows.</x:v>
      </x:c>
    </x:row>
    <x:row r="122" ht="45" customHeight="1">
      <x:c r="A122" s="4" t="str">
        <x:v>Primary use</x:v>
      </x:c>
      <x:c r="B122" s="4" t="str">
        <x:v>Traversal</x:v>
      </x:c>
      <x:c r="C122" s="4" t="str">
        <x:v>Main catalog purpose. Item uses lists additional purposes as separate filterable rows.</x:v>
      </x:c>
    </x:row>
    <x:row r="123" ht="45" customHeight="1">
      <x:c r="A123" s="4" t="str">
        <x:v>Primary use</x:v>
      </x:c>
      <x:c r="B123" s="4" t="str">
        <x:v>Use unresolved</x:v>
      </x:c>
      <x:c r="C123" s="4" t="str">
        <x:v>Main catalog purpose. Item uses lists additional purposes as separate filterable rows.</x:v>
      </x:c>
    </x:row>
    <x:row r="124" ht="45" customHeight="1">
      <x:c r="A124" s="4" t="str">
        <x:v>Primary use</x:v>
      </x:c>
      <x:c r="B124" s="4" t="str">
        <x:v>Vision</x:v>
      </x:c>
      <x:c r="C124" s="4" t="str">
        <x:v>Main catalog purpose. Item uses lists additional purposes as separate filterable rows.</x:v>
      </x:c>
    </x:row>
    <x:row r="125" ht="45" customHeight="1">
      <x:c r="A125" s="4" t="str">
        <x:v>Primary use</x:v>
      </x:c>
      <x:c r="B125" s="4" t="str">
        <x:v>Wind power</x:v>
      </x:c>
      <x:c r="C125" s="4" t="str">
        <x:v>Main catalog purpose. Item uses lists additional purposes as separate filterable rows.</x:v>
      </x:c>
    </x:row>
    <x:row r="126" ht="45" customHeight="1">
      <x:c r="A126" s="4" t="str">
        <x:v>Primary use</x:v>
      </x:c>
      <x:c r="B126" s="4" t="str">
        <x:v>Wind propulsion</x:v>
      </x:c>
      <x:c r="C126" s="4" t="str">
        <x:v>Main catalog purpose. Item uses lists additional purposes as separate filterable rows.</x:v>
      </x:c>
    </x:row>
    <x:row r="127" ht="45" customHeight="1">
      <x:c r="A127" s="4" t="str">
        <x:v>Primary use</x:v>
      </x:c>
      <x:c r="B127" s="4" t="str">
        <x:v>Work holding</x:v>
      </x:c>
      <x:c r="C127" s="4" t="str">
        <x:v>Main catalog purpose. Item uses lists additional purposes as separate filterable rows.</x:v>
      </x:c>
    </x:row>
    <x:row r="128" ht="45" customHeight="1">
      <x:c r="A128" s="4" t="str">
        <x:v>Primary use</x:v>
      </x:c>
      <x:c r="B128" s="4" t="str">
        <x:v>Writing and records</x:v>
      </x:c>
      <x:c r="C128" s="4" t="str">
        <x:v>Main catalog purpose. Item uses lists additional purposes as separate filterable rows.</x:v>
      </x:c>
    </x:row>
    <x:row r="129" ht="45" customHeight="1">
      <x:c r="A129" s="4" t="str">
        <x:v>Material family</x:v>
      </x:c>
      <x:c r="B129" s="4" t="str">
        <x:v>Ancient composite</x:v>
      </x:c>
      <x:c r="C129" s="4" t="str">
        <x:v>Broad descriptive candidate. Mixed, alternative and unresolved values preserve uncertainty.</x:v>
      </x:c>
    </x:row>
    <x:row r="130" ht="45" customHeight="1">
      <x:c r="A130" s="4" t="str">
        <x:v>Material family</x:v>
      </x:c>
      <x:c r="B130" s="4" t="str">
        <x:v>Biological and mineral mixture</x:v>
      </x:c>
      <x:c r="C130" s="4" t="str">
        <x:v>Broad descriptive candidate. Mixed, alternative and unresolved values preserve uncertainty.</x:v>
      </x:c>
    </x:row>
    <x:row r="131" ht="45" customHeight="1">
      <x:c r="A131" s="4" t="str">
        <x:v>Material family</x:v>
      </x:c>
      <x:c r="B131" s="4" t="str">
        <x:v>Biological chemical</x:v>
      </x:c>
      <x:c r="C131" s="4" t="str">
        <x:v>Broad descriptive candidate. Mixed, alternative and unresolved values preserve uncertainty.</x:v>
      </x:c>
    </x:row>
    <x:row r="132" ht="45" customHeight="1">
      <x:c r="A132" s="4" t="str">
        <x:v>Material family</x:v>
      </x:c>
      <x:c r="B132" s="4" t="str">
        <x:v>Carbonaceous material</x:v>
      </x:c>
      <x:c r="C132" s="4" t="str">
        <x:v>Broad descriptive candidate. Mixed, alternative and unresolved values preserve uncertainty.</x:v>
      </x:c>
    </x:row>
    <x:row r="133" ht="45" customHeight="1">
      <x:c r="A133" s="4" t="str">
        <x:v>Material family</x:v>
      </x:c>
      <x:c r="B133" s="4" t="str">
        <x:v>Ceramic</x:v>
      </x:c>
      <x:c r="C133" s="4" t="str">
        <x:v>Broad descriptive candidate. Mixed, alternative and unresolved values preserve uncertainty.</x:v>
      </x:c>
    </x:row>
    <x:row r="134" ht="45" customHeight="1">
      <x:c r="A134" s="4" t="str">
        <x:v>Material family</x:v>
      </x:c>
      <x:c r="B134" s="4" t="str">
        <x:v>Ceramic and metal</x:v>
      </x:c>
      <x:c r="C134" s="4" t="str">
        <x:v>Broad descriptive candidate. Mixed, alternative and unresolved values preserve uncertainty.</x:v>
      </x:c>
    </x:row>
    <x:row r="135" ht="45" customHeight="1">
      <x:c r="A135" s="4" t="str">
        <x:v>Material family</x:v>
      </x:c>
      <x:c r="B135" s="4" t="str">
        <x:v>Ceramic feed mixture</x:v>
      </x:c>
      <x:c r="C135" s="4" t="str">
        <x:v>Broad descriptive candidate. Mixed, alternative and unresolved values preserve uncertainty.</x:v>
      </x:c>
    </x:row>
    <x:row r="136" ht="45" customHeight="1">
      <x:c r="A136" s="4" t="str">
        <x:v>Material family</x:v>
      </x:c>
      <x:c r="B136" s="4" t="str">
        <x:v>Faunal fiber</x:v>
      </x:c>
      <x:c r="C136" s="4" t="str">
        <x:v>Broad descriptive candidate. Mixed, alternative and unresolved values preserve uncertainty.</x:v>
      </x:c>
    </x:row>
    <x:row r="137" ht="45" customHeight="1">
      <x:c r="A137" s="4" t="str">
        <x:v>Material family</x:v>
      </x:c>
      <x:c r="B137" s="4" t="str">
        <x:v>Faunal fiber and shell</x:v>
      </x:c>
      <x:c r="C137" s="4" t="str">
        <x:v>Broad descriptive candidate. Mixed, alternative and unresolved values preserve uncertainty.</x:v>
      </x:c>
    </x:row>
    <x:row r="138" ht="45" customHeight="1">
      <x:c r="A138" s="4" t="str">
        <x:v>Material family</x:v>
      </x:c>
      <x:c r="B138" s="4" t="str">
        <x:v>Faunal membrane</x:v>
      </x:c>
      <x:c r="C138" s="4" t="str">
        <x:v>Broad descriptive candidate. Mixed, alternative and unresolved values preserve uncertainty.</x:v>
      </x:c>
    </x:row>
    <x:row r="139" ht="45" customHeight="1">
      <x:c r="A139" s="4" t="str">
        <x:v>Material family</x:v>
      </x:c>
      <x:c r="B139" s="4" t="str">
        <x:v>Faunal tissue</x:v>
      </x:c>
      <x:c r="C139" s="4" t="str">
        <x:v>Broad descriptive candidate. Mixed, alternative and unresolved values preserve uncertainty.</x:v>
      </x:c>
    </x:row>
    <x:row r="140" ht="45" customHeight="1">
      <x:c r="A140" s="4" t="str">
        <x:v>Material family</x:v>
      </x:c>
      <x:c r="B140" s="4" t="str">
        <x:v>Fur</x:v>
      </x:c>
      <x:c r="C140" s="4" t="str">
        <x:v>Broad descriptive candidate. Mixed, alternative and unresolved values preserve uncertainty.</x:v>
      </x:c>
    </x:row>
    <x:row r="141" ht="45" customHeight="1">
      <x:c r="A141" s="4" t="str">
        <x:v>Material family</x:v>
      </x:c>
      <x:c r="B141" s="4" t="str">
        <x:v>Gemstone</x:v>
      </x:c>
      <x:c r="C141" s="4" t="str">
        <x:v>Broad descriptive candidate. Mixed, alternative and unresolved values preserve uncertainty.</x:v>
      </x:c>
    </x:row>
    <x:row r="142" ht="45" customHeight="1">
      <x:c r="A142" s="4" t="str">
        <x:v>Material family</x:v>
      </x:c>
      <x:c r="B142" s="4" t="str">
        <x:v>Glass</x:v>
      </x:c>
      <x:c r="C142" s="4" t="str">
        <x:v>Broad descriptive candidate. Mixed, alternative and unresolved values preserve uncertainty.</x:v>
      </x:c>
    </x:row>
    <x:row r="143" ht="45" customHeight="1">
      <x:c r="A143" s="4" t="str">
        <x:v>Material family</x:v>
      </x:c>
      <x:c r="B143" s="4" t="str">
        <x:v>Glass and metal</x:v>
      </x:c>
      <x:c r="C143" s="4" t="str">
        <x:v>Broad descriptive candidate. Mixed, alternative and unresolved values preserve uncertainty.</x:v>
      </x:c>
    </x:row>
    <x:row r="144" ht="45" customHeight="1">
      <x:c r="A144" s="4" t="str">
        <x:v>Material family</x:v>
      </x:c>
      <x:c r="B144" s="4" t="str">
        <x:v>Glass and shell</x:v>
      </x:c>
      <x:c r="C144" s="4" t="str">
        <x:v>Broad descriptive candidate. Mixed, alternative and unresolved values preserve uncertainty.</x:v>
      </x:c>
    </x:row>
    <x:row r="145" ht="45" customHeight="1">
      <x:c r="A145" s="4" t="str">
        <x:v>Material family</x:v>
      </x:c>
      <x:c r="B145" s="4" t="str">
        <x:v>Glass with unresolved casing</x:v>
      </x:c>
      <x:c r="C145" s="4" t="str">
        <x:v>Broad descriptive candidate. Mixed, alternative and unresolved values preserve uncertainty.</x:v>
      </x:c>
    </x:row>
    <x:row r="146" ht="45" customHeight="1">
      <x:c r="A146" s="4" t="str">
        <x:v>Material family</x:v>
      </x:c>
      <x:c r="B146" s="4" t="str">
        <x:v>Hide</x:v>
      </x:c>
      <x:c r="C146" s="4" t="str">
        <x:v>Broad descriptive candidate. Mixed, alternative and unresolved values preserve uncertainty.</x:v>
      </x:c>
    </x:row>
    <x:row r="147" ht="45" customHeight="1">
      <x:c r="A147" s="4" t="str">
        <x:v>Material family</x:v>
      </x:c>
      <x:c r="B147" s="4" t="str">
        <x:v>Husk fiber</x:v>
      </x:c>
      <x:c r="C147" s="4" t="str">
        <x:v>Broad descriptive candidate. Mixed, alternative and unresolved values preserve uncertainty.</x:v>
      </x:c>
    </x:row>
    <x:row r="148" ht="45" customHeight="1">
      <x:c r="A148" s="4" t="str">
        <x:v>Material family</x:v>
      </x:c>
      <x:c r="B148" s="4" t="str">
        <x:v>Husk fiber and shell</x:v>
      </x:c>
      <x:c r="C148" s="4" t="str">
        <x:v>Broad descriptive candidate. Mixed, alternative and unresolved values preserve uncertainty.</x:v>
      </x:c>
    </x:row>
    <x:row r="149" ht="45" customHeight="1">
      <x:c r="A149" s="4" t="str">
        <x:v>Material family</x:v>
      </x:c>
      <x:c r="B149" s="4" t="str">
        <x:v>Metal</x:v>
      </x:c>
      <x:c r="C149" s="4" t="str">
        <x:v>Broad descriptive candidate. Mixed, alternative and unresolved values preserve uncertainty.</x:v>
      </x:c>
    </x:row>
    <x:row r="150" ht="45" customHeight="1">
      <x:c r="A150" s="4" t="str">
        <x:v>Material family</x:v>
      </x:c>
      <x:c r="B150" s="4" t="str">
        <x:v>Metal and shell</x:v>
      </x:c>
      <x:c r="C150" s="4" t="str">
        <x:v>Broad descriptive candidate. Mixed, alternative and unresolved values preserve uncertainty.</x:v>
      </x:c>
    </x:row>
    <x:row r="151" ht="45" customHeight="1">
      <x:c r="A151" s="4" t="str">
        <x:v>Material family</x:v>
      </x:c>
      <x:c r="B151" s="4" t="str">
        <x:v>Metal or shell</x:v>
      </x:c>
      <x:c r="C151" s="4" t="str">
        <x:v>Broad descriptive candidate. Mixed, alternative and unresolved values preserve uncertainty.</x:v>
      </x:c>
    </x:row>
    <x:row r="152" ht="45" customHeight="1">
      <x:c r="A152" s="4" t="str">
        <x:v>Material family</x:v>
      </x:c>
      <x:c r="B152" s="4" t="str">
        <x:v>Mineral</x:v>
      </x:c>
      <x:c r="C152" s="4" t="str">
        <x:v>Broad descriptive candidate. Mixed, alternative and unresolved values preserve uncertainty.</x:v>
      </x:c>
    </x:row>
    <x:row r="153" ht="45" customHeight="1">
      <x:c r="A153" s="4" t="str">
        <x:v>Material family</x:v>
      </x:c>
      <x:c r="B153" s="4" t="str">
        <x:v>Mineral or shell</x:v>
      </x:c>
      <x:c r="C153" s="4" t="str">
        <x:v>Broad descriptive candidate. Mixed, alternative and unresolved values preserve uncertainty.</x:v>
      </x:c>
    </x:row>
    <x:row r="154" ht="45" customHeight="1">
      <x:c r="A154" s="4" t="str">
        <x:v>Material family</x:v>
      </x:c>
      <x:c r="B154" s="4" t="str">
        <x:v>Mixed / unresolved</x:v>
      </x:c>
      <x:c r="C154" s="4" t="str">
        <x:v>Broad descriptive candidate. Mixed, alternative and unresolved values preserve uncertainty.</x:v>
      </x:c>
    </x:row>
    <x:row r="155" ht="45" customHeight="1">
      <x:c r="A155" s="4" t="str">
        <x:v>Material family</x:v>
      </x:c>
      <x:c r="B155" s="4" t="str">
        <x:v>Shell / chitin</x:v>
      </x:c>
      <x:c r="C155" s="4" t="str">
        <x:v>Broad descriptive candidate. Mixed, alternative and unresolved values preserve uncertainty.</x:v>
      </x:c>
    </x:row>
    <x:row r="156" ht="45" customHeight="1">
      <x:c r="A156" s="4" t="str">
        <x:v>Material family</x:v>
      </x:c>
      <x:c r="B156" s="4" t="str">
        <x:v>Shell and mineral</x:v>
      </x:c>
      <x:c r="C156" s="4" t="str">
        <x:v>Broad descriptive candidate. Mixed, alternative and unresolved values preserve uncertainty.</x:v>
      </x:c>
    </x:row>
    <x:row r="157" ht="45" customHeight="1">
      <x:c r="A157" s="4" t="str">
        <x:v>Material family</x:v>
      </x:c>
      <x:c r="B157" s="4" t="str">
        <x:v>Unresolved</x:v>
      </x:c>
      <x:c r="C157" s="4" t="str">
        <x:v>Broad descriptive candidate. Mixed, alternative and unresolved values preserve uncertainty.</x:v>
      </x:c>
    </x:row>
    <x:row r="158" ht="45" customHeight="1">
      <x:c r="A158" s="4" t="str">
        <x:v>Material family</x:v>
      </x:c>
      <x:c r="B158" s="4" t="str">
        <x:v>Wing membrane</x:v>
      </x:c>
      <x:c r="C158" s="4" t="str">
        <x:v>Broad descriptive candidate. Mixed, alternative and unresolved values preserve uncertainty.</x:v>
      </x:c>
    </x:row>
    <x:row r="159" ht="45" customHeight="1">
      <x:c r="A159" s="4" t="str">
        <x:v>Material family</x:v>
      </x:c>
      <x:c r="B159" s="4" t="str">
        <x:v>Wing membrane and frame</x:v>
      </x:c>
      <x:c r="C159" s="4" t="str">
        <x:v>Broad descriptive candidate. Mixed, alternative and unresolved values preserve uncertainty.</x:v>
      </x:c>
    </x:row>
    <x:row r="160" ht="45" customHeight="1">
      <x:c r="A160" s="4" t="str">
        <x:v>Physical form</x:v>
      </x:c>
      <x:c r="B160" s="4" t="str">
        <x:v>Assembly</x:v>
      </x:c>
      <x:c r="C160" s="4" t="str">
        <x:v>Catalog shape/state only; Unresolved avoids inventing a physical or chemical property.</x:v>
      </x:c>
    </x:row>
    <x:row r="161" ht="45" customHeight="1">
      <x:c r="A161" s="4" t="str">
        <x:v>Physical form</x:v>
      </x:c>
      <x:c r="B161" s="4" t="str">
        <x:v>Bundle</x:v>
      </x:c>
      <x:c r="C161" s="4" t="str">
        <x:v>Catalog shape/state only; Unresolved avoids inventing a physical or chemical property.</x:v>
      </x:c>
    </x:row>
    <x:row r="162" ht="45" customHeight="1">
      <x:c r="A162" s="4" t="str">
        <x:v>Physical form</x:v>
      </x:c>
      <x:c r="B162" s="4" t="str">
        <x:v>Cord</x:v>
      </x:c>
      <x:c r="C162" s="4" t="str">
        <x:v>Catalog shape/state only; Unresolved avoids inventing a physical or chemical property.</x:v>
      </x:c>
    </x:row>
    <x:row r="163" ht="45" customHeight="1">
      <x:c r="A163" s="4" t="str">
        <x:v>Physical form</x:v>
      </x:c>
      <x:c r="B163" s="4" t="str">
        <x:v>Fiber</x:v>
      </x:c>
      <x:c r="C163" s="4" t="str">
        <x:v>Catalog shape/state only; Unresolved avoids inventing a physical or chemical property.</x:v>
      </x:c>
    </x:row>
    <x:row r="164" ht="45" customHeight="1">
      <x:c r="A164" s="4" t="str">
        <x:v>Physical form</x:v>
      </x:c>
      <x:c r="B164" s="4" t="str">
        <x:v>Folio</x:v>
      </x:c>
      <x:c r="C164" s="4" t="str">
        <x:v>Catalog shape/state only; Unresolved avoids inventing a physical or chemical property.</x:v>
      </x:c>
    </x:row>
    <x:row r="165" ht="45" customHeight="1">
      <x:c r="A165" s="4" t="str">
        <x:v>Physical form</x:v>
      </x:c>
      <x:c r="B165" s="4" t="str">
        <x:v>Garment</x:v>
      </x:c>
      <x:c r="C165" s="4" t="str">
        <x:v>Catalog shape/state only; Unresolved avoids inventing a physical or chemical property.</x:v>
      </x:c>
    </x:row>
    <x:row r="166" ht="45" customHeight="1">
      <x:c r="A166" s="4" t="str">
        <x:v>Physical form</x:v>
      </x:c>
      <x:c r="B166" s="4" t="str">
        <x:v>Gel</x:v>
      </x:c>
      <x:c r="C166" s="4" t="str">
        <x:v>Catalog shape/state only; Unresolved avoids inventing a physical or chemical property.</x:v>
      </x:c>
    </x:row>
    <x:row r="167" ht="45" customHeight="1">
      <x:c r="A167" s="4" t="str">
        <x:v>Physical form</x:v>
      </x:c>
      <x:c r="B167" s="4" t="str">
        <x:v>Liquid</x:v>
      </x:c>
      <x:c r="C167" s="4" t="str">
        <x:v>Catalog shape/state only; Unresolved avoids inventing a physical or chemical property.</x:v>
      </x:c>
    </x:row>
    <x:row r="168" ht="45" customHeight="1">
      <x:c r="A168" s="4" t="str">
        <x:v>Physical form</x:v>
      </x:c>
      <x:c r="B168" s="4" t="str">
        <x:v>Membrane</x:v>
      </x:c>
      <x:c r="C168" s="4" t="str">
        <x:v>Catalog shape/state only; Unresolved avoids inventing a physical or chemical property.</x:v>
      </x:c>
    </x:row>
    <x:row r="169" ht="45" customHeight="1">
      <x:c r="A169" s="4" t="str">
        <x:v>Physical form</x:v>
      </x:c>
      <x:c r="B169" s="4" t="str">
        <x:v>Panel</x:v>
      </x:c>
      <x:c r="C169" s="4" t="str">
        <x:v>Catalog shape/state only; Unresolved avoids inventing a physical or chemical property.</x:v>
      </x:c>
    </x:row>
    <x:row r="170" ht="45" customHeight="1">
      <x:c r="A170" s="4" t="str">
        <x:v>Physical form</x:v>
      </x:c>
      <x:c r="B170" s="4" t="str">
        <x:v>Particles</x:v>
      </x:c>
      <x:c r="C170" s="4" t="str">
        <x:v>Catalog shape/state only; Unresolved avoids inventing a physical or chemical property.</x:v>
      </x:c>
    </x:row>
    <x:row r="171" ht="45" customHeight="1">
      <x:c r="A171" s="4" t="str">
        <x:v>Physical form</x:v>
      </x:c>
      <x:c r="B171" s="4" t="str">
        <x:v>Paste</x:v>
      </x:c>
      <x:c r="C171" s="4" t="str">
        <x:v>Catalog shape/state only; Unresolved avoids inventing a physical or chemical property.</x:v>
      </x:c>
    </x:row>
    <x:row r="172" ht="45" customHeight="1">
      <x:c r="A172" s="4" t="str">
        <x:v>Physical form</x:v>
      </x:c>
      <x:c r="B172" s="4" t="str">
        <x:v>Patch</x:v>
      </x:c>
      <x:c r="C172" s="4" t="str">
        <x:v>Catalog shape/state only; Unresolved avoids inventing a physical or chemical property.</x:v>
      </x:c>
    </x:row>
    <x:row r="173" ht="45" customHeight="1">
      <x:c r="A173" s="4" t="str">
        <x:v>Physical form</x:v>
      </x:c>
      <x:c r="B173" s="4" t="str">
        <x:v>Rock</x:v>
      </x:c>
      <x:c r="C173" s="4" t="str">
        <x:v>Catalog shape/state only; Unresolved avoids inventing a physical or chemical property.</x:v>
      </x:c>
    </x:row>
    <x:row r="174" ht="45" customHeight="1">
      <x:c r="A174" s="4" t="str">
        <x:v>Physical form</x:v>
      </x:c>
      <x:c r="B174" s="4" t="str">
        <x:v>Sheet</x:v>
      </x:c>
      <x:c r="C174" s="4" t="str">
        <x:v>Catalog shape/state only; Unresolved avoids inventing a physical or chemical property.</x:v>
      </x:c>
    </x:row>
    <x:row r="175" ht="45" customHeight="1">
      <x:c r="A175" s="4" t="str">
        <x:v>Physical form</x:v>
      </x:c>
      <x:c r="B175" s="4" t="str">
        <x:v>Shell plate</x:v>
      </x:c>
      <x:c r="C175" s="4" t="str">
        <x:v>Catalog shape/state only; Unresolved avoids inventing a physical or chemical property.</x:v>
      </x:c>
    </x:row>
    <x:row r="176" ht="45" customHeight="1">
      <x:c r="A176" s="4" t="str">
        <x:v>Physical form</x:v>
      </x:c>
      <x:c r="B176" s="4" t="str">
        <x:v>Solid part</x:v>
      </x:c>
      <x:c r="C176" s="4" t="str">
        <x:v>Catalog shape/state only; Unresolved avoids inventing a physical or chemical property.</x:v>
      </x:c>
    </x:row>
    <x:row r="177" ht="45" customHeight="1">
      <x:c r="A177" s="4" t="str">
        <x:v>Physical form</x:v>
      </x:c>
      <x:c r="B177" s="4" t="str">
        <x:v>Solid piece</x:v>
      </x:c>
      <x:c r="C177" s="4" t="str">
        <x:v>Catalog shape/state only; Unresolved avoids inventing a physical or chemical property.</x:v>
      </x:c>
    </x:row>
    <x:row r="178" ht="45" customHeight="1">
      <x:c r="A178" s="4" t="str">
        <x:v>Physical form</x:v>
      </x:c>
      <x:c r="B178" s="4" t="str">
        <x:v>Strip</x:v>
      </x:c>
      <x:c r="C178" s="4" t="str">
        <x:v>Catalog shape/state only; Unresolved avoids inventing a physical or chemical property.</x:v>
      </x:c>
    </x:row>
    <x:row r="179" ht="45" customHeight="1">
      <x:c r="A179" s="4" t="str">
        <x:v>Physical form</x:v>
      </x:c>
      <x:c r="B179" s="4" t="str">
        <x:v>Unresolved</x:v>
      </x:c>
      <x:c r="C179" s="4" t="str">
        <x:v>Catalog shape/state only; Unresolved avoids inventing a physical or chemical property.</x:v>
      </x:c>
    </x:row>
    <x:row r="180" ht="45" customHeight="1">
      <x:c r="A180" s="4" t="str">
        <x:v>Design status</x:v>
      </x:c>
      <x:c r="B180" s="4" t="str">
        <x:v>Author direction</x:v>
      </x:c>
      <x:c r="C180" s="4" t="str">
        <x:v>Existing definition means serialized data, not proof all intended uses work. Author direction, Proposal and Withheld assumption remain distinct.</x:v>
      </x:c>
    </x:row>
    <x:row r="181" ht="45" customHeight="1">
      <x:c r="A181" s="4" t="str">
        <x:v>Design status</x:v>
      </x:c>
      <x:c r="B181" s="4" t="str">
        <x:v>Existing definition</x:v>
      </x:c>
      <x:c r="C181" s="4" t="str">
        <x:v>Existing definition means serialized data, not proof all intended uses work. Author direction, Proposal and Withheld assumption remain distinct.</x:v>
      </x:c>
    </x:row>
    <x:row r="182" ht="45" customHeight="1">
      <x:c r="A182" s="4" t="str">
        <x:v>Design status</x:v>
      </x:c>
      <x:c r="B182" s="4" t="str">
        <x:v>Proposal</x:v>
      </x:c>
      <x:c r="C182" s="4" t="str">
        <x:v>Existing definition means serialized data, not proof all intended uses work. Author direction, Proposal and Withheld assumption remain distinct.</x:v>
      </x:c>
    </x:row>
    <x:row r="183" ht="45" customHeight="1">
      <x:c r="A183" s="4" t="str">
        <x:v>Design status</x:v>
      </x:c>
      <x:c r="B183" s="4" t="str">
        <x:v>Source proposal</x:v>
      </x:c>
      <x:c r="C183" s="4" t="str">
        <x:v>Existing definition means serialized data, not proof all intended uses work. Author direction, Proposal and Withheld assumption remain distinct.</x:v>
      </x:c>
    </x:row>
    <x:row r="184" ht="45" customHeight="1">
      <x:c r="A184" s="4" t="str">
        <x:v>Design status</x:v>
      </x:c>
      <x:c r="B184" s="4" t="str">
        <x:v>Withheld assumption</x:v>
      </x:c>
      <x:c r="C184" s="4" t="str">
        <x:v>Existing definition means serialized data, not proof all intended uses work. Author direction, Proposal and Withheld assumption remain distinct.</x:v>
      </x:c>
    </x:row>
  </x:sheetData>
  <x:pageMargins left="0.7" right="0.7" top="0.75" bottom="0.75" header="0.3" footer="0.3"/>
  <x:tableParts count="1">
    <x:tablePart xmlns:r="http://schemas.openxmlformats.org/officeDocument/2006/relationships" r:id="R6ec566f944364d48"/>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sheetData>
  <x:dataValidations count="3">
    <x:dataValidation type="list" sqref="A6:A1005">
      <x:formula1>'Items'!$A$6:$A$268</x:formula1>
    </x:dataValidation>
    <x:dataValidation type="list" sqref="D6:D1005">
      <x:formula1>"Primary,Secondary"</x:formula1>
    </x:dataValidation>
    <x:dataValidation type="list" sqref="E6:E1005">
      <x:formula1>'Taxonomy'!$B$56:$B$128</x:formula1>
    </x:dataValidation>
  </x:dataValidations>
  <x:pageMargins left="0.7" right="0.7" top="0.75" bottom="0.75" header="0.3" footer="0.3"/>
  <x:tableParts count="1">
    <x:tablePart xmlns:r="http://schemas.openxmlformats.org/officeDocument/2006/relationships" r:id="Rb650c84453cf4e32"/>
  </x:tableParts>
</x:worksheet>
</file>