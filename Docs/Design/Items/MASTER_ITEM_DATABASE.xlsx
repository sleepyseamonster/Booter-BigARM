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ff7ff984d46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83fb3b97ed824eba"/>
    <x:sheet xmlns:r="http://schemas.openxmlformats.org/officeDocument/2006/relationships" name="Variants" sheetId="2" r:id="R91a466bd7b1d490e"/>
    <x:sheet xmlns:r="http://schemas.openxmlformats.org/officeDocument/2006/relationships" name="Recipes" sheetId="3" r:id="R21edbf3232504ae7"/>
    <x:sheet xmlns:r="http://schemas.openxmlformats.org/officeDocument/2006/relationships" name="Categories" sheetId="4" r:id="R43da7ce8a76841ff"/>
    <x:sheet xmlns:r="http://schemas.openxmlformats.org/officeDocument/2006/relationships" name="Guide" sheetId="5" r:id="R6645d5f18f0c46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color rgb="FF8A5B22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cb23cfc5314120" /><Relationship Type="http://schemas.openxmlformats.org/officeDocument/2006/relationships/theme" Target="/xl/theme/theme1.xml" Id="Rfc9dcb4f28674efa" /><Relationship Type="http://schemas.microsoft.com/office/2022/11/relationships/FeaturePropertyBag" Target="/xl/featurePropertyBag/featurePropertyBag.xml" Id="R2e0026bbd5f24712" /><Relationship Type="http://schemas.openxmlformats.org/officeDocument/2006/relationships/sharedStrings" Target="/xl/sharedStrings.xml" Id="Ra98052ee73c0496a" /><Relationship Type="http://schemas.openxmlformats.org/officeDocument/2006/relationships/worksheet" Target="/xl/worksheets/sheet1.xml" Id="R83fb3b97ed824eba" /><Relationship Type="http://schemas.openxmlformats.org/officeDocument/2006/relationships/worksheet" Target="/xl/worksheets/sheet2.xml" Id="R91a466bd7b1d490e" /><Relationship Type="http://schemas.openxmlformats.org/officeDocument/2006/relationships/worksheet" Target="/xl/worksheets/sheet3.xml" Id="R21edbf3232504ae7" /><Relationship Type="http://schemas.openxmlformats.org/officeDocument/2006/relationships/worksheet" Target="/xl/worksheets/sheet4.xml" Id="R43da7ce8a76841ff" /><Relationship Type="http://schemas.openxmlformats.org/officeDocument/2006/relationships/worksheet" Target="/xl/worksheets/sheet5.xml" Id="R6645d5f18f0c469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23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5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25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b29f172457482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f4aec266be14a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116ad69fe2340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41eec55410a45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afc9614d67c43dc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Filter by category or scope. Blank stats are undecided. Trial values are shown where overrides exist.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 t="str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Production economy and final balance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</x:sheetData>
  <x:conditionalFormatting sqref="E6:E23">
    <x:cfRule type="containsText" dxfId="0" priority="1" operator="containsText" text="trial"/>
  </x:conditionalFormatting>
  <x:dataValidations count="1">
    <x:dataValidation type="list" sqref="C6:C23">
      <x:formula1>"Equipment,Field supplies,Resources,Crafting components,Weapons,Ammunition,Quest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b29f172457482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ef4aec266be14a9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5116ad69fe2340a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6</x:v>
      </x:c>
      <x:c r="C6" s="9" t="str">
        <x:v>Six fitted gear types</x:v>
      </x:c>
      <x:c r="D6" s="9" t="str">
        <x:v>Weapons/armor variants require later design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Other food, medicine and ammunition not defined</x:v>
      </x:c>
    </x:row>
    <x:row r="8" ht="48" customHeight="1">
      <x:c r="A8" s="9" t="str">
        <x:v>Resources</x:v>
      </x:c>
      <x:c r="B8" s="9" t="n">
        <x:f>COUNTIF(Items!$C$6:$C$1005,A8)</x:f>
        <x:v>6</x:v>
      </x:c>
      <x:c r="C8" s="9" t="str">
        <x:v>Ore, airborne dust and four processed minerals</x:v>
      </x:c>
      <x:c r="D8" s="9" t="str">
        <x:v>Scrap, iron and biological resources occur as broad canon concepts</x:v>
      </x:c>
    </x:row>
    <x:row r="9" ht="48" customHeight="1">
      <x:c r="A9" s="4" t="str">
        <x:v>Crafting components</x:v>
      </x:c>
      <x:c r="B9" s="4" t="n">
        <x:f>COUNTIF(Items!$C$6:$C$1005,A9)</x:f>
        <x:v>3</x:v>
      </x:c>
      <x:c r="C9" s="4" t="str">
        <x:v>Three trial salvage parts</x:v>
      </x:c>
      <x:c r="D9" s="4" t="str">
        <x:v>Additional components and recipes await brainstorming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e41eec55410a45a8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One row per existing stable item ID. 18 items from 20 serialized definitions.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is living reserve state, not a loose-stack item. Eat, Drink and Treat do not restore sleep/Reserve.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The separate Arc &amp; Dust source repository is unavailable on this machine; no external roster is claimed.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</x:sheetData>
  <x:pageMargins left="0.7" right="0.7" top="0.75" bottom="0.75" header="0.3" footer="0.3"/>
  <x:tableParts count="1">
    <x:tablePart xmlns:r="http://schemas.openxmlformats.org/officeDocument/2006/relationships" r:id="R9afc9614d67c43dc"/>
  </x:tableParts>
</x:worksheet>
</file>