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4f73f65a8d94a26" /></Relationships>
</file>

<file path=xl/workbook.xml><?xml version="1.0" encoding="utf-8"?>
<x:workbook xmlns:x="http://schemas.openxmlformats.org/spreadsheetml/2006/main">
  <x:sheets>
    <x:sheet xmlns:r="http://schemas.openxmlformats.org/officeDocument/2006/relationships" name="Items" sheetId="1" r:id="R8acb532612b64c20"/>
    <x:sheet xmlns:r="http://schemas.openxmlformats.org/officeDocument/2006/relationships" name="Variants" sheetId="2" r:id="Rf6c4040355514a37"/>
    <x:sheet xmlns:r="http://schemas.openxmlformats.org/officeDocument/2006/relationships" name="Recipes" sheetId="3" r:id="R9b8fb9efc23647c9"/>
    <x:sheet xmlns:r="http://schemas.openxmlformats.org/officeDocument/2006/relationships" name="Categories" sheetId="4" r:id="R13d537377c714421"/>
    <x:sheet xmlns:r="http://schemas.openxmlformats.org/officeDocument/2006/relationships" name="Guide" sheetId="5" r:id="Raa997f589ed242fd"/>
    <x:sheet xmlns:r="http://schemas.openxmlformats.org/officeDocument/2006/relationships" name="Resource chains" sheetId="6" r:id="R5e0034a23d584f37"/>
    <x:sheet xmlns:r="http://schemas.openxmlformats.org/officeDocument/2006/relationships" name="Creature concepts" sheetId="7" r:id="R35ba0122792d4be6"/>
    <x:sheet xmlns:r="http://schemas.openxmlformats.org/officeDocument/2006/relationships" name="Chemical concepts" sheetId="8" r:id="Ra1d142274d4d4994"/>
    <x:sheet xmlns:r="http://schemas.openxmlformats.org/officeDocument/2006/relationships" name="Container concepts" sheetId="9" r:id="R988f37e70ff045aa"/>
    <x:sheet xmlns:r="http://schemas.openxmlformats.org/officeDocument/2006/relationships" name="Equipment concepts" sheetId="10" r:id="Rff7df799f7dc4fb6"/>
    <x:sheet xmlns:r="http://schemas.openxmlformats.org/officeDocument/2006/relationships" name="Canister concepts" sheetId="11" r:id="R884abbd129384bb3"/>
    <x:sheet xmlns:r="http://schemas.openxmlformats.org/officeDocument/2006/relationships" name="Taxonomy" sheetId="12" r:id="R6f97e756b92e40ee"/>
    <x:sheet xmlns:r="http://schemas.openxmlformats.org/officeDocument/2006/relationships" name="Item uses" sheetId="13" r:id="R644af9c6cc4542d9"/>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6">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s>
  <x:fills count="32">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s>
  <x:borders count="1">
    <x:border>
      <x:left/>
      <x:right/>
      <x:top/>
      <x:bottom/>
      <x:diagonal/>
    </x:border>
  </x:borders>
  <x:cellStyleXfs count="1">
    <x:xf numFmtId="0" fontId="0" fillId="0" borderId="0"/>
  </x:cellStyleXfs>
  <x:cellXfs count="61">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cellXfs>
  <x:cellStyles count="1">
    <x:cellStyle name="Normal" xfId="0"/>
  </x:cellStyles>
  <x:dxfs count="4">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e78f714b1444dce" /><Relationship Type="http://schemas.openxmlformats.org/officeDocument/2006/relationships/theme" Target="/xl/theme/theme1.xml" Id="Rdb36e6bd148648a5" /><Relationship Type="http://schemas.microsoft.com/office/2022/11/relationships/FeaturePropertyBag" Target="/xl/featurePropertyBag/featurePropertyBag.xml" Id="Re4aab4c08f4d410e" /><Relationship Type="http://schemas.openxmlformats.org/officeDocument/2006/relationships/sharedStrings" Target="/xl/sharedStrings.xml" Id="Rf9c86d58fd8a4375" /><Relationship Type="http://schemas.openxmlformats.org/officeDocument/2006/relationships/worksheet" Target="/xl/worksheets/sheet1.xml" Id="R8acb532612b64c20" /><Relationship Type="http://schemas.openxmlformats.org/officeDocument/2006/relationships/worksheet" Target="/xl/worksheets/sheet2.xml" Id="Rf6c4040355514a37" /><Relationship Type="http://schemas.openxmlformats.org/officeDocument/2006/relationships/worksheet" Target="/xl/worksheets/sheet3.xml" Id="R9b8fb9efc23647c9" /><Relationship Type="http://schemas.openxmlformats.org/officeDocument/2006/relationships/worksheet" Target="/xl/worksheets/sheet4.xml" Id="R13d537377c714421" /><Relationship Type="http://schemas.openxmlformats.org/officeDocument/2006/relationships/worksheet" Target="/xl/worksheets/sheet5.xml" Id="Raa997f589ed242fd" /><Relationship Type="http://schemas.openxmlformats.org/officeDocument/2006/relationships/worksheet" Target="/xl/worksheets/sheet6.xml" Id="R5e0034a23d584f37" /><Relationship Type="http://schemas.openxmlformats.org/officeDocument/2006/relationships/worksheet" Target="/xl/worksheets/sheet7.xml" Id="R35ba0122792d4be6" /><Relationship Type="http://schemas.openxmlformats.org/officeDocument/2006/relationships/worksheet" Target="/xl/worksheets/sheet8.xml" Id="Ra1d142274d4d4994" /><Relationship Type="http://schemas.openxmlformats.org/officeDocument/2006/relationships/worksheet" Target="/xl/worksheets/sheet9.xml" Id="R988f37e70ff045aa" /><Relationship Type="http://schemas.openxmlformats.org/officeDocument/2006/relationships/worksheet" Target="/xl/worksheets/sheet10.xml" Id="Rff7df799f7dc4fb6" /><Relationship Type="http://schemas.openxmlformats.org/officeDocument/2006/relationships/worksheet" Target="/xl/worksheets/sheet11.xml" Id="R884abbd129384bb3" /><Relationship Type="http://schemas.openxmlformats.org/officeDocument/2006/relationships/worksheet" Target="/xl/worksheets/sheet12.xml" Id="R6f97e756b92e40ee" /><Relationship Type="http://schemas.openxmlformats.org/officeDocument/2006/relationships/worksheet" Target="/xl/worksheets/sheet13.xml" Id="R644af9c6cc4542d9"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7" name="ItemsTable" displayName="ItemsTable" ref="A5:AE304" headerRowCount="1" totalsRowCount="0" totalsRowShown="0">
  <x:autoFilter ref="A5:AE304"/>
  <x:tableColumns count="31">
    <x:tableColumn id="1" name="Item ID"/>
    <x:tableColumn id="2" name="Item name"/>
    <x:tableColumn id="3" name="Category"/>
    <x:tableColumn id="4" name="Subtype"/>
    <x:tableColumn id="5" name="Implementation scope"/>
    <x:tableColumn id="6" name="Purpose"/>
    <x:tableColumn id="7" name="Equipment slot"/>
    <x:tableColumn id="8" name="Carrier metadata"/>
    <x:tableColumn id="9" name="Stack limit"/>
    <x:tableColumn id="10" name="Mass (game units)"/>
    <x:tableColumn id="11" name="Acquisition"/>
    <x:tableColumn id="12" name="Crafting / processing"/>
    <x:tableColumn id="13" name="Supported behavior"/>
    <x:tableColumn id="14" name="Limitations"/>
    <x:tableColumn id="15" name="Rarity"/>
    <x:tableColumn id="16" name="Trade value"/>
    <x:tableColumn id="17" name="Damage"/>
    <x:tableColumn id="18" name="Protection"/>
    <x:tableColumn id="19" name="Durability"/>
    <x:tableColumn id="20" name="Open design decisions"/>
    <x:tableColumn id="21" name="Search aliases"/>
    <x:tableColumn id="22" name="Sources"/>
    <x:tableColumn id="23" name="Item type"/>
    <x:tableColumn id="24" name="Processing stage"/>
    <x:tableColumn id="25" name="Origin family"/>
    <x:tableColumn id="26" name="Primary use"/>
    <x:tableColumn id="27" name="Material family"/>
    <x:tableColumn id="28" name="Physical form"/>
    <x:tableColumn id="29" name="Design status"/>
    <x:tableColumn id="30" name="Search terms"/>
    <x:tableColumn id="31" name="Classification basis"/>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40" headerRowCount="1" totalsRowCount="0" totalsRowShown="0">
  <x:autoFilter ref="A5:E40"/>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147" headerRowCount="1" totalsRowCount="0" totalsRowShown="0">
  <x:autoFilter ref="A5:B147"/>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15" name="ItemTaxonomy" displayName="ItemTaxonomy" ref="A5:C184" headerRowCount="1" totalsRowCount="0" totalsRowShown="0">
  <x:autoFilter ref="A5:C184"/>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422" headerRowCount="1" totalsRowCount="0" totalsRowShown="0">
  <x:autoFilter ref="A5:F422"/>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910c896bf9f54894" /></Relationships>
</file>

<file path=xl/worksheets/_rels/sheet2.xml.rels>&#65279;<?xml version="1.0" encoding="utf-8"?><Relationships xmlns="http://schemas.openxmlformats.org/package/2006/relationships"><Relationship Type="http://schemas.openxmlformats.org/officeDocument/2006/relationships/table" Target="/xl/tables/table2.xml" Id="R6121a759c0274a56" /></Relationships>
</file>

<file path=xl/worksheets/_rels/sheet3.xml.rels>&#65279;<?xml version="1.0" encoding="utf-8"?><Relationships xmlns="http://schemas.openxmlformats.org/package/2006/relationships"><Relationship Type="http://schemas.openxmlformats.org/officeDocument/2006/relationships/table" Target="/xl/tables/table3.xml" Id="Rdcd5659b5a9e4e66" /></Relationships>
</file>

<file path=xl/worksheets/_rels/sheet4.xml.rels>&#65279;<?xml version="1.0" encoding="utf-8"?><Relationships xmlns="http://schemas.openxmlformats.org/package/2006/relationships"><Relationship Type="http://schemas.openxmlformats.org/officeDocument/2006/relationships/table" Target="/xl/tables/table4.xml" Id="R5ca94f1076a441e5" /></Relationships>
</file>

<file path=xl/worksheets/_rels/sheet5.xml.rels>&#65279;<?xml version="1.0" encoding="utf-8"?><Relationships xmlns="http://schemas.openxmlformats.org/package/2006/relationships"><Relationship Type="http://schemas.openxmlformats.org/officeDocument/2006/relationships/table" Target="/xl/tables/table5.xml" Id="R8a4510f234c24b6f" /></Relationships>
</file>

<file path=xl/worksheets/_rels/sheet6.xml.rels>&#65279;<?xml version="1.0" encoding="utf-8"?><Relationships xmlns="http://schemas.openxmlformats.org/package/2006/relationships"><Relationship Type="http://schemas.openxmlformats.org/officeDocument/2006/relationships/table" Target="/xl/tables/table6.xml" Id="R2165680f86d64d4f" /></Relationships>
</file>

<file path=xl/worksheets/_rels/sheet7.xml.rels>&#65279;<?xml version="1.0" encoding="utf-8"?><Relationships xmlns="http://schemas.openxmlformats.org/package/2006/relationships"><Relationship Type="http://schemas.openxmlformats.org/officeDocument/2006/relationships/table" Target="/xl/tables/table7.xml" Id="Rff43dbe606a14e00" /></Relationships>
</file>

<file path=xl/worksheets/_rels/sheet8.xml.rels>&#65279;<?xml version="1.0" encoding="utf-8"?><Relationships xmlns="http://schemas.openxmlformats.org/package/2006/relationships"><Relationship Type="http://schemas.openxmlformats.org/officeDocument/2006/relationships/table" Target="/xl/tables/table8.xml" Id="Rbd09061fea11472f" /></Relationships>
</file>

<file path=xl/worksheets/_rels/sheet9.xml.rels>&#65279;<?xml version="1.0" encoding="utf-8"?><Relationships xmlns="http://schemas.openxmlformats.org/package/2006/relationships"><Relationship Type="http://schemas.openxmlformats.org/officeDocument/2006/relationships/table" Target="/xl/tables/table9.xml" Id="Reea443f4cd564451" /></Relationships>
</file>

<file path=xl/worksheets/_rels/sheet10.xml.rels>&#65279;<?xml version="1.0" encoding="utf-8"?><Relationships xmlns="http://schemas.openxmlformats.org/package/2006/relationships"><Relationship Type="http://schemas.openxmlformats.org/officeDocument/2006/relationships/table" Target="/xl/tables/table10.xml" Id="R196eed82406e430e" /></Relationships>
</file>

<file path=xl/worksheets/_rels/sheet11.xml.rels>&#65279;<?xml version="1.0" encoding="utf-8"?><Relationships xmlns="http://schemas.openxmlformats.org/package/2006/relationships"><Relationship Type="http://schemas.openxmlformats.org/officeDocument/2006/relationships/table" Target="/xl/tables/table11.xml" Id="Rc3b06221ca0d4d23" /></Relationships>
</file>

<file path=xl/worksheets/_rels/sheet12.xml.rels>&#65279;<?xml version="1.0" encoding="utf-8"?><Relationships xmlns="http://schemas.openxmlformats.org/package/2006/relationships"><Relationship Type="http://schemas.openxmlformats.org/officeDocument/2006/relationships/table" Target="/xl/tables/table12.xml" Id="R4c83a9a2e5ac4c69" /></Relationships>
</file>

<file path=xl/worksheets/_rels/sheet13.xml.rels>&#65279;<?xml version="1.0" encoding="utf-8"?><Relationships xmlns="http://schemas.openxmlformats.org/package/2006/relationships"><Relationship Type="http://schemas.openxmlformats.org/officeDocument/2006/relationships/table" Target="/xl/tables/table13.xml" Id="R5b4b2846244f42b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4" hidden="0" customWidth="1"/>
    <x:col min="4" max="4" width="23" hidden="0" customWidth="1"/>
    <x:col min="5" max="5" width="33" hidden="0" customWidth="1"/>
    <x:col min="6" max="6" width="44" hidden="0" customWidth="1"/>
    <x:col min="7" max="7" width="23" hidden="0" customWidth="1"/>
    <x:col min="8" max="8" width="23" hidden="0" customWidth="1"/>
    <x:col min="9" max="9" width="13" hidden="0" customWidth="1"/>
    <x:col min="10" max="10" width="18" hidden="0" customWidth="1"/>
    <x:col min="11" max="11" width="35" hidden="0" customWidth="1"/>
    <x:col min="12" max="12" width="36" hidden="0" customWidth="1"/>
    <x:col min="13" max="13" width="42" hidden="0" customWidth="1"/>
    <x:col min="14" max="14" width="47" hidden="0" customWidth="1"/>
    <x:col min="15" max="15" width="16" hidden="0" customWidth="1"/>
    <x:col min="16" max="16" width="16" hidden="0" customWidth="1"/>
    <x:col min="17" max="17" width="16" hidden="0" customWidth="1"/>
    <x:col min="18" max="18" width="16" hidden="0" customWidth="1"/>
    <x:col min="19" max="19" width="16" hidden="0" customWidth="1"/>
    <x:col min="20" max="20" width="42" hidden="0" customWidth="1"/>
    <x:col min="21" max="21" width="42" hidden="0" customWidth="1"/>
    <x:col min="22" max="22" width="100" hidden="0" customWidth="1"/>
    <x:col min="23" max="23" width="24" hidden="0" customWidth="1"/>
    <x:col min="24" max="24" width="25" hidden="0" customWidth="1"/>
    <x:col min="25" max="25" width="29" hidden="0" customWidth="1"/>
    <x:col min="26" max="26" width="29" hidden="0" customWidth="1"/>
    <x:col min="27" max="27" width="28" hidden="0" customWidth="1"/>
    <x:col min="28" max="28" width="22" hidden="0" customWidth="1"/>
    <x:col min="29" max="29" width="25" hidden="0" customWidth="1"/>
    <x:col min="30" max="30" width="70" hidden="0" customWidth="1"/>
    <x:col min="31" max="31" width="55"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299 entries. Legger cargo rigging, chassis, replacements, service parts and armor are classified proposals. Search Legger or filter Subtype.</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36" customHeight="1">
      <x:c r="A5" s="8" t="str">
        <x:v>Item ID</x:v>
      </x:c>
      <x:c r="B5" s="8" t="str">
        <x:v>Item name</x:v>
      </x:c>
      <x:c r="C5" s="8" t="str">
        <x:v>Category</x:v>
      </x:c>
      <x:c r="D5" s="8" t="str">
        <x:v>Subtype</x:v>
      </x:c>
      <x:c r="E5" s="8" t="str">
        <x:v>Implementation scope</x:v>
      </x:c>
      <x:c r="F5" s="8" t="str">
        <x:v>Purpose</x:v>
      </x:c>
      <x:c r="G5" s="8" t="str">
        <x:v>Equipment slot</x:v>
      </x:c>
      <x:c r="H5" s="8" t="str">
        <x:v>Carrier metadata</x:v>
      </x:c>
      <x:c r="I5" s="8" t="str">
        <x:v>Stack limit</x:v>
      </x:c>
      <x:c r="J5" s="8" t="str">
        <x:v>Mass (game units)</x:v>
      </x:c>
      <x:c r="K5" s="8" t="str">
        <x:v>Acquisition</x:v>
      </x:c>
      <x:c r="L5" s="8" t="str">
        <x:v>Crafting / processing</x:v>
      </x:c>
      <x:c r="M5" s="8" t="str">
        <x:v>Supported behavior</x:v>
      </x:c>
      <x:c r="N5" s="8" t="str">
        <x:v>Limitations</x:v>
      </x:c>
      <x:c r="O5" s="8" t="str">
        <x:v>Rarity</x:v>
      </x:c>
      <x:c r="P5" s="8" t="str">
        <x:v>Trade value</x:v>
      </x:c>
      <x:c r="Q5" s="8" t="str">
        <x:v>Damage</x:v>
      </x:c>
      <x:c r="R5" s="8" t="str">
        <x:v>Protection</x:v>
      </x:c>
      <x:c r="S5" s="8" t="str">
        <x:v>Durability</x:v>
      </x:c>
      <x:c r="T5" s="8" t="str">
        <x:v>Open design decisions</x:v>
      </x:c>
      <x:c r="U5" s="57" t="str">
        <x:v>Search aliases</x:v>
      </x:c>
      <x:c r="V5" s="12" t="str">
        <x:v>Sources</x:v>
      </x:c>
      <x:c r="W5" s="53" t="str">
        <x:v>Item type</x:v>
      </x:c>
      <x:c r="X5" s="53" t="str">
        <x:v>Processing stage</x:v>
      </x:c>
      <x:c r="Y5" s="53" t="str">
        <x:v>Origin family</x:v>
      </x:c>
      <x:c r="Z5" s="53" t="str">
        <x:v>Primary use</x:v>
      </x:c>
      <x:c r="AA5" s="53" t="str">
        <x:v>Material family</x:v>
      </x:c>
      <x:c r="AB5" s="53" t="str">
        <x:v>Physical form</x:v>
      </x:c>
      <x:c r="AC5" s="53" t="str">
        <x:v>Design status</x:v>
      </x:c>
      <x:c r="AD5" s="53" t="str">
        <x:v>Search terms</x:v>
      </x:c>
      <x:c r="AE5" s="53" t="str">
        <x:v>Classification basis</x:v>
      </x:c>
    </x:row>
    <x:row r="6" ht="48" customHeight="1">
      <x:c r="A6" s="9" t="str">
        <x:v>lab.salvage.drive_assembly</x:v>
      </x:c>
      <x:c r="B6" s="9" t="str">
        <x:v>Drive Assembly</x:v>
      </x:c>
      <x:c r="C6" s="9" t="str">
        <x:v>Crafting components</x:v>
      </x:c>
      <x:c r="D6" s="9" t="str">
        <x:v>Salvage</x:v>
      </x:c>
      <x:c r="E6" s="9" t="str">
        <x:v>Camp Loop trial</x:v>
      </x:c>
      <x:c r="F6" s="9" t="str">
        <x:v>Drive assembly removed from the dead machine.</x:v>
      </x:c>
      <x:c r="G6" s="9" t="str">
        <x:v>None</x:v>
      </x:c>
      <x:c r="H6" s="9" t="str">
        <x:v>Legger only</x:v>
      </x:c>
      <x:c r="I6" s="13" t="n">
        <x:v>1</x:v>
      </x:c>
      <x:c r="J6" s="15" t="n">
        <x:v>6</x:v>
      </x:c>
      <x:c r="K6" s="9" t="str">
        <x:v>Camp Loop wreck extraction</x:v>
      </x:c>
      <x:c r="L6" s="9" t="str">
        <x:v>No recipe authored</x:v>
      </x:c>
      <x:c r="M6" s="9" t="str">
        <x:v>Finite trial salvage reward</x:v>
      </x:c>
      <x:c r="N6" s="9" t="str">
        <x:v>Provisional salvage part</x:v>
      </x:c>
      <x:c r="O6" s="17"/>
      <x:c r="P6" s="17"/>
      <x:c r="Q6" s="17"/>
      <x:c r="R6" s="17"/>
      <x:c r="S6" s="17"/>
      <x:c r="T6" s="9" t="str">
        <x:v>Recipes, final name and production adoption</x:v>
      </x:c>
      <x:c r="U6" s="11"/>
      <x:c r="V6" s="9" t="str">
        <x:v>Assets/_Project/Settings/Studies/CampLoopSalvage/Part2.asset; Docs/Evidence/Gameplay/CampLoopSalvage20261014/README.md</x:v>
      </x:c>
      <x:c r="W6" s="4" t="str">
        <x:v>Crafting component</x:v>
      </x:c>
      <x:c r="X6" s="4" t="str">
        <x:v>Recovered part</x:v>
      </x:c>
      <x:c r="Y6" s="4" t="str">
        <x:v>Recovered machinery</x:v>
      </x:c>
      <x:c r="Z6" s="4" t="str">
        <x:v>Machinery repair</x:v>
      </x:c>
      <x:c r="AA6" s="4" t="str">
        <x:v>Mixed / unresolved</x:v>
      </x:c>
      <x:c r="AB6" s="4" t="str">
        <x:v>Assembly</x:v>
      </x:c>
      <x:c r="AC6" s="4" t="str">
        <x:v>Existing definition</x:v>
      </x:c>
      <x:c r="AD6" s="4" t="str">
        <x:f>LOWER(A6&amp;"; "&amp;B6&amp;"; "&amp;C6&amp;"; "&amp;D6&amp;"; "&amp;W6&amp;"; "&amp;X6&amp;"; "&amp;Y6&amp;"; "&amp;Z6&amp;"; "&amp;AA6&amp;"; "&amp;AB6&amp;"; "&amp;AC6&amp;"; "&amp;U6)</x:f>
        <x:v>lab.salvage.drive_assembly; drive assembly; crafting components; salvage; crafting component; recovered part; recovered machinery; machinery repair; mixed / unresolved; assembly; existing definition; </x:v>
      </x:c>
      <x:c r="AE6" s="4" t="str">
        <x:v>From current item description. Proposed uses retain their existing approval status.</x:v>
      </x:c>
    </x:row>
    <x:row r="7" ht="48" customHeight="1">
      <x:c r="A7" s="4" t="str">
        <x:v>lab.salvage.metal_plate</x:v>
      </x:c>
      <x:c r="B7" s="4" t="str">
        <x:v>Metal Plate</x:v>
      </x:c>
      <x:c r="C7" s="4" t="str">
        <x:v>Crafting components</x:v>
      </x:c>
      <x:c r="D7" s="4" t="str">
        <x:v>Salvage</x:v>
      </x:c>
      <x:c r="E7" s="4" t="str">
        <x:v>Camp Loop trial</x:v>
      </x:c>
      <x:c r="F7" s="4" t="str">
        <x:v>Plate removed from the dead machine.</x:v>
      </x:c>
      <x:c r="G7" s="4" t="str">
        <x:v>None</x:v>
      </x:c>
      <x:c r="H7" s="4" t="str">
        <x:v>Legger only</x:v>
      </x:c>
      <x:c r="I7" s="14" t="n">
        <x:v>20</x:v>
      </x:c>
      <x:c r="J7" s="16" t="n">
        <x:v>2</x:v>
      </x:c>
      <x:c r="K7" s="4" t="str">
        <x:v>Camp Loop wreck extraction</x:v>
      </x:c>
      <x:c r="L7" s="4" t="str">
        <x:v>No recipe authored</x:v>
      </x:c>
      <x:c r="M7" s="4" t="str">
        <x:v>Finite trial salvage reward</x:v>
      </x:c>
      <x:c r="N7" s="4" t="str">
        <x:v>Provisional salvage part</x:v>
      </x:c>
      <x:c r="O7" s="17"/>
      <x:c r="P7" s="17"/>
      <x:c r="Q7" s="17"/>
      <x:c r="R7" s="17"/>
      <x:c r="S7" s="17"/>
      <x:c r="T7" s="4" t="str">
        <x:v>Recipes, final name and production adoption</x:v>
      </x:c>
      <x:c r="U7" s="11"/>
      <x:c r="V7" s="4" t="str">
        <x:v>Assets/_Project/Settings/Studies/CampLoopSalvage/Part0.asset; Docs/Evidence/Gameplay/CampLoopSalvage20261014/README.md</x:v>
      </x:c>
      <x:c r="W7" s="4" t="str">
        <x:v>Crafting component</x:v>
      </x:c>
      <x:c r="X7" s="4" t="str">
        <x:v>Recovered part</x:v>
      </x:c>
      <x:c r="Y7" s="4" t="str">
        <x:v>Recovered machinery</x:v>
      </x:c>
      <x:c r="Z7" s="4" t="str">
        <x:v>Fabrication</x:v>
      </x:c>
      <x:c r="AA7" s="4" t="str">
        <x:v>Metal</x:v>
      </x:c>
      <x:c r="AB7" s="4" t="str">
        <x:v>Solid part</x:v>
      </x:c>
      <x:c r="AC7" s="4" t="str">
        <x:v>Existing definition</x:v>
      </x:c>
      <x:c r="AD7" s="4" t="str">
        <x:f>LOWER(A7&amp;"; "&amp;B7&amp;"; "&amp;C7&amp;"; "&amp;D7&amp;"; "&amp;W7&amp;"; "&amp;X7&amp;"; "&amp;Y7&amp;"; "&amp;Z7&amp;"; "&amp;AA7&amp;"; "&amp;AB7&amp;"; "&amp;AC7&amp;"; "&amp;U7)</x:f>
        <x:v>lab.salvage.metal_plate; metal plate; crafting components; salvage; crafting component; recovered part; recovered machinery; fabrication; metal; solid part; existing definition; </x:v>
      </x:c>
      <x:c r="AE7" s="4" t="str">
        <x:v>From current item description. Proposed uses retain their existing approval status.</x:v>
      </x:c>
    </x:row>
    <x:row r="8" ht="48" customHeight="1">
      <x:c r="A8" s="9" t="str">
        <x:v>lab.salvage.wire_bundle</x:v>
      </x:c>
      <x:c r="B8" s="9" t="str">
        <x:v>Wire Bundle</x:v>
      </x:c>
      <x:c r="C8" s="9" t="str">
        <x:v>Crafting components</x:v>
      </x:c>
      <x:c r="D8" s="9" t="str">
        <x:v>Salvage</x:v>
      </x:c>
      <x:c r="E8" s="9" t="str">
        <x:v>Camp Loop trial</x:v>
      </x:c>
      <x:c r="F8" s="9" t="str">
        <x:v>Wire bundle removed from the dead machine.</x:v>
      </x:c>
      <x:c r="G8" s="9" t="str">
        <x:v>None</x:v>
      </x:c>
      <x:c r="H8" s="9" t="str">
        <x:v>Legger only</x:v>
      </x:c>
      <x:c r="I8" s="13" t="n">
        <x:v>10</x:v>
      </x:c>
      <x:c r="J8" s="15" t="n">
        <x:v>0.5</x:v>
      </x:c>
      <x:c r="K8" s="9" t="str">
        <x:v>Camp Loop wreck extraction</x:v>
      </x:c>
      <x:c r="L8" s="9" t="str">
        <x:v>No recipe authored</x:v>
      </x:c>
      <x:c r="M8" s="9" t="str">
        <x:v>Finite trial salvage reward</x:v>
      </x:c>
      <x:c r="N8" s="9" t="str">
        <x:v>Provisional salvage part</x:v>
      </x:c>
      <x:c r="O8" s="17"/>
      <x:c r="P8" s="17"/>
      <x:c r="Q8" s="17"/>
      <x:c r="R8" s="17"/>
      <x:c r="S8" s="17"/>
      <x:c r="T8" s="9" t="str">
        <x:v>Recipes, final name and production adoption</x:v>
      </x:c>
      <x:c r="U8" s="11"/>
      <x:c r="V8" s="9" t="str">
        <x:v>Assets/_Project/Settings/Studies/CampLoopSalvage/Part1.asset; Docs/Evidence/Gameplay/CampLoopSalvage20261014/README.md</x:v>
      </x:c>
      <x:c r="W8" s="4" t="str">
        <x:v>Crafting component</x:v>
      </x:c>
      <x:c r="X8" s="4" t="str">
        <x:v>Recovered part</x:v>
      </x:c>
      <x:c r="Y8" s="4" t="str">
        <x:v>Recovered machinery</x:v>
      </x:c>
      <x:c r="Z8" s="4" t="str">
        <x:v>Electrical work</x:v>
      </x:c>
      <x:c r="AA8" s="4" t="str">
        <x:v>Metal</x:v>
      </x:c>
      <x:c r="AB8" s="4" t="str">
        <x:v>Bundle</x:v>
      </x:c>
      <x:c r="AC8" s="4" t="str">
        <x:v>Existing definition</x:v>
      </x:c>
      <x:c r="AD8" s="4" t="str">
        <x:f>LOWER(A8&amp;"; "&amp;B8&amp;"; "&amp;C8&amp;"; "&amp;D8&amp;"; "&amp;W8&amp;"; "&amp;X8&amp;"; "&amp;Y8&amp;"; "&amp;Z8&amp;"; "&amp;AA8&amp;"; "&amp;AB8&amp;"; "&amp;AC8&amp;"; "&amp;U8)</x:f>
        <x:v>lab.salvage.wire_bundle; wire bundle; crafting components; salvage; crafting component; recovered part; recovered machinery; electrical work; metal; bundle; existing definition; </x:v>
      </x:c>
      <x:c r="AE8" s="4" t="str">
        <x:v>From current item description. Proposed uses retain their existing approval status.</x:v>
      </x:c>
    </x:row>
    <x:row r="9" ht="48" customHeight="1">
      <x:c r="A9" s="4" t="str">
        <x:v>equipment.algae_canister</x:v>
      </x:c>
      <x:c r="B9" s="4" t="str">
        <x:v>Algae canister</x:v>
      </x:c>
      <x:c r="C9" s="4" t="str">
        <x:v>Equipment</x:v>
      </x:c>
      <x:c r="D9" s="4" t="str">
        <x:v>Survival</x:v>
      </x:c>
      <x:c r="E9" s="4" t="str">
        <x:v>Camp Loop trial</x:v>
      </x:c>
      <x:c r="F9" s="4" t="str">
        <x:v>Attached reserve for eating, drinking and treating injuries.</x:v>
      </x:c>
      <x:c r="G9" s="4" t="str">
        <x:v>Algae canister</x:v>
      </x:c>
      <x:c r="H9" s="4" t="str">
        <x:v>Booter only</x:v>
      </x:c>
      <x:c r="I9" s="14" t="n">
        <x:v>1</x:v>
      </x:c>
      <x:c r="J9" s="16" t="n">
        <x:v>0.8</x:v>
      </x:c>
      <x:c r="K9" s="4" t="str">
        <x:v>Starter fitted gear</x:v>
      </x:c>
      <x:c r="L9" s="4" t="str">
        <x:v>No recipe authored</x:v>
      </x:c>
      <x:c r="M9" s="4" t="str">
        <x:v>Existing living-algae reserve</x:v>
      </x:c>
      <x:c r="N9" s="4" t="str">
        <x:v>Cannot remove attachment; no sleep/Reserve restoration</x:v>
      </x:c>
      <x:c r="O9" s="17"/>
      <x:c r="P9" s="17"/>
      <x:c r="Q9" s="17"/>
      <x:c r="R9" s="17"/>
      <x:c r="S9" s="17"/>
      <x:c r="T9" s="4" t="str">
        <x:v>Swap/refill design and final balance</x:v>
      </x:c>
      <x:c r="U9" s="11" t="str">
        <x:v>injury treatment</x:v>
      </x:c>
      <x:c r="V9" s="4" t="str">
        <x:v>Assets/_Project/Settings/Items/CampLoopLoadout/AlgaeCanister.asset; Docs/Evidence/Gameplay/CampLoopLoadout20261014/README.md</x:v>
      </x:c>
      <x:c r="W9" s="4" t="str">
        <x:v>Container</x:v>
      </x:c>
      <x:c r="X9" s="4" t="str">
        <x:v>Finished item</x:v>
      </x:c>
      <x:c r="Y9" s="4" t="str">
        <x:v>Living culture</x:v>
      </x:c>
      <x:c r="Z9" s="4" t="str">
        <x:v>Survival provision</x:v>
      </x:c>
      <x:c r="AA9" s="4" t="str">
        <x:v>Mixed / unresolved</x:v>
      </x:c>
      <x:c r="AB9" s="4" t="str">
        <x:v>Assembly</x:v>
      </x:c>
      <x:c r="AC9" s="4" t="str">
        <x:v>Existing definition</x:v>
      </x:c>
      <x:c r="AD9" s="4" t="str">
        <x:f>LOWER(A9&amp;"; "&amp;B9&amp;"; "&amp;C9&amp;"; "&amp;D9&amp;"; "&amp;W9&amp;"; "&amp;X9&amp;"; "&amp;Y9&amp;"; "&amp;Z9&amp;"; "&amp;AA9&amp;"; "&amp;AB9&amp;"; "&amp;AC9&amp;"; "&amp;U9)</x:f>
        <x:v>equipment.algae_canister; algae canister; equipment; survival; container; finished item; living culture; survival provision; mixed / unresolved; assembly; existing definition; injury treatment</x:v>
      </x:c>
      <x:c r="AE9" s="4" t="str">
        <x:v>From current item description. Proposed uses retain their existing approval status.</x:v>
      </x:c>
    </x:row>
    <x:row r="10" ht="48" customHeight="1">
      <x:c r="A10" s="9" t="str">
        <x:v>equipment.cloak</x:v>
      </x:c>
      <x:c r="B10" s="9" t="str">
        <x:v>Cloak</x:v>
      </x:c>
      <x:c r="C10" s="9" t="str">
        <x:v>Equipment</x:v>
      </x:c>
      <x:c r="D10" s="9" t="str">
        <x:v>Clothing</x:v>
      </x:c>
      <x:c r="E10" s="9" t="str">
        <x:v>Camp Loop trial</x:v>
      </x:c>
      <x:c r="F10" s="9" t="str">
        <x:v>Worn cloak becomes the camp blanket.</x:v>
      </x:c>
      <x:c r="G10" s="9" t="str">
        <x:v>Cloak</x:v>
      </x:c>
      <x:c r="H10" s="9" t="str">
        <x:v>Either carrier</x:v>
      </x:c>
      <x:c r="I10" s="13" t="n">
        <x:v>1</x:v>
      </x:c>
      <x:c r="J10" s="15" t="n">
        <x:v>1</x:v>
      </x:c>
      <x:c r="K10" s="9" t="str">
        <x:v>Starter fitted gear</x:v>
      </x:c>
      <x:c r="L10" s="9" t="str">
        <x:v>No recipe authored</x:v>
      </x:c>
      <x:c r="M10" s="9" t="str">
        <x:v>Worn and blanket presentation share ownership</x:v>
      </x:c>
      <x:c r="N10" s="9" t="str">
        <x:v>Blanket is not a second item; no extra healing bonus</x:v>
      </x:c>
      <x:c r="O10" s="17"/>
      <x:c r="P10" s="17"/>
      <x:c r="Q10" s="17"/>
      <x:c r="R10" s="17"/>
      <x:c r="S10" s="17"/>
      <x:c r="T10" s="9" t="str">
        <x:v>Protection and material progression; material composition unresolved under no-cloth rule</x:v>
      </x:c>
      <x:c r="U10" s="11" t="str">
        <x:v>camp rest</x:v>
      </x:c>
      <x:c r="V10" s="9" t="str">
        <x:v>Assets/_Project/Settings/Items/CampLoopLoadout/Cloak.asset; Docs/Evidence/Gameplay/CampLoopLoadout20261014/README.md</x:v>
      </x:c>
      <x:c r="W10" s="4" t="str">
        <x:v>Wearable</x:v>
      </x:c>
      <x:c r="X10" s="4" t="str">
        <x:v>Finished item</x:v>
      </x:c>
      <x:c r="Y10" s="4" t="str">
        <x:v>Unresolved</x:v>
      </x:c>
      <x:c r="Z10" s="4" t="str">
        <x:v>Clothing</x:v>
      </x:c>
      <x:c r="AA10" s="4" t="str">
        <x:v>Unresolved</x:v>
      </x:c>
      <x:c r="AB10" s="4" t="str">
        <x:v>Garment</x:v>
      </x:c>
      <x:c r="AC10" s="4" t="str">
        <x:v>Existing definition</x:v>
      </x:c>
      <x:c r="AD10" s="4" t="str">
        <x:f>LOWER(A10&amp;"; "&amp;B10&amp;"; "&amp;C10&amp;"; "&amp;D10&amp;"; "&amp;W10&amp;"; "&amp;X10&amp;"; "&amp;Y10&amp;"; "&amp;Z10&amp;"; "&amp;AA10&amp;"; "&amp;AB10&amp;"; "&amp;AC10&amp;"; "&amp;U10)</x:f>
        <x:v>equipment.cloak; cloak; equipment; clothing; wearable; finished item; unresolved; clothing; unresolved; garment; existing definition; camp rest</x:v>
      </x:c>
      <x:c r="AE10" s="4" t="str">
        <x:v>From current item description. Proposed uses retain their existing approval status.</x:v>
      </x:c>
    </x:row>
    <x:row r="11" ht="48" customHeight="1">
      <x:c r="A11" s="4" t="str">
        <x:v>equipment.digging_tool</x:v>
      </x:c>
      <x:c r="B11" s="4" t="str">
        <x:v>Digging shovel axe</x:v>
      </x:c>
      <x:c r="C11" s="4" t="str">
        <x:v>Equipment</x:v>
      </x:c>
      <x:c r="D11" s="4" t="str">
        <x:v>Excavation</x:v>
      </x:c>
      <x:c r="E11" s="4" t="str">
        <x:v>Camp Loop trial</x:v>
      </x:c>
      <x:c r="F11" s="4" t="str">
        <x:v>Starter combined shovel and axe.</x:v>
      </x:c>
      <x:c r="G11" s="4" t="str">
        <x:v>Digging tool</x:v>
      </x:c>
      <x:c r="H11" s="4" t="str">
        <x:v>Either carrier</x:v>
      </x:c>
      <x:c r="I11" s="14" t="n">
        <x:v>1</x:v>
      </x:c>
      <x:c r="J11" s="16" t="n">
        <x:v>1.5</x:v>
      </x:c>
      <x:c r="K11" s="4" t="str">
        <x:v>Starter fitted gear</x:v>
      </x:c>
      <x:c r="L11" s="4" t="str">
        <x:v>No recipe authored</x:v>
      </x:c>
      <x:c r="M11" s="4" t="str">
        <x:v>Inventory ownership only</x:v>
      </x:c>
      <x:c r="N11" s="4" t="str">
        <x:v>No new mining prerequisite or combat action</x:v>
      </x:c>
      <x:c r="O11" s="17"/>
      <x:c r="P11" s="17"/>
      <x:c r="Q11" s="17"/>
      <x:c r="R11" s="17"/>
      <x:c r="S11" s="17"/>
      <x:c r="T11" s="4" t="str">
        <x:v>Final name, excavation behavior and progression</x:v>
      </x:c>
      <x:c r="U11" s="11"/>
      <x:c r="V11" s="4" t="str">
        <x:v>Assets/_Project/Settings/Items/CampLoopLoadout/DiggingTool.asset; Docs/Evidence/Gameplay/CampLoopLoadout20261014/README.md</x:v>
      </x:c>
      <x:c r="W11" s="4" t="str">
        <x:v>Tool</x:v>
      </x:c>
      <x:c r="X11" s="4" t="str">
        <x:v>Finished item</x:v>
      </x:c>
      <x:c r="Y11" s="4" t="str">
        <x:v>Unresolved</x:v>
      </x:c>
      <x:c r="Z11" s="4" t="str">
        <x:v>Excavation</x:v>
      </x:c>
      <x:c r="AA11" s="4" t="str">
        <x:v>Mixed / unresolved</x:v>
      </x:c>
      <x:c r="AB11" s="4" t="str">
        <x:v>Assembly</x:v>
      </x:c>
      <x:c r="AC11" s="4" t="str">
        <x:v>Existing definition</x:v>
      </x:c>
      <x:c r="AD11" s="4" t="str">
        <x:f>LOWER(A11&amp;"; "&amp;B11&amp;"; "&amp;C11&amp;"; "&amp;D11&amp;"; "&amp;W11&amp;"; "&amp;X11&amp;"; "&amp;Y11&amp;"; "&amp;Z11&amp;"; "&amp;AA11&amp;"; "&amp;AB11&amp;"; "&amp;AC11&amp;"; "&amp;U11)</x:f>
        <x:v>equipment.digging_tool; digging shovel axe; equipment; excavation; tool; finished item; unresolved; excavation; mixed / unresolved; assembly; existing definition; </x:v>
      </x:c>
      <x:c r="AE11" s="4" t="str">
        <x:v>From current item description. Proposed uses retain their existing approval status.</x:v>
      </x:c>
    </x:row>
    <x:row r="12" ht="48" customHeight="1">
      <x:c r="A12" s="9" t="str">
        <x:v>tool.micro_dust_harvester</x:v>
      </x:c>
      <x:c r="B12" s="9" t="str">
        <x:v>Dust canister</x:v>
      </x:c>
      <x:c r="C12" s="9" t="str">
        <x:v>Equipment</x:v>
      </x:c>
      <x:c r="D12" s="9" t="str">
        <x:v>Harvesting</x:v>
      </x:c>
      <x:c r="E12" s="9" t="str">
        <x:v>Shared definition; trial variant/rules</x:v>
      </x:c>
      <x:c r="F12" s="9" t="str">
        <x:v>Deploy a canister to gather airborne dust.</x:v>
      </x:c>
      <x:c r="G12" s="9" t="str">
        <x:v>Dust canister</x:v>
      </x:c>
      <x:c r="H12" s="9" t="str">
        <x:v>Either carrier</x:v>
      </x:c>
      <x:c r="I12" s="13" t="n">
        <x:v>1</x:v>
      </x:c>
      <x:c r="J12" s="15" t="n">
        <x:v>0.8</x:v>
      </x:c>
      <x:c r="K12" s="9" t="str">
        <x:v>Starter dust equipment</x:v>
      </x:c>
      <x:c r="L12" s="9" t="str">
        <x:v>Reusable tool in charging loop</x:v>
      </x:c>
      <x:c r="M12" s="9" t="str">
        <x:v>Camp trial preserves instance and carried dust payload</x:v>
      </x:c>
      <x:c r="N12" s="9" t="str">
        <x:v>Filled recovery goes to cargo; empty may return to equipment slot</x:v>
      </x:c>
      <x:c r="O12" s="17"/>
      <x:c r="P12" s="17"/>
      <x:c r="Q12" s="17"/>
      <x:c r="R12" s="17"/>
      <x:c r="S12" s="17"/>
      <x:c r="T12" s="9" t="str">
        <x:v>Capacity and collection-rate tuning; final naming</x:v>
      </x:c>
      <x:c r="U12" s="11"/>
      <x:c r="V12" s="9" t="str">
        <x:v>Assets/_Project/Settings/Items/CampLoopLoadout/DustCanister.asset; Docs/Evidence/Gameplay/CampWorkstations20261014/README.md</x:v>
      </x:c>
      <x:c r="W12" s="4" t="str">
        <x:v>Tool</x:v>
      </x:c>
      <x:c r="X12" s="4" t="str">
        <x:v>Finished item</x:v>
      </x:c>
      <x:c r="Y12" s="4" t="str">
        <x:v>Unresolved</x:v>
      </x:c>
      <x:c r="Z12" s="4" t="str">
        <x:v>Resource collection</x:v>
      </x:c>
      <x:c r="AA12" s="4" t="str">
        <x:v>Mixed / unresolved</x:v>
      </x:c>
      <x:c r="AB12" s="4" t="str">
        <x:v>Assembly</x:v>
      </x:c>
      <x:c r="AC12" s="4" t="str">
        <x:v>Existing definition</x:v>
      </x:c>
      <x:c r="AD12" s="4" t="str">
        <x:f>LOWER(A12&amp;"; "&amp;B12&amp;"; "&amp;C12&amp;"; "&amp;D12&amp;"; "&amp;W12&amp;"; "&amp;X12&amp;"; "&amp;Y12&amp;"; "&amp;Z12&amp;"; "&amp;AA12&amp;"; "&amp;AB12&amp;"; "&amp;AC12&amp;"; "&amp;U12)</x:f>
        <x:v>tool.micro_dust_harvester; dust canister; equipment; harvesting; tool; finished item; unresolved; resource collection; mixed / unresolved; assembly; existing definition; </x:v>
      </x:c>
      <x:c r="AE12" s="4" t="str">
        <x:v>From current item description. Proposed uses retain their existing approval status.</x:v>
      </x:c>
    </x:row>
    <x:row r="13" ht="48" customHeight="1">
      <x:c r="A13" s="4" t="str">
        <x:v>equipment.grappling_hook</x:v>
      </x:c>
      <x:c r="B13" s="4" t="str">
        <x:v>Grappling hook</x:v>
      </x:c>
      <x:c r="C13" s="4" t="str">
        <x:v>Equipment</x:v>
      </x:c>
      <x:c r="D13" s="4" t="str">
        <x:v>Traversal</x:v>
      </x:c>
      <x:c r="E13" s="4" t="str">
        <x:v>Camp Loop trial</x:v>
      </x:c>
      <x:c r="F13" s="4" t="str">
        <x:v>Terrain navigation gear.</x:v>
      </x:c>
      <x:c r="G13" s="4" t="str">
        <x:v>Grappling hook</x:v>
      </x:c>
      <x:c r="H13" s="4" t="str">
        <x:v>Either carrier</x:v>
      </x:c>
      <x:c r="I13" s="14" t="n">
        <x:v>1</x:v>
      </x:c>
      <x:c r="J13" s="16" t="n">
        <x:v>1</x:v>
      </x:c>
      <x:c r="K13" s="4" t="str">
        <x:v>Starter fitted gear</x:v>
      </x:c>
      <x:c r="L13" s="4" t="str">
        <x:v>No recipe authored</x:v>
      </x:c>
      <x:c r="M13" s="4" t="str">
        <x:v>Inventory ownership only</x:v>
      </x:c>
      <x:c r="N13" s="4" t="str">
        <x:v>Grapple traversal is not implemented</x:v>
      </x:c>
      <x:c r="O13" s="17"/>
      <x:c r="P13" s="17"/>
      <x:c r="Q13" s="17"/>
      <x:c r="R13" s="17"/>
      <x:c r="S13" s="17"/>
      <x:c r="T13" s="4" t="str">
        <x:v>Traversal rules and upgrades</x:v>
      </x:c>
      <x:c r="U13" s="11"/>
      <x:c r="V13" s="4" t="str">
        <x:v>Assets/_Project/Settings/Items/CampLoopLoadout/GrapplingHook.asset; Docs/Evidence/Gameplay/CampLoopLoadout20261014/README.md</x:v>
      </x:c>
      <x:c r="W13" s="4" t="str">
        <x:v>Tool</x:v>
      </x:c>
      <x:c r="X13" s="4" t="str">
        <x:v>Finished item</x:v>
      </x:c>
      <x:c r="Y13" s="4" t="str">
        <x:v>Unresolved</x:v>
      </x:c>
      <x:c r="Z13" s="4" t="str">
        <x:v>Traversal</x:v>
      </x:c>
      <x:c r="AA13" s="4" t="str">
        <x:v>Mixed / unresolved</x:v>
      </x:c>
      <x:c r="AB13" s="4" t="str">
        <x:v>Assembly</x:v>
      </x:c>
      <x:c r="AC13" s="4" t="str">
        <x:v>Existing definition</x:v>
      </x:c>
      <x:c r="AD13" s="4" t="str">
        <x:f>LOWER(A13&amp;"; "&amp;B13&amp;"; "&amp;C13&amp;"; "&amp;D13&amp;"; "&amp;W13&amp;"; "&amp;X13&amp;"; "&amp;Y13&amp;"; "&amp;Z13&amp;"; "&amp;AA13&amp;"; "&amp;AB13&amp;"; "&amp;AC13&amp;"; "&amp;U13)</x:f>
        <x:v>equipment.grappling_hook; grappling hook; equipment; traversal; tool; finished item; unresolved; traversal; mixed / unresolved; assembly; existing definition; </x:v>
      </x:c>
      <x:c r="AE13" s="4" t="str">
        <x:v>From current item description. Proposed uses retain their existing approval status.</x:v>
      </x:c>
    </x:row>
    <x:row r="14" ht="48" customHeight="1">
      <x:c r="A14" s="9" t="str">
        <x:v>equipment.jacket</x:v>
      </x:c>
      <x:c r="B14" s="9" t="str">
        <x:v>Jacket</x:v>
      </x:c>
      <x:c r="C14" s="9" t="str">
        <x:v>Equipment</x:v>
      </x:c>
      <x:c r="D14" s="9" t="str">
        <x:v>Clothing</x:v>
      </x:c>
      <x:c r="E14" s="9" t="str">
        <x:v>Camp Loop trial</x:v>
      </x:c>
      <x:c r="F14" s="9" t="str">
        <x:v>Separate jacket equipment.</x:v>
      </x:c>
      <x:c r="G14" s="9" t="str">
        <x:v>Jacket</x:v>
      </x:c>
      <x:c r="H14" s="9" t="str">
        <x:v>Either carrier</x:v>
      </x:c>
      <x:c r="I14" s="13" t="n">
        <x:v>1</x:v>
      </x:c>
      <x:c r="J14" s="15" t="n">
        <x:v>1</x:v>
      </x:c>
      <x:c r="K14" s="9" t="str">
        <x:v>Starter fitted gear</x:v>
      </x:c>
      <x:c r="L14" s="9" t="str">
        <x:v>No recipe authored</x:v>
      </x:c>
      <x:c r="M14" s="9" t="str">
        <x:v>Inventory ownership only</x:v>
      </x:c>
      <x:c r="N14" s="9" t="str">
        <x:v>No protection or durability effects enabled</x:v>
      </x:c>
      <x:c r="O14" s="17"/>
      <x:c r="P14" s="17"/>
      <x:c r="Q14" s="17"/>
      <x:c r="R14" s="17"/>
      <x:c r="S14" s="17"/>
      <x:c r="T14" s="9" t="str">
        <x:v>Protection, exposure rules and progression; material composition unresolved under no-cloth rule</x:v>
      </x:c>
      <x:c r="U14" s="11"/>
      <x:c r="V14" s="9" t="str">
        <x:v>Assets/_Project/Settings/Items/CampLoopLoadout/Jacket.asset; Docs/Evidence/Gameplay/CampLoopLoadout20261014/README.md</x:v>
      </x:c>
      <x:c r="W14" s="4" t="str">
        <x:v>Wearable</x:v>
      </x:c>
      <x:c r="X14" s="4" t="str">
        <x:v>Finished item</x:v>
      </x:c>
      <x:c r="Y14" s="4" t="str">
        <x:v>Unresolved</x:v>
      </x:c>
      <x:c r="Z14" s="4" t="str">
        <x:v>Clothing</x:v>
      </x:c>
      <x:c r="AA14" s="4" t="str">
        <x:v>Unresolved</x:v>
      </x:c>
      <x:c r="AB14" s="4" t="str">
        <x:v>Garment</x:v>
      </x:c>
      <x:c r="AC14" s="4" t="str">
        <x:v>Existing definition</x:v>
      </x:c>
      <x:c r="AD14" s="4" t="str">
        <x:f>LOWER(A14&amp;"; "&amp;B14&amp;"; "&amp;C14&amp;"; "&amp;D14&amp;"; "&amp;W14&amp;"; "&amp;X14&amp;"; "&amp;Y14&amp;"; "&amp;Z14&amp;"; "&amp;AA14&amp;"; "&amp;AB14&amp;"; "&amp;AC14&amp;"; "&amp;U14)</x:f>
        <x:v>equipment.jacket; jacket; equipment; clothing; wearable; finished item; unresolved; clothing; unresolved; garment; existing definition; </x:v>
      </x:c>
      <x:c r="AE14" s="4" t="str">
        <x:v>From current item description. Proposed uses retain their existing approval status.</x:v>
      </x:c>
    </x:row>
    <x:row r="15" ht="48" customHeight="1">
      <x:c r="A15" s="4" t="str">
        <x:v>equipment.arc_battery_charged</x:v>
      </x:c>
      <x:c r="B15" s="4" t="str">
        <x:v>Charged Arc Battery</x:v>
      </x:c>
      <x:c r="C15" s="4" t="str">
        <x:v>Field supplies</x:v>
      </x:c>
      <x:c r="D15" s="4" t="str">
        <x:v>Energy container</x:v>
      </x:c>
      <x:c r="E15" s="4" t="str">
        <x:v>Camp Loop trial</x:v>
      </x:c>
      <x:c r="F15" s="4" t="str">
        <x:v>Battery containing refined Arc Energy.</x:v>
      </x:c>
      <x:c r="G15" s="4" t="str">
        <x:v>None</x:v>
      </x:c>
      <x:c r="H15" s="4" t="str">
        <x:v>Either carrier</x:v>
      </x:c>
      <x:c r="I15" s="14" t="n">
        <x:v>1</x:v>
      </x:c>
      <x:c r="J15" s="16" t="n">
        <x:v>0.8</x:v>
      </x:c>
      <x:c r="K15" s="4" t="str">
        <x:v>Refinery: empty battery plus 10 canister dust</x:v>
      </x:c>
      <x:c r="L15" s="4" t="str">
        <x:v>Charging output</x:v>
      </x:c>
      <x:c r="M15" s="4" t="str">
        <x:v>Charged battery state</x:v>
      </x:c>
      <x:c r="N15" s="4" t="str">
        <x:v>No downstream energy consumer catalogued</x:v>
      </x:c>
      <x:c r="O15" s="17"/>
      <x:c r="P15" s="17"/>
      <x:c r="Q15" s="17"/>
      <x:c r="R15" s="17"/>
      <x:c r="S15" s="17"/>
      <x:c r="T15" s="4" t="str">
        <x:v>Discharge, reuse and powered equipment</x:v>
      </x:c>
      <x:c r="U15" s="11"/>
      <x:c r="V15" s="4" t="str">
        <x:v>Assets/_Project/Settings/Items/CampLoop/ChargedArcBattery.asset; Docs/Evidence/Gameplay/CampWorkstations20261014/README.md</x:v>
      </x:c>
      <x:c r="W15" s="4" t="str">
        <x:v>Energy storage</x:v>
      </x:c>
      <x:c r="X15" s="4" t="str">
        <x:v>Finished item</x:v>
      </x:c>
      <x:c r="Y15" s="4" t="str">
        <x:v>Manufactured / unresolved</x:v>
      </x:c>
      <x:c r="Z15" s="4" t="str">
        <x:v>Energy storage</x:v>
      </x:c>
      <x:c r="AA15" s="4" t="str">
        <x:v>Mixed / unresolved</x:v>
      </x:c>
      <x:c r="AB15" s="4" t="str">
        <x:v>Assembly</x:v>
      </x:c>
      <x:c r="AC15" s="4" t="str">
        <x:v>Existing definition</x:v>
      </x:c>
      <x:c r="AD15" s="4" t="str">
        <x:f>LOWER(A15&amp;"; "&amp;B15&amp;"; "&amp;C15&amp;"; "&amp;D15&amp;"; "&amp;W15&amp;"; "&amp;X15&amp;"; "&amp;Y15&amp;"; "&amp;Z15&amp;"; "&amp;AA15&amp;"; "&amp;AB15&amp;"; "&amp;AC15&amp;"; "&amp;U15)</x:f>
        <x:v>equipment.arc_battery_charged; charged arc battery; field supplies; energy container; energy storage; finished item; manufactured / unresolved; energy storage; mixed / unresolved; assembly; existing definition; </x:v>
      </x:c>
      <x:c r="AE15" s="4" t="str">
        <x:v>From current item description. Proposed uses retain their existing approval status.</x:v>
      </x:c>
    </x:row>
    <x:row r="16" ht="48" customHeight="1">
      <x:c r="A16" s="9" t="str">
        <x:v>equipment.arc_battery_empty</x:v>
      </x:c>
      <x:c r="B16" s="9" t="str">
        <x:v>Empty Arc Battery</x:v>
      </x:c>
      <x:c r="C16" s="9" t="str">
        <x:v>Field supplies</x:v>
      </x:c>
      <x:c r="D16" s="9" t="str">
        <x:v>Energy container</x:v>
      </x:c>
      <x:c r="E16" s="9" t="str">
        <x:v>Camp Loop trial</x:v>
      </x:c>
      <x:c r="F16" s="9" t="str">
        <x:v>Empty battery for dust refinery.</x:v>
      </x:c>
      <x:c r="G16" s="9" t="str">
        <x:v>None</x:v>
      </x:c>
      <x:c r="H16" s="9" t="str">
        <x:v>Either carrier</x:v>
      </x:c>
      <x:c r="I16" s="13" t="n">
        <x:v>1</x:v>
      </x:c>
      <x:c r="J16" s="15" t="n">
        <x:v>0.8</x:v>
      </x:c>
      <x:c r="K16" s="9" t="str">
        <x:v>Workbench: 4 Ironstone Ore</x:v>
      </x:c>
      <x:c r="L16" s="9" t="str">
        <x:v>Charging input</x:v>
      </x:c>
      <x:c r="M16" s="9" t="str">
        <x:v>Refinery accepts empty battery</x:v>
      </x:c>
      <x:c r="N16" s="9" t="str">
        <x:v>ID prefix equipment does not mean fitted equipment</x:v>
      </x:c>
      <x:c r="O16" s="17"/>
      <x:c r="P16" s="17"/>
      <x:c r="Q16" s="17"/>
      <x:c r="R16" s="17"/>
      <x:c r="S16" s="17"/>
      <x:c r="T16" s="9" t="str">
        <x:v>Final capacity, reuse and downstream uses</x:v>
      </x:c>
      <x:c r="U16" s="11" t="str">
        <x:v>energy processing</x:v>
      </x:c>
      <x:c r="V16" s="9" t="str">
        <x:v>Assets/_Project/Settings/Items/CampLoop/EmptyArcBattery.asset; Docs/Evidence/Gameplay/CampWorkstations20261014/README.md</x:v>
      </x:c>
      <x:c r="W16" s="4" t="str">
        <x:v>Energy storage</x:v>
      </x:c>
      <x:c r="X16" s="4" t="str">
        <x:v>Finished item</x:v>
      </x:c>
      <x:c r="Y16" s="4" t="str">
        <x:v>Manufactured / unresolved</x:v>
      </x:c>
      <x:c r="Z16" s="4" t="str">
        <x:v>Energy storage</x:v>
      </x:c>
      <x:c r="AA16" s="4" t="str">
        <x:v>Mixed / unresolved</x:v>
      </x:c>
      <x:c r="AB16" s="4" t="str">
        <x:v>Assembly</x:v>
      </x:c>
      <x:c r="AC16" s="4" t="str">
        <x:v>Existing definition</x:v>
      </x:c>
      <x:c r="AD16" s="4" t="str">
        <x:f>LOWER(A16&amp;"; "&amp;B16&amp;"; "&amp;C16&amp;"; "&amp;D16&amp;"; "&amp;W16&amp;"; "&amp;X16&amp;"; "&amp;Y16&amp;"; "&amp;Z16&amp;"; "&amp;AA16&amp;"; "&amp;AB16&amp;"; "&amp;AC16&amp;"; "&amp;U16)</x:f>
        <x:v>equipment.arc_battery_empty; empty arc battery; field supplies; energy container; energy storage; finished item; manufactured / unresolved; energy storage; mixed / unresolved; assembly; existing definition; energy processing</x:v>
      </x:c>
      <x:c r="AE16" s="4" t="str">
        <x:v>From current item description. Proposed uses retain their existing approval status.</x:v>
      </x:c>
    </x:row>
    <x:row r="17" ht="48" customHeight="1">
      <x:c r="A17" s="4" t="str">
        <x:v>tool.popup_camp</x:v>
      </x:c>
      <x:c r="B17" s="4" t="str">
        <x:v>Pop-up camp</x:v>
      </x:c>
      <x:c r="C17" s="4" t="str">
        <x:v>Field supplies</x:v>
      </x:c>
      <x:c r="D17" s="4" t="str">
        <x:v>Camp bundle</x:v>
      </x:c>
      <x:c r="E17" s="4" t="str">
        <x:v>Shared definition; trial variant/rules</x:v>
      </x:c>
      <x:c r="F17" s="4" t="str">
        <x:v>Deploy reusable shade to rest or sleep.</x:v>
      </x:c>
      <x:c r="G17" s="4" t="str">
        <x:v>None</x:v>
      </x:c>
      <x:c r="H17" s="4" t="str">
        <x:v>Either carrier</x:v>
      </x:c>
      <x:c r="I17" s="14" t="n">
        <x:v>1</x:v>
      </x:c>
      <x:c r="J17" s="16" t="n">
        <x:v>2.5</x:v>
      </x:c>
      <x:c r="K17" s="4" t="str">
        <x:v>Starter supply bundle</x:v>
      </x:c>
      <x:c r="L17" s="4" t="str">
        <x:v>No recipe authored</x:v>
      </x:c>
      <x:c r="M17" s="4" t="str">
        <x:v>Existing camp rest/sleep actions</x:v>
      </x:c>
      <x:c r="N17" s="4" t="str">
        <x:v>One trial supply pocket; shared production definition is not a field supply</x:v>
      </x:c>
      <x:c r="O17" s="17"/>
      <x:c r="P17" s="17"/>
      <x:c r="Q17" s="17"/>
      <x:c r="R17" s="17"/>
      <x:c r="S17" s="17"/>
      <x:c r="T17" s="4" t="str">
        <x:v>Final camp kit and upgrade design; author shade-material direction: delicate inner wings. Existing prototype art/recipe unchanged; no duplicate shade item.</x:v>
      </x:c>
      <x:c r="U17" s="11" t="str">
        <x:v>sun shading; vertical sun shade shelter</x:v>
      </x:c>
      <x:c r="V17" s="4" t="str">
        <x:v>Assets/_Project/Settings/Items/CampLoopLoadout/PopupCamp.asset; Docs/Evidence/Gameplay/CampLoopLoadout20261014/README.md</x:v>
      </x:c>
      <x:c r="W17" s="4" t="str">
        <x:v>Shelter kit</x:v>
      </x:c>
      <x:c r="X17" s="4" t="str">
        <x:v>Finished item</x:v>
      </x:c>
      <x:c r="Y17" s="4" t="str">
        <x:v>Unresolved</x:v>
      </x:c>
      <x:c r="Z17" s="4" t="str">
        <x:v>Camp rest</x:v>
      </x:c>
      <x:c r="AA17" s="4" t="str">
        <x:v>Mixed / unresolved</x:v>
      </x:c>
      <x:c r="AB17" s="4" t="str">
        <x:v>Assembly</x:v>
      </x:c>
      <x:c r="AC17" s="4" t="str">
        <x:v>Existing definition</x:v>
      </x:c>
      <x:c r="AD17" s="4" t="str">
        <x:f>LOWER(A17&amp;"; "&amp;B17&amp;"; "&amp;C17&amp;"; "&amp;D17&amp;"; "&amp;W17&amp;"; "&amp;X17&amp;"; "&amp;Y17&amp;"; "&amp;Z17&amp;"; "&amp;AA17&amp;"; "&amp;AB17&amp;"; "&amp;AC17&amp;"; "&amp;U17)</x:f>
        <x:v>tool.popup_camp; pop-up camp; field supplies; camp bundle; shelter kit; finished item; unresolved; camp rest; mixed / unresolved; assembly; existing definition; sun shading; vertical sun shade shelter</x:v>
      </x:c>
      <x:c r="AE17" s="4" t="str">
        <x:v>From current item description. Proposed uses retain their existing approval status.</x:v>
      </x:c>
    </x:row>
    <x:row r="18" ht="48" customHeight="1">
      <x:c r="A18" s="9" t="str">
        <x:v>resource.airborne_dust</x:v>
      </x:c>
      <x:c r="B18" s="9" t="str">
        <x:v>Airborne Dust</x:v>
      </x:c>
      <x:c r="C18" s="9" t="str">
        <x:v>Resources</x:v>
      </x:c>
      <x:c r="D18" s="9" t="str">
        <x:v>Airborne resource</x:v>
      </x:c>
      <x:c r="E18" s="9" t="str">
        <x:v>Shared definition; trial variant/rules</x:v>
      </x:c>
      <x:c r="F18" s="9" t="str">
        <x:v>Collect with the dust canister.</x:v>
      </x:c>
      <x:c r="G18" s="9" t="str">
        <x:v>None</x:v>
      </x:c>
      <x:c r="H18" s="9" t="str">
        <x:v>Legger only</x:v>
      </x:c>
      <x:c r="I18" s="13" t="n">
        <x:v>100</x:v>
      </x:c>
      <x:c r="J18" s="15" t="n">
        <x:v>0.05</x:v>
      </x:c>
      <x:c r="K18" s="9" t="str">
        <x:v>Deployed canister collection</x:v>
      </x:c>
      <x:c r="L18" s="9" t="str">
        <x:v>10 canister dust per charged battery</x:v>
      </x:c>
      <x:c r="M18" s="9" t="str">
        <x:v>Camp refinery input</x:v>
      </x:c>
      <x:c r="N18" s="9" t="str">
        <x:v>Mineral Dust is a different item and cannot substitute</x:v>
      </x:c>
      <x:c r="O18" s="17"/>
      <x:c r="P18" s="17"/>
      <x:c r="Q18" s="17"/>
      <x:c r="R18" s="17"/>
      <x:c r="S18" s="17"/>
      <x:c r="T18" s="9" t="str">
        <x:v>Final Arc Dust/Airborne Dust terminology</x:v>
      </x:c>
      <x:c r="U18" s="11"/>
      <x:c r="V18" s="9" t="str">
        <x:v>Assets/_Project/Settings/Items/Item_AirborneDust.asset; Docs/Evidence/Gameplay/CampWorkstations20261014/README.md</x:v>
      </x:c>
      <x:c r="W18" s="4" t="str">
        <x:v>Raw material</x:v>
      </x:c>
      <x:c r="X18" s="4" t="str">
        <x:v>Raw</x:v>
      </x:c>
      <x:c r="Y18" s="4" t="str">
        <x:v>Atmospheric</x:v>
      </x:c>
      <x:c r="Z18" s="4" t="str">
        <x:v>Energy processing</x:v>
      </x:c>
      <x:c r="AA18" s="4" t="str">
        <x:v>Unresolved</x:v>
      </x:c>
      <x:c r="AB18" s="4" t="str">
        <x:v>Particles</x:v>
      </x:c>
      <x:c r="AC18" s="4" t="str">
        <x:v>Existing definition</x:v>
      </x:c>
      <x:c r="AD18" s="4" t="str">
        <x:f>LOWER(A18&amp;"; "&amp;B18&amp;"; "&amp;C18&amp;"; "&amp;D18&amp;"; "&amp;W18&amp;"; "&amp;X18&amp;"; "&amp;Y18&amp;"; "&amp;Z18&amp;"; "&amp;AA18&amp;"; "&amp;AB18&amp;"; "&amp;AC18&amp;"; "&amp;U18)</x:f>
        <x:v>resource.airborne_dust; airborne dust; resources; airborne resource; raw material; raw; atmospheric; energy processing; unresolved; particles; existing definition; </x:v>
      </x:c>
      <x:c r="AE18" s="4" t="str">
        <x:v>From current item description. Proposed uses retain their existing approval status.</x:v>
      </x:c>
    </x:row>
    <x:row r="19" ht="48" customHeight="1">
      <x:c r="A19" s="4" t="str">
        <x:v>lab.ironstone.aggregate</x:v>
      </x:c>
      <x:c r="B19" s="4" t="str">
        <x:v>Coarse Aggregate</x:v>
      </x:c>
      <x:c r="C19" s="4" t="str">
        <x:v>Resources</x:v>
      </x:c>
      <x:c r="D19" s="4" t="str">
        <x:v>Processed mineral</x:v>
      </x:c>
      <x:c r="E19" s="4" t="str">
        <x:v>Camp Loop trial</x:v>
      </x:c>
      <x:c r="F19" s="4" t="str">
        <x:v>Coarse dry-sorting product.</x:v>
      </x:c>
      <x:c r="G19" s="4" t="str">
        <x:v>None</x:v>
      </x:c>
      <x:c r="H19" s="4" t="str">
        <x:v>Legger only</x:v>
      </x:c>
      <x:c r="I19" s="14" t="n">
        <x:v>99</x:v>
      </x:c>
      <x:c r="J19" s="16" t="n">
        <x:v>0.75</x:v>
      </x:c>
      <x:c r="K19" s="4" t="str">
        <x:v>Dry sorting: 2 per batch</x:v>
      </x:c>
      <x:c r="L19" s="4" t="str">
        <x:v>Dry sorting output</x:v>
      </x:c>
      <x:c r="M19" s="4" t="str">
        <x:v>Provisional processing material</x:v>
      </x:c>
      <x:c r="N19" s="4" t="str">
        <x:v>No downstream recipe authored</x:v>
      </x:c>
      <x:c r="O19" s="17"/>
      <x:c r="P19" s="17"/>
      <x:c r="Q19" s="17"/>
      <x:c r="R19" s="17"/>
      <x:c r="S19" s="17"/>
      <x:c r="T19" s="4" t="str">
        <x:v>Uses and final name/yield</x:v>
      </x:c>
      <x:c r="U19" s="11"/>
      <x:c r="V19" s="4" t="str">
        <x:v>Assets/_Project/Settings/Items/CampLoopIronstone/0-CoarseAggregate.asset; Docs/Evidence/Gameplay/CampIronstone20261014/README.md</x:v>
      </x:c>
      <x:c r="W19" s="4" t="str">
        <x:v>Processed material</x:v>
      </x:c>
      <x:c r="X19" s="4" t="str">
        <x:v>Processed intermediate</x:v>
      </x:c>
      <x:c r="Y19" s="4" t="str">
        <x:v>Geological</x:v>
      </x:c>
      <x:c r="Z19" s="4" t="str">
        <x:v>Use unresolved</x:v>
      </x:c>
      <x:c r="AA19" s="4" t="str">
        <x:v>Mineral</x:v>
      </x:c>
      <x:c r="AB19" s="4" t="str">
        <x:v>Particles</x:v>
      </x:c>
      <x:c r="AC19" s="4" t="str">
        <x:v>Existing definition</x:v>
      </x:c>
      <x:c r="AD19" s="4" t="str">
        <x:f>LOWER(A19&amp;"; "&amp;B19&amp;"; "&amp;C19&amp;"; "&amp;D19&amp;"; "&amp;W19&amp;"; "&amp;X19&amp;"; "&amp;Y19&amp;"; "&amp;Z19&amp;"; "&amp;AA19&amp;"; "&amp;AB19&amp;"; "&amp;AC19&amp;"; "&amp;U19)</x:f>
        <x:v>lab.ironstone.aggregate; coarse aggregate; resources; processed mineral; processed material; processed intermediate; geological; use unresolved; mineral; particles; existing definition; </x:v>
      </x:c>
      <x:c r="AE19" s="4" t="str">
        <x:v>From current item description. Proposed uses retain their existing approval status.</x:v>
      </x:c>
    </x:row>
    <x:row r="20" ht="48" customHeight="1">
      <x:c r="A20" s="9" t="str">
        <x:v>lab.ironstone.concentrate</x:v>
      </x:c>
      <x:c r="B20" s="9" t="str">
        <x:v>Iron-rich Concentrate</x:v>
      </x:c>
      <x:c r="C20" s="9" t="str">
        <x:v>Resources</x:v>
      </x:c>
      <x:c r="D20" s="9" t="str">
        <x:v>Processed mineral</x:v>
      </x:c>
      <x:c r="E20" s="9" t="str">
        <x:v>Camp Loop trial</x:v>
      </x:c>
      <x:c r="F20" s="9" t="str">
        <x:v>Iron-rich dry-sorting product.</x:v>
      </x:c>
      <x:c r="G20" s="9" t="str">
        <x:v>None</x:v>
      </x:c>
      <x:c r="H20" s="9" t="str">
        <x:v>Legger only</x:v>
      </x:c>
      <x:c r="I20" s="13" t="n">
        <x:v>99</x:v>
      </x:c>
      <x:c r="J20" s="15" t="n">
        <x:v>2</x:v>
      </x:c>
      <x:c r="K20" s="9" t="str">
        <x:v>Dry sorting: 1 per batch</x:v>
      </x:c>
      <x:c r="L20" s="9" t="str">
        <x:v>Dry sorting output</x:v>
      </x:c>
      <x:c r="M20" s="9" t="str">
        <x:v>Provisional processing material</x:v>
      </x:c>
      <x:c r="N20" s="9" t="str">
        <x:v>Powered metal production is deferred</x:v>
      </x:c>
      <x:c r="O20" s="17"/>
      <x:c r="P20" s="17"/>
      <x:c r="Q20" s="17"/>
      <x:c r="R20" s="17"/>
      <x:c r="S20" s="17"/>
      <x:c r="T20" s="9" t="str">
        <x:v>Uses and final name/yield</x:v>
      </x:c>
      <x:c r="U20" s="11"/>
      <x:c r="V20" s="9" t="str">
        <x:v>Assets/_Project/Settings/Items/CampLoopIronstone/1-Iron-richConcentrate.asset; Docs/Evidence/Gameplay/CampIronstone20261014/README.md</x:v>
      </x:c>
      <x:c r="W20" s="4" t="str">
        <x:v>Processed material</x:v>
      </x:c>
      <x:c r="X20" s="4" t="str">
        <x:v>Processed intermediate</x:v>
      </x:c>
      <x:c r="Y20" s="4" t="str">
        <x:v>Geological</x:v>
      </x:c>
      <x:c r="Z20" s="4" t="str">
        <x:v>Metal refining</x:v>
      </x:c>
      <x:c r="AA20" s="4" t="str">
        <x:v>Mineral</x:v>
      </x:c>
      <x:c r="AB20" s="4" t="str">
        <x:v>Particles</x:v>
      </x:c>
      <x:c r="AC20" s="4" t="str">
        <x:v>Existing definition</x:v>
      </x:c>
      <x:c r="AD20" s="4" t="str">
        <x:f>LOWER(A20&amp;"; "&amp;B20&amp;"; "&amp;C20&amp;"; "&amp;D20&amp;"; "&amp;W20&amp;"; "&amp;X20&amp;"; "&amp;Y20&amp;"; "&amp;Z20&amp;"; "&amp;AA20&amp;"; "&amp;AB20&amp;"; "&amp;AC20&amp;"; "&amp;U20)</x:f>
        <x:v>lab.ironstone.concentrate; iron-rich concentrate; resources; processed mineral; processed material; processed intermediate; geological; metal refining; mineral; particles; existing definition; </x:v>
      </x:c>
      <x:c r="AE20" s="4" t="str">
        <x:v>From current item description. Proposed uses retain their existing approval status.</x:v>
      </x:c>
    </x:row>
    <x:row r="21" ht="48" customHeight="1">
      <x:c r="A21" s="4" t="str">
        <x:v>resource.ironstone_ore</x:v>
      </x:c>
      <x:c r="B21" s="4" t="str">
        <x:v>Ironstone Ore</x:v>
      </x:c>
      <x:c r="C21" s="4" t="str">
        <x:v>Resources</x:v>
      </x:c>
      <x:c r="D21" s="4" t="str">
        <x:v>Raw mineral</x:v>
      </x:c>
      <x:c r="E21" s="4" t="str">
        <x:v>Shared definition; trial variant/rules</x:v>
      </x:c>
      <x:c r="F21" s="4" t="str">
        <x:v>Gather exposed Ironstone deposits.</x:v>
      </x:c>
      <x:c r="G21" s="4" t="str">
        <x:v>None</x:v>
      </x:c>
      <x:c r="H21" s="4" t="str">
        <x:v>Legger only</x:v>
      </x:c>
      <x:c r="I21" s="14" t="n">
        <x:v>99</x:v>
      </x:c>
      <x:c r="J21" s="16" t="n">
        <x:v>1.25</x:v>
      </x:c>
      <x:c r="K21" s="4" t="str">
        <x:v>Ironstone gathering</x:v>
      </x:c>
      <x:c r="L21" s="4" t="str">
        <x:v>Input to empty battery and dry sorting</x:v>
      </x:c>
      <x:c r="M21" s="4" t="str">
        <x:v>Bulk resource</x:v>
      </x:c>
      <x:c r="N21" s="4" t="str">
        <x:v>Legger-only carrying; local storage also depends on owner policy</x:v>
      </x:c>
      <x:c r="O21" s="17"/>
      <x:c r="P21" s="17"/>
      <x:c r="Q21" s="17"/>
      <x:c r="R21" s="17"/>
      <x:c r="S21" s="17"/>
      <x:c r="T21" s="4" t="str">
        <x:v>Author wording: unprocessed iron-rich stones. Existing Ironstone Ore is the generic candidate; decide whether hematite/magnetite deserve separate resources.</x:v>
      </x:c>
      <x:c r="U21" s="11" t="str">
        <x:v>fabrication; unprocessed iron rich stone</x:v>
      </x:c>
      <x:c r="V21" s="4" t="str">
        <x:v>Assets/_Project/Settings/Items/Item_IronstoneOre.asset; Docs/Evidence/Gameplay/CampIronstone20261014/README.md</x:v>
      </x:c>
      <x:c r="W21" s="4" t="str">
        <x:v>Raw material</x:v>
      </x:c>
      <x:c r="X21" s="4" t="str">
        <x:v>Raw</x:v>
      </x:c>
      <x:c r="Y21" s="4" t="str">
        <x:v>Geological</x:v>
      </x:c>
      <x:c r="Z21" s="4" t="str">
        <x:v>Metal refining</x:v>
      </x:c>
      <x:c r="AA21" s="4" t="str">
        <x:v>Mineral</x:v>
      </x:c>
      <x:c r="AB21" s="4" t="str">
        <x:v>Rock</x:v>
      </x:c>
      <x:c r="AC21" s="4" t="str">
        <x:v>Existing definition</x:v>
      </x:c>
      <x:c r="AD21" s="4" t="str">
        <x:f>LOWER(A21&amp;"; "&amp;B21&amp;"; "&amp;C21&amp;"; "&amp;D21&amp;"; "&amp;W21&amp;"; "&amp;X21&amp;"; "&amp;Y21&amp;"; "&amp;Z21&amp;"; "&amp;AA21&amp;"; "&amp;AB21&amp;"; "&amp;AC21&amp;"; "&amp;U21)</x:f>
        <x:v>resource.ironstone_ore; ironstone ore; resources; raw mineral; raw material; raw; geological; metal refining; mineral; rock; existing definition; fabrication; unprocessed iron rich stone</x:v>
      </x:c>
      <x:c r="AE21" s="4" t="str">
        <x:v>From current item description. Proposed uses retain their existing approval status.</x:v>
      </x:c>
    </x:row>
    <x:row r="22" ht="48" customHeight="1">
      <x:c r="A22" s="9" t="str">
        <x:v>lab.ironstone.mineral_dust</x:v>
      </x:c>
      <x:c r="B22" s="9" t="str">
        <x:v>Mineral Dust</x:v>
      </x:c>
      <x:c r="C22" s="9" t="str">
        <x:v>Resources</x:v>
      </x:c>
      <x:c r="D22" s="9" t="str">
        <x:v>Processed mineral</x:v>
      </x:c>
      <x:c r="E22" s="9" t="str">
        <x:v>Camp Loop trial</x:v>
      </x:c>
      <x:c r="F22" s="9" t="str">
        <x:v>Mineral fines from dry sorting.</x:v>
      </x:c>
      <x:c r="G22" s="9" t="str">
        <x:v>None</x:v>
      </x:c>
      <x:c r="H22" s="9" t="str">
        <x:v>Legger only</x:v>
      </x:c>
      <x:c r="I22" s="13" t="n">
        <x:v>99</x:v>
      </x:c>
      <x:c r="J22" s="15" t="n">
        <x:v>0.25</x:v>
      </x:c>
      <x:c r="K22" s="9" t="str">
        <x:v>Dry sorting: 2 per batch</x:v>
      </x:c>
      <x:c r="L22" s="9" t="str">
        <x:v>Dry sorting output</x:v>
      </x:c>
      <x:c r="M22" s="9" t="str">
        <x:v>Provisional processing material</x:v>
      </x:c>
      <x:c r="N22" s="9" t="str">
        <x:v>Cannot substitute for Arc/Airborne Dust</x:v>
      </x:c>
      <x:c r="O22" s="17"/>
      <x:c r="P22" s="17"/>
      <x:c r="Q22" s="17"/>
      <x:c r="R22" s="17"/>
      <x:c r="S22" s="17"/>
      <x:c r="T22" s="9" t="str">
        <x:v>Uses and final name/yield</x:v>
      </x:c>
      <x:c r="U22" s="11"/>
      <x:c r="V22" s="9" t="str">
        <x:v>Assets/_Project/Settings/Items/CampLoopIronstone/3-MineralDust.asset; Docs/Evidence/Gameplay/CampIronstone20261014/README.md</x:v>
      </x:c>
      <x:c r="W22" s="4" t="str">
        <x:v>Processed material</x:v>
      </x:c>
      <x:c r="X22" s="4" t="str">
        <x:v>Processed intermediate</x:v>
      </x:c>
      <x:c r="Y22" s="4" t="str">
        <x:v>Geological</x:v>
      </x:c>
      <x:c r="Z22" s="4" t="str">
        <x:v>Use unresolved</x:v>
      </x:c>
      <x:c r="AA22" s="4" t="str">
        <x:v>Mineral</x:v>
      </x:c>
      <x:c r="AB22" s="4" t="str">
        <x:v>Particles</x:v>
      </x:c>
      <x:c r="AC22" s="4" t="str">
        <x:v>Existing definition</x:v>
      </x:c>
      <x:c r="AD22" s="4" t="str">
        <x:f>LOWER(A22&amp;"; "&amp;B22&amp;"; "&amp;C22&amp;"; "&amp;D22&amp;"; "&amp;W22&amp;"; "&amp;X22&amp;"; "&amp;Y22&amp;"; "&amp;Z22&amp;"; "&amp;AA22&amp;"; "&amp;AB22&amp;"; "&amp;AC22&amp;"; "&amp;U22)</x:f>
        <x:v>lab.ironstone.mineral_dust; mineral dust; resources; processed mineral; processed material; processed intermediate; geological; use unresolved; mineral; particles; existing definition; </x:v>
      </x:c>
      <x:c r="AE22" s="4" t="str">
        <x:v>From current item description. Proposed uses retain their existing approval status.</x:v>
      </x:c>
    </x:row>
    <x:row r="23" ht="48" customHeight="1">
      <x:c r="A23" s="4" t="str">
        <x:v>lab.ironstone.sand</x:v>
      </x:c>
      <x:c r="B23" s="4" t="str">
        <x:v>Mineral Sand</x:v>
      </x:c>
      <x:c r="C23" s="4" t="str">
        <x:v>Resources</x:v>
      </x:c>
      <x:c r="D23" s="4" t="str">
        <x:v>Processed mineral</x:v>
      </x:c>
      <x:c r="E23" s="4" t="str">
        <x:v>Camp Loop trial</x:v>
      </x:c>
      <x:c r="F23" s="4" t="str">
        <x:v>Fine dry-sorting product.</x:v>
      </x:c>
      <x:c r="G23" s="4" t="str">
        <x:v>None</x:v>
      </x:c>
      <x:c r="H23" s="4" t="str">
        <x:v>Legger only</x:v>
      </x:c>
      <x:c r="I23" s="14" t="n">
        <x:v>99</x:v>
      </x:c>
      <x:c r="J23" s="16" t="n">
        <x:v>1</x:v>
      </x:c>
      <x:c r="K23" s="4" t="str">
        <x:v>Dry sorting: 1 per batch</x:v>
      </x:c>
      <x:c r="L23" s="4" t="str">
        <x:v>Dry sorting output</x:v>
      </x:c>
      <x:c r="M23" s="4" t="str">
        <x:v>Provisional processing material</x:v>
      </x:c>
      <x:c r="N23" s="4" t="str">
        <x:v>No downstream recipe authored</x:v>
      </x:c>
      <x:c r="O23" s="17"/>
      <x:c r="P23" s="17"/>
      <x:c r="Q23" s="17"/>
      <x:c r="R23" s="17"/>
      <x:c r="S23" s="17"/>
      <x:c r="T23" s="4" t="str">
        <x:v>Uses and final name/yield</x:v>
      </x:c>
      <x:c r="U23" s="11"/>
      <x:c r="V23" s="4" t="str">
        <x:v>Assets/_Project/Settings/Items/CampLoopIronstone/2-MineralSand.asset; Docs/Evidence/Gameplay/CampIronstone20261014/README.md</x:v>
      </x:c>
      <x:c r="W23" s="4" t="str">
        <x:v>Processed material</x:v>
      </x:c>
      <x:c r="X23" s="4" t="str">
        <x:v>Processed intermediate</x:v>
      </x:c>
      <x:c r="Y23" s="4" t="str">
        <x:v>Geological</x:v>
      </x:c>
      <x:c r="Z23" s="4" t="str">
        <x:v>Use unresolved</x:v>
      </x:c>
      <x:c r="AA23" s="4" t="str">
        <x:v>Mineral</x:v>
      </x:c>
      <x:c r="AB23" s="4" t="str">
        <x:v>Particles</x:v>
      </x:c>
      <x:c r="AC23" s="4" t="str">
        <x:v>Existing definition</x:v>
      </x:c>
      <x:c r="AD23" s="4" t="str">
        <x:f>LOWER(A23&amp;"; "&amp;B23&amp;"; "&amp;C23&amp;"; "&amp;D23&amp;"; "&amp;W23&amp;"; "&amp;X23&amp;"; "&amp;Y23&amp;"; "&amp;Z23&amp;"; "&amp;AA23&amp;"; "&amp;AB23&amp;"; "&amp;AC23&amp;"; "&amp;U23)</x:f>
        <x:v>lab.ironstone.sand; mineral sand; resources; processed mineral; processed material; processed intermediate; geological; use unresolved; mineral; particles; existing definition; </x:v>
      </x:c>
      <x:c r="AE23" s="4" t="str">
        <x:v>From current item description. Proposed uses retain their existing approval status.</x:v>
      </x:c>
    </x:row>
    <x:row r="24" ht="66" customHeight="1">
      <x:c r="A24" s="9" t="str">
        <x:v>proposal.gear.magnets</x:v>
      </x:c>
      <x:c r="B24" s="9" t="str">
        <x:v>Field magnets</x:v>
      </x:c>
      <x:c r="C24" s="9" t="str">
        <x:v>Equipment</x:v>
      </x:c>
      <x:c r="D24" s="9" t="str">
        <x:v>Magnetic recovery</x:v>
      </x:c>
      <x:c r="E24" s="9" t="str">
        <x:v>User direction; not implemented</x:v>
      </x:c>
      <x:c r="F24" s="9" t="str">
        <x:v>Carry magnets for field work. Proposed uses: recover ferrous fragments and hold small workpieces.</x:v>
      </x:c>
      <x:c r="G24" s="9" t="str">
        <x:v>Unassigned; no new slot approved</x:v>
      </x:c>
      <x:c r="H24" s="9" t="str">
        <x:v>Booter intended; storage TBD</x:v>
      </x:c>
      <x:c r="I24" s="13"/>
      <x:c r="J24" s="15"/>
      <x:c r="K24" s="9" t="str">
        <x:v>Booter-carried equipment requested by author</x:v>
      </x:c>
      <x:c r="L24" s="9" t="str">
        <x:v>Links to magnetite/iron and salvage chains</x:v>
      </x:c>
      <x:c r="M24" s="9" t="str">
        <x:v>Not implemented</x:v>
      </x:c>
      <x:c r="N24" s="9" t="str">
        <x:v>Magnet use, strength and mounting are proposals; not all materials are magnetic.</x:v>
      </x:c>
      <x:c r="O24" s="22"/>
      <x:c r="P24" s="22"/>
      <x:c r="Q24" s="22"/>
      <x:c r="R24" s="22"/>
      <x:c r="S24" s="22"/>
      <x:c r="T24" s="9" t="str">
        <x:v>Permanent versus powered; handling controls; carry location</x:v>
      </x:c>
      <x:c r="U24" s="11" t="str">
        <x:v>work holding</x:v>
      </x:c>
      <x:c r="V24" s="9" t="str">
        <x:v>User design direction, October 14, 2026; local brainstorming. New proposal unless explicitly marked User direction.</x:v>
      </x:c>
      <x:c r="W24" s="4" t="str">
        <x:v>Tool</x:v>
      </x:c>
      <x:c r="X24" s="4" t="str">
        <x:v>Finished item</x:v>
      </x:c>
      <x:c r="Y24" s="4" t="str">
        <x:v>Manufactured / unresolved</x:v>
      </x:c>
      <x:c r="Z24" s="4" t="str">
        <x:v>Resource collection</x:v>
      </x:c>
      <x:c r="AA24" s="4" t="str">
        <x:v>Mixed / unresolved</x:v>
      </x:c>
      <x:c r="AB24" s="4" t="str">
        <x:v>Assembly</x:v>
      </x:c>
      <x:c r="AC24" s="4" t="str">
        <x:v>Author direction</x:v>
      </x:c>
      <x:c r="AD24" s="4" t="str">
        <x:f>LOWER(A24&amp;"; "&amp;B24&amp;"; "&amp;C24&amp;"; "&amp;D24&amp;"; "&amp;W24&amp;"; "&amp;X24&amp;"; "&amp;Y24&amp;"; "&amp;Z24&amp;"; "&amp;AA24&amp;"; "&amp;AB24&amp;"; "&amp;AC24&amp;"; "&amp;U24)</x:f>
        <x:v>proposal.gear.magnets; field magnets; equipment; magnetic recovery; tool; finished item; manufactured / unresolved; resource collection; mixed / unresolved; assembly; author direction; work holding</x:v>
      </x:c>
      <x:c r="AE24" s="4" t="str">
        <x:v>From current item description. Proposed uses retain their existing approval status.</x:v>
      </x:c>
    </x:row>
    <x:row r="25" ht="66" customHeight="1">
      <x:c r="A25" s="9" t="str">
        <x:v>proposal.gear.grounding_kit</x:v>
      </x:c>
      <x:c r="B25" s="9" t="str">
        <x:v>Static grounding kit</x:v>
      </x:c>
      <x:c r="C25" s="9" t="str">
        <x:v>Equipment</x:v>
      </x:c>
      <x:c r="D25" s="9" t="str">
        <x:v>Charge management</x:v>
      </x:c>
      <x:c r="E25" s="9" t="str">
        <x:v>User direction; not implemented</x:v>
      </x:c>
      <x:c r="F25" s="9" t="str">
        <x:v>Ground Booter against atmospheric static. Proposed kit: body contact, controlled discharge lead and ground contact.</x:v>
      </x:c>
      <x:c r="G25" s="9" t="str">
        <x:v>Unassigned; no new slot approved</x:v>
      </x:c>
      <x:c r="H25" s="9" t="str">
        <x:v>Booter intended; storage TBD</x:v>
      </x:c>
      <x:c r="I25" s="13"/>
      <x:c r="J25" s="15"/>
      <x:c r="K25" s="9" t="str">
        <x:v>Booter-carried equipment requested by author</x:v>
      </x:c>
      <x:c r="L25" s="9" t="str">
        <x:v>Potential conductive braid, graphite and insulating ceramic components</x:v>
      </x:c>
      <x:c r="M25" s="9" t="str">
        <x:v>Not implemented</x:v>
      </x:c>
      <x:c r="N25" s="9" t="str">
        <x:v>Fictional game mechanic to design; contact quality matters; no immunity to lightning assumed.</x:v>
      </x:c>
      <x:c r="O25" s="22"/>
      <x:c r="P25" s="22"/>
      <x:c r="Q25" s="22"/>
      <x:c r="R25" s="22"/>
      <x:c r="S25" s="22"/>
      <x:c r="T25" s="9" t="str">
        <x:v>Ground-contact suitability; deployment; feedback; relation to storms; carry location</x:v>
      </x:c>
      <x:c r="U25" s="11"/>
      <x:c r="V25" s="9" t="str">
        <x:v>User design direction, October 14, 2026; local brainstorming. New proposal unless explicitly marked User direction.</x:v>
      </x:c>
      <x:c r="W25" s="4" t="str">
        <x:v>Tool</x:v>
      </x:c>
      <x:c r="X25" s="4" t="str">
        <x:v>Finished item</x:v>
      </x:c>
      <x:c r="Y25" s="4" t="str">
        <x:v>Manufactured / unresolved</x:v>
      </x:c>
      <x:c r="Z25" s="4" t="str">
        <x:v>Static management</x:v>
      </x:c>
      <x:c r="AA25" s="4" t="str">
        <x:v>Mixed / unresolved</x:v>
      </x:c>
      <x:c r="AB25" s="4" t="str">
        <x:v>Assembly</x:v>
      </x:c>
      <x:c r="AC25" s="4" t="str">
        <x:v>Author direction</x:v>
      </x:c>
      <x:c r="AD25" s="4" t="str">
        <x:f>LOWER(A25&amp;"; "&amp;B25&amp;"; "&amp;C25&amp;"; "&amp;D25&amp;"; "&amp;W25&amp;"; "&amp;X25&amp;"; "&amp;Y25&amp;"; "&amp;Z25&amp;"; "&amp;AA25&amp;"; "&amp;AB25&amp;"; "&amp;AC25&amp;"; "&amp;U25)</x:f>
        <x:v>proposal.gear.grounding_kit; static grounding kit; equipment; charge management; tool; finished item; manufactured / unresolved; static management; mixed / unresolved; assembly; author direction; </x:v>
      </x:c>
      <x:c r="AE25" s="4" t="str">
        <x:v>From current item description. Proposed uses retain their existing approval status.</x:v>
      </x:c>
    </x:row>
    <x:row r="26" ht="66" customHeight="1">
      <x:c r="A26" s="9" t="str">
        <x:v>proposal.natural.magnetite</x:v>
      </x:c>
      <x:c r="B26" s="9" t="str">
        <x:v>Magnetite-rich stone</x:v>
      </x:c>
      <x:c r="C26" s="9" t="str">
        <x:v>Resources</x:v>
      </x:c>
      <x:c r="D26" s="9" t="str">
        <x:v>Raw mineral</x:v>
      </x:c>
      <x:c r="E26" s="9" t="str">
        <x:v>New proposal</x:v>
      </x:c>
      <x:c r="F26" s="9" t="str">
        <x:v>Iron feed and magnetic tool research</x:v>
      </x:c>
      <x:c r="G26" s="9" t="str">
        <x:v>None</x:v>
      </x:c>
      <x:c r="H26" s="9" t="str">
        <x:v>Legger / local storage proposed</x:v>
      </x:c>
      <x:c r="I26" s="13"/>
      <x:c r="J26" s="15"/>
      <x:c r="K26" s="9" t="str">
        <x:v>Magnetic mineral seams and dense dark nodules</x:v>
      </x:c>
      <x:c r="L26" s="9" t="str">
        <x:v>Dry crush and magnetic separation</x:v>
      </x:c>
      <x:c r="M26" s="9" t="str">
        <x:v>Not implemented</x:v>
      </x:c>
      <x:c r="N26" s="9" t="str">
        <x:v>New deposit and processing design; no free natural liquid water.</x:v>
      </x:c>
      <x:c r="O26" s="22"/>
      <x:c r="P26" s="22"/>
      <x:c r="Q26" s="22"/>
      <x:c r="R26" s="22"/>
      <x:c r="S26" s="22"/>
      <x:c r="T26" s="9" t="str">
        <x:v>Distribution, collection tool, processing constraints and balance</x:v>
      </x:c>
      <x:c r="U26" s="11" t="str">
        <x:v>magnetic tools</x:v>
      </x:c>
      <x:c r="V26" s="9" t="str">
        <x:v>User design direction, October 14, 2026; local brainstorming. New proposal unless explicitly marked User direction.</x:v>
      </x:c>
      <x:c r="W26" s="4" t="str">
        <x:v>Raw material</x:v>
      </x:c>
      <x:c r="X26" s="4" t="str">
        <x:v>Raw</x:v>
      </x:c>
      <x:c r="Y26" s="4" t="str">
        <x:v>Geological</x:v>
      </x:c>
      <x:c r="Z26" s="4" t="str">
        <x:v>Metal refining</x:v>
      </x:c>
      <x:c r="AA26" s="4" t="str">
        <x:v>Mineral</x:v>
      </x:c>
      <x:c r="AB26" s="4" t="str">
        <x:v>Rock</x:v>
      </x:c>
      <x:c r="AC26" s="4" t="str">
        <x:v>Proposal</x:v>
      </x:c>
      <x:c r="AD26" s="4" t="str">
        <x:f>LOWER(A26&amp;"; "&amp;B26&amp;"; "&amp;C26&amp;"; "&amp;D26&amp;"; "&amp;W26&amp;"; "&amp;X26&amp;"; "&amp;Y26&amp;"; "&amp;Z26&amp;"; "&amp;AA26&amp;"; "&amp;AB26&amp;"; "&amp;AC26&amp;"; "&amp;U26)</x:f>
        <x:v>proposal.natural.magnetite; magnetite-rich stone; resources; raw mineral; raw material; raw; geological; metal refining; mineral; rock; proposal; magnetic tools</x:v>
      </x:c>
      <x:c r="AE26" s="4" t="str">
        <x:v>From current item description. Proposed uses retain their existing approval status.</x:v>
      </x:c>
    </x:row>
    <x:row r="27" ht="66" customHeight="1">
      <x:c r="A27" s="9" t="str">
        <x:v>proposal.natural.silica</x:v>
      </x:c>
      <x:c r="B27" s="9" t="str">
        <x:v>Silica-rich grit</x:v>
      </x:c>
      <x:c r="C27" s="9" t="str">
        <x:v>Resources</x:v>
      </x:c>
      <x:c r="D27" s="9" t="str">
        <x:v>Raw mineral</x:v>
      </x:c>
      <x:c r="E27" s="9" t="str">
        <x:v>New proposal</x:v>
      </x:c>
      <x:c r="F27" s="9" t="str">
        <x:v>Sharpening, finishing and repair</x:v>
      </x:c>
      <x:c r="G27" s="9" t="str">
        <x:v>None</x:v>
      </x:c>
      <x:c r="H27" s="9" t="str">
        <x:v>Legger / local storage proposed</x:v>
      </x:c>
      <x:c r="I27" s="13"/>
      <x:c r="J27" s="15"/>
      <x:c r="K27" s="9" t="str">
        <x:v>Dry canyon scree and exposed mineral beds</x:v>
      </x:c>
      <x:c r="L27" s="9" t="str">
        <x:v>Grade into abrasive; high-heat glass route left open</x:v>
      </x:c>
      <x:c r="M27" s="9" t="str">
        <x:v>Not implemented</x:v>
      </x:c>
      <x:c r="N27" s="9" t="str">
        <x:v>New deposit and processing design; no free natural liquid water.</x:v>
      </x:c>
      <x:c r="O27" s="22"/>
      <x:c r="P27" s="22"/>
      <x:c r="Q27" s="22"/>
      <x:c r="R27" s="22"/>
      <x:c r="S27" s="22"/>
      <x:c r="T27" s="9" t="str">
        <x:v>Distribution, collection tool, processing constraints and balance</x:v>
      </x:c>
      <x:c r="U27" s="11" t="str">
        <x:v>glass and ceramics</x:v>
      </x:c>
      <x:c r="V27" s="9" t="str">
        <x:v>User design direction, October 14, 2026; local brainstorming. New proposal unless explicitly marked User direction.</x:v>
      </x:c>
      <x:c r="W27" s="4" t="str">
        <x:v>Raw material</x:v>
      </x:c>
      <x:c r="X27" s="4" t="str">
        <x:v>Raw</x:v>
      </x:c>
      <x:c r="Y27" s="4" t="str">
        <x:v>Geological</x:v>
      </x:c>
      <x:c r="Z27" s="4" t="str">
        <x:v>Surface finishing</x:v>
      </x:c>
      <x:c r="AA27" s="4" t="str">
        <x:v>Mineral</x:v>
      </x:c>
      <x:c r="AB27" s="4" t="str">
        <x:v>Particles</x:v>
      </x:c>
      <x:c r="AC27" s="4" t="str">
        <x:v>Proposal</x:v>
      </x:c>
      <x:c r="AD27" s="4" t="str">
        <x:f>LOWER(A27&amp;"; "&amp;B27&amp;"; "&amp;C27&amp;"; "&amp;D27&amp;"; "&amp;W27&amp;"; "&amp;X27&amp;"; "&amp;Y27&amp;"; "&amp;Z27&amp;"; "&amp;AA27&amp;"; "&amp;AB27&amp;"; "&amp;AC27&amp;"; "&amp;U27)</x:f>
        <x:v>proposal.natural.silica; silica-rich grit; resources; raw mineral; raw material; raw; geological; surface finishing; mineral; particles; proposal; glass and ceramics</x:v>
      </x:c>
      <x:c r="AE27" s="4" t="str">
        <x:v>From current item description. Proposed uses retain their existing approval status.</x:v>
      </x:c>
    </x:row>
    <x:row r="28" ht="66" customHeight="1">
      <x:c r="A28" s="9" t="str">
        <x:v>proposal.natural.alumina</x:v>
      </x:c>
      <x:c r="B28" s="9" t="str">
        <x:v>Alumina-rich rock</x:v>
      </x:c>
      <x:c r="C28" s="9" t="str">
        <x:v>Resources</x:v>
      </x:c>
      <x:c r="D28" s="9" t="str">
        <x:v>Raw mineral</x:v>
      </x:c>
      <x:c r="E28" s="9" t="str">
        <x:v>New proposal</x:v>
      </x:c>
      <x:c r="F28" s="9" t="str">
        <x:v>Hard ceramic and electrical separation parts</x:v>
      </x:c>
      <x:c r="G28" s="9" t="str">
        <x:v>None</x:v>
      </x:c>
      <x:c r="H28" s="9" t="str">
        <x:v>Legger / local storage proposed</x:v>
      </x:c>
      <x:c r="I28" s="13"/>
      <x:c r="J28" s="15"/>
      <x:c r="K28" s="9" t="str">
        <x:v>Authored mineral outcrops</x:v>
      </x:c>
      <x:c r="L28" s="9" t="str">
        <x:v>Crush, grade and fire with suitable binder</x:v>
      </x:c>
      <x:c r="M28" s="9" t="str">
        <x:v>Not implemented</x:v>
      </x:c>
      <x:c r="N28" s="9" t="str">
        <x:v>New deposit and processing design; no free natural liquid water.</x:v>
      </x:c>
      <x:c r="O28" s="22"/>
      <x:c r="P28" s="22"/>
      <x:c r="Q28" s="22"/>
      <x:c r="R28" s="22"/>
      <x:c r="S28" s="22"/>
      <x:c r="T28" s="9" t="str">
        <x:v>Distribution, collection tool, processing constraints and balance</x:v>
      </x:c>
      <x:c r="U28" s="11" t="str">
        <x:v>electrical insulation</x:v>
      </x:c>
      <x:c r="V28" s="9" t="str">
        <x:v>User design direction, October 14, 2026; local brainstorming. New proposal unless explicitly marked User direction.</x:v>
      </x:c>
      <x:c r="W28" s="4" t="str">
        <x:v>Raw material</x:v>
      </x:c>
      <x:c r="X28" s="4" t="str">
        <x:v>Raw</x:v>
      </x:c>
      <x:c r="Y28" s="4" t="str">
        <x:v>Geological</x:v>
      </x:c>
      <x:c r="Z28" s="4" t="str">
        <x:v>Glass and ceramics</x:v>
      </x:c>
      <x:c r="AA28" s="4" t="str">
        <x:v>Mineral</x:v>
      </x:c>
      <x:c r="AB28" s="4" t="str">
        <x:v>Rock</x:v>
      </x:c>
      <x:c r="AC28" s="4" t="str">
        <x:v>Proposal</x:v>
      </x:c>
      <x:c r="AD28" s="4" t="str">
        <x:f>LOWER(A28&amp;"; "&amp;B28&amp;"; "&amp;C28&amp;"; "&amp;D28&amp;"; "&amp;W28&amp;"; "&amp;X28&amp;"; "&amp;Y28&amp;"; "&amp;Z28&amp;"; "&amp;AA28&amp;"; "&amp;AB28&amp;"; "&amp;AC28&amp;"; "&amp;U28)</x:f>
        <x:v>proposal.natural.alumina; alumina-rich rock; resources; raw mineral; raw material; raw; geological; glass and ceramics; mineral; rock; proposal; electrical insulation</x:v>
      </x:c>
      <x:c r="AE28" s="4" t="str">
        <x:v>From current item description. Proposed uses retain their existing approval status.</x:v>
      </x:c>
    </x:row>
    <x:row r="29" ht="66" customHeight="1">
      <x:c r="A29" s="9" t="str">
        <x:v>proposal.natural.claystone</x:v>
      </x:c>
      <x:c r="B29" s="9" t="str">
        <x:v>Claystone</x:v>
      </x:c>
      <x:c r="C29" s="9" t="str">
        <x:v>Resources</x:v>
      </x:c>
      <x:c r="D29" s="9" t="str">
        <x:v>Raw mineral</x:v>
      </x:c>
      <x:c r="E29" s="9" t="str">
        <x:v>New proposal</x:v>
      </x:c>
      <x:c r="F29" s="9" t="str">
        <x:v>Ceramic bodies and refractory parts</x:v>
      </x:c>
      <x:c r="G29" s="9" t="str">
        <x:v>None</x:v>
      </x:c>
      <x:c r="H29" s="9" t="str">
        <x:v>Legger / local storage proposed</x:v>
      </x:c>
      <x:c r="I29" s="13"/>
      <x:c r="J29" s="15"/>
      <x:c r="K29" s="9" t="str">
        <x:v>Ancient dry sediment beds</x:v>
      </x:c>
      <x:c r="L29" s="9" t="str">
        <x:v>Dry mill for ceramic feed; binder method unresolved</x:v>
      </x:c>
      <x:c r="M29" s="9" t="str">
        <x:v>Not implemented</x:v>
      </x:c>
      <x:c r="N29" s="9" t="str">
        <x:v>New deposit and processing design; no free natural liquid water.</x:v>
      </x:c>
      <x:c r="O29" s="22"/>
      <x:c r="P29" s="22"/>
      <x:c r="Q29" s="22"/>
      <x:c r="R29" s="22"/>
      <x:c r="S29" s="22"/>
      <x:c r="T29" s="9" t="str">
        <x:v>Distribution, collection tool, processing constraints and balance</x:v>
      </x:c>
      <x:c r="U29" s="11"/>
      <x:c r="V29" s="9" t="str">
        <x:v>User design direction, October 14, 2026; local brainstorming. New proposal unless explicitly marked User direction.</x:v>
      </x:c>
      <x:c r="W29" s="4" t="str">
        <x:v>Raw material</x:v>
      </x:c>
      <x:c r="X29" s="4" t="str">
        <x:v>Raw</x:v>
      </x:c>
      <x:c r="Y29" s="4" t="str">
        <x:v>Geological</x:v>
      </x:c>
      <x:c r="Z29" s="4" t="str">
        <x:v>Glass and ceramics</x:v>
      </x:c>
      <x:c r="AA29" s="4" t="str">
        <x:v>Mineral</x:v>
      </x:c>
      <x:c r="AB29" s="4" t="str">
        <x:v>Rock</x:v>
      </x:c>
      <x:c r="AC29" s="4" t="str">
        <x:v>Proposal</x:v>
      </x:c>
      <x:c r="AD29" s="4" t="str">
        <x:f>LOWER(A29&amp;"; "&amp;B29&amp;"; "&amp;C29&amp;"; "&amp;D29&amp;"; "&amp;W29&amp;"; "&amp;X29&amp;"; "&amp;Y29&amp;"; "&amp;Z29&amp;"; "&amp;AA29&amp;"; "&amp;AB29&amp;"; "&amp;AC29&amp;"; "&amp;U29)</x:f>
        <x:v>proposal.natural.claystone; claystone; resources; raw mineral; raw material; raw; geological; glass and ceramics; mineral; rock; proposal; </x:v>
      </x:c>
      <x:c r="AE29" s="4" t="str">
        <x:v>From current item description. Proposed uses retain their existing approval status.</x:v>
      </x:c>
    </x:row>
    <x:row r="30" ht="66" customHeight="1">
      <x:c r="A30" s="9" t="str">
        <x:v>proposal.natural.carbonate</x:v>
      </x:c>
      <x:c r="B30" s="9" t="str">
        <x:v>Carbonate stone</x:v>
      </x:c>
      <x:c r="C30" s="9" t="str">
        <x:v>Resources</x:v>
      </x:c>
      <x:c r="D30" s="9" t="str">
        <x:v>Raw mineral</x:v>
      </x:c>
      <x:c r="E30" s="9" t="str">
        <x:v>New proposal</x:v>
      </x:c>
      <x:c r="F30" s="9" t="str">
        <x:v>Mineral binder and construction research</x:v>
      </x:c>
      <x:c r="G30" s="9" t="str">
        <x:v>None</x:v>
      </x:c>
      <x:c r="H30" s="9" t="str">
        <x:v>Legger / local storage proposed</x:v>
      </x:c>
      <x:c r="I30" s="13"/>
      <x:c r="J30" s="15"/>
      <x:c r="K30" s="9" t="str">
        <x:v>Ancient exposed deposits</x:v>
      </x:c>
      <x:c r="L30" s="9" t="str">
        <x:v>Heat to lime; use dry aggregate formulation</x:v>
      </x:c>
      <x:c r="M30" s="9" t="str">
        <x:v>Not implemented</x:v>
      </x:c>
      <x:c r="N30" s="9" t="str">
        <x:v>New deposit and processing design; no free natural liquid water.</x:v>
      </x:c>
      <x:c r="O30" s="22"/>
      <x:c r="P30" s="22"/>
      <x:c r="Q30" s="22"/>
      <x:c r="R30" s="22"/>
      <x:c r="S30" s="22"/>
      <x:c r="T30" s="9" t="str">
        <x:v>Distribution, collection tool, processing constraints and balance</x:v>
      </x:c>
      <x:c r="U30" s="11"/>
      <x:c r="V30" s="9" t="str">
        <x:v>User design direction, October 14, 2026; local brainstorming. New proposal unless explicitly marked User direction.</x:v>
      </x:c>
      <x:c r="W30" s="4" t="str">
        <x:v>Raw material</x:v>
      </x:c>
      <x:c r="X30" s="4" t="str">
        <x:v>Raw</x:v>
      </x:c>
      <x:c r="Y30" s="4" t="str">
        <x:v>Geological</x:v>
      </x:c>
      <x:c r="Z30" s="4" t="str">
        <x:v>Binding and construction</x:v>
      </x:c>
      <x:c r="AA30" s="4" t="str">
        <x:v>Mineral</x:v>
      </x:c>
      <x:c r="AB30" s="4" t="str">
        <x:v>Rock</x:v>
      </x:c>
      <x:c r="AC30" s="4" t="str">
        <x:v>Proposal</x:v>
      </x:c>
      <x:c r="AD30" s="4" t="str">
        <x:f>LOWER(A30&amp;"; "&amp;B30&amp;"; "&amp;C30&amp;"; "&amp;D30&amp;"; "&amp;W30&amp;"; "&amp;X30&amp;"; "&amp;Y30&amp;"; "&amp;Z30&amp;"; "&amp;AA30&amp;"; "&amp;AB30&amp;"; "&amp;AC30&amp;"; "&amp;U30)</x:f>
        <x:v>proposal.natural.carbonate; carbonate stone; resources; raw mineral; raw material; raw; geological; binding and construction; mineral; rock; proposal; </x:v>
      </x:c>
      <x:c r="AE30" s="4" t="str">
        <x:v>From current item description. Proposed uses retain their existing approval status.</x:v>
      </x:c>
    </x:row>
    <x:row r="31" ht="66" customHeight="1">
      <x:c r="A31" s="9" t="str">
        <x:v>proposal.natural.salts</x:v>
      </x:c>
      <x:c r="B31" s="9" t="str">
        <x:v>Dry mineral salts</x:v>
      </x:c>
      <x:c r="C31" s="9" t="str">
        <x:v>Resources</x:v>
      </x:c>
      <x:c r="D31" s="9" t="str">
        <x:v>Raw mineral</x:v>
      </x:c>
      <x:c r="E31" s="9" t="str">
        <x:v>New proposal</x:v>
      </x:c>
      <x:c r="F31" s="9" t="str">
        <x:v>Algae culture mineral inputs, subject to biology design</x:v>
      </x:c>
      <x:c r="G31" s="9" t="str">
        <x:v>None</x:v>
      </x:c>
      <x:c r="H31" s="9" t="str">
        <x:v>Legger / local storage proposed</x:v>
      </x:c>
      <x:c r="I31" s="13"/>
      <x:c r="J31" s="15"/>
      <x:c r="K31" s="9" t="str">
        <x:v>Ancient evaporite seams; no current water required</x:v>
      </x:c>
      <x:c r="L31" s="9" t="str">
        <x:v>Sort and grade dry crystals</x:v>
      </x:c>
      <x:c r="M31" s="9" t="str">
        <x:v>Not implemented</x:v>
      </x:c>
      <x:c r="N31" s="9" t="str">
        <x:v>New deposit and processing design; no free natural liquid water.</x:v>
      </x:c>
      <x:c r="O31" s="22"/>
      <x:c r="P31" s="22"/>
      <x:c r="Q31" s="22"/>
      <x:c r="R31" s="22"/>
      <x:c r="S31" s="22"/>
      <x:c r="T31" s="9" t="str">
        <x:v>Distribution, collection tool, processing constraints and balance</x:v>
      </x:c>
      <x:c r="U31" s="11"/>
      <x:c r="V31" s="9" t="str">
        <x:v>User design direction, October 14, 2026; local brainstorming. New proposal unless explicitly marked User direction.</x:v>
      </x:c>
      <x:c r="W31" s="4" t="str">
        <x:v>Raw material</x:v>
      </x:c>
      <x:c r="X31" s="4" t="str">
        <x:v>Raw</x:v>
      </x:c>
      <x:c r="Y31" s="4" t="str">
        <x:v>Geological</x:v>
      </x:c>
      <x:c r="Z31" s="4" t="str">
        <x:v>Culture support</x:v>
      </x:c>
      <x:c r="AA31" s="4" t="str">
        <x:v>Mineral</x:v>
      </x:c>
      <x:c r="AB31" s="4" t="str">
        <x:v>Particles</x:v>
      </x:c>
      <x:c r="AC31" s="4" t="str">
        <x:v>Proposal</x:v>
      </x:c>
      <x:c r="AD31" s="4" t="str">
        <x:f>LOWER(A31&amp;"; "&amp;B31&amp;"; "&amp;C31&amp;"; "&amp;D31&amp;"; "&amp;W31&amp;"; "&amp;X31&amp;"; "&amp;Y31&amp;"; "&amp;Z31&amp;"; "&amp;AA31&amp;"; "&amp;AB31&amp;"; "&amp;AC31&amp;"; "&amp;U31)</x:f>
        <x:v>proposal.natural.salts; dry mineral salts; resources; raw mineral; raw material; raw; geological; culture support; mineral; particles; proposal; </x:v>
      </x:c>
      <x:c r="AE31" s="4" t="str">
        <x:v>From current item description. Proposed uses retain their existing approval status.</x:v>
      </x:c>
    </x:row>
    <x:row r="32" ht="66" customHeight="1">
      <x:c r="A32" s="9" t="str">
        <x:v>proposal.natural.graphite</x:v>
      </x:c>
      <x:c r="B32" s="9" t="str">
        <x:v>Graphite-bearing stone</x:v>
      </x:c>
      <x:c r="C32" s="9" t="str">
        <x:v>Resources</x:v>
      </x:c>
      <x:c r="D32" s="9" t="str">
        <x:v>Raw mineral</x:v>
      </x:c>
      <x:c r="E32" s="9" t="str">
        <x:v>New proposal</x:v>
      </x:c>
      <x:c r="F32" s="9" t="str">
        <x:v>Dry lubrication and conductive composites</x:v>
      </x:c>
      <x:c r="G32" s="9" t="str">
        <x:v>None</x:v>
      </x:c>
      <x:c r="H32" s="9" t="str">
        <x:v>Legger / local storage proposed</x:v>
      </x:c>
      <x:c r="I32" s="13"/>
      <x:c r="J32" s="15"/>
      <x:c r="K32" s="9" t="str">
        <x:v>Sparse mineral seams</x:v>
      </x:c>
      <x:c r="L32" s="9" t="str">
        <x:v>Separate and grade carbon flakes</x:v>
      </x:c>
      <x:c r="M32" s="9" t="str">
        <x:v>Not implemented</x:v>
      </x:c>
      <x:c r="N32" s="9" t="str">
        <x:v>New deposit and processing design; no free natural liquid water.</x:v>
      </x:c>
      <x:c r="O32" s="22"/>
      <x:c r="P32" s="22"/>
      <x:c r="Q32" s="22"/>
      <x:c r="R32" s="22"/>
      <x:c r="S32" s="22"/>
      <x:c r="T32" s="9" t="str">
        <x:v>Distribution, collection tool, processing constraints and balance</x:v>
      </x:c>
      <x:c r="U32" s="11" t="str">
        <x:v>electrical conduction</x:v>
      </x:c>
      <x:c r="V32" s="9" t="str">
        <x:v>User design direction, October 14, 2026; local brainstorming. New proposal unless explicitly marked User direction.</x:v>
      </x:c>
      <x:c r="W32" s="4" t="str">
        <x:v>Raw material</x:v>
      </x:c>
      <x:c r="X32" s="4" t="str">
        <x:v>Raw</x:v>
      </x:c>
      <x:c r="Y32" s="4" t="str">
        <x:v>Geological</x:v>
      </x:c>
      <x:c r="Z32" s="4" t="str">
        <x:v>Lubrication</x:v>
      </x:c>
      <x:c r="AA32" s="4" t="str">
        <x:v>Mineral</x:v>
      </x:c>
      <x:c r="AB32" s="4" t="str">
        <x:v>Particles</x:v>
      </x:c>
      <x:c r="AC32" s="4" t="str">
        <x:v>Proposal</x:v>
      </x:c>
      <x:c r="AD32" s="4" t="str">
        <x:f>LOWER(A32&amp;"; "&amp;B32&amp;"; "&amp;C32&amp;"; "&amp;D32&amp;"; "&amp;W32&amp;"; "&amp;X32&amp;"; "&amp;Y32&amp;"; "&amp;Z32&amp;"; "&amp;AA32&amp;"; "&amp;AB32&amp;"; "&amp;AC32&amp;"; "&amp;U32)</x:f>
        <x:v>proposal.natural.graphite; graphite-bearing stone; resources; raw mineral; raw material; raw; geological; lubrication; mineral; particles; proposal; electrical conduction</x:v>
      </x:c>
      <x:c r="AE32" s="4" t="str">
        <x:v>From current item description. Proposed uses retain their existing approval status.</x:v>
      </x:c>
    </x:row>
    <x:row r="33" ht="66" customHeight="1">
      <x:c r="A33" s="9" t="str">
        <x:v>proposal.natural.mica</x:v>
      </x:c>
      <x:c r="B33" s="9" t="str">
        <x:v>Mica sheets</x:v>
      </x:c>
      <x:c r="C33" s="9" t="str">
        <x:v>Resources</x:v>
      </x:c>
      <x:c r="D33" s="9" t="str">
        <x:v>Raw mineral</x:v>
      </x:c>
      <x:c r="E33" s="9" t="str">
        <x:v>New proposal</x:v>
      </x:c>
      <x:c r="F33" s="9" t="str">
        <x:v>Insulating separators and heat shields</x:v>
      </x:c>
      <x:c r="G33" s="9" t="str">
        <x:v>None</x:v>
      </x:c>
      <x:c r="H33" s="9" t="str">
        <x:v>Legger / local storage proposed</x:v>
      </x:c>
      <x:c r="I33" s="13"/>
      <x:c r="J33" s="15"/>
      <x:c r="K33" s="9" t="str">
        <x:v>Layered mineral outcrops</x:v>
      </x:c>
      <x:c r="L33" s="9" t="str">
        <x:v>Split and trim plates</x:v>
      </x:c>
      <x:c r="M33" s="9" t="str">
        <x:v>Not implemented</x:v>
      </x:c>
      <x:c r="N33" s="9" t="str">
        <x:v>New deposit and processing design; no free natural liquid water.</x:v>
      </x:c>
      <x:c r="O33" s="22"/>
      <x:c r="P33" s="22"/>
      <x:c r="Q33" s="22"/>
      <x:c r="R33" s="22"/>
      <x:c r="S33" s="22"/>
      <x:c r="T33" s="9" t="str">
        <x:v>Distribution, collection tool, processing constraints and balance</x:v>
      </x:c>
      <x:c r="U33" s="11" t="str">
        <x:v>protective fabrication</x:v>
      </x:c>
      <x:c r="V33" s="9" t="str">
        <x:v>User design direction, October 14, 2026; local brainstorming. New proposal unless explicitly marked User direction.</x:v>
      </x:c>
      <x:c r="W33" s="4" t="str">
        <x:v>Raw material</x:v>
      </x:c>
      <x:c r="X33" s="4" t="str">
        <x:v>Raw</x:v>
      </x:c>
      <x:c r="Y33" s="4" t="str">
        <x:v>Geological</x:v>
      </x:c>
      <x:c r="Z33" s="4" t="str">
        <x:v>Electrical insulation</x:v>
      </x:c>
      <x:c r="AA33" s="4" t="str">
        <x:v>Mineral</x:v>
      </x:c>
      <x:c r="AB33" s="4" t="str">
        <x:v>Sheet</x:v>
      </x:c>
      <x:c r="AC33" s="4" t="str">
        <x:v>Proposal</x:v>
      </x:c>
      <x:c r="AD33" s="4" t="str">
        <x:f>LOWER(A33&amp;"; "&amp;B33&amp;"; "&amp;C33&amp;"; "&amp;D33&amp;"; "&amp;W33&amp;"; "&amp;X33&amp;"; "&amp;Y33&amp;"; "&amp;Z33&amp;"; "&amp;AA33&amp;"; "&amp;AB33&amp;"; "&amp;AC33&amp;"; "&amp;U33)</x:f>
        <x:v>proposal.natural.mica; mica sheets; resources; raw mineral; raw material; raw; geological; electrical insulation; mineral; sheet; proposal; protective fabrication</x:v>
      </x:c>
      <x:c r="AE33" s="4" t="str">
        <x:v>From current item description. Proposed uses retain their existing approval status.</x:v>
      </x:c>
    </x:row>
    <x:row r="34" ht="66" customHeight="1">
      <x:c r="A34" s="9" t="str">
        <x:v>proposal.natural.iron_feed</x:v>
      </x:c>
      <x:c r="B34" s="9" t="str">
        <x:v>Iron-rich mineral feed</x:v>
      </x:c>
      <x:c r="C34" s="9" t="str">
        <x:v>Resources</x:v>
      </x:c>
      <x:c r="D34" s="9" t="str">
        <x:v>Processed mineral</x:v>
      </x:c>
      <x:c r="E34" s="9" t="str">
        <x:v>New proposal</x:v>
      </x:c>
      <x:c r="F34" s="9" t="str">
        <x:v>Intermediate feed for an eventual furnace</x:v>
      </x:c>
      <x:c r="G34" s="9" t="str">
        <x:v>None</x:v>
      </x:c>
      <x:c r="H34" s="9" t="str">
        <x:v>Legger / local storage proposed</x:v>
      </x:c>
      <x:c r="I34" s="13"/>
      <x:c r="J34" s="15"/>
      <x:c r="K34" s="9" t="str">
        <x:v>Process magnetite</x:v>
      </x:c>
      <x:c r="L34" s="9" t="str">
        <x:v>Dry crush and magnetic separation</x:v>
      </x:c>
      <x:c r="M34" s="9" t="str">
        <x:v>Not implemented</x:v>
      </x:c>
      <x:c r="N34" s="9" t="str">
        <x:v>Distinct proposal from existing Iron-rich Concentrate; decide whether to merge them.</x:v>
      </x:c>
      <x:c r="O34" s="22"/>
      <x:c r="P34" s="22"/>
      <x:c r="Q34" s="22"/>
      <x:c r="R34" s="22"/>
      <x:c r="S34" s="22"/>
      <x:c r="T34" s="9" t="str">
        <x:v>Choose production chain and possible reuse of existing item definitions</x:v>
      </x:c>
      <x:c r="U34" s="11"/>
      <x:c r="V34" s="9" t="str">
        <x:v>User design direction, October 14, 2026; local brainstorming. New proposal unless explicitly marked User direction.</x:v>
      </x:c>
      <x:c r="W34" s="4" t="str">
        <x:v>Processed material</x:v>
      </x:c>
      <x:c r="X34" s="4" t="str">
        <x:v>Processed intermediate</x:v>
      </x:c>
      <x:c r="Y34" s="4" t="str">
        <x:v>Geological</x:v>
      </x:c>
      <x:c r="Z34" s="4" t="str">
        <x:v>Metal refining</x:v>
      </x:c>
      <x:c r="AA34" s="4" t="str">
        <x:v>Mineral</x:v>
      </x:c>
      <x:c r="AB34" s="4" t="str">
        <x:v>Particles</x:v>
      </x:c>
      <x:c r="AC34" s="4" t="str">
        <x:v>Proposal</x:v>
      </x:c>
      <x:c r="AD34" s="4" t="str">
        <x:f>LOWER(A34&amp;"; "&amp;B34&amp;"; "&amp;C34&amp;"; "&amp;D34&amp;"; "&amp;W34&amp;"; "&amp;X34&amp;"; "&amp;Y34&amp;"; "&amp;Z34&amp;"; "&amp;AA34&amp;"; "&amp;AB34&amp;"; "&amp;AC34&amp;"; "&amp;U34)</x:f>
        <x:v>proposal.natural.iron_feed; iron-rich mineral feed; resources; processed mineral; processed material; processed intermediate; geological; metal refining; mineral; particles; proposal; </x:v>
      </x:c>
      <x:c r="AE34" s="4" t="str">
        <x:v>From current item description. Proposed uses retain their existing approval status.</x:v>
      </x:c>
    </x:row>
    <x:row r="35" ht="66" customHeight="1">
      <x:c r="A35" s="9" t="str">
        <x:v>proposal.natural.iron_stock</x:v>
      </x:c>
      <x:c r="B35" s="9" t="str">
        <x:v>Worked iron stock</x:v>
      </x:c>
      <x:c r="C35" s="9" t="str">
        <x:v>Resources</x:v>
      </x:c>
      <x:c r="D35" s="9" t="str">
        <x:v>Processed mineral</x:v>
      </x:c>
      <x:c r="E35" s="9" t="str">
        <x:v>New proposal</x:v>
      </x:c>
      <x:c r="F35" s="9" t="str">
        <x:v>Repair stock, fasteners and structural tool parts</x:v>
      </x:c>
      <x:c r="G35" s="9" t="str">
        <x:v>None</x:v>
      </x:c>
      <x:c r="H35" s="9" t="str">
        <x:v>Legger / local storage proposed</x:v>
      </x:c>
      <x:c r="I35" s="13"/>
      <x:c r="J35" s="15"/>
      <x:c r="K35" s="9" t="str">
        <x:v>Process iron_feed</x:v>
      </x:c>
      <x:c r="L35" s="9" t="str">
        <x:v>Smelt, forge and finish at a stationary facility</x:v>
      </x:c>
      <x:c r="M35" s="9" t="str">
        <x:v>Not implemented</x:v>
      </x:c>
      <x:c r="N35" s="9" t="str">
        <x:v>Fuel, furnace, alloy and process choices unresolved; no Legger crafting platform.</x:v>
      </x:c>
      <x:c r="O35" s="22"/>
      <x:c r="P35" s="22"/>
      <x:c r="Q35" s="22"/>
      <x:c r="R35" s="22"/>
      <x:c r="S35" s="22"/>
      <x:c r="T35" s="9" t="str">
        <x:v>Choose production chain and possible reuse of existing item definitions</x:v>
      </x:c>
      <x:c r="U35" s="11" t="str">
        <x:v>equipment repair</x:v>
      </x:c>
      <x:c r="V35" s="9" t="str">
        <x:v>User design direction, October 14, 2026; local brainstorming. New proposal unless explicitly marked User direction.</x:v>
      </x:c>
      <x:c r="W35" s="4" t="str">
        <x:v>Processed material</x:v>
      </x:c>
      <x:c r="X35" s="4" t="str">
        <x:v>Processed intermediate</x:v>
      </x:c>
      <x:c r="Y35" s="4" t="str">
        <x:v>Geological</x:v>
      </x:c>
      <x:c r="Z35" s="4" t="str">
        <x:v>Fabrication</x:v>
      </x:c>
      <x:c r="AA35" s="4" t="str">
        <x:v>Mineral</x:v>
      </x:c>
      <x:c r="AB35" s="4" t="str">
        <x:v>Solid part</x:v>
      </x:c>
      <x:c r="AC35" s="4" t="str">
        <x:v>Proposal</x:v>
      </x:c>
      <x:c r="AD35" s="4" t="str">
        <x:f>LOWER(A35&amp;"; "&amp;B35&amp;"; "&amp;C35&amp;"; "&amp;D35&amp;"; "&amp;W35&amp;"; "&amp;X35&amp;"; "&amp;Y35&amp;"; "&amp;Z35&amp;"; "&amp;AA35&amp;"; "&amp;AB35&amp;"; "&amp;AC35&amp;"; "&amp;U35)</x:f>
        <x:v>proposal.natural.iron_stock; worked iron stock; resources; processed mineral; processed material; processed intermediate; geological; fabrication; mineral; solid part; proposal; equipment repair</x:v>
      </x:c>
      <x:c r="AE35" s="4" t="str">
        <x:v>From current item description. Proposed uses retain their existing approval status.</x:v>
      </x:c>
    </x:row>
    <x:row r="36" ht="66" customHeight="1">
      <x:c r="A36" s="9" t="str">
        <x:v>proposal.natural.abrasive</x:v>
      </x:c>
      <x:c r="B36" s="9" t="str">
        <x:v>Graded abrasive grit</x:v>
      </x:c>
      <x:c r="C36" s="9" t="str">
        <x:v>Resources</x:v>
      </x:c>
      <x:c r="D36" s="9" t="str">
        <x:v>Processed mineral</x:v>
      </x:c>
      <x:c r="E36" s="9" t="str">
        <x:v>New proposal</x:v>
      </x:c>
      <x:c r="F36" s="9" t="str">
        <x:v>Tool sharpening and surface preparation</x:v>
      </x:c>
      <x:c r="G36" s="9" t="str">
        <x:v>None</x:v>
      </x:c>
      <x:c r="H36" s="9" t="str">
        <x:v>Legger / local storage proposed</x:v>
      </x:c>
      <x:c r="I36" s="13"/>
      <x:c r="J36" s="15"/>
      <x:c r="K36" s="9" t="str">
        <x:v>Process silica</x:v>
      </x:c>
      <x:c r="L36" s="9" t="str">
        <x:v>Dry sieve and grade</x:v>
      </x:c>
      <x:c r="M36" s="9" t="str">
        <x:v>Not implemented</x:v>
      </x:c>
      <x:c r="N36" s="9" t="str">
        <x:v>Could reuse existing Mineral Sand instead; resolve before implementation.</x:v>
      </x:c>
      <x:c r="O36" s="22"/>
      <x:c r="P36" s="22"/>
      <x:c r="Q36" s="22"/>
      <x:c r="R36" s="22"/>
      <x:c r="S36" s="22"/>
      <x:c r="T36" s="9" t="str">
        <x:v>Choose production chain and possible reuse of existing item definitions</x:v>
      </x:c>
      <x:c r="U36" s="11"/>
      <x:c r="V36" s="9" t="str">
        <x:v>User design direction, October 14, 2026; local brainstorming. New proposal unless explicitly marked User direction.</x:v>
      </x:c>
      <x:c r="W36" s="4" t="str">
        <x:v>Processed material</x:v>
      </x:c>
      <x:c r="X36" s="4" t="str">
        <x:v>Processed intermediate</x:v>
      </x:c>
      <x:c r="Y36" s="4" t="str">
        <x:v>Geological</x:v>
      </x:c>
      <x:c r="Z36" s="4" t="str">
        <x:v>Surface finishing</x:v>
      </x:c>
      <x:c r="AA36" s="4" t="str">
        <x:v>Mineral</x:v>
      </x:c>
      <x:c r="AB36" s="4" t="str">
        <x:v>Particles</x:v>
      </x:c>
      <x:c r="AC36" s="4" t="str">
        <x:v>Proposal</x:v>
      </x:c>
      <x:c r="AD36" s="4" t="str">
        <x:f>LOWER(A36&amp;"; "&amp;B36&amp;"; "&amp;C36&amp;"; "&amp;D36&amp;"; "&amp;W36&amp;"; "&amp;X36&amp;"; "&amp;Y36&amp;"; "&amp;Z36&amp;"; "&amp;AA36&amp;"; "&amp;AB36&amp;"; "&amp;AC36&amp;"; "&amp;U36)</x:f>
        <x:v>proposal.natural.abrasive; graded abrasive grit; resources; processed mineral; processed material; processed intermediate; geological; surface finishing; mineral; particles; proposal; </x:v>
      </x:c>
      <x:c r="AE36" s="4" t="str">
        <x:v>From current item description. Proposed uses retain their existing approval status.</x:v>
      </x:c>
    </x:row>
    <x:row r="37" ht="66" customHeight="1">
      <x:c r="A37" s="9" t="str">
        <x:v>proposal.natural.ceramic</x:v>
      </x:c>
      <x:c r="B37" s="9" t="str">
        <x:v>Insulating ceramic blanks</x:v>
      </x:c>
      <x:c r="C37" s="9" t="str">
        <x:v>Resources</x:v>
      </x:c>
      <x:c r="D37" s="9" t="str">
        <x:v>Processed mineral</x:v>
      </x:c>
      <x:c r="E37" s="9" t="str">
        <x:v>New proposal</x:v>
      </x:c>
      <x:c r="F37" s="9" t="str">
        <x:v>Grounding-kit spacers and heat-resistant fixtures</x:v>
      </x:c>
      <x:c r="G37" s="9" t="str">
        <x:v>None</x:v>
      </x:c>
      <x:c r="H37" s="9" t="str">
        <x:v>Legger / local storage proposed</x:v>
      </x:c>
      <x:c r="I37" s="13"/>
      <x:c r="J37" s="15"/>
      <x:c r="K37" s="9" t="str">
        <x:v>Process alumina</x:v>
      </x:c>
      <x:c r="L37" s="9" t="str">
        <x:v>Dry feed preparation, forming and firing</x:v>
      </x:c>
      <x:c r="M37" s="9" t="str">
        <x:v>Not implemented</x:v>
      </x:c>
      <x:c r="N37" s="9" t="str">
        <x:v>Claystone may be a co-input; forming binder/energy not settled.</x:v>
      </x:c>
      <x:c r="O37" s="22"/>
      <x:c r="P37" s="22"/>
      <x:c r="Q37" s="22"/>
      <x:c r="R37" s="22"/>
      <x:c r="S37" s="22"/>
      <x:c r="T37" s="9" t="str">
        <x:v>Choose production chain and possible reuse of existing item definitions</x:v>
      </x:c>
      <x:c r="U37" s="11" t="str">
        <x:v>protective fabrication; mineral</x:v>
      </x:c>
      <x:c r="V37" s="9" t="str">
        <x:v>User design direction, October 14, 2026; local brainstorming. New proposal unless explicitly marked User direction.</x:v>
      </x:c>
      <x:c r="W37" s="4" t="str">
        <x:v>Processed material</x:v>
      </x:c>
      <x:c r="X37" s="4" t="str">
        <x:v>Processed intermediate</x:v>
      </x:c>
      <x:c r="Y37" s="4" t="str">
        <x:v>Geological</x:v>
      </x:c>
      <x:c r="Z37" s="4" t="str">
        <x:v>Electrical insulation</x:v>
      </x:c>
      <x:c r="AA37" s="4" t="str">
        <x:v>Ceramic</x:v>
      </x:c>
      <x:c r="AB37" s="4" t="str">
        <x:v>Solid part</x:v>
      </x:c>
      <x:c r="AC37" s="4" t="str">
        <x:v>Proposal</x:v>
      </x:c>
      <x:c r="AD37" s="4" t="str">
        <x:f>LOWER(A37&amp;"; "&amp;B37&amp;"; "&amp;C37&amp;"; "&amp;D37&amp;"; "&amp;W37&amp;"; "&amp;X37&amp;"; "&amp;Y37&amp;"; "&amp;Z37&amp;"; "&amp;AA37&amp;"; "&amp;AB37&amp;"; "&amp;AC37&amp;"; "&amp;U37)</x:f>
        <x:v>proposal.natural.ceramic; insulating ceramic blanks; resources; processed mineral; processed material; processed intermediate; geological; electrical insulation; ceramic; solid part; proposal; protective fabrication; mineral</x:v>
      </x:c>
      <x:c r="AE37" s="4" t="str">
        <x:v>From current item description. Proposed uses retain their existing approval status.</x:v>
      </x:c>
    </x:row>
    <x:row r="38" ht="66" customHeight="1">
      <x:c r="A38" s="9" t="str">
        <x:v>proposal.natural.lime</x:v>
      </x:c>
      <x:c r="B38" s="9" t="str">
        <x:v>Calcined mineral binder</x:v>
      </x:c>
      <x:c r="C38" s="9" t="str">
        <x:v>Resources</x:v>
      </x:c>
      <x:c r="D38" s="9" t="str">
        <x:v>Processed mineral</x:v>
      </x:c>
      <x:c r="E38" s="9" t="str">
        <x:v>New proposal</x:v>
      </x:c>
      <x:c r="F38" s="9" t="str">
        <x:v>Dry composite repair and construction</x:v>
      </x:c>
      <x:c r="G38" s="9" t="str">
        <x:v>None</x:v>
      </x:c>
      <x:c r="H38" s="9" t="str">
        <x:v>Legger / local storage proposed</x:v>
      </x:c>
      <x:c r="I38" s="13"/>
      <x:c r="J38" s="15"/>
      <x:c r="K38" s="9" t="str">
        <x:v>Process carbonate</x:v>
      </x:c>
      <x:c r="L38" s="9" t="str">
        <x:v>Heat mineral feed; retain dry product</x:v>
      </x:c>
      <x:c r="M38" s="9" t="str">
        <x:v>Not implemented</x:v>
      </x:c>
      <x:c r="N38" s="9" t="str">
        <x:v>No conventional water-based cement recipe assumed.</x:v>
      </x:c>
      <x:c r="O38" s="22"/>
      <x:c r="P38" s="22"/>
      <x:c r="Q38" s="22"/>
      <x:c r="R38" s="22"/>
      <x:c r="S38" s="22"/>
      <x:c r="T38" s="9" t="str">
        <x:v>Choose production chain and possible reuse of existing item definitions</x:v>
      </x:c>
      <x:c r="U38" s="11"/>
      <x:c r="V38" s="9" t="str">
        <x:v>User design direction, October 14, 2026; local brainstorming. New proposal unless explicitly marked User direction.</x:v>
      </x:c>
      <x:c r="W38" s="4" t="str">
        <x:v>Processed material</x:v>
      </x:c>
      <x:c r="X38" s="4" t="str">
        <x:v>Processed intermediate</x:v>
      </x:c>
      <x:c r="Y38" s="4" t="str">
        <x:v>Geological</x:v>
      </x:c>
      <x:c r="Z38" s="4" t="str">
        <x:v>Binding and construction</x:v>
      </x:c>
      <x:c r="AA38" s="4" t="str">
        <x:v>Mineral</x:v>
      </x:c>
      <x:c r="AB38" s="4" t="str">
        <x:v>Particles</x:v>
      </x:c>
      <x:c r="AC38" s="4" t="str">
        <x:v>Proposal</x:v>
      </x:c>
      <x:c r="AD38" s="4" t="str">
        <x:f>LOWER(A38&amp;"; "&amp;B38&amp;"; "&amp;C38&amp;"; "&amp;D38&amp;"; "&amp;W38&amp;"; "&amp;X38&amp;"; "&amp;Y38&amp;"; "&amp;Z38&amp;"; "&amp;AA38&amp;"; "&amp;AB38&amp;"; "&amp;AC38&amp;"; "&amp;U38)</x:f>
        <x:v>proposal.natural.lime; calcined mineral binder; resources; processed mineral; processed material; processed intermediate; geological; binding and construction; mineral; particles; proposal; </x:v>
      </x:c>
      <x:c r="AE38" s="4" t="str">
        <x:v>From current item description. Proposed uses retain their existing approval status.</x:v>
      </x:c>
    </x:row>
    <x:row r="39" ht="66" customHeight="1">
      <x:c r="A39" s="9" t="str">
        <x:v>proposal.natural.carbon</x:v>
      </x:c>
      <x:c r="B39" s="9" t="str">
        <x:v>Graded graphite flakes</x:v>
      </x:c>
      <x:c r="C39" s="9" t="str">
        <x:v>Resources</x:v>
      </x:c>
      <x:c r="D39" s="9" t="str">
        <x:v>Processed mineral</x:v>
      </x:c>
      <x:c r="E39" s="9" t="str">
        <x:v>New proposal</x:v>
      </x:c>
      <x:c r="F39" s="9" t="str">
        <x:v>Dry lubricant; conductive composite ingredient</x:v>
      </x:c>
      <x:c r="G39" s="9" t="str">
        <x:v>None</x:v>
      </x:c>
      <x:c r="H39" s="9" t="str">
        <x:v>Legger / local storage proposed</x:v>
      </x:c>
      <x:c r="I39" s="13"/>
      <x:c r="J39" s="15"/>
      <x:c r="K39" s="9" t="str">
        <x:v>Process graphite</x:v>
      </x:c>
      <x:c r="L39" s="9" t="str">
        <x:v>Crush and dry grade</x:v>
      </x:c>
      <x:c r="M39" s="9" t="str">
        <x:v>Not implemented</x:v>
      </x:c>
      <x:c r="N39" s="9" t="str">
        <x:v>Not a power source; graphite behavior and recipe details remain provisional.</x:v>
      </x:c>
      <x:c r="O39" s="22"/>
      <x:c r="P39" s="22"/>
      <x:c r="Q39" s="22"/>
      <x:c r="R39" s="22"/>
      <x:c r="S39" s="22"/>
      <x:c r="T39" s="9" t="str">
        <x:v>Choose production chain and possible reuse of existing item definitions</x:v>
      </x:c>
      <x:c r="U39" s="11" t="str">
        <x:v>electrical conduction</x:v>
      </x:c>
      <x:c r="V39" s="9" t="str">
        <x:v>User design direction, October 14, 2026; local brainstorming. New proposal unless explicitly marked User direction.</x:v>
      </x:c>
      <x:c r="W39" s="4" t="str">
        <x:v>Processed material</x:v>
      </x:c>
      <x:c r="X39" s="4" t="str">
        <x:v>Processed intermediate</x:v>
      </x:c>
      <x:c r="Y39" s="4" t="str">
        <x:v>Geological</x:v>
      </x:c>
      <x:c r="Z39" s="4" t="str">
        <x:v>Lubrication</x:v>
      </x:c>
      <x:c r="AA39" s="4" t="str">
        <x:v>Mineral</x:v>
      </x:c>
      <x:c r="AB39" s="4" t="str">
        <x:v>Particles</x:v>
      </x:c>
      <x:c r="AC39" s="4" t="str">
        <x:v>Proposal</x:v>
      </x:c>
      <x:c r="AD39" s="4" t="str">
        <x:f>LOWER(A39&amp;"; "&amp;B39&amp;"; "&amp;C39&amp;"; "&amp;D39&amp;"; "&amp;W39&amp;"; "&amp;X39&amp;"; "&amp;Y39&amp;"; "&amp;Z39&amp;"; "&amp;AA39&amp;"; "&amp;AB39&amp;"; "&amp;AC39&amp;"; "&amp;U39)</x:f>
        <x:v>proposal.natural.carbon; graded graphite flakes; resources; processed mineral; processed material; processed intermediate; geological; lubrication; mineral; particles; proposal; electrical conduction</x:v>
      </x:c>
      <x:c r="AE39" s="4" t="str">
        <x:v>From current item description. Proposed uses retain their existing approval status.</x:v>
      </x:c>
    </x:row>
    <x:row r="40" ht="66" customHeight="1">
      <x:c r="A40" s="9" t="str">
        <x:v>proposal.bio.shell</x:v>
      </x:c>
      <x:c r="B40" s="9" t="str">
        <x:v>Shell husks / shed plates</x:v>
      </x:c>
      <x:c r="C40" s="9" t="str">
        <x:v>Resources</x:v>
      </x:c>
      <x:c r="D40" s="9" t="str">
        <x:v>Molted exoskeleton</x:v>
      </x:c>
      <x:c r="E40" s="9" t="str">
        <x:v>User direction; not implemented</x:v>
      </x:c>
      <x:c r="F40" s="9" t="str">
        <x:v>Cheap raw shell/husk material; source of scraped fibers and candidate basic casing/guards.</x:v>
      </x:c>
      <x:c r="G40" s="9" t="str">
        <x:v>None</x:v>
      </x:c>
      <x:c r="H40" s="9" t="str">
        <x:v>Legger / local storage proposed</x:v>
      </x:c>
      <x:c r="I40" s="13"/>
      <x:c r="J40" s="15"/>
      <x:c r="K40" s="9" t="str">
        <x:v>Discarded shell husks; creature-specific collection remains proposed</x:v>
      </x:c>
      <x:c r="L40" s="9" t="str">
        <x:v>Scrape fibers for paper and difficult pressed textile processing</x:v>
      </x:c>
      <x:c r="M40" s="9" t="str">
        <x:v>Not implemented</x:v>
      </x:c>
      <x:c r="N40" s="9" t="str">
        <x:v>Raw fiber abundance does not imply easy finished textile production; no cloth.</x:v>
      </x:c>
      <x:c r="O40" s="22"/>
      <x:c r="P40" s="22"/>
      <x:c r="Q40" s="22"/>
      <x:c r="R40" s="22"/>
      <x:c r="S40" s="22"/>
      <x:c r="T40" s="9" t="str">
        <x:v>Ordinary raw shells are cheap bulk material. Processed fibers, exceptional selected material and precision finished parts have separate value; no numeric price set.</x:v>
      </x:c>
      <x:c r="U40" s="11" t="str">
        <x:v>fiber processing</x:v>
      </x:c>
      <x:c r="V40" s="9" t="str">
        <x:v>Direct author direction October 14, 2026; Docs/WORLD_BASIS.md#material-culture</x:v>
      </x:c>
      <x:c r="W40" s="4" t="str">
        <x:v>Raw material</x:v>
      </x:c>
      <x:c r="X40" s="4" t="str">
        <x:v>Raw</x:v>
      </x:c>
      <x:c r="Y40" s="4" t="str">
        <x:v>Fauna</x:v>
      </x:c>
      <x:c r="Z40" s="4" t="str">
        <x:v>Fabrication</x:v>
      </x:c>
      <x:c r="AA40" s="4" t="str">
        <x:v>Shell / chitin</x:v>
      </x:c>
      <x:c r="AB40" s="4" t="str">
        <x:v>Shell plate</x:v>
      </x:c>
      <x:c r="AC40" s="4" t="str">
        <x:v>Author direction</x:v>
      </x:c>
      <x:c r="AD40" s="4" t="str">
        <x:f>LOWER(A40&amp;"; "&amp;B40&amp;"; "&amp;C40&amp;"; "&amp;D40&amp;"; "&amp;W40&amp;"; "&amp;X40&amp;"; "&amp;Y40&amp;"; "&amp;Z40&amp;"; "&amp;AA40&amp;"; "&amp;AB40&amp;"; "&amp;AC40&amp;"; "&amp;U40)</x:f>
        <x:v>proposal.bio.shell; shell husks / shed plates; resources; molted exoskeleton; raw material; raw; fauna; fabrication; shell / chitin; shell plate; author direction; fiber processing</x:v>
      </x:c>
      <x:c r="AE40" s="4" t="str">
        <x:v>From current item description. Proposed uses retain their existing approval status.</x:v>
      </x:c>
    </x:row>
    <x:row r="41" ht="66" customHeight="1">
      <x:c r="A41" s="9" t="str">
        <x:v>proposal.bio.tendon</x:v>
      </x:c>
      <x:c r="B41" s="9" t="str">
        <x:v>Dried tendon bundles</x:v>
      </x:c>
      <x:c r="C41" s="9" t="str">
        <x:v>Resources</x:v>
      </x:c>
      <x:c r="D41" s="9" t="str">
        <x:v>Connective tissue</x:v>
      </x:c>
      <x:c r="E41" s="9" t="str">
        <x:v>New proposal</x:v>
      </x:c>
      <x:c r="F41" s="9" t="str">
        <x:v>Cordage and flexible bindings</x:v>
      </x:c>
      <x:c r="G41" s="9" t="str">
        <x:v>None</x:v>
      </x:c>
      <x:c r="H41" s="9" t="str">
        <x:v>Legger / local storage proposed</x:v>
      </x:c>
      <x:c r="I41" s="13"/>
      <x:c r="J41" s="15"/>
      <x:c r="K41" s="9" t="str">
        <x:v>Carcass joints and limb anchors</x:v>
      </x:c>
      <x:c r="L41" s="9" t="str">
        <x:v>See Resource chains</x:v>
      </x:c>
      <x:c r="M41" s="9" t="str">
        <x:v>Not implemented</x:v>
      </x:c>
      <x:c r="N41" s="9" t="str">
        <x:v>No yield numbers. Internal chemistry is mostly toxic to humans; faunal chemicals/liquids can be materials. Anatomy and containment remain unresolved.</x:v>
      </x:c>
      <x:c r="O41" s="22"/>
      <x:c r="P41" s="22"/>
      <x:c r="Q41" s="22"/>
      <x:c r="R41" s="22"/>
      <x:c r="S41" s="22"/>
      <x:c r="T41" s="9" t="str">
        <x:v>Ecology, tissue preservation, safe fiction, processing and final naming</x:v>
      </x:c>
      <x:c r="U41" s="11"/>
      <x:c r="V41" s="9" t="str">
        <x:v>User design direction, October 14, 2026; local brainstorming. New proposal unless explicitly marked User direction.</x:v>
      </x:c>
      <x:c r="W41" s="4" t="str">
        <x:v>Raw material</x:v>
      </x:c>
      <x:c r="X41" s="4" t="str">
        <x:v>Raw</x:v>
      </x:c>
      <x:c r="Y41" s="4" t="str">
        <x:v>Fauna</x:v>
      </x:c>
      <x:c r="Z41" s="4" t="str">
        <x:v>Binding and construction</x:v>
      </x:c>
      <x:c r="AA41" s="4" t="str">
        <x:v>Faunal tissue</x:v>
      </x:c>
      <x:c r="AB41" s="4" t="str">
        <x:v>Bundle</x:v>
      </x:c>
      <x:c r="AC41" s="4" t="str">
        <x:v>Proposal</x:v>
      </x:c>
      <x:c r="AD41" s="4" t="str">
        <x:f>LOWER(A41&amp;"; "&amp;B41&amp;"; "&amp;C41&amp;"; "&amp;D41&amp;"; "&amp;W41&amp;"; "&amp;X41&amp;"; "&amp;Y41&amp;"; "&amp;Z41&amp;"; "&amp;AA41&amp;"; "&amp;AB41&amp;"; "&amp;AC41&amp;"; "&amp;U41)</x:f>
        <x:v>proposal.bio.tendon; dried tendon bundles; resources; connective tissue; raw material; raw; fauna; binding and construction; faunal tissue; bundle; proposal; </x:v>
      </x:c>
      <x:c r="AE41" s="4" t="str">
        <x:v>From current item description. Proposed uses retain their existing approval status.</x:v>
      </x:c>
    </x:row>
    <x:row r="42" ht="66" customHeight="1">
      <x:c r="A42" s="9" t="str">
        <x:v>proposal.bio.bristles</x:v>
      </x:c>
      <x:c r="B42" s="9" t="str">
        <x:v>Coarse sensory bristles</x:v>
      </x:c>
      <x:c r="C42" s="9" t="str">
        <x:v>Resources</x:v>
      </x:c>
      <x:c r="D42" s="9" t="str">
        <x:v>Dry fibers</x:v>
      </x:c>
      <x:c r="E42" s="9" t="str">
        <x:v>New proposal</x:v>
      </x:c>
      <x:c r="F42" s="9" t="str">
        <x:v>Dust seals, brushes and filter research</x:v>
      </x:c>
      <x:c r="G42" s="9" t="str">
        <x:v>None</x:v>
      </x:c>
      <x:c r="H42" s="9" t="str">
        <x:v>Legger / local storage proposed</x:v>
      </x:c>
      <x:c r="I42" s="13"/>
      <x:c r="J42" s="15"/>
      <x:c r="K42" s="9" t="str">
        <x:v>Shed bristles and carcass brushes</x:v>
      </x:c>
      <x:c r="L42" s="9" t="str">
        <x:v>See Resource chains</x:v>
      </x:c>
      <x:c r="M42" s="9" t="str">
        <x:v>Not implemented</x:v>
      </x:c>
      <x:c r="N42" s="9" t="str">
        <x:v>No yield numbers. Internal chemistry is mostly toxic to humans; faunal chemicals/liquids can be materials. Anatomy and containment remain unresolved.</x:v>
      </x:c>
      <x:c r="O42" s="22"/>
      <x:c r="P42" s="22"/>
      <x:c r="Q42" s="22"/>
      <x:c r="R42" s="22"/>
      <x:c r="S42" s="22"/>
      <x:c r="T42" s="9" t="str">
        <x:v>Ecology, tissue preservation, safe fiction, processing and final naming</x:v>
      </x:c>
      <x:c r="U42" s="11"/>
      <x:c r="V42" s="9" t="str">
        <x:v>User design direction, October 14, 2026; local brainstorming. New proposal unless explicitly marked User direction.</x:v>
      </x:c>
      <x:c r="W42" s="4" t="str">
        <x:v>Raw material</x:v>
      </x:c>
      <x:c r="X42" s="4" t="str">
        <x:v>Raw</x:v>
      </x:c>
      <x:c r="Y42" s="4" t="str">
        <x:v>Fauna</x:v>
      </x:c>
      <x:c r="Z42" s="4" t="str">
        <x:v>Dust exclusion</x:v>
      </x:c>
      <x:c r="AA42" s="4" t="str">
        <x:v>Faunal fiber</x:v>
      </x:c>
      <x:c r="AB42" s="4" t="str">
        <x:v>Fiber</x:v>
      </x:c>
      <x:c r="AC42" s="4" t="str">
        <x:v>Proposal</x:v>
      </x:c>
      <x:c r="AD42" s="4" t="str">
        <x:f>LOWER(A42&amp;"; "&amp;B42&amp;"; "&amp;C42&amp;"; "&amp;D42&amp;"; "&amp;W42&amp;"; "&amp;X42&amp;"; "&amp;Y42&amp;"; "&amp;Z42&amp;"; "&amp;AA42&amp;"; "&amp;AB42&amp;"; "&amp;AC42&amp;"; "&amp;U42)</x:f>
        <x:v>proposal.bio.bristles; coarse sensory bristles; resources; dry fibers; raw material; raw; fauna; dust exclusion; faunal fiber; fiber; proposal; </x:v>
      </x:c>
      <x:c r="AE42" s="4" t="str">
        <x:v>From current item description. Proposed uses retain their existing approval status.</x:v>
      </x:c>
    </x:row>
    <x:row r="43" ht="66" customHeight="1">
      <x:c r="A43" s="9" t="str">
        <x:v>proposal.bio.underfur</x:v>
      </x:c>
      <x:c r="B43" s="9" t="str">
        <x:v>Shed underfur</x:v>
      </x:c>
      <x:c r="C43" s="9" t="str">
        <x:v>Resources</x:v>
      </x:c>
      <x:c r="D43" s="9" t="str">
        <x:v>Dry fibers</x:v>
      </x:c>
      <x:c r="E43" s="9" t="str">
        <x:v>New proposal</x:v>
      </x:c>
      <x:c r="F43" s="9" t="str">
        <x:v>Raw fur for extremely low-yield material processing.</x:v>
      </x:c>
      <x:c r="G43" s="9" t="str">
        <x:v>None</x:v>
      </x:c>
      <x:c r="H43" s="9" t="str">
        <x:v>Legger / local storage proposed</x:v>
      </x:c>
      <x:c r="I43" s="13"/>
      <x:c r="J43" s="15"/>
      <x:c r="K43" s="9" t="str">
        <x:v>Abandoned resting hollows and natural shedding</x:v>
      </x:c>
      <x:c r="L43" s="9" t="str">
        <x:v>Extremely low usable yield for textile/material processing</x:v>
      </x:c>
      <x:c r="M43" s="9" t="str">
        <x:v>Not implemented</x:v>
      </x:c>
      <x:c r="N43" s="9" t="str">
        <x:v>No cloth. Raw collection amount does not establish processed yield.</x:v>
      </x:c>
      <x:c r="O43" s="22"/>
      <x:c r="P43" s="22"/>
      <x:c r="Q43" s="22"/>
      <x:c r="R43" s="22"/>
      <x:c r="S43" s="22"/>
      <x:c r="T43" s="9" t="str">
        <x:v>Specific fur types and outputs remain proposals; no numeric yield; fashion-crafting input: high sale-value intent; large material/time demand; exact prices and quantities TBD</x:v>
      </x:c>
      <x:c r="U43" s="11"/>
      <x:c r="V43" s="9" t="str">
        <x:v>Docs/WORLD_BASIS.md#material-culture; author direction October 14, 2026. Process details and specific product forms remain unimplemented.</x:v>
      </x:c>
      <x:c r="W43" s="4" t="str">
        <x:v>Raw material</x:v>
      </x:c>
      <x:c r="X43" s="4" t="str">
        <x:v>Raw</x:v>
      </x:c>
      <x:c r="Y43" s="4" t="str">
        <x:v>Fauna</x:v>
      </x:c>
      <x:c r="Z43" s="4" t="str">
        <x:v>Textile processing</x:v>
      </x:c>
      <x:c r="AA43" s="4" t="str">
        <x:v>Fur</x:v>
      </x:c>
      <x:c r="AB43" s="4" t="str">
        <x:v>Fiber</x:v>
      </x:c>
      <x:c r="AC43" s="4" t="str">
        <x:v>Proposal</x:v>
      </x:c>
      <x:c r="AD43" s="4" t="str">
        <x:f>LOWER(A43&amp;"; "&amp;B43&amp;"; "&amp;C43&amp;"; "&amp;D43&amp;"; "&amp;W43&amp;"; "&amp;X43&amp;"; "&amp;Y43&amp;"; "&amp;Z43&amp;"; "&amp;AA43&amp;"; "&amp;AB43&amp;"; "&amp;AC43&amp;"; "&amp;U43)</x:f>
        <x:v>proposal.bio.underfur; shed underfur; resources; dry fibers; raw material; raw; fauna; textile processing; fur; fiber; proposal; </x:v>
      </x:c>
      <x:c r="AE43" s="4" t="str">
        <x:v>From current item description. Proposed uses retain their existing approval status.</x:v>
      </x:c>
    </x:row>
    <x:row r="44" ht="66" customHeight="1">
      <x:c r="A44" s="9" t="str">
        <x:v>proposal.bio.jaw</x:v>
      </x:c>
      <x:c r="B44" s="9" t="str">
        <x:v>Dense jaw plates</x:v>
      </x:c>
      <x:c r="C44" s="9" t="str">
        <x:v>Resources</x:v>
      </x:c>
      <x:c r="D44" s="9" t="str">
        <x:v>Hard tissue</x:v>
      </x:c>
      <x:c r="E44" s="9" t="str">
        <x:v>New proposal</x:v>
      </x:c>
      <x:c r="F44" s="9" t="str">
        <x:v>Tool edges and wear inserts</x:v>
      </x:c>
      <x:c r="G44" s="9" t="str">
        <x:v>None</x:v>
      </x:c>
      <x:c r="H44" s="9" t="str">
        <x:v>Legger / local storage proposed</x:v>
      </x:c>
      <x:c r="I44" s="13"/>
      <x:c r="J44" s="15"/>
      <x:c r="K44" s="9" t="str">
        <x:v>Carcass chewing and digging mouthparts</x:v>
      </x:c>
      <x:c r="L44" s="9" t="str">
        <x:v>See Resource chains</x:v>
      </x:c>
      <x:c r="M44" s="9" t="str">
        <x:v>Not implemented</x:v>
      </x:c>
      <x:c r="N44" s="9" t="str">
        <x:v>No yield numbers. Internal chemistry is mostly toxic to humans; faunal chemicals/liquids can be materials. Anatomy and containment remain unresolved.</x:v>
      </x:c>
      <x:c r="O44" s="22"/>
      <x:c r="P44" s="22"/>
      <x:c r="Q44" s="22"/>
      <x:c r="R44" s="22"/>
      <x:c r="S44" s="22"/>
      <x:c r="T44" s="9" t="str">
        <x:v>Ecology, tissue preservation, safe fiction, processing and final naming</x:v>
      </x:c>
      <x:c r="U44" s="11"/>
      <x:c r="V44" s="9" t="str">
        <x:v>User design direction, October 14, 2026; local brainstorming. New proposal unless explicitly marked User direction.</x:v>
      </x:c>
      <x:c r="W44" s="4" t="str">
        <x:v>Raw material</x:v>
      </x:c>
      <x:c r="X44" s="4" t="str">
        <x:v>Raw</x:v>
      </x:c>
      <x:c r="Y44" s="4" t="str">
        <x:v>Fauna</x:v>
      </x:c>
      <x:c r="Z44" s="4" t="str">
        <x:v>Tool fabrication</x:v>
      </x:c>
      <x:c r="AA44" s="4" t="str">
        <x:v>Faunal tissue</x:v>
      </x:c>
      <x:c r="AB44" s="4" t="str">
        <x:v>Solid piece</x:v>
      </x:c>
      <x:c r="AC44" s="4" t="str">
        <x:v>Proposal</x:v>
      </x:c>
      <x:c r="AD44" s="4" t="str">
        <x:f>LOWER(A44&amp;"; "&amp;B44&amp;"; "&amp;C44&amp;"; "&amp;D44&amp;"; "&amp;W44&amp;"; "&amp;X44&amp;"; "&amp;Y44&amp;"; "&amp;Z44&amp;"; "&amp;AA44&amp;"; "&amp;AB44&amp;"; "&amp;AC44&amp;"; "&amp;U44)</x:f>
        <x:v>proposal.bio.jaw; dense jaw plates; resources; hard tissue; raw material; raw; fauna; tool fabrication; faunal tissue; solid piece; proposal; </x:v>
      </x:c>
      <x:c r="AE44" s="4" t="str">
        <x:v>From current item description. Proposed uses retain their existing approval status.</x:v>
      </x:c>
    </x:row>
    <x:row r="45" ht="66" customHeight="1">
      <x:c r="A45" s="9" t="str">
        <x:v>proposal.bio.membrane</x:v>
      </x:c>
      <x:c r="B45" s="9" t="str">
        <x:v>Dried joint membrane</x:v>
      </x:c>
      <x:c r="C45" s="9" t="str">
        <x:v>Resources</x:v>
      </x:c>
      <x:c r="D45" s="9" t="str">
        <x:v>Flexible tissue</x:v>
      </x:c>
      <x:c r="E45" s="9" t="str">
        <x:v>New proposal</x:v>
      </x:c>
      <x:c r="F45" s="9" t="str">
        <x:v>Flexible seals and patch material</x:v>
      </x:c>
      <x:c r="G45" s="9" t="str">
        <x:v>None</x:v>
      </x:c>
      <x:c r="H45" s="9" t="str">
        <x:v>Legger / local storage proposed</x:v>
      </x:c>
      <x:c r="I45" s="13"/>
      <x:c r="J45" s="15"/>
      <x:c r="K45" s="9" t="str">
        <x:v>Carcass limb joints and body folds</x:v>
      </x:c>
      <x:c r="L45" s="9" t="str">
        <x:v>See Resource chains</x:v>
      </x:c>
      <x:c r="M45" s="9" t="str">
        <x:v>Not implemented</x:v>
      </x:c>
      <x:c r="N45" s="9" t="str">
        <x:v>Flexible tissue proposal; does not establish cloth. Processing and preservation remain open.</x:v>
      </x:c>
      <x:c r="O45" s="22"/>
      <x:c r="P45" s="22"/>
      <x:c r="Q45" s="22"/>
      <x:c r="R45" s="22"/>
      <x:c r="S45" s="22"/>
      <x:c r="T45" s="9" t="str">
        <x:v>Ecology, tissue preservation, safe fiction, processing and final naming</x:v>
      </x:c>
      <x:c r="U45" s="11" t="str">
        <x:v>equipment repair</x:v>
      </x:c>
      <x:c r="V45" s="9" t="str">
        <x:v>User design direction, October 14, 2026; local brainstorming. New proposal unless explicitly marked User direction.</x:v>
      </x:c>
      <x:c r="W45" s="4" t="str">
        <x:v>Raw material</x:v>
      </x:c>
      <x:c r="X45" s="4" t="str">
        <x:v>Processed intermediate</x:v>
      </x:c>
      <x:c r="Y45" s="4" t="str">
        <x:v>Fauna</x:v>
      </x:c>
      <x:c r="Z45" s="4" t="str">
        <x:v>Sealing</x:v>
      </x:c>
      <x:c r="AA45" s="4" t="str">
        <x:v>Faunal membrane</x:v>
      </x:c>
      <x:c r="AB45" s="4" t="str">
        <x:v>Sheet</x:v>
      </x:c>
      <x:c r="AC45" s="4" t="str">
        <x:v>Proposal</x:v>
      </x:c>
      <x:c r="AD45" s="4" t="str">
        <x:f>LOWER(A45&amp;"; "&amp;B45&amp;"; "&amp;C45&amp;"; "&amp;D45&amp;"; "&amp;W45&amp;"; "&amp;X45&amp;"; "&amp;Y45&amp;"; "&amp;Z45&amp;"; "&amp;AA45&amp;"; "&amp;AB45&amp;"; "&amp;AC45&amp;"; "&amp;U45)</x:f>
        <x:v>proposal.bio.membrane; dried joint membrane; resources; flexible tissue; raw material; processed intermediate; fauna; sealing; faunal membrane; sheet; proposal; equipment repair</x:v>
      </x:c>
      <x:c r="AE45" s="4" t="str">
        <x:v>From current item description. Proposed uses retain their existing approval status.</x:v>
      </x:c>
    </x:row>
    <x:row r="46" ht="66" customHeight="1">
      <x:c r="A46" s="9" t="str">
        <x:v>proposal.bio.fat</x:v>
      </x:c>
      <x:c r="B46" s="9" t="str">
        <x:v>Unverified fat-like tissue concept</x:v>
      </x:c>
      <x:c r="C46" s="9" t="str">
        <x:v>Resources</x:v>
      </x:c>
      <x:c r="D46" s="9" t="str">
        <x:v>Perishable tissue</x:v>
      </x:c>
      <x:c r="E46" s="9" t="str">
        <x:v>Needs lore anatomy review</x:v>
      </x:c>
      <x:c r="F46" s="9" t="str">
        <x:v>Earlier conventional-fat assumption withheld pending Burden Beasts anatomy review.</x:v>
      </x:c>
      <x:c r="G46" s="9" t="str">
        <x:v>None</x:v>
      </x:c>
      <x:c r="H46" s="9" t="str">
        <x:v>Legger / local storage proposed</x:v>
      </x:c>
      <x:c r="I46" s="13"/>
      <x:c r="J46" s="15"/>
      <x:c r="K46" s="9" t="str">
        <x:v>No validated species or anatomy source</x:v>
      </x:c>
      <x:c r="L46" s="9" t="str">
        <x:v>Prior wax/lubricant route is a conditional proposal only</x:v>
      </x:c>
      <x:c r="M46" s="9" t="str">
        <x:v>Not implemented</x:v>
      </x:c>
      <x:c r="N46" s="9" t="str">
        <x:v>Most fauna lacks traditional flesh; conventional mammalian fat cannot be assumed. Not an established food.</x:v>
      </x:c>
      <x:c r="O46" s="22"/>
      <x:c r="P46" s="22"/>
      <x:c r="Q46" s="22"/>
      <x:c r="R46" s="22"/>
      <x:c r="S46" s="22"/>
      <x:c r="T46" s="9" t="str">
        <x:v>Review actual Burden Beasts anatomy before assigning tissue properties</x:v>
      </x:c>
      <x:c r="U46" s="11"/>
      <x:c r="V46" s="9" t="str">
        <x:v>Docs/WORLD_BASIS.md#faunal-biology-and-material-use; direct author direction October 14, 2026. Related source anatomy proposals now accessible at f6f98515; this item awaits reconciliation; identities and processing remain undefined.</x:v>
      </x:c>
      <x:c r="W46" s="4" t="str">
        <x:v>Raw material</x:v>
      </x:c>
      <x:c r="X46" s="4" t="str">
        <x:v>Unresolved</x:v>
      </x:c>
      <x:c r="Y46" s="4" t="str">
        <x:v>Fauna</x:v>
      </x:c>
      <x:c r="Z46" s="4" t="str">
        <x:v>Use unresolved</x:v>
      </x:c>
      <x:c r="AA46" s="4" t="str">
        <x:v>Unresolved</x:v>
      </x:c>
      <x:c r="AB46" s="4" t="str">
        <x:v>Unresolved</x:v>
      </x:c>
      <x:c r="AC46" s="4" t="str">
        <x:v>Withheld assumption</x:v>
      </x:c>
      <x:c r="AD46" s="4" t="str">
        <x:f>LOWER(A46&amp;"; "&amp;B46&amp;"; "&amp;C46&amp;"; "&amp;D46&amp;"; "&amp;W46&amp;"; "&amp;X46&amp;"; "&amp;Y46&amp;"; "&amp;Z46&amp;"; "&amp;AA46&amp;"; "&amp;AB46&amp;"; "&amp;AC46&amp;"; "&amp;U46)</x:f>
        <x:v>proposal.bio.fat; unverified fat-like tissue concept; resources; perishable tissue; raw material; unresolved; fauna; use unresolved; unresolved; unresolved; withheld assumption; </x:v>
      </x:c>
      <x:c r="AE46" s="4" t="str">
        <x:v>From current item description. Proposed uses retain their existing approval status.</x:v>
      </x:c>
    </x:row>
    <x:row r="47" ht="66" customHeight="1">
      <x:c r="A47" s="9" t="str">
        <x:v>proposal.bio.organ</x:v>
      </x:c>
      <x:c r="B47" s="9" t="str">
        <x:v>Charge-organ tissue</x:v>
      </x:c>
      <x:c r="C47" s="9" t="str">
        <x:v>Resources</x:v>
      </x:c>
      <x:c r="D47" s="9" t="str">
        <x:v>Specialized tissue</x:v>
      </x:c>
      <x:c r="E47" s="9" t="str">
        <x:v>New proposal</x:v>
      </x:c>
      <x:c r="F47" s="9" t="str">
        <x:v>Dry electrode scaffold research, not bottled electricity</x:v>
      </x:c>
      <x:c r="G47" s="9" t="str">
        <x:v>None</x:v>
      </x:c>
      <x:c r="H47" s="9" t="str">
        <x:v>Legger / local storage proposed</x:v>
      </x:c>
      <x:c r="I47" s="13"/>
      <x:c r="J47" s="15"/>
      <x:c r="K47" s="9" t="str">
        <x:v>Rare storm-adapted fauna; anatomy provisional</x:v>
      </x:c>
      <x:c r="L47" s="9" t="str">
        <x:v>See Resource chains</x:v>
      </x:c>
      <x:c r="M47" s="9" t="str">
        <x:v>Not implemented</x:v>
      </x:c>
      <x:c r="N47" s="9" t="str">
        <x:v>No yield numbers. Internal chemistry is mostly toxic to humans; faunal chemicals/liquids can be materials. Anatomy and containment remain unresolved.</x:v>
      </x:c>
      <x:c r="O47" s="22"/>
      <x:c r="P47" s="22"/>
      <x:c r="Q47" s="22"/>
      <x:c r="R47" s="22"/>
      <x:c r="S47" s="22"/>
      <x:c r="T47" s="9" t="str">
        <x:v>Ecology, tissue preservation, safe fiction, processing and final naming</x:v>
      </x:c>
      <x:c r="U47" s="11"/>
      <x:c r="V47" s="9" t="str">
        <x:v>User design direction, October 14, 2026; local brainstorming. New proposal unless explicitly marked User direction.</x:v>
      </x:c>
      <x:c r="W47" s="4" t="str">
        <x:v>Raw material</x:v>
      </x:c>
      <x:c r="X47" s="4" t="str">
        <x:v>Raw</x:v>
      </x:c>
      <x:c r="Y47" s="4" t="str">
        <x:v>Fauna</x:v>
      </x:c>
      <x:c r="Z47" s="4" t="str">
        <x:v>Electrical work</x:v>
      </x:c>
      <x:c r="AA47" s="4" t="str">
        <x:v>Faunal tissue</x:v>
      </x:c>
      <x:c r="AB47" s="4" t="str">
        <x:v>Solid piece</x:v>
      </x:c>
      <x:c r="AC47" s="4" t="str">
        <x:v>Proposal</x:v>
      </x:c>
      <x:c r="AD47" s="4" t="str">
        <x:f>LOWER(A47&amp;"; "&amp;B47&amp;"; "&amp;C47&amp;"; "&amp;D47&amp;"; "&amp;W47&amp;"; "&amp;X47&amp;"; "&amp;Y47&amp;"; "&amp;Z47&amp;"; "&amp;AA47&amp;"; "&amp;AB47&amp;"; "&amp;AC47&amp;"; "&amp;U47)</x:f>
        <x:v>proposal.bio.organ; charge-organ tissue; resources; specialized tissue; raw material; raw; fauna; electrical work; faunal tissue; solid piece; proposal; </x:v>
      </x:c>
      <x:c r="AE47" s="4" t="str">
        <x:v>From current item description. Proposed uses retain their existing approval status.</x:v>
      </x:c>
    </x:row>
    <x:row r="48" ht="66" customHeight="1">
      <x:c r="A48" s="9" t="str">
        <x:v>proposal.bio.laminate</x:v>
      </x:c>
      <x:c r="B48" s="9" t="str">
        <x:v>Shell laminate</x:v>
      </x:c>
      <x:c r="C48" s="9" t="str">
        <x:v>Crafting components</x:v>
      </x:c>
      <x:c r="D48" s="9" t="str">
        <x:v>Processed biological</x:v>
      </x:c>
      <x:c r="E48" s="9" t="str">
        <x:v>New proposal</x:v>
      </x:c>
      <x:c r="F48" s="9" t="str">
        <x:v>Light armor panels and impact guards</x:v>
      </x:c>
      <x:c r="G48" s="9" t="str">
        <x:v>None</x:v>
      </x:c>
      <x:c r="H48" s="9" t="str">
        <x:v>Legger / local storage proposed</x:v>
      </x:c>
      <x:c r="I48" s="13"/>
      <x:c r="J48" s="15"/>
      <x:c r="K48" s="9" t="str">
        <x:v>Process shell</x:v>
      </x:c>
      <x:c r="L48" s="9" t="str">
        <x:v>Trim, layer and bind dry plates</x:v>
      </x:c>
      <x:c r="M48" s="9" t="str">
        <x:v>Not implemented</x:v>
      </x:c>
      <x:c r="N48" s="9" t="str">
        <x:v>Speculative material capability; no effects or real processing instructions established.</x:v>
      </x:c>
      <x:c r="O48" s="22"/>
      <x:c r="P48" s="22"/>
      <x:c r="Q48" s="22"/>
      <x:c r="R48" s="22"/>
      <x:c r="S48" s="22"/>
      <x:c r="T48" s="9" t="str">
        <x:v>Material properties, additives, station, balance and world-rule compatibility</x:v>
      </x:c>
      <x:c r="U48" s="11"/>
      <x:c r="V48" s="9" t="str">
        <x:v>User design direction, October 14, 2026; local brainstorming. New proposal unless explicitly marked User direction.</x:v>
      </x:c>
      <x:c r="W48" s="4" t="str">
        <x:v>Crafting component</x:v>
      </x:c>
      <x:c r="X48" s="4" t="str">
        <x:v>Processed intermediate</x:v>
      </x:c>
      <x:c r="Y48" s="4" t="str">
        <x:v>Fauna</x:v>
      </x:c>
      <x:c r="Z48" s="4" t="str">
        <x:v>Protective fabrication</x:v>
      </x:c>
      <x:c r="AA48" s="4" t="str">
        <x:v>Shell / chitin</x:v>
      </x:c>
      <x:c r="AB48" s="4" t="str">
        <x:v>Panel</x:v>
      </x:c>
      <x:c r="AC48" s="4" t="str">
        <x:v>Proposal</x:v>
      </x:c>
      <x:c r="AD48" s="4" t="str">
        <x:f>LOWER(A48&amp;"; "&amp;B48&amp;"; "&amp;C48&amp;"; "&amp;D48&amp;"; "&amp;W48&amp;"; "&amp;X48&amp;"; "&amp;Y48&amp;"; "&amp;Z48&amp;"; "&amp;AA48&amp;"; "&amp;AB48&amp;"; "&amp;AC48&amp;"; "&amp;U48)</x:f>
        <x:v>proposal.bio.laminate; shell laminate; crafting components; processed biological; crafting component; processed intermediate; fauna; protective fabrication; shell / chitin; panel; proposal; </x:v>
      </x:c>
      <x:c r="AE48" s="4" t="str">
        <x:v>From current item description. Proposed uses retain their existing approval status.</x:v>
      </x:c>
    </x:row>
    <x:row r="49" ht="66" customHeight="1">
      <x:c r="A49" s="9" t="str">
        <x:v>proposal.bio.cord</x:v>
      </x:c>
      <x:c r="B49" s="9" t="str">
        <x:v>Tendon cord</x:v>
      </x:c>
      <x:c r="C49" s="9" t="str">
        <x:v>Crafting components</x:v>
      </x:c>
      <x:c r="D49" s="9" t="str">
        <x:v>Processed biological</x:v>
      </x:c>
      <x:c r="E49" s="9" t="str">
        <x:v>New proposal</x:v>
      </x:c>
      <x:c r="F49" s="9" t="str">
        <x:v>Tool lashings and field repairs</x:v>
      </x:c>
      <x:c r="G49" s="9" t="str">
        <x:v>None</x:v>
      </x:c>
      <x:c r="H49" s="9" t="str">
        <x:v>Legger / local storage proposed</x:v>
      </x:c>
      <x:c r="I49" s="13"/>
      <x:c r="J49" s="15"/>
      <x:c r="K49" s="9" t="str">
        <x:v>Process tendon</x:v>
      </x:c>
      <x:c r="L49" s="9" t="str">
        <x:v>Dry, split, twist and bind</x:v>
      </x:c>
      <x:c r="M49" s="9" t="str">
        <x:v>Not implemented</x:v>
      </x:c>
      <x:c r="N49" s="9" t="str">
        <x:v>Speculative material capability; no effects or real processing instructions established.</x:v>
      </x:c>
      <x:c r="O49" s="22"/>
      <x:c r="P49" s="22"/>
      <x:c r="Q49" s="22"/>
      <x:c r="R49" s="22"/>
      <x:c r="S49" s="22"/>
      <x:c r="T49" s="9" t="str">
        <x:v>Material properties, additives, station, balance and world-rule compatibility</x:v>
      </x:c>
      <x:c r="U49" s="11" t="str">
        <x:v>equipment repair</x:v>
      </x:c>
      <x:c r="V49" s="9" t="str">
        <x:v>User design direction, October 14, 2026; local brainstorming. New proposal unless explicitly marked User direction.</x:v>
      </x:c>
      <x:c r="W49" s="4" t="str">
        <x:v>Crafting component</x:v>
      </x:c>
      <x:c r="X49" s="4" t="str">
        <x:v>Processed intermediate</x:v>
      </x:c>
      <x:c r="Y49" s="4" t="str">
        <x:v>Fauna</x:v>
      </x:c>
      <x:c r="Z49" s="4" t="str">
        <x:v>Binding and construction</x:v>
      </x:c>
      <x:c r="AA49" s="4" t="str">
        <x:v>Faunal tissue</x:v>
      </x:c>
      <x:c r="AB49" s="4" t="str">
        <x:v>Cord</x:v>
      </x:c>
      <x:c r="AC49" s="4" t="str">
        <x:v>Proposal</x:v>
      </x:c>
      <x:c r="AD49" s="4" t="str">
        <x:f>LOWER(A49&amp;"; "&amp;B49&amp;"; "&amp;C49&amp;"; "&amp;D49&amp;"; "&amp;W49&amp;"; "&amp;X49&amp;"; "&amp;Y49&amp;"; "&amp;Z49&amp;"; "&amp;AA49&amp;"; "&amp;AB49&amp;"; "&amp;AC49&amp;"; "&amp;U49)</x:f>
        <x:v>proposal.bio.cord; tendon cord; crafting components; processed biological; crafting component; processed intermediate; fauna; binding and construction; faunal tissue; cord; proposal; equipment repair</x:v>
      </x:c>
      <x:c r="AE49" s="4" t="str">
        <x:v>From current item description. Proposed uses retain their existing approval status.</x:v>
      </x:c>
    </x:row>
    <x:row r="50" ht="66" customHeight="1">
      <x:c r="A50" s="9" t="str">
        <x:v>proposal.bio.brush</x:v>
      </x:c>
      <x:c r="B50" s="9" t="str">
        <x:v>Bristle brush strips</x:v>
      </x:c>
      <x:c r="C50" s="9" t="str">
        <x:v>Crafting components</x:v>
      </x:c>
      <x:c r="D50" s="9" t="str">
        <x:v>Processed biological</x:v>
      </x:c>
      <x:c r="E50" s="9" t="str">
        <x:v>New proposal</x:v>
      </x:c>
      <x:c r="F50" s="9" t="str">
        <x:v>Dust exclusion at joints and equipment closures</x:v>
      </x:c>
      <x:c r="G50" s="9" t="str">
        <x:v>None</x:v>
      </x:c>
      <x:c r="H50" s="9" t="str">
        <x:v>Legger / local storage proposed</x:v>
      </x:c>
      <x:c r="I50" s="13"/>
      <x:c r="J50" s="15"/>
      <x:c r="K50" s="9" t="str">
        <x:v>Process bristles</x:v>
      </x:c>
      <x:c r="L50" s="9" t="str">
        <x:v>Sort fibers and bind into a backing</x:v>
      </x:c>
      <x:c r="M50" s="9" t="str">
        <x:v>Not implemented</x:v>
      </x:c>
      <x:c r="N50" s="9" t="str">
        <x:v>Speculative material capability; no effects or real processing instructions established.</x:v>
      </x:c>
      <x:c r="O50" s="22"/>
      <x:c r="P50" s="22"/>
      <x:c r="Q50" s="22"/>
      <x:c r="R50" s="22"/>
      <x:c r="S50" s="22"/>
      <x:c r="T50" s="9" t="str">
        <x:v>Material properties, additives, station, balance and world-rule compatibility</x:v>
      </x:c>
      <x:c r="U50" s="11"/>
      <x:c r="V50" s="9" t="str">
        <x:v>User design direction, October 14, 2026; local brainstorming. New proposal unless explicitly marked User direction.</x:v>
      </x:c>
      <x:c r="W50" s="4" t="str">
        <x:v>Crafting component</x:v>
      </x:c>
      <x:c r="X50" s="4" t="str">
        <x:v>Processed intermediate</x:v>
      </x:c>
      <x:c r="Y50" s="4" t="str">
        <x:v>Fauna</x:v>
      </x:c>
      <x:c r="Z50" s="4" t="str">
        <x:v>Dust exclusion</x:v>
      </x:c>
      <x:c r="AA50" s="4" t="str">
        <x:v>Faunal fiber</x:v>
      </x:c>
      <x:c r="AB50" s="4" t="str">
        <x:v>Strip</x:v>
      </x:c>
      <x:c r="AC50" s="4" t="str">
        <x:v>Proposal</x:v>
      </x:c>
      <x:c r="AD50" s="4" t="str">
        <x:f>LOWER(A50&amp;"; "&amp;B50&amp;"; "&amp;C50&amp;"; "&amp;D50&amp;"; "&amp;W50&amp;"; "&amp;X50&amp;"; "&amp;Y50&amp;"; "&amp;Z50&amp;"; "&amp;AA50&amp;"; "&amp;AB50&amp;"; "&amp;AC50&amp;"; "&amp;U50)</x:f>
        <x:v>proposal.bio.brush; bristle brush strips; crafting components; processed biological; crafting component; processed intermediate; fauna; dust exclusion; faunal fiber; strip; proposal; </x:v>
      </x:c>
      <x:c r="AE50" s="4" t="str">
        <x:v>From current item description. Proposed uses retain their existing approval status.</x:v>
      </x:c>
    </x:row>
    <x:row r="51" ht="66" customHeight="1">
      <x:c r="A51" s="9" t="str">
        <x:v>proposal.bio.liner</x:v>
      </x:c>
      <x:c r="B51" s="9" t="str">
        <x:v>Pressed fur-fiber material</x:v>
      </x:c>
      <x:c r="C51" s="9" t="str">
        <x:v>Crafting components</x:v>
      </x:c>
      <x:c r="D51" s="9" t="str">
        <x:v>Processed biological</x:v>
      </x:c>
      <x:c r="E51" s="9" t="str">
        <x:v>New proposal</x:v>
      </x:c>
      <x:c r="F51" s="9" t="str">
        <x:v>Candidate scarce pressed material; former liner proposal requires reassessment.</x:v>
      </x:c>
      <x:c r="G51" s="9" t="str">
        <x:v>None</x:v>
      </x:c>
      <x:c r="H51" s="9" t="str">
        <x:v>Legger / local storage proposed</x:v>
      </x:c>
      <x:c r="I51" s="13"/>
      <x:c r="J51" s="15"/>
      <x:c r="K51" s="9" t="str">
        <x:v>Process underfur</x:v>
      </x:c>
      <x:c r="L51" s="9" t="str">
        <x:v>Very low-yield fur processing; pressing/finish details unapproved</x:v>
      </x:c>
      <x:c r="M51" s="9" t="str">
        <x:v>Not implemented</x:v>
      </x:c>
      <x:c r="N51" s="9" t="str">
        <x:v>Extremely low usable yield. No cloth or routine clothing-liner supply implied.</x:v>
      </x:c>
      <x:c r="O51" s="22"/>
      <x:c r="P51" s="22"/>
      <x:c r="Q51" s="22"/>
      <x:c r="R51" s="22"/>
      <x:c r="S51" s="22"/>
      <x:c r="T51" s="9" t="str">
        <x:v>Product form and garment use remain proposals; old felted-liner assumption superseded; fashion-crafting input: high sale-value intent; large material/time demand; exact prices and quantities TBD</x:v>
      </x:c>
      <x:c r="U51" s="11"/>
      <x:c r="V51" s="9" t="str">
        <x:v>Docs/WORLD_BASIS.md#material-culture; author direction October 14, 2026. Process details and specific product forms remain unimplemented.</x:v>
      </x:c>
      <x:c r="W51" s="4" t="str">
        <x:v>Processed material</x:v>
      </x:c>
      <x:c r="X51" s="4" t="str">
        <x:v>Processed intermediate</x:v>
      </x:c>
      <x:c r="Y51" s="4" t="str">
        <x:v>Fauna</x:v>
      </x:c>
      <x:c r="Z51" s="4" t="str">
        <x:v>Textile processing</x:v>
      </x:c>
      <x:c r="AA51" s="4" t="str">
        <x:v>Fur</x:v>
      </x:c>
      <x:c r="AB51" s="4" t="str">
        <x:v>Unresolved</x:v>
      </x:c>
      <x:c r="AC51" s="4" t="str">
        <x:v>Proposal</x:v>
      </x:c>
      <x:c r="AD51" s="4" t="str">
        <x:f>LOWER(A51&amp;"; "&amp;B51&amp;"; "&amp;C51&amp;"; "&amp;D51&amp;"; "&amp;W51&amp;"; "&amp;X51&amp;"; "&amp;Y51&amp;"; "&amp;Z51&amp;"; "&amp;AA51&amp;"; "&amp;AB51&amp;"; "&amp;AC51&amp;"; "&amp;U51)</x:f>
        <x:v>proposal.bio.liner; pressed fur-fiber material; crafting components; processed biological; processed material; processed intermediate; fauna; textile processing; fur; unresolved; proposal; </x:v>
      </x:c>
      <x:c r="AE51" s="4" t="str">
        <x:v>From current item description. Proposed uses retain their existing approval status.</x:v>
      </x:c>
    </x:row>
    <x:row r="52" ht="66" customHeight="1">
      <x:c r="A52" s="9" t="str">
        <x:v>proposal.bio.insert</x:v>
      </x:c>
      <x:c r="B52" s="9" t="str">
        <x:v>Jaw cutting insert</x:v>
      </x:c>
      <x:c r="C52" s="9" t="str">
        <x:v>Crafting components</x:v>
      </x:c>
      <x:c r="D52" s="9" t="str">
        <x:v>Processed biological</x:v>
      </x:c>
      <x:c r="E52" s="9" t="str">
        <x:v>New proposal</x:v>
      </x:c>
      <x:c r="F52" s="9" t="str">
        <x:v>Replaceable excavation-tool wear part</x:v>
      </x:c>
      <x:c r="G52" s="9" t="str">
        <x:v>None</x:v>
      </x:c>
      <x:c r="H52" s="9" t="str">
        <x:v>Legger / local storage proposed</x:v>
      </x:c>
      <x:c r="I52" s="13"/>
      <x:c r="J52" s="15"/>
      <x:c r="K52" s="9" t="str">
        <x:v>Process jaw</x:v>
      </x:c>
      <x:c r="L52" s="9" t="str">
        <x:v>Cut and grind dense tissue</x:v>
      </x:c>
      <x:c r="M52" s="9" t="str">
        <x:v>Not implemented</x:v>
      </x:c>
      <x:c r="N52" s="9" t="str">
        <x:v>Speculative material capability; no effects or real processing instructions established.</x:v>
      </x:c>
      <x:c r="O52" s="22"/>
      <x:c r="P52" s="22"/>
      <x:c r="Q52" s="22"/>
      <x:c r="R52" s="22"/>
      <x:c r="S52" s="22"/>
      <x:c r="T52" s="9" t="str">
        <x:v>Material properties, additives, station, balance and world-rule compatibility</x:v>
      </x:c>
      <x:c r="U52" s="11"/>
      <x:c r="V52" s="9" t="str">
        <x:v>User design direction, October 14, 2026; local brainstorming. New proposal unless explicitly marked User direction.</x:v>
      </x:c>
      <x:c r="W52" s="4" t="str">
        <x:v>Crafting component</x:v>
      </x:c>
      <x:c r="X52" s="4" t="str">
        <x:v>Processed intermediate</x:v>
      </x:c>
      <x:c r="Y52" s="4" t="str">
        <x:v>Fauna</x:v>
      </x:c>
      <x:c r="Z52" s="4" t="str">
        <x:v>Tool fabrication</x:v>
      </x:c>
      <x:c r="AA52" s="4" t="str">
        <x:v>Faunal tissue</x:v>
      </x:c>
      <x:c r="AB52" s="4" t="str">
        <x:v>Solid part</x:v>
      </x:c>
      <x:c r="AC52" s="4" t="str">
        <x:v>Proposal</x:v>
      </x:c>
      <x:c r="AD52" s="4" t="str">
        <x:f>LOWER(A52&amp;"; "&amp;B52&amp;"; "&amp;C52&amp;"; "&amp;D52&amp;"; "&amp;W52&amp;"; "&amp;X52&amp;"; "&amp;Y52&amp;"; "&amp;Z52&amp;"; "&amp;AA52&amp;"; "&amp;AB52&amp;"; "&amp;AC52&amp;"; "&amp;U52)</x:f>
        <x:v>proposal.bio.insert; jaw cutting insert; crafting components; processed biological; crafting component; processed intermediate; fauna; tool fabrication; faunal tissue; solid part; proposal; </x:v>
      </x:c>
      <x:c r="AE52" s="4" t="str">
        <x:v>From current item description. Proposed uses retain their existing approval status.</x:v>
      </x:c>
    </x:row>
    <x:row r="53" ht="66" customHeight="1">
      <x:c r="A53" s="9" t="str">
        <x:v>proposal.bio.seal</x:v>
      </x:c>
      <x:c r="B53" s="9" t="str">
        <x:v>Membrane seal patches</x:v>
      </x:c>
      <x:c r="C53" s="9" t="str">
        <x:v>Crafting components</x:v>
      </x:c>
      <x:c r="D53" s="9" t="str">
        <x:v>Processed biological</x:v>
      </x:c>
      <x:c r="E53" s="9" t="str">
        <x:v>New proposal</x:v>
      </x:c>
      <x:c r="F53" s="9" t="str">
        <x:v>Flexible equipment repairs</x:v>
      </x:c>
      <x:c r="G53" s="9" t="str">
        <x:v>None</x:v>
      </x:c>
      <x:c r="H53" s="9" t="str">
        <x:v>Legger / local storage proposed</x:v>
      </x:c>
      <x:c r="I53" s="13"/>
      <x:c r="J53" s="15"/>
      <x:c r="K53" s="9" t="str">
        <x:v>Process membrane</x:v>
      </x:c>
      <x:c r="L53" s="9" t="str">
        <x:v>Dry preserve, cut and laminate</x:v>
      </x:c>
      <x:c r="M53" s="9" t="str">
        <x:v>Not implemented</x:v>
      </x:c>
      <x:c r="N53" s="9" t="str">
        <x:v>Speculative material capability; no effects or real processing instructions established.</x:v>
      </x:c>
      <x:c r="O53" s="22"/>
      <x:c r="P53" s="22"/>
      <x:c r="Q53" s="22"/>
      <x:c r="R53" s="22"/>
      <x:c r="S53" s="22"/>
      <x:c r="T53" s="9" t="str">
        <x:v>Material properties, additives, station, balance and world-rule compatibility</x:v>
      </x:c>
      <x:c r="U53" s="11" t="str">
        <x:v>equipment repair</x:v>
      </x:c>
      <x:c r="V53" s="9" t="str">
        <x:v>User design direction, October 14, 2026; local brainstorming. New proposal unless explicitly marked User direction.</x:v>
      </x:c>
      <x:c r="W53" s="4" t="str">
        <x:v>Crafting component</x:v>
      </x:c>
      <x:c r="X53" s="4" t="str">
        <x:v>Processed intermediate</x:v>
      </x:c>
      <x:c r="Y53" s="4" t="str">
        <x:v>Fauna</x:v>
      </x:c>
      <x:c r="Z53" s="4" t="str">
        <x:v>Sealing</x:v>
      </x:c>
      <x:c r="AA53" s="4" t="str">
        <x:v>Faunal membrane</x:v>
      </x:c>
      <x:c r="AB53" s="4" t="str">
        <x:v>Patch</x:v>
      </x:c>
      <x:c r="AC53" s="4" t="str">
        <x:v>Proposal</x:v>
      </x:c>
      <x:c r="AD53" s="4" t="str">
        <x:f>LOWER(A53&amp;"; "&amp;B53&amp;"; "&amp;C53&amp;"; "&amp;D53&amp;"; "&amp;W53&amp;"; "&amp;X53&amp;"; "&amp;Y53&amp;"; "&amp;Z53&amp;"; "&amp;AA53&amp;"; "&amp;AB53&amp;"; "&amp;AC53&amp;"; "&amp;U53)</x:f>
        <x:v>proposal.bio.seal; membrane seal patches; crafting components; processed biological; crafting component; processed intermediate; fauna; sealing; faunal membrane; patch; proposal; equipment repair</x:v>
      </x:c>
      <x:c r="AE53" s="4" t="str">
        <x:v>From current item description. Proposed uses retain their existing approval status.</x:v>
      </x:c>
    </x:row>
    <x:row r="54" ht="66" customHeight="1">
      <x:c r="A54" s="9" t="str">
        <x:v>proposal.bio.wax</x:v>
      </x:c>
      <x:c r="B54" s="9" t="str">
        <x:v>Solid biological wax</x:v>
      </x:c>
      <x:c r="C54" s="9" t="str">
        <x:v>Crafting components</x:v>
      </x:c>
      <x:c r="D54" s="9" t="str">
        <x:v>Processed biological</x:v>
      </x:c>
      <x:c r="E54" s="9" t="str">
        <x:v>Needs lore anatomy review</x:v>
      </x:c>
      <x:c r="F54" s="9" t="str">
        <x:v>Conditional solid biological product; the earlier fat precursor is unverified.</x:v>
      </x:c>
      <x:c r="G54" s="9" t="str">
        <x:v>None</x:v>
      </x:c>
      <x:c r="H54" s="9" t="str">
        <x:v>Legger / local storage proposed</x:v>
      </x:c>
      <x:c r="I54" s="13"/>
      <x:c r="J54" s="15"/>
      <x:c r="K54" s="9" t="str">
        <x:v>Precursor and conversion await anatomy review</x:v>
      </x:c>
      <x:c r="L54" s="9" t="str">
        <x:v>Potential sealing/lubricant use remains a proposal</x:v>
      </x:c>
      <x:c r="M54" s="9" t="str">
        <x:v>Not implemented</x:v>
      </x:c>
      <x:c r="N54" s="9" t="str">
        <x:v>No approved fat source, chemical identity or conversion. Not an established material property.</x:v>
      </x:c>
      <x:c r="O54" s="22"/>
      <x:c r="P54" s="22"/>
      <x:c r="Q54" s="22"/>
      <x:c r="R54" s="22"/>
      <x:c r="S54" s="22"/>
      <x:c r="T54" s="9" t="str">
        <x:v>Review precursor and chemistry against Burden Beasts anatomy</x:v>
      </x:c>
      <x:c r="U54" s="11"/>
      <x:c r="V54" s="9" t="str">
        <x:v>Docs/WORLD_BASIS.md#faunal-biology-and-material-use; direct author direction October 14, 2026. Related source anatomy proposals now accessible at f6f98515; this item awaits reconciliation; identities and processing remain undefined.</x:v>
      </x:c>
      <x:c r="W54" s="4" t="str">
        <x:v>Processed material</x:v>
      </x:c>
      <x:c r="X54" s="4" t="str">
        <x:v>Unresolved</x:v>
      </x:c>
      <x:c r="Y54" s="4" t="str">
        <x:v>Fauna</x:v>
      </x:c>
      <x:c r="Z54" s="4" t="str">
        <x:v>Use unresolved</x:v>
      </x:c>
      <x:c r="AA54" s="4" t="str">
        <x:v>Biological chemical</x:v>
      </x:c>
      <x:c r="AB54" s="4" t="str">
        <x:v>Solid piece</x:v>
      </x:c>
      <x:c r="AC54" s="4" t="str">
        <x:v>Withheld assumption</x:v>
      </x:c>
      <x:c r="AD54" s="4" t="str">
        <x:f>LOWER(A54&amp;"; "&amp;B54&amp;"; "&amp;C54&amp;"; "&amp;D54&amp;"; "&amp;W54&amp;"; "&amp;X54&amp;"; "&amp;Y54&amp;"; "&amp;Z54&amp;"; "&amp;AA54&amp;"; "&amp;AB54&amp;"; "&amp;AC54&amp;"; "&amp;U54)</x:f>
        <x:v>proposal.bio.wax; solid biological wax; crafting components; processed biological; processed material; unresolved; fauna; use unresolved; biological chemical; solid piece; withheld assumption; </x:v>
      </x:c>
      <x:c r="AE54" s="4" t="str">
        <x:v>From current item description. Proposed uses retain their existing approval status.</x:v>
      </x:c>
    </x:row>
    <x:row r="55" ht="66" customHeight="1">
      <x:c r="A55" s="9" t="str">
        <x:v>proposal.bio.electrode</x:v>
      </x:c>
      <x:c r="B55" s="9" t="str">
        <x:v>Dry organ electrode scaffold</x:v>
      </x:c>
      <x:c r="C55" s="9" t="str">
        <x:v>Crafting components</x:v>
      </x:c>
      <x:c r="D55" s="9" t="str">
        <x:v>Processed biological</x:v>
      </x:c>
      <x:c r="E55" s="9" t="str">
        <x:v>New proposal</x:v>
      </x:c>
      <x:c r="F55" s="9" t="str">
        <x:v>Possible charged-battery component research</x:v>
      </x:c>
      <x:c r="G55" s="9" t="str">
        <x:v>None</x:v>
      </x:c>
      <x:c r="H55" s="9" t="str">
        <x:v>Legger / local storage proposed</x:v>
      </x:c>
      <x:c r="I55" s="13"/>
      <x:c r="J55" s="15"/>
      <x:c r="K55" s="9" t="str">
        <x:v>Process organ</x:v>
      </x:c>
      <x:c r="L55" s="9" t="str">
        <x:v>Dry preserve and stabilize structure</x:v>
      </x:c>
      <x:c r="M55" s="9" t="str">
        <x:v>Not implemented</x:v>
      </x:c>
      <x:c r="N55" s="9" t="str">
        <x:v>Speculative material capability; no effects or real processing instructions established.</x:v>
      </x:c>
      <x:c r="O55" s="22"/>
      <x:c r="P55" s="22"/>
      <x:c r="Q55" s="22"/>
      <x:c r="R55" s="22"/>
      <x:c r="S55" s="22"/>
      <x:c r="T55" s="9" t="str">
        <x:v>Material properties, additives, station, balance and world-rule compatibility</x:v>
      </x:c>
      <x:c r="U55" s="11"/>
      <x:c r="V55" s="9" t="str">
        <x:v>User design direction, October 14, 2026; local brainstorming. New proposal unless explicitly marked User direction.</x:v>
      </x:c>
      <x:c r="W55" s="4" t="str">
        <x:v>Crafting component</x:v>
      </x:c>
      <x:c r="X55" s="4" t="str">
        <x:v>Processed intermediate</x:v>
      </x:c>
      <x:c r="Y55" s="4" t="str">
        <x:v>Fauna</x:v>
      </x:c>
      <x:c r="Z55" s="4" t="str">
        <x:v>Electrical work</x:v>
      </x:c>
      <x:c r="AA55" s="4" t="str">
        <x:v>Faunal tissue</x:v>
      </x:c>
      <x:c r="AB55" s="4" t="str">
        <x:v>Solid part</x:v>
      </x:c>
      <x:c r="AC55" s="4" t="str">
        <x:v>Proposal</x:v>
      </x:c>
      <x:c r="AD55" s="4" t="str">
        <x:f>LOWER(A55&amp;"; "&amp;B55&amp;"; "&amp;C55&amp;"; "&amp;D55&amp;"; "&amp;W55&amp;"; "&amp;X55&amp;"; "&amp;Y55&amp;"; "&amp;Z55&amp;"; "&amp;AA55&amp;"; "&amp;AB55&amp;"; "&amp;AC55&amp;"; "&amp;U55)</x:f>
        <x:v>proposal.bio.electrode; dry organ electrode scaffold; crafting components; processed biological; crafting component; processed intermediate; fauna; electrical work; faunal tissue; solid part; proposal; </x:v>
      </x:c>
      <x:c r="AE55" s="4" t="str">
        <x:v>From current item description. Proposed uses retain their existing approval status.</x:v>
      </x:c>
    </x:row>
    <x:row r="56" ht="75" customHeight="1">
      <x:c r="A56" s="9" t="str">
        <x:v>proposal.natural.charcoal</x:v>
      </x:c>
      <x:c r="B56" s="9" t="str">
        <x:v>Charcoal</x:v>
      </x:c>
      <x:c r="C56" s="9" t="str">
        <x:v>Resources</x:v>
      </x:c>
      <x:c r="D56" s="9" t="str">
        <x:v>Processed fuel</x:v>
      </x:c>
      <x:c r="E56" s="9" t="str">
        <x:v>User direction; not implemented</x:v>
      </x:c>
      <x:c r="F56" s="9" t="str">
        <x:v>Solid carbon fuel and possible metallurgical feedstock</x:v>
      </x:c>
      <x:c r="G56" s="9" t="str">
        <x:v>None</x:v>
      </x:c>
      <x:c r="H56" s="9" t="str">
        <x:v>Legger / local storage proposed</x:v>
      </x:c>
      <x:c r="I56" s="13"/>
      <x:c r="J56" s="15"/>
      <x:c r="K56" s="9" t="str">
        <x:v>Carbonize biological feedstock or recover old fuel; source undecided</x:v>
      </x:c>
      <x:c r="L56" s="9" t="str">
        <x:v>Fuel and reduction research</x:v>
      </x:c>
      <x:c r="M56" s="9" t="str">
        <x:v>Not implemented</x:v>
      </x:c>
      <x:c r="N56" s="9" t="str">
        <x:v>Requested item; not a naturally mined metal. No wood/forest source introduced.</x:v>
      </x:c>
      <x:c r="O56" s="26"/>
      <x:c r="P56" s="26"/>
      <x:c r="Q56" s="26"/>
      <x:c r="R56" s="26"/>
      <x:c r="S56" s="26"/>
      <x:c r="T56" s="9" t="str">
        <x:v>Biological feedstock, scarcity and survival-versus-fuel tradeoff</x:v>
      </x:c>
      <x:c r="U56" s="11" t="str">
        <x:v>metal refining</x:v>
      </x:c>
      <x:c r="V56" s="9" t="str">
        <x:v>User brainstorming, October 14, 2026; game uses proposed. Reference: https://www.nps.gov/deva/learn/historyculture/charcoalkilns.htm</x:v>
      </x:c>
      <x:c r="W56" s="4" t="str">
        <x:v>Processed material</x:v>
      </x:c>
      <x:c r="X56" s="4" t="str">
        <x:v>Processed intermediate</x:v>
      </x:c>
      <x:c r="Y56" s="4" t="str">
        <x:v>Unresolved</x:v>
      </x:c>
      <x:c r="Z56" s="4" t="str">
        <x:v>Fuel</x:v>
      </x:c>
      <x:c r="AA56" s="4" t="str">
        <x:v>Carbonaceous material</x:v>
      </x:c>
      <x:c r="AB56" s="4" t="str">
        <x:v>Particles</x:v>
      </x:c>
      <x:c r="AC56" s="4" t="str">
        <x:v>Author direction</x:v>
      </x:c>
      <x:c r="AD56" s="4" t="str">
        <x:f>LOWER(A56&amp;"; "&amp;B56&amp;"; "&amp;C56&amp;"; "&amp;D56&amp;"; "&amp;W56&amp;"; "&amp;X56&amp;"; "&amp;Y56&amp;"; "&amp;Z56&amp;"; "&amp;AA56&amp;"; "&amp;AB56&amp;"; "&amp;AC56&amp;"; "&amp;U56)</x:f>
        <x:v>proposal.natural.charcoal; charcoal; resources; processed fuel; processed material; processed intermediate; unresolved; fuel; carbonaceous material; particles; author direction; metal refining</x:v>
      </x:c>
      <x:c r="AE56" s="4" t="str">
        <x:v>From current item description. Proposed uses retain their existing approval status.</x:v>
      </x:c>
    </x:row>
    <x:row r="57" ht="75" customHeight="1">
      <x:c r="A57" s="9" t="str">
        <x:v>proposal.natural.copper_stone</x:v>
      </x:c>
      <x:c r="B57" s="9" t="str">
        <x:v>Unprocessed copper-rich stone</x:v>
      </x:c>
      <x:c r="C57" s="9" t="str">
        <x:v>Resources</x:v>
      </x:c>
      <x:c r="D57" s="9" t="str">
        <x:v>Raw mineral</x:v>
      </x:c>
      <x:c r="E57" s="9" t="str">
        <x:v>User direction; not implemented</x:v>
      </x:c>
      <x:c r="F57" s="9" t="str">
        <x:v>Bulk copper-bearing rock before sorting</x:v>
      </x:c>
      <x:c r="G57" s="9" t="str">
        <x:v>None</x:v>
      </x:c>
      <x:c r="H57" s="9" t="str">
        <x:v>Legger / local storage proposed</x:v>
      </x:c>
      <x:c r="I57" s="13"/>
      <x:c r="J57" s="15"/>
      <x:c r="K57" s="9" t="str">
        <x:v>Authored copper-bearing outcrop proposal</x:v>
      </x:c>
      <x:c r="L57" s="9" t="str">
        <x:v>Sort into richer copper ore</x:v>
      </x:c>
      <x:c r="M57" s="9" t="str">
        <x:v>Not implemented</x:v>
      </x:c>
      <x:c r="N57" s="9" t="str">
        <x:v>Requested copper-rich feed represented separately from sorted ore provisionally.</x:v>
      </x:c>
      <x:c r="O57" s="26"/>
      <x:c r="P57" s="26"/>
      <x:c r="Q57" s="26"/>
      <x:c r="R57" s="26"/>
      <x:c r="S57" s="26"/>
      <x:c r="T57" s="9" t="str">
        <x:v>Merge with copper ore if the extra stage adds no useful choice</x:v>
      </x:c>
      <x:c r="U57" s="11"/>
      <x:c r="V57" s="9" t="str">
        <x:v>User brainstorming, October 14, 2026; game uses proposed. Reference: https://www.nps.gov/deva/learn/nature/mining-in-death-valley.htm</x:v>
      </x:c>
      <x:c r="W57" s="4" t="str">
        <x:v>Raw material</x:v>
      </x:c>
      <x:c r="X57" s="4" t="str">
        <x:v>Raw</x:v>
      </x:c>
      <x:c r="Y57" s="4" t="str">
        <x:v>Geological</x:v>
      </x:c>
      <x:c r="Z57" s="4" t="str">
        <x:v>Metal refining</x:v>
      </x:c>
      <x:c r="AA57" s="4" t="str">
        <x:v>Mineral</x:v>
      </x:c>
      <x:c r="AB57" s="4" t="str">
        <x:v>Rock</x:v>
      </x:c>
      <x:c r="AC57" s="4" t="str">
        <x:v>Author direction</x:v>
      </x:c>
      <x:c r="AD57" s="4" t="str">
        <x:f>LOWER(A57&amp;"; "&amp;B57&amp;"; "&amp;C57&amp;"; "&amp;D57&amp;"; "&amp;W57&amp;"; "&amp;X57&amp;"; "&amp;Y57&amp;"; "&amp;Z57&amp;"; "&amp;AA57&amp;"; "&amp;AB57&amp;"; "&amp;AC57&amp;"; "&amp;U57)</x:f>
        <x:v>proposal.natural.copper_stone; unprocessed copper-rich stone; resources; raw mineral; raw material; raw; geological; metal refining; mineral; rock; author direction; </x:v>
      </x:c>
      <x:c r="AE57" s="4" t="str">
        <x:v>From current item description. Proposed uses retain their existing approval status.</x:v>
      </x:c>
    </x:row>
    <x:row r="58" ht="75" customHeight="1">
      <x:c r="A58" s="9" t="str">
        <x:v>proposal.natural.copper_ore</x:v>
      </x:c>
      <x:c r="B58" s="9" t="str">
        <x:v>Copper ore</x:v>
      </x:c>
      <x:c r="C58" s="9" t="str">
        <x:v>Resources</x:v>
      </x:c>
      <x:c r="D58" s="9" t="str">
        <x:v>Sorted ore</x:v>
      </x:c>
      <x:c r="E58" s="9" t="str">
        <x:v>User direction; not implemented</x:v>
      </x:c>
      <x:c r="F58" s="9" t="str">
        <x:v>Copper-bearing mineral feed for refining</x:v>
      </x:c>
      <x:c r="G58" s="9" t="str">
        <x:v>None</x:v>
      </x:c>
      <x:c r="H58" s="9" t="str">
        <x:v>Legger / local storage proposed</x:v>
      </x:c>
      <x:c r="I58" s="13"/>
      <x:c r="J58" s="15"/>
      <x:c r="K58" s="9" t="str">
        <x:v>Sort copper-rich stone; exact mineral species open</x:v>
      </x:c>
      <x:c r="L58" s="9" t="str">
        <x:v>Refine into unworked copper</x:v>
      </x:c>
      <x:c r="M58" s="9" t="str">
        <x:v>Not implemented</x:v>
      </x:c>
      <x:c r="N58" s="9" t="str">
        <x:v>Ore is still mineral-bearing material, not metallic copper.</x:v>
      </x:c>
      <x:c r="O58" s="26"/>
      <x:c r="P58" s="26"/>
      <x:c r="Q58" s="26"/>
      <x:c r="R58" s="26"/>
      <x:c r="S58" s="26"/>
      <x:c r="T58" s="9" t="str">
        <x:v>Ore species, grade, impurities and refining method</x:v>
      </x:c>
      <x:c r="U58" s="11"/>
      <x:c r="V58" s="9" t="str">
        <x:v>User brainstorming, October 14, 2026; game uses proposed. Reference: https://www.nps.gov/deva/learn/nature/mining-in-death-valley.htm</x:v>
      </x:c>
      <x:c r="W58" s="4" t="str">
        <x:v>Raw material</x:v>
      </x:c>
      <x:c r="X58" s="4" t="str">
        <x:v>Processed intermediate</x:v>
      </x:c>
      <x:c r="Y58" s="4" t="str">
        <x:v>Geological</x:v>
      </x:c>
      <x:c r="Z58" s="4" t="str">
        <x:v>Metal refining</x:v>
      </x:c>
      <x:c r="AA58" s="4" t="str">
        <x:v>Mineral</x:v>
      </x:c>
      <x:c r="AB58" s="4" t="str">
        <x:v>Rock</x:v>
      </x:c>
      <x:c r="AC58" s="4" t="str">
        <x:v>Author direction</x:v>
      </x:c>
      <x:c r="AD58" s="4" t="str">
        <x:f>LOWER(A58&amp;"; "&amp;B58&amp;"; "&amp;C58&amp;"; "&amp;D58&amp;"; "&amp;W58&amp;"; "&amp;X58&amp;"; "&amp;Y58&amp;"; "&amp;Z58&amp;"; "&amp;AA58&amp;"; "&amp;AB58&amp;"; "&amp;AC58&amp;"; "&amp;U58)</x:f>
        <x:v>proposal.natural.copper_ore; copper ore; resources; sorted ore; raw material; processed intermediate; geological; metal refining; mineral; rock; author direction; </x:v>
      </x:c>
      <x:c r="AE58" s="4" t="str">
        <x:v>From current item description. Proposed uses retain their existing approval status.</x:v>
      </x:c>
    </x:row>
    <x:row r="59" ht="75" customHeight="1">
      <x:c r="A59" s="9" t="str">
        <x:v>proposal.natural.raw_copper</x:v>
      </x:c>
      <x:c r="B59" s="9" t="str">
        <x:v>Raw copper lump</x:v>
      </x:c>
      <x:c r="C59" s="9" t="str">
        <x:v>Resources</x:v>
      </x:c>
      <x:c r="D59" s="9" t="str">
        <x:v>Unworked metal</x:v>
      </x:c>
      <x:c r="E59" s="9" t="str">
        <x:v>User direction; not implemented</x:v>
      </x:c>
      <x:c r="F59" s="9" t="str">
        <x:v>Unworked copper metal for conductors and small fittings</x:v>
      </x:c>
      <x:c r="G59" s="9" t="str">
        <x:v>None</x:v>
      </x:c>
      <x:c r="H59" s="9" t="str">
        <x:v>Legger / local storage proposed</x:v>
      </x:c>
      <x:c r="I59" s="13"/>
      <x:c r="J59" s="15"/>
      <x:c r="K59" s="9" t="str">
        <x:v>Refine ore or recover unworked metal from salvage</x:v>
      </x:c>
      <x:c r="L59" s="9" t="str">
        <x:v>Potential wire, contacts and grounding-kit parts</x:v>
      </x:c>
      <x:c r="M59" s="9" t="str">
        <x:v>Not implemented</x:v>
      </x:c>
      <x:c r="N59" s="9" t="str">
        <x:v>Raw means unworked metal here; native copper occurrence is not established by the cited regional mining list.</x:v>
      </x:c>
      <x:c r="O59" s="26"/>
      <x:c r="P59" s="26"/>
      <x:c r="Q59" s="26"/>
      <x:c r="R59" s="26"/>
      <x:c r="S59" s="26"/>
      <x:c r="T59" s="9" t="str">
        <x:v>Decide whether native copper is also available; define manufacturing steps</x:v>
      </x:c>
      <x:c r="U59" s="11" t="str">
        <x:v>fabrication</x:v>
      </x:c>
      <x:c r="V59" s="9" t="str">
        <x:v>User brainstorming, October 14, 2026; game uses proposed. Reference: https://www.nps.gov/deva/learn/nature/mining-in-death-valley.htm</x:v>
      </x:c>
      <x:c r="W59" s="4" t="str">
        <x:v>Processed material</x:v>
      </x:c>
      <x:c r="X59" s="4" t="str">
        <x:v>Unworked metal</x:v>
      </x:c>
      <x:c r="Y59" s="4" t="str">
        <x:v>Geological</x:v>
      </x:c>
      <x:c r="Z59" s="4" t="str">
        <x:v>Electrical conduction</x:v>
      </x:c>
      <x:c r="AA59" s="4" t="str">
        <x:v>Metal</x:v>
      </x:c>
      <x:c r="AB59" s="4" t="str">
        <x:v>Solid piece</x:v>
      </x:c>
      <x:c r="AC59" s="4" t="str">
        <x:v>Author direction</x:v>
      </x:c>
      <x:c r="AD59" s="4" t="str">
        <x:f>LOWER(A59&amp;"; "&amp;B59&amp;"; "&amp;C59&amp;"; "&amp;D59&amp;"; "&amp;W59&amp;"; "&amp;X59&amp;"; "&amp;Y59&amp;"; "&amp;Z59&amp;"; "&amp;AA59&amp;"; "&amp;AB59&amp;"; "&amp;AC59&amp;"; "&amp;U59)</x:f>
        <x:v>proposal.natural.raw_copper; raw copper lump; resources; unworked metal; processed material; unworked metal; geological; electrical conduction; metal; solid piece; author direction; fabrication</x:v>
      </x:c>
      <x:c r="AE59" s="4" t="str">
        <x:v>From current item description. Proposed uses retain their existing approval status.</x:v>
      </x:c>
    </x:row>
    <x:row r="60" ht="75" customHeight="1">
      <x:c r="A60" s="9" t="str">
        <x:v>proposal.natural.tungsten_ore</x:v>
      </x:c>
      <x:c r="B60" s="9" t="str">
        <x:v>Tungsten-bearing ore</x:v>
      </x:c>
      <x:c r="C60" s="9" t="str">
        <x:v>Resources</x:v>
      </x:c>
      <x:c r="D60" s="9" t="str">
        <x:v>Raw mineral</x:v>
      </x:c>
      <x:c r="E60" s="9" t="str">
        <x:v>User direction; not implemented</x:v>
      </x:c>
      <x:c r="F60" s="9" t="str">
        <x:v>Dense mineral feed for advanced wear-resistant material research</x:v>
      </x:c>
      <x:c r="G60" s="9" t="str">
        <x:v>None</x:v>
      </x:c>
      <x:c r="H60" s="9" t="str">
        <x:v>Legger / local storage proposed</x:v>
      </x:c>
      <x:c r="I60" s="13"/>
      <x:c r="J60" s="15"/>
      <x:c r="K60" s="9" t="str">
        <x:v>Authored mineral vein proposal</x:v>
      </x:c>
      <x:c r="L60" s="9" t="str">
        <x:v>Advanced tool/alloy ingredient research</x:v>
      </x:c>
      <x:c r="M60" s="9" t="str">
        <x:v>Not implemented</x:v>
      </x:c>
      <x:c r="N60" s="9" t="str">
        <x:v>Tungsten ore is separate from copper ore; mineral choice unapproved. Scheelite/wolframite are general reference candidates.</x:v>
      </x:c>
      <x:c r="O60" s="26"/>
      <x:c r="P60" s="26"/>
      <x:c r="Q60" s="26"/>
      <x:c r="R60" s="26"/>
      <x:c r="S60" s="26"/>
      <x:c r="T60" s="9" t="str">
        <x:v>Deposit mineral, processing tier and worthwhile uses</x:v>
      </x:c>
      <x:c r="U60" s="11" t="str">
        <x:v>tool fabrication</x:v>
      </x:c>
      <x:c r="V60" s="9" t="str">
        <x:v>User brainstorming, October 14, 2026; game uses proposed. Reference: https://www.nps.gov/deva/learn/nature/mining-in-death-valley.htm; https://www.usgs.gov/data/tungsten-deposits-united-states</x:v>
      </x:c>
      <x:c r="W60" s="4" t="str">
        <x:v>Raw material</x:v>
      </x:c>
      <x:c r="X60" s="4" t="str">
        <x:v>Raw</x:v>
      </x:c>
      <x:c r="Y60" s="4" t="str">
        <x:v>Geological</x:v>
      </x:c>
      <x:c r="Z60" s="4" t="str">
        <x:v>Metal refining</x:v>
      </x:c>
      <x:c r="AA60" s="4" t="str">
        <x:v>Mineral</x:v>
      </x:c>
      <x:c r="AB60" s="4" t="str">
        <x:v>Rock</x:v>
      </x:c>
      <x:c r="AC60" s="4" t="str">
        <x:v>Author direction</x:v>
      </x:c>
      <x:c r="AD60" s="4" t="str">
        <x:f>LOWER(A60&amp;"; "&amp;B60&amp;"; "&amp;C60&amp;"; "&amp;D60&amp;"; "&amp;W60&amp;"; "&amp;X60&amp;"; "&amp;Y60&amp;"; "&amp;Z60&amp;"; "&amp;AA60&amp;"; "&amp;AB60&amp;"; "&amp;AC60&amp;"; "&amp;U60)</x:f>
        <x:v>proposal.natural.tungsten_ore; tungsten-bearing ore; resources; raw mineral; raw material; raw; geological; metal refining; mineral; rock; author direction; tool fabrication</x:v>
      </x:c>
      <x:c r="AE60" s="4" t="str">
        <x:v>From current item description. Proposed uses retain their existing approval status.</x:v>
      </x:c>
    </x:row>
    <x:row r="61" ht="75" customHeight="1">
      <x:c r="A61" s="9" t="str">
        <x:v>proposal.natural.magnesium_rock</x:v>
      </x:c>
      <x:c r="B61" s="9" t="str">
        <x:v>Magnesium-bearing rock</x:v>
      </x:c>
      <x:c r="C61" s="9" t="str">
        <x:v>Resources</x:v>
      </x:c>
      <x:c r="D61" s="9" t="str">
        <x:v>Raw mineral</x:v>
      </x:c>
      <x:c r="E61" s="9" t="str">
        <x:v>User direction; not implemented</x:v>
      </x:c>
      <x:c r="F61" s="9" t="str">
        <x:v>Mineral feed containing magnesium compounds</x:v>
      </x:c>
      <x:c r="G61" s="9" t="str">
        <x:v>None</x:v>
      </x:c>
      <x:c r="H61" s="9" t="str">
        <x:v>Legger / local storage proposed</x:v>
      </x:c>
      <x:c r="I61" s="13"/>
      <x:c r="J61" s="15"/>
      <x:c r="K61" s="9" t="str">
        <x:v>Magnesium-bearing mineral/salt deposit proposal</x:v>
      </x:c>
      <x:c r="L61" s="9" t="str">
        <x:v>Refining research; possible refractory route</x:v>
      </x:c>
      <x:c r="M61" s="9" t="str">
        <x:v>Not implemented</x:v>
      </x:c>
      <x:c r="N61" s="9" t="str">
        <x:v>Death Valley Mg-bearing evaporites are documented; they do not establish loose native magnesium metal.</x:v>
      </x:c>
      <x:c r="O61" s="26"/>
      <x:c r="P61" s="26"/>
      <x:c r="Q61" s="26"/>
      <x:c r="R61" s="26"/>
      <x:c r="S61" s="26"/>
      <x:c r="T61" s="9" t="str">
        <x:v>Choose mineral, dry-world adaptation and refining route</x:v>
      </x:c>
      <x:c r="U61" s="11"/>
      <x:c r="V61" s="9" t="str">
        <x:v>User brainstorming, October 14, 2026; game uses proposed. Reference: https://pubs.usgs.gov/publication/70018701</x:v>
      </x:c>
      <x:c r="W61" s="4" t="str">
        <x:v>Raw material</x:v>
      </x:c>
      <x:c r="X61" s="4" t="str">
        <x:v>Raw</x:v>
      </x:c>
      <x:c r="Y61" s="4" t="str">
        <x:v>Geological</x:v>
      </x:c>
      <x:c r="Z61" s="4" t="str">
        <x:v>Metal refining</x:v>
      </x:c>
      <x:c r="AA61" s="4" t="str">
        <x:v>Mineral</x:v>
      </x:c>
      <x:c r="AB61" s="4" t="str">
        <x:v>Rock</x:v>
      </x:c>
      <x:c r="AC61" s="4" t="str">
        <x:v>Author direction</x:v>
      </x:c>
      <x:c r="AD61" s="4" t="str">
        <x:f>LOWER(A61&amp;"; "&amp;B61&amp;"; "&amp;C61&amp;"; "&amp;D61&amp;"; "&amp;W61&amp;"; "&amp;X61&amp;"; "&amp;Y61&amp;"; "&amp;Z61&amp;"; "&amp;AA61&amp;"; "&amp;AB61&amp;"; "&amp;AC61&amp;"; "&amp;U61)</x:f>
        <x:v>proposal.natural.magnesium_rock; magnesium-bearing rock; resources; raw mineral; raw material; raw; geological; metal refining; mineral; rock; author direction; </x:v>
      </x:c>
      <x:c r="AE61" s="4" t="str">
        <x:v>From current item description. Proposed uses retain their existing approval status.</x:v>
      </x:c>
    </x:row>
    <x:row r="62" ht="75" customHeight="1">
      <x:c r="A62" s="9" t="str">
        <x:v>proposal.natural.raw_magnesium</x:v>
      </x:c>
      <x:c r="B62" s="9" t="str">
        <x:v>Raw magnesium metal</x:v>
      </x:c>
      <x:c r="C62" s="9" t="str">
        <x:v>Resources</x:v>
      </x:c>
      <x:c r="D62" s="9" t="str">
        <x:v>Unworked metal</x:v>
      </x:c>
      <x:c r="E62" s="9" t="str">
        <x:v>User direction; not implemented</x:v>
      </x:c>
      <x:c r="F62" s="9" t="str">
        <x:v>Unworked manufactured magnesium metal</x:v>
      </x:c>
      <x:c r="G62" s="9" t="str">
        <x:v>None</x:v>
      </x:c>
      <x:c r="H62" s="9" t="str">
        <x:v>Legger / local storage proposed</x:v>
      </x:c>
      <x:c r="I62" s="13"/>
      <x:c r="J62" s="15"/>
      <x:c r="K62" s="9" t="str">
        <x:v>Specialist refining or industrial salvage proposal</x:v>
      </x:c>
      <x:c r="L62" s="9" t="str">
        <x:v>Lightweight alloy research</x:v>
      </x:c>
      <x:c r="M62" s="9" t="str">
        <x:v>Not implemented</x:v>
      </x:c>
      <x:c r="N62" s="9" t="str">
        <x:v>Not presented as a common native metal picked up from the ground.</x:v>
      </x:c>
      <x:c r="O62" s="26"/>
      <x:c r="P62" s="26"/>
      <x:c r="Q62" s="26"/>
      <x:c r="R62" s="26"/>
      <x:c r="S62" s="26"/>
      <x:c r="T62" s="9" t="str">
        <x:v>Processing burden, alloy uses and whether a separate item is useful</x:v>
      </x:c>
      <x:c r="U62" s="11"/>
      <x:c r="V62" s="9" t="str">
        <x:v>User brainstorming, October 14, 2026; game uses proposed. Reference: https://pubs.usgs.gov/publication/70018701</x:v>
      </x:c>
      <x:c r="W62" s="4" t="str">
        <x:v>Processed material</x:v>
      </x:c>
      <x:c r="X62" s="4" t="str">
        <x:v>Unworked metal</x:v>
      </x:c>
      <x:c r="Y62" s="4" t="str">
        <x:v>Geological</x:v>
      </x:c>
      <x:c r="Z62" s="4" t="str">
        <x:v>Fabrication</x:v>
      </x:c>
      <x:c r="AA62" s="4" t="str">
        <x:v>Metal</x:v>
      </x:c>
      <x:c r="AB62" s="4" t="str">
        <x:v>Solid piece</x:v>
      </x:c>
      <x:c r="AC62" s="4" t="str">
        <x:v>Author direction</x:v>
      </x:c>
      <x:c r="AD62" s="4" t="str">
        <x:f>LOWER(A62&amp;"; "&amp;B62&amp;"; "&amp;C62&amp;"; "&amp;D62&amp;"; "&amp;W62&amp;"; "&amp;X62&amp;"; "&amp;Y62&amp;"; "&amp;Z62&amp;"; "&amp;AA62&amp;"; "&amp;AB62&amp;"; "&amp;AC62&amp;"; "&amp;U62)</x:f>
        <x:v>proposal.natural.raw_magnesium; raw magnesium metal; resources; unworked metal; processed material; unworked metal; geological; fabrication; metal; solid piece; author direction; </x:v>
      </x:c>
      <x:c r="AE62" s="4" t="str">
        <x:v>From current item description. Proposed uses retain their existing approval status.</x:v>
      </x:c>
    </x:row>
    <x:row r="63" ht="75" customHeight="1">
      <x:c r="A63" s="9" t="str">
        <x:v>proposal.natural.hematite</x:v>
      </x:c>
      <x:c r="B63" s="9" t="str">
        <x:v>Raw hematite</x:v>
      </x:c>
      <x:c r="C63" s="9" t="str">
        <x:v>Resources</x:v>
      </x:c>
      <x:c r="D63" s="9" t="str">
        <x:v>Iron oxide mineral</x:v>
      </x:c>
      <x:c r="E63" s="9" t="str">
        <x:v>User direction; not implemented</x:v>
      </x:c>
      <x:c r="F63" s="9" t="str">
        <x:v>Specific iron-rich mineral feed distinct from generic field stone</x:v>
      </x:c>
      <x:c r="G63" s="9" t="str">
        <x:v>None</x:v>
      </x:c>
      <x:c r="H63" s="9" t="str">
        <x:v>Legger / local storage proposed</x:v>
      </x:c>
      <x:c r="I63" s="13"/>
      <x:c r="J63" s="15"/>
      <x:c r="K63" s="9" t="str">
        <x:v>User-requested outcrop candidate</x:v>
      </x:c>
      <x:c r="L63" s="9" t="str">
        <x:v>Possible iron-feed input</x:v>
      </x:c>
      <x:c r="M63" s="9" t="str">
        <x:v>Not implemented</x:v>
      </x:c>
      <x:c r="N63" s="9" t="str">
        <x:v>Requested game candidate; specific Death Valley occurrence not verified in this research pass.</x:v>
      </x:c>
      <x:c r="O63" s="26"/>
      <x:c r="P63" s="26"/>
      <x:c r="Q63" s="26"/>
      <x:c r="R63" s="26"/>
      <x:c r="S63" s="26"/>
      <x:c r="T63" s="9" t="str">
        <x:v>Overlap with Ironstone Ore and magnetite; retain only useful distinctions</x:v>
      </x:c>
      <x:c r="U63" s="11"/>
      <x:c r="V63" s="9" t="str">
        <x:v>User brainstorming, October 14, 2026; game uses proposed. Reference: User direction, October 14, 2026; specific local geology unverified</x:v>
      </x:c>
      <x:c r="W63" s="4" t="str">
        <x:v>Raw material</x:v>
      </x:c>
      <x:c r="X63" s="4" t="str">
        <x:v>Raw</x:v>
      </x:c>
      <x:c r="Y63" s="4" t="str">
        <x:v>Geological</x:v>
      </x:c>
      <x:c r="Z63" s="4" t="str">
        <x:v>Metal refining</x:v>
      </x:c>
      <x:c r="AA63" s="4" t="str">
        <x:v>Mineral</x:v>
      </x:c>
      <x:c r="AB63" s="4" t="str">
        <x:v>Rock</x:v>
      </x:c>
      <x:c r="AC63" s="4" t="str">
        <x:v>Author direction</x:v>
      </x:c>
      <x:c r="AD63" s="4" t="str">
        <x:f>LOWER(A63&amp;"; "&amp;B63&amp;"; "&amp;C63&amp;"; "&amp;D63&amp;"; "&amp;W63&amp;"; "&amp;X63&amp;"; "&amp;Y63&amp;"; "&amp;Z63&amp;"; "&amp;AA63&amp;"; "&amp;AB63&amp;"; "&amp;AC63&amp;"; "&amp;U63)</x:f>
        <x:v>proposal.natural.hematite; raw hematite; resources; iron oxide mineral; raw material; raw; geological; metal refining; mineral; rock; author direction; </x:v>
      </x:c>
      <x:c r="AE63" s="4" t="str">
        <x:v>From current item description. Proposed uses retain their existing approval status.</x:v>
      </x:c>
    </x:row>
    <x:row r="64" ht="75" customHeight="1">
      <x:c r="A64" s="9" t="str">
        <x:v>proposal.natural.sulfur</x:v>
      </x:c>
      <x:c r="B64" s="9" t="str">
        <x:v>Raw sulfur</x:v>
      </x:c>
      <x:c r="C64" s="9" t="str">
        <x:v>Resources</x:v>
      </x:c>
      <x:c r="D64" s="9" t="str">
        <x:v>Native nonmetal</x:v>
      </x:c>
      <x:c r="E64" s="9" t="str">
        <x:v>User direction; not implemented</x:v>
      </x:c>
      <x:c r="F64" s="9" t="str">
        <x:v>Nonmetallic mineral feed for specialist crafting research</x:v>
      </x:c>
      <x:c r="G64" s="9" t="str">
        <x:v>None</x:v>
      </x:c>
      <x:c r="H64" s="9" t="str">
        <x:v>Legger / local storage proposed</x:v>
      </x:c>
      <x:c r="I64" s="13"/>
      <x:c r="J64" s="15"/>
      <x:c r="K64" s="9" t="str">
        <x:v>Authored sulfur deposit proposal</x:v>
      </x:c>
      <x:c r="L64" s="9" t="str">
        <x:v>Industrial reagent research; recipes open</x:v>
      </x:c>
      <x:c r="M64" s="9" t="str">
        <x:v>Not implemented</x:v>
      </x:c>
      <x:c r="N64" s="9" t="str">
        <x:v>Regional sulfur mining documented; no chemical or explosive recipe approved.</x:v>
      </x:c>
      <x:c r="O64" s="26"/>
      <x:c r="P64" s="26"/>
      <x:c r="Q64" s="26"/>
      <x:c r="R64" s="26"/>
      <x:c r="S64" s="26"/>
      <x:c r="T64" s="9" t="str">
        <x:v>Uses, gathering presentation and storage requirements</x:v>
      </x:c>
      <x:c r="U64" s="11"/>
      <x:c r="V64" s="9" t="str">
        <x:v>User brainstorming, October 14, 2026; game uses proposed. Reference: https://www.nps.gov/deva/learn/nature/mining-in-death-valley.htm</x:v>
      </x:c>
      <x:c r="W64" s="4" t="str">
        <x:v>Raw material</x:v>
      </x:c>
      <x:c r="X64" s="4" t="str">
        <x:v>Raw</x:v>
      </x:c>
      <x:c r="Y64" s="4" t="str">
        <x:v>Geological</x:v>
      </x:c>
      <x:c r="Z64" s="4" t="str">
        <x:v>Chemical processing</x:v>
      </x:c>
      <x:c r="AA64" s="4" t="str">
        <x:v>Mineral</x:v>
      </x:c>
      <x:c r="AB64" s="4" t="str">
        <x:v>Rock</x:v>
      </x:c>
      <x:c r="AC64" s="4" t="str">
        <x:v>Author direction</x:v>
      </x:c>
      <x:c r="AD64" s="4" t="str">
        <x:f>LOWER(A64&amp;"; "&amp;B64&amp;"; "&amp;C64&amp;"; "&amp;D64&amp;"; "&amp;W64&amp;"; "&amp;X64&amp;"; "&amp;Y64&amp;"; "&amp;Z64&amp;"; "&amp;AA64&amp;"; "&amp;AB64&amp;"; "&amp;AC64&amp;"; "&amp;U64)</x:f>
        <x:v>proposal.natural.sulfur; raw sulfur; resources; native nonmetal; raw material; raw; geological; chemical processing; mineral; rock; author direction; </x:v>
      </x:c>
      <x:c r="AE64" s="4" t="str">
        <x:v>From current item description. Proposed uses retain their existing approval status.</x:v>
      </x:c>
    </x:row>
    <x:row r="65" ht="75" customHeight="1">
      <x:c r="A65" s="9" t="str">
        <x:v>proposal.natural.borate</x:v>
      </x:c>
      <x:c r="B65" s="9" t="str">
        <x:v>Raw borate minerals</x:v>
      </x:c>
      <x:c r="C65" s="9" t="str">
        <x:v>Resources</x:v>
      </x:c>
      <x:c r="D65" s="9" t="str">
        <x:v>Evaporite mineral</x:v>
      </x:c>
      <x:c r="E65" s="9" t="str">
        <x:v>New proposal</x:v>
      </x:c>
      <x:c r="F65" s="9" t="str">
        <x:v>Borate-rich feed for proposed glass/ceramic processing</x:v>
      </x:c>
      <x:c r="G65" s="9" t="str">
        <x:v>None</x:v>
      </x:c>
      <x:c r="H65" s="9" t="str">
        <x:v>Legger / local storage proposed</x:v>
      </x:c>
      <x:c r="I65" s="13"/>
      <x:c r="J65" s="15"/>
      <x:c r="K65" s="9" t="str">
        <x:v>Ancient dry mineral deposits</x:v>
      </x:c>
      <x:c r="L65" s="9" t="str">
        <x:v>Flux and glass/ceramic research</x:v>
      </x:c>
      <x:c r="M65" s="9" t="str">
        <x:v>Not implemented</x:v>
      </x:c>
      <x:c r="N65" s="9" t="str">
        <x:v>Borate minerals are not elemental boron. No current water cycle is required for ancient deposits.</x:v>
      </x:c>
      <x:c r="O65" s="26"/>
      <x:c r="P65" s="26"/>
      <x:c r="Q65" s="26"/>
      <x:c r="R65" s="26"/>
      <x:c r="S65" s="26"/>
      <x:c r="T65" s="9" t="str">
        <x:v>Select borax/colemanite/ulexite versus one simplified item</x:v>
      </x:c>
      <x:c r="U65" s="11"/>
      <x:c r="V65" s="9" t="str">
        <x:v>User brainstorming, October 14, 2026; game uses proposed. Reference: https://www.nps.gov/deva/learn/nature/mining-in-death-valley.htm</x:v>
      </x:c>
      <x:c r="W65" s="4" t="str">
        <x:v>Raw material</x:v>
      </x:c>
      <x:c r="X65" s="4" t="str">
        <x:v>Raw</x:v>
      </x:c>
      <x:c r="Y65" s="4" t="str">
        <x:v>Geological</x:v>
      </x:c>
      <x:c r="Z65" s="4" t="str">
        <x:v>Glass and ceramics</x:v>
      </x:c>
      <x:c r="AA65" s="4" t="str">
        <x:v>Mineral</x:v>
      </x:c>
      <x:c r="AB65" s="4" t="str">
        <x:v>Rock</x:v>
      </x:c>
      <x:c r="AC65" s="4" t="str">
        <x:v>Proposal</x:v>
      </x:c>
      <x:c r="AD65" s="4" t="str">
        <x:f>LOWER(A65&amp;"; "&amp;B65&amp;"; "&amp;C65&amp;"; "&amp;D65&amp;"; "&amp;W65&amp;"; "&amp;X65&amp;"; "&amp;Y65&amp;"; "&amp;Z65&amp;"; "&amp;AA65&amp;"; "&amp;AB65&amp;"; "&amp;AC65&amp;"; "&amp;U65)</x:f>
        <x:v>proposal.natural.borate; raw borate minerals; resources; evaporite mineral; raw material; raw; geological; glass and ceramics; mineral; rock; proposal; </x:v>
      </x:c>
      <x:c r="AE65" s="4" t="str">
        <x:v>From current item description. Proposed uses retain their existing approval status.</x:v>
      </x:c>
    </x:row>
    <x:row r="66" ht="75" customHeight="1">
      <x:c r="A66" s="9" t="str">
        <x:v>proposal.natural.gypsum</x:v>
      </x:c>
      <x:c r="B66" s="9" t="str">
        <x:v>Raw gypsum</x:v>
      </x:c>
      <x:c r="C66" s="9" t="str">
        <x:v>Resources</x:v>
      </x:c>
      <x:c r="D66" s="9" t="str">
        <x:v>Sulfate mineral</x:v>
      </x:c>
      <x:c r="E66" s="9" t="str">
        <x:v>New proposal</x:v>
      </x:c>
      <x:c r="F66" s="9" t="str">
        <x:v>Soft mineral feed for molds and mineral products</x:v>
      </x:c>
      <x:c r="G66" s="9" t="str">
        <x:v>None</x:v>
      </x:c>
      <x:c r="H66" s="9" t="str">
        <x:v>Legger / local storage proposed</x:v>
      </x:c>
      <x:c r="I66" s="13"/>
      <x:c r="J66" s="15"/>
      <x:c r="K66" s="9" t="str">
        <x:v>Ancient evaporite beds</x:v>
      </x:c>
      <x:c r="L66" s="9" t="str">
        <x:v>Mold/binder research</x:v>
      </x:c>
      <x:c r="M66" s="9" t="str">
        <x:v>Not implemented</x:v>
      </x:c>
      <x:c r="N66" s="9" t="str">
        <x:v>Water bound in a mineral is not a free-liquid supply; no hydration mechanic proposed.</x:v>
      </x:c>
      <x:c r="O66" s="26"/>
      <x:c r="P66" s="26"/>
      <x:c r="Q66" s="26"/>
      <x:c r="R66" s="26"/>
      <x:c r="S66" s="26"/>
      <x:c r="T66" s="9" t="str">
        <x:v>Dry-world processing and overlap with existing binders</x:v>
      </x:c>
      <x:c r="U66" s="11"/>
      <x:c r="V66" s="9" t="str">
        <x:v>User brainstorming, October 14, 2026; game uses proposed. Reference: https://pubs.usgs.gov/publication/70018701</x:v>
      </x:c>
      <x:c r="W66" s="4" t="str">
        <x:v>Raw material</x:v>
      </x:c>
      <x:c r="X66" s="4" t="str">
        <x:v>Raw</x:v>
      </x:c>
      <x:c r="Y66" s="4" t="str">
        <x:v>Geological</x:v>
      </x:c>
      <x:c r="Z66" s="4" t="str">
        <x:v>Glass and ceramics</x:v>
      </x:c>
      <x:c r="AA66" s="4" t="str">
        <x:v>Mineral</x:v>
      </x:c>
      <x:c r="AB66" s="4" t="str">
        <x:v>Rock</x:v>
      </x:c>
      <x:c r="AC66" s="4" t="str">
        <x:v>Proposal</x:v>
      </x:c>
      <x:c r="AD66" s="4" t="str">
        <x:f>LOWER(A66&amp;"; "&amp;B66&amp;"; "&amp;C66&amp;"; "&amp;D66&amp;"; "&amp;W66&amp;"; "&amp;X66&amp;"; "&amp;Y66&amp;"; "&amp;Z66&amp;"; "&amp;AA66&amp;"; "&amp;AB66&amp;"; "&amp;AC66&amp;"; "&amp;U66)</x:f>
        <x:v>proposal.natural.gypsum; raw gypsum; resources; sulfate mineral; raw material; raw; geological; glass and ceramics; mineral; rock; proposal; </x:v>
      </x:c>
      <x:c r="AE66" s="4" t="str">
        <x:v>From current item description. Proposed uses retain their existing approval status.</x:v>
      </x:c>
    </x:row>
    <x:row r="67" ht="75" customHeight="1">
      <x:c r="A67" s="9" t="str">
        <x:v>proposal.natural.talc</x:v>
      </x:c>
      <x:c r="B67" s="9" t="str">
        <x:v>Raw talc</x:v>
      </x:c>
      <x:c r="C67" s="9" t="str">
        <x:v>Resources</x:v>
      </x:c>
      <x:c r="D67" s="9" t="str">
        <x:v>Industrial mineral</x:v>
      </x:c>
      <x:c r="E67" s="9" t="str">
        <x:v>New proposal</x:v>
      </x:c>
      <x:c r="F67" s="9" t="str">
        <x:v>Soft mineral feed for proposed dry powders and ceramics</x:v>
      </x:c>
      <x:c r="G67" s="9" t="str">
        <x:v>None</x:v>
      </x:c>
      <x:c r="H67" s="9" t="str">
        <x:v>Legger / local storage proposed</x:v>
      </x:c>
      <x:c r="I67" s="13"/>
      <x:c r="J67" s="15"/>
      <x:c r="K67" s="9" t="str">
        <x:v>Authored mineral seam proposal</x:v>
      </x:c>
      <x:c r="L67" s="9" t="str">
        <x:v>Dry lubricant/filler research</x:v>
      </x:c>
      <x:c r="M67" s="9" t="str">
        <x:v>Not implemented</x:v>
      </x:c>
      <x:c r="N67" s="9" t="str">
        <x:v>Regional talc mining is reference evidence, not an implemented deposit.</x:v>
      </x:c>
      <x:c r="O67" s="26"/>
      <x:c r="P67" s="26"/>
      <x:c r="Q67" s="26"/>
      <x:c r="R67" s="26"/>
      <x:c r="S67" s="26"/>
      <x:c r="T67" s="9" t="str">
        <x:v>Useful difference from graphite and existing dust materials</x:v>
      </x:c>
      <x:c r="U67" s="11" t="str">
        <x:v>surface finishing</x:v>
      </x:c>
      <x:c r="V67" s="9" t="str">
        <x:v>User brainstorming, October 14, 2026; game uses proposed. Reference: https://www.nps.gov/deva/learn/nature/mining-in-death-valley.htm</x:v>
      </x:c>
      <x:c r="W67" s="4" t="str">
        <x:v>Raw material</x:v>
      </x:c>
      <x:c r="X67" s="4" t="str">
        <x:v>Raw</x:v>
      </x:c>
      <x:c r="Y67" s="4" t="str">
        <x:v>Geological</x:v>
      </x:c>
      <x:c r="Z67" s="4" t="str">
        <x:v>Glass and ceramics</x:v>
      </x:c>
      <x:c r="AA67" s="4" t="str">
        <x:v>Mineral</x:v>
      </x:c>
      <x:c r="AB67" s="4" t="str">
        <x:v>Rock</x:v>
      </x:c>
      <x:c r="AC67" s="4" t="str">
        <x:v>Proposal</x:v>
      </x:c>
      <x:c r="AD67" s="4" t="str">
        <x:f>LOWER(A67&amp;"; "&amp;B67&amp;"; "&amp;C67&amp;"; "&amp;D67&amp;"; "&amp;W67&amp;"; "&amp;X67&amp;"; "&amp;Y67&amp;"; "&amp;Z67&amp;"; "&amp;AA67&amp;"; "&amp;AB67&amp;"; "&amp;AC67&amp;"; "&amp;U67)</x:f>
        <x:v>proposal.natural.talc; raw talc; resources; industrial mineral; raw material; raw; geological; glass and ceramics; mineral; rock; proposal; surface finishing</x:v>
      </x:c>
      <x:c r="AE67" s="4" t="str">
        <x:v>From current item description. Proposed uses retain their existing approval status.</x:v>
      </x:c>
    </x:row>
    <x:row r="68" ht="75" customHeight="1">
      <x:c r="A68" s="9" t="str">
        <x:v>proposal.natural.manganese_ore</x:v>
      </x:c>
      <x:c r="B68" s="9" t="str">
        <x:v>Manganese-bearing ore</x:v>
      </x:c>
      <x:c r="C68" s="9" t="str">
        <x:v>Resources</x:v>
      </x:c>
      <x:c r="D68" s="9" t="str">
        <x:v>Raw mineral</x:v>
      </x:c>
      <x:c r="E68" s="9" t="str">
        <x:v>New proposal</x:v>
      </x:c>
      <x:c r="F68" s="9" t="str">
        <x:v>Mineral feed for alloy and pigment research</x:v>
      </x:c>
      <x:c r="G68" s="9" t="str">
        <x:v>None</x:v>
      </x:c>
      <x:c r="H68" s="9" t="str">
        <x:v>Legger / local storage proposed</x:v>
      </x:c>
      <x:c r="I68" s="13"/>
      <x:c r="J68" s="15"/>
      <x:c r="K68" s="9" t="str">
        <x:v>Authored mineral deposit proposal</x:v>
      </x:c>
      <x:c r="L68" s="9" t="str">
        <x:v>Advanced metallurgy research</x:v>
      </x:c>
      <x:c r="M68" s="9" t="str">
        <x:v>Not implemented</x:v>
      </x:c>
      <x:c r="N68" s="9" t="str">
        <x:v>Regional commodity listed by NPS; exact ore mineral remains unselected.</x:v>
      </x:c>
      <x:c r="O68" s="26"/>
      <x:c r="P68" s="26"/>
      <x:c r="Q68" s="26"/>
      <x:c r="R68" s="26"/>
      <x:c r="S68" s="26"/>
      <x:c r="T68" s="9" t="str">
        <x:v>Mineral species, steelmaking role and processing tier</x:v>
      </x:c>
      <x:c r="U68" s="11" t="str">
        <x:v>decoration</x:v>
      </x:c>
      <x:c r="V68" s="9" t="str">
        <x:v>User brainstorming, October 14, 2026; game uses proposed. Reference: https://home.nps.gov/deva/faqs.htm</x:v>
      </x:c>
      <x:c r="W68" s="4" t="str">
        <x:v>Raw material</x:v>
      </x:c>
      <x:c r="X68" s="4" t="str">
        <x:v>Raw</x:v>
      </x:c>
      <x:c r="Y68" s="4" t="str">
        <x:v>Geological</x:v>
      </x:c>
      <x:c r="Z68" s="4" t="str">
        <x:v>Metal refining</x:v>
      </x:c>
      <x:c r="AA68" s="4" t="str">
        <x:v>Mineral</x:v>
      </x:c>
      <x:c r="AB68" s="4" t="str">
        <x:v>Rock</x:v>
      </x:c>
      <x:c r="AC68" s="4" t="str">
        <x:v>Proposal</x:v>
      </x:c>
      <x:c r="AD68" s="4" t="str">
        <x:f>LOWER(A68&amp;"; "&amp;B68&amp;"; "&amp;C68&amp;"; "&amp;D68&amp;"; "&amp;W68&amp;"; "&amp;X68&amp;"; "&amp;Y68&amp;"; "&amp;Z68&amp;"; "&amp;AA68&amp;"; "&amp;AB68&amp;"; "&amp;AC68&amp;"; "&amp;U68)</x:f>
        <x:v>proposal.natural.manganese_ore; manganese-bearing ore; resources; raw mineral; raw material; raw; geological; metal refining; mineral; rock; proposal; decoration</x:v>
      </x:c>
      <x:c r="AE68" s="4" t="str">
        <x:v>From current item description. Proposed uses retain their existing approval status.</x:v>
      </x:c>
    </x:row>
    <x:row r="69" ht="75" customHeight="1">
      <x:c r="A69" s="9" t="str">
        <x:v>proposal.natural.lead_ore</x:v>
      </x:c>
      <x:c r="B69" s="9" t="str">
        <x:v>Lead-bearing ore</x:v>
      </x:c>
      <x:c r="C69" s="9" t="str">
        <x:v>Resources</x:v>
      </x:c>
      <x:c r="D69" s="9" t="str">
        <x:v>Raw mineral</x:v>
      </x:c>
      <x:c r="E69" s="9" t="str">
        <x:v>New proposal</x:v>
      </x:c>
      <x:c r="F69" s="9" t="str">
        <x:v>Heavy mineral feed for specialized industrial material</x:v>
      </x:c>
      <x:c r="G69" s="9" t="str">
        <x:v>None</x:v>
      </x:c>
      <x:c r="H69" s="9" t="str">
        <x:v>Legger / local storage proposed</x:v>
      </x:c>
      <x:c r="I69" s="13"/>
      <x:c r="J69" s="15"/>
      <x:c r="K69" s="9" t="str">
        <x:v>Authored mineral deposit proposal</x:v>
      </x:c>
      <x:c r="L69" s="9" t="str">
        <x:v>Specialist refining and dense-component research</x:v>
      </x:c>
      <x:c r="M69" s="9" t="str">
        <x:v>Not implemented</x:v>
      </x:c>
      <x:c r="N69" s="9" t="str">
        <x:v>Regional lead mining documented; item does not establish easy field refining.</x:v>
      </x:c>
      <x:c r="O69" s="26"/>
      <x:c r="P69" s="26"/>
      <x:c r="Q69" s="26"/>
      <x:c r="R69" s="26"/>
      <x:c r="S69" s="26"/>
      <x:c r="T69" s="9" t="str">
        <x:v>Whether its mass and uses create a worthwhile haul</x:v>
      </x:c>
      <x:c r="U69" s="11"/>
      <x:c r="V69" s="9" t="str">
        <x:v>User brainstorming, October 14, 2026; game uses proposed. Reference: https://www.nps.gov/deva/learn/nature/mining-in-death-valley.htm</x:v>
      </x:c>
      <x:c r="W69" s="4" t="str">
        <x:v>Raw material</x:v>
      </x:c>
      <x:c r="X69" s="4" t="str">
        <x:v>Raw</x:v>
      </x:c>
      <x:c r="Y69" s="4" t="str">
        <x:v>Geological</x:v>
      </x:c>
      <x:c r="Z69" s="4" t="str">
        <x:v>Metal refining</x:v>
      </x:c>
      <x:c r="AA69" s="4" t="str">
        <x:v>Mineral</x:v>
      </x:c>
      <x:c r="AB69" s="4" t="str">
        <x:v>Rock</x:v>
      </x:c>
      <x:c r="AC69" s="4" t="str">
        <x:v>Proposal</x:v>
      </x:c>
      <x:c r="AD69" s="4" t="str">
        <x:f>LOWER(A69&amp;"; "&amp;B69&amp;"; "&amp;C69&amp;"; "&amp;D69&amp;"; "&amp;W69&amp;"; "&amp;X69&amp;"; "&amp;Y69&amp;"; "&amp;Z69&amp;"; "&amp;AA69&amp;"; "&amp;AB69&amp;"; "&amp;AC69&amp;"; "&amp;U69)</x:f>
        <x:v>proposal.natural.lead_ore; lead-bearing ore; resources; raw mineral; raw material; raw; geological; metal refining; mineral; rock; proposal; </x:v>
      </x:c>
      <x:c r="AE69" s="4" t="str">
        <x:v>From current item description. Proposed uses retain their existing approval status.</x:v>
      </x:c>
    </x:row>
    <x:row r="70" ht="75" customHeight="1">
      <x:c r="A70" s="9" t="str">
        <x:v>proposal.natural.zinc_ore</x:v>
      </x:c>
      <x:c r="B70" s="9" t="str">
        <x:v>Zinc-bearing ore</x:v>
      </x:c>
      <x:c r="C70" s="9" t="str">
        <x:v>Resources</x:v>
      </x:c>
      <x:c r="D70" s="9" t="str">
        <x:v>Raw mineral</x:v>
      </x:c>
      <x:c r="E70" s="9" t="str">
        <x:v>New proposal</x:v>
      </x:c>
      <x:c r="F70" s="9" t="str">
        <x:v>Mineral feed for alloy and protective-coating research</x:v>
      </x:c>
      <x:c r="G70" s="9" t="str">
        <x:v>None</x:v>
      </x:c>
      <x:c r="H70" s="9" t="str">
        <x:v>Legger / local storage proposed</x:v>
      </x:c>
      <x:c r="I70" s="13"/>
      <x:c r="J70" s="15"/>
      <x:c r="K70" s="9" t="str">
        <x:v>Authored mineral deposit proposal</x:v>
      </x:c>
      <x:c r="L70" s="9" t="str">
        <x:v>Brass/coating research with copper</x:v>
      </x:c>
      <x:c r="M70" s="9" t="str">
        <x:v>Not implemented</x:v>
      </x:c>
      <x:c r="N70" s="9" t="str">
        <x:v>Regional zinc commodity documented; no alloy recipe approved.</x:v>
      </x:c>
      <x:c r="O70" s="26"/>
      <x:c r="P70" s="26"/>
      <x:c r="Q70" s="26"/>
      <x:c r="R70" s="26"/>
      <x:c r="S70" s="26"/>
      <x:c r="T70" s="9" t="str">
        <x:v>Mineral, processing and final equipment uses</x:v>
      </x:c>
      <x:c r="U70" s="11"/>
      <x:c r="V70" s="9" t="str">
        <x:v>User brainstorming, October 14, 2026; game uses proposed. Reference: https://www.nps.gov/deva/learn/nature/mining-in-death-valley.htm</x:v>
      </x:c>
      <x:c r="W70" s="4" t="str">
        <x:v>Raw material</x:v>
      </x:c>
      <x:c r="X70" s="4" t="str">
        <x:v>Raw</x:v>
      </x:c>
      <x:c r="Y70" s="4" t="str">
        <x:v>Geological</x:v>
      </x:c>
      <x:c r="Z70" s="4" t="str">
        <x:v>Metal refining</x:v>
      </x:c>
      <x:c r="AA70" s="4" t="str">
        <x:v>Mineral</x:v>
      </x:c>
      <x:c r="AB70" s="4" t="str">
        <x:v>Rock</x:v>
      </x:c>
      <x:c r="AC70" s="4" t="str">
        <x:v>Proposal</x:v>
      </x:c>
      <x:c r="AD70" s="4" t="str">
        <x:f>LOWER(A70&amp;"; "&amp;B70&amp;"; "&amp;C70&amp;"; "&amp;D70&amp;"; "&amp;W70&amp;"; "&amp;X70&amp;"; "&amp;Y70&amp;"; "&amp;Z70&amp;"; "&amp;AA70&amp;"; "&amp;AB70&amp;"; "&amp;AC70&amp;"; "&amp;U70)</x:f>
        <x:v>proposal.natural.zinc_ore; zinc-bearing ore; resources; raw mineral; raw material; raw; geological; metal refining; mineral; rock; proposal; </x:v>
      </x:c>
      <x:c r="AE70" s="4" t="str">
        <x:v>From current item description. Proposed uses retain their existing approval status.</x:v>
      </x:c>
    </x:row>
    <x:row r="71" ht="75" customHeight="1">
      <x:c r="A71" s="9" t="str">
        <x:v>proposal.natural.silver_ore</x:v>
      </x:c>
      <x:c r="B71" s="9" t="str">
        <x:v>Silver-bearing ore</x:v>
      </x:c>
      <x:c r="C71" s="9" t="str">
        <x:v>Resources</x:v>
      </x:c>
      <x:c r="D71" s="9" t="str">
        <x:v>Raw mineral</x:v>
      </x:c>
      <x:c r="E71" s="9" t="str">
        <x:v>New proposal</x:v>
      </x:c>
      <x:c r="F71" s="9" t="str">
        <x:v>Mineral feed for trade and specialist contact research</x:v>
      </x:c>
      <x:c r="G71" s="9" t="str">
        <x:v>None</x:v>
      </x:c>
      <x:c r="H71" s="9" t="str">
        <x:v>Legger / local storage proposed</x:v>
      </x:c>
      <x:c r="I71" s="13"/>
      <x:c r="J71" s="15"/>
      <x:c r="K71" s="9" t="str">
        <x:v>Authored high-grade seam proposal</x:v>
      </x:c>
      <x:c r="L71" s="9" t="str">
        <x:v>Refining and trade research</x:v>
      </x:c>
      <x:c r="M71" s="9" t="str">
        <x:v>Not implemented</x:v>
      </x:c>
      <x:c r="N71" s="9" t="str">
        <x:v>Regional silver mining documented; value is undecided.</x:v>
      </x:c>
      <x:c r="O71" s="26"/>
      <x:c r="P71" s="26"/>
      <x:c r="Q71" s="26"/>
      <x:c r="R71" s="26"/>
      <x:c r="S71" s="26"/>
      <x:c r="T71" s="9" t="str">
        <x:v>Use beyond trade and relation to copper conductors</x:v>
      </x:c>
      <x:c r="U71" s="11" t="str">
        <x:v>electrical conduction</x:v>
      </x:c>
      <x:c r="V71" s="9" t="str">
        <x:v>User brainstorming, October 14, 2026; game uses proposed. Reference: https://www.nps.gov/deva/learn/nature/mining-in-death-valley.htm</x:v>
      </x:c>
      <x:c r="W71" s="4" t="str">
        <x:v>Raw material</x:v>
      </x:c>
      <x:c r="X71" s="4" t="str">
        <x:v>Raw</x:v>
      </x:c>
      <x:c r="Y71" s="4" t="str">
        <x:v>Geological</x:v>
      </x:c>
      <x:c r="Z71" s="4" t="str">
        <x:v>Metal refining</x:v>
      </x:c>
      <x:c r="AA71" s="4" t="str">
        <x:v>Mineral</x:v>
      </x:c>
      <x:c r="AB71" s="4" t="str">
        <x:v>Rock</x:v>
      </x:c>
      <x:c r="AC71" s="4" t="str">
        <x:v>Proposal</x:v>
      </x:c>
      <x:c r="AD71" s="4" t="str">
        <x:f>LOWER(A71&amp;"; "&amp;B71&amp;"; "&amp;C71&amp;"; "&amp;D71&amp;"; "&amp;W71&amp;"; "&amp;X71&amp;"; "&amp;Y71&amp;"; "&amp;Z71&amp;"; "&amp;AA71&amp;"; "&amp;AB71&amp;"; "&amp;AC71&amp;"; "&amp;U71)</x:f>
        <x:v>proposal.natural.silver_ore; silver-bearing ore; resources; raw mineral; raw material; raw; geological; metal refining; mineral; rock; proposal; electrical conduction</x:v>
      </x:c>
      <x:c r="AE71" s="4" t="str">
        <x:v>From current item description. Proposed uses retain their existing approval status.</x:v>
      </x:c>
    </x:row>
    <x:row r="72" ht="75" customHeight="1">
      <x:c r="A72" s="9" t="str">
        <x:v>proposal.natural.gold_rock</x:v>
      </x:c>
      <x:c r="B72" s="9" t="str">
        <x:v>Gold-bearing rock</x:v>
      </x:c>
      <x:c r="C72" s="9" t="str">
        <x:v>Resources</x:v>
      </x:c>
      <x:c r="D72" s="9" t="str">
        <x:v>Raw mineral</x:v>
      </x:c>
      <x:c r="E72" s="9" t="str">
        <x:v>New proposal</x:v>
      </x:c>
      <x:c r="F72" s="9" t="str">
        <x:v>Scarce mineral feed for trade and specialist components</x:v>
      </x:c>
      <x:c r="G72" s="9" t="str">
        <x:v>None</x:v>
      </x:c>
      <x:c r="H72" s="9" t="str">
        <x:v>Legger / local storage proposed</x:v>
      </x:c>
      <x:c r="I72" s="13"/>
      <x:c r="J72" s="15"/>
      <x:c r="K72" s="9" t="str">
        <x:v>Authored mineral deposit proposal</x:v>
      </x:c>
      <x:c r="L72" s="9" t="str">
        <x:v>Separation/refining and trade research</x:v>
      </x:c>
      <x:c r="M72" s="9" t="str">
        <x:v>Not implemented</x:v>
      </x:c>
      <x:c r="N72" s="9" t="str">
        <x:v>Regional gold mining documented; no currency or rarity value set.</x:v>
      </x:c>
      <x:c r="O72" s="26"/>
      <x:c r="P72" s="26"/>
      <x:c r="Q72" s="26"/>
      <x:c r="R72" s="26"/>
      <x:c r="S72" s="26"/>
      <x:c r="T72" s="9" t="str">
        <x:v>Whether gold has a meaningful survival-economy role</x:v>
      </x:c>
      <x:c r="U72" s="11" t="str">
        <x:v>decoration</x:v>
      </x:c>
      <x:c r="V72" s="9" t="str">
        <x:v>User brainstorming, October 14, 2026; game uses proposed. Reference: https://www.nps.gov/deva/learn/nature/mining-in-death-valley.htm</x:v>
      </x:c>
      <x:c r="W72" s="4" t="str">
        <x:v>Raw material</x:v>
      </x:c>
      <x:c r="X72" s="4" t="str">
        <x:v>Raw</x:v>
      </x:c>
      <x:c r="Y72" s="4" t="str">
        <x:v>Geological</x:v>
      </x:c>
      <x:c r="Z72" s="4" t="str">
        <x:v>Metal refining</x:v>
      </x:c>
      <x:c r="AA72" s="4" t="str">
        <x:v>Mineral</x:v>
      </x:c>
      <x:c r="AB72" s="4" t="str">
        <x:v>Rock</x:v>
      </x:c>
      <x:c r="AC72" s="4" t="str">
        <x:v>Proposal</x:v>
      </x:c>
      <x:c r="AD72" s="4" t="str">
        <x:f>LOWER(A72&amp;"; "&amp;B72&amp;"; "&amp;C72&amp;"; "&amp;D72&amp;"; "&amp;W72&amp;"; "&amp;X72&amp;"; "&amp;Y72&amp;"; "&amp;Z72&amp;"; "&amp;AA72&amp;"; "&amp;AB72&amp;"; "&amp;AC72&amp;"; "&amp;U72)</x:f>
        <x:v>proposal.natural.gold_rock; gold-bearing rock; resources; raw mineral; raw material; raw; geological; metal refining; mineral; rock; proposal; decoration</x:v>
      </x:c>
      <x:c r="AE72" s="4" t="str">
        <x:v>From current item description. Proposed uses retain their existing approval status.</x:v>
      </x:c>
    </x:row>
    <x:row r="73" ht="75" customHeight="1">
      <x:c r="A73" s="9" t="str">
        <x:v>proposal.natural.fluorite</x:v>
      </x:c>
      <x:c r="B73" s="9" t="str">
        <x:v>Raw fluorite</x:v>
      </x:c>
      <x:c r="C73" s="9" t="str">
        <x:v>Resources</x:v>
      </x:c>
      <x:c r="D73" s="9" t="str">
        <x:v>Industrial mineral</x:v>
      </x:c>
      <x:c r="E73" s="9" t="str">
        <x:v>New proposal</x:v>
      </x:c>
      <x:c r="F73" s="9" t="str">
        <x:v>Mineral feed for specialist ceramic/metallurgical research</x:v>
      </x:c>
      <x:c r="G73" s="9" t="str">
        <x:v>None</x:v>
      </x:c>
      <x:c r="H73" s="9" t="str">
        <x:v>Legger / local storage proposed</x:v>
      </x:c>
      <x:c r="I73" s="13"/>
      <x:c r="J73" s="15"/>
      <x:c r="K73" s="9" t="str">
        <x:v>Authored mineral deposit proposal</x:v>
      </x:c>
      <x:c r="L73" s="9" t="str">
        <x:v>Flux/optical-material research</x:v>
      </x:c>
      <x:c r="M73" s="9" t="str">
        <x:v>Not implemented</x:v>
      </x:c>
      <x:c r="N73" s="9" t="str">
        <x:v>NPS lists fluorspar; proposed manufacturing uses need their own design.</x:v>
      </x:c>
      <x:c r="O73" s="26"/>
      <x:c r="P73" s="26"/>
      <x:c r="Q73" s="26"/>
      <x:c r="R73" s="26"/>
      <x:c r="S73" s="26"/>
      <x:c r="T73" s="9" t="str">
        <x:v>Distinct use, processing and game naming</x:v>
      </x:c>
      <x:c r="U73" s="11" t="str">
        <x:v>metal refining</x:v>
      </x:c>
      <x:c r="V73" s="9" t="str">
        <x:v>User brainstorming, October 14, 2026; game uses proposed. Reference: https://home.nps.gov/deva/faqs.htm</x:v>
      </x:c>
      <x:c r="W73" s="4" t="str">
        <x:v>Raw material</x:v>
      </x:c>
      <x:c r="X73" s="4" t="str">
        <x:v>Raw</x:v>
      </x:c>
      <x:c r="Y73" s="4" t="str">
        <x:v>Geological</x:v>
      </x:c>
      <x:c r="Z73" s="4" t="str">
        <x:v>Glass and ceramics</x:v>
      </x:c>
      <x:c r="AA73" s="4" t="str">
        <x:v>Mineral</x:v>
      </x:c>
      <x:c r="AB73" s="4" t="str">
        <x:v>Rock</x:v>
      </x:c>
      <x:c r="AC73" s="4" t="str">
        <x:v>Proposal</x:v>
      </x:c>
      <x:c r="AD73" s="4" t="str">
        <x:f>LOWER(A73&amp;"; "&amp;B73&amp;"; "&amp;C73&amp;"; "&amp;D73&amp;"; "&amp;W73&amp;"; "&amp;X73&amp;"; "&amp;Y73&amp;"; "&amp;Z73&amp;"; "&amp;AA73&amp;"; "&amp;AB73&amp;"; "&amp;AC73&amp;"; "&amp;U73)</x:f>
        <x:v>proposal.natural.fluorite; raw fluorite; resources; industrial mineral; raw material; raw; geological; glass and ceramics; mineral; rock; proposal; metal refining</x:v>
      </x:c>
      <x:c r="AE73" s="4" t="str">
        <x:v>From current item description. Proposed uses retain their existing approval status.</x:v>
      </x:c>
    </x:row>
    <x:row r="74" ht="75" customHeight="1">
      <x:c r="A74" s="9" t="str">
        <x:v>proposal.natural.antimony_ore</x:v>
      </x:c>
      <x:c r="B74" s="9" t="str">
        <x:v>Antimony-bearing ore</x:v>
      </x:c>
      <x:c r="C74" s="9" t="str">
        <x:v>Resources</x:v>
      </x:c>
      <x:c r="D74" s="9" t="str">
        <x:v>Raw mineral</x:v>
      </x:c>
      <x:c r="E74" s="9" t="str">
        <x:v>New proposal</x:v>
      </x:c>
      <x:c r="F74" s="9" t="str">
        <x:v>Mineral feed for specialist alloy research</x:v>
      </x:c>
      <x:c r="G74" s="9" t="str">
        <x:v>None</x:v>
      </x:c>
      <x:c r="H74" s="9" t="str">
        <x:v>Legger / local storage proposed</x:v>
      </x:c>
      <x:c r="I74" s="13"/>
      <x:c r="J74" s="15"/>
      <x:c r="K74" s="9" t="str">
        <x:v>Authored mineral deposit proposal</x:v>
      </x:c>
      <x:c r="L74" s="9" t="str">
        <x:v>Advanced alloy research</x:v>
      </x:c>
      <x:c r="M74" s="9" t="str">
        <x:v>Not implemented</x:v>
      </x:c>
      <x:c r="N74" s="9" t="str">
        <x:v>Regional antimony commodity documented; no final ore species or recipe selected.</x:v>
      </x:c>
      <x:c r="O74" s="26"/>
      <x:c r="P74" s="26"/>
      <x:c r="Q74" s="26"/>
      <x:c r="R74" s="26"/>
      <x:c r="S74" s="26"/>
      <x:c r="T74" s="9" t="str">
        <x:v>Keep only if advanced crafting needs this separate material</x:v>
      </x:c>
      <x:c r="U74" s="11"/>
      <x:c r="V74" s="9" t="str">
        <x:v>User brainstorming, October 14, 2026; game uses proposed. Reference: https://www.nps.gov/deva/learn/nature/mining-in-death-valley.htm</x:v>
      </x:c>
      <x:c r="W74" s="4" t="str">
        <x:v>Raw material</x:v>
      </x:c>
      <x:c r="X74" s="4" t="str">
        <x:v>Raw</x:v>
      </x:c>
      <x:c r="Y74" s="4" t="str">
        <x:v>Geological</x:v>
      </x:c>
      <x:c r="Z74" s="4" t="str">
        <x:v>Metal refining</x:v>
      </x:c>
      <x:c r="AA74" s="4" t="str">
        <x:v>Mineral</x:v>
      </x:c>
      <x:c r="AB74" s="4" t="str">
        <x:v>Rock</x:v>
      </x:c>
      <x:c r="AC74" s="4" t="str">
        <x:v>Proposal</x:v>
      </x:c>
      <x:c r="AD74" s="4" t="str">
        <x:f>LOWER(A74&amp;"; "&amp;B74&amp;"; "&amp;C74&amp;"; "&amp;D74&amp;"; "&amp;W74&amp;"; "&amp;X74&amp;"; "&amp;Y74&amp;"; "&amp;Z74&amp;"; "&amp;AA74&amp;"; "&amp;AB74&amp;"; "&amp;AC74&amp;"; "&amp;U74)</x:f>
        <x:v>proposal.natural.antimony_ore; antimony-bearing ore; resources; raw mineral; raw material; raw; geological; metal refining; mineral; rock; proposal; </x:v>
      </x:c>
      <x:c r="AE74" s="4" t="str">
        <x:v>From current item description. Proposed uses retain their existing approval status.</x:v>
      </x:c>
    </x:row>
    <x:row r="75" ht="75" customHeight="1">
      <x:c r="A75" s="9" t="str">
        <x:v>proposal.bio.chitin_fibers</x:v>
      </x:c>
      <x:c r="B75" s="9" t="str">
        <x:v>Scraped chitin fibers</x:v>
      </x:c>
      <x:c r="C75" s="9" t="str">
        <x:v>Resources</x:v>
      </x:c>
      <x:c r="D75" s="9" t="str">
        <x:v>Raw husk fiber</x:v>
      </x:c>
      <x:c r="E75" s="9" t="str">
        <x:v>User direction; not implemented</x:v>
      </x:c>
      <x:c r="F75" s="9" t="str">
        <x:v>Abundant husk fiber feed for paper and difficult pressed textiles.</x:v>
      </x:c>
      <x:c r="G75" s="9" t="str">
        <x:v>None</x:v>
      </x:c>
      <x:c r="H75" s="9" t="str">
        <x:v>Legger / local storage proposed</x:v>
      </x:c>
      <x:c r="I75" s="13"/>
      <x:c r="J75" s="15"/>
      <x:c r="K75" s="9" t="str">
        <x:v>Scrape shell husks</x:v>
      </x:c>
      <x:c r="L75" s="9" t="str">
        <x:v>Main paper feedstock; textile conversion very difficult</x:v>
      </x:c>
      <x:c r="M75" s="9" t="str">
        <x:v>Not implemented</x:v>
      </x:c>
      <x:c r="N75" s="9" t="str">
        <x:v>Abundance applies to raw fibers; no numeric output yield approved.</x:v>
      </x:c>
      <x:c r="O75" s="28"/>
      <x:c r="P75" s="28"/>
      <x:c r="Q75" s="28"/>
      <x:c r="R75" s="28"/>
      <x:c r="S75" s="28"/>
      <x:c r="T75" s="9" t="str">
        <x:v>Distinction from icore and exact processing; fashion-crafting input: high sale-value intent; large material/time demand; exact prices and quantities TBD</x:v>
      </x:c>
      <x:c r="U75" s="11" t="str">
        <x:v>textile processing</x:v>
      </x:c>
      <x:c r="V75" s="9" t="str">
        <x:v>Docs/WORLD_BASIS.md#material-culture; author direction October 14, 2026. Process details and specific product forms remain unimplemented.</x:v>
      </x:c>
      <x:c r="W75" s="4" t="str">
        <x:v>Raw material</x:v>
      </x:c>
      <x:c r="X75" s="4" t="str">
        <x:v>Raw</x:v>
      </x:c>
      <x:c r="Y75" s="4" t="str">
        <x:v>Fauna</x:v>
      </x:c>
      <x:c r="Z75" s="4" t="str">
        <x:v>Paper making</x:v>
      </x:c>
      <x:c r="AA75" s="4" t="str">
        <x:v>Shell / chitin</x:v>
      </x:c>
      <x:c r="AB75" s="4" t="str">
        <x:v>Fiber</x:v>
      </x:c>
      <x:c r="AC75" s="4" t="str">
        <x:v>Author direction</x:v>
      </x:c>
      <x:c r="AD75" s="4" t="str">
        <x:f>LOWER(A75&amp;"; "&amp;B75&amp;"; "&amp;C75&amp;"; "&amp;D75&amp;"; "&amp;W75&amp;"; "&amp;X75&amp;"; "&amp;Y75&amp;"; "&amp;Z75&amp;"; "&amp;AA75&amp;"; "&amp;AB75&amp;"; "&amp;AC75&amp;"; "&amp;U75)</x:f>
        <x:v>proposal.bio.chitin_fibers; scraped chitin fibers; resources; raw husk fiber; raw material; raw; fauna; paper making; shell / chitin; fiber; author direction; textile processing</x:v>
      </x:c>
      <x:c r="AE75" s="4" t="str">
        <x:v>From current item description. Proposed uses retain their existing approval status.</x:v>
      </x:c>
    </x:row>
    <x:row r="76" ht="75" customHeight="1">
      <x:c r="A76" s="9" t="str">
        <x:v>proposal.bio.icore_fibers</x:v>
      </x:c>
      <x:c r="B76" s="9" t="str">
        <x:v>Scraped icore fibers</x:v>
      </x:c>
      <x:c r="C76" s="9" t="str">
        <x:v>Resources</x:v>
      </x:c>
      <x:c r="D76" s="9" t="str">
        <x:v>Raw husk fiber</x:v>
      </x:c>
      <x:c r="E76" s="9" t="str">
        <x:v>User direction; not implemented</x:v>
      </x:c>
      <x:c r="F76" s="9" t="str">
        <x:v>Abundant fibers scraped from shell husks.</x:v>
      </x:c>
      <x:c r="G76" s="9" t="str">
        <x:v>None</x:v>
      </x:c>
      <x:c r="H76" s="9" t="str">
        <x:v>Legger / local storage proposed</x:v>
      </x:c>
      <x:c r="I76" s="13"/>
      <x:c r="J76" s="15"/>
      <x:c r="K76" s="9" t="str">
        <x:v>Scrape shell husks</x:v>
      </x:c>
      <x:c r="L76" s="9" t="str">
        <x:v>Paper feedstock and difficult pressed-textile material</x:v>
      </x:c>
      <x:c r="M76" s="9" t="str">
        <x:v>Not implemented</x:v>
      </x:c>
      <x:c r="N76" s="9" t="str">
        <x:v>Author spelling retained; no composition, fluid identity or special property invented.</x:v>
      </x:c>
      <x:c r="O76" s="28"/>
      <x:c r="P76" s="28"/>
      <x:c r="Q76" s="28"/>
      <x:c r="R76" s="28"/>
      <x:c r="S76" s="28"/>
      <x:c r="T76" s="9" t="str">
        <x:v>Define icore and whether paper uses one or both fiber types; fashion-crafting input: high sale-value intent; large material/time demand; exact prices and quantities TBD</x:v>
      </x:c>
      <x:c r="U76" s="11" t="str">
        <x:v>textile processing; icore husk fibers not liquid ichor</x:v>
      </x:c>
      <x:c r="V76" s="9" t="str">
        <x:v>Docs/WORLD_BASIS.md#material-culture; author direction October 14, 2026. Process details and specific product forms remain unimplemented.</x:v>
      </x:c>
      <x:c r="W76" s="4" t="str">
        <x:v>Raw material</x:v>
      </x:c>
      <x:c r="X76" s="4" t="str">
        <x:v>Raw</x:v>
      </x:c>
      <x:c r="Y76" s="4" t="str">
        <x:v>Fauna</x:v>
      </x:c>
      <x:c r="Z76" s="4" t="str">
        <x:v>Paper making</x:v>
      </x:c>
      <x:c r="AA76" s="4" t="str">
        <x:v>Husk fiber</x:v>
      </x:c>
      <x:c r="AB76" s="4" t="str">
        <x:v>Fiber</x:v>
      </x:c>
      <x:c r="AC76" s="4" t="str">
        <x:v>Author direction</x:v>
      </x:c>
      <x:c r="AD76" s="4" t="str">
        <x:f>LOWER(A76&amp;"; "&amp;B76&amp;"; "&amp;C76&amp;"; "&amp;D76&amp;"; "&amp;W76&amp;"; "&amp;X76&amp;"; "&amp;Y76&amp;"; "&amp;Z76&amp;"; "&amp;AA76&amp;"; "&amp;AB76&amp;"; "&amp;AC76&amp;"; "&amp;U76)</x:f>
        <x:v>proposal.bio.icore_fibers; scraped icore fibers; resources; raw husk fiber; raw material; raw; fauna; paper making; husk fiber; fiber; author direction; textile processing; icore husk fibers not liquid ichor</x:v>
      </x:c>
      <x:c r="AE76" s="4" t="str">
        <x:v>From current item description. Proposed uses retain their existing approval status.</x:v>
      </x:c>
    </x:row>
    <x:row r="77" ht="75" customHeight="1">
      <x:c r="A77" s="9" t="str">
        <x:v>proposal.bio.husk_paper</x:v>
      </x:c>
      <x:c r="B77" s="9" t="str">
        <x:v>Husk-fiber paper</x:v>
      </x:c>
      <x:c r="C77" s="9" t="str">
        <x:v>Crafting components</x:v>
      </x:c>
      <x:c r="D77" s="9" t="str">
        <x:v>Paper</x:v>
      </x:c>
      <x:c r="E77" s="9" t="str">
        <x:v>User direction; not implemented</x:v>
      </x:c>
      <x:c r="F77" s="9" t="str">
        <x:v>The main paper material comes from scraped shell-husk fibers.</x:v>
      </x:c>
      <x:c r="G77" s="9" t="str">
        <x:v>None</x:v>
      </x:c>
      <x:c r="H77" s="9" t="str">
        <x:v>Legger / local storage proposed</x:v>
      </x:c>
      <x:c r="I77" s="13"/>
      <x:c r="J77" s="15"/>
      <x:c r="K77" s="9" t="str">
        <x:v>Process scraped husk fibers</x:v>
      </x:c>
      <x:c r="L77" s="9" t="str">
        <x:v>Paper sheets; end uses remain open</x:v>
      </x:c>
      <x:c r="M77" s="9" t="str">
        <x:v>Not implemented</x:v>
      </x:c>
      <x:c r="N77" s="9" t="str">
        <x:v>Main source established; paper recipe, difficulty and yield not yet specified.</x:v>
      </x:c>
      <x:c r="O77" s="28"/>
      <x:c r="P77" s="28"/>
      <x:c r="Q77" s="28"/>
      <x:c r="R77" s="28"/>
      <x:c r="S77" s="28"/>
      <x:c r="T77" s="9" t="str">
        <x:v>Sheet sizes, paper properties and production method</x:v>
      </x:c>
      <x:c r="U77" s="11" t="str">
        <x:v>paper stationery</x:v>
      </x:c>
      <x:c r="V77" s="9" t="str">
        <x:v>Docs/WORLD_BASIS.md#material-culture; author direction October 14, 2026. Process details and specific product forms remain unimplemented.</x:v>
      </x:c>
      <x:c r="W77" s="4" t="str">
        <x:v>Processed material</x:v>
      </x:c>
      <x:c r="X77" s="4" t="str">
        <x:v>Processed intermediate</x:v>
      </x:c>
      <x:c r="Y77" s="4" t="str">
        <x:v>Fauna</x:v>
      </x:c>
      <x:c r="Z77" s="4" t="str">
        <x:v>Writing and records</x:v>
      </x:c>
      <x:c r="AA77" s="4" t="str">
        <x:v>Husk fiber</x:v>
      </x:c>
      <x:c r="AB77" s="4" t="str">
        <x:v>Sheet</x:v>
      </x:c>
      <x:c r="AC77" s="4" t="str">
        <x:v>Author direction</x:v>
      </x:c>
      <x:c r="AD77" s="4" t="str">
        <x:f>LOWER(A77&amp;"; "&amp;B77&amp;"; "&amp;C77&amp;"; "&amp;D77&amp;"; "&amp;W77&amp;"; "&amp;X77&amp;"; "&amp;Y77&amp;"; "&amp;Z77&amp;"; "&amp;AA77&amp;"; "&amp;AB77&amp;"; "&amp;AC77&amp;"; "&amp;U77)</x:f>
        <x:v>proposal.bio.husk_paper; husk-fiber paper; crafting components; paper; processed material; processed intermediate; fauna; writing and records; husk fiber; sheet; author direction; paper stationery</x:v>
      </x:c>
      <x:c r="AE77" s="4" t="str">
        <x:v>From current item description. Proposed uses retain their existing approval status.</x:v>
      </x:c>
    </x:row>
    <x:row r="78" ht="75" customHeight="1">
      <x:c r="A78" s="9" t="str">
        <x:v>proposal.bio.pressed_husk</x:v>
      </x:c>
      <x:c r="B78" s="9" t="str">
        <x:v>Pressed husk-fiber textile material</x:v>
      </x:c>
      <x:c r="C78" s="9" t="str">
        <x:v>Crafting components</x:v>
      </x:c>
      <x:c r="D78" s="9" t="str">
        <x:v>Pressed textile material</x:v>
      </x:c>
      <x:c r="E78" s="9" t="str">
        <x:v>User direction; not implemented</x:v>
      </x:c>
      <x:c r="F78" s="9" t="str">
        <x:v>Difficult processed/pressed husk-fiber material.</x:v>
      </x:c>
      <x:c r="G78" s="9" t="str">
        <x:v>None</x:v>
      </x:c>
      <x:c r="H78" s="9" t="str">
        <x:v>Legger / local storage proposed</x:v>
      </x:c>
      <x:c r="I78" s="13"/>
      <x:c r="J78" s="15"/>
      <x:c r="K78" s="9" t="str">
        <x:v>Very difficult processing and pressing of husk fibers</x:v>
      </x:c>
      <x:c r="L78" s="9" t="str">
        <x:v>Textile-material use under the no-cloth rule</x:v>
      </x:c>
      <x:c r="M78" s="9" t="str">
        <x:v>Not implemented</x:v>
      </x:c>
      <x:c r="N78" s="9" t="str">
        <x:v>No cloth of any kind; exact product form, flexibility and uses are unapproved.</x:v>
      </x:c>
      <x:c r="O78" s="28"/>
      <x:c r="P78" s="28"/>
      <x:c r="Q78" s="28"/>
      <x:c r="R78" s="28"/>
      <x:c r="S78" s="28"/>
      <x:c r="T78" s="9" t="str">
        <x:v>Binder, equipment, work and finished properties; fashion-crafting input: high sale-value intent; large material/time demand; exact prices and quantities TBD</x:v>
      </x:c>
      <x:c r="U78" s="11"/>
      <x:c r="V78" s="9" t="str">
        <x:v>Docs/WORLD_BASIS.md#material-culture; author direction October 14, 2026. Process details and specific product forms remain unimplemented.</x:v>
      </x:c>
      <x:c r="W78" s="4" t="str">
        <x:v>Processed material</x:v>
      </x:c>
      <x:c r="X78" s="4" t="str">
        <x:v>Processed intermediate</x:v>
      </x:c>
      <x:c r="Y78" s="4" t="str">
        <x:v>Fauna</x:v>
      </x:c>
      <x:c r="Z78" s="4" t="str">
        <x:v>Clothing fabrication</x:v>
      </x:c>
      <x:c r="AA78" s="4" t="str">
        <x:v>Husk fiber</x:v>
      </x:c>
      <x:c r="AB78" s="4" t="str">
        <x:v>Sheet</x:v>
      </x:c>
      <x:c r="AC78" s="4" t="str">
        <x:v>Author direction</x:v>
      </x:c>
      <x:c r="AD78" s="4" t="str">
        <x:f>LOWER(A78&amp;"; "&amp;B78&amp;"; "&amp;C78&amp;"; "&amp;D78&amp;"; "&amp;W78&amp;"; "&amp;X78&amp;"; "&amp;Y78&amp;"; "&amp;Z78&amp;"; "&amp;AA78&amp;"; "&amp;AB78&amp;"; "&amp;AC78&amp;"; "&amp;U78)</x:f>
        <x:v>proposal.bio.pressed_husk; pressed husk-fiber textile material; crafting components; pressed textile material; processed material; processed intermediate; fauna; clothing fabrication; husk fiber; sheet; author direction; </x:v>
      </x:c>
      <x:c r="AE78" s="4" t="str">
        <x:v>From current item description. Proposed uses retain their existing approval status.</x:v>
      </x:c>
    </x:row>
    <x:row r="79" ht="75" customHeight="1">
      <x:c r="A79" s="9" t="str">
        <x:v>proposal.bio.hide</x:v>
      </x:c>
      <x:c r="B79" s="9" t="str">
        <x:v>Raw hide</x:v>
      </x:c>
      <x:c r="C79" s="9" t="str">
        <x:v>Resources</x:v>
      </x:c>
      <x:c r="D79" s="9" t="str">
        <x:v>Animal hide</x:v>
      </x:c>
      <x:c r="E79" s="9" t="str">
        <x:v>User direction; not implemented</x:v>
      </x:c>
      <x:c r="F79" s="9" t="str">
        <x:v>Hide feedstock for extremely low-yield material processing.</x:v>
      </x:c>
      <x:c r="G79" s="9" t="str">
        <x:v>None</x:v>
      </x:c>
      <x:c r="H79" s="9" t="str">
        <x:v>Legger / local storage proposed</x:v>
      </x:c>
      <x:c r="I79" s="13"/>
      <x:c r="J79" s="15"/>
      <x:c r="K79" s="9" t="str">
        <x:v>Creature hide collection; species and method unapproved</x:v>
      </x:c>
      <x:c r="L79" s="9" t="str">
        <x:v>Textile and other material processing with extremely low yield</x:v>
      </x:c>
      <x:c r="M79" s="9" t="str">
        <x:v>Not implemented</x:v>
      </x:c>
      <x:c r="N79" s="9" t="str">
        <x:v>Low yield concerns conversion into usable material; does not define carcass yield.</x:v>
      </x:c>
      <x:c r="O79" s="28"/>
      <x:c r="P79" s="28"/>
      <x:c r="Q79" s="28"/>
      <x:c r="R79" s="28"/>
      <x:c r="S79" s="28"/>
      <x:c r="T79" s="9" t="str">
        <x:v>Species, preservation and workable output forms; fashion-crafting input: high sale-value intent; large material/time demand; exact prices and quantities TBD</x:v>
      </x:c>
      <x:c r="U79" s="11"/>
      <x:c r="V79" s="9" t="str">
        <x:v>Docs/WORLD_BASIS.md#material-culture; author direction October 14, 2026. Process details and specific product forms remain unimplemented.</x:v>
      </x:c>
      <x:c r="W79" s="4" t="str">
        <x:v>Raw material</x:v>
      </x:c>
      <x:c r="X79" s="4" t="str">
        <x:v>Raw</x:v>
      </x:c>
      <x:c r="Y79" s="4" t="str">
        <x:v>Fauna</x:v>
      </x:c>
      <x:c r="Z79" s="4" t="str">
        <x:v>Textile processing</x:v>
      </x:c>
      <x:c r="AA79" s="4" t="str">
        <x:v>Hide</x:v>
      </x:c>
      <x:c r="AB79" s="4" t="str">
        <x:v>Sheet</x:v>
      </x:c>
      <x:c r="AC79" s="4" t="str">
        <x:v>Author direction</x:v>
      </x:c>
      <x:c r="AD79" s="4" t="str">
        <x:f>LOWER(A79&amp;"; "&amp;B79&amp;"; "&amp;C79&amp;"; "&amp;D79&amp;"; "&amp;W79&amp;"; "&amp;X79&amp;"; "&amp;Y79&amp;"; "&amp;Z79&amp;"; "&amp;AA79&amp;"; "&amp;AB79&amp;"; "&amp;AC79&amp;"; "&amp;U79)</x:f>
        <x:v>proposal.bio.hide; raw hide; resources; animal hide; raw material; raw; fauna; textile processing; hide; sheet; author direction; </x:v>
      </x:c>
      <x:c r="AE79" s="4" t="str">
        <x:v>From current item description. Proposed uses retain their existing approval status.</x:v>
      </x:c>
    </x:row>
    <x:row r="80" ht="75" customHeight="1">
      <x:c r="A80" s="9" t="str">
        <x:v>proposal.bio.hide_material</x:v>
      </x:c>
      <x:c r="B80" s="9" t="str">
        <x:v>Processed hide material</x:v>
      </x:c>
      <x:c r="C80" s="9" t="str">
        <x:v>Crafting components</x:v>
      </x:c>
      <x:c r="D80" s="9" t="str">
        <x:v>Processed biological</x:v>
      </x:c>
      <x:c r="E80" s="9" t="str">
        <x:v>User direction; not implemented</x:v>
      </x:c>
      <x:c r="F80" s="9" t="str">
        <x:v>Scarce usable material obtained from hide processing.</x:v>
      </x:c>
      <x:c r="G80" s="9" t="str">
        <x:v>None</x:v>
      </x:c>
      <x:c r="H80" s="9" t="str">
        <x:v>Legger / local storage proposed</x:v>
      </x:c>
      <x:c r="I80" s="13"/>
      <x:c r="J80" s="15"/>
      <x:c r="K80" s="9" t="str">
        <x:v>Process raw hide</x:v>
      </x:c>
      <x:c r="L80" s="9" t="str">
        <x:v>Candidate material for later product design</x:v>
      </x:c>
      <x:c r="M80" s="9" t="str">
        <x:v>Not implemented</x:v>
      </x:c>
      <x:c r="N80" s="9" t="str">
        <x:v>Extremely low usable yield. No cloth; output form and properties remain proposals.</x:v>
      </x:c>
      <x:c r="O80" s="28"/>
      <x:c r="P80" s="28"/>
      <x:c r="Q80" s="28"/>
      <x:c r="R80" s="28"/>
      <x:c r="S80" s="28"/>
      <x:c r="T80" s="9" t="str">
        <x:v>Processing method, intended products and balance; fashion-crafting input: high sale-value intent; large material/time demand; exact prices and quantities TBD</x:v>
      </x:c>
      <x:c r="U80" s="11"/>
      <x:c r="V80" s="9" t="str">
        <x:v>Docs/WORLD_BASIS.md#material-culture; author direction October 14, 2026. Process details and specific product forms remain unimplemented.</x:v>
      </x:c>
      <x:c r="W80" s="4" t="str">
        <x:v>Processed material</x:v>
      </x:c>
      <x:c r="X80" s="4" t="str">
        <x:v>Processed intermediate</x:v>
      </x:c>
      <x:c r="Y80" s="4" t="str">
        <x:v>Fauna</x:v>
      </x:c>
      <x:c r="Z80" s="4" t="str">
        <x:v>Clothing fabrication</x:v>
      </x:c>
      <x:c r="AA80" s="4" t="str">
        <x:v>Hide</x:v>
      </x:c>
      <x:c r="AB80" s="4" t="str">
        <x:v>Sheet</x:v>
      </x:c>
      <x:c r="AC80" s="4" t="str">
        <x:v>Author direction</x:v>
      </x:c>
      <x:c r="AD80" s="4" t="str">
        <x:f>LOWER(A80&amp;"; "&amp;B80&amp;"; "&amp;C80&amp;"; "&amp;D80&amp;"; "&amp;W80&amp;"; "&amp;X80&amp;"; "&amp;Y80&amp;"; "&amp;Z80&amp;"; "&amp;AA80&amp;"; "&amp;AB80&amp;"; "&amp;AC80&amp;"; "&amp;U80)</x:f>
        <x:v>proposal.bio.hide_material; processed hide material; crafting components; processed biological; processed material; processed intermediate; fauna; clothing fabrication; hide; sheet; author direction; </x:v>
      </x:c>
      <x:c r="AE80" s="4" t="str">
        <x:v>From current item description. Proposed uses retain their existing approval status.</x:v>
      </x:c>
    </x:row>
    <x:row r="81" ht="80" customHeight="1">
      <x:c r="A81" s="9" t="str">
        <x:v>proposal.bio.edible_fraction</x:v>
      </x:c>
      <x:c r="B81" s="9" t="str">
        <x:v>Edible fauna fraction (species TBD)</x:v>
      </x:c>
      <x:c r="C81" s="9" t="str">
        <x:v>Resources</x:v>
      </x:c>
      <x:c r="D81" s="9" t="str">
        <x:v>Food candidate</x:v>
      </x:c>
      <x:c r="E81" s="9" t="str">
        <x:v>User direction; not implemented</x:v>
      </x:c>
      <x:c r="F81" s="9" t="str">
        <x:v>Some fauna can be eaten, but provides poor nutrition.</x:v>
      </x:c>
      <x:c r="G81" s="9" t="str">
        <x:v>None</x:v>
      </x:c>
      <x:c r="H81" s="9" t="str">
        <x:v>Legger / local storage proposed</x:v>
      </x:c>
      <x:c r="I81" s="13"/>
      <x:c r="J81" s="15"/>
      <x:c r="K81" s="9" t="str">
        <x:v>Only explicitly edible species/parts; preparation undefined</x:v>
      </x:c>
      <x:c r="L81" s="9" t="str">
        <x:v>Potential supplementary food; does not replace algae</x:v>
      </x:c>
      <x:c r="M81" s="9" t="str">
        <x:v>Not implemented</x:v>
      </x:c>
      <x:c r="N81" s="9" t="str">
        <x:v>Most fauna lacks traditional flesh; no meat model, calorie values or safe preparation assigned.</x:v>
      </x:c>
      <x:c r="O81" s="30"/>
      <x:c r="P81" s="30"/>
      <x:c r="Q81" s="30"/>
      <x:c r="R81" s="30"/>
      <x:c r="S81" s="30"/>
      <x:c r="T81" s="9" t="str">
        <x:v>Identify species/parts from Burden Beasts anatomy; carrier/use rules not implemented</x:v>
      </x:c>
      <x:c r="U81" s="11"/>
      <x:c r="V81" s="9" t="str">
        <x:v>Docs/WORLD_BASIS.md#faunal-biology-and-material-use; direct author direction October 14, 2026. Related source anatomy proposals now accessible at f6f98515; this item awaits reconciliation; identities and processing remain undefined.</x:v>
      </x:c>
      <x:c r="W81" s="4" t="str">
        <x:v>Food material</x:v>
      </x:c>
      <x:c r="X81" s="4" t="str">
        <x:v>Unresolved</x:v>
      </x:c>
      <x:c r="Y81" s="4" t="str">
        <x:v>Fauna</x:v>
      </x:c>
      <x:c r="Z81" s="4" t="str">
        <x:v>Nutrition</x:v>
      </x:c>
      <x:c r="AA81" s="4" t="str">
        <x:v>Faunal tissue</x:v>
      </x:c>
      <x:c r="AB81" s="4" t="str">
        <x:v>Unresolved</x:v>
      </x:c>
      <x:c r="AC81" s="4" t="str">
        <x:v>Author direction</x:v>
      </x:c>
      <x:c r="AD81" s="4" t="str">
        <x:f>LOWER(A81&amp;"; "&amp;B81&amp;"; "&amp;C81&amp;"; "&amp;D81&amp;"; "&amp;W81&amp;"; "&amp;X81&amp;"; "&amp;Y81&amp;"; "&amp;Z81&amp;"; "&amp;AA81&amp;"; "&amp;AB81&amp;"; "&amp;AC81&amp;"; "&amp;U81)</x:f>
        <x:v>proposal.bio.edible_fraction; edible fauna fraction (species tbd); resources; food candidate; food material; unresolved; fauna; nutrition; faunal tissue; unresolved; author direction; </x:v>
      </x:c>
      <x:c r="AE81" s="4" t="str">
        <x:v>From current item description. Proposed uses retain their existing approval status.</x:v>
      </x:c>
    </x:row>
    <x:row r="82" ht="80" customHeight="1">
      <x:c r="A82" s="9" t="str">
        <x:v>proposal.bio.chemical_material</x:v>
      </x:c>
      <x:c r="B82" s="9" t="str">
        <x:v>Faunal chemical material (unspecified)</x:v>
      </x:c>
      <x:c r="C82" s="9" t="str">
        <x:v>Resources</x:v>
      </x:c>
      <x:c r="D82" s="9" t="str">
        <x:v>Chemical material</x:v>
      </x:c>
      <x:c r="E82" s="9" t="str">
        <x:v>User direction; not implemented</x:v>
      </x:c>
      <x:c r="F82" s="9" t="str">
        <x:v>Internal faunal chemicals can be used as materials despite toxicity to humans.</x:v>
      </x:c>
      <x:c r="G82" s="9" t="str">
        <x:v>None</x:v>
      </x:c>
      <x:c r="H82" s="9" t="str">
        <x:v>Legger / local storage proposed</x:v>
      </x:c>
      <x:c r="I82" s="13"/>
      <x:c r="J82" s="15"/>
      <x:c r="K82" s="9" t="str">
        <x:v>Species-specific extraction remains undefined</x:v>
      </x:c>
      <x:c r="L82" s="9" t="str">
        <x:v>Material processing uses to be established</x:v>
      </x:c>
      <x:c r="M82" s="9" t="str">
        <x:v>Not implemented</x:v>
      </x:c>
      <x:c r="N82" s="9" t="str">
        <x:v>Most internal chemistry is toxic. No named reagent, solvent, fuel or recipe established.</x:v>
      </x:c>
      <x:c r="O82" s="30"/>
      <x:c r="P82" s="30"/>
      <x:c r="Q82" s="30"/>
      <x:c r="R82" s="30"/>
      <x:c r="S82" s="30"/>
      <x:c r="T82" s="9" t="str">
        <x:v>Chemical identities, useful properties, extraction and containment</x:v>
      </x:c>
      <x:c r="U82" s="11"/>
      <x:c r="V82" s="9" t="str">
        <x:v>Docs/WORLD_BASIS.md#faunal-biology-and-material-use; direct author direction October 14, 2026. Related source anatomy proposals now accessible at f6f98515; this item awaits reconciliation; identities and processing remain undefined.</x:v>
      </x:c>
      <x:c r="W82" s="4" t="str">
        <x:v>Chemical material</x:v>
      </x:c>
      <x:c r="X82" s="4" t="str">
        <x:v>Unresolved</x:v>
      </x:c>
      <x:c r="Y82" s="4" t="str">
        <x:v>Fauna</x:v>
      </x:c>
      <x:c r="Z82" s="4" t="str">
        <x:v>Chemical processing</x:v>
      </x:c>
      <x:c r="AA82" s="4" t="str">
        <x:v>Biological chemical</x:v>
      </x:c>
      <x:c r="AB82" s="4" t="str">
        <x:v>Unresolved</x:v>
      </x:c>
      <x:c r="AC82" s="4" t="str">
        <x:v>Author direction</x:v>
      </x:c>
      <x:c r="AD82" s="4" t="str">
        <x:f>LOWER(A82&amp;"; "&amp;B82&amp;"; "&amp;C82&amp;"; "&amp;D82&amp;"; "&amp;W82&amp;"; "&amp;X82&amp;"; "&amp;Y82&amp;"; "&amp;Z82&amp;"; "&amp;AA82&amp;"; "&amp;AB82&amp;"; "&amp;AC82&amp;"; "&amp;U82)</x:f>
        <x:v>proposal.bio.chemical_material; faunal chemical material (unspecified); resources; chemical material; chemical material; unresolved; fauna; chemical processing; biological chemical; unresolved; author direction; </x:v>
      </x:c>
      <x:c r="AE82" s="4" t="str">
        <x:v>From current item description. Proposed uses retain their existing approval status.</x:v>
      </x:c>
    </x:row>
    <x:row r="83" ht="80" customHeight="1">
      <x:c r="A83" s="9" t="str">
        <x:v>proposal.bio.liquid_material</x:v>
      </x:c>
      <x:c r="B83" s="9" t="str">
        <x:v>Faunal liquid material (unspecified)</x:v>
      </x:c>
      <x:c r="C83" s="9" t="str">
        <x:v>Resources</x:v>
      </x:c>
      <x:c r="D83" s="9" t="str">
        <x:v>Biological liquid material</x:v>
      </x:c>
      <x:c r="E83" s="9" t="str">
        <x:v>User direction; not implemented</x:v>
      </x:c>
      <x:c r="F83" s="9" t="str">
        <x:v>Biological liquids may be extracted for use as materials.</x:v>
      </x:c>
      <x:c r="G83" s="9" t="str">
        <x:v>None</x:v>
      </x:c>
      <x:c r="H83" s="9" t="str">
        <x:v>Legger / local storage proposed</x:v>
      </x:c>
      <x:c r="I83" s="13"/>
      <x:c r="J83" s="15"/>
      <x:c r="K83" s="9" t="str">
        <x:v>Faunal interiors; species-specific extraction undefined</x:v>
      </x:c>
      <x:c r="L83" s="9" t="str">
        <x:v>Material use; not presumed drinkable</x:v>
      </x:c>
      <x:c r="M83" s="9" t="str">
        <x:v>Not implemented</x:v>
      </x:c>
      <x:c r="N83" s="9" t="str">
        <x:v>No natural free water or edible-liquid assumption. Storage, stability and specific uses unresolved.</x:v>
      </x:c>
      <x:c r="O83" s="30"/>
      <x:c r="P83" s="30"/>
      <x:c r="Q83" s="30"/>
      <x:c r="R83" s="30"/>
      <x:c r="S83" s="30"/>
      <x:c r="T83" s="9" t="str">
        <x:v>Liquid identities, containers, extraction conditions and processing</x:v>
      </x:c>
      <x:c r="U83" s="11"/>
      <x:c r="V83" s="9" t="str">
        <x:v>Docs/WORLD_BASIS.md#faunal-biology-and-material-use; direct author direction October 14, 2026. Related source anatomy proposals now accessible at f6f98515; this item awaits reconciliation; identities and processing remain undefined.</x:v>
      </x:c>
      <x:c r="W83" s="4" t="str">
        <x:v>Chemical material</x:v>
      </x:c>
      <x:c r="X83" s="4" t="str">
        <x:v>Extracted material</x:v>
      </x:c>
      <x:c r="Y83" s="4" t="str">
        <x:v>Fauna</x:v>
      </x:c>
      <x:c r="Z83" s="4" t="str">
        <x:v>Chemical processing</x:v>
      </x:c>
      <x:c r="AA83" s="4" t="str">
        <x:v>Biological chemical</x:v>
      </x:c>
      <x:c r="AB83" s="4" t="str">
        <x:v>Liquid</x:v>
      </x:c>
      <x:c r="AC83" s="4" t="str">
        <x:v>Author direction</x:v>
      </x:c>
      <x:c r="AD83" s="4" t="str">
        <x:f>LOWER(A83&amp;"; "&amp;B83&amp;"; "&amp;C83&amp;"; "&amp;D83&amp;"; "&amp;W83&amp;"; "&amp;X83&amp;"; "&amp;Y83&amp;"; "&amp;Z83&amp;"; "&amp;AA83&amp;"; "&amp;AB83&amp;"; "&amp;AC83&amp;"; "&amp;U83)</x:f>
        <x:v>proposal.bio.liquid_material; faunal liquid material (unspecified); resources; biological liquid material; chemical material; extracted material; fauna; chemical processing; biological chemical; liquid; author direction; </x:v>
      </x:c>
      <x:c r="AE83" s="4" t="str">
        <x:v>From current item description. Proposed uses retain their existing approval status.</x:v>
      </x:c>
    </x:row>
    <x:row r="84" ht="80" customHeight="1">
      <x:c r="A84" s="9" t="str">
        <x:v>proposal.chemical.digestive_etchant</x:v>
      </x:c>
      <x:c r="B84" s="9" t="str">
        <x:v>Digestive etchant</x:v>
      </x:c>
      <x:c r="C84" s="9" t="str">
        <x:v>Resources</x:v>
      </x:c>
      <x:c r="D84" s="9" t="str">
        <x:v>Faunal chemical concept</x:v>
      </x:c>
      <x:c r="E84" s="9" t="str">
        <x:v>New proposal</x:v>
      </x:c>
      <x:c r="F84" s="9" t="str">
        <x:v>Mineral separation and metal surface preparation</x:v>
      </x:c>
      <x:c r="G84" s="9" t="str">
        <x:v>None</x:v>
      </x:c>
      <x:c r="H84" s="9" t="str">
        <x:v>Contained Legger/local storage proposed</x:v>
      </x:c>
      <x:c r="I84" s="13"/>
      <x:c r="J84" s="15"/>
      <x:c r="K84" s="9" t="str">
        <x:v>Contained digestive liquor in geological feeders; exposes useful mineral compounds</x:v>
      </x:c>
      <x:c r="L84" s="9" t="str">
        <x:v>Qualitative material concept; no recipe authored</x:v>
      </x:c>
      <x:c r="M84" s="9" t="str">
        <x:v>Not implemented</x:v>
      </x:c>
      <x:c r="N84" s="9" t="str">
        <x:v>Corrosive tissue injury; inedible; Could damage containers and useful shell; reusable containment and selectivity need design</x:v>
      </x:c>
      <x:c r="O84" s="32"/>
      <x:c r="P84" s="32"/>
      <x:c r="Q84" s="32"/>
      <x:c r="R84" s="32"/>
      <x:c r="S84" s="32"/>
      <x:c r="T84" s="9" t="str">
        <x:v>Source draft describes digestive acids/catalysts; this harvestable agent and uses are new proposals</x:v>
      </x:c>
      <x:c r="U84" s="11" t="str">
        <x:v>surface finishing</x:v>
      </x:c>
      <x:c r="V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4" s="4" t="str">
        <x:v>Chemical material</x:v>
      </x:c>
      <x:c r="X84" s="4" t="str">
        <x:v>Extracted material</x:v>
      </x:c>
      <x:c r="Y84" s="4" t="str">
        <x:v>Fauna</x:v>
      </x:c>
      <x:c r="Z84" s="4" t="str">
        <x:v>Chemical processing</x:v>
      </x:c>
      <x:c r="AA84" s="4" t="str">
        <x:v>Biological chemical</x:v>
      </x:c>
      <x:c r="AB84" s="4" t="str">
        <x:v>Unresolved</x:v>
      </x:c>
      <x:c r="AC84" s="4" t="str">
        <x:v>Proposal</x:v>
      </x:c>
      <x:c r="AD84" s="4" t="str">
        <x:f>LOWER(A84&amp;"; "&amp;B84&amp;"; "&amp;C84&amp;"; "&amp;D84&amp;"; "&amp;W84&amp;"; "&amp;X84&amp;"; "&amp;Y84&amp;"; "&amp;Z84&amp;"; "&amp;AA84&amp;"; "&amp;AB84&amp;"; "&amp;AC84&amp;"; "&amp;U84)</x:f>
        <x:v>proposal.chemical.digestive_etchant; digestive etchant; resources; faunal chemical concept; chemical material; extracted material; fauna; chemical processing; biological chemical; unresolved; proposal; surface finishing</x:v>
      </x:c>
      <x:c r="AE84" s="4" t="str">
        <x:v>From current item description. Proposed uses retain their existing approval status.</x:v>
      </x:c>
    </x:row>
    <x:row r="85" ht="80" customHeight="1">
      <x:c r="A85" s="9" t="str">
        <x:v>proposal.chemical.husk_enzyme</x:v>
      </x:c>
      <x:c r="B85" s="9" t="str">
        <x:v>Husk-separation enzyme</x:v>
      </x:c>
      <x:c r="C85" s="9" t="str">
        <x:v>Resources</x:v>
      </x:c>
      <x:c r="D85" s="9" t="str">
        <x:v>Faunal chemical concept</x:v>
      </x:c>
      <x:c r="E85" s="9" t="str">
        <x:v>New proposal</x:v>
      </x:c>
      <x:c r="F85" s="9" t="str">
        <x:v>Help release chitin/icore fibers for paper and difficult pressed materials</x:v>
      </x:c>
      <x:c r="G85" s="9" t="str">
        <x:v>None</x:v>
      </x:c>
      <x:c r="H85" s="9" t="str">
        <x:v>Contained Legger/local storage proposed</x:v>
      </x:c>
      <x:c r="I85" s="13"/>
      <x:c r="J85" s="15"/>
      <x:c r="K85" s="9" t="str">
        <x:v>Proposed catalytic fraction associated with shell renewal or digestion</x:v>
      </x:c>
      <x:c r="L85" s="9" t="str">
        <x:v>Qualitative material concept; no recipe authored</x:v>
      </x:c>
      <x:c r="M85" s="9" t="str">
        <x:v>Not implemented</x:v>
      </x:c>
      <x:c r="N85" s="9" t="str">
        <x:v>Biologically active irritant; effects species-dependent; Slow specialist processing still required; must not turn abundant husks into easy cloth</x:v>
      </x:c>
      <x:c r="O85" s="32"/>
      <x:c r="P85" s="32"/>
      <x:c r="Q85" s="32"/>
      <x:c r="R85" s="32"/>
      <x:c r="S85" s="32"/>
      <x:c r="T85" s="9" t="str">
        <x:v>Source draft includes industrial enzymes, but fauna origin and this fiber application are new proposals</x:v>
      </x:c>
      <x:c r="U85" s="11" t="str">
        <x:v>paper making; textile processing</x:v>
      </x:c>
      <x:c r="V85" s="9" t="str">
        <x:v>New game brainstorm, October 14, 2026; source records are proposals. https://github.com/sleepyseamonster/Arc-Dust/blob/f6f98515c005dc3c73cccd9cbc031691745740c6/02-Arc-Dust-Worldbuilding/world/materials/chemical-processing-agents.md</x:v>
      </x:c>
      <x:c r="W85" s="4" t="str">
        <x:v>Chemical material</x:v>
      </x:c>
      <x:c r="X85" s="4" t="str">
        <x:v>Extracted material</x:v>
      </x:c>
      <x:c r="Y85" s="4" t="str">
        <x:v>Fauna</x:v>
      </x:c>
      <x:c r="Z85" s="4" t="str">
        <x:v>Fiber processing</x:v>
      </x:c>
      <x:c r="AA85" s="4" t="str">
        <x:v>Biological chemical</x:v>
      </x:c>
      <x:c r="AB85" s="4" t="str">
        <x:v>Unresolved</x:v>
      </x:c>
      <x:c r="AC85" s="4" t="str">
        <x:v>Proposal</x:v>
      </x:c>
      <x:c r="AD85" s="4" t="str">
        <x:f>LOWER(A85&amp;"; "&amp;B85&amp;"; "&amp;C85&amp;"; "&amp;D85&amp;"; "&amp;W85&amp;"; "&amp;X85&amp;"; "&amp;Y85&amp;"; "&amp;Z85&amp;"; "&amp;AA85&amp;"; "&amp;AB85&amp;"; "&amp;AC85&amp;"; "&amp;U85)</x:f>
        <x:v>proposal.chemical.husk_enzyme; husk-separation enzyme; resources; faunal chemical concept; chemical material; extracted material; fauna; fiber processing; biological chemical; unresolved; proposal; paper making; textile processing</x:v>
      </x:c>
      <x:c r="AE85" s="4" t="str">
        <x:v>From current item description. Proposed uses retain their existing approval status.</x:v>
      </x:c>
    </x:row>
    <x:row r="86" ht="80" customHeight="1">
      <x:c r="A86" s="9" t="str">
        <x:v>proposal.chemical.shell_binder</x:v>
      </x:c>
      <x:c r="B86" s="9" t="str">
        <x:v>Shell-binding secretion</x:v>
      </x:c>
      <x:c r="C86" s="9" t="str">
        <x:v>Resources</x:v>
      </x:c>
      <x:c r="D86" s="9" t="str">
        <x:v>Faunal chemical concept</x:v>
      </x:c>
      <x:c r="E86" s="9" t="str">
        <x:v>New proposal</x:v>
      </x:c>
      <x:c r="F86" s="9" t="str">
        <x:v>Bind mineral aggregate, shell laminates and pressed fiber materials</x:v>
      </x:c>
      <x:c r="G86" s="9" t="str">
        <x:v>None</x:v>
      </x:c>
      <x:c r="H86" s="9" t="str">
        <x:v>Contained Legger/local storage proposed</x:v>
      </x:c>
      <x:c r="I86" s="13"/>
      <x:c r="J86" s="15"/>
      <x:c r="K86" s="9" t="str">
        <x:v>Proposed armor-building secretion that binds deposited minerals</x:v>
      </x:c>
      <x:c r="L86" s="9" t="str">
        <x:v>Qualitative material concept; no recipe authored</x:v>
      </x:c>
      <x:c r="M86" s="9" t="str">
        <x:v>Not implemented</x:v>
      </x:c>
      <x:c r="N86" s="9" t="str">
        <x:v>Adheres to exposed surfaces; contaminated residue may be toxic; Durable bonding is a proposal; curing conditions and unwanted adhesion remain unresolved</x:v>
      </x:c>
      <x:c r="O86" s="32"/>
      <x:c r="P86" s="32"/>
      <x:c r="Q86" s="32"/>
      <x:c r="R86" s="32"/>
      <x:c r="S86" s="32"/>
      <x:c r="T86" s="9" t="str">
        <x:v>Armor-building organs and chitin-derived binders are source-draft seeds; secretion/product is new</x:v>
      </x:c>
      <x:c r="U86" s="11" t="str">
        <x:v>protective fabrication; textile processing</x:v>
      </x:c>
      <x:c r="V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W86" s="4" t="str">
        <x:v>Chemical material</x:v>
      </x:c>
      <x:c r="X86" s="4" t="str">
        <x:v>Extracted material</x:v>
      </x:c>
      <x:c r="Y86" s="4" t="str">
        <x:v>Fauna</x:v>
      </x:c>
      <x:c r="Z86" s="4" t="str">
        <x:v>Binding and construction</x:v>
      </x:c>
      <x:c r="AA86" s="4" t="str">
        <x:v>Biological chemical</x:v>
      </x:c>
      <x:c r="AB86" s="4" t="str">
        <x:v>Unresolved</x:v>
      </x:c>
      <x:c r="AC86" s="4" t="str">
        <x:v>Proposal</x:v>
      </x:c>
      <x:c r="AD86" s="4" t="str">
        <x:f>LOWER(A86&amp;"; "&amp;B86&amp;"; "&amp;C86&amp;"; "&amp;D86&amp;"; "&amp;W86&amp;"; "&amp;X86&amp;"; "&amp;Y86&amp;"; "&amp;Z86&amp;"; "&amp;AA86&amp;"; "&amp;AB86&amp;"; "&amp;AC86&amp;"; "&amp;U86)</x:f>
        <x:v>proposal.chemical.shell_binder; shell-binding secretion; resources; faunal chemical concept; chemical material; extracted material; fauna; binding and construction; biological chemical; unresolved; proposal; protective fabrication; textile processing</x:v>
      </x:c>
      <x:c r="AE86" s="4" t="str">
        <x:v>From current item description. Proposed uses retain their existing approval status.</x:v>
      </x:c>
    </x:row>
    <x:row r="87" ht="80" customHeight="1">
      <x:c r="A87" s="9" t="str">
        <x:v>proposal.chemical.clotting_compound</x:v>
      </x:c>
      <x:c r="B87" s="9" t="str">
        <x:v>Mineral clotting compound</x:v>
      </x:c>
      <x:c r="C87" s="9" t="str">
        <x:v>Resources</x:v>
      </x:c>
      <x:c r="D87" s="9" t="str">
        <x:v>Faunal chemical concept</x:v>
      </x:c>
      <x:c r="E87" s="9" t="str">
        <x:v>New proposal</x:v>
      </x:c>
      <x:c r="F87" s="9" t="str">
        <x:v>Quick hard-setting equipment patches and temporary container seals</x:v>
      </x:c>
      <x:c r="G87" s="9" t="str">
        <x:v>None</x:v>
      </x:c>
      <x:c r="H87" s="9" t="str">
        <x:v>Contained Legger/local storage proposed</x:v>
      </x:c>
      <x:c r="I87" s="13"/>
      <x:c r="J87" s="15"/>
      <x:c r="K87" s="9" t="str">
        <x:v>Ichor wound response; suspended minerals harden into a protective clot</x:v>
      </x:c>
      <x:c r="L87" s="9" t="str">
        <x:v>Qualitative material concept; no recipe authored</x:v>
      </x:c>
      <x:c r="M87" s="9" t="str">
        <x:v>Not implemented</x:v>
      </x:c>
      <x:c r="N87" s="9" t="str">
        <x:v>Not human-compatible medicine; contact/ingestion toxicity unresolved; Brittleness and shelf stability can distinguish it from a permanent binder</x:v>
      </x:c>
      <x:c r="O87" s="32"/>
      <x:c r="P87" s="32"/>
      <x:c r="Q87" s="32"/>
      <x:c r="R87" s="32"/>
      <x:c r="S87" s="32"/>
      <x:c r="T87" s="9" t="str">
        <x:v>Source draft describes mineral-hardened clots; repair-material use is new</x:v>
      </x:c>
      <x:c r="U87" s="11" t="str">
        <x:v>sealing</x:v>
      </x:c>
      <x:c r="V87" s="9" t="str">
        <x:v>New game brainstorm, October 14, 2026; source records are proposals. https://github.com/sleepyseamonster/Arc-Dust/blob/f6f98515c005dc3c73cccd9cbc031691745740c6/02-Arc-Dust-Worldbuilding/world/native-fauna-biology.md</x:v>
      </x:c>
      <x:c r="W87" s="4" t="str">
        <x:v>Chemical material</x:v>
      </x:c>
      <x:c r="X87" s="4" t="str">
        <x:v>Extracted material</x:v>
      </x:c>
      <x:c r="Y87" s="4" t="str">
        <x:v>Fauna</x:v>
      </x:c>
      <x:c r="Z87" s="4" t="str">
        <x:v>Equipment repair</x:v>
      </x:c>
      <x:c r="AA87" s="4" t="str">
        <x:v>Biological chemical</x:v>
      </x:c>
      <x:c r="AB87" s="4" t="str">
        <x:v>Unresolved</x:v>
      </x:c>
      <x:c r="AC87" s="4" t="str">
        <x:v>Proposal</x:v>
      </x:c>
      <x:c r="AD87" s="4" t="str">
        <x:f>LOWER(A87&amp;"; "&amp;B87&amp;"; "&amp;C87&amp;"; "&amp;D87&amp;"; "&amp;W87&amp;"; "&amp;X87&amp;"; "&amp;Y87&amp;"; "&amp;Z87&amp;"; "&amp;AA87&amp;"; "&amp;AB87&amp;"; "&amp;AC87&amp;"; "&amp;U87)</x:f>
        <x:v>proposal.chemical.clotting_compound; mineral clotting compound; resources; faunal chemical concept; chemical material; extracted material; fauna; equipment repair; biological chemical; unresolved; proposal; sealing</x:v>
      </x:c>
      <x:c r="AE87" s="4" t="str">
        <x:v>From current item description. Proposed uses retain their existing approval status.</x:v>
      </x:c>
    </x:row>
    <x:row r="88" ht="80" customHeight="1">
      <x:c r="A88" s="9" t="str">
        <x:v>proposal.chemical.mineral_ichor</x:v>
      </x:c>
      <x:c r="B88" s="9" t="str">
        <x:v>Mineral-rich ichor</x:v>
      </x:c>
      <x:c r="C88" s="9" t="str">
        <x:v>Resources</x:v>
      </x:c>
      <x:c r="D88" s="9" t="str">
        <x:v>Faunal chemical concept</x:v>
      </x:c>
      <x:c r="E88" s="9" t="str">
        <x:v>New proposal</x:v>
      </x:c>
      <x:c r="F88" s="9" t="str">
        <x:v>Potential feed for pigments, recovered mineral fractions and binder research</x:v>
      </x:c>
      <x:c r="G88" s="9" t="str">
        <x:v>None</x:v>
      </x:c>
      <x:c r="H88" s="9" t="str">
        <x:v>Contained Legger/local storage proposed</x:v>
      </x:c>
      <x:c r="I88" s="13"/>
      <x:c r="J88" s="15"/>
      <x:c r="K88" s="9" t="str">
        <x:v>Circulatory fluid carrying minerals, energy compounds and metabolic wastes</x:v>
      </x:c>
      <x:c r="L88" s="9" t="str">
        <x:v>Qualitative material concept; no recipe authored</x:v>
      </x:c>
      <x:c r="M88" s="9" t="str">
        <x:v>Not implemented</x:v>
      </x:c>
      <x:c r="N88" s="9" t="str">
        <x:v>Species-dependent toxicity and mineral contamination; not drinkable by default; Mixed contents vary by diet; do not assume a universal reagent or battery electrolyte</x:v>
      </x:c>
      <x:c r="O88" s="32"/>
      <x:c r="P88" s="32"/>
      <x:c r="Q88" s="32"/>
      <x:c r="R88" s="32"/>
      <x:c r="S88" s="32"/>
      <x:c r="T88" s="9" t="str">
        <x:v>Ichor contents are source-draft biology; separated material uses are new proposals</x:v>
      </x:c>
      <x:c r="U88" s="11" t="str">
        <x:v>decoration; ichor liquid not icore fiber</x:v>
      </x:c>
      <x:c r="V88" s="9" t="str">
        <x:v>New game brainstorm, October 14, 2026; source records are proposals. https://github.com/sleepyseamonster/Arc-Dust/blob/f6f98515c005dc3c73cccd9cbc031691745740c6/02-Arc-Dust-Worldbuilding/world/native-fauna-biology.md</x:v>
      </x:c>
      <x:c r="W88" s="4" t="str">
        <x:v>Chemical material</x:v>
      </x:c>
      <x:c r="X88" s="4" t="str">
        <x:v>Extracted material</x:v>
      </x:c>
      <x:c r="Y88" s="4" t="str">
        <x:v>Fauna</x:v>
      </x:c>
      <x:c r="Z88" s="4" t="str">
        <x:v>Chemical processing</x:v>
      </x:c>
      <x:c r="AA88" s="4" t="str">
        <x:v>Biological chemical</x:v>
      </x:c>
      <x:c r="AB88" s="4" t="str">
        <x:v>Liquid</x:v>
      </x:c>
      <x:c r="AC88" s="4" t="str">
        <x:v>Proposal</x:v>
      </x:c>
      <x:c r="AD88" s="4" t="str">
        <x:f>LOWER(A88&amp;"; "&amp;B88&amp;"; "&amp;C88&amp;"; "&amp;D88&amp;"; "&amp;W88&amp;"; "&amp;X88&amp;"; "&amp;Y88&amp;"; "&amp;Z88&amp;"; "&amp;AA88&amp;"; "&amp;AB88&amp;"; "&amp;AC88&amp;"; "&amp;U88)</x:f>
        <x:v>proposal.chemical.mineral_ichor; mineral-rich ichor; resources; faunal chemical concept; chemical material; extracted material; fauna; chemical processing; biological chemical; liquid; proposal; decoration; ichor liquid not icore fiber</x:v>
      </x:c>
      <x:c r="AE88" s="4" t="str">
        <x:v>From current item description. Proposed uses retain their existing approval status.</x:v>
      </x:c>
    </x:row>
    <x:row r="89" ht="80" customHeight="1">
      <x:c r="A89" s="9" t="str">
        <x:v>proposal.chemical.joint_lubricant</x:v>
      </x:c>
      <x:c r="B89" s="9" t="str">
        <x:v>Joint-lubricating secretion</x:v>
      </x:c>
      <x:c r="C89" s="9" t="str">
        <x:v>Resources</x:v>
      </x:c>
      <x:c r="D89" s="9" t="str">
        <x:v>Faunal chemical concept</x:v>
      </x:c>
      <x:c r="E89" s="9" t="str">
        <x:v>New proposal</x:v>
      </x:c>
      <x:c r="F89" s="9" t="str">
        <x:v>Dust-resistant equipment lubrication and flexible-seal conditioning</x:v>
      </x:c>
      <x:c r="G89" s="9" t="str">
        <x:v>None</x:v>
      </x:c>
      <x:c r="H89" s="9" t="str">
        <x:v>Contained Legger/local storage proposed</x:v>
      </x:c>
      <x:c r="I89" s="13"/>
      <x:c r="J89" s="15"/>
      <x:c r="K89" s="9" t="str">
        <x:v>Proposed secretion that protects sliding plate/joint surfaces</x:v>
      </x:c>
      <x:c r="L89" s="9" t="str">
        <x:v>Qualitative material concept; no recipe authored</x:v>
      </x:c>
      <x:c r="M89" s="9" t="str">
        <x:v>Not implemented</x:v>
      </x:c>
      <x:c r="N89" s="9" t="str">
        <x:v>Toxic if ingested; skin compatibility unapproved; Dust capture versus useful lubrication needs design; does not restore conventional fat anatomy</x:v>
      </x:c>
      <x:c r="O89" s="32"/>
      <x:c r="P89" s="32"/>
      <x:c r="Q89" s="32"/>
      <x:c r="R89" s="32"/>
      <x:c r="S89" s="32"/>
      <x:c r="T89" s="9" t="str">
        <x:v>New proposed secretion; source processing draft discusses biological oils without validating this anatomy</x:v>
      </x:c>
      <x:c r="U89" s="11" t="str">
        <x:v>sealing</x:v>
      </x:c>
      <x:c r="V89" s="9" t="str">
        <x:v>New game brainstorm, October 14, 2026; source records are proposals. https://github.com/sleepyseamonster/Arc-Dust/blob/f6f98515c005dc3c73cccd9cbc031691745740c6/02-Arc-Dust-Worldbuilding/world/materials/chemical-processing-agents.md</x:v>
      </x:c>
      <x:c r="W89" s="4" t="str">
        <x:v>Chemical material</x:v>
      </x:c>
      <x:c r="X89" s="4" t="str">
        <x:v>Extracted material</x:v>
      </x:c>
      <x:c r="Y89" s="4" t="str">
        <x:v>Fauna</x:v>
      </x:c>
      <x:c r="Z89" s="4" t="str">
        <x:v>Lubrication</x:v>
      </x:c>
      <x:c r="AA89" s="4" t="str">
        <x:v>Biological chemical</x:v>
      </x:c>
      <x:c r="AB89" s="4" t="str">
        <x:v>Unresolved</x:v>
      </x:c>
      <x:c r="AC89" s="4" t="str">
        <x:v>Proposal</x:v>
      </x:c>
      <x:c r="AD89" s="4" t="str">
        <x:f>LOWER(A89&amp;"; "&amp;B89&amp;"; "&amp;C89&amp;"; "&amp;D89&amp;"; "&amp;W89&amp;"; "&amp;X89&amp;"; "&amp;Y89&amp;"; "&amp;Z89&amp;"; "&amp;AA89&amp;"; "&amp;AB89&amp;"; "&amp;AC89&amp;"; "&amp;U89)</x:f>
        <x:v>proposal.chemical.joint_lubricant; joint-lubricating secretion; resources; faunal chemical concept; chemical material; extracted material; fauna; lubrication; biological chemical; unresolved; proposal; sealing</x:v>
      </x:c>
      <x:c r="AE89" s="4" t="str">
        <x:v>From current item description. Proposed uses retain their existing approval status.</x:v>
      </x:c>
    </x:row>
    <x:row r="90" ht="80" customHeight="1">
      <x:c r="A90" s="9" t="str">
        <x:v>proposal.chemical.insulating_secretion</x:v>
      </x:c>
      <x:c r="B90" s="9" t="str">
        <x:v>Insulating secretion</x:v>
      </x:c>
      <x:c r="C90" s="9" t="str">
        <x:v>Resources</x:v>
      </x:c>
      <x:c r="D90" s="9" t="str">
        <x:v>Faunal chemical concept</x:v>
      </x:c>
      <x:c r="E90" s="9" t="str">
        <x:v>New proposal</x:v>
      </x:c>
      <x:c r="F90" s="9" t="str">
        <x:v>Candidate electrical separators and equipment coating</x:v>
      </x:c>
      <x:c r="G90" s="9" t="str">
        <x:v>None</x:v>
      </x:c>
      <x:c r="H90" s="9" t="str">
        <x:v>Contained Legger/local storage proposed</x:v>
      </x:c>
      <x:c r="I90" s="13"/>
      <x:c r="J90" s="15"/>
      <x:c r="K90" s="9" t="str">
        <x:v>Proposed barrier layer that helps fauna manage electrical exposure</x:v>
      </x:c>
      <x:c r="L90" s="9" t="str">
        <x:v>Qualitative material concept; no recipe authored</x:v>
      </x:c>
      <x:c r="M90" s="9" t="str">
        <x:v>Not implemented</x:v>
      </x:c>
      <x:c r="N90" s="9" t="str">
        <x:v>Irritating/toxic residue; no human-contact assumption; Electrical behavior and wear are unproven; never blanket lightning immunity</x:v>
      </x:c>
      <x:c r="O90" s="32"/>
      <x:c r="P90" s="32"/>
      <x:c r="Q90" s="32"/>
      <x:c r="R90" s="32"/>
      <x:c r="S90" s="32"/>
      <x:c r="T90" s="9" t="str">
        <x:v>Source draft includes insulation/charge shedding; this material capability is a new proposal</x:v>
      </x:c>
      <x:c r="U90" s="11"/>
      <x:c r="V90" s="9" t="str">
        <x:v>New game brainstorm, October 14, 2026; source records are proposals. https://github.com/sleepyseamonster/Arc-Dust/blob/f6f98515c005dc3c73cccd9cbc031691745740c6/02-Arc-Dust-Worldbuilding/world/native-fauna-biology.md</x:v>
      </x:c>
      <x:c r="W90" s="4" t="str">
        <x:v>Chemical material</x:v>
      </x:c>
      <x:c r="X90" s="4" t="str">
        <x:v>Extracted material</x:v>
      </x:c>
      <x:c r="Y90" s="4" t="str">
        <x:v>Fauna</x:v>
      </x:c>
      <x:c r="Z90" s="4" t="str">
        <x:v>Electrical insulation</x:v>
      </x:c>
      <x:c r="AA90" s="4" t="str">
        <x:v>Biological chemical</x:v>
      </x:c>
      <x:c r="AB90" s="4" t="str">
        <x:v>Unresolved</x:v>
      </x:c>
      <x:c r="AC90" s="4" t="str">
        <x:v>Proposal</x:v>
      </x:c>
      <x:c r="AD90" s="4" t="str">
        <x:f>LOWER(A90&amp;"; "&amp;B90&amp;"; "&amp;C90&amp;"; "&amp;D90&amp;"; "&amp;W90&amp;"; "&amp;X90&amp;"; "&amp;Y90&amp;"; "&amp;Z90&amp;"; "&amp;AA90&amp;"; "&amp;AB90&amp;"; "&amp;AC90&amp;"; "&amp;U90)</x:f>
        <x:v>proposal.chemical.insulating_secretion; insulating secretion; resources; faunal chemical concept; chemical material; extracted material; fauna; electrical insulation; biological chemical; unresolved; proposal; </x:v>
      </x:c>
      <x:c r="AE90" s="4" t="str">
        <x:v>From current item description. Proposed uses retain their existing approval status.</x:v>
      </x:c>
    </x:row>
    <x:row r="91" ht="80" customHeight="1">
      <x:c r="A91" s="9" t="str">
        <x:v>proposal.chemical.conductive_gel</x:v>
      </x:c>
      <x:c r="B91" s="9" t="str">
        <x:v>Charge-conducting gel</x:v>
      </x:c>
      <x:c r="C91" s="9" t="str">
        <x:v>Resources</x:v>
      </x:c>
      <x:c r="D91" s="9" t="str">
        <x:v>Faunal chemical concept</x:v>
      </x:c>
      <x:c r="E91" s="9" t="str">
        <x:v>New proposal</x:v>
      </x:c>
      <x:c r="F91" s="9" t="str">
        <x:v>Candidate contained equipment contacts and sensing components</x:v>
      </x:c>
      <x:c r="G91" s="9" t="str">
        <x:v>None</x:v>
      </x:c>
      <x:c r="H91" s="9" t="str">
        <x:v>Contained Legger/local storage proposed</x:v>
      </x:c>
      <x:c r="I91" s="13"/>
      <x:c r="J91" s="15"/>
      <x:c r="K91" s="9" t="str">
        <x:v>Proposed contained medium supporting electroactive tissue</x:v>
      </x:c>
      <x:c r="L91" s="9" t="str">
        <x:v>Qualitative material concept; no recipe authored</x:v>
      </x:c>
      <x:c r="M91" s="9" t="str">
        <x:v>Not implemented</x:v>
      </x:c>
      <x:c r="N91" s="9" t="str">
        <x:v>Contact could create an unwanted charge path; chemically toxic; Can worsen charge exposure; no direct body application or power generation assumed</x:v>
      </x:c>
      <x:c r="O91" s="32"/>
      <x:c r="P91" s="32"/>
      <x:c r="Q91" s="32"/>
      <x:c r="R91" s="32"/>
      <x:c r="S91" s="32"/>
      <x:c r="T91" s="9" t="str">
        <x:v>Source draft has electroactive fibers and conductive tissue; gel and applications are new proposals</x:v>
      </x:c>
      <x:c r="U91" s="11"/>
      <x:c r="V91" s="9" t="str">
        <x:v>New game brainstorm, October 14, 2026; source records are proposals. https://github.com/sleepyseamonster/Arc-Dust/blob/f6f98515c005dc3c73cccd9cbc031691745740c6/02-Arc-Dust-Worldbuilding/world/native-fauna-biology.md</x:v>
      </x:c>
      <x:c r="W91" s="4" t="str">
        <x:v>Chemical material</x:v>
      </x:c>
      <x:c r="X91" s="4" t="str">
        <x:v>Extracted material</x:v>
      </x:c>
      <x:c r="Y91" s="4" t="str">
        <x:v>Fauna</x:v>
      </x:c>
      <x:c r="Z91" s="4" t="str">
        <x:v>Electrical conduction</x:v>
      </x:c>
      <x:c r="AA91" s="4" t="str">
        <x:v>Biological chemical</x:v>
      </x:c>
      <x:c r="AB91" s="4" t="str">
        <x:v>Gel</x:v>
      </x:c>
      <x:c r="AC91" s="4" t="str">
        <x:v>Proposal</x:v>
      </x:c>
      <x:c r="AD91" s="4" t="str">
        <x:f>LOWER(A91&amp;"; "&amp;B91&amp;"; "&amp;C91&amp;"; "&amp;D91&amp;"; "&amp;W91&amp;"; "&amp;X91&amp;"; "&amp;Y91&amp;"; "&amp;Z91&amp;"; "&amp;AA91&amp;"; "&amp;AB91&amp;"; "&amp;AC91&amp;"; "&amp;U91)</x:f>
        <x:v>proposal.chemical.conductive_gel; charge-conducting gel; resources; faunal chemical concept; chemical material; extracted material; fauna; electrical conduction; biological chemical; gel; proposal; </x:v>
      </x:c>
      <x:c r="AE91" s="4" t="str">
        <x:v>From current item description. Proposed uses retain their existing approval status.</x:v>
      </x:c>
    </x:row>
    <x:row r="92" ht="80" customHeight="1">
      <x:c r="A92" s="9" t="str">
        <x:v>proposal.chemical.molt_release</x:v>
      </x:c>
      <x:c r="B92" s="9" t="str">
        <x:v>Molt-release compound</x:v>
      </x:c>
      <x:c r="C92" s="9" t="str">
        <x:v>Resources</x:v>
      </x:c>
      <x:c r="D92" s="9" t="str">
        <x:v>Faunal chemical concept</x:v>
      </x:c>
      <x:c r="E92" s="9" t="str">
        <x:v>New proposal</x:v>
      </x:c>
      <x:c r="F92" s="9" t="str">
        <x:v>Controlled plate-layer release and husk surface preparation</x:v>
      </x:c>
      <x:c r="G92" s="9" t="str">
        <x:v>None</x:v>
      </x:c>
      <x:c r="H92" s="9" t="str">
        <x:v>Contained Legger/local storage proposed</x:v>
      </x:c>
      <x:c r="I92" s="13"/>
      <x:c r="J92" s="15"/>
      <x:c r="K92" s="9" t="str">
        <x:v>Proposed agent that separates old outer husk layers during renewal</x:v>
      </x:c>
      <x:c r="L92" s="9" t="str">
        <x:v>Qualitative material concept; no recipe authored</x:v>
      </x:c>
      <x:c r="M92" s="9" t="str">
        <x:v>Not implemented</x:v>
      </x:c>
      <x:c r="N92" s="9" t="str">
        <x:v>Tissue/surface damage on contact; species-dependent; May spoil recovered fibers or structural plate; usefulness must differ from enzyme fraction</x:v>
      </x:c>
      <x:c r="O92" s="32"/>
      <x:c r="P92" s="32"/>
      <x:c r="Q92" s="32"/>
      <x:c r="R92" s="32"/>
      <x:c r="S92" s="32"/>
      <x:c r="T92" s="9" t="str">
        <x:v>New biological/material proposal; no specific molt chemistry established</x:v>
      </x:c>
      <x:c r="U92" s="11" t="str">
        <x:v>fiber processing</x:v>
      </x:c>
      <x:c r="V92" s="9" t="str">
        <x:v>New game brainstorm, October 14, 2026; source records are proposals. https://github.com/sleepyseamonster/Arc-Dust/blob/f6f98515c005dc3c73cccd9cbc031691745740c6/02-Arc-Dust-Worldbuilding/world/native-fauna-biology.md</x:v>
      </x:c>
      <x:c r="W92" s="4" t="str">
        <x:v>Chemical material</x:v>
      </x:c>
      <x:c r="X92" s="4" t="str">
        <x:v>Extracted material</x:v>
      </x:c>
      <x:c r="Y92" s="4" t="str">
        <x:v>Fauna</x:v>
      </x:c>
      <x:c r="Z92" s="4" t="str">
        <x:v>Surface finishing</x:v>
      </x:c>
      <x:c r="AA92" s="4" t="str">
        <x:v>Biological chemical</x:v>
      </x:c>
      <x:c r="AB92" s="4" t="str">
        <x:v>Unresolved</x:v>
      </x:c>
      <x:c r="AC92" s="4" t="str">
        <x:v>Proposal</x:v>
      </x:c>
      <x:c r="AD92" s="4" t="str">
        <x:f>LOWER(A92&amp;"; "&amp;B92&amp;"; "&amp;C92&amp;"; "&amp;D92&amp;"; "&amp;W92&amp;"; "&amp;X92&amp;"; "&amp;Y92&amp;"; "&amp;Z92&amp;"; "&amp;AA92&amp;"; "&amp;AB92&amp;"; "&amp;AC92&amp;"; "&amp;U92)</x:f>
        <x:v>proposal.chemical.molt_release; molt-release compound; resources; faunal chemical concept; chemical material; extracted material; fauna; surface finishing; biological chemical; unresolved; proposal; fiber processing</x:v>
      </x:c>
      <x:c r="AE92" s="4" t="str">
        <x:v>From current item description. Proposed uses retain their existing approval status.</x:v>
      </x:c>
    </x:row>
    <x:row r="93" ht="80" customHeight="1">
      <x:c r="A93" s="9" t="str">
        <x:v>proposal.chemical.defensive_irritant</x:v>
      </x:c>
      <x:c r="B93" s="9" t="str">
        <x:v>Defensive irritant secretion</x:v>
      </x:c>
      <x:c r="C93" s="9" t="str">
        <x:v>Resources</x:v>
      </x:c>
      <x:c r="D93" s="9" t="str">
        <x:v>Faunal chemical concept</x:v>
      </x:c>
      <x:c r="E93" s="9" t="str">
        <x:v>New proposal</x:v>
      </x:c>
      <x:c r="F93" s="9" t="str">
        <x:v>Candidate exclusion coatings around equipment or stored materials</x:v>
      </x:c>
      <x:c r="G93" s="9" t="str">
        <x:v>None</x:v>
      </x:c>
      <x:c r="H93" s="9" t="str">
        <x:v>Contained Legger/local storage proposed</x:v>
      </x:c>
      <x:c r="I93" s="13"/>
      <x:c r="J93" s="15"/>
      <x:c r="K93" s="9" t="str">
        <x:v>Proposed deterrent gland output in defensive species</x:v>
      </x:c>
      <x:c r="L93" s="9" t="str">
        <x:v>Qualitative material concept; no recipe authored</x:v>
      </x:c>
      <x:c r="M93" s="9" t="str">
        <x:v>Not implemented</x:v>
      </x:c>
      <x:c r="N93" s="9" t="str">
        <x:v>Painful surface irritation and temporary sensory disruption; Repellent target response is unproven; deliberate containment only, no ambient liquid pools</x:v>
      </x:c>
      <x:c r="O93" s="32"/>
      <x:c r="P93" s="32"/>
      <x:c r="Q93" s="32"/>
      <x:c r="R93" s="32"/>
      <x:c r="S93" s="32"/>
      <x:c r="T93" s="9" t="str">
        <x:v>New toxin and application proposal; not assigned to any existing species</x:v>
      </x:c>
      <x:c r="U93" s="11"/>
      <x:c r="V93" s="9" t="str">
        <x:v>New game brainstorm, October 14, 2026; source records are proposals. https://github.com/sleepyseamonster/Arc-Dust/blob/f6f98515c005dc3c73cccd9cbc031691745740c6/02-Arc-Dust-Worldbuilding/world/native-fauna-biology.md</x:v>
      </x:c>
      <x:c r="W93" s="4" t="str">
        <x:v>Chemical material</x:v>
      </x:c>
      <x:c r="X93" s="4" t="str">
        <x:v>Extracted material</x:v>
      </x:c>
      <x:c r="Y93" s="4" t="str">
        <x:v>Fauna</x:v>
      </x:c>
      <x:c r="Z93" s="4" t="str">
        <x:v>Material exclusion</x:v>
      </x:c>
      <x:c r="AA93" s="4" t="str">
        <x:v>Biological chemical</x:v>
      </x:c>
      <x:c r="AB93" s="4" t="str">
        <x:v>Unresolved</x:v>
      </x:c>
      <x:c r="AC93" s="4" t="str">
        <x:v>Proposal</x:v>
      </x:c>
      <x:c r="AD93" s="4" t="str">
        <x:f>LOWER(A93&amp;"; "&amp;B93&amp;"; "&amp;C93&amp;"; "&amp;D93&amp;"; "&amp;W93&amp;"; "&amp;X93&amp;"; "&amp;Y93&amp;"; "&amp;Z93&amp;"; "&amp;AA93&amp;"; "&amp;AB93&amp;"; "&amp;AC93&amp;"; "&amp;U93)</x:f>
        <x:v>proposal.chemical.defensive_irritant; defensive irritant secretion; resources; faunal chemical concept; chemical material; extracted material; fauna; material exclusion; biological chemical; unresolved; proposal; </x:v>
      </x:c>
      <x:c r="AE93" s="4" t="str">
        <x:v>From current item description. Proposed uses retain their existing approval status.</x:v>
      </x:c>
    </x:row>
    <x:row r="94" ht="80" customHeight="1">
      <x:c r="A94" s="9" t="str">
        <x:v>proposal.chemical.disabling_venom</x:v>
      </x:c>
      <x:c r="B94" s="9" t="str">
        <x:v>Disabling venom fraction</x:v>
      </x:c>
      <x:c r="C94" s="9" t="str">
        <x:v>Resources</x:v>
      </x:c>
      <x:c r="D94" s="9" t="str">
        <x:v>Faunal chemical concept</x:v>
      </x:c>
      <x:c r="E94" s="9" t="str">
        <x:v>New proposal</x:v>
      </x:c>
      <x:c r="F94" s="9" t="str">
        <x:v>Candidate specialist trade/sample material for later design</x:v>
      </x:c>
      <x:c r="G94" s="9" t="str">
        <x:v>None</x:v>
      </x:c>
      <x:c r="H94" s="9" t="str">
        <x:v>Contained Legger/local storage proposed</x:v>
      </x:c>
      <x:c r="I94" s="13"/>
      <x:c r="J94" s="15"/>
      <x:c r="K94" s="9" t="str">
        <x:v>Proposed specialized predator secretion for subduing native prey</x:v>
      </x:c>
      <x:c r="L94" s="9" t="str">
        <x:v>Qualitative material concept; no recipe authored</x:v>
      </x:c>
      <x:c r="M94" s="9" t="str">
        <x:v>Not implemented</x:v>
      </x:c>
      <x:c r="N94" s="9" t="str">
        <x:v>Neurological disruption; human severity undefined; No human/animal potency equivalence, cure, delivery method or combat system established</x:v>
      </x:c>
      <x:c r="O94" s="32"/>
      <x:c r="P94" s="32"/>
      <x:c r="Q94" s="32"/>
      <x:c r="R94" s="32"/>
      <x:c r="S94" s="32"/>
      <x:c r="T94" s="9" t="str">
        <x:v>New proposal; source predation does not establish a specific venom</x:v>
      </x:c>
      <x:c r="U94" s="11"/>
      <x:c r="V94" s="9" t="str">
        <x:v>New game brainstorm, October 14, 2026; source records are proposals. https://github.com/sleepyseamonster/Arc-Dust/blob/f6f98515c005dc3c73cccd9cbc031691745740c6/02-Arc-Dust-Worldbuilding/world/native-fauna-biology.md</x:v>
      </x:c>
      <x:c r="W94" s="4" t="str">
        <x:v>Chemical material</x:v>
      </x:c>
      <x:c r="X94" s="4" t="str">
        <x:v>Extracted material</x:v>
      </x:c>
      <x:c r="Y94" s="4" t="str">
        <x:v>Fauna</x:v>
      </x:c>
      <x:c r="Z94" s="4" t="str">
        <x:v>Specialist samples</x:v>
      </x:c>
      <x:c r="AA94" s="4" t="str">
        <x:v>Biological chemical</x:v>
      </x:c>
      <x:c r="AB94" s="4" t="str">
        <x:v>Unresolved</x:v>
      </x:c>
      <x:c r="AC94" s="4" t="str">
        <x:v>Proposal</x:v>
      </x:c>
      <x:c r="AD94" s="4" t="str">
        <x:f>LOWER(A94&amp;"; "&amp;B94&amp;"; "&amp;C94&amp;"; "&amp;D94&amp;"; "&amp;W94&amp;"; "&amp;X94&amp;"; "&amp;Y94&amp;"; "&amp;Z94&amp;"; "&amp;AA94&amp;"; "&amp;AB94&amp;"; "&amp;AC94&amp;"; "&amp;U94)</x:f>
        <x:v>proposal.chemical.disabling_venom; disabling venom fraction; resources; faunal chemical concept; chemical material; extracted material; fauna; specialist samples; biological chemical; unresolved; proposal; </x:v>
      </x:c>
      <x:c r="AE94" s="4" t="str">
        <x:v>From current item description. Proposed uses retain their existing approval status.</x:v>
      </x:c>
    </x:row>
    <x:row r="95" ht="80" customHeight="1">
      <x:c r="A95" s="9" t="str">
        <x:v>proposal.chemical.scent_marker</x:v>
      </x:c>
      <x:c r="B95" s="9" t="str">
        <x:v>Chemical scent marker</x:v>
      </x:c>
      <x:c r="C95" s="9" t="str">
        <x:v>Resources</x:v>
      </x:c>
      <x:c r="D95" s="9" t="str">
        <x:v>Faunal chemical concept</x:v>
      </x:c>
      <x:c r="E95" s="9" t="str">
        <x:v>New proposal</x:v>
      </x:c>
      <x:c r="F95" s="9" t="str">
        <x:v>Possible lure, trail concealment or animal-avoidance research</x:v>
      </x:c>
      <x:c r="G95" s="9" t="str">
        <x:v>None</x:v>
      </x:c>
      <x:c r="H95" s="9" t="str">
        <x:v>Contained Legger/local storage proposed</x:v>
      </x:c>
      <x:c r="I95" s="13"/>
      <x:c r="J95" s="15"/>
      <x:c r="K95" s="9" t="str">
        <x:v>Proposed territorial or social signal secretion</x:v>
      </x:c>
      <x:c r="L95" s="9" t="str">
        <x:v>Qualitative material concept; no recipe authored</x:v>
      </x:c>
      <x:c r="M95" s="9" t="str">
        <x:v>Not implemented</x:v>
      </x:c>
      <x:c r="N95" s="9" t="str">
        <x:v>Irritant or toxic to humans despite its signaling role; Species-specific response; a signal may attract unwanted animals rather than repel them</x:v>
      </x:c>
      <x:c r="O95" s="32"/>
      <x:c r="P95" s="32"/>
      <x:c r="Q95" s="32"/>
      <x:c r="R95" s="32"/>
      <x:c r="S95" s="32"/>
      <x:c r="T95" s="9" t="str">
        <x:v>New proposal; no accepted behavioral response or universal bait chemistry</x:v>
      </x:c>
      <x:c r="U95" s="11"/>
      <x:c r="V95" s="9" t="str">
        <x:v>New game brainstorm, October 14, 2026; source records are proposals. https://github.com/sleepyseamonster/Arc-Dust/blob/f6f98515c005dc3c73cccd9cbc031691745740c6/02-Arc-Dust-Worldbuilding/world/native-fauna-biology.md</x:v>
      </x:c>
      <x:c r="W95" s="4" t="str">
        <x:v>Chemical material</x:v>
      </x:c>
      <x:c r="X95" s="4" t="str">
        <x:v>Extracted material</x:v>
      </x:c>
      <x:c r="Y95" s="4" t="str">
        <x:v>Fauna</x:v>
      </x:c>
      <x:c r="Z95" s="4" t="str">
        <x:v>Fauna interaction</x:v>
      </x:c>
      <x:c r="AA95" s="4" t="str">
        <x:v>Biological chemical</x:v>
      </x:c>
      <x:c r="AB95" s="4" t="str">
        <x:v>Unresolved</x:v>
      </x:c>
      <x:c r="AC95" s="4" t="str">
        <x:v>Proposal</x:v>
      </x:c>
      <x:c r="AD95" s="4" t="str">
        <x:f>LOWER(A95&amp;"; "&amp;B95&amp;"; "&amp;C95&amp;"; "&amp;D95&amp;"; "&amp;W95&amp;"; "&amp;X95&amp;"; "&amp;Y95&amp;"; "&amp;Z95&amp;"; "&amp;AA95&amp;"; "&amp;AB95&amp;"; "&amp;AC95&amp;"; "&amp;U95)</x:f>
        <x:v>proposal.chemical.scent_marker; chemical scent marker; resources; faunal chemical concept; chemical material; extracted material; fauna; fauna interaction; biological chemical; unresolved; proposal; </x:v>
      </x:c>
      <x:c r="AE95" s="4" t="str">
        <x:v>From current item description. Proposed uses retain their existing approval status.</x:v>
      </x:c>
    </x:row>
    <x:row r="96" ht="100" customHeight="1">
      <x:c r="A96" s="9" t="str">
        <x:v>proposal.container.sample_vial</x:v>
      </x:c>
      <x:c r="B96" s="9" t="str">
        <x:v>Clear sample vial</x:v>
      </x:c>
      <x:c r="C96" s="9" t="str">
        <x:v>Containers</x:v>
      </x:c>
      <x:c r="D96" s="9" t="str">
        <x:v>Primary vessel</x:v>
      </x:c>
      <x:c r="E96" s="9" t="str">
        <x:v>New proposal</x:v>
      </x:c>
      <x:c r="F96" s="9" t="str">
        <x:v>Inspect a small ichor or chemical sample without opening it</x:v>
      </x:c>
      <x:c r="G96" s="9" t="str">
        <x:v>None</x:v>
      </x:c>
      <x:c r="H96" s="9" t="str">
        <x:v>Filled raw-resource vessel: Legger/local owner; other carrier eligibility TBD</x:v>
      </x:c>
      <x:c r="I96" s="13"/>
      <x:c r="J96" s="15"/>
      <x:c r="K96" s="9" t="str">
        <x:v>Glassworker/fabricator or salvage candidate; no recipe authored</x:v>
      </x:c>
      <x:c r="L96" s="9" t="str">
        <x:v>Materials: Scarce clear glass</x:v>
      </x:c>
      <x:c r="M96" s="9" t="str">
        <x:v>Not implemented</x:v>
      </x:c>
      <x:c r="N96" s="9" t="str">
        <x:v>Clear glass cost; liquid compatibility and fill limit unapproved</x:v>
      </x:c>
      <x:c r="O96" s="36"/>
      <x:c r="P96" s="36"/>
      <x:c r="Q96" s="36"/>
      <x:c r="R96" s="36"/>
      <x:c r="S96" s="36"/>
      <x:c r="T96" s="9" t="str">
        <x:v>Qualitative size: Small sample. Closure: Matched stopper with retained cover proposed. Contents: Species-tagged ichor; compatible chemical samples</x:v>
      </x:c>
      <x:c r="U96" s="11" t="str">
        <x:v>inspection</x:v>
      </x:c>
      <x:c r="V96" s="9" t="str">
        <x:v>New game proposal, October 14, 2026. Glass draft supports costly transparent material; this vessel is a new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6" s="4" t="str">
        <x:v>Container</x:v>
      </x:c>
      <x:c r="X96" s="4" t="str">
        <x:v>Finished item</x:v>
      </x:c>
      <x:c r="Y96" s="4" t="str">
        <x:v>Manufactured / unresolved</x:v>
      </x:c>
      <x:c r="Z96" s="4" t="str">
        <x:v>Liquid and bulk containment</x:v>
      </x:c>
      <x:c r="AA96" s="4" t="str">
        <x:v>Glass</x:v>
      </x:c>
      <x:c r="AB96" s="4" t="str">
        <x:v>Solid part</x:v>
      </x:c>
      <x:c r="AC96" s="4" t="str">
        <x:v>Proposal</x:v>
      </x:c>
      <x:c r="AD96" s="4" t="str">
        <x:f>LOWER(A96&amp;"; "&amp;B96&amp;"; "&amp;C96&amp;"; "&amp;D96&amp;"; "&amp;W96&amp;"; "&amp;X96&amp;"; "&amp;Y96&amp;"; "&amp;Z96&amp;"; "&amp;AA96&amp;"; "&amp;AB96&amp;"; "&amp;AC96&amp;"; "&amp;U96)</x:f>
        <x:v>proposal.container.sample_vial; clear sample vial; containers; primary vessel; container; finished item; manufactured / unresolved; liquid and bulk containment; glass; solid part; proposal; inspection</x:v>
      </x:c>
      <x:c r="AE96" s="4" t="str">
        <x:v>From current item description. Proposed uses retain their existing approval status.</x:v>
      </x:c>
    </x:row>
    <x:row r="97" ht="100" customHeight="1">
      <x:c r="A97" s="9" t="str">
        <x:v>proposal.container.reagent_bottle</x:v>
      </x:c>
      <x:c r="B97" s="9" t="str">
        <x:v>Opaque reagent bottle</x:v>
      </x:c>
      <x:c r="C97" s="9" t="str">
        <x:v>Containers</x:v>
      </x:c>
      <x:c r="D97" s="9" t="str">
        <x:v>Primary vessel</x:v>
      </x:c>
      <x:c r="E97" s="9" t="str">
        <x:v>New proposal</x:v>
      </x:c>
      <x:c r="F97" s="9" t="str">
        <x:v>Everyday transport of one known material</x:v>
      </x:c>
      <x:c r="G97" s="9" t="str">
        <x:v>None</x:v>
      </x:c>
      <x:c r="H97" s="9" t="str">
        <x:v>Filled raw-resource vessel: Legger/local owner; other carrier eligibility TBD</x:v>
      </x:c>
      <x:c r="I97" s="13"/>
      <x:c r="J97" s="15"/>
      <x:c r="K97" s="9" t="str">
        <x:v>Glassworker/fabricator or salvage candidate; no recipe authored</x:v>
      </x:c>
      <x:c r="L97" s="9" t="str">
        <x:v>Materials: Opaque mineral glass; shell/metal cap</x:v>
      </x:c>
      <x:c r="M97" s="9" t="str">
        <x:v>Not implemented</x:v>
      </x:c>
      <x:c r="N97" s="9" t="str">
        <x:v>Cannot inspect contents through the wall; external identity label matters</x:v>
      </x:c>
      <x:c r="O97" s="36"/>
      <x:c r="P97" s="36"/>
      <x:c r="Q97" s="36"/>
      <x:c r="R97" s="36"/>
      <x:c r="S97" s="36"/>
      <x:c r="T97" s="9" t="str">
        <x:v>Qualitative size: Hand-sized. Closure: Compression cap and compatible seat proposed. Contents: One identified ichor or reagent batch</x:v>
      </x:c>
      <x:c r="U97" s="11"/>
      <x:c r="V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7" s="4" t="str">
        <x:v>Container</x:v>
      </x:c>
      <x:c r="X97" s="4" t="str">
        <x:v>Finished item</x:v>
      </x:c>
      <x:c r="Y97" s="4" t="str">
        <x:v>Manufactured / unresolved</x:v>
      </x:c>
      <x:c r="Z97" s="4" t="str">
        <x:v>Liquid and bulk containment</x:v>
      </x:c>
      <x:c r="AA97" s="4" t="str">
        <x:v>Glass</x:v>
      </x:c>
      <x:c r="AB97" s="4" t="str">
        <x:v>Solid part</x:v>
      </x:c>
      <x:c r="AC97" s="4" t="str">
        <x:v>Proposal</x:v>
      </x:c>
      <x:c r="AD97" s="4" t="str">
        <x:f>LOWER(A97&amp;"; "&amp;B97&amp;"; "&amp;C97&amp;"; "&amp;D97&amp;"; "&amp;W97&amp;"; "&amp;X97&amp;"; "&amp;Y97&amp;"; "&amp;Z97&amp;"; "&amp;AA97&amp;"; "&amp;AB97&amp;"; "&amp;AC97&amp;"; "&amp;U97)</x:f>
        <x:v>proposal.container.reagent_bottle; opaque reagent bottle; containers; primary vessel; container; finished item; manufactured / unresolved; liquid and bulk containment; glass; solid part; proposal; </x:v>
      </x:c>
      <x:c r="AE97" s="4" t="str">
        <x:v>From current item description. Proposed uses retain their existing approval status.</x:v>
      </x:c>
    </x:row>
    <x:row r="98" ht="100" customHeight="1">
      <x:c r="A98" s="9" t="str">
        <x:v>proposal.container.wide_jar</x:v>
      </x:c>
      <x:c r="B98" s="9" t="str">
        <x:v>Wide-mouth sample jar</x:v>
      </x:c>
      <x:c r="C98" s="9" t="str">
        <x:v>Containers</x:v>
      </x:c>
      <x:c r="D98" s="9" t="str">
        <x:v>Primary vessel</x:v>
      </x:c>
      <x:c r="E98" s="9" t="str">
        <x:v>New proposal</x:v>
      </x:c>
      <x:c r="F98" s="9" t="str">
        <x:v>Carry thick gels, clot samples and mineral-rich slurry</x:v>
      </x:c>
      <x:c r="G98" s="9" t="str">
        <x:v>None</x:v>
      </x:c>
      <x:c r="H98" s="9" t="str">
        <x:v>Filled raw-resource vessel: Legger/local owner; other carrier eligibility TBD</x:v>
      </x:c>
      <x:c r="I98" s="13"/>
      <x:c r="J98" s="15"/>
      <x:c r="K98" s="9" t="str">
        <x:v>Glassworker/fabricator or salvage candidate; no recipe authored</x:v>
      </x:c>
      <x:c r="L98" s="9" t="str">
        <x:v>Materials: Glass body; rigid broad lid</x:v>
      </x:c>
      <x:c r="M98" s="9" t="str">
        <x:v>Not implemented</x:v>
      </x:c>
      <x:c r="N98" s="9" t="str">
        <x:v>Wide opening aids access but makes transfers less controlled; no scoop rules set</x:v>
      </x:c>
      <x:c r="O98" s="36"/>
      <x:c r="P98" s="36"/>
      <x:c r="Q98" s="36"/>
      <x:c r="R98" s="36"/>
      <x:c r="S98" s="36"/>
      <x:c r="T98" s="9" t="str">
        <x:v>Qualitative size: Small to medium. Closure: Broad fitted lid with compatible sealing seat. Contents: Viscous material or solid/liquid sample</x:v>
      </x:c>
      <x:c r="U98" s="11"/>
      <x:c r="V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8" s="4" t="str">
        <x:v>Container</x:v>
      </x:c>
      <x:c r="X98" s="4" t="str">
        <x:v>Finished item</x:v>
      </x:c>
      <x:c r="Y98" s="4" t="str">
        <x:v>Manufactured / unresolved</x:v>
      </x:c>
      <x:c r="Z98" s="4" t="str">
        <x:v>Liquid and bulk containment</x:v>
      </x:c>
      <x:c r="AA98" s="4" t="str">
        <x:v>Glass</x:v>
      </x:c>
      <x:c r="AB98" s="4" t="str">
        <x:v>Solid part</x:v>
      </x:c>
      <x:c r="AC98" s="4" t="str">
        <x:v>Proposal</x:v>
      </x:c>
      <x:c r="AD98" s="4" t="str">
        <x:f>LOWER(A98&amp;"; "&amp;B98&amp;"; "&amp;C98&amp;"; "&amp;D98&amp;"; "&amp;W98&amp;"; "&amp;X98&amp;"; "&amp;Y98&amp;"; "&amp;Z98&amp;"; "&amp;AA98&amp;"; "&amp;AB98&amp;"; "&amp;AC98&amp;"; "&amp;U98)</x:f>
        <x:v>proposal.container.wide_jar; wide-mouth sample jar; containers; primary vessel; container; finished item; manufactured / unresolved; liquid and bulk containment; glass; solid part; proposal; </x:v>
      </x:c>
      <x:c r="AE98" s="4" t="str">
        <x:v>From current item description. Proposed uses retain their existing approval status.</x:v>
      </x:c>
    </x:row>
    <x:row r="99" ht="100" customHeight="1">
      <x:c r="A99" s="9" t="str">
        <x:v>proposal.container.ampoule</x:v>
      </x:c>
      <x:c r="B99" s="9" t="str">
        <x:v>Sealed sample ampoule</x:v>
      </x:c>
      <x:c r="C99" s="9" t="str">
        <x:v>Containers</x:v>
      </x:c>
      <x:c r="D99" s="9" t="str">
        <x:v>Primary vessel</x:v>
      </x:c>
      <x:c r="E99" s="9" t="str">
        <x:v>New proposal</x:v>
      </x:c>
      <x:c r="F99" s="9" t="str">
        <x:v>Preserve an isolated small specimen for later analysis or trade</x:v>
      </x:c>
      <x:c r="G99" s="9" t="str">
        <x:v>None</x:v>
      </x:c>
      <x:c r="H99" s="9" t="str">
        <x:v>Filled raw-resource vessel: Legger/local owner; other carrier eligibility TBD</x:v>
      </x:c>
      <x:c r="I99" s="13"/>
      <x:c r="J99" s="15"/>
      <x:c r="K99" s="9" t="str">
        <x:v>Glassworker/fabricator or salvage candidate; no recipe authored</x:v>
      </x:c>
      <x:c r="L99" s="9" t="str">
        <x:v>Materials: Sealed clear glass</x:v>
      </x:c>
      <x:c r="M99" s="9" t="str">
        <x:v>Not implemented</x:v>
      </x:c>
      <x:c r="N99" s="9" t="str">
        <x:v>Opening and reuse undecided; no mandatory single-use depletion rule approved</x:v>
      </x:c>
      <x:c r="O99" s="36"/>
      <x:c r="P99" s="36"/>
      <x:c r="Q99" s="36"/>
      <x:c r="R99" s="36"/>
      <x:c r="S99" s="36"/>
      <x:c r="T99" s="9" t="str">
        <x:v>Qualitative size: Very small. Closure: Factory/workshop sealed. Contents: One specimen; chemistry compatibility unresolved</x:v>
      </x:c>
      <x:c r="U99" s="11"/>
      <x:c r="V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99" s="4" t="str">
        <x:v>Container</x:v>
      </x:c>
      <x:c r="X99" s="4" t="str">
        <x:v>Finished item</x:v>
      </x:c>
      <x:c r="Y99" s="4" t="str">
        <x:v>Manufactured / unresolved</x:v>
      </x:c>
      <x:c r="Z99" s="4" t="str">
        <x:v>Liquid and bulk containment</x:v>
      </x:c>
      <x:c r="AA99" s="4" t="str">
        <x:v>Glass</x:v>
      </x:c>
      <x:c r="AB99" s="4" t="str">
        <x:v>Solid part</x:v>
      </x:c>
      <x:c r="AC99" s="4" t="str">
        <x:v>Proposal</x:v>
      </x:c>
      <x:c r="AD99" s="4" t="str">
        <x:f>LOWER(A99&amp;"; "&amp;B99&amp;"; "&amp;C99&amp;"; "&amp;D99&amp;"; "&amp;W99&amp;"; "&amp;X99&amp;"; "&amp;Y99&amp;"; "&amp;Z99&amp;"; "&amp;AA99&amp;"; "&amp;AB99&amp;"; "&amp;AC99&amp;"; "&amp;U99)</x:f>
        <x:v>proposal.container.ampoule; sealed sample ampoule; containers; primary vessel; container; finished item; manufactured / unresolved; liquid and bulk containment; glass; solid part; proposal; </x:v>
      </x:c>
      <x:c r="AE99" s="4" t="str">
        <x:v>From current item description. Proposed uses retain their existing approval status.</x:v>
      </x:c>
    </x:row>
    <x:row r="100" ht="100" customHeight="1">
      <x:c r="A100" s="9" t="str">
        <x:v>proposal.container.marked_flask</x:v>
      </x:c>
      <x:c r="B100" s="9" t="str">
        <x:v>Marked glass flask</x:v>
      </x:c>
      <x:c r="C100" s="9" t="str">
        <x:v>Containers</x:v>
      </x:c>
      <x:c r="D100" s="9" t="str">
        <x:v>Primary vessel</x:v>
      </x:c>
      <x:c r="E100" s="9" t="str">
        <x:v>New proposal</x:v>
      </x:c>
      <x:c r="F100" s="9" t="str">
        <x:v>Read fill and compare a specimen before transfer</x:v>
      </x:c>
      <x:c r="G100" s="9" t="str">
        <x:v>None</x:v>
      </x:c>
      <x:c r="H100" s="9" t="str">
        <x:v>Filled raw-resource vessel: Legger/local owner; other carrier eligibility TBD</x:v>
      </x:c>
      <x:c r="I100" s="13"/>
      <x:c r="J100" s="15"/>
      <x:c r="K100" s="9" t="str">
        <x:v>Glassworker/fabricator or salvage candidate; no recipe authored</x:v>
      </x:c>
      <x:c r="L100" s="9" t="str">
        <x:v>Materials: Clear glass with etched marks</x:v>
      </x:c>
      <x:c r="M100" s="9" t="str">
        <x:v>Not implemented</x:v>
      </x:c>
      <x:c r="N100" s="9" t="str">
        <x:v>Marks do not establish numeric volume, chemistry analysis or automatic quality grading</x:v>
      </x:c>
      <x:c r="O100" s="36"/>
      <x:c r="P100" s="36"/>
      <x:c r="Q100" s="36"/>
      <x:c r="R100" s="36"/>
      <x:c r="S100" s="36"/>
      <x:c r="T100" s="9" t="str">
        <x:v>Qualitative size: Small sample / workshop. Closure: Matched stopper proposed. Contents: Compatible samples and liquids</x:v>
      </x:c>
      <x:c r="U100" s="11" t="str">
        <x:v>inspection</x:v>
      </x:c>
      <x:c r="V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0" s="4" t="str">
        <x:v>Container</x:v>
      </x:c>
      <x:c r="X100" s="4" t="str">
        <x:v>Finished item</x:v>
      </x:c>
      <x:c r="Y100" s="4" t="str">
        <x:v>Manufactured / unresolved</x:v>
      </x:c>
      <x:c r="Z100" s="4" t="str">
        <x:v>Liquid and bulk containment</x:v>
      </x:c>
      <x:c r="AA100" s="4" t="str">
        <x:v>Glass</x:v>
      </x:c>
      <x:c r="AB100" s="4" t="str">
        <x:v>Solid part</x:v>
      </x:c>
      <x:c r="AC100" s="4" t="str">
        <x:v>Proposal</x:v>
      </x:c>
      <x:c r="AD100" s="4" t="str">
        <x:f>LOWER(A100&amp;"; "&amp;B100&amp;"; "&amp;C100&amp;"; "&amp;D100&amp;"; "&amp;W100&amp;"; "&amp;X100&amp;"; "&amp;Y100&amp;"; "&amp;Z100&amp;"; "&amp;AA100&amp;"; "&amp;AB100&amp;"; "&amp;AC100&amp;"; "&amp;U100)</x:f>
        <x:v>proposal.container.marked_flask; marked glass flask; containers; primary vessel; container; finished item; manufactured / unresolved; liquid and bulk containment; glass; solid part; proposal; inspection</x:v>
      </x:c>
      <x:c r="AE100" s="4" t="str">
        <x:v>From current item description. Proposed uses retain their existing approval status.</x:v>
      </x:c>
    </x:row>
    <x:row r="101" ht="100" customHeight="1">
      <x:c r="A101" s="9" t="str">
        <x:v>proposal.container.shell_cage</x:v>
      </x:c>
      <x:c r="B101" s="9" t="str">
        <x:v>Shell-caged glass flask</x:v>
      </x:c>
      <x:c r="C101" s="9" t="str">
        <x:v>Containers</x:v>
      </x:c>
      <x:c r="D101" s="9" t="str">
        <x:v>Protected vessel assembly</x:v>
      </x:c>
      <x:c r="E101" s="9" t="str">
        <x:v>New proposal</x:v>
      </x:c>
      <x:c r="F101" s="9" t="str">
        <x:v>Protect a carried specimen while keeping a viewing opening</x:v>
      </x:c>
      <x:c r="G101" s="9" t="str">
        <x:v>None</x:v>
      </x:c>
      <x:c r="H101" s="9" t="str">
        <x:v>Filled raw-resource vessel: Legger/local owner; other carrier eligibility TBD</x:v>
      </x:c>
      <x:c r="I101" s="13"/>
      <x:c r="J101" s="15"/>
      <x:c r="K101" s="9" t="str">
        <x:v>Glassworker/fabricator or salvage candidate; no recipe authored</x:v>
      </x:c>
      <x:c r="L101" s="9" t="str">
        <x:v>Materials: Glass inner vessel; slotted shell outer cage</x:v>
      </x:c>
      <x:c r="M101" s="9" t="str">
        <x:v>Not implemented</x:v>
      </x:c>
      <x:c r="N101" s="9" t="str">
        <x:v>One assembled container, not two copies of storage; protection behavior undecided</x:v>
      </x:c>
      <x:c r="O101" s="36"/>
      <x:c r="P101" s="36"/>
      <x:c r="Q101" s="36"/>
      <x:c r="R101" s="36"/>
      <x:c r="S101" s="36"/>
      <x:c r="T101" s="9" t="str">
        <x:v>Qualitative size: Medium. Closure: Retained cap and inspectable seat proposed. Contents: One compatible liquid payload</x:v>
      </x:c>
      <x:c r="U101" s="11"/>
      <x:c r="V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1" s="4" t="str">
        <x:v>Container</x:v>
      </x:c>
      <x:c r="X101" s="4" t="str">
        <x:v>Finished item</x:v>
      </x:c>
      <x:c r="Y101" s="4" t="str">
        <x:v>Manufactured / unresolved</x:v>
      </x:c>
      <x:c r="Z101" s="4" t="str">
        <x:v>Liquid and bulk containment</x:v>
      </x:c>
      <x:c r="AA101" s="4" t="str">
        <x:v>Glass and shell</x:v>
      </x:c>
      <x:c r="AB101" s="4" t="str">
        <x:v>Assembly</x:v>
      </x:c>
      <x:c r="AC101" s="4" t="str">
        <x:v>Proposal</x:v>
      </x:c>
      <x:c r="AD101" s="4" t="str">
        <x:f>LOWER(A101&amp;"; "&amp;B101&amp;"; "&amp;C101&amp;"; "&amp;D101&amp;"; "&amp;W101&amp;"; "&amp;X101&amp;"; "&amp;Y101&amp;"; "&amp;Z101&amp;"; "&amp;AA101&amp;"; "&amp;AB101&amp;"; "&amp;AC101&amp;"; "&amp;U101)</x:f>
        <x:v>proposal.container.shell_cage; shell-caged glass flask; containers; protected vessel assembly; container; finished item; manufactured / unresolved; liquid and bulk containment; glass and shell; assembly; proposal; </x:v>
      </x:c>
      <x:c r="AE101" s="4" t="str">
        <x:v>From current item description. Proposed uses retain their existing approval status.</x:v>
      </x:c>
    </x:row>
    <x:row r="102" ht="100" customHeight="1">
      <x:c r="A102" s="9" t="str">
        <x:v>proposal.container.lined_canister</x:v>
      </x:c>
      <x:c r="B102" s="9" t="str">
        <x:v>Glass-lined haul canister</x:v>
      </x:c>
      <x:c r="C102" s="9" t="str">
        <x:v>Containers</x:v>
      </x:c>
      <x:c r="D102" s="9" t="str">
        <x:v>Protected vessel assembly</x:v>
      </x:c>
      <x:c r="E102" s="9" t="str">
        <x:v>New proposal</x:v>
      </x:c>
      <x:c r="F102" s="9" t="str">
        <x:v>Transport larger quantities to a processing workshop</x:v>
      </x:c>
      <x:c r="G102" s="9" t="str">
        <x:v>None</x:v>
      </x:c>
      <x:c r="H102" s="9" t="str">
        <x:v>Filled raw-resource vessel: Legger/local owner; other carrier eligibility TBD</x:v>
      </x:c>
      <x:c r="I102" s="13"/>
      <x:c r="J102" s="15"/>
      <x:c r="K102" s="9" t="str">
        <x:v>Glassworker/fabricator or salvage candidate; no recipe authored</x:v>
      </x:c>
      <x:c r="L102" s="9" t="str">
        <x:v>Materials: Metal/shell outer body; replaceable glass liner</x:v>
      </x:c>
      <x:c r="M102" s="9" t="str">
        <x:v>Not implemented</x:v>
      </x:c>
      <x:c r="N102" s="9" t="str">
        <x:v>Liner, seal and contents must all be compatible; filled payload belongs in resource cargo</x:v>
      </x:c>
      <x:c r="O102" s="36"/>
      <x:c r="P102" s="36"/>
      <x:c r="Q102" s="36"/>
      <x:c r="R102" s="36"/>
      <x:c r="S102" s="36"/>
      <x:c r="T102" s="9" t="str">
        <x:v>Qualitative size: Medium haul. Closure: Compression lid with replaceable compatible seat. Contents: One identified raw ichor or chemical batch</x:v>
      </x:c>
      <x:c r="U102" s="11"/>
      <x:c r="V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2" s="4" t="str">
        <x:v>Container</x:v>
      </x:c>
      <x:c r="X102" s="4" t="str">
        <x:v>Finished item</x:v>
      </x:c>
      <x:c r="Y102" s="4" t="str">
        <x:v>Manufactured / unresolved</x:v>
      </x:c>
      <x:c r="Z102" s="4" t="str">
        <x:v>Liquid and bulk containment</x:v>
      </x:c>
      <x:c r="AA102" s="4" t="str">
        <x:v>Glass with unresolved casing</x:v>
      </x:c>
      <x:c r="AB102" s="4" t="str">
        <x:v>Assembly</x:v>
      </x:c>
      <x:c r="AC102" s="4" t="str">
        <x:v>Proposal</x:v>
      </x:c>
      <x:c r="AD102" s="4" t="str">
        <x:f>LOWER(A102&amp;"; "&amp;B102&amp;"; "&amp;C102&amp;"; "&amp;D102&amp;"; "&amp;W102&amp;"; "&amp;X102&amp;"; "&amp;Y102&amp;"; "&amp;Z102&amp;"; "&amp;AA102&amp;"; "&amp;AB102&amp;"; "&amp;AC102&amp;"; "&amp;U102)</x:f>
        <x:v>proposal.container.lined_canister; glass-lined haul canister; containers; protected vessel assembly; container; finished item; manufactured / unresolved; liquid and bulk containment; glass with unresolved casing; assembly; proposal; </x:v>
      </x:c>
      <x:c r="AE102" s="4" t="str">
        <x:v>From current item description. Proposed uses retain their existing approval status.</x:v>
      </x:c>
    </x:row>
    <x:row r="103" ht="100" customHeight="1">
      <x:c r="A103" s="9" t="str">
        <x:v>proposal.container.ceramic_jar</x:v>
      </x:c>
      <x:c r="B103" s="9" t="str">
        <x:v>Glazed ceramic reagent jar</x:v>
      </x:c>
      <x:c r="C103" s="9" t="str">
        <x:v>Containers</x:v>
      </x:c>
      <x:c r="D103" s="9" t="str">
        <x:v>Primary vessel</x:v>
      </x:c>
      <x:c r="E103" s="9" t="str">
        <x:v>New proposal</x:v>
      </x:c>
      <x:c r="F103" s="9" t="str">
        <x:v>Alternative storage for selected processing compounds</x:v>
      </x:c>
      <x:c r="G103" s="9" t="str">
        <x:v>None</x:v>
      </x:c>
      <x:c r="H103" s="9" t="str">
        <x:v>Filled raw-resource vessel: Legger/local owner; other carrier eligibility TBD</x:v>
      </x:c>
      <x:c r="I103" s="13"/>
      <x:c r="J103" s="15"/>
      <x:c r="K103" s="9" t="str">
        <x:v>Glassworker/fabricator or salvage candidate; no recipe authored</x:v>
      </x:c>
      <x:c r="L103" s="9" t="str">
        <x:v>Materials: Fired ceramic; proposed glaze; rigid lid</x:v>
      </x:c>
      <x:c r="M103" s="9" t="str">
        <x:v>Not implemented</x:v>
      </x:c>
      <x:c r="N103" s="9" t="str">
        <x:v>Opaque; heavier/bulkier tradeoff proposed; glaze is not universally chemical-resistant</x:v>
      </x:c>
      <x:c r="O103" s="36"/>
      <x:c r="P103" s="36"/>
      <x:c r="Q103" s="36"/>
      <x:c r="R103" s="36"/>
      <x:c r="S103" s="36"/>
      <x:c r="T103" s="9" t="str">
        <x:v>Qualitative size: Medium. Closure: Fitted rigid lid and compatible seal. Contents: Only compounds qualified for that jar</x:v>
      </x:c>
      <x:c r="U103" s="11"/>
      <x:c r="V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3" s="4" t="str">
        <x:v>Container</x:v>
      </x:c>
      <x:c r="X103" s="4" t="str">
        <x:v>Finished item</x:v>
      </x:c>
      <x:c r="Y103" s="4" t="str">
        <x:v>Manufactured / unresolved</x:v>
      </x:c>
      <x:c r="Z103" s="4" t="str">
        <x:v>Liquid and bulk containment</x:v>
      </x:c>
      <x:c r="AA103" s="4" t="str">
        <x:v>Ceramic</x:v>
      </x:c>
      <x:c r="AB103" s="4" t="str">
        <x:v>Solid part</x:v>
      </x:c>
      <x:c r="AC103" s="4" t="str">
        <x:v>Proposal</x:v>
      </x:c>
      <x:c r="AD103" s="4" t="str">
        <x:f>LOWER(A103&amp;"; "&amp;B103&amp;"; "&amp;C103&amp;"; "&amp;D103&amp;"; "&amp;W103&amp;"; "&amp;X103&amp;"; "&amp;Y103&amp;"; "&amp;Z103&amp;"; "&amp;AA103&amp;"; "&amp;AB103&amp;"; "&amp;AC103&amp;"; "&amp;U103)</x:f>
        <x:v>proposal.container.ceramic_jar; glazed ceramic reagent jar; containers; primary vessel; container; finished item; manufactured / unresolved; liquid and bulk containment; ceramic; solid part; proposal; </x:v>
      </x:c>
      <x:c r="AE103" s="4" t="str">
        <x:v>From current item description. Proposed uses retain their existing approval status.</x:v>
      </x:c>
    </x:row>
    <x:row r="104" ht="100" customHeight="1">
      <x:c r="A104" s="9" t="str">
        <x:v>proposal.container.bulk_ichor</x:v>
      </x:c>
      <x:c r="B104" s="9" t="str">
        <x:v>Bulk ichor vessel</x:v>
      </x:c>
      <x:c r="C104" s="9" t="str">
        <x:v>Containers</x:v>
      </x:c>
      <x:c r="D104" s="9" t="str">
        <x:v>Primary vessel</x:v>
      </x:c>
      <x:c r="E104" s="9" t="str">
        <x:v>New proposal</x:v>
      </x:c>
      <x:c r="F104" s="9" t="str">
        <x:v>Make a large harvest an expedition haul decision</x:v>
      </x:c>
      <x:c r="G104" s="9" t="str">
        <x:v>None</x:v>
      </x:c>
      <x:c r="H104" s="9" t="str">
        <x:v>Filled raw-resource vessel: Legger/local owner; other carrier eligibility TBD</x:v>
      </x:c>
      <x:c r="I104" s="13"/>
      <x:c r="J104" s="15"/>
      <x:c r="K104" s="9" t="str">
        <x:v>Glassworker/fabricator or salvage candidate; no recipe authored</x:v>
      </x:c>
      <x:c r="L104" s="9" t="str">
        <x:v>Materials: Reinforced outer body; qualified inner lining TBD</x:v>
      </x:c>
      <x:c r="M104" s="9" t="str">
        <x:v>Not implemented</x:v>
      </x:c>
      <x:c r="N104" s="9" t="str">
        <x:v>Finite Legger cargo and contents mass; no backpack resource exception or free capacity</x:v>
      </x:c>
      <x:c r="O104" s="36"/>
      <x:c r="P104" s="36"/>
      <x:c r="Q104" s="36"/>
      <x:c r="R104" s="36"/>
      <x:c r="S104" s="36"/>
      <x:c r="T104" s="9" t="str">
        <x:v>Qualitative size: Bulk cargo. Closure: Service lid and separate transfer fitting proposed. Contents: One species/batch of gathered ichor</x:v>
      </x:c>
      <x:c r="U104" s="11"/>
      <x:c r="V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4" s="4" t="str">
        <x:v>Container</x:v>
      </x:c>
      <x:c r="X104" s="4" t="str">
        <x:v>Finished item</x:v>
      </x:c>
      <x:c r="Y104" s="4" t="str">
        <x:v>Manufactured / unresolved</x:v>
      </x:c>
      <x:c r="Z104" s="4" t="str">
        <x:v>Liquid and bulk containment</x:v>
      </x:c>
      <x:c r="AA104" s="4" t="str">
        <x:v>Mixed / unresolved</x:v>
      </x:c>
      <x:c r="AB104" s="4" t="str">
        <x:v>Assembly</x:v>
      </x:c>
      <x:c r="AC104" s="4" t="str">
        <x:v>Proposal</x:v>
      </x:c>
      <x:c r="AD104" s="4" t="str">
        <x:f>LOWER(A104&amp;"; "&amp;B104&amp;"; "&amp;C104&amp;"; "&amp;D104&amp;"; "&amp;W104&amp;"; "&amp;X104&amp;"; "&amp;Y104&amp;"; "&amp;Z104&amp;"; "&amp;AA104&amp;"; "&amp;AB104&amp;"; "&amp;AC104&amp;"; "&amp;U104)</x:f>
        <x:v>proposal.container.bulk_ichor; bulk ichor vessel; containers; primary vessel; container; finished item; manufactured / unresolved; liquid and bulk containment; mixed / unresolved; assembly; proposal; </x:v>
      </x:c>
      <x:c r="AE104" s="4" t="str">
        <x:v>From current item description. Proposed uses retain their existing approval status.</x:v>
      </x:c>
    </x:row>
    <x:row r="105" ht="100" customHeight="1">
      <x:c r="A105" s="9" t="str">
        <x:v>proposal.container.vial_case</x:v>
      </x:c>
      <x:c r="B105" s="9" t="str">
        <x:v>Divided vial case</x:v>
      </x:c>
      <x:c r="C105" s="9" t="str">
        <x:v>Containers</x:v>
      </x:c>
      <x:c r="D105" s="9" t="str">
        <x:v>Protective carrier</x:v>
      </x:c>
      <x:c r="E105" s="9" t="str">
        <x:v>New proposal</x:v>
      </x:c>
      <x:c r="F105" s="9" t="str">
        <x:v>Keep separately sealed specimens organized and supported</x:v>
      </x:c>
      <x:c r="G105" s="9" t="str">
        <x:v>None</x:v>
      </x:c>
      <x:c r="H105" s="9" t="str">
        <x:v>Filled raw-resource vessel: Legger/local owner; other carrier eligibility TBD</x:v>
      </x:c>
      <x:c r="I105" s="13"/>
      <x:c r="J105" s="15"/>
      <x:c r="K105" s="9" t="str">
        <x:v>Glassworker/fabricator or salvage candidate; no recipe authored</x:v>
      </x:c>
      <x:c r="L105" s="9" t="str">
        <x:v>Materials: Shell/metal case; shaped mineral seats</x:v>
      </x:c>
      <x:c r="M105" s="9" t="str">
        <x:v>Not implemented</x:v>
      </x:c>
      <x:c r="N105" s="9" t="str">
        <x:v>Does not create extra inventory capacity; inserts use no assumed wood, cork or cloth</x:v>
      </x:c>
      <x:c r="O105" s="36"/>
      <x:c r="P105" s="36"/>
      <x:c r="Q105" s="36"/>
      <x:c r="R105" s="36"/>
      <x:c r="S105" s="36"/>
      <x:c r="T105" s="9" t="str">
        <x:v>Qualitative size: Several small vessels. Closure: Rigid latched case; each vial has its own seal. Contents: Sealed vials only; no direct liquid payload</x:v>
      </x:c>
      <x:c r="U105" s="11"/>
      <x:c r="V105" s="9" t="str">
        <x:v>New game proposal, October 14, 2026. New case proposal; materials chosen under current no-cloth game rule.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5" s="4" t="str">
        <x:v>Carrier</x:v>
      </x:c>
      <x:c r="X105" s="4" t="str">
        <x:v>Finished item</x:v>
      </x:c>
      <x:c r="Y105" s="4" t="str">
        <x:v>Manufactured / unresolved</x:v>
      </x:c>
      <x:c r="Z105" s="4" t="str">
        <x:v>Cargo organization</x:v>
      </x:c>
      <x:c r="AA105" s="4" t="str">
        <x:v>Mixed / unresolved</x:v>
      </x:c>
      <x:c r="AB105" s="4" t="str">
        <x:v>Assembly</x:v>
      </x:c>
      <x:c r="AC105" s="4" t="str">
        <x:v>Proposal</x:v>
      </x:c>
      <x:c r="AD105" s="4" t="str">
        <x:f>LOWER(A105&amp;"; "&amp;B105&amp;"; "&amp;C105&amp;"; "&amp;D105&amp;"; "&amp;W105&amp;"; "&amp;X105&amp;"; "&amp;Y105&amp;"; "&amp;Z105&amp;"; "&amp;AA105&amp;"; "&amp;AB105&amp;"; "&amp;AC105&amp;"; "&amp;U105)</x:f>
        <x:v>proposal.container.vial_case; divided vial case; containers; protective carrier; carrier; finished item; manufactured / unresolved; cargo organization; mixed / unresolved; assembly; proposal; </x:v>
      </x:c>
      <x:c r="AE105" s="4" t="str">
        <x:v>From current item description. Proposed uses retain their existing approval status.</x:v>
      </x:c>
    </x:row>
    <x:row r="106" ht="100" customHeight="1">
      <x:c r="A106" s="9" t="str">
        <x:v>proposal.container.sealed_box</x:v>
      </x:c>
      <x:c r="B106" s="9" t="str">
        <x:v>Sealed cargo box</x:v>
      </x:c>
      <x:c r="C106" s="9" t="str">
        <x:v>Containers</x:v>
      </x:c>
      <x:c r="D106" s="9" t="str">
        <x:v>Protective carrier</x:v>
      </x:c>
      <x:c r="E106" s="9" t="str">
        <x:v>New proposal</x:v>
      </x:c>
      <x:c r="F106" s="9" t="str">
        <x:v>Carry containers and dry sample packets together</x:v>
      </x:c>
      <x:c r="G106" s="9" t="str">
        <x:v>None</x:v>
      </x:c>
      <x:c r="H106" s="9" t="str">
        <x:v>Filled raw-resource vessel: Legger/local owner; other carrier eligibility TBD</x:v>
      </x:c>
      <x:c r="I106" s="13"/>
      <x:c r="J106" s="15"/>
      <x:c r="K106" s="9" t="str">
        <x:v>Glassworker/fabricator or salvage candidate; no recipe authored</x:v>
      </x:c>
      <x:c r="L106" s="9" t="str">
        <x:v>Materials: Shell panels or metal; rigid dividers</x:v>
      </x:c>
      <x:c r="M106" s="9" t="str">
        <x:v>Not implemented</x:v>
      </x:c>
      <x:c r="N106" s="9" t="str">
        <x:v>Outer dust seal is not liquid or vapor certification; all nested contents still count</x:v>
      </x:c>
      <x:c r="O106" s="36"/>
      <x:c r="P106" s="36"/>
      <x:c r="Q106" s="36"/>
      <x:c r="R106" s="36"/>
      <x:c r="S106" s="36"/>
      <x:c r="T106" s="9" t="str">
        <x:v>Qualitative size: Cargo package. Closure: Latched lid with dust-excluding seat proposed. Contents: Separately sealed contents</x:v>
      </x:c>
      <x:c r="U106" s="11"/>
      <x:c r="V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6" s="4" t="str">
        <x:v>Carrier</x:v>
      </x:c>
      <x:c r="X106" s="4" t="str">
        <x:v>Finished item</x:v>
      </x:c>
      <x:c r="Y106" s="4" t="str">
        <x:v>Manufactured / unresolved</x:v>
      </x:c>
      <x:c r="Z106" s="4" t="str">
        <x:v>Cargo organization</x:v>
      </x:c>
      <x:c r="AA106" s="4" t="str">
        <x:v>Mixed / unresolved</x:v>
      </x:c>
      <x:c r="AB106" s="4" t="str">
        <x:v>Assembly</x:v>
      </x:c>
      <x:c r="AC106" s="4" t="str">
        <x:v>Proposal</x:v>
      </x:c>
      <x:c r="AD106" s="4" t="str">
        <x:f>LOWER(A106&amp;"; "&amp;B106&amp;"; "&amp;C106&amp;"; "&amp;D106&amp;"; "&amp;W106&amp;"; "&amp;X106&amp;"; "&amp;Y106&amp;"; "&amp;Z106&amp;"; "&amp;AA106&amp;"; "&amp;AB106&amp;"; "&amp;AC106&amp;"; "&amp;U106)</x:f>
        <x:v>proposal.container.sealed_box; sealed cargo box; containers; protective carrier; carrier; finished item; manufactured / unresolved; cargo organization; mixed / unresolved; assembly; proposal; </x:v>
      </x:c>
      <x:c r="AE106" s="4" t="str">
        <x:v>From current item description. Proposed uses retain their existing approval status.</x:v>
      </x:c>
    </x:row>
    <x:row r="107" ht="100" customHeight="1">
      <x:c r="A107" s="9" t="str">
        <x:v>proposal.container.field_chest</x:v>
      </x:c>
      <x:c r="B107" s="9" t="str">
        <x:v>Locking field chest</x:v>
      </x:c>
      <x:c r="C107" s="9" t="str">
        <x:v>Containers</x:v>
      </x:c>
      <x:c r="D107" s="9" t="str">
        <x:v>Storage object candidate</x:v>
      </x:c>
      <x:c r="E107" s="9" t="str">
        <x:v>New proposal</x:v>
      </x:c>
      <x:c r="F107" s="9" t="str">
        <x:v>Secure expedition samples at a physical camp/worksite</x:v>
      </x:c>
      <x:c r="G107" s="9" t="str">
        <x:v>None</x:v>
      </x:c>
      <x:c r="H107" s="9" t="str">
        <x:v>Filled raw-resource vessel: Legger/local owner; other carrier eligibility TBD</x:v>
      </x:c>
      <x:c r="I107" s="13"/>
      <x:c r="J107" s="15"/>
      <x:c r="K107" s="9" t="str">
        <x:v>Glassworker/fabricator or salvage candidate; no recipe authored</x:v>
      </x:c>
      <x:c r="L107" s="9" t="str">
        <x:v>Materials: Metal/shell chest; rigid compartment tray</x:v>
      </x:c>
      <x:c r="M107" s="9" t="str">
        <x:v>Not implemented</x:v>
      </x:c>
      <x:c r="N107" s="9" t="str">
        <x:v>Physical local owner; no global stockpile. Portable versus fixed identity undecided</x:v>
      </x:c>
      <x:c r="O107" s="36"/>
      <x:c r="P107" s="36"/>
      <x:c r="Q107" s="36"/>
      <x:c r="R107" s="36"/>
      <x:c r="S107" s="36"/>
      <x:c r="T107" s="9" t="str">
        <x:v>Qualitative size: Local storage. Closure: Mechanical lock and rigid lid proposed. Contents: Sealed vessels and dry material</x:v>
      </x:c>
      <x:c r="U107" s="11"/>
      <x:c r="V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7" s="4" t="str">
        <x:v>Container</x:v>
      </x:c>
      <x:c r="X107" s="4" t="str">
        <x:v>Finished item</x:v>
      </x:c>
      <x:c r="Y107" s="4" t="str">
        <x:v>Manufactured / unresolved</x:v>
      </x:c>
      <x:c r="Z107" s="4" t="str">
        <x:v>Cargo organization</x:v>
      </x:c>
      <x:c r="AA107" s="4" t="str">
        <x:v>Mixed / unresolved</x:v>
      </x:c>
      <x:c r="AB107" s="4" t="str">
        <x:v>Assembly</x:v>
      </x:c>
      <x:c r="AC107" s="4" t="str">
        <x:v>Proposal</x:v>
      </x:c>
      <x:c r="AD107" s="4" t="str">
        <x:f>LOWER(A107&amp;"; "&amp;B107&amp;"; "&amp;C107&amp;"; "&amp;D107&amp;"; "&amp;W107&amp;"; "&amp;X107&amp;"; "&amp;Y107&amp;"; "&amp;Z107&amp;"; "&amp;AA107&amp;"; "&amp;AB107&amp;"; "&amp;AC107&amp;"; "&amp;U107)</x:f>
        <x:v>proposal.container.field_chest; locking field chest; containers; storage object candidate; container; finished item; manufactured / unresolved; cargo organization; mixed / unresolved; assembly; proposal; </x:v>
      </x:c>
      <x:c r="AE107" s="4" t="str">
        <x:v>From current item description. Proposed uses retain their existing approval status.</x:v>
      </x:c>
    </x:row>
    <x:row r="108" ht="100" customHeight="1">
      <x:c r="A108" s="9" t="str">
        <x:v>proposal.container.funnel</x:v>
      </x:c>
      <x:c r="B108" s="9" t="str">
        <x:v>Glass transfer funnel</x:v>
      </x:c>
      <x:c r="C108" s="9" t="str">
        <x:v>Containers</x:v>
      </x:c>
      <x:c r="D108" s="9" t="str">
        <x:v>Transfer glassware</x:v>
      </x:c>
      <x:c r="E108" s="9" t="str">
        <x:v>New proposal</x:v>
      </x:c>
      <x:c r="F108" s="9" t="str">
        <x:v>Assist transfers into a compatible narrow-neck vessel</x:v>
      </x:c>
      <x:c r="G108" s="9" t="str">
        <x:v>None</x:v>
      </x:c>
      <x:c r="H108" s="9" t="str">
        <x:v>Filled raw-resource vessel: Legger/local owner; other carrier eligibility TBD</x:v>
      </x:c>
      <x:c r="I108" s="13"/>
      <x:c r="J108" s="15"/>
      <x:c r="K108" s="9" t="str">
        <x:v>Glassworker/fabricator or salvage candidate; no recipe authored</x:v>
      </x:c>
      <x:c r="L108" s="9" t="str">
        <x:v>Materials: Glass bowl and stem</x:v>
      </x:c>
      <x:c r="M108" s="9" t="str">
        <x:v>Not implemented</x:v>
      </x:c>
      <x:c r="N108" s="9" t="str">
        <x:v>Residue/cross-contamination and workshop reconditioning unresolved; no ambient fluid pooling</x:v>
      </x:c>
      <x:c r="O108" s="36"/>
      <x:c r="P108" s="36"/>
      <x:c r="Q108" s="36"/>
      <x:c r="R108" s="36"/>
      <x:c r="S108" s="36"/>
      <x:c r="T108" s="9" t="str">
        <x:v>Qualitative size: Tool-sized. Closure: No closure; never a storage vessel. Contents: Temporary transfer contact only</x:v>
      </x:c>
      <x:c r="U108" s="11"/>
      <x:c r="V108" s="9" t="str">
        <x:v>New game proposal, October 14, 2026. New glassworking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8" s="4" t="str">
        <x:v>Tool</x:v>
      </x:c>
      <x:c r="X108" s="4" t="str">
        <x:v>Finished item</x:v>
      </x:c>
      <x:c r="Y108" s="4" t="str">
        <x:v>Manufactured / unresolved</x:v>
      </x:c>
      <x:c r="Z108" s="4" t="str">
        <x:v>Material transfer</x:v>
      </x:c>
      <x:c r="AA108" s="4" t="str">
        <x:v>Glass</x:v>
      </x:c>
      <x:c r="AB108" s="4" t="str">
        <x:v>Solid part</x:v>
      </x:c>
      <x:c r="AC108" s="4" t="str">
        <x:v>Proposal</x:v>
      </x:c>
      <x:c r="AD108" s="4" t="str">
        <x:f>LOWER(A108&amp;"; "&amp;B108&amp;"; "&amp;C108&amp;"; "&amp;D108&amp;"; "&amp;W108&amp;"; "&amp;X108&amp;"; "&amp;Y108&amp;"; "&amp;Z108&amp;"; "&amp;AA108&amp;"; "&amp;AB108&amp;"; "&amp;AC108&amp;"; "&amp;U108)</x:f>
        <x:v>proposal.container.funnel; glass transfer funnel; containers; transfer glassware; tool; finished item; manufactured / unresolved; material transfer; glass; solid part; proposal; </x:v>
      </x:c>
      <x:c r="AE108" s="4" t="str">
        <x:v>From current item description. Proposed uses retain their existing approval status.</x:v>
      </x:c>
    </x:row>
    <x:row r="109" ht="100" customHeight="1">
      <x:c r="A109" s="9" t="str">
        <x:v>proposal.container.draw_tube</x:v>
      </x:c>
      <x:c r="B109" s="9" t="str">
        <x:v>Glass draw tube</x:v>
      </x:c>
      <x:c r="C109" s="9" t="str">
        <x:v>Containers</x:v>
      </x:c>
      <x:c r="D109" s="9" t="str">
        <x:v>Transfer glassware</x:v>
      </x:c>
      <x:c r="E109" s="9" t="str">
        <x:v>New proposal</x:v>
      </x:c>
      <x:c r="F109" s="9" t="str">
        <x:v>Move a small sample through an inspectable transfer path</x:v>
      </x:c>
      <x:c r="G109" s="9" t="str">
        <x:v>None</x:v>
      </x:c>
      <x:c r="H109" s="9" t="str">
        <x:v>Filled raw-resource vessel: Legger/local owner; other carrier eligibility TBD</x:v>
      </x:c>
      <x:c r="I109" s="13"/>
      <x:c r="J109" s="15"/>
      <x:c r="K109" s="9" t="str">
        <x:v>Glassworker/fabricator or salvage candidate; no recipe authored</x:v>
      </x:c>
      <x:c r="L109" s="9" t="str">
        <x:v>Materials: Glass tube; proposed mechanical fitting</x:v>
      </x:c>
      <x:c r="M109" s="9" t="str">
        <x:v>Not implemented</x:v>
      </x:c>
      <x:c r="N109" s="9" t="str">
        <x:v>No mouth operation or real extraction procedure; gameplay tool and fittings unapproved</x:v>
      </x:c>
      <x:c r="O109" s="36"/>
      <x:c r="P109" s="36"/>
      <x:c r="Q109" s="36"/>
      <x:c r="R109" s="36"/>
      <x:c r="S109" s="36"/>
      <x:c r="T109" s="9" t="str">
        <x:v>Qualitative size: Tool-sized. Closure: Closed mechanical interface to design. Contents: Compatible small specimen transfer</x:v>
      </x:c>
      <x:c r="U109" s="11"/>
      <x:c r="V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09" s="4" t="str">
        <x:v>Tool</x:v>
      </x:c>
      <x:c r="X109" s="4" t="str">
        <x:v>Finished item</x:v>
      </x:c>
      <x:c r="Y109" s="4" t="str">
        <x:v>Manufactured / unresolved</x:v>
      </x:c>
      <x:c r="Z109" s="4" t="str">
        <x:v>Material transfer</x:v>
      </x:c>
      <x:c r="AA109" s="4" t="str">
        <x:v>Glass</x:v>
      </x:c>
      <x:c r="AB109" s="4" t="str">
        <x:v>Solid part</x:v>
      </x:c>
      <x:c r="AC109" s="4" t="str">
        <x:v>Proposal</x:v>
      </x:c>
      <x:c r="AD109" s="4" t="str">
        <x:f>LOWER(A109&amp;"; "&amp;B109&amp;"; "&amp;C109&amp;"; "&amp;D109&amp;"; "&amp;W109&amp;"; "&amp;X109&amp;"; "&amp;Y109&amp;"; "&amp;Z109&amp;"; "&amp;AA109&amp;"; "&amp;AB109&amp;"; "&amp;AC109&amp;"; "&amp;U109)</x:f>
        <x:v>proposal.container.draw_tube; glass draw tube; containers; transfer glassware; tool; finished item; manufactured / unresolved; material transfer; glass; solid part; proposal; </x:v>
      </x:c>
      <x:c r="AE109" s="4" t="str">
        <x:v>From current item description. Proposed uses retain their existing approval status.</x:v>
      </x:c>
    </x:row>
    <x:row r="110" ht="100" customHeight="1">
      <x:c r="A110" s="9" t="str">
        <x:v>proposal.container.glass_stopper</x:v>
      </x:c>
      <x:c r="B110" s="9" t="str">
        <x:v>Matched glass stopper</x:v>
      </x:c>
      <x:c r="C110" s="9" t="str">
        <x:v>Containers</x:v>
      </x:c>
      <x:c r="D110" s="9" t="str">
        <x:v>Closure component</x:v>
      </x:c>
      <x:c r="E110" s="9" t="str">
        <x:v>New proposal</x:v>
      </x:c>
      <x:c r="F110" s="9" t="str">
        <x:v>Close its matching vessel without cork or cloth</x:v>
      </x:c>
      <x:c r="G110" s="9" t="str">
        <x:v>None</x:v>
      </x:c>
      <x:c r="H110" s="9" t="str">
        <x:v>Filled raw-resource vessel: Legger/local owner; other carrier eligibility TBD</x:v>
      </x:c>
      <x:c r="I110" s="13"/>
      <x:c r="J110" s="15"/>
      <x:c r="K110" s="9" t="str">
        <x:v>Glassworker/fabricator or salvage candidate; no recipe authored</x:v>
      </x:c>
      <x:c r="L110" s="9" t="str">
        <x:v>Materials: Ground glass seat; retaining clip optional</x:v>
      </x:c>
      <x:c r="M110" s="9" t="str">
        <x:v>Not implemented</x:v>
      </x:c>
      <x:c r="N110" s="9" t="str">
        <x:v>Fit and material compatibility matter; no universal stopper or separate durability chore assumed</x:v>
      </x:c>
      <x:c r="O110" s="36"/>
      <x:c r="P110" s="36"/>
      <x:c r="Q110" s="36"/>
      <x:c r="R110" s="36"/>
      <x:c r="S110" s="36"/>
      <x:c r="T110" s="9" t="str">
        <x:v>Qualitative size: Part-sized. Closure: Matched seat. Contents: Vessel closure, not an independent payload</x:v>
      </x:c>
      <x:c r="U110" s="11"/>
      <x:c r="V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0" s="4" t="str">
        <x:v>Container part</x:v>
      </x:c>
      <x:c r="X110" s="4" t="str">
        <x:v>Processed intermediate</x:v>
      </x:c>
      <x:c r="Y110" s="4" t="str">
        <x:v>Manufactured / unresolved</x:v>
      </x:c>
      <x:c r="Z110" s="4" t="str">
        <x:v>Sealing</x:v>
      </x:c>
      <x:c r="AA110" s="4" t="str">
        <x:v>Glass</x:v>
      </x:c>
      <x:c r="AB110" s="4" t="str">
        <x:v>Solid part</x:v>
      </x:c>
      <x:c r="AC110" s="4" t="str">
        <x:v>Proposal</x:v>
      </x:c>
      <x:c r="AD110" s="4" t="str">
        <x:f>LOWER(A110&amp;"; "&amp;B110&amp;"; "&amp;C110&amp;"; "&amp;D110&amp;"; "&amp;W110&amp;"; "&amp;X110&amp;"; "&amp;Y110&amp;"; "&amp;Z110&amp;"; "&amp;AA110&amp;"; "&amp;AB110&amp;"; "&amp;AC110&amp;"; "&amp;U110)</x:f>
        <x:v>proposal.container.glass_stopper; matched glass stopper; containers; closure component; container part; processed intermediate; manufactured / unresolved; sealing; glass; solid part; proposal; </x:v>
      </x:c>
      <x:c r="AE110" s="4" t="str">
        <x:v>From current item description. Proposed uses retain their existing approval status.</x:v>
      </x:c>
    </x:row>
    <x:row r="111" ht="100" customHeight="1">
      <x:c r="A111" s="9" t="str">
        <x:v>proposal.container.seal_collar</x:v>
      </x:c>
      <x:c r="B111" s="9" t="str">
        <x:v>Compression seal collar</x:v>
      </x:c>
      <x:c r="C111" s="9" t="str">
        <x:v>Containers</x:v>
      </x:c>
      <x:c r="D111" s="9" t="str">
        <x:v>Closure component</x:v>
      </x:c>
      <x:c r="E111" s="9" t="str">
        <x:v>New proposal</x:v>
      </x:c>
      <x:c r="F111" s="9" t="str">
        <x:v>Retain and compress a vessel lid/seat</x:v>
      </x:c>
      <x:c r="G111" s="9" t="str">
        <x:v>None</x:v>
      </x:c>
      <x:c r="H111" s="9" t="str">
        <x:v>Filled raw-resource vessel: Legger/local owner; other carrier eligibility TBD</x:v>
      </x:c>
      <x:c r="I111" s="13"/>
      <x:c r="J111" s="15"/>
      <x:c r="K111" s="9" t="str">
        <x:v>Glassworker/fabricator or salvage candidate; no recipe authored</x:v>
      </x:c>
      <x:c r="L111" s="9" t="str">
        <x:v>Materials: Metal/shell collar; compatible mineral/biological seal insert TBD</x:v>
      </x:c>
      <x:c r="M111" s="9" t="str">
        <x:v>Not implemented</x:v>
      </x:c>
      <x:c r="N111" s="9" t="str">
        <x:v>Biological membrane is not automatically compatible; no fat/oil/gasket recipe accepted</x:v>
      </x:c>
      <x:c r="O111" s="36"/>
      <x:c r="P111" s="36"/>
      <x:c r="Q111" s="36"/>
      <x:c r="R111" s="36"/>
      <x:c r="S111" s="36"/>
      <x:c r="T111" s="9" t="str">
        <x:v>Qualitative size: Part-sized. Closure: Mechanical collar. Contents: Vessel closure, not a liquid container</x:v>
      </x:c>
      <x:c r="U111" s="11"/>
      <x:c r="V111" s="9" t="str">
        <x:v>New game proposal, October 14, 2026. New closure assembly proposal; exact seal material unresolved.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W111" s="4" t="str">
        <x:v>Container part</x:v>
      </x:c>
      <x:c r="X111" s="4" t="str">
        <x:v>Processed intermediate</x:v>
      </x:c>
      <x:c r="Y111" s="4" t="str">
        <x:v>Manufactured / unresolved</x:v>
      </x:c>
      <x:c r="Z111" s="4" t="str">
        <x:v>Sealing</x:v>
      </x:c>
      <x:c r="AA111" s="4" t="str">
        <x:v>Mixed / unresolved</x:v>
      </x:c>
      <x:c r="AB111" s="4" t="str">
        <x:v>Solid part</x:v>
      </x:c>
      <x:c r="AC111" s="4" t="str">
        <x:v>Proposal</x:v>
      </x:c>
      <x:c r="AD111" s="4" t="str">
        <x:f>LOWER(A111&amp;"; "&amp;B111&amp;"; "&amp;C111&amp;"; "&amp;D111&amp;"; "&amp;W111&amp;"; "&amp;X111&amp;"; "&amp;Y111&amp;"; "&amp;Z111&amp;"; "&amp;AA111&amp;"; "&amp;AB111&amp;"; "&amp;AC111&amp;"; "&amp;U111)</x:f>
        <x:v>proposal.container.seal_collar; compression seal collar; containers; closure component; container part; processed intermediate; manufactured / unresolved; sealing; mixed / unresolved; solid part; proposal; </x:v>
      </x:c>
      <x:c r="AE111" s="4" t="str">
        <x:v>From current item description. Proposed uses retain their existing approval status.</x:v>
      </x:c>
    </x:row>
    <x:row r="112" ht="105" customHeight="1">
      <x:c r="A112" s="9" t="str">
        <x:v>proposal.gear.mail_shirt</x:v>
      </x:c>
      <x:c r="B112" s="9" t="str">
        <x:v>Chainmail shirt</x:v>
      </x:c>
      <x:c r="C112" s="9" t="str">
        <x:v>Equipment</x:v>
      </x:c>
      <x:c r="D112" s="9" t="str">
        <x:v>Torso layer</x:v>
      </x:c>
      <x:c r="E112" s="9" t="str">
        <x:v>User direction; not implemented</x:v>
      </x:c>
      <x:c r="F112" s="9" t="str">
        <x:v>Everyday metal chainmail clothing; fitted/protective effects remain undecided.</x:v>
      </x:c>
      <x:c r="G112" s="9" t="str">
        <x:v>Unassigned; loadout extension TBD</x:v>
      </x:c>
      <x:c r="H112" s="9" t="str">
        <x:v>Booter-worn/held concept; permitted spares in Legger cargo TBD</x:v>
      </x:c>
      <x:c r="I112" s="13"/>
      <x:c r="J112" s="15"/>
      <x:c r="K112" s="9" t="str">
        <x:v>Fabrication, trade or salvage candidate; no recipe authored</x:v>
      </x:c>
      <x:c r="L112" s="9" t="str">
        <x:v>Proposed materials: Metal rings; attachment/underlayer material undecided</x:v>
      </x:c>
      <x:c r="M112" s="9" t="str">
        <x:v>Not implemented</x:v>
      </x:c>
      <x:c r="N112" s="9" t="str">
        <x:v>Layering, weight, noise and underlayer requirements need design; no cloth assumed</x:v>
      </x:c>
      <x:c r="O112" s="42"/>
      <x:c r="P112" s="42"/>
      <x:c r="Q112" s="42"/>
      <x:c r="R112" s="42"/>
      <x:c r="S112" s="42"/>
      <x:c r="T112" s="9" t="str">
        <x:v>Ordinary simple chainmail belongs to regular clothing. Elaborate variants can be fashion; detailed construction, mass and effects remain open.</x:v>
      </x:c>
      <x:c r="U112" s="11" t="str">
        <x:v>protection; chain mail shirt</x:v>
      </x:c>
      <x:c r="V112" s="9" t="str">
        <x:v>Direct author clarification, October 14, 2026; Docs/WORLD_BASIS.md#material-culture. Ordinary wear: simple wraps, metal chainmail and practical metal-based pieces with minimal fur. Elaborate fashion remains rare/expensive; no cloth.</x:v>
      </x:c>
      <x:c r="W112" s="4" t="str">
        <x:v>Armor</x:v>
      </x:c>
      <x:c r="X112" s="4" t="str">
        <x:v>Finished item</x:v>
      </x:c>
      <x:c r="Y112" s="4" t="str">
        <x:v>Manufactured / unresolved</x:v>
      </x:c>
      <x:c r="Z112" s="4" t="str">
        <x:v>Clothing</x:v>
      </x:c>
      <x:c r="AA112" s="4" t="str">
        <x:v>Metal</x:v>
      </x:c>
      <x:c r="AB112" s="4" t="str">
        <x:v>Garment</x:v>
      </x:c>
      <x:c r="AC112" s="4" t="str">
        <x:v>Author direction</x:v>
      </x:c>
      <x:c r="AD112" s="4" t="str">
        <x:f>LOWER(A112&amp;"; "&amp;B112&amp;"; "&amp;C112&amp;"; "&amp;D112&amp;"; "&amp;W112&amp;"; "&amp;X112&amp;"; "&amp;Y112&amp;"; "&amp;Z112&amp;"; "&amp;AA112&amp;"; "&amp;AB112&amp;"; "&amp;AC112&amp;"; "&amp;U112)</x:f>
        <x:v>proposal.gear.mail_shirt; chainmail shirt; equipment; torso layer; armor; finished item; manufactured / unresolved; clothing; metal; garment; author direction; protection; chain mail shirt</x:v>
      </x:c>
      <x:c r="AE112" s="4" t="str">
        <x:v>From current item description. Proposed uses retain their existing approval status.</x:v>
      </x:c>
    </x:row>
    <x:row r="113" ht="105" customHeight="1">
      <x:c r="A113" s="9" t="str">
        <x:v>proposal.gear.metal_armor_set</x:v>
      </x:c>
      <x:c r="B113" s="9" t="str">
        <x:v>Assembled metal armor</x:v>
      </x:c>
      <x:c r="C113" s="9" t="str">
        <x:v>Equipment</x:v>
      </x:c>
      <x:c r="D113" s="9" t="str">
        <x:v>Whole-body assembly candidate</x:v>
      </x:c>
      <x:c r="E113" s="9" t="str">
        <x:v>User direction; not implemented</x:v>
      </x:c>
      <x:c r="F113" s="9" t="str">
        <x:v>A coordinated armor family from crude to elaborate</x:v>
      </x:c>
      <x:c r="G113" s="9" t="str">
        <x:v>Unassigned; loadout extension TBD</x:v>
      </x:c>
      <x:c r="H113" s="9" t="str">
        <x:v>Booter-worn/held concept; permitted spares in Legger cargo TBD</x:v>
      </x:c>
      <x:c r="I113" s="13"/>
      <x:c r="J113" s="15"/>
      <x:c r="K113" s="9" t="str">
        <x:v>Fabrication, trade or salvage candidate; no recipe authored</x:v>
      </x:c>
      <x:c r="L113" s="9" t="str">
        <x:v>Proposed materials: Metal plates; hinges/rivets; backing and connectors undecided</x:v>
      </x:c>
      <x:c r="M113" s="9" t="str">
        <x:v>Not implemented</x:v>
      </x:c>
      <x:c r="N113" s="9" t="str">
        <x:v>Set versus independently owned pieces unresolved; do not count the same plates as both set and components</x:v>
      </x:c>
      <x:c r="O113" s="42"/>
      <x:c r="P113" s="42"/>
      <x:c r="Q113" s="42"/>
      <x:c r="R113" s="42"/>
      <x:c r="S113" s="42"/>
      <x:c r="T113" s="9" t="str">
        <x:v>Crude: Mixed scavenged plates on a simple carrier. Serviceable: Coordinated torso and limb pieces. Elaborate: Fitted articulated ensemble with matched joints</x:v>
      </x:c>
      <x:c r="U113" s="11"/>
      <x:c r="V113"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3" s="4" t="str">
        <x:v>Armor</x:v>
      </x:c>
      <x:c r="X113" s="4" t="str">
        <x:v>Finished item</x:v>
      </x:c>
      <x:c r="Y113" s="4" t="str">
        <x:v>Manufactured / unresolved</x:v>
      </x:c>
      <x:c r="Z113" s="4" t="str">
        <x:v>Protection</x:v>
      </x:c>
      <x:c r="AA113" s="4" t="str">
        <x:v>Metal</x:v>
      </x:c>
      <x:c r="AB113" s="4" t="str">
        <x:v>Assembly</x:v>
      </x:c>
      <x:c r="AC113" s="4" t="str">
        <x:v>Author direction</x:v>
      </x:c>
      <x:c r="AD113" s="4" t="str">
        <x:f>LOWER(A113&amp;"; "&amp;B113&amp;"; "&amp;C113&amp;"; "&amp;D113&amp;"; "&amp;W113&amp;"; "&amp;X113&amp;"; "&amp;Y113&amp;"; "&amp;Z113&amp;"; "&amp;AA113&amp;"; "&amp;AB113&amp;"; "&amp;AC113&amp;"; "&amp;U113)</x:f>
        <x:v>proposal.gear.metal_armor_set; assembled metal armor; equipment; whole-body assembly candidate; armor; finished item; manufactured / unresolved; protection; metal; assembly; author direction; </x:v>
      </x:c>
      <x:c r="AE113" s="4" t="str">
        <x:v>From current item description. Proposed uses retain their existing approval status.</x:v>
      </x:c>
    </x:row>
    <x:row r="114" ht="105" customHeight="1">
      <x:c r="A114" s="9" t="str">
        <x:v>proposal.gear.chest_armor</x:v>
      </x:c>
      <x:c r="B114" s="9" t="str">
        <x:v>Chest armor</x:v>
      </x:c>
      <x:c r="C114" s="9" t="str">
        <x:v>Equipment</x:v>
      </x:c>
      <x:c r="D114" s="9" t="str">
        <x:v>Torso plate</x:v>
      </x:c>
      <x:c r="E114" s="9" t="str">
        <x:v>User direction; not implemented</x:v>
      </x:c>
      <x:c r="F114" s="9" t="str">
        <x:v>Torso protection candidate</x:v>
      </x:c>
      <x:c r="G114" s="9" t="str">
        <x:v>Unassigned; loadout extension TBD</x:v>
      </x:c>
      <x:c r="H114" s="9" t="str">
        <x:v>Booter-worn/held concept; permitted spares in Legger cargo TBD</x:v>
      </x:c>
      <x:c r="I114" s="13"/>
      <x:c r="J114" s="15"/>
      <x:c r="K114" s="9" t="str">
        <x:v>Fabrication, trade or salvage candidate; no recipe authored</x:v>
      </x:c>
      <x:c r="L114" s="9" t="str">
        <x:v>Proposed materials: Worked metal; optional shell/mineral-backed design</x:v>
      </x:c>
      <x:c r="M114" s="9" t="str">
        <x:v>Not implemented</x:v>
      </x:c>
      <x:c r="N114" s="9" t="str">
        <x:v>Relationship to chainmail, jacket, cloak and canisters unresolved; no automatic Jacket-slot compatibility</x:v>
      </x:c>
      <x:c r="O114" s="42"/>
      <x:c r="P114" s="42"/>
      <x:c r="Q114" s="42"/>
      <x:c r="R114" s="42"/>
      <x:c r="S114" s="42"/>
      <x:c r="T114" s="9" t="str">
        <x:v>Crude: Single repaired plate and simple retaining hardware. Serviceable: Shaped front/back panels with accessible closures. Elaborate: Fitted articulated chest assembly with replaceable panels</x:v>
      </x:c>
      <x:c r="U114" s="11"/>
      <x:c r="V114"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4" s="4" t="str">
        <x:v>Armor</x:v>
      </x:c>
      <x:c r="X114" s="4" t="str">
        <x:v>Finished item</x:v>
      </x:c>
      <x:c r="Y114" s="4" t="str">
        <x:v>Manufactured / unresolved</x:v>
      </x:c>
      <x:c r="Z114" s="4" t="str">
        <x:v>Protection</x:v>
      </x:c>
      <x:c r="AA114" s="4" t="str">
        <x:v>Metal</x:v>
      </x:c>
      <x:c r="AB114" s="4" t="str">
        <x:v>Assembly</x:v>
      </x:c>
      <x:c r="AC114" s="4" t="str">
        <x:v>Author direction</x:v>
      </x:c>
      <x:c r="AD114" s="4" t="str">
        <x:f>LOWER(A114&amp;"; "&amp;B114&amp;"; "&amp;C114&amp;"; "&amp;D114&amp;"; "&amp;W114&amp;"; "&amp;X114&amp;"; "&amp;Y114&amp;"; "&amp;Z114&amp;"; "&amp;AA114&amp;"; "&amp;AB114&amp;"; "&amp;AC114&amp;"; "&amp;U114)</x:f>
        <x:v>proposal.gear.chest_armor; chest armor; equipment; torso plate; armor; finished item; manufactured / unresolved; protection; metal; assembly; author direction; </x:v>
      </x:c>
      <x:c r="AE114" s="4" t="str">
        <x:v>From current item description. Proposed uses retain their existing approval status.</x:v>
      </x:c>
    </x:row>
    <x:row r="115" ht="105" customHeight="1">
      <x:c r="A115" s="9" t="str">
        <x:v>proposal.gear.helmet</x:v>
      </x:c>
      <x:c r="B115" s="9" t="str">
        <x:v>Helmet</x:v>
      </x:c>
      <x:c r="C115" s="9" t="str">
        <x:v>Equipment</x:v>
      </x:c>
      <x:c r="D115" s="9" t="str">
        <x:v>Head</x:v>
      </x:c>
      <x:c r="E115" s="9" t="str">
        <x:v>User direction; not implemented</x:v>
      </x:c>
      <x:c r="F115" s="9" t="str">
        <x:v>Head protection with readable sight/hearing tradeoffs</x:v>
      </x:c>
      <x:c r="G115" s="9" t="str">
        <x:v>Unassigned; loadout extension TBD</x:v>
      </x:c>
      <x:c r="H115" s="9" t="str">
        <x:v>Booter-worn/held concept; permitted spares in Legger cargo TBD</x:v>
      </x:c>
      <x:c r="I115" s="13"/>
      <x:c r="J115" s="15"/>
      <x:c r="K115" s="9" t="str">
        <x:v>Fabrication, trade or salvage candidate; no recipe authored</x:v>
      </x:c>
      <x:c r="L115" s="9" t="str">
        <x:v>Proposed materials: Metal; optional shell panels; liner material undecided</x:v>
      </x:c>
      <x:c r="M115" s="9" t="str">
        <x:v>Not implemented</x:v>
      </x:c>
      <x:c r="N115" s="9" t="str">
        <x:v>Visibility, hearing, breathing and worn canister interaction need design; no sealed respiratory protection implied</x:v>
      </x:c>
      <x:c r="O115" s="42"/>
      <x:c r="P115" s="42"/>
      <x:c r="Q115" s="42"/>
      <x:c r="R115" s="42"/>
      <x:c r="S115" s="42"/>
      <x:c r="T115" s="9" t="str">
        <x:v>Crude: Simple open bowl or salvaged cap. Serviceable: Fitted shell with cheek/neck coverage options. Elaborate: Articulated protective helmet with carefully framed sightlines</x:v>
      </x:c>
      <x:c r="U115" s="11"/>
      <x:c r="V115"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5" s="4" t="str">
        <x:v>Armor</x:v>
      </x:c>
      <x:c r="X115" s="4" t="str">
        <x:v>Finished item</x:v>
      </x:c>
      <x:c r="Y115" s="4" t="str">
        <x:v>Manufactured / unresolved</x:v>
      </x:c>
      <x:c r="Z115" s="4" t="str">
        <x:v>Protection</x:v>
      </x:c>
      <x:c r="AA115" s="4" t="str">
        <x:v>Metal</x:v>
      </x:c>
      <x:c r="AB115" s="4" t="str">
        <x:v>Assembly</x:v>
      </x:c>
      <x:c r="AC115" s="4" t="str">
        <x:v>Author direction</x:v>
      </x:c>
      <x:c r="AD115" s="4" t="str">
        <x:f>LOWER(A115&amp;"; "&amp;B115&amp;"; "&amp;C115&amp;"; "&amp;D115&amp;"; "&amp;W115&amp;"; "&amp;X115&amp;"; "&amp;Y115&amp;"; "&amp;Z115&amp;"; "&amp;AA115&amp;"; "&amp;AB115&amp;"; "&amp;AC115&amp;"; "&amp;U115)</x:f>
        <x:v>proposal.gear.helmet; helmet; equipment; head; armor; finished item; manufactured / unresolved; protection; metal; assembly; author direction; </x:v>
      </x:c>
      <x:c r="AE115" s="4" t="str">
        <x:v>From current item description. Proposed uses retain their existing approval status.</x:v>
      </x:c>
    </x:row>
    <x:row r="116" ht="105" customHeight="1">
      <x:c r="A116" s="9" t="str">
        <x:v>proposal.gear.leg_armor</x:v>
      </x:c>
      <x:c r="B116" s="9" t="str">
        <x:v>Leg armor</x:v>
      </x:c>
      <x:c r="C116" s="9" t="str">
        <x:v>Equipment</x:v>
      </x:c>
      <x:c r="D116" s="9" t="str">
        <x:v>Lower limbs</x:v>
      </x:c>
      <x:c r="E116" s="9" t="str">
        <x:v>User direction; not implemented</x:v>
      </x:c>
      <x:c r="F116" s="9" t="str">
        <x:v>Lower-limb protection candidate</x:v>
      </x:c>
      <x:c r="G116" s="9" t="str">
        <x:v>Unassigned; loadout extension TBD</x:v>
      </x:c>
      <x:c r="H116" s="9" t="str">
        <x:v>Booter-worn/held concept; permitted spares in Legger cargo TBD</x:v>
      </x:c>
      <x:c r="I116" s="13"/>
      <x:c r="J116" s="15"/>
      <x:c r="K116" s="9" t="str">
        <x:v>Fabrication, trade or salvage candidate; no recipe authored</x:v>
      </x:c>
      <x:c r="L116" s="9" t="str">
        <x:v>Proposed materials: Metal plate segments; mechanical/flexible joints TBD</x:v>
      </x:c>
      <x:c r="M116" s="9" t="str">
        <x:v>Not implemented</x:v>
      </x:c>
      <x:c r="N116" s="9" t="str">
        <x:v>Crouch, climb, gait and boots must remain compatible; no movement penalties fixed</x:v>
      </x:c>
      <x:c r="O116" s="42"/>
      <x:c r="P116" s="42"/>
      <x:c r="Q116" s="42"/>
      <x:c r="R116" s="42"/>
      <x:c r="S116" s="42"/>
      <x:c r="T116" s="9" t="str">
        <x:v>Crude: Separate shin plates and exposed joints. Serviceable: Matched shin/knee protection. Elaborate: Articulated thigh/knee/shin assembly</x:v>
      </x:c>
      <x:c r="U116" s="11"/>
      <x:c r="V116"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6" s="4" t="str">
        <x:v>Armor</x:v>
      </x:c>
      <x:c r="X116" s="4" t="str">
        <x:v>Finished item</x:v>
      </x:c>
      <x:c r="Y116" s="4" t="str">
        <x:v>Manufactured / unresolved</x:v>
      </x:c>
      <x:c r="Z116" s="4" t="str">
        <x:v>Protection</x:v>
      </x:c>
      <x:c r="AA116" s="4" t="str">
        <x:v>Metal</x:v>
      </x:c>
      <x:c r="AB116" s="4" t="str">
        <x:v>Assembly</x:v>
      </x:c>
      <x:c r="AC116" s="4" t="str">
        <x:v>Author direction</x:v>
      </x:c>
      <x:c r="AD116" s="4" t="str">
        <x:f>LOWER(A116&amp;"; "&amp;B116&amp;"; "&amp;C116&amp;"; "&amp;D116&amp;"; "&amp;W116&amp;"; "&amp;X116&amp;"; "&amp;Y116&amp;"; "&amp;Z116&amp;"; "&amp;AA116&amp;"; "&amp;AB116&amp;"; "&amp;AC116&amp;"; "&amp;U116)</x:f>
        <x:v>proposal.gear.leg_armor; leg armor; equipment; lower limbs; armor; finished item; manufactured / unresolved; protection; metal; assembly; author direction; </x:v>
      </x:c>
      <x:c r="AE116" s="4" t="str">
        <x:v>From current item description. Proposed uses retain their existing approval status.</x:v>
      </x:c>
    </x:row>
    <x:row r="117" ht="105" customHeight="1">
      <x:c r="A117" s="9" t="str">
        <x:v>proposal.gear.boots</x:v>
      </x:c>
      <x:c r="B117" s="9" t="str">
        <x:v>Boots</x:v>
      </x:c>
      <x:c r="C117" s="9" t="str">
        <x:v>Equipment</x:v>
      </x:c>
      <x:c r="D117" s="9" t="str">
        <x:v>Feet</x:v>
      </x:c>
      <x:c r="E117" s="9" t="str">
        <x:v>User direction; not implemented</x:v>
      </x:c>
      <x:c r="F117" s="9" t="str">
        <x:v>Footwear for traversal and exposure</x:v>
      </x:c>
      <x:c r="G117" s="9" t="str">
        <x:v>Unassigned; loadout extension TBD</x:v>
      </x:c>
      <x:c r="H117" s="9" t="str">
        <x:v>Booter-worn/held concept; permitted spares in Legger cargo TBD</x:v>
      </x:c>
      <x:c r="I117" s="13"/>
      <x:c r="J117" s="15"/>
      <x:c r="K117" s="9" t="str">
        <x:v>Fabrication, trade or salvage candidate; no recipe authored</x:v>
      </x:c>
      <x:c r="L117" s="9" t="str">
        <x:v>Proposed materials: Metal/shell structure; sole and flexible insert materials TBD</x:v>
      </x:c>
      <x:c r="M117" s="9" t="str">
        <x:v>Not implemented</x:v>
      </x:c>
      <x:c r="N117" s="9" t="str">
        <x:v>Grip, sound, grounding and insulation are separate proposals; no leather, rubber or cloth assumed</x:v>
      </x:c>
      <x:c r="O117" s="42"/>
      <x:c r="P117" s="42"/>
      <x:c r="Q117" s="42"/>
      <x:c r="R117" s="42"/>
      <x:c r="S117" s="42"/>
      <x:c r="T117" s="9" t="str">
        <x:v>Crude: Rigid foot shell with basic closure and replaceable sole pieces. Serviceable: Fitted boot with articulated ankle and serviceable tread. Elaborate: Carefully fitted armored boot with replaceable contact surfaces</x:v>
      </x:c>
      <x:c r="U117" s="11" t="str">
        <x:v>traversal</x:v>
      </x:c>
      <x:c r="V117"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7" s="4" t="str">
        <x:v>Wearable</x:v>
      </x:c>
      <x:c r="X117" s="4" t="str">
        <x:v>Finished item</x:v>
      </x:c>
      <x:c r="Y117" s="4" t="str">
        <x:v>Manufactured / unresolved</x:v>
      </x:c>
      <x:c r="Z117" s="4" t="str">
        <x:v>Protection</x:v>
      </x:c>
      <x:c r="AA117" s="4" t="str">
        <x:v>Mixed / unresolved</x:v>
      </x:c>
      <x:c r="AB117" s="4" t="str">
        <x:v>Garment</x:v>
      </x:c>
      <x:c r="AC117" s="4" t="str">
        <x:v>Author direction</x:v>
      </x:c>
      <x:c r="AD117" s="4" t="str">
        <x:f>LOWER(A117&amp;"; "&amp;B117&amp;"; "&amp;C117&amp;"; "&amp;D117&amp;"; "&amp;W117&amp;"; "&amp;X117&amp;"; "&amp;Y117&amp;"; "&amp;Z117&amp;"; "&amp;AA117&amp;"; "&amp;AB117&amp;"; "&amp;AC117&amp;"; "&amp;U117)</x:f>
        <x:v>proposal.gear.boots; boots; equipment; feet; wearable; finished item; manufactured / unresolved; protection; mixed / unresolved; garment; author direction; traversal</x:v>
      </x:c>
      <x:c r="AE117" s="4" t="str">
        <x:v>From current item description. Proposed uses retain their existing approval status.</x:v>
      </x:c>
    </x:row>
    <x:row r="118" ht="105" customHeight="1">
      <x:c r="A118" s="9" t="str">
        <x:v>proposal.gear.gloves</x:v>
      </x:c>
      <x:c r="B118" s="9" t="str">
        <x:v>Gloves</x:v>
      </x:c>
      <x:c r="C118" s="9" t="str">
        <x:v>Equipment</x:v>
      </x:c>
      <x:c r="D118" s="9" t="str">
        <x:v>Hands</x:v>
      </x:c>
      <x:c r="E118" s="9" t="str">
        <x:v>User direction; not implemented</x:v>
      </x:c>
      <x:c r="F118" s="9" t="str">
        <x:v>Hand protection while handling tools and gear</x:v>
      </x:c>
      <x:c r="G118" s="9" t="str">
        <x:v>Unassigned; loadout extension TBD</x:v>
      </x:c>
      <x:c r="H118" s="9" t="str">
        <x:v>Booter-worn/held concept; permitted spares in Legger cargo TBD</x:v>
      </x:c>
      <x:c r="I118" s="13"/>
      <x:c r="J118" s="15"/>
      <x:c r="K118" s="9" t="str">
        <x:v>Fabrication, trade or salvage candidate; no recipe authored</x:v>
      </x:c>
      <x:c r="L118" s="9" t="str">
        <x:v>Proposed materials: Metal/shell guards; flexible insert material TBD</x:v>
      </x:c>
      <x:c r="M118" s="9" t="str">
        <x:v>Not implemented</x:v>
      </x:c>
      <x:c r="N118" s="9" t="str">
        <x:v>Dexterity, grip and chemical/electrical compatibility need design; no universal protective effect</x:v>
      </x:c>
      <x:c r="O118" s="42"/>
      <x:c r="P118" s="42"/>
      <x:c r="Q118" s="42"/>
      <x:c r="R118" s="42"/>
      <x:c r="S118" s="42"/>
      <x:c r="T118" s="9" t="str">
        <x:v>Crude: Palm/knuckle guards on a sparse carrier. Serviceable: Fitted hand protection with usable finger movement. Elaborate: Articulated plated glove with replaceable fingertips</x:v>
      </x:c>
      <x:c r="U118" s="11"/>
      <x:c r="V118"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8" s="4" t="str">
        <x:v>Wearable</x:v>
      </x:c>
      <x:c r="X118" s="4" t="str">
        <x:v>Finished item</x:v>
      </x:c>
      <x:c r="Y118" s="4" t="str">
        <x:v>Manufactured / unresolved</x:v>
      </x:c>
      <x:c r="Z118" s="4" t="str">
        <x:v>Protection</x:v>
      </x:c>
      <x:c r="AA118" s="4" t="str">
        <x:v>Mixed / unresolved</x:v>
      </x:c>
      <x:c r="AB118" s="4" t="str">
        <x:v>Garment</x:v>
      </x:c>
      <x:c r="AC118" s="4" t="str">
        <x:v>Author direction</x:v>
      </x:c>
      <x:c r="AD118" s="4" t="str">
        <x:f>LOWER(A118&amp;"; "&amp;B118&amp;"; "&amp;C118&amp;"; "&amp;D118&amp;"; "&amp;W118&amp;"; "&amp;X118&amp;"; "&amp;Y118&amp;"; "&amp;Z118&amp;"; "&amp;AA118&amp;"; "&amp;AB118&amp;"; "&amp;AC118&amp;"; "&amp;U118)</x:f>
        <x:v>proposal.gear.gloves; gloves; equipment; hands; wearable; finished item; manufactured / unresolved; protection; mixed / unresolved; garment; author direction; </x:v>
      </x:c>
      <x:c r="AE118" s="4" t="str">
        <x:v>From current item description. Proposed uses retain their existing approval status.</x:v>
      </x:c>
    </x:row>
    <x:row r="119" ht="105" customHeight="1">
      <x:c r="A119" s="9" t="str">
        <x:v>proposal.gear.backpack</x:v>
      </x:c>
      <x:c r="B119" s="9" t="str">
        <x:v>Backpack</x:v>
      </x:c>
      <x:c r="C119" s="9" t="str">
        <x:v>Equipment</x:v>
      </x:c>
      <x:c r="D119" s="9" t="str">
        <x:v>Back-mounted carrier</x:v>
      </x:c>
      <x:c r="E119" s="9" t="str">
        <x:v>User direction; not implemented</x:v>
      </x:c>
      <x:c r="F119" s="9" t="str">
        <x:v>Booter-carried supplies/tool carrier candidate</x:v>
      </x:c>
      <x:c r="G119" s="9" t="str">
        <x:v>Unassigned; loadout extension TBD</x:v>
      </x:c>
      <x:c r="H119" s="9" t="str">
        <x:v>Booter-worn/held concept; permitted spares in Legger cargo TBD</x:v>
      </x:c>
      <x:c r="I119" s="13"/>
      <x:c r="J119" s="15"/>
      <x:c r="K119" s="9" t="str">
        <x:v>Fabrication, trade or salvage candidate; no recipe authored</x:v>
      </x:c>
      <x:c r="L119" s="9" t="str">
        <x:v>Proposed materials: Shell panels, metal frame, hinges; harness material unresolved</x:v>
      </x:c>
      <x:c r="M119" s="9" t="str">
        <x:v>Not implemented</x:v>
      </x:c>
      <x:c r="N119" s="9" t="str">
        <x:v>No raw-resource carrying exception. Capacity, equipment spares, cloak clearance and mounts remain open</x:v>
      </x:c>
      <x:c r="O119" s="42"/>
      <x:c r="P119" s="42"/>
      <x:c r="Q119" s="42"/>
      <x:c r="R119" s="42"/>
      <x:c r="S119" s="42"/>
      <x:c r="T119" s="9" t="str">
        <x:v>Crude: Rigid back basket or simple carrying frame. Serviceable: Compartmented shell/metal case on a fitted frame. Elaborate: Tailored frame with modular tool mounts and access panels</x:v>
      </x:c>
      <x:c r="U119" s="11"/>
      <x:c r="V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19" s="4" t="str">
        <x:v>Carrier</x:v>
      </x:c>
      <x:c r="X119" s="4" t="str">
        <x:v>Finished item</x:v>
      </x:c>
      <x:c r="Y119" s="4" t="str">
        <x:v>Manufactured / unresolved</x:v>
      </x:c>
      <x:c r="Z119" s="4" t="str">
        <x:v>Cargo organization</x:v>
      </x:c>
      <x:c r="AA119" s="4" t="str">
        <x:v>Mixed / unresolved</x:v>
      </x:c>
      <x:c r="AB119" s="4" t="str">
        <x:v>Assembly</x:v>
      </x:c>
      <x:c r="AC119" s="4" t="str">
        <x:v>Author direction</x:v>
      </x:c>
      <x:c r="AD119" s="4" t="str">
        <x:f>LOWER(A119&amp;"; "&amp;B119&amp;"; "&amp;C119&amp;"; "&amp;D119&amp;"; "&amp;W119&amp;"; "&amp;X119&amp;"; "&amp;Y119&amp;"; "&amp;Z119&amp;"; "&amp;AA119&amp;"; "&amp;AB119&amp;"; "&amp;AC119&amp;"; "&amp;U119)</x:f>
        <x:v>proposal.gear.backpack; backpack; equipment; back-mounted carrier; carrier; finished item; manufactured / unresolved; cargo organization; mixed / unresolved; assembly; author direction; </x:v>
      </x:c>
      <x:c r="AE119" s="4" t="str">
        <x:v>From current item description. Proposed uses retain their existing approval status.</x:v>
      </x:c>
    </x:row>
    <x:row r="120" ht="105" customHeight="1">
      <x:c r="A120" s="9" t="str">
        <x:v>proposal.gear.special_plates</x:v>
      </x:c>
      <x:c r="B120" s="9" t="str">
        <x:v>Specialized armor plates</x:v>
      </x:c>
      <x:c r="C120" s="9" t="str">
        <x:v>Equipment</x:v>
      </x:c>
      <x:c r="D120" s="9" t="str">
        <x:v>Modular protection</x:v>
      </x:c>
      <x:c r="E120" s="9" t="str">
        <x:v>User direction; not implemented</x:v>
      </x:c>
      <x:c r="F120" s="9" t="str">
        <x:v>Purpose-specific protection modules</x:v>
      </x:c>
      <x:c r="G120" s="9" t="str">
        <x:v>Unassigned; loadout extension TBD</x:v>
      </x:c>
      <x:c r="H120" s="9" t="str">
        <x:v>Booter-worn/held concept; permitted spares in Legger cargo TBD</x:v>
      </x:c>
      <x:c r="I120" s="13"/>
      <x:c r="J120" s="15"/>
      <x:c r="K120" s="9" t="str">
        <x:v>Fabrication, trade or salvage candidate; no recipe authored</x:v>
      </x:c>
      <x:c r="L120" s="9" t="str">
        <x:v>Proposed materials: Metal, shell and optional mineral/ceramic layers; recipes TBD</x:v>
      </x:c>
      <x:c r="M120" s="9" t="str">
        <x:v>Not implemented</x:v>
      </x:c>
      <x:c r="N120" s="9" t="str">
        <x:v>Candidate functions: impact distribution, abrasion protection, joint coverage and electrical separation; all effects unapproved</x:v>
      </x:c>
      <x:c r="O120" s="42"/>
      <x:c r="P120" s="42"/>
      <x:c r="Q120" s="42"/>
      <x:c r="R120" s="42"/>
      <x:c r="S120" s="42"/>
      <x:c r="T120" s="9" t="str">
        <x:v>Crude: Replaceable abrasion plate or bolted reinforcement. Serviceable: Purpose-shaped joint cover or impact-spreading module. Elaborate: Integrated interchangeable plate system for specific tasks</x:v>
      </x:c>
      <x:c r="U120" s="11"/>
      <x:c r="V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0" s="4" t="str">
        <x:v>Armor</x:v>
      </x:c>
      <x:c r="X120" s="4" t="str">
        <x:v>Finished item</x:v>
      </x:c>
      <x:c r="Y120" s="4" t="str">
        <x:v>Manufactured / unresolved</x:v>
      </x:c>
      <x:c r="Z120" s="4" t="str">
        <x:v>Protection</x:v>
      </x:c>
      <x:c r="AA120" s="4" t="str">
        <x:v>Metal</x:v>
      </x:c>
      <x:c r="AB120" s="4" t="str">
        <x:v>Assembly</x:v>
      </x:c>
      <x:c r="AC120" s="4" t="str">
        <x:v>Author direction</x:v>
      </x:c>
      <x:c r="AD120" s="4" t="str">
        <x:f>LOWER(A120&amp;"; "&amp;B120&amp;"; "&amp;C120&amp;"; "&amp;D120&amp;"; "&amp;W120&amp;"; "&amp;X120&amp;"; "&amp;Y120&amp;"; "&amp;Z120&amp;"; "&amp;AA120&amp;"; "&amp;AB120&amp;"; "&amp;AC120&amp;"; "&amp;U120)</x:f>
        <x:v>proposal.gear.special_plates; specialized armor plates; equipment; modular protection; armor; finished item; manufactured / unresolved; protection; metal; assembly; author direction; </x:v>
      </x:c>
      <x:c r="AE120" s="4" t="str">
        <x:v>From current item description. Proposed uses retain their existing approval status.</x:v>
      </x:c>
    </x:row>
    <x:row r="121" ht="105" customHeight="1">
      <x:c r="A121" s="9" t="str">
        <x:v>proposal.gear.shield</x:v>
      </x:c>
      <x:c r="B121" s="9" t="str">
        <x:v>Shield</x:v>
      </x:c>
      <x:c r="C121" s="9" t="str">
        <x:v>Equipment</x:v>
      </x:c>
      <x:c r="D121" s="9" t="str">
        <x:v>Held / mounted defensive gear</x:v>
      </x:c>
      <x:c r="E121" s="9" t="str">
        <x:v>User direction; not implemented</x:v>
      </x:c>
      <x:c r="F121" s="9" t="str">
        <x:v>Directional protection candidate</x:v>
      </x:c>
      <x:c r="G121" s="9" t="str">
        <x:v>Unassigned; loadout extension TBD</x:v>
      </x:c>
      <x:c r="H121" s="9" t="str">
        <x:v>Booter-worn/held concept; permitted spares in Legger cargo TBD</x:v>
      </x:c>
      <x:c r="I121" s="13"/>
      <x:c r="J121" s="15"/>
      <x:c r="K121" s="9" t="str">
        <x:v>Fabrication, trade or salvage candidate; no recipe authored</x:v>
      </x:c>
      <x:c r="L121" s="9" t="str">
        <x:v>Proposed materials: Metal and/or shell panels; grip and rim materials TBD</x:v>
      </x:c>
      <x:c r="M121" s="9" t="str">
        <x:v>Not implemented</x:v>
      </x:c>
      <x:c r="N121" s="9" t="str">
        <x:v>Hand ownership, tool use, carrying posture and Legger cargo storage need design; no blocking mechanics implemented</x:v>
      </x:c>
      <x:c r="O121" s="42"/>
      <x:c r="P121" s="42"/>
      <x:c r="Q121" s="42"/>
      <x:c r="R121" s="42"/>
      <x:c r="S121" s="42"/>
      <x:c r="T121" s="9" t="str">
        <x:v>Crude: Cut salvaged plate with a rigid grip. Serviceable: Shaped shield with reinforced edge and repairable face. Elaborate: Fitted layered shield with deliberate sightline and handling geometry</x:v>
      </x:c>
      <x:c r="U121" s="11"/>
      <x:c r="V121" s="9" t="str">
        <x:v>Author item-family direction, October 14, 2026. Crude/serviceable/elaborate constructions, materials and effects are new proposals. Docs/WORLD_BASIS.md#material-culture; current runtime slot contract: Assets/_Project/Scripts/Runtime/TopDown3D/Inventory/TopDown3DLoadoutLayout.cs</x:v>
      </x:c>
      <x:c r="W121" s="4" t="str">
        <x:v>Shield</x:v>
      </x:c>
      <x:c r="X121" s="4" t="str">
        <x:v>Finished item</x:v>
      </x:c>
      <x:c r="Y121" s="4" t="str">
        <x:v>Manufactured / unresolved</x:v>
      </x:c>
      <x:c r="Z121" s="4" t="str">
        <x:v>Protection</x:v>
      </x:c>
      <x:c r="AA121" s="4" t="str">
        <x:v>Mixed / unresolved</x:v>
      </x:c>
      <x:c r="AB121" s="4" t="str">
        <x:v>Assembly</x:v>
      </x:c>
      <x:c r="AC121" s="4" t="str">
        <x:v>Author direction</x:v>
      </x:c>
      <x:c r="AD121" s="4" t="str">
        <x:f>LOWER(A121&amp;"; "&amp;B121&amp;"; "&amp;C121&amp;"; "&amp;D121&amp;"; "&amp;W121&amp;"; "&amp;X121&amp;"; "&amp;Y121&amp;"; "&amp;Z121&amp;"; "&amp;AA121&amp;"; "&amp;AB121&amp;"; "&amp;AC121&amp;"; "&amp;U121)</x:f>
        <x:v>proposal.gear.shield; shield; equipment; held / mounted defensive gear; shield; finished item; manufactured / unresolved; protection; mixed / unresolved; assembly; author direction; </x:v>
      </x:c>
      <x:c r="AE121" s="4" t="str">
        <x:v>From current item description. Proposed uses retain their existing approval status.</x:v>
      </x:c>
    </x:row>
    <x:row r="122" ht="85" customHeight="1">
      <x:c r="A122" s="9" t="str">
        <x:v>proposal.weapon.caltrops</x:v>
      </x:c>
      <x:c r="B122" s="9" t="str">
        <x:v>Caltrops</x:v>
      </x:c>
      <x:c r="C122" s="9" t="str">
        <x:v>Weapons</x:v>
      </x:c>
      <x:c r="D122" s="9" t="str">
        <x:v>Trip-ups</x:v>
      </x:c>
      <x:c r="E122" s="9" t="str">
        <x:v>User direction; not implemented</x:v>
      </x:c>
      <x:c r="F122" s="9" t="str">
        <x:v>First named candidate for specialized, purpose-specific weapon brainstorming.</x:v>
      </x:c>
      <x:c r="G122" s="9" t="str">
        <x:v>Unassigned; future design</x:v>
      </x:c>
      <x:c r="H122" s="9" t="str">
        <x:v>Carrier and quantity policy TBD</x:v>
      </x:c>
      <x:c r="I122" s="13"/>
      <x:c r="J122" s="15"/>
      <x:c r="K122" s="9" t="str">
        <x:v>Acquisition and manufacture deferred</x:v>
      </x:c>
      <x:c r="L122" s="9" t="str">
        <x:v>No recipe authored</x:v>
      </x:c>
      <x:c r="M122" s="9" t="str">
        <x:v>Not implemented</x:v>
      </x:c>
      <x:c r="N122" s="9" t="str">
        <x:v>Weapon mechanics, damage, targets and deployment are deferred.</x:v>
      </x:c>
      <x:c r="O122" s="17"/>
      <x:c r="P122" s="17"/>
      <x:c r="Q122" s="17"/>
      <x:c r="R122" s="17"/>
      <x:c r="S122" s="17"/>
      <x:c r="T122" s="9" t="str">
        <x:v>Future weapon lanes: offensive weapons, defensive weapons, traps and trip-ups. No additional weapon roster proposed.</x:v>
      </x:c>
      <x:c r="U122" s="11"/>
      <x:c r="V122" s="9" t="str">
        <x:v>Direct author direction, October 14, 2026. Detailed brainstorming explicitly deferred.</x:v>
      </x:c>
      <x:c r="W122" s="4" t="str">
        <x:v>Trip hazard</x:v>
      </x:c>
      <x:c r="X122" s="4" t="str">
        <x:v>Finished item</x:v>
      </x:c>
      <x:c r="Y122" s="4" t="str">
        <x:v>Manufactured / unresolved</x:v>
      </x:c>
      <x:c r="Z122" s="4" t="str">
        <x:v>Area denial</x:v>
      </x:c>
      <x:c r="AA122" s="4" t="str">
        <x:v>Unresolved</x:v>
      </x:c>
      <x:c r="AB122" s="4" t="str">
        <x:v>Solid part</x:v>
      </x:c>
      <x:c r="AC122" s="4" t="str">
        <x:v>Author direction</x:v>
      </x:c>
      <x:c r="AD122" s="4" t="str">
        <x:f>LOWER(A122&amp;"; "&amp;B122&amp;"; "&amp;C122&amp;"; "&amp;D122&amp;"; "&amp;W122&amp;"; "&amp;X122&amp;"; "&amp;Y122&amp;"; "&amp;Z122&amp;"; "&amp;AA122&amp;"; "&amp;AB122&amp;"; "&amp;AC122&amp;"; "&amp;U122)</x:f>
        <x:v>proposal.weapon.caltrops; caltrops; weapons; trip-ups; trip hazard; finished item; manufactured / unresolved; area denial; unresolved; solid part; author direction; </x:v>
      </x:c>
      <x:c r="AE122" s="4" t="str">
        <x:v>From current item description. Proposed uses retain their existing approval status.</x:v>
      </x:c>
    </x:row>
    <x:row r="123" ht="80" customHeight="1">
      <x:c r="A123" s="9" t="str">
        <x:v>proposal.ancient.carbon_composite</x:v>
      </x:c>
      <x:c r="B123" s="9" t="str">
        <x:v>Ancient carbon composite</x:v>
      </x:c>
      <x:c r="C123" s="9" t="str">
        <x:v>Resources</x:v>
      </x:c>
      <x:c r="D123" s="9" t="str">
        <x:v>Ancient manufactured material</x:v>
      </x:c>
      <x:c r="E123" s="9" t="str">
        <x:v>User direction; not implemented</x:v>
      </x:c>
      <x:c r="F123" s="9" t="str">
        <x:v>Ancient material comparable to carbon-fiber composites.</x:v>
      </x:c>
      <x:c r="G123" s="9" t="str">
        <x:v>None</x:v>
      </x:c>
      <x:c r="H123" s="9" t="str">
        <x:v>Recovered material: Legger / physical local storage</x:v>
      </x:c>
      <x:c r="I123" s="13"/>
      <x:c r="J123" s="15"/>
      <x:c r="K123" s="9" t="str">
        <x:v>Ancient-tech recovery source; specific sites and forms undecided</x:v>
      </x:c>
      <x:c r="L123" s="9" t="str">
        <x:v>Recovery/reuse only as a design candidate; no manufacturing recipe established</x:v>
      </x:c>
      <x:c r="M123" s="9" t="str">
        <x:v>Not implemented</x:v>
      </x:c>
      <x:c r="N123" s="9" t="str">
        <x:v>Recovery form, composition and usable properties need design. No carbon-fabric or cloth item assumed.</x:v>
      </x:c>
      <x:c r="O123" s="46" t="str">
        <x:v>Extremely rare</x:v>
      </x:c>
      <x:c r="P123" s="17"/>
      <x:c r="Q123" s="17"/>
      <x:c r="R123" s="17"/>
      <x:c r="S123" s="17"/>
      <x:c r="T123" s="9" t="str">
        <x:v>Extremely rare by author direction. Fragment versus intact component, testing, trade and fabrication possibilities remain open.</x:v>
      </x:c>
      <x:c r="U123" s="11"/>
      <x:c r="V123" s="9" t="str">
        <x:v>Direct author direction October 14, 2026; Docs/WORLD_BASIS.md#material-culture. Related source is a proposal: https://github.com/sleepyseamonster/Arc-Dust/blob/f6f98515c005dc3c73cccd9cbc031691745740c6/02-Arc-Dust-Worldbuilding/world/materials/ancient-synthetics.md</x:v>
      </x:c>
      <x:c r="W123" s="4" t="str">
        <x:v>Processed material</x:v>
      </x:c>
      <x:c r="X123" s="4" t="str">
        <x:v>Ancient manufactured</x:v>
      </x:c>
      <x:c r="Y123" s="4" t="str">
        <x:v>Ancient technology</x:v>
      </x:c>
      <x:c r="Z123" s="4" t="str">
        <x:v>Use unresolved</x:v>
      </x:c>
      <x:c r="AA123" s="4" t="str">
        <x:v>Ancient composite</x:v>
      </x:c>
      <x:c r="AB123" s="4" t="str">
        <x:v>Unresolved</x:v>
      </x:c>
      <x:c r="AC123" s="4" t="str">
        <x:v>Author direction</x:v>
      </x:c>
      <x:c r="AD123" s="4" t="str">
        <x:f>LOWER(A123&amp;"; "&amp;B123&amp;"; "&amp;C123&amp;"; "&amp;D123&amp;"; "&amp;W123&amp;"; "&amp;X123&amp;"; "&amp;Y123&amp;"; "&amp;Z123&amp;"; "&amp;AA123&amp;"; "&amp;AB123&amp;"; "&amp;AC123&amp;"; "&amp;U123)</x:f>
        <x:v>proposal.ancient.carbon_composite; ancient carbon composite; resources; ancient manufactured material; processed material; ancient manufactured; ancient technology; use unresolved; ancient composite; unresolved; author direction; </x:v>
      </x:c>
      <x:c r="AE123" s="4" t="str">
        <x:v>From current item description. Proposed uses retain their existing approval status.</x:v>
      </x:c>
    </x:row>
    <x:row r="124" ht="80" customHeight="1">
      <x:c r="A124" s="9" t="str">
        <x:v>proposal.ancient.nanocarbon</x:v>
      </x:c>
      <x:c r="B124" s="9" t="str">
        <x:v>Ancient nanocarbon material</x:v>
      </x:c>
      <x:c r="C124" s="9" t="str">
        <x:v>Resources</x:v>
      </x:c>
      <x:c r="D124" s="9" t="str">
        <x:v>Ancient manufactured material</x:v>
      </x:c>
      <x:c r="E124" s="9" t="str">
        <x:v>User direction; not implemented</x:v>
      </x:c>
      <x:c r="F124" s="9" t="str">
        <x:v>Ancient material comparable to advanced nanocarbon substances.</x:v>
      </x:c>
      <x:c r="G124" s="9" t="str">
        <x:v>None</x:v>
      </x:c>
      <x:c r="H124" s="9" t="str">
        <x:v>Recovered material: Legger / physical local storage</x:v>
      </x:c>
      <x:c r="I124" s="13"/>
      <x:c r="J124" s="15"/>
      <x:c r="K124" s="9" t="str">
        <x:v>Ancient-tech recovery source; specific sites and forms undecided</x:v>
      </x:c>
      <x:c r="L124" s="9" t="str">
        <x:v>Recovery/reuse only as a design candidate; no manufacturing recipe established</x:v>
      </x:c>
      <x:c r="M124" s="9" t="str">
        <x:v>Not implemented</x:v>
      </x:c>
      <x:c r="N124" s="9" t="str">
        <x:v>No self-repair, active nanomachines or extraordinary conductivity inferred from its name.</x:v>
      </x:c>
      <x:c r="O124" s="46" t="str">
        <x:v>Extremely rare</x:v>
      </x:c>
      <x:c r="P124" s="17"/>
      <x:c r="Q124" s="17"/>
      <x:c r="R124" s="17"/>
      <x:c r="S124" s="17"/>
      <x:c r="T124" s="9" t="str">
        <x:v>Extremely rare by author direction. Fragment versus intact component, testing, trade and fabrication possibilities remain open.</x:v>
      </x:c>
      <x:c r="U124" s="11"/>
      <x:c r="V124" s="9" t="str">
        <x:v>Direct author direction October 14, 2026; Docs/WORLD_BASIS.md#material-culture. Related source is a proposal: https://github.com/sleepyseamonster/Arc-Dust/blob/f6f98515c005dc3c73cccd9cbc031691745740c6/02-Arc-Dust-Worldbuilding/world/materials/ancient-synthetics.md</x:v>
      </x:c>
      <x:c r="W124" s="4" t="str">
        <x:v>Processed material</x:v>
      </x:c>
      <x:c r="X124" s="4" t="str">
        <x:v>Ancient manufactured</x:v>
      </x:c>
      <x:c r="Y124" s="4" t="str">
        <x:v>Ancient technology</x:v>
      </x:c>
      <x:c r="Z124" s="4" t="str">
        <x:v>Use unresolved</x:v>
      </x:c>
      <x:c r="AA124" s="4" t="str">
        <x:v>Ancient composite</x:v>
      </x:c>
      <x:c r="AB124" s="4" t="str">
        <x:v>Unresolved</x:v>
      </x:c>
      <x:c r="AC124" s="4" t="str">
        <x:v>Author direction</x:v>
      </x:c>
      <x:c r="AD124" s="4" t="str">
        <x:f>LOWER(A124&amp;"; "&amp;B124&amp;"; "&amp;C124&amp;"; "&amp;D124&amp;"; "&amp;W124&amp;"; "&amp;X124&amp;"; "&amp;Y124&amp;"; "&amp;Z124&amp;"; "&amp;AA124&amp;"; "&amp;AB124&amp;"; "&amp;AC124&amp;"; "&amp;U124)</x:f>
        <x:v>proposal.ancient.nanocarbon; ancient nanocarbon material; resources; ancient manufactured material; processed material; ancient manufactured; ancient technology; use unresolved; ancient composite; unresolved; author direction; </x:v>
      </x:c>
      <x:c r="AE124" s="4" t="str">
        <x:v>From current item description. Proposed uses retain their existing approval status.</x:v>
      </x:c>
    </x:row>
    <x:row r="125" ht="80" customHeight="1">
      <x:c r="A125" s="9" t="str">
        <x:v>proposal.ancient.plasteel</x:v>
      </x:c>
      <x:c r="B125" s="9" t="str">
        <x:v>Ancient plasteel material</x:v>
      </x:c>
      <x:c r="C125" s="9" t="str">
        <x:v>Resources</x:v>
      </x:c>
      <x:c r="D125" s="9" t="str">
        <x:v>Ancient manufactured material</x:v>
      </x:c>
      <x:c r="E125" s="9" t="str">
        <x:v>User direction; not implemented</x:v>
      </x:c>
      <x:c r="F125" s="9" t="str">
        <x:v>Ancient manufactured material comparable to plasteel.</x:v>
      </x:c>
      <x:c r="G125" s="9" t="str">
        <x:v>None</x:v>
      </x:c>
      <x:c r="H125" s="9" t="str">
        <x:v>Recovered material: Legger / physical local storage</x:v>
      </x:c>
      <x:c r="I125" s="13"/>
      <x:c r="J125" s="15"/>
      <x:c r="K125" s="9" t="str">
        <x:v>Ancient-tech recovery source; specific sites and forms undecided</x:v>
      </x:c>
      <x:c r="L125" s="9" t="str">
        <x:v>Recovery/reuse only as a design candidate; no manufacturing recipe established</x:v>
      </x:c>
      <x:c r="M125" s="9" t="str">
        <x:v>Not implemented</x:v>
      </x:c>
      <x:c r="N125" s="9" t="str">
        <x:v>Exact formulation and properties undefined; not an ordinary iron/steel ore or alloy recipe.</x:v>
      </x:c>
      <x:c r="O125" s="46" t="str">
        <x:v>Extremely rare</x:v>
      </x:c>
      <x:c r="P125" s="17"/>
      <x:c r="Q125" s="17"/>
      <x:c r="R125" s="17"/>
      <x:c r="S125" s="17"/>
      <x:c r="T125" s="9" t="str">
        <x:v>Extremely rare by author direction. Fragment versus intact component, testing, trade and fabrication possibilities remain open.</x:v>
      </x:c>
      <x:c r="U125" s="11"/>
      <x:c r="V125" s="9" t="str">
        <x:v>Direct author direction October 14, 2026; Docs/WORLD_BASIS.md#material-culture. Related source is a proposal: https://github.com/sleepyseamonster/Arc-Dust/blob/f6f98515c005dc3c73cccd9cbc031691745740c6/02-Arc-Dust-Worldbuilding/world/materials/ancient-synthetics.md</x:v>
      </x:c>
      <x:c r="W125" s="4" t="str">
        <x:v>Processed material</x:v>
      </x:c>
      <x:c r="X125" s="4" t="str">
        <x:v>Ancient manufactured</x:v>
      </x:c>
      <x:c r="Y125" s="4" t="str">
        <x:v>Ancient technology</x:v>
      </x:c>
      <x:c r="Z125" s="4" t="str">
        <x:v>Use unresolved</x:v>
      </x:c>
      <x:c r="AA125" s="4" t="str">
        <x:v>Ancient composite</x:v>
      </x:c>
      <x:c r="AB125" s="4" t="str">
        <x:v>Unresolved</x:v>
      </x:c>
      <x:c r="AC125" s="4" t="str">
        <x:v>Author direction</x:v>
      </x:c>
      <x:c r="AD125" s="4" t="str">
        <x:f>LOWER(A125&amp;"; "&amp;B125&amp;"; "&amp;C125&amp;"; "&amp;D125&amp;"; "&amp;W125&amp;"; "&amp;X125&amp;"; "&amp;Y125&amp;"; "&amp;Z125&amp;"; "&amp;AA125&amp;"; "&amp;AB125&amp;"; "&amp;AC125&amp;"; "&amp;U125)</x:f>
        <x:v>proposal.ancient.plasteel; ancient plasteel material; resources; ancient manufactured material; processed material; ancient manufactured; ancient technology; use unresolved; ancient composite; unresolved; author direction; </x:v>
      </x:c>
      <x:c r="AE125" s="4" t="str">
        <x:v>From current item description. Proposed uses retain their existing approval status.</x:v>
      </x:c>
    </x:row>
    <x:row r="126" ht="90" customHeight="1">
      <x:c r="A126" s="9" t="str">
        <x:v>proposal.fashion.special_spectacles</x:v>
      </x:c>
      <x:c r="B126" s="9" t="str">
        <x:v>Specialized spectacles</x:v>
      </x:c>
      <x:c r="C126" s="9" t="str">
        <x:v>Equipment</x:v>
      </x:c>
      <x:c r="D126" s="9" t="str">
        <x:v>Specialist eyewear</x:v>
      </x:c>
      <x:c r="E126" s="9" t="str">
        <x:v>User direction; not implemented</x:v>
      </x:c>
      <x:c r="F126" s="9" t="str">
        <x:v>Rare specialized eyewear; precise purpose and optical effect to define.</x:v>
      </x:c>
      <x:c r="G126" s="9" t="str">
        <x:v>Unassigned; fit/layering TBD</x:v>
      </x:c>
      <x:c r="H126" s="9" t="str">
        <x:v>Booter-worn concept; spare/transfer policy TBD</x:v>
      </x:c>
      <x:c r="I126" s="13"/>
      <x:c r="J126" s="15"/>
      <x:c r="K126" s="9" t="str">
        <x:v>Specialist crafting/trade candidate; exact acquisition TBD</x:v>
      </x:c>
      <x:c r="L126" s="9" t="str">
        <x:v>Material family: Lens and frame materials/requirements TBD</x:v>
      </x:c>
      <x:c r="M126" s="9" t="str">
        <x:v>Not implemented</x:v>
      </x:c>
      <x:c r="N126" s="9" t="str">
        <x:v>Specific purpose, lens manufacture, face fit and equipment compatibility remain open</x:v>
      </x:c>
      <x:c r="O126" s="47" t="str">
        <x:v>Rare</x:v>
      </x:c>
      <x:c r="P126" s="17"/>
      <x:c r="Q126" s="17"/>
      <x:c r="R126" s="17"/>
      <x:c r="S126" s="17"/>
      <x:c r="T126" s="9" t="str">
        <x:v>Rare by author direction; fashion versions very rare and expensive. Crafting inputs intended high-value trade goods; no numeric price/time/yield assigned.</x:v>
      </x:c>
      <x:c r="U126" s="11"/>
      <x:c r="V126" s="9" t="str">
        <x:v>Direct author direction, October 14, 2026; Docs/WORLD_BASIS.md#material-culture. Clothing exists without cloth; fashion is very rare/expensive and qualifying crafting inputs have high sale-value intent.</x:v>
      </x:c>
      <x:c r="W126" s="4" t="str">
        <x:v>Wearable</x:v>
      </x:c>
      <x:c r="X126" s="4" t="str">
        <x:v>Finished item</x:v>
      </x:c>
      <x:c r="Y126" s="4" t="str">
        <x:v>Manufactured / unresolved</x:v>
      </x:c>
      <x:c r="Z126" s="4" t="str">
        <x:v>Vision</x:v>
      </x:c>
      <x:c r="AA126" s="4" t="str">
        <x:v>Mixed / unresolved</x:v>
      </x:c>
      <x:c r="AB126" s="4" t="str">
        <x:v>Assembly</x:v>
      </x:c>
      <x:c r="AC126" s="4" t="str">
        <x:v>Author direction</x:v>
      </x:c>
      <x:c r="AD126" s="4" t="str">
        <x:f>LOWER(A126&amp;"; "&amp;B126&amp;"; "&amp;C126&amp;"; "&amp;D126&amp;"; "&amp;W126&amp;"; "&amp;X126&amp;"; "&amp;Y126&amp;"; "&amp;Z126&amp;"; "&amp;AA126&amp;"; "&amp;AB126&amp;"; "&amp;AC126&amp;"; "&amp;U126)</x:f>
        <x:v>proposal.fashion.special_spectacles; specialized spectacles; equipment; specialist eyewear; wearable; finished item; manufactured / unresolved; vision; mixed / unresolved; assembly; author direction; </x:v>
      </x:c>
      <x:c r="AE126" s="4" t="str">
        <x:v>From current item description. Proposed uses retain their existing approval status.</x:v>
      </x:c>
    </x:row>
    <x:row r="127" ht="90" customHeight="1">
      <x:c r="A127" s="9" t="str">
        <x:v>proposal.fashion.eyeglasses</x:v>
      </x:c>
      <x:c r="B127" s="9" t="str">
        <x:v>Eyeglasses</x:v>
      </x:c>
      <x:c r="C127" s="9" t="str">
        <x:v>Equipment</x:v>
      </x:c>
      <x:c r="D127" s="9" t="str">
        <x:v>Eyewear</x:v>
      </x:c>
      <x:c r="E127" s="9" t="str">
        <x:v>User direction; not implemented</x:v>
      </x:c>
      <x:c r="F127" s="9" t="str">
        <x:v>Rare eyeglasses; lens function, frame and fitting need design.</x:v>
      </x:c>
      <x:c r="G127" s="9" t="str">
        <x:v>Unassigned; fit/layering TBD</x:v>
      </x:c>
      <x:c r="H127" s="9" t="str">
        <x:v>Booter-worn concept; spare/transfer policy TBD</x:v>
      </x:c>
      <x:c r="I127" s="13"/>
      <x:c r="J127" s="15"/>
      <x:c r="K127" s="9" t="str">
        <x:v>Specialist crafting/trade candidate; exact acquisition TBD</x:v>
      </x:c>
      <x:c r="L127" s="9" t="str">
        <x:v>Material family: Lens and frame materials/requirements TBD</x:v>
      </x:c>
      <x:c r="M127" s="9" t="str">
        <x:v>Not implemented</x:v>
      </x:c>
      <x:c r="N127" s="9" t="str">
        <x:v>Distinction from specialized spectacles and actual vision effects remain open</x:v>
      </x:c>
      <x:c r="O127" s="47" t="str">
        <x:v>Rare</x:v>
      </x:c>
      <x:c r="P127" s="17"/>
      <x:c r="Q127" s="17"/>
      <x:c r="R127" s="17"/>
      <x:c r="S127" s="17"/>
      <x:c r="T127" s="9" t="str">
        <x:v>Rare by author direction; fashion versions very rare and expensive. Crafting inputs intended high-value trade goods; no numeric price/time/yield assigned.</x:v>
      </x:c>
      <x:c r="U127" s="11"/>
      <x:c r="V127" s="9" t="str">
        <x:v>Direct author direction, October 14, 2026; Docs/WORLD_BASIS.md#material-culture. Clothing exists without cloth; fashion is very rare/expensive and qualifying crafting inputs have high sale-value intent.</x:v>
      </x:c>
      <x:c r="W127" s="4" t="str">
        <x:v>Wearable</x:v>
      </x:c>
      <x:c r="X127" s="4" t="str">
        <x:v>Finished item</x:v>
      </x:c>
      <x:c r="Y127" s="4" t="str">
        <x:v>Manufactured / unresolved</x:v>
      </x:c>
      <x:c r="Z127" s="4" t="str">
        <x:v>Vision</x:v>
      </x:c>
      <x:c r="AA127" s="4" t="str">
        <x:v>Mixed / unresolved</x:v>
      </x:c>
      <x:c r="AB127" s="4" t="str">
        <x:v>Assembly</x:v>
      </x:c>
      <x:c r="AC127" s="4" t="str">
        <x:v>Author direction</x:v>
      </x:c>
      <x:c r="AD127" s="4" t="str">
        <x:f>LOWER(A127&amp;"; "&amp;B127&amp;"; "&amp;C127&amp;"; "&amp;D127&amp;"; "&amp;W127&amp;"; "&amp;X127&amp;"; "&amp;Y127&amp;"; "&amp;Z127&amp;"; "&amp;AA127&amp;"; "&amp;AB127&amp;"; "&amp;AC127&amp;"; "&amp;U127)</x:f>
        <x:v>proposal.fashion.eyeglasses; eyeglasses; equipment; eyewear; wearable; finished item; manufactured / unresolved; vision; mixed / unresolved; assembly; author direction; </x:v>
      </x:c>
      <x:c r="AE127" s="4" t="str">
        <x:v>From current item description. Proposed uses retain their existing approval status.</x:v>
      </x:c>
    </x:row>
    <x:row r="128" ht="90" customHeight="1">
      <x:c r="A128" s="9" t="str">
        <x:v>proposal.fashion.hat</x:v>
      </x:c>
      <x:c r="B128" s="9" t="str">
        <x:v>Hat</x:v>
      </x:c>
      <x:c r="C128" s="9" t="str">
        <x:v>Equipment</x:v>
      </x:c>
      <x:c r="D128" s="9" t="str">
        <x:v>Headwear</x:v>
      </x:c>
      <x:c r="E128" s="9" t="str">
        <x:v>User direction; not implemented</x:v>
      </x:c>
      <x:c r="F128" s="9" t="str">
        <x:v>Rare headwear; fashion variants belong to the very rare expensive fashion economy.</x:v>
      </x:c>
      <x:c r="G128" s="9" t="str">
        <x:v>Unassigned; fit/layering TBD</x:v>
      </x:c>
      <x:c r="H128" s="9" t="str">
        <x:v>Booter-worn concept; spare/transfer policy TBD</x:v>
      </x:c>
      <x:c r="I128" s="13"/>
      <x:c r="J128" s="15"/>
      <x:c r="K128" s="9" t="str">
        <x:v>Specialist crafting/trade candidate; exact acquisition TBD</x:v>
      </x:c>
      <x:c r="L128" s="9" t="str">
        <x:v>Material family: Husk-fiber/fur/hide options proposed; exact construction TBD</x:v>
      </x:c>
      <x:c r="M128" s="9" t="str">
        <x:v>Not implemented</x:v>
      </x:c>
      <x:c r="N128" s="9" t="str">
        <x:v>Hat versus helmet, cloak clearance, shade and decorative function unresolved</x:v>
      </x:c>
      <x:c r="O128" s="47" t="str">
        <x:v>Rare</x:v>
      </x:c>
      <x:c r="P128" s="17"/>
      <x:c r="Q128" s="17"/>
      <x:c r="R128" s="17"/>
      <x:c r="S128" s="17"/>
      <x:c r="T128" s="9" t="str">
        <x:v>Rare by author direction; fashion versions very rare and expensive. Crafting inputs intended high-value trade goods; no numeric price/time/yield assigned.</x:v>
      </x:c>
      <x:c r="U128" s="11" t="str">
        <x:v>fashion</x:v>
      </x:c>
      <x:c r="V128" s="9" t="str">
        <x:v>Direct author direction, October 14, 2026; Docs/WORLD_BASIS.md#material-culture. Clothing exists without cloth; fashion is very rare/expensive and qualifying crafting inputs have high sale-value intent.</x:v>
      </x:c>
      <x:c r="W128" s="4" t="str">
        <x:v>Wearable</x:v>
      </x:c>
      <x:c r="X128" s="4" t="str">
        <x:v>Finished item</x:v>
      </x:c>
      <x:c r="Y128" s="4" t="str">
        <x:v>Manufactured / unresolved</x:v>
      </x:c>
      <x:c r="Z128" s="4" t="str">
        <x:v>Clothing</x:v>
      </x:c>
      <x:c r="AA128" s="4" t="str">
        <x:v>Mixed / unresolved</x:v>
      </x:c>
      <x:c r="AB128" s="4" t="str">
        <x:v>Garment</x:v>
      </x:c>
      <x:c r="AC128" s="4" t="str">
        <x:v>Author direction</x:v>
      </x:c>
      <x:c r="AD128" s="4" t="str">
        <x:f>LOWER(A128&amp;"; "&amp;B128&amp;"; "&amp;C128&amp;"; "&amp;D128&amp;"; "&amp;W128&amp;"; "&amp;X128&amp;"; "&amp;Y128&amp;"; "&amp;Z128&amp;"; "&amp;AA128&amp;"; "&amp;AB128&amp;"; "&amp;AC128&amp;"; "&amp;U128)</x:f>
        <x:v>proposal.fashion.hat; hat; equipment; headwear; wearable; finished item; manufactured / unresolved; clothing; mixed / unresolved; garment; author direction; fashion</x:v>
      </x:c>
      <x:c r="AE128" s="4" t="str">
        <x:v>From current item description. Proposed uses retain their existing approval status.</x:v>
      </x:c>
    </x:row>
    <x:row r="129" ht="90" customHeight="1">
      <x:c r="A129" s="9" t="str">
        <x:v>proposal.fashion.husk_garment</x:v>
      </x:c>
      <x:c r="B129" s="9" t="str">
        <x:v>Elaborate husk-fiber wear</x:v>
      </x:c>
      <x:c r="C129" s="9" t="str">
        <x:v>Equipment</x:v>
      </x:c>
      <x:c r="D129" s="9" t="str">
        <x:v>Fashion garment</x:v>
      </x:c>
      <x:c r="E129" s="9" t="str">
        <x:v>User direction; not implemented</x:v>
      </x:c>
      <x:c r="F129" s="9" t="str">
        <x:v>Very rare expensive fashion clothing using husk fibers.</x:v>
      </x:c>
      <x:c r="G129" s="9" t="str">
        <x:v>Unassigned; fit/layering TBD</x:v>
      </x:c>
      <x:c r="H129" s="9" t="str">
        <x:v>Booter-worn concept; spare/transfer policy TBD</x:v>
      </x:c>
      <x:c r="I129" s="13"/>
      <x:c r="J129" s="15"/>
      <x:c r="K129" s="9" t="str">
        <x:v>Specialist crafting/trade candidate; exact acquisition TBD</x:v>
      </x:c>
      <x:c r="L129" s="9" t="str">
        <x:v>Material family: Husk-fiber material; no cloth</x:v>
      </x:c>
      <x:c r="M129" s="9" t="str">
        <x:v>Not implemented</x:v>
      </x:c>
      <x:c r="N129" s="9" t="str">
        <x:v>Luxury workmanship and large material/time demand; does not classify all everyday clothing as rare. Hide/fur processing still has extremely low yield.</x:v>
      </x:c>
      <x:c r="O129" s="47" t="str">
        <x:v>Very rare</x:v>
      </x:c>
      <x:c r="P129" s="17"/>
      <x:c r="Q129" s="17"/>
      <x:c r="R129" s="17"/>
      <x:c r="S129" s="17"/>
      <x:c r="T129" s="9" t="str">
        <x:v>Elaborate fashion variant. Ordinary simple wraps and metal-based wear with minimal fur are a separate everyday baseline.</x:v>
      </x:c>
      <x:c r="U129" s="11"/>
      <x:c r="V129" s="9" t="str">
        <x:v>Direct author clarification, October 14, 2026; Docs/WORLD_BASIS.md#material-culture. Ordinary wear: simple wraps, metal chainmail and practical metal-based pieces with minimal fur. Elaborate fashion remains rare/expensive; no cloth.</x:v>
      </x:c>
      <x:c r="W129" s="4" t="str">
        <x:v>Wearable</x:v>
      </x:c>
      <x:c r="X129" s="4" t="str">
        <x:v>Finished item</x:v>
      </x:c>
      <x:c r="Y129" s="4" t="str">
        <x:v>Manufactured / unresolved</x:v>
      </x:c>
      <x:c r="Z129" s="4" t="str">
        <x:v>Fashion</x:v>
      </x:c>
      <x:c r="AA129" s="4" t="str">
        <x:v>Husk fiber</x:v>
      </x:c>
      <x:c r="AB129" s="4" t="str">
        <x:v>Garment</x:v>
      </x:c>
      <x:c r="AC129" s="4" t="str">
        <x:v>Author direction</x:v>
      </x:c>
      <x:c r="AD129" s="4" t="str">
        <x:f>LOWER(A129&amp;"; "&amp;B129&amp;"; "&amp;C129&amp;"; "&amp;D129&amp;"; "&amp;W129&amp;"; "&amp;X129&amp;"; "&amp;Y129&amp;"; "&amp;Z129&amp;"; "&amp;AA129&amp;"; "&amp;AB129&amp;"; "&amp;AC129&amp;"; "&amp;U129)</x:f>
        <x:v>proposal.fashion.husk_garment; elaborate husk-fiber wear; equipment; fashion garment; wearable; finished item; manufactured / unresolved; fashion; husk fiber; garment; author direction; </x:v>
      </x:c>
      <x:c r="AE129" s="4" t="str">
        <x:v>From current item description. Proposed uses retain their existing approval status.</x:v>
      </x:c>
    </x:row>
    <x:row r="130" ht="90" customHeight="1">
      <x:c r="A130" s="9" t="str">
        <x:v>proposal.fashion.fur_garment</x:v>
      </x:c>
      <x:c r="B130" s="9" t="str">
        <x:v>Elaborate fur wear</x:v>
      </x:c>
      <x:c r="C130" s="9" t="str">
        <x:v>Equipment</x:v>
      </x:c>
      <x:c r="D130" s="9" t="str">
        <x:v>Fashion garment</x:v>
      </x:c>
      <x:c r="E130" s="9" t="str">
        <x:v>User direction; not implemented</x:v>
      </x:c>
      <x:c r="F130" s="9" t="str">
        <x:v>Very rare expensive fashion clothing using animal fur.</x:v>
      </x:c>
      <x:c r="G130" s="9" t="str">
        <x:v>Unassigned; fit/layering TBD</x:v>
      </x:c>
      <x:c r="H130" s="9" t="str">
        <x:v>Booter-worn concept; spare/transfer policy TBD</x:v>
      </x:c>
      <x:c r="I130" s="13"/>
      <x:c r="J130" s="15"/>
      <x:c r="K130" s="9" t="str">
        <x:v>Specialist crafting/trade candidate; exact acquisition TBD</x:v>
      </x:c>
      <x:c r="L130" s="9" t="str">
        <x:v>Material family: Animal fur; supporting material TBD; no cloth</x:v>
      </x:c>
      <x:c r="M130" s="9" t="str">
        <x:v>Not implemented</x:v>
      </x:c>
      <x:c r="N130" s="9" t="str">
        <x:v>Luxury workmanship and large material/time demand; does not classify all everyday clothing as rare. Hide/fur processing still has extremely low yield.</x:v>
      </x:c>
      <x:c r="O130" s="47" t="str">
        <x:v>Very rare</x:v>
      </x:c>
      <x:c r="P130" s="17"/>
      <x:c r="Q130" s="17"/>
      <x:c r="R130" s="17"/>
      <x:c r="S130" s="17"/>
      <x:c r="T130" s="9" t="str">
        <x:v>Elaborate fashion variant. Ordinary simple wraps and metal-based wear with minimal fur are a separate everyday baseline.</x:v>
      </x:c>
      <x:c r="U130" s="11"/>
      <x:c r="V130" s="9" t="str">
        <x:v>Direct author clarification, October 14, 2026; Docs/WORLD_BASIS.md#material-culture. Ordinary wear: simple wraps, metal chainmail and practical metal-based pieces with minimal fur. Elaborate fashion remains rare/expensive; no cloth.</x:v>
      </x:c>
      <x:c r="W130" s="4" t="str">
        <x:v>Wearable</x:v>
      </x:c>
      <x:c r="X130" s="4" t="str">
        <x:v>Finished item</x:v>
      </x:c>
      <x:c r="Y130" s="4" t="str">
        <x:v>Manufactured / unresolved</x:v>
      </x:c>
      <x:c r="Z130" s="4" t="str">
        <x:v>Fashion</x:v>
      </x:c>
      <x:c r="AA130" s="4" t="str">
        <x:v>Fur</x:v>
      </x:c>
      <x:c r="AB130" s="4" t="str">
        <x:v>Garment</x:v>
      </x:c>
      <x:c r="AC130" s="4" t="str">
        <x:v>Author direction</x:v>
      </x:c>
      <x:c r="AD130" s="4" t="str">
        <x:f>LOWER(A130&amp;"; "&amp;B130&amp;"; "&amp;C130&amp;"; "&amp;D130&amp;"; "&amp;W130&amp;"; "&amp;X130&amp;"; "&amp;Y130&amp;"; "&amp;Z130&amp;"; "&amp;AA130&amp;"; "&amp;AB130&amp;"; "&amp;AC130&amp;"; "&amp;U130)</x:f>
        <x:v>proposal.fashion.fur_garment; elaborate fur wear; equipment; fashion garment; wearable; finished item; manufactured / unresolved; fashion; fur; garment; author direction; </x:v>
      </x:c>
      <x:c r="AE130" s="4" t="str">
        <x:v>From current item description. Proposed uses retain their existing approval status.</x:v>
      </x:c>
    </x:row>
    <x:row r="131" ht="90" customHeight="1">
      <x:c r="A131" s="9" t="str">
        <x:v>proposal.fashion.hide_garment</x:v>
      </x:c>
      <x:c r="B131" s="9" t="str">
        <x:v>Elaborate hide wear</x:v>
      </x:c>
      <x:c r="C131" s="9" t="str">
        <x:v>Equipment</x:v>
      </x:c>
      <x:c r="D131" s="9" t="str">
        <x:v>Fashion garment</x:v>
      </x:c>
      <x:c r="E131" s="9" t="str">
        <x:v>User direction; not implemented</x:v>
      </x:c>
      <x:c r="F131" s="9" t="str">
        <x:v>Very rare expensive fashion clothing using processed hides.</x:v>
      </x:c>
      <x:c r="G131" s="9" t="str">
        <x:v>Unassigned; fit/layering TBD</x:v>
      </x:c>
      <x:c r="H131" s="9" t="str">
        <x:v>Booter-worn concept; spare/transfer policy TBD</x:v>
      </x:c>
      <x:c r="I131" s="13"/>
      <x:c r="J131" s="15"/>
      <x:c r="K131" s="9" t="str">
        <x:v>Specialist crafting/trade candidate; exact acquisition TBD</x:v>
      </x:c>
      <x:c r="L131" s="9" t="str">
        <x:v>Material family: Processed hide; supporting material TBD; no cloth</x:v>
      </x:c>
      <x:c r="M131" s="9" t="str">
        <x:v>Not implemented</x:v>
      </x:c>
      <x:c r="N131" s="9" t="str">
        <x:v>Luxury workmanship and large material/time demand; does not classify all everyday clothing as rare. Hide/fur processing still has extremely low yield.</x:v>
      </x:c>
      <x:c r="O131" s="47" t="str">
        <x:v>Very rare</x:v>
      </x:c>
      <x:c r="P131" s="17"/>
      <x:c r="Q131" s="17"/>
      <x:c r="R131" s="17"/>
      <x:c r="S131" s="17"/>
      <x:c r="T131" s="9" t="str">
        <x:v>Elaborate fashion variant. Ordinary simple wraps and metal-based wear with minimal fur are a separate everyday baseline.</x:v>
      </x:c>
      <x:c r="U131" s="11"/>
      <x:c r="V131" s="9" t="str">
        <x:v>Direct author clarification, October 14, 2026; Docs/WORLD_BASIS.md#material-culture. Ordinary wear: simple wraps, metal chainmail and practical metal-based pieces with minimal fur. Elaborate fashion remains rare/expensive; no cloth.</x:v>
      </x:c>
      <x:c r="W131" s="4" t="str">
        <x:v>Wearable</x:v>
      </x:c>
      <x:c r="X131" s="4" t="str">
        <x:v>Finished item</x:v>
      </x:c>
      <x:c r="Y131" s="4" t="str">
        <x:v>Manufactured / unresolved</x:v>
      </x:c>
      <x:c r="Z131" s="4" t="str">
        <x:v>Fashion</x:v>
      </x:c>
      <x:c r="AA131" s="4" t="str">
        <x:v>Hide</x:v>
      </x:c>
      <x:c r="AB131" s="4" t="str">
        <x:v>Garment</x:v>
      </x:c>
      <x:c r="AC131" s="4" t="str">
        <x:v>Author direction</x:v>
      </x:c>
      <x:c r="AD131" s="4" t="str">
        <x:f>LOWER(A131&amp;"; "&amp;B131&amp;"; "&amp;C131&amp;"; "&amp;D131&amp;"; "&amp;W131&amp;"; "&amp;X131&amp;"; "&amp;Y131&amp;"; "&amp;Z131&amp;"; "&amp;AA131&amp;"; "&amp;AB131&amp;"; "&amp;AC131&amp;"; "&amp;U131)</x:f>
        <x:v>proposal.fashion.hide_garment; elaborate hide wear; equipment; fashion garment; wearable; finished item; manufactured / unresolved; fashion; hide; garment; author direction; </x:v>
      </x:c>
      <x:c r="AE131" s="4" t="str">
        <x:v>From current item description. Proposed uses retain their existing approval status.</x:v>
      </x:c>
    </x:row>
    <x:row r="132" ht="90" customHeight="1">
      <x:c r="A132" s="9" t="str">
        <x:v>proposal.gem.clear_quartz</x:v>
      </x:c>
      <x:c r="B132" s="9" t="str">
        <x:v>Clear quartz</x:v>
      </x:c>
      <x:c r="C132" s="9" t="str">
        <x:v>Resources</x:v>
      </x:c>
      <x:c r="D132" s="9" t="str">
        <x:v>Gemstone concept</x:v>
      </x:c>
      <x:c r="E132" s="9" t="str">
        <x:v>New proposal</x:v>
      </x:c>
      <x:c r="F132" s="9" t="str">
        <x:v>Proposed appearance: Colorless / clear crystal. Potential use: Small ornaments, polished inserts and premium clear stonework</x:v>
      </x:c>
      <x:c r="G132" s="9" t="str">
        <x:v>None</x:v>
      </x:c>
      <x:c r="H132" s="9" t="str">
        <x:v>Gathered raw gemstone: Legger / local storage</x:v>
      </x:c>
      <x:c r="I132" s="13"/>
      <x:c r="J132" s="15"/>
      <x:c r="K132" s="9" t="str">
        <x:v>Authored ancient mineral-bearing strata candidate; no deposit placement approved</x:v>
      </x:c>
      <x:c r="L132" s="9" t="str">
        <x:v>Sorting, cutting, polishing and setting are future craft concepts</x:v>
      </x:c>
      <x:c r="M132" s="9" t="str">
        <x:v>Not implemented</x:v>
      </x:c>
      <x:c r="N132" s="9" t="str">
        <x:v>Keep distinct from loose silica grit and manufactured glass; optical function is not assumed.</x:v>
      </x:c>
      <x:c r="O132" s="48"/>
      <x:c r="P132" s="48"/>
      <x:c r="Q132" s="48"/>
      <x:c r="R132" s="48"/>
      <x:c r="S132" s="48"/>
      <x:c r="T132" s="9" t="str">
        <x:v>Gemstones exist by author direction. This mineral choice, palette, grade, cut and use are proposals. Fashion-suitable inputs intended valuable; no universal rarity or numeric price assigned.</x:v>
      </x:c>
      <x:c r="U132" s="11"/>
      <x:c r="V132" s="9" t="str">
        <x:v>Author direction October 14, 2026 establishes gemstones generally. Proposed real-mineral inspiration: https://www.gia.edu/gem-encyclopedia; no claim of Death Valley occurrence or game canon for this species.</x:v>
      </x:c>
      <x:c r="W132" s="4" t="str">
        <x:v>Gem material</x:v>
      </x:c>
      <x:c r="X132" s="4" t="str">
        <x:v>Unresolved</x:v>
      </x:c>
      <x:c r="Y132" s="4" t="str">
        <x:v>Geological</x:v>
      </x:c>
      <x:c r="Z132" s="4" t="str">
        <x:v>Decoration</x:v>
      </x:c>
      <x:c r="AA132" s="4" t="str">
        <x:v>Gemstone</x:v>
      </x:c>
      <x:c r="AB132" s="4" t="str">
        <x:v>Unresolved</x:v>
      </x:c>
      <x:c r="AC132" s="4" t="str">
        <x:v>Proposal</x:v>
      </x:c>
      <x:c r="AD132" s="4" t="str">
        <x:f>LOWER(A132&amp;"; "&amp;B132&amp;"; "&amp;C132&amp;"; "&amp;D132&amp;"; "&amp;W132&amp;"; "&amp;X132&amp;"; "&amp;Y132&amp;"; "&amp;Z132&amp;"; "&amp;AA132&amp;"; "&amp;AB132&amp;"; "&amp;AC132&amp;"; "&amp;U132)</x:f>
        <x:v>proposal.gem.clear_quartz; clear quartz; resources; gemstone concept; gem material; unresolved; geological; decoration; gemstone; unresolved; proposal; </x:v>
      </x:c>
      <x:c r="AE132" s="4" t="str">
        <x:v>From current item description. Proposed uses retain their existing approval status.</x:v>
      </x:c>
    </x:row>
    <x:row r="133" ht="90" customHeight="1">
      <x:c r="A133" s="9" t="str">
        <x:v>proposal.gem.smoky_quartz</x:v>
      </x:c>
      <x:c r="B133" s="9" t="str">
        <x:v>Smoky quartz</x:v>
      </x:c>
      <x:c r="C133" s="9" t="str">
        <x:v>Resources</x:v>
      </x:c>
      <x:c r="D133" s="9" t="str">
        <x:v>Gemstone concept</x:v>
      </x:c>
      <x:c r="E133" s="9" t="str">
        <x:v>New proposal</x:v>
      </x:c>
      <x:c r="F133" s="9" t="str">
        <x:v>Proposed appearance: Smoke-brown through near-black palette. Potential use: Dark ornaments, clasps and contrasting inlays</x:v>
      </x:c>
      <x:c r="G133" s="9" t="str">
        <x:v>None</x:v>
      </x:c>
      <x:c r="H133" s="9" t="str">
        <x:v>Gathered raw gemstone: Legger / local storage</x:v>
      </x:c>
      <x:c r="I133" s="13"/>
      <x:c r="J133" s="15"/>
      <x:c r="K133" s="9" t="str">
        <x:v>Authored ancient mineral-bearing strata candidate; no deposit placement approved</x:v>
      </x:c>
      <x:c r="L133" s="9" t="str">
        <x:v>Sorting, cutting, polishing and setting are future craft concepts</x:v>
      </x:c>
      <x:c r="M133" s="9" t="str">
        <x:v>Not implemented</x:v>
      </x:c>
      <x:c r="N133" s="9" t="str">
        <x:v>Color/clarity grades and cutting uses are proposals; no storm or charge effect inferred.</x:v>
      </x:c>
      <x:c r="O133" s="48"/>
      <x:c r="P133" s="48"/>
      <x:c r="Q133" s="48"/>
      <x:c r="R133" s="48"/>
      <x:c r="S133" s="48"/>
      <x:c r="T133" s="9" t="str">
        <x:v>Gemstones exist by author direction. This mineral choice, palette, grade, cut and use are proposals. Fashion-suitable inputs intended valuable; no universal rarity or numeric price assigned.</x:v>
      </x:c>
      <x:c r="U133" s="11"/>
      <x:c r="V133" s="9" t="str">
        <x:v>Author direction October 14, 2026 establishes gemstones generally. Proposed real-mineral inspiration: https://www.gia.edu/gem-encyclopedia; no claim of Death Valley occurrence or game canon for this species.</x:v>
      </x:c>
      <x:c r="W133" s="4" t="str">
        <x:v>Gem material</x:v>
      </x:c>
      <x:c r="X133" s="4" t="str">
        <x:v>Unresolved</x:v>
      </x:c>
      <x:c r="Y133" s="4" t="str">
        <x:v>Geological</x:v>
      </x:c>
      <x:c r="Z133" s="4" t="str">
        <x:v>Decoration</x:v>
      </x:c>
      <x:c r="AA133" s="4" t="str">
        <x:v>Gemstone</x:v>
      </x:c>
      <x:c r="AB133" s="4" t="str">
        <x:v>Unresolved</x:v>
      </x:c>
      <x:c r="AC133" s="4" t="str">
        <x:v>Proposal</x:v>
      </x:c>
      <x:c r="AD133" s="4" t="str">
        <x:f>LOWER(A133&amp;"; "&amp;B133&amp;"; "&amp;C133&amp;"; "&amp;D133&amp;"; "&amp;W133&amp;"; "&amp;X133&amp;"; "&amp;Y133&amp;"; "&amp;Z133&amp;"; "&amp;AA133&amp;"; "&amp;AB133&amp;"; "&amp;AC133&amp;"; "&amp;U133)</x:f>
        <x:v>proposal.gem.smoky_quartz; smoky quartz; resources; gemstone concept; gem material; unresolved; geological; decoration; gemstone; unresolved; proposal; </x:v>
      </x:c>
      <x:c r="AE133" s="4" t="str">
        <x:v>From current item description. Proposed uses retain their existing approval status.</x:v>
      </x:c>
    </x:row>
    <x:row r="134" ht="90" customHeight="1">
      <x:c r="A134" s="9" t="str">
        <x:v>proposal.gem.garnet</x:v>
      </x:c>
      <x:c r="B134" s="9" t="str">
        <x:v>Garnet</x:v>
      </x:c>
      <x:c r="C134" s="9" t="str">
        <x:v>Resources</x:v>
      </x:c>
      <x:c r="D134" s="9" t="str">
        <x:v>Gemstone concept</x:v>
      </x:c>
      <x:c r="E134" s="9" t="str">
        <x:v>New proposal</x:v>
      </x:c>
      <x:c r="F134" s="9" t="str">
        <x:v>Proposed appearance: Deep red / rust / orange palette. Potential use: Fashion settings, clasps and detailed inlay</x:v>
      </x:c>
      <x:c r="G134" s="9" t="str">
        <x:v>None</x:v>
      </x:c>
      <x:c r="H134" s="9" t="str">
        <x:v>Gathered raw gemstone: Legger / local storage</x:v>
      </x:c>
      <x:c r="I134" s="13"/>
      <x:c r="J134" s="15"/>
      <x:c r="K134" s="9" t="str">
        <x:v>Authored ancient mineral-bearing strata candidate; no deposit placement approved</x:v>
      </x:c>
      <x:c r="L134" s="9" t="str">
        <x:v>Sorting, cutting, polishing and setting are future craft concepts</x:v>
      </x:c>
      <x:c r="M134" s="9" t="str">
        <x:v>Not implemented</x:v>
      </x:c>
      <x:c r="N134" s="9" t="str">
        <x:v>Garnet is a mineral group; exact species and regional source undecided.</x:v>
      </x:c>
      <x:c r="O134" s="48"/>
      <x:c r="P134" s="48"/>
      <x:c r="Q134" s="48"/>
      <x:c r="R134" s="48"/>
      <x:c r="S134" s="48"/>
      <x:c r="T134" s="9" t="str">
        <x:v>Gemstones exist by author direction. This mineral choice, palette, grade, cut and use are proposals. Fashion-suitable inputs intended valuable; no universal rarity or numeric price assigned.</x:v>
      </x:c>
      <x:c r="U134" s="11"/>
      <x:c r="V134" s="9" t="str">
        <x:v>Author direction October 14, 2026 establishes gemstones generally. Proposed real-mineral inspiration: https://www.gia.edu/gem-encyclopedia; no claim of Death Valley occurrence or game canon for this species.</x:v>
      </x:c>
      <x:c r="W134" s="4" t="str">
        <x:v>Gem material</x:v>
      </x:c>
      <x:c r="X134" s="4" t="str">
        <x:v>Unresolved</x:v>
      </x:c>
      <x:c r="Y134" s="4" t="str">
        <x:v>Geological</x:v>
      </x:c>
      <x:c r="Z134" s="4" t="str">
        <x:v>Decoration</x:v>
      </x:c>
      <x:c r="AA134" s="4" t="str">
        <x:v>Gemstone</x:v>
      </x:c>
      <x:c r="AB134" s="4" t="str">
        <x:v>Unresolved</x:v>
      </x:c>
      <x:c r="AC134" s="4" t="str">
        <x:v>Proposal</x:v>
      </x:c>
      <x:c r="AD134" s="4" t="str">
        <x:f>LOWER(A134&amp;"; "&amp;B134&amp;"; "&amp;C134&amp;"; "&amp;D134&amp;"; "&amp;W134&amp;"; "&amp;X134&amp;"; "&amp;Y134&amp;"; "&amp;Z134&amp;"; "&amp;AA134&amp;"; "&amp;AB134&amp;"; "&amp;AC134&amp;"; "&amp;U134)</x:f>
        <x:v>proposal.gem.garnet; garnet; resources; gemstone concept; gem material; unresolved; geological; decoration; gemstone; unresolved; proposal; </x:v>
      </x:c>
      <x:c r="AE134" s="4" t="str">
        <x:v>From current item description. Proposed uses retain their existing approval status.</x:v>
      </x:c>
    </x:row>
    <x:row r="135" ht="90" customHeight="1">
      <x:c r="A135" s="9" t="str">
        <x:v>proposal.gem.spinel</x:v>
      </x:c>
      <x:c r="B135" s="9" t="str">
        <x:v>Spinel</x:v>
      </x:c>
      <x:c r="C135" s="9" t="str">
        <x:v>Resources</x:v>
      </x:c>
      <x:c r="D135" s="9" t="str">
        <x:v>Gemstone concept</x:v>
      </x:c>
      <x:c r="E135" s="9" t="str">
        <x:v>New proposal</x:v>
      </x:c>
      <x:c r="F135" s="9" t="str">
        <x:v>Proposed appearance: Black, with other colors left open. Potential use: High-contrast accents and polished dark settings</x:v>
      </x:c>
      <x:c r="G135" s="9" t="str">
        <x:v>None</x:v>
      </x:c>
      <x:c r="H135" s="9" t="str">
        <x:v>Gathered raw gemstone: Legger / local storage</x:v>
      </x:c>
      <x:c r="I135" s="13"/>
      <x:c r="J135" s="15"/>
      <x:c r="K135" s="9" t="str">
        <x:v>Authored ancient mineral-bearing strata candidate; no deposit placement approved</x:v>
      </x:c>
      <x:c r="L135" s="9" t="str">
        <x:v>Sorting, cutting, polishing and setting are future craft concepts</x:v>
      </x:c>
      <x:c r="M135" s="9" t="str">
        <x:v>Not implemented</x:v>
      </x:c>
      <x:c r="N135" s="9" t="str">
        <x:v>Proposed black spinel direction; other colors need not become separate item IDs.</x:v>
      </x:c>
      <x:c r="O135" s="48"/>
      <x:c r="P135" s="48"/>
      <x:c r="Q135" s="48"/>
      <x:c r="R135" s="48"/>
      <x:c r="S135" s="48"/>
      <x:c r="T135" s="9" t="str">
        <x:v>Gemstones exist by author direction. This mineral choice, palette, grade, cut and use are proposals. Fashion-suitable inputs intended valuable; no universal rarity or numeric price assigned.</x:v>
      </x:c>
      <x:c r="U135" s="11"/>
      <x:c r="V135" s="9" t="str">
        <x:v>Author direction October 14, 2026 establishes gemstones generally. Proposed real-mineral inspiration: https://my.gia.edu/gems-gemology/winter-2022-colored-stones-unearthed; no claim of Death Valley occurrence or game canon for this species.</x:v>
      </x:c>
      <x:c r="W135" s="4" t="str">
        <x:v>Gem material</x:v>
      </x:c>
      <x:c r="X135" s="4" t="str">
        <x:v>Unresolved</x:v>
      </x:c>
      <x:c r="Y135" s="4" t="str">
        <x:v>Geological</x:v>
      </x:c>
      <x:c r="Z135" s="4" t="str">
        <x:v>Decoration</x:v>
      </x:c>
      <x:c r="AA135" s="4" t="str">
        <x:v>Gemstone</x:v>
      </x:c>
      <x:c r="AB135" s="4" t="str">
        <x:v>Unresolved</x:v>
      </x:c>
      <x:c r="AC135" s="4" t="str">
        <x:v>Proposal</x:v>
      </x:c>
      <x:c r="AD135" s="4" t="str">
        <x:f>LOWER(A135&amp;"; "&amp;B135&amp;"; "&amp;C135&amp;"; "&amp;D135&amp;"; "&amp;W135&amp;"; "&amp;X135&amp;"; "&amp;Y135&amp;"; "&amp;Z135&amp;"; "&amp;AA135&amp;"; "&amp;AB135&amp;"; "&amp;AC135&amp;"; "&amp;U135)</x:f>
        <x:v>proposal.gem.spinel; spinel; resources; gemstone concept; gem material; unresolved; geological; decoration; gemstone; unresolved; proposal; </x:v>
      </x:c>
      <x:c r="AE135" s="4" t="str">
        <x:v>From current item description. Proposed uses retain their existing approval status.</x:v>
      </x:c>
    </x:row>
    <x:row r="136" ht="90" customHeight="1">
      <x:c r="A136" s="9" t="str">
        <x:v>proposal.gem.peridot</x:v>
      </x:c>
      <x:c r="B136" s="9" t="str">
        <x:v>Peridot</x:v>
      </x:c>
      <x:c r="C136" s="9" t="str">
        <x:v>Resources</x:v>
      </x:c>
      <x:c r="D136" s="9" t="str">
        <x:v>Gemstone concept</x:v>
      </x:c>
      <x:c r="E136" s="9" t="str">
        <x:v>New proposal</x:v>
      </x:c>
      <x:c r="F136" s="9" t="str">
        <x:v>Proposed appearance: Yellow-green / olive palette. Potential use: Distinctive green accents against iron-colored materials</x:v>
      </x:c>
      <x:c r="G136" s="9" t="str">
        <x:v>None</x:v>
      </x:c>
      <x:c r="H136" s="9" t="str">
        <x:v>Gathered raw gemstone: Legger / local storage</x:v>
      </x:c>
      <x:c r="I136" s="13"/>
      <x:c r="J136" s="15"/>
      <x:c r="K136" s="9" t="str">
        <x:v>Authored ancient mineral-bearing strata candidate; no deposit placement approved</x:v>
      </x:c>
      <x:c r="L136" s="9" t="str">
        <x:v>Sorting, cutting, polishing and setting are future craft concepts</x:v>
      </x:c>
      <x:c r="M136" s="9" t="str">
        <x:v>Not implemented</x:v>
      </x:c>
      <x:c r="N136" s="9" t="str">
        <x:v>Proposed geological gem candidate; not plant material or a source of greenery.</x:v>
      </x:c>
      <x:c r="O136" s="48"/>
      <x:c r="P136" s="48"/>
      <x:c r="Q136" s="48"/>
      <x:c r="R136" s="48"/>
      <x:c r="S136" s="48"/>
      <x:c r="T136" s="9" t="str">
        <x:v>Gemstones exist by author direction. This mineral choice, palette, grade, cut and use are proposals. Fashion-suitable inputs intended valuable; no universal rarity or numeric price assigned.</x:v>
      </x:c>
      <x:c r="U136" s="11"/>
      <x:c r="V136" s="9" t="str">
        <x:v>Author direction October 14, 2026 establishes gemstones generally. Proposed real-mineral inspiration: https://my.gia.edu/gems-gemology/winter-2022-colored-stones-unearthed; no claim of Death Valley occurrence or game canon for this species.</x:v>
      </x:c>
      <x:c r="W136" s="4" t="str">
        <x:v>Gem material</x:v>
      </x:c>
      <x:c r="X136" s="4" t="str">
        <x:v>Unresolved</x:v>
      </x:c>
      <x:c r="Y136" s="4" t="str">
        <x:v>Geological</x:v>
      </x:c>
      <x:c r="Z136" s="4" t="str">
        <x:v>Decoration</x:v>
      </x:c>
      <x:c r="AA136" s="4" t="str">
        <x:v>Gemstone</x:v>
      </x:c>
      <x:c r="AB136" s="4" t="str">
        <x:v>Unresolved</x:v>
      </x:c>
      <x:c r="AC136" s="4" t="str">
        <x:v>Proposal</x:v>
      </x:c>
      <x:c r="AD136" s="4" t="str">
        <x:f>LOWER(A136&amp;"; "&amp;B136&amp;"; "&amp;C136&amp;"; "&amp;D136&amp;"; "&amp;W136&amp;"; "&amp;X136&amp;"; "&amp;Y136&amp;"; "&amp;Z136&amp;"; "&amp;AA136&amp;"; "&amp;AB136&amp;"; "&amp;AC136&amp;"; "&amp;U136)</x:f>
        <x:v>proposal.gem.peridot; peridot; resources; gemstone concept; gem material; unresolved; geological; decoration; gemstone; unresolved; proposal; </x:v>
      </x:c>
      <x:c r="AE136" s="4" t="str">
        <x:v>From current item description. Proposed uses retain their existing approval status.</x:v>
      </x:c>
    </x:row>
    <x:row r="137" ht="90" customHeight="1">
      <x:c r="A137" s="9" t="str">
        <x:v>proposal.gem.corundum</x:v>
      </x:c>
      <x:c r="B137" s="9" t="str">
        <x:v>Ruby / sapphire corundum</x:v>
      </x:c>
      <x:c r="C137" s="9" t="str">
        <x:v>Resources</x:v>
      </x:c>
      <x:c r="D137" s="9" t="str">
        <x:v>Gemstone concept</x:v>
      </x:c>
      <x:c r="E137" s="9" t="str">
        <x:v>New proposal</x:v>
      </x:c>
      <x:c r="F137" s="9" t="str">
        <x:v>Proposed appearance: Red ruby and blue or other sapphire palette. Potential use: Fine settings and high-craft decorative work</x:v>
      </x:c>
      <x:c r="G137" s="9" t="str">
        <x:v>None</x:v>
      </x:c>
      <x:c r="H137" s="9" t="str">
        <x:v>Gathered raw gemstone: Legger / local storage</x:v>
      </x:c>
      <x:c r="I137" s="13"/>
      <x:c r="J137" s="15"/>
      <x:c r="K137" s="9" t="str">
        <x:v>Authored ancient mineral-bearing strata candidate; no deposit placement approved</x:v>
      </x:c>
      <x:c r="L137" s="9" t="str">
        <x:v>Sorting, cutting, polishing and setting are future craft concepts</x:v>
      </x:c>
      <x:c r="M137" s="9" t="str">
        <x:v>Not implemented</x:v>
      </x:c>
      <x:c r="N137" s="9" t="str">
        <x:v>One family for now; ruby/sapphire variants can split if useful. No armor or tool effect assigned.</x:v>
      </x:c>
      <x:c r="O137" s="48"/>
      <x:c r="P137" s="48"/>
      <x:c r="Q137" s="48"/>
      <x:c r="R137" s="48"/>
      <x:c r="S137" s="48"/>
      <x:c r="T137" s="9" t="str">
        <x:v>Gemstones exist by author direction. This mineral choice, palette, grade, cut and use are proposals. Fashion-suitable inputs intended valuable; no universal rarity or numeric price assigned.</x:v>
      </x:c>
      <x:c r="U137" s="11"/>
      <x:c r="V137" s="9" t="str">
        <x:v>Author direction October 14, 2026 establishes gemstones generally. Proposed real-mineral inspiration: https://my.gia.edu/gems-gemology/winter-2022-colored-stones-unearthed; no claim of Death Valley occurrence or game canon for this species.</x:v>
      </x:c>
      <x:c r="W137" s="4" t="str">
        <x:v>Gem material</x:v>
      </x:c>
      <x:c r="X137" s="4" t="str">
        <x:v>Unresolved</x:v>
      </x:c>
      <x:c r="Y137" s="4" t="str">
        <x:v>Geological</x:v>
      </x:c>
      <x:c r="Z137" s="4" t="str">
        <x:v>Decoration</x:v>
      </x:c>
      <x:c r="AA137" s="4" t="str">
        <x:v>Gemstone</x:v>
      </x:c>
      <x:c r="AB137" s="4" t="str">
        <x:v>Unresolved</x:v>
      </x:c>
      <x:c r="AC137" s="4" t="str">
        <x:v>Proposal</x:v>
      </x:c>
      <x:c r="AD137" s="4" t="str">
        <x:f>LOWER(A137&amp;"; "&amp;B137&amp;"; "&amp;C137&amp;"; "&amp;D137&amp;"; "&amp;W137&amp;"; "&amp;X137&amp;"; "&amp;Y137&amp;"; "&amp;Z137&amp;"; "&amp;AA137&amp;"; "&amp;AB137&amp;"; "&amp;AC137&amp;"; "&amp;U137)</x:f>
        <x:v>proposal.gem.corundum; ruby / sapphire corundum; resources; gemstone concept; gem material; unresolved; geological; decoration; gemstone; unresolved; proposal; </x:v>
      </x:c>
      <x:c r="AE137" s="4" t="str">
        <x:v>From current item description. Proposed uses retain their existing approval status.</x:v>
      </x:c>
    </x:row>
    <x:row r="138" ht="90" customHeight="1">
      <x:c r="A138" s="9" t="str">
        <x:v>proposal.gem.tourmaline</x:v>
      </x:c>
      <x:c r="B138" s="9" t="str">
        <x:v>Tourmaline</x:v>
      </x:c>
      <x:c r="C138" s="9" t="str">
        <x:v>Resources</x:v>
      </x:c>
      <x:c r="D138" s="9" t="str">
        <x:v>Gemstone concept</x:v>
      </x:c>
      <x:c r="E138" s="9" t="str">
        <x:v>New proposal</x:v>
      </x:c>
      <x:c r="F138" s="9" t="str">
        <x:v>Proposed appearance: Dark green / multicolor palette to select. Potential use: Regional ornament styles and distinctive settings</x:v>
      </x:c>
      <x:c r="G138" s="9" t="str">
        <x:v>None</x:v>
      </x:c>
      <x:c r="H138" s="9" t="str">
        <x:v>Gathered raw gemstone: Legger / local storage</x:v>
      </x:c>
      <x:c r="I138" s="13"/>
      <x:c r="J138" s="15"/>
      <x:c r="K138" s="9" t="str">
        <x:v>Authored ancient mineral-bearing strata candidate; no deposit placement approved</x:v>
      </x:c>
      <x:c r="L138" s="9" t="str">
        <x:v>Sorting, cutting, polishing and setting are future craft concepts</x:v>
      </x:c>
      <x:c r="M138" s="9" t="str">
        <x:v>Not implemented</x:v>
      </x:c>
      <x:c r="N138" s="9" t="str">
        <x:v>Exact variety and useful color range undecided; no magnetic or electrical powers inferred.</x:v>
      </x:c>
      <x:c r="O138" s="48"/>
      <x:c r="P138" s="48"/>
      <x:c r="Q138" s="48"/>
      <x:c r="R138" s="48"/>
      <x:c r="S138" s="48"/>
      <x:c r="T138" s="9" t="str">
        <x:v>Gemstones exist by author direction. This mineral choice, palette, grade, cut and use are proposals. Fashion-suitable inputs intended valuable; no universal rarity or numeric price assigned.</x:v>
      </x:c>
      <x:c r="U138" s="11"/>
      <x:c r="V138" s="9" t="str">
        <x:v>Author direction October 14, 2026 establishes gemstones generally. Proposed real-mineral inspiration: https://www.gia.edu/gem-encyclopedia; no claim of Death Valley occurrence or game canon for this species.</x:v>
      </x:c>
      <x:c r="W138" s="4" t="str">
        <x:v>Gem material</x:v>
      </x:c>
      <x:c r="X138" s="4" t="str">
        <x:v>Unresolved</x:v>
      </x:c>
      <x:c r="Y138" s="4" t="str">
        <x:v>Geological</x:v>
      </x:c>
      <x:c r="Z138" s="4" t="str">
        <x:v>Decoration</x:v>
      </x:c>
      <x:c r="AA138" s="4" t="str">
        <x:v>Gemstone</x:v>
      </x:c>
      <x:c r="AB138" s="4" t="str">
        <x:v>Unresolved</x:v>
      </x:c>
      <x:c r="AC138" s="4" t="str">
        <x:v>Proposal</x:v>
      </x:c>
      <x:c r="AD138" s="4" t="str">
        <x:f>LOWER(A138&amp;"; "&amp;B138&amp;"; "&amp;C138&amp;"; "&amp;D138&amp;"; "&amp;W138&amp;"; "&amp;X138&amp;"; "&amp;Y138&amp;"; "&amp;Z138&amp;"; "&amp;AA138&amp;"; "&amp;AB138&amp;"; "&amp;AC138&amp;"; "&amp;U138)</x:f>
        <x:v>proposal.gem.tourmaline; tourmaline; resources; gemstone concept; gem material; unresolved; geological; decoration; gemstone; unresolved; proposal; </x:v>
      </x:c>
      <x:c r="AE138" s="4" t="str">
        <x:v>From current item description. Proposed uses retain their existing approval status.</x:v>
      </x:c>
    </x:row>
    <x:row r="139" ht="90" customHeight="1">
      <x:c r="A139" s="9" t="str">
        <x:v>proposal.gem.zircon</x:v>
      </x:c>
      <x:c r="B139" s="9" t="str">
        <x:v>Zircon</x:v>
      </x:c>
      <x:c r="C139" s="9" t="str">
        <x:v>Resources</x:v>
      </x:c>
      <x:c r="D139" s="9" t="str">
        <x:v>Gemstone concept</x:v>
      </x:c>
      <x:c r="E139" s="9" t="str">
        <x:v>New proposal</x:v>
      </x:c>
      <x:c r="F139" s="9" t="str">
        <x:v>Proposed appearance: Honey-brown / warm clear palette. Potential use: Small brilliant accents and fine polished settings</x:v>
      </x:c>
      <x:c r="G139" s="9" t="str">
        <x:v>None</x:v>
      </x:c>
      <x:c r="H139" s="9" t="str">
        <x:v>Gathered raw gemstone: Legger / local storage</x:v>
      </x:c>
      <x:c r="I139" s="13"/>
      <x:c r="J139" s="15"/>
      <x:c r="K139" s="9" t="str">
        <x:v>Authored ancient mineral-bearing strata candidate; no deposit placement approved</x:v>
      </x:c>
      <x:c r="L139" s="9" t="str">
        <x:v>Sorting, cutting, polishing and setting are future craft concepts</x:v>
      </x:c>
      <x:c r="M139" s="9" t="str">
        <x:v>Not implemented</x:v>
      </x:c>
      <x:c r="N139" s="9" t="str">
        <x:v>A natural mineral candidate, distinct from cubic zirconia; no ancient-tech identity assumed.</x:v>
      </x:c>
      <x:c r="O139" s="48"/>
      <x:c r="P139" s="48"/>
      <x:c r="Q139" s="48"/>
      <x:c r="R139" s="48"/>
      <x:c r="S139" s="48"/>
      <x:c r="T139" s="9" t="str">
        <x:v>Gemstones exist by author direction. This mineral choice, palette, grade, cut and use are proposals. Fashion-suitable inputs intended valuable; no universal rarity or numeric price assigned.</x:v>
      </x:c>
      <x:c r="U139" s="11"/>
      <x:c r="V139" s="9" t="str">
        <x:v>Author direction October 14, 2026 establishes gemstones generally. Proposed real-mineral inspiration: https://www.gia.edu/zircon-description; no claim of Death Valley occurrence or game canon for this species.</x:v>
      </x:c>
      <x:c r="W139" s="4" t="str">
        <x:v>Gem material</x:v>
      </x:c>
      <x:c r="X139" s="4" t="str">
        <x:v>Unresolved</x:v>
      </x:c>
      <x:c r="Y139" s="4" t="str">
        <x:v>Geological</x:v>
      </x:c>
      <x:c r="Z139" s="4" t="str">
        <x:v>Decoration</x:v>
      </x:c>
      <x:c r="AA139" s="4" t="str">
        <x:v>Gemstone</x:v>
      </x:c>
      <x:c r="AB139" s="4" t="str">
        <x:v>Unresolved</x:v>
      </x:c>
      <x:c r="AC139" s="4" t="str">
        <x:v>Proposal</x:v>
      </x:c>
      <x:c r="AD139" s="4" t="str">
        <x:f>LOWER(A139&amp;"; "&amp;B139&amp;"; "&amp;C139&amp;"; "&amp;D139&amp;"; "&amp;W139&amp;"; "&amp;X139&amp;"; "&amp;Y139&amp;"; "&amp;Z139&amp;"; "&amp;AA139&amp;"; "&amp;AB139&amp;"; "&amp;AC139&amp;"; "&amp;U139)</x:f>
        <x:v>proposal.gem.zircon; zircon; resources; gemstone concept; gem material; unresolved; geological; decoration; gemstone; unresolved; proposal; </x:v>
      </x:c>
      <x:c r="AE139" s="4" t="str">
        <x:v>From current item description. Proposed uses retain their existing approval status.</x:v>
      </x:c>
    </x:row>
    <x:row r="140" ht="90" customHeight="1">
      <x:c r="A140" s="9" t="str">
        <x:v>proposal.gear.simple_wraps</x:v>
      </x:c>
      <x:c r="B140" s="9" t="str">
        <x:v>Simple everyday wraps</x:v>
      </x:c>
      <x:c r="C140" s="9" t="str">
        <x:v>Equipment</x:v>
      </x:c>
      <x:c r="D140" s="9" t="str">
        <x:v>Everyday clothing</x:v>
      </x:c>
      <x:c r="E140" s="9" t="str">
        <x:v>User direction; not implemented</x:v>
      </x:c>
      <x:c r="F140" s="9" t="str">
        <x:v>Regular simple wrap-style clothing under the no-cloth material rule.</x:v>
      </x:c>
      <x:c r="G140" s="9" t="str">
        <x:v>Unassigned; layering/fastening TBD</x:v>
      </x:c>
      <x:c r="H140" s="9" t="str">
        <x:v>Booter-worn concept; supply/spare policy TBD</x:v>
      </x:c>
      <x:c r="I140" s="13"/>
      <x:c r="J140" s="15"/>
      <x:c r="K140" s="9" t="str">
        <x:v>Ordinary fabrication/trade candidate; no recipe authored</x:v>
      </x:c>
      <x:c r="L140" s="9" t="str">
        <x:v>Construction and material combination TBD; minimal fur with metal-based fastenings/pieces possible</x:v>
      </x:c>
      <x:c r="M140" s="9" t="str">
        <x:v>Not implemented</x:v>
      </x:c>
      <x:c r="N140" s="9" t="str">
        <x:v>No cloth. Wrap material, attachment and coverage remain open; minimal fur is not an abundant processed-fur supply.</x:v>
      </x:c>
      <x:c r="O140" s="17"/>
      <x:c r="P140" s="17"/>
      <x:c r="Q140" s="17"/>
      <x:c r="R140" s="17"/>
      <x:c r="S140" s="17"/>
      <x:c r="T140" s="9" t="str">
        <x:v>Everyday baseline by author direction. No fixed rarity, price, garment pattern or material ratio assigned.</x:v>
      </x:c>
      <x:c r="U140" s="11"/>
      <x:c r="V140" s="9" t="str">
        <x:v>Direct author clarification, October 14, 2026; Docs/WORLD_BASIS.md#material-culture. Ordinary wear: simple wraps, metal chainmail and practical metal-based pieces with minimal fur. Elaborate fashion remains rare/expensive; no cloth.</x:v>
      </x:c>
      <x:c r="W140" s="4" t="str">
        <x:v>Wearable</x:v>
      </x:c>
      <x:c r="X140" s="4" t="str">
        <x:v>Finished item</x:v>
      </x:c>
      <x:c r="Y140" s="4" t="str">
        <x:v>Manufactured / unresolved</x:v>
      </x:c>
      <x:c r="Z140" s="4" t="str">
        <x:v>Clothing</x:v>
      </x:c>
      <x:c r="AA140" s="4" t="str">
        <x:v>Mixed / unresolved</x:v>
      </x:c>
      <x:c r="AB140" s="4" t="str">
        <x:v>Garment</x:v>
      </x:c>
      <x:c r="AC140" s="4" t="str">
        <x:v>Author direction</x:v>
      </x:c>
      <x:c r="AD140" s="4" t="str">
        <x:f>LOWER(A140&amp;"; "&amp;B140&amp;"; "&amp;C140&amp;"; "&amp;D140&amp;"; "&amp;W140&amp;"; "&amp;X140&amp;"; "&amp;Y140&amp;"; "&amp;Z140&amp;"; "&amp;AA140&amp;"; "&amp;AB140&amp;"; "&amp;AC140&amp;"; "&amp;U140)</x:f>
        <x:v>proposal.gear.simple_wraps; simple everyday wraps; equipment; everyday clothing; wearable; finished item; manufactured / unresolved; clothing; mixed / unresolved; garment; author direction; </x:v>
      </x:c>
      <x:c r="AE140" s="4" t="str">
        <x:v>From current item description. Proposed uses retain their existing approval status.</x:v>
      </x:c>
    </x:row>
    <x:row r="141" ht="95" customHeight="1">
      <x:c r="A141" s="9" t="str">
        <x:v>proposal.bio.inner_wing</x:v>
      </x:c>
      <x:c r="B141" s="9" t="str">
        <x:v>Delicate inner wing</x:v>
      </x:c>
      <x:c r="C141" s="9" t="str">
        <x:v>Resources</x:v>
      </x:c>
      <x:c r="D141" s="9" t="str">
        <x:v>Wing material</x:v>
      </x:c>
      <x:c r="E141" s="9" t="str">
        <x:v>User direction; not implemented</x:v>
      </x:c>
      <x:c r="F141" s="9" t="str">
        <x:v>Gathered insectoid megafauna inner-wing membrane for vertical sun shades. Also author-directed input for wind sails.</x:v>
      </x:c>
      <x:c r="G141" s="9" t="str">
        <x:v>None</x:v>
      </x:c>
      <x:c r="H141" s="9" t="str">
        <x:v>Raw resource: Legger / local storage</x:v>
      </x:c>
      <x:c r="I141" s="13"/>
      <x:c r="J141" s="15"/>
      <x:c r="K141" s="9" t="str">
        <x:v>Megafauna inner wings; collection details TBD</x:v>
      </x:c>
      <x:c r="L141" s="9" t="str">
        <x:v>Prepare/join into shade panels; method and yield undefined</x:v>
      </x:c>
      <x:c r="M141" s="9" t="str">
        <x:v>Not implemented</x:v>
      </x:c>
      <x:c r="N141" s="9" t="str">
        <x:v>Delicate resource; no automatic opacity, heat resistance, structural strength or cloth properties assigned.</x:v>
      </x:c>
      <x:c r="O141" s="17"/>
      <x:c r="P141" s="17"/>
      <x:c r="Q141" s="17"/>
      <x:c r="R141" s="17"/>
      <x:c r="S141" s="17"/>
      <x:c r="T141" s="9" t="str">
        <x:v>Vertical sun-shade material by author direction; value and processing work remain unspecified.</x:v>
      </x:c>
      <x:c r="U141" s="11" t="str">
        <x:v>sail membrane; wind propulsion</x:v>
      </x:c>
      <x:c r="V141" s="9" t="str">
        <x:v>Direct author direction October 14, 2026; Docs/WORLD_BASIS.md#material-culture</x:v>
      </x:c>
      <x:c r="W141" s="4" t="str">
        <x:v>Raw material</x:v>
      </x:c>
      <x:c r="X141" s="4" t="str">
        <x:v>Raw</x:v>
      </x:c>
      <x:c r="Y141" s="4" t="str">
        <x:v>Fauna</x:v>
      </x:c>
      <x:c r="Z141" s="4" t="str">
        <x:v>Sun shading</x:v>
      </x:c>
      <x:c r="AA141" s="4" t="str">
        <x:v>Wing membrane</x:v>
      </x:c>
      <x:c r="AB141" s="4" t="str">
        <x:v>Membrane</x:v>
      </x:c>
      <x:c r="AC141" s="4" t="str">
        <x:v>Author direction</x:v>
      </x:c>
      <x:c r="AD141" s="4" t="str">
        <x:f>LOWER(A141&amp;"; "&amp;B141&amp;"; "&amp;C141&amp;"; "&amp;D141&amp;"; "&amp;W141&amp;"; "&amp;X141&amp;"; "&amp;Y141&amp;"; "&amp;Z141&amp;"; "&amp;AA141&amp;"; "&amp;AB141&amp;"; "&amp;AC141&amp;"; "&amp;U141)</x:f>
        <x:v>proposal.bio.inner_wing; delicate inner wing; resources; wing material; raw material; raw; fauna; sun shading; wing membrane; membrane; author direction; sail membrane; wind propulsion</x:v>
      </x:c>
      <x:c r="AE141" s="4" t="str">
        <x:v>From current item description. Proposed uses retain their existing approval status.</x:v>
      </x:c>
    </x:row>
    <x:row r="142" ht="95" customHeight="1">
      <x:c r="A142" s="9" t="str">
        <x:v>proposal.bio.wing_panel</x:v>
      </x:c>
      <x:c r="B142" s="9" t="str">
        <x:v>Prepared wing shade panel</x:v>
      </x:c>
      <x:c r="C142" s="9" t="str">
        <x:v>Crafting components</x:v>
      </x:c>
      <x:c r="D142" s="9" t="str">
        <x:v>Wing material</x:v>
      </x:c>
      <x:c r="E142" s="9" t="str">
        <x:v>New proposal</x:v>
      </x:c>
      <x:c r="F142" s="9" t="str">
        <x:v>Prepared inner-wing material for an assembled vertical sun shade.</x:v>
      </x:c>
      <x:c r="G142" s="9" t="str">
        <x:v>None</x:v>
      </x:c>
      <x:c r="H142" s="9" t="str">
        <x:v>Component carrier eligibility TBD</x:v>
      </x:c>
      <x:c r="I142" s="13"/>
      <x:c r="J142" s="15"/>
      <x:c r="K142" s="9" t="str">
        <x:v>Process delicate inner wings; exact method undecided</x:v>
      </x:c>
      <x:c r="L142" s="9" t="str">
        <x:v>Candidate input for existing popup-camp shade; no recipe authored</x:v>
      </x:c>
      <x:c r="M142" s="9" t="str">
        <x:v>Not implemented</x:v>
      </x:c>
      <x:c r="N142" s="9" t="str">
        <x:v>Panel preparation, joining, frame support and actual shade properties need design; no cloth assumed.</x:v>
      </x:c>
      <x:c r="O142" s="17"/>
      <x:c r="P142" s="17"/>
      <x:c r="Q142" s="17"/>
      <x:c r="R142" s="17"/>
      <x:c r="S142" s="17"/>
      <x:c r="T142" s="9" t="str">
        <x:v>Proposed intermediate product; reuse existing popup-camp item instead of duplicating the deployed shade.</x:v>
      </x:c>
      <x:c r="U142" s="11"/>
      <x:c r="V142" s="9" t="str">
        <x:v>New game proposal derived from author wing-resource direction October 14, 2026</x:v>
      </x:c>
      <x:c r="W142" s="4" t="str">
        <x:v>Crafting component</x:v>
      </x:c>
      <x:c r="X142" s="4" t="str">
        <x:v>Processed intermediate</x:v>
      </x:c>
      <x:c r="Y142" s="4" t="str">
        <x:v>Fauna</x:v>
      </x:c>
      <x:c r="Z142" s="4" t="str">
        <x:v>Sun shading</x:v>
      </x:c>
      <x:c r="AA142" s="4" t="str">
        <x:v>Wing membrane</x:v>
      </x:c>
      <x:c r="AB142" s="4" t="str">
        <x:v>Panel</x:v>
      </x:c>
      <x:c r="AC142" s="4" t="str">
        <x:v>Proposal</x:v>
      </x:c>
      <x:c r="AD142" s="4" t="str">
        <x:f>LOWER(A142&amp;"; "&amp;B142&amp;"; "&amp;C142&amp;"; "&amp;D142&amp;"; "&amp;W142&amp;"; "&amp;X142&amp;"; "&amp;Y142&amp;"; "&amp;Z142&amp;"; "&amp;AA142&amp;"; "&amp;AB142&amp;"; "&amp;AC142&amp;"; "&amp;U142)</x:f>
        <x:v>proposal.bio.wing_panel; prepared wing shade panel; crafting components; wing material; crafting component; processed intermediate; fauna; sun shading; wing membrane; panel; proposal; </x:v>
      </x:c>
      <x:c r="AE142" s="4" t="str">
        <x:v>From current item description. Proposed uses retain their existing approval status.</x:v>
      </x:c>
    </x:row>
    <x:row r="143" ht="95" customHeight="1">
      <x:c r="A143" s="9" t="str">
        <x:v>proposal.canister.body_blank</x:v>
      </x:c>
      <x:c r="B143" s="9" t="str">
        <x:v>Canister body blank</x:v>
      </x:c>
      <x:c r="C143" s="9" t="str">
        <x:v>Crafting components</x:v>
      </x:c>
      <x:c r="D143" s="9" t="str">
        <x:v>Canister economy concept</x:v>
      </x:c>
      <x:c r="E143" s="9" t="str">
        <x:v>New proposal</x:v>
      </x:c>
      <x:c r="F143" s="9" t="str">
        <x:v>Unfinished body for specialist assembly</x:v>
      </x:c>
      <x:c r="G143" s="9" t="str">
        <x:v>Unassigned; part/fit ownership TBD</x:v>
      </x:c>
      <x:c r="H143" s="9" t="str">
        <x:v>Resource/component cargo or permitted Booter kit; policy TBD</x:v>
      </x:c>
      <x:c r="I143" s="13"/>
      <x:c r="J143" s="15"/>
      <x:c r="K143" s="9" t="str">
        <x:v>Specialist craft/trade/service candidate; no recipe authored</x:v>
      </x:c>
      <x:c r="L143" s="9" t="str">
        <x:v>Proposed material: Worked metal/alloy choice TBD; shell outer casing possible</x:v>
      </x:c>
      <x:c r="M143" s="9" t="str">
        <x:v>Not implemented</x:v>
      </x:c>
      <x:c r="N143" s="9" t="str">
        <x:v>Personal life-support canister and raw-chemical vessel are distinct service roles</x:v>
      </x:c>
      <x:c r="O143" s="17"/>
      <x:c r="P143" s="17"/>
      <x:c r="Q143" s="17"/>
      <x:c r="R143" s="17"/>
      <x:c r="S143" s="17"/>
      <x:c r="T143" s="9" t="str">
        <x:v>Source explicitly distinguishes body fabrication. Source systems are proposals; precision skill and suitable material may affect value, but no prices or lifetime values assigned.</x:v>
      </x:c>
      <x:c r="U143" s="11"/>
      <x:c r="V143" s="9" t="str">
        <x:v>New game item concept October 14, 2026. Source proposal: https://github.com/sleepyseamonster/Arc-Dust/blob/f6f98515c005dc3c73cccd9cbc031691745740c6/02-Arc-Dust-Worldbuilding/world/economy/canister/caster-craft.md</x:v>
      </x:c>
      <x:c r="W143" s="4" t="str">
        <x:v>Container part</x:v>
      </x:c>
      <x:c r="X143" s="4" t="str">
        <x:v>Processed intermediate</x:v>
      </x:c>
      <x:c r="Y143" s="4" t="str">
        <x:v>Manufactured / unresolved</x:v>
      </x:c>
      <x:c r="Z143" s="4" t="str">
        <x:v>Liquid and bulk containment</x:v>
      </x:c>
      <x:c r="AA143" s="4" t="str">
        <x:v>Mixed / unresolved</x:v>
      </x:c>
      <x:c r="AB143" s="4" t="str">
        <x:v>Solid part</x:v>
      </x:c>
      <x:c r="AC143" s="4" t="str">
        <x:v>Proposal</x:v>
      </x:c>
      <x:c r="AD143" s="4" t="str">
        <x:f>LOWER(A143&amp;"; "&amp;B143&amp;"; "&amp;C143&amp;"; "&amp;D143&amp;"; "&amp;W143&amp;"; "&amp;X143&amp;"; "&amp;Y143&amp;"; "&amp;Z143&amp;"; "&amp;AA143&amp;"; "&amp;AB143&amp;"; "&amp;AC143&amp;"; "&amp;U143)</x:f>
        <x:v>proposal.canister.body_blank; canister body blank; crafting components; canister economy concept; container part; processed intermediate; manufactured / unresolved; liquid and bulk containment; mixed / unresolved; solid part; proposal; </x:v>
      </x:c>
      <x:c r="AE143" s="4" t="str">
        <x:v>From current item description. Proposed uses retain their existing approval status.</x:v>
      </x:c>
    </x:row>
    <x:row r="144" ht="95" customHeight="1">
      <x:c r="A144" s="9" t="str">
        <x:v>proposal.canister.seal_ring</x:v>
      </x:c>
      <x:c r="B144" s="9" t="str">
        <x:v>Replacement seal ring</x:v>
      </x:c>
      <x:c r="C144" s="9" t="str">
        <x:v>Crafting components</x:v>
      </x:c>
      <x:c r="D144" s="9" t="str">
        <x:v>Canister economy concept</x:v>
      </x:c>
      <x:c r="E144" s="9" t="str">
        <x:v>New proposal</x:v>
      </x:c>
      <x:c r="F144" s="9" t="str">
        <x:v>Replaceable fitted sealing part</x:v>
      </x:c>
      <x:c r="G144" s="9" t="str">
        <x:v>Unassigned; part/fit ownership TBD</x:v>
      </x:c>
      <x:c r="H144" s="9" t="str">
        <x:v>Resource/component cargo or permitted Booter kit; policy TBD</x:v>
      </x:c>
      <x:c r="I144" s="13"/>
      <x:c r="J144" s="15"/>
      <x:c r="K144" s="9" t="str">
        <x:v>Specialist craft/trade/service candidate; no recipe authored</x:v>
      </x:c>
      <x:c r="L144" s="9" t="str">
        <x:v>Proposed material: Biological/mineral elastic material candidate; formulation TBD</x:v>
      </x:c>
      <x:c r="M144" s="9" t="str">
        <x:v>Not implemented</x:v>
      </x:c>
      <x:c r="N144" s="9" t="str">
        <x:v>Seal diameter, compound and service must match; ancient synthetic input not universally required</x:v>
      </x:c>
      <x:c r="O144" s="17"/>
      <x:c r="P144" s="17"/>
      <x:c r="Q144" s="17"/>
      <x:c r="R144" s="17"/>
      <x:c r="S144" s="17"/>
      <x:c r="T144" s="9" t="str">
        <x:v>Source explicitly describes replaceable seal systems. Source systems are proposals; precision skill and suitable material may affect value, but no prices or lifetime values assigned.</x:v>
      </x:c>
      <x:c r="U144" s="11" t="str">
        <x:v>gasket</x:v>
      </x:c>
      <x:c r="V144" s="9" t="str">
        <x:v>New game item concept October 14, 2026. Source proposal: https://github.com/sleepyseamonster/Arc-Dust/blob/f6f98515c005dc3c73cccd9cbc031691745740c6/02-Arc-Dust-Worldbuilding/world/economy/canister/caster-craft.md</x:v>
      </x:c>
      <x:c r="W144" s="4" t="str">
        <x:v>Container part</x:v>
      </x:c>
      <x:c r="X144" s="4" t="str">
        <x:v>Processed intermediate</x:v>
      </x:c>
      <x:c r="Y144" s="4" t="str">
        <x:v>Manufactured / unresolved</x:v>
      </x:c>
      <x:c r="Z144" s="4" t="str">
        <x:v>Sealing</x:v>
      </x:c>
      <x:c r="AA144" s="4" t="str">
        <x:v>Mixed / unresolved</x:v>
      </x:c>
      <x:c r="AB144" s="4" t="str">
        <x:v>Solid part</x:v>
      </x:c>
      <x:c r="AC144" s="4" t="str">
        <x:v>Proposal</x:v>
      </x:c>
      <x:c r="AD144" s="4" t="str">
        <x:f>LOWER(A144&amp;"; "&amp;B144&amp;"; "&amp;C144&amp;"; "&amp;D144&amp;"; "&amp;W144&amp;"; "&amp;X144&amp;"; "&amp;Y144&amp;"; "&amp;Z144&amp;"; "&amp;AA144&amp;"; "&amp;AB144&amp;"; "&amp;AC144&amp;"; "&amp;U144)</x:f>
        <x:v>proposal.canister.seal_ring; replacement seal ring; crafting components; canister economy concept; container part; processed intermediate; manufactured / unresolved; sealing; mixed / unresolved; solid part; proposal; gasket</x:v>
      </x:c>
      <x:c r="AE144" s="4" t="str">
        <x:v>From current item description. Proposed uses retain their existing approval status.</x:v>
      </x:c>
    </x:row>
    <x:row r="145" ht="95" customHeight="1">
      <x:c r="A145" s="9" t="str">
        <x:v>proposal.canister.seal_seat</x:v>
      </x:c>
      <x:c r="B145" s="9" t="str">
        <x:v>Fitted seal seat</x:v>
      </x:c>
      <x:c r="C145" s="9" t="str">
        <x:v>Crafting components</x:v>
      </x:c>
      <x:c r="D145" s="9" t="str">
        <x:v>Canister economy concept</x:v>
      </x:c>
      <x:c r="E145" s="9" t="str">
        <x:v>New proposal</x:v>
      </x:c>
      <x:c r="F145" s="9" t="str">
        <x:v>Precision contact surface supporting a seal</x:v>
      </x:c>
      <x:c r="G145" s="9" t="str">
        <x:v>Unassigned; part/fit ownership TBD</x:v>
      </x:c>
      <x:c r="H145" s="9" t="str">
        <x:v>Resource/component cargo or permitted Booter kit; policy TBD</x:v>
      </x:c>
      <x:c r="I145" s="13"/>
      <x:c r="J145" s="15"/>
      <x:c r="K145" s="9" t="str">
        <x:v>Specialist craft/trade/service candidate; no recipe authored</x:v>
      </x:c>
      <x:c r="L145" s="9" t="str">
        <x:v>Proposed material: Worked metal or compatible hard insert TBD</x:v>
      </x:c>
      <x:c r="M145" s="9" t="str">
        <x:v>Not implemented</x:v>
      </x:c>
      <x:c r="N145" s="9" t="str">
        <x:v>A seat supports the seal; not a duplicate compression collar or replacement ring</x:v>
      </x:c>
      <x:c r="O145" s="17"/>
      <x:c r="P145" s="17"/>
      <x:c r="Q145" s="17"/>
      <x:c r="R145" s="17"/>
      <x:c r="S145" s="17"/>
      <x:c r="T145" s="9" t="str">
        <x:v>New explicit part derived from source seal-system precision. Source systems are proposals; precision skill and suitable material may affect value, but no prices or lifetime values assigned.</x:v>
      </x:c>
      <x:c r="U145" s="11"/>
      <x:c r="V145" s="9" t="str">
        <x:v>New game item concept October 14, 2026. Source proposal: https://github.com/sleepyseamonster/Arc-Dust/blob/f6f98515c005dc3c73cccd9cbc031691745740c6/02-Arc-Dust-Worldbuilding/world/economy/canister/caster-craft.md</x:v>
      </x:c>
      <x:c r="W145" s="4" t="str">
        <x:v>Container part</x:v>
      </x:c>
      <x:c r="X145" s="4" t="str">
        <x:v>Processed intermediate</x:v>
      </x:c>
      <x:c r="Y145" s="4" t="str">
        <x:v>Manufactured / unresolved</x:v>
      </x:c>
      <x:c r="Z145" s="4" t="str">
        <x:v>Sealing</x:v>
      </x:c>
      <x:c r="AA145" s="4" t="str">
        <x:v>Mixed / unresolved</x:v>
      </x:c>
      <x:c r="AB145" s="4" t="str">
        <x:v>Solid part</x:v>
      </x:c>
      <x:c r="AC145" s="4" t="str">
        <x:v>Proposal</x:v>
      </x:c>
      <x:c r="AD145" s="4" t="str">
        <x:f>LOWER(A145&amp;"; "&amp;B145&amp;"; "&amp;C145&amp;"; "&amp;D145&amp;"; "&amp;W145&amp;"; "&amp;X145&amp;"; "&amp;Y145&amp;"; "&amp;Z145&amp;"; "&amp;AA145&amp;"; "&amp;AB145&amp;"; "&amp;AC145&amp;"; "&amp;U145)</x:f>
        <x:v>proposal.canister.seal_seat; fitted seal seat; crafting components; canister economy concept; container part; processed intermediate; manufactured / unresolved; sealing; mixed / unresolved; solid part; proposal; </x:v>
      </x:c>
      <x:c r="AE145" s="4" t="str">
        <x:v>From current item description. Proposed uses retain their existing approval status.</x:v>
      </x:c>
    </x:row>
    <x:row r="146" ht="95" customHeight="1">
      <x:c r="A146" s="9" t="str">
        <x:v>proposal.canister.sealant</x:v>
      </x:c>
      <x:c r="B146" s="9" t="str">
        <x:v>Canister joint sealant</x:v>
      </x:c>
      <x:c r="C146" s="9" t="str">
        <x:v>Crafting components</x:v>
      </x:c>
      <x:c r="D146" s="9" t="str">
        <x:v>Canister economy concept</x:v>
      </x:c>
      <x:c r="E146" s="9" t="str">
        <x:v>New proposal</x:v>
      </x:c>
      <x:c r="F146" s="9" t="str">
        <x:v>Prepared compound for compatible joints</x:v>
      </x:c>
      <x:c r="G146" s="9" t="str">
        <x:v>Unassigned; part/fit ownership TBD</x:v>
      </x:c>
      <x:c r="H146" s="9" t="str">
        <x:v>Resource/component cargo or permitted Booter kit; policy TBD</x:v>
      </x:c>
      <x:c r="I146" s="13"/>
      <x:c r="J146" s="15"/>
      <x:c r="K146" s="9" t="str">
        <x:v>Specialist craft/trade/service candidate; no recipe authored</x:v>
      </x:c>
      <x:c r="L146" s="9" t="str">
        <x:v>Proposed material: Compatible biological/mineral binder formulation TBD</x:v>
      </x:c>
      <x:c r="M146" s="9" t="str">
        <x:v>Not implemented</x:v>
      </x:c>
      <x:c r="N146" s="9" t="str">
        <x:v>Not interchangeable with glue, toxic shell binder or a failed pressure seal; exact applications unresolved</x:v>
      </x:c>
      <x:c r="O146" s="17"/>
      <x:c r="P146" s="17"/>
      <x:c r="Q146" s="17"/>
      <x:c r="R146" s="17"/>
      <x:c r="S146" s="17"/>
      <x:c r="T146" s="9" t="str">
        <x:v>Author requests sealant; source describes biological seal compounds. Source systems are proposals; precision skill and suitable material may affect value, but no prices or lifetime values assigned.</x:v>
      </x:c>
      <x:c r="U146" s="11"/>
      <x:c r="V146" s="9" t="str">
        <x:v>New game item concept October 14, 2026. Source proposal: https://github.com/sleepyseamonster/Arc-Dust/blob/f6f98515c005dc3c73cccd9cbc031691745740c6/02-Arc-Dust-Worldbuilding/world/economy/canister/caster-craft.md</x:v>
      </x:c>
      <x:c r="W146" s="4" t="str">
        <x:v>Chemical material</x:v>
      </x:c>
      <x:c r="X146" s="4" t="str">
        <x:v>Processed intermediate</x:v>
      </x:c>
      <x:c r="Y146" s="4" t="str">
        <x:v>Manufactured / unresolved</x:v>
      </x:c>
      <x:c r="Z146" s="4" t="str">
        <x:v>Sealing</x:v>
      </x:c>
      <x:c r="AA146" s="4" t="str">
        <x:v>Mixed / unresolved</x:v>
      </x:c>
      <x:c r="AB146" s="4" t="str">
        <x:v>Unresolved</x:v>
      </x:c>
      <x:c r="AC146" s="4" t="str">
        <x:v>Proposal</x:v>
      </x:c>
      <x:c r="AD146" s="4" t="str">
        <x:f>LOWER(A146&amp;"; "&amp;B146&amp;"; "&amp;C146&amp;"; "&amp;D146&amp;"; "&amp;W146&amp;"; "&amp;X146&amp;"; "&amp;Y146&amp;"; "&amp;Z146&amp;"; "&amp;AA146&amp;"; "&amp;AB146&amp;"; "&amp;AC146&amp;"; "&amp;U146)</x:f>
        <x:v>proposal.canister.sealant; canister joint sealant; crafting components; canister economy concept; chemical material; processed intermediate; manufactured / unresolved; sealing; mixed / unresolved; unresolved; proposal; </x:v>
      </x:c>
      <x:c r="AE146" s="4" t="str">
        <x:v>From current item description. Proposed uses retain their existing approval status.</x:v>
      </x:c>
    </x:row>
    <x:row r="147" ht="95" customHeight="1">
      <x:c r="A147" s="9" t="str">
        <x:v>proposal.canister.feed_line</x:v>
      </x:c>
      <x:c r="B147" s="9" t="str">
        <x:v>Feed-line section</x:v>
      </x:c>
      <x:c r="C147" s="9" t="str">
        <x:v>Crafting components</x:v>
      </x:c>
      <x:c r="D147" s="9" t="str">
        <x:v>Canister economy concept</x:v>
      </x:c>
      <x:c r="E147" s="9" t="str">
        <x:v>New proposal</x:v>
      </x:c>
      <x:c r="F147" s="9" t="str">
        <x:v>Replacement contained conduit for a personal canister</x:v>
      </x:c>
      <x:c r="G147" s="9" t="str">
        <x:v>Unassigned; part/fit ownership TBD</x:v>
      </x:c>
      <x:c r="H147" s="9" t="str">
        <x:v>Resource/component cargo or permitted Booter kit; policy TBD</x:v>
      </x:c>
      <x:c r="I147" s="13"/>
      <x:c r="J147" s="15"/>
      <x:c r="K147" s="9" t="str">
        <x:v>Specialist craft/trade/service candidate; no recipe authored</x:v>
      </x:c>
      <x:c r="L147" s="9" t="str">
        <x:v>Proposed material: Flexible biological/mineral component or recovered part TBD</x:v>
      </x:c>
      <x:c r="M147" s="9" t="str">
        <x:v>Not implemented</x:v>
      </x:c>
      <x:c r="N147" s="9" t="str">
        <x:v>No ordinary rubber/cloth or new respiratory system assumed; service and purity matter</x:v>
      </x:c>
      <x:c r="O147" s="17"/>
      <x:c r="P147" s="17"/>
      <x:c r="Q147" s="17"/>
      <x:c r="R147" s="17"/>
      <x:c r="S147" s="17"/>
      <x:c r="T147" s="9" t="str">
        <x:v>Source explicitly describes feed-line routing and material quality. Source systems are proposals; precision skill and suitable material may affect value, but no prices or lifetime values assigned.</x:v>
      </x:c>
      <x:c r="U147" s="11"/>
      <x:c r="V147" s="9" t="str">
        <x:v>New game item concept October 14, 2026. Source proposal: https://github.com/sleepyseamonster/Arc-Dust/blob/f6f98515c005dc3c73cccd9cbc031691745740c6/02-Arc-Dust-Worldbuilding/world/economy/canister/carry-styles.md</x:v>
      </x:c>
      <x:c r="W147" s="4" t="str">
        <x:v>Container part</x:v>
      </x:c>
      <x:c r="X147" s="4" t="str">
        <x:v>Processed intermediate</x:v>
      </x:c>
      <x:c r="Y147" s="4" t="str">
        <x:v>Manufactured / unresolved</x:v>
      </x:c>
      <x:c r="Z147" s="4" t="str">
        <x:v>Material transfer</x:v>
      </x:c>
      <x:c r="AA147" s="4" t="str">
        <x:v>Mixed / unresolved</x:v>
      </x:c>
      <x:c r="AB147" s="4" t="str">
        <x:v>Solid part</x:v>
      </x:c>
      <x:c r="AC147" s="4" t="str">
        <x:v>Proposal</x:v>
      </x:c>
      <x:c r="AD147" s="4" t="str">
        <x:f>LOWER(A147&amp;"; "&amp;B147&amp;"; "&amp;C147&amp;"; "&amp;D147&amp;"; "&amp;W147&amp;"; "&amp;X147&amp;"; "&amp;Y147&amp;"; "&amp;Z147&amp;"; "&amp;AA147&amp;"; "&amp;AB147&amp;"; "&amp;AC147&amp;"; "&amp;U147)</x:f>
        <x:v>proposal.canister.feed_line; feed-line section; crafting components; canister economy concept; container part; processed intermediate; manufactured / unresolved; material transfer; mixed / unresolved; solid part; proposal; </x:v>
      </x:c>
      <x:c r="AE147" s="4" t="str">
        <x:v>From current item description. Proposed uses retain their existing approval status.</x:v>
      </x:c>
    </x:row>
    <x:row r="148" ht="95" customHeight="1">
      <x:c r="A148" s="9" t="str">
        <x:v>proposal.canister.coupling</x:v>
      </x:c>
      <x:c r="B148" s="9" t="str">
        <x:v>Feed-line coupling</x:v>
      </x:c>
      <x:c r="C148" s="9" t="str">
        <x:v>Crafting components</x:v>
      </x:c>
      <x:c r="D148" s="9" t="str">
        <x:v>Canister economy concept</x:v>
      </x:c>
      <x:c r="E148" s="9" t="str">
        <x:v>New proposal</x:v>
      </x:c>
      <x:c r="F148" s="9" t="str">
        <x:v>Connect a line to a matching canister/interface</x:v>
      </x:c>
      <x:c r="G148" s="9" t="str">
        <x:v>Unassigned; part/fit ownership TBD</x:v>
      </x:c>
      <x:c r="H148" s="9" t="str">
        <x:v>Resource/component cargo or permitted Booter kit; policy TBD</x:v>
      </x:c>
      <x:c r="I148" s="13"/>
      <x:c r="J148" s="15"/>
      <x:c r="K148" s="9" t="str">
        <x:v>Specialist craft/trade/service candidate; no recipe authored</x:v>
      </x:c>
      <x:c r="L148" s="9" t="str">
        <x:v>Proposed material: Machined metal with qualified sealing insert TBD</x:v>
      </x:c>
      <x:c r="M148" s="9" t="str">
        <x:v>Not implemented</x:v>
      </x:c>
      <x:c r="N148" s="9" t="str">
        <x:v>Match intended service; not a generic connector for every toxic liquid</x:v>
      </x:c>
      <x:c r="O148" s="17"/>
      <x:c r="P148" s="17"/>
      <x:c r="Q148" s="17"/>
      <x:c r="R148" s="17"/>
      <x:c r="S148" s="17"/>
      <x:c r="T148" s="9" t="str">
        <x:v>New explicit fitting from source connection systems. Source systems are proposals; precision skill and suitable material may affect value, but no prices or lifetime values assigned.</x:v>
      </x:c>
      <x:c r="U148" s="11" t="str">
        <x:v>sealing</x:v>
      </x:c>
      <x:c r="V148" s="9" t="str">
        <x:v>New game item concept October 14, 2026. Source proposal: https://github.com/sleepyseamonster/Arc-Dust/blob/f6f98515c005dc3c73cccd9cbc031691745740c6/02-Arc-Dust-Worldbuilding/world/economy/canister/carry-styles.md</x:v>
      </x:c>
      <x:c r="W148" s="4" t="str">
        <x:v>Container part</x:v>
      </x:c>
      <x:c r="X148" s="4" t="str">
        <x:v>Processed intermediate</x:v>
      </x:c>
      <x:c r="Y148" s="4" t="str">
        <x:v>Manufactured / unresolved</x:v>
      </x:c>
      <x:c r="Z148" s="4" t="str">
        <x:v>Material transfer</x:v>
      </x:c>
      <x:c r="AA148" s="4" t="str">
        <x:v>Mixed / unresolved</x:v>
      </x:c>
      <x:c r="AB148" s="4" t="str">
        <x:v>Solid part</x:v>
      </x:c>
      <x:c r="AC148" s="4" t="str">
        <x:v>Proposal</x:v>
      </x:c>
      <x:c r="AD148" s="4" t="str">
        <x:f>LOWER(A148&amp;"; "&amp;B148&amp;"; "&amp;C148&amp;"; "&amp;D148&amp;"; "&amp;W148&amp;"; "&amp;X148&amp;"; "&amp;Y148&amp;"; "&amp;Z148&amp;"; "&amp;AA148&amp;"; "&amp;AB148&amp;"; "&amp;AC148&amp;"; "&amp;U148)</x:f>
        <x:v>proposal.canister.coupling; feed-line coupling; crafting components; canister economy concept; container part; processed intermediate; manufactured / unresolved; material transfer; mixed / unresolved; solid part; proposal; sealing</x:v>
      </x:c>
      <x:c r="AE148" s="4" t="str">
        <x:v>From current item description. Proposed uses retain their existing approval status.</x:v>
      </x:c>
    </x:row>
    <x:row r="149" ht="95" customHeight="1">
      <x:c r="A149" s="9" t="str">
        <x:v>proposal.canister.mouthpiece</x:v>
      </x:c>
      <x:c r="B149" s="9" t="str">
        <x:v>Canister mouthpiece interface</x:v>
      </x:c>
      <x:c r="C149" s="9" t="str">
        <x:v>Crafting components</x:v>
      </x:c>
      <x:c r="D149" s="9" t="str">
        <x:v>Canister economy concept</x:v>
      </x:c>
      <x:c r="E149" s="9" t="str">
        <x:v>New proposal</x:v>
      </x:c>
      <x:c r="F149" s="9" t="str">
        <x:v>Personal delivery interface candidate</x:v>
      </x:c>
      <x:c r="G149" s="9" t="str">
        <x:v>Unassigned; part/fit ownership TBD</x:v>
      </x:c>
      <x:c r="H149" s="9" t="str">
        <x:v>Resource/component cargo or permitted Booter kit; policy TBD</x:v>
      </x:c>
      <x:c r="I149" s="13"/>
      <x:c r="J149" s="15"/>
      <x:c r="K149" s="9" t="str">
        <x:v>Specialist craft/trade/service candidate; no recipe authored</x:v>
      </x:c>
      <x:c r="L149" s="9" t="str">
        <x:v>Proposed material: Qualified body-contact material TBD</x:v>
      </x:c>
      <x:c r="M149" s="9" t="str">
        <x:v>Not implemented</x:v>
      </x:c>
      <x:c r="N149" s="9" t="str">
        <x:v>Game algae-use and breathing systems are unchanged; anatomy and hygiene design needed</x:v>
      </x:c>
      <x:c r="O149" s="17"/>
      <x:c r="P149" s="17"/>
      <x:c r="Q149" s="17"/>
      <x:c r="R149" s="17"/>
      <x:c r="S149" s="17"/>
      <x:c r="T149" s="9" t="str">
        <x:v>Source describes mouthpiece/collar interfaces. Source systems are proposals; precision skill and suitable material may affect value, but no prices or lifetime values assigned.</x:v>
      </x:c>
      <x:c r="U149" s="11"/>
      <x:c r="V149" s="9" t="str">
        <x:v>New game item concept October 14, 2026. Source proposal: https://github.com/sleepyseamonster/Arc-Dust/blob/f6f98515c005dc3c73cccd9cbc031691745740c6/02-Arc-Dust-Worldbuilding/world/economy/canister/carry-styles.md</x:v>
      </x:c>
      <x:c r="W149" s="4" t="str">
        <x:v>Container part</x:v>
      </x:c>
      <x:c r="X149" s="4" t="str">
        <x:v>Processed intermediate</x:v>
      </x:c>
      <x:c r="Y149" s="4" t="str">
        <x:v>Manufactured / unresolved</x:v>
      </x:c>
      <x:c r="Z149" s="4" t="str">
        <x:v>Survival provision</x:v>
      </x:c>
      <x:c r="AA149" s="4" t="str">
        <x:v>Mixed / unresolved</x:v>
      </x:c>
      <x:c r="AB149" s="4" t="str">
        <x:v>Solid part</x:v>
      </x:c>
      <x:c r="AC149" s="4" t="str">
        <x:v>Proposal</x:v>
      </x:c>
      <x:c r="AD149" s="4" t="str">
        <x:f>LOWER(A149&amp;"; "&amp;B149&amp;"; "&amp;C149&amp;"; "&amp;D149&amp;"; "&amp;W149&amp;"; "&amp;X149&amp;"; "&amp;Y149&amp;"; "&amp;Z149&amp;"; "&amp;AA149&amp;"; "&amp;AB149&amp;"; "&amp;AC149&amp;"; "&amp;U149)</x:f>
        <x:v>proposal.canister.mouthpiece; canister mouthpiece interface; crafting components; canister economy concept; container part; processed intermediate; manufactured / unresolved; survival provision; mixed / unresolved; solid part; proposal; </x:v>
      </x:c>
      <x:c r="AE149" s="4" t="str">
        <x:v>From current item description. Proposed uses retain their existing approval status.</x:v>
      </x:c>
    </x:row>
    <x:row r="150" ht="95" customHeight="1">
      <x:c r="A150" s="9" t="str">
        <x:v>proposal.canister.window</x:v>
      </x:c>
      <x:c r="B150" s="9" t="str">
        <x:v>Canister viewing-port insert</x:v>
      </x:c>
      <x:c r="C150" s="9" t="str">
        <x:v>Crafting components</x:v>
      </x:c>
      <x:c r="D150" s="9" t="str">
        <x:v>Canister economy concept</x:v>
      </x:c>
      <x:c r="E150" s="9" t="str">
        <x:v>New proposal</x:v>
      </x:c>
      <x:c r="F150" s="9" t="str">
        <x:v>Inspect a compatible interior without opening it</x:v>
      </x:c>
      <x:c r="G150" s="9" t="str">
        <x:v>Unassigned; part/fit ownership TBD</x:v>
      </x:c>
      <x:c r="H150" s="9" t="str">
        <x:v>Resource/component cargo or permitted Booter kit; policy TBD</x:v>
      </x:c>
      <x:c r="I150" s="13"/>
      <x:c r="J150" s="15"/>
      <x:c r="K150" s="9" t="str">
        <x:v>Specialist craft/trade/service candidate; no recipe authored</x:v>
      </x:c>
      <x:c r="L150" s="9" t="str">
        <x:v>Proposed material: Clear glass and fitted retaining seat</x:v>
      </x:c>
      <x:c r="M150" s="9" t="str">
        <x:v>Not implemented</x:v>
      </x:c>
      <x:c r="N150" s="9" t="str">
        <x:v>Clear glass craft cost; no automatic fill sensor, pressure certification or new HUD</x:v>
      </x:c>
      <x:c r="O150" s="17"/>
      <x:c r="P150" s="17"/>
      <x:c r="Q150" s="17"/>
      <x:c r="R150" s="17"/>
      <x:c r="S150" s="17"/>
      <x:c r="T150" s="9" t="str">
        <x:v>Glass source and canister craft describe viewing ports. Source systems are proposals; precision skill and suitable material may affect value, but no prices or lifetime values assigned.</x:v>
      </x:c>
      <x:c r="U150" s="11"/>
      <x:c r="V150" s="9" t="str">
        <x:v>New game item concept October 14, 2026. Source proposal: https://github.com/sleepyseamonster/Arc-Dust/blob/f6f98515c005dc3c73cccd9cbc031691745740c6/02-Arc-Dust-Worldbuilding/world/materials/glass.md</x:v>
      </x:c>
      <x:c r="W150" s="4" t="str">
        <x:v>Container part</x:v>
      </x:c>
      <x:c r="X150" s="4" t="str">
        <x:v>Processed intermediate</x:v>
      </x:c>
      <x:c r="Y150" s="4" t="str">
        <x:v>Manufactured / unresolved</x:v>
      </x:c>
      <x:c r="Z150" s="4" t="str">
        <x:v>Inspection</x:v>
      </x:c>
      <x:c r="AA150" s="4" t="str">
        <x:v>Glass</x:v>
      </x:c>
      <x:c r="AB150" s="4" t="str">
        <x:v>Solid part</x:v>
      </x:c>
      <x:c r="AC150" s="4" t="str">
        <x:v>Proposal</x:v>
      </x:c>
      <x:c r="AD150" s="4" t="str">
        <x:f>LOWER(A150&amp;"; "&amp;B150&amp;"; "&amp;C150&amp;"; "&amp;D150&amp;"; "&amp;W150&amp;"; "&amp;X150&amp;"; "&amp;Y150&amp;"; "&amp;Z150&amp;"; "&amp;AA150&amp;"; "&amp;AB150&amp;"; "&amp;AC150&amp;"; "&amp;U150)</x:f>
        <x:v>proposal.canister.window; canister viewing-port insert; crafting components; canister economy concept; container part; processed intermediate; manufactured / unresolved; inspection; glass; solid part; proposal; </x:v>
      </x:c>
      <x:c r="AE150" s="4" t="str">
        <x:v>From current item description. Proposed uses retain their existing approval status.</x:v>
      </x:c>
    </x:row>
    <x:row r="151" ht="95" customHeight="1">
      <x:c r="A151" s="9" t="str">
        <x:v>proposal.canister.mount</x:v>
      </x:c>
      <x:c r="B151" s="9" t="str">
        <x:v>Canister mounting bracket</x:v>
      </x:c>
      <x:c r="C151" s="9" t="str">
        <x:v>Crafting components</x:v>
      </x:c>
      <x:c r="D151" s="9" t="str">
        <x:v>Canister economy concept</x:v>
      </x:c>
      <x:c r="E151" s="9" t="str">
        <x:v>New proposal</x:v>
      </x:c>
      <x:c r="F151" s="9" t="str">
        <x:v>Attach one canister to a fitted carrier</x:v>
      </x:c>
      <x:c r="G151" s="9" t="str">
        <x:v>Unassigned; part/fit ownership TBD</x:v>
      </x:c>
      <x:c r="H151" s="9" t="str">
        <x:v>Resource/component cargo or permitted Booter kit; policy TBD</x:v>
      </x:c>
      <x:c r="I151" s="13"/>
      <x:c r="J151" s="15"/>
      <x:c r="K151" s="9" t="str">
        <x:v>Specialist craft/trade/service candidate; no recipe authored</x:v>
      </x:c>
      <x:c r="L151" s="9" t="str">
        <x:v>Proposed material: Metal bracket and retainers</x:v>
      </x:c>
      <x:c r="M151" s="9" t="str">
        <x:v>Not implemented</x:v>
      </x:c>
      <x:c r="N151" s="9" t="str">
        <x:v>Coexist with armor, cloak, backpack, magnets and grounding equipment; no new slot authority</x:v>
      </x:c>
      <x:c r="O151" s="17"/>
      <x:c r="P151" s="17"/>
      <x:c r="Q151" s="17"/>
      <x:c r="R151" s="17"/>
      <x:c r="S151" s="17"/>
      <x:c r="T151" s="9" t="str">
        <x:v>Source explicitly separates fitments from body/seal. Source systems are proposals; precision skill and suitable material may affect value, but no prices or lifetime values assigned.</x:v>
      </x:c>
      <x:c r="U151" s="11"/>
      <x:c r="V151" s="9" t="str">
        <x:v>New game item concept October 14, 2026. Source proposal: https://github.com/sleepyseamonster/Arc-Dust/blob/f6f98515c005dc3c73cccd9cbc031691745740c6/02-Arc-Dust-Worldbuilding/world/economy/canister/caster-craft.md</x:v>
      </x:c>
      <x:c r="W151" s="4" t="str">
        <x:v>Container part</x:v>
      </x:c>
      <x:c r="X151" s="4" t="str">
        <x:v>Processed intermediate</x:v>
      </x:c>
      <x:c r="Y151" s="4" t="str">
        <x:v>Manufactured / unresolved</x:v>
      </x:c>
      <x:c r="Z151" s="4" t="str">
        <x:v>Equipment mounting</x:v>
      </x:c>
      <x:c r="AA151" s="4" t="str">
        <x:v>Mixed / unresolved</x:v>
      </x:c>
      <x:c r="AB151" s="4" t="str">
        <x:v>Solid part</x:v>
      </x:c>
      <x:c r="AC151" s="4" t="str">
        <x:v>Proposal</x:v>
      </x:c>
      <x:c r="AD151" s="4" t="str">
        <x:f>LOWER(A151&amp;"; "&amp;B151&amp;"; "&amp;C151&amp;"; "&amp;D151&amp;"; "&amp;W151&amp;"; "&amp;X151&amp;"; "&amp;Y151&amp;"; "&amp;Z151&amp;"; "&amp;AA151&amp;"; "&amp;AB151&amp;"; "&amp;AC151&amp;"; "&amp;U151)</x:f>
        <x:v>proposal.canister.mount; canister mounting bracket; crafting components; canister economy concept; container part; processed intermediate; manufactured / unresolved; equipment mounting; mixed / unresolved; solid part; proposal; </x:v>
      </x:c>
      <x:c r="AE151" s="4" t="str">
        <x:v>From current item description. Proposed uses retain their existing approval status.</x:v>
      </x:c>
    </x:row>
    <x:row r="152" ht="95" customHeight="1">
      <x:c r="A152" s="9" t="str">
        <x:v>proposal.canister.harness</x:v>
      </x:c>
      <x:c r="B152" s="9" t="str">
        <x:v>Fitted canister harness</x:v>
      </x:c>
      <x:c r="C152" s="9" t="str">
        <x:v>Equipment</x:v>
      </x:c>
      <x:c r="D152" s="9" t="str">
        <x:v>Canister economy concept</x:v>
      </x:c>
      <x:c r="E152" s="9" t="str">
        <x:v>New proposal</x:v>
      </x:c>
      <x:c r="F152" s="9" t="str">
        <x:v>Wear a canister in a selected carry arrangement</x:v>
      </x:c>
      <x:c r="G152" s="9" t="str">
        <x:v>Unassigned; part/fit ownership TBD</x:v>
      </x:c>
      <x:c r="H152" s="9" t="str">
        <x:v>Resource/component cargo or permitted Booter kit; policy TBD</x:v>
      </x:c>
      <x:c r="I152" s="13"/>
      <x:c r="J152" s="15"/>
      <x:c r="K152" s="9" t="str">
        <x:v>Specialist craft/trade/service candidate; no recipe authored</x:v>
      </x:c>
      <x:c r="L152" s="9" t="str">
        <x:v>Proposed material: Metal/shell carrier; minimal-fur contact material or difficult husk material proposed</x:v>
      </x:c>
      <x:c r="M152" s="9" t="str">
        <x:v>Not implemented</x:v>
      </x:c>
      <x:c r="N152" s="9" t="str">
        <x:v>Exact harness material and capacities unresolved; no cloth straps or changed trial equipment slots</x:v>
      </x:c>
      <x:c r="O152" s="17"/>
      <x:c r="P152" s="17"/>
      <x:c r="Q152" s="17"/>
      <x:c r="R152" s="17"/>
      <x:c r="S152" s="17"/>
      <x:c r="T152" s="9" t="str">
        <x:v>Source chest/hip/back/cross-body carry styles. Source systems are proposals; precision skill and suitable material may affect value, but no prices or lifetime values assigned.</x:v>
      </x:c>
      <x:c r="U152" s="11"/>
      <x:c r="V152" s="9" t="str">
        <x:v>New game item concept October 14, 2026. Source proposal: https://github.com/sleepyseamonster/Arc-Dust/blob/f6f98515c005dc3c73cccd9cbc031691745740c6/02-Arc-Dust-Worldbuilding/world/economy/canister/carry-styles.md</x:v>
      </x:c>
      <x:c r="W152" s="4" t="str">
        <x:v>Carrier</x:v>
      </x:c>
      <x:c r="X152" s="4" t="str">
        <x:v>Finished item</x:v>
      </x:c>
      <x:c r="Y152" s="4" t="str">
        <x:v>Manufactured / unresolved</x:v>
      </x:c>
      <x:c r="Z152" s="4" t="str">
        <x:v>Equipment mounting</x:v>
      </x:c>
      <x:c r="AA152" s="4" t="str">
        <x:v>Mixed / unresolved</x:v>
      </x:c>
      <x:c r="AB152" s="4" t="str">
        <x:v>Assembly</x:v>
      </x:c>
      <x:c r="AC152" s="4" t="str">
        <x:v>Proposal</x:v>
      </x:c>
      <x:c r="AD152" s="4" t="str">
        <x:f>LOWER(A152&amp;"; "&amp;B152&amp;"; "&amp;C152&amp;"; "&amp;D152&amp;"; "&amp;W152&amp;"; "&amp;X152&amp;"; "&amp;Y152&amp;"; "&amp;Z152&amp;"; "&amp;AA152&amp;"; "&amp;AB152&amp;"; "&amp;AC152&amp;"; "&amp;U152)</x:f>
        <x:v>proposal.canister.harness; fitted canister harness; equipment; canister economy concept; carrier; finished item; manufactured / unresolved; equipment mounting; mixed / unresolved; assembly; proposal; </x:v>
      </x:c>
      <x:c r="AE152" s="4" t="str">
        <x:v>From current item description. Proposed uses retain their existing approval status.</x:v>
      </x:c>
    </x:row>
    <x:row r="153" ht="95" customHeight="1">
      <x:c r="A153" s="9" t="str">
        <x:v>proposal.canister.inspection_gauge</x:v>
      </x:c>
      <x:c r="B153" s="9" t="str">
        <x:v>Seal inspection gauge</x:v>
      </x:c>
      <x:c r="C153" s="9" t="str">
        <x:v>Equipment</x:v>
      </x:c>
      <x:c r="D153" s="9" t="str">
        <x:v>Canister economy concept</x:v>
      </x:c>
      <x:c r="E153" s="9" t="str">
        <x:v>New proposal</x:v>
      </x:c>
      <x:c r="F153" s="9" t="str">
        <x:v>Specialist workshop inspection aid</x:v>
      </x:c>
      <x:c r="G153" s="9" t="str">
        <x:v>Unassigned; part/fit ownership TBD</x:v>
      </x:c>
      <x:c r="H153" s="9" t="str">
        <x:v>Resource/component cargo or permitted Booter kit; policy TBD</x:v>
      </x:c>
      <x:c r="I153" s="13"/>
      <x:c r="J153" s="15"/>
      <x:c r="K153" s="9" t="str">
        <x:v>Specialist craft/trade/service candidate; no recipe authored</x:v>
      </x:c>
      <x:c r="L153" s="9" t="str">
        <x:v>Proposed material: Precision metal/glass tool candidate</x:v>
      </x:c>
      <x:c r="M153" s="9" t="str">
        <x:v>Not implemented</x:v>
      </x:c>
      <x:c r="N153" s="9" t="str">
        <x:v>No numerical pressure behavior or mandatory recurring inspection chore introduced</x:v>
      </x:c>
      <x:c r="O153" s="17"/>
      <x:c r="P153" s="17"/>
      <x:c r="Q153" s="17"/>
      <x:c r="R153" s="17"/>
      <x:c r="S153" s="17"/>
      <x:c r="T153" s="9" t="str">
        <x:v>New tool idea inspired by source seal checks/testing. Source systems are proposals; precision skill and suitable material may affect value, but no prices or lifetime values assigned.</x:v>
      </x:c>
      <x:c r="U153" s="11"/>
      <x:c r="V153" s="9" t="str">
        <x:v>New game item concept October 14, 2026. Source proposal: https://github.com/sleepyseamonster/Arc-Dust/blob/f6f98515c005dc3c73cccd9cbc031691745740c6/02-Arc-Dust-Worldbuilding/world/economy/canister/daily-ritual.md</x:v>
      </x:c>
      <x:c r="W153" s="4" t="str">
        <x:v>Tool</x:v>
      </x:c>
      <x:c r="X153" s="4" t="str">
        <x:v>Finished item</x:v>
      </x:c>
      <x:c r="Y153" s="4" t="str">
        <x:v>Manufactured / unresolved</x:v>
      </x:c>
      <x:c r="Z153" s="4" t="str">
        <x:v>Inspection</x:v>
      </x:c>
      <x:c r="AA153" s="4" t="str">
        <x:v>Mixed / unresolved</x:v>
      </x:c>
      <x:c r="AB153" s="4" t="str">
        <x:v>Assembly</x:v>
      </x:c>
      <x:c r="AC153" s="4" t="str">
        <x:v>Proposal</x:v>
      </x:c>
      <x:c r="AD153" s="4" t="str">
        <x:f>LOWER(A153&amp;"; "&amp;B153&amp;"; "&amp;C153&amp;"; "&amp;D153&amp;"; "&amp;W153&amp;"; "&amp;X153&amp;"; "&amp;Y153&amp;"; "&amp;Z153&amp;"; "&amp;AA153&amp;"; "&amp;AB153&amp;"; "&amp;AC153&amp;"; "&amp;U153)</x:f>
        <x:v>proposal.canister.inspection_gauge; seal inspection gauge; equipment; canister economy concept; tool; finished item; manufactured / unresolved; inspection; mixed / unresolved; assembly; proposal; </x:v>
      </x:c>
      <x:c r="AE153" s="4" t="str">
        <x:v>From current item description. Proposed uses retain their existing approval status.</x:v>
      </x:c>
    </x:row>
    <x:row r="154" ht="95" customHeight="1">
      <x:c r="A154" s="9" t="str">
        <x:v>proposal.canister.service_kit</x:v>
      </x:c>
      <x:c r="B154" s="9" t="str">
        <x:v>Canister service kit</x:v>
      </x:c>
      <x:c r="C154" s="9" t="str">
        <x:v>Field supplies</x:v>
      </x:c>
      <x:c r="D154" s="9" t="str">
        <x:v>Canister economy concept</x:v>
      </x:c>
      <x:c r="E154" s="9" t="str">
        <x:v>New proposal</x:v>
      </x:c>
      <x:c r="F154" s="9" t="str">
        <x:v>Carry a selected set of compatible spare seals/fittings</x:v>
      </x:c>
      <x:c r="G154" s="9" t="str">
        <x:v>Unassigned; part/fit ownership TBD</x:v>
      </x:c>
      <x:c r="H154" s="9" t="str">
        <x:v>Resource/component cargo or permitted Booter kit; policy TBD</x:v>
      </x:c>
      <x:c r="I154" s="13"/>
      <x:c r="J154" s="15"/>
      <x:c r="K154" s="9" t="str">
        <x:v>Specialist craft/trade/service candidate; no recipe authored</x:v>
      </x:c>
      <x:c r="L154" s="9" t="str">
        <x:v>Proposed material: Existing candidate parts in a fitted case</x:v>
      </x:c>
      <x:c r="M154" s="9" t="str">
        <x:v>Not implemented</x:v>
      </x:c>
      <x:c r="N154" s="9" t="str">
        <x:v>Bundle contents count once and occupy finite capacity; recipe/quantity and repair action unapproved</x:v>
      </x:c>
      <x:c r="O154" s="17"/>
      <x:c r="P154" s="17"/>
      <x:c r="Q154" s="17"/>
      <x:c r="R154" s="17"/>
      <x:c r="S154" s="17"/>
      <x:c r="T154" s="9" t="str">
        <x:v>Source caravan carry includes repair kits/spare seals. Source systems are proposals; precision skill and suitable material may affect value, but no prices or lifetime values assigned.</x:v>
      </x:c>
      <x:c r="U154" s="11" t="str">
        <x:v>sealing</x:v>
      </x:c>
      <x:c r="V154" s="9" t="str">
        <x:v>New game item concept October 14, 2026. Source proposal: https://github.com/sleepyseamonster/Arc-Dust/blob/f6f98515c005dc3c73cccd9cbc031691745740c6/02-Arc-Dust-Worldbuilding/world/economy/canister/carry-styles.md</x:v>
      </x:c>
      <x:c r="W154" s="4" t="str">
        <x:v>Service kit</x:v>
      </x:c>
      <x:c r="X154" s="4" t="str">
        <x:v>Finished item</x:v>
      </x:c>
      <x:c r="Y154" s="4" t="str">
        <x:v>Manufactured / unresolved</x:v>
      </x:c>
      <x:c r="Z154" s="4" t="str">
        <x:v>Equipment repair</x:v>
      </x:c>
      <x:c r="AA154" s="4" t="str">
        <x:v>Mixed / unresolved</x:v>
      </x:c>
      <x:c r="AB154" s="4" t="str">
        <x:v>Assembly</x:v>
      </x:c>
      <x:c r="AC154" s="4" t="str">
        <x:v>Proposal</x:v>
      </x:c>
      <x:c r="AD154" s="4" t="str">
        <x:f>LOWER(A154&amp;"; "&amp;B154&amp;"; "&amp;C154&amp;"; "&amp;D154&amp;"; "&amp;W154&amp;"; "&amp;X154&amp;"; "&amp;Y154&amp;"; "&amp;Z154&amp;"; "&amp;AA154&amp;"; "&amp;AB154&amp;"; "&amp;AC154&amp;"; "&amp;U154)</x:f>
        <x:v>proposal.canister.service_kit; canister service kit; field supplies; canister economy concept; service kit; finished item; manufactured / unresolved; equipment repair; mixed / unresolved; assembly; proposal; sealing</x:v>
      </x:c>
      <x:c r="AE154" s="4" t="str">
        <x:v>From current item description. Proposed uses retain their existing approval status.</x:v>
      </x:c>
    </x:row>
    <x:row r="155" ht="95" customHeight="1">
      <x:c r="A155" s="9" t="str">
        <x:v>proposal.canister.maker_plate</x:v>
      </x:c>
      <x:c r="B155" s="9" t="str">
        <x:v>Canister maker plate</x:v>
      </x:c>
      <x:c r="C155" s="9" t="str">
        <x:v>Crafting components</x:v>
      </x:c>
      <x:c r="D155" s="9" t="str">
        <x:v>Canister economy concept</x:v>
      </x:c>
      <x:c r="E155" s="9" t="str">
        <x:v>New proposal</x:v>
      </x:c>
      <x:c r="F155" s="9" t="str">
        <x:v>Visible craft provenance or personal decoration</x:v>
      </x:c>
      <x:c r="G155" s="9" t="str">
        <x:v>Unassigned; part/fit ownership TBD</x:v>
      </x:c>
      <x:c r="H155" s="9" t="str">
        <x:v>Resource/component cargo or permitted Booter kit; policy TBD</x:v>
      </x:c>
      <x:c r="I155" s="13"/>
      <x:c r="J155" s="15"/>
      <x:c r="K155" s="9" t="str">
        <x:v>Specialist craft/trade/service candidate; no recipe authored</x:v>
      </x:c>
      <x:c r="L155" s="9" t="str">
        <x:v>Proposed material: Engraved metal; exact format TBD</x:v>
      </x:c>
      <x:c r="M155" s="9" t="str">
        <x:v>Not implemented</x:v>
      </x:c>
      <x:c r="N155" s="9" t="str">
        <x:v>Not functional seal quality, an achievement award or a verified authenticity system by itself</x:v>
      </x:c>
      <x:c r="O155" s="17"/>
      <x:c r="P155" s="17"/>
      <x:c r="Q155" s="17"/>
      <x:c r="R155" s="17"/>
      <x:c r="S155" s="17"/>
      <x:c r="T155" s="9" t="str">
        <x:v>Source guild marks and maker reputation. Source systems are proposals; precision skill and suitable material may affect value, but no prices or lifetime values assigned.</x:v>
      </x:c>
      <x:c r="U155" s="11" t="str">
        <x:v>decoration</x:v>
      </x:c>
      <x:c r="V155" s="9" t="str">
        <x:v>New game item concept October 14, 2026. Source proposal: https://github.com/sleepyseamonster/Arc-Dust/blob/f6f98515c005dc3c73cccd9cbc031691745740c6/02-Arc-Dust-Worldbuilding/world/economy/canister-identity.md</x:v>
      </x:c>
      <x:c r="W155" s="4" t="str">
        <x:v>Crafting component</x:v>
      </x:c>
      <x:c r="X155" s="4" t="str">
        <x:v>Processed intermediate</x:v>
      </x:c>
      <x:c r="Y155" s="4" t="str">
        <x:v>Manufactured / unresolved</x:v>
      </x:c>
      <x:c r="Z155" s="4" t="str">
        <x:v>Provenance</x:v>
      </x:c>
      <x:c r="AA155" s="4" t="str">
        <x:v>Mixed / unresolved</x:v>
      </x:c>
      <x:c r="AB155" s="4" t="str">
        <x:v>Solid part</x:v>
      </x:c>
      <x:c r="AC155" s="4" t="str">
        <x:v>Proposal</x:v>
      </x:c>
      <x:c r="AD155" s="4" t="str">
        <x:f>LOWER(A155&amp;"; "&amp;B155&amp;"; "&amp;C155&amp;"; "&amp;D155&amp;"; "&amp;W155&amp;"; "&amp;X155&amp;"; "&amp;Y155&amp;"; "&amp;Z155&amp;"; "&amp;AA155&amp;"; "&amp;AB155&amp;"; "&amp;AC155&amp;"; "&amp;U155)</x:f>
        <x:v>proposal.canister.maker_plate; canister maker plate; crafting components; canister economy concept; crafting component; processed intermediate; manufactured / unresolved; provenance; mixed / unresolved; solid part; proposal; decoration</x:v>
      </x:c>
      <x:c r="AE155" s="4" t="str">
        <x:v>From current item description. Proposed uses retain their existing approval status.</x:v>
      </x:c>
    </x:row>
    <x:row r="156" ht="95" customHeight="1">
      <x:c r="A156" s="9" t="str">
        <x:v>proposal.canister.trim</x:v>
      </x:c>
      <x:c r="B156" s="9" t="str">
        <x:v>Decorative canister panel</x:v>
      </x:c>
      <x:c r="C156" s="9" t="str">
        <x:v>Crafting components</x:v>
      </x:c>
      <x:c r="D156" s="9" t="str">
        <x:v>Canister economy concept</x:v>
      </x:c>
      <x:c r="E156" s="9" t="str">
        <x:v>New proposal</x:v>
      </x:c>
      <x:c r="F156" s="9" t="str">
        <x:v>Nonstructural custom finish candidate</x:v>
      </x:c>
      <x:c r="G156" s="9" t="str">
        <x:v>Unassigned; part/fit ownership TBD</x:v>
      </x:c>
      <x:c r="H156" s="9" t="str">
        <x:v>Resource/component cargo or permitted Booter kit; policy TBD</x:v>
      </x:c>
      <x:c r="I156" s="13"/>
      <x:c r="J156" s="15"/>
      <x:c r="K156" s="9" t="str">
        <x:v>Specialist craft/trade/service candidate; no recipe authored</x:v>
      </x:c>
      <x:c r="L156" s="9" t="str">
        <x:v>Proposed material: Worked metal/shell; fashion-grade inlay optional</x:v>
      </x:c>
      <x:c r="M156" s="9" t="str">
        <x:v>Not implemented</x:v>
      </x:c>
      <x:c r="N156" s="9" t="str">
        <x:v>Decoration remains separate from seal/body functionality; material requirements and price TBD</x:v>
      </x:c>
      <x:c r="O156" s="17"/>
      <x:c r="P156" s="17"/>
      <x:c r="Q156" s="17"/>
      <x:c r="R156" s="17"/>
      <x:c r="S156" s="17"/>
      <x:c r="T156" s="9" t="str">
        <x:v>Source engravings, surface work and identity. Source systems are proposals; precision skill and suitable material may affect value, but no prices or lifetime values assigned.</x:v>
      </x:c>
      <x:c r="U156" s="11"/>
      <x:c r="V156" s="9" t="str">
        <x:v>New game item concept October 14, 2026. Source proposal: https://github.com/sleepyseamonster/Arc-Dust/blob/f6f98515c005dc3c73cccd9cbc031691745740c6/02-Arc-Dust-Worldbuilding/world/economy/canister-identity.md</x:v>
      </x:c>
      <x:c r="W156" s="4" t="str">
        <x:v>Crafting component</x:v>
      </x:c>
      <x:c r="X156" s="4" t="str">
        <x:v>Processed intermediate</x:v>
      </x:c>
      <x:c r="Y156" s="4" t="str">
        <x:v>Manufactured / unresolved</x:v>
      </x:c>
      <x:c r="Z156" s="4" t="str">
        <x:v>Decoration</x:v>
      </x:c>
      <x:c r="AA156" s="4" t="str">
        <x:v>Mixed / unresolved</x:v>
      </x:c>
      <x:c r="AB156" s="4" t="str">
        <x:v>Solid part</x:v>
      </x:c>
      <x:c r="AC156" s="4" t="str">
        <x:v>Proposal</x:v>
      </x:c>
      <x:c r="AD156" s="4" t="str">
        <x:f>LOWER(A156&amp;"; "&amp;B156&amp;"; "&amp;C156&amp;"; "&amp;D156&amp;"; "&amp;W156&amp;"; "&amp;X156&amp;"; "&amp;Y156&amp;"; "&amp;Z156&amp;"; "&amp;AA156&amp;"; "&amp;AB156&amp;"; "&amp;AC156&amp;"; "&amp;U156)</x:f>
        <x:v>proposal.canister.trim; decorative canister panel; crafting components; canister economy concept; crafting component; processed intermediate; manufactured / unresolved; decoration; mixed / unresolved; solid part; proposal; </x:v>
      </x:c>
      <x:c r="AE156" s="4" t="str">
        <x:v>From current item description. Proposed uses retain their existing approval status.</x:v>
      </x:c>
    </x:row>
    <x:row r="157" ht="95" customHeight="1">
      <x:c r="A157" s="9" t="str">
        <x:v>proposal.canister.endcap</x:v>
      </x:c>
      <x:c r="B157" s="9" t="str">
        <x:v>Canister protective endcap</x:v>
      </x:c>
      <x:c r="C157" s="9" t="str">
        <x:v>Crafting components</x:v>
      </x:c>
      <x:c r="D157" s="9" t="str">
        <x:v>Canister economy concept</x:v>
      </x:c>
      <x:c r="E157" s="9" t="str">
        <x:v>New proposal</x:v>
      </x:c>
      <x:c r="F157" s="9" t="str">
        <x:v>Outer impact/dust guard candidate</x:v>
      </x:c>
      <x:c r="G157" s="9" t="str">
        <x:v>Unassigned; part/fit ownership TBD</x:v>
      </x:c>
      <x:c r="H157" s="9" t="str">
        <x:v>Resource/component cargo or permitted Booter kit; policy TBD</x:v>
      </x:c>
      <x:c r="I157" s="13"/>
      <x:c r="J157" s="15"/>
      <x:c r="K157" s="9" t="str">
        <x:v>Specialist craft/trade/service candidate; no recipe authored</x:v>
      </x:c>
      <x:c r="L157" s="9" t="str">
        <x:v>Proposed material: Cheap shell outer guard or metal form proposed</x:v>
      </x:c>
      <x:c r="M157" s="9" t="str">
        <x:v>Not implemented</x:v>
      </x:c>
      <x:c r="N157" s="9" t="str">
        <x:v>Protective casing is not a pressure seal; no damage/breakage simulation approved</x:v>
      </x:c>
      <x:c r="O157" s="17"/>
      <x:c r="P157" s="17"/>
      <x:c r="Q157" s="17"/>
      <x:c r="R157" s="17"/>
      <x:c r="S157" s="17"/>
      <x:c r="T157" s="9" t="str">
        <x:v>New part inspired by source protective deep-operation casing. Source systems are proposals; precision skill and suitable material may affect value, but no prices or lifetime values assigned.</x:v>
      </x:c>
      <x:c r="U157" s="11" t="str">
        <x:v>dust exclusion</x:v>
      </x:c>
      <x:c r="V157" s="9" t="str">
        <x:v>New game item concept October 14, 2026. Source proposal: https://github.com/sleepyseamonster/Arc-Dust/blob/f6f98515c005dc3c73cccd9cbc031691745740c6/02-Arc-Dust-Worldbuilding/world/economy/canister/carry-styles.md</x:v>
      </x:c>
      <x:c r="W157" s="4" t="str">
        <x:v>Container part</x:v>
      </x:c>
      <x:c r="X157" s="4" t="str">
        <x:v>Processed intermediate</x:v>
      </x:c>
      <x:c r="Y157" s="4" t="str">
        <x:v>Manufactured / unresolved</x:v>
      </x:c>
      <x:c r="Z157" s="4" t="str">
        <x:v>Protection</x:v>
      </x:c>
      <x:c r="AA157" s="4" t="str">
        <x:v>Mixed / unresolved</x:v>
      </x:c>
      <x:c r="AB157" s="4" t="str">
        <x:v>Solid part</x:v>
      </x:c>
      <x:c r="AC157" s="4" t="str">
        <x:v>Proposal</x:v>
      </x:c>
      <x:c r="AD157" s="4" t="str">
        <x:f>LOWER(A157&amp;"; "&amp;B157&amp;"; "&amp;C157&amp;"; "&amp;D157&amp;"; "&amp;W157&amp;"; "&amp;X157&amp;"; "&amp;Y157&amp;"; "&amp;Z157&amp;"; "&amp;AA157&amp;"; "&amp;AB157&amp;"; "&amp;AC157&amp;"; "&amp;U157)</x:f>
        <x:v>proposal.canister.endcap; canister protective endcap; crafting components; canister economy concept; container part; processed intermediate; manufactured / unresolved; protection; mixed / unresolved; solid part; proposal; dust exclusion</x:v>
      </x:c>
      <x:c r="AE157" s="4" t="str">
        <x:v>From current item description. Proposed uses retain their existing approval status.</x:v>
      </x:c>
    </x:row>
    <x:row r="158" ht="100" customHeight="1">
      <x:c r="A158" s="9" t="str">
        <x:v>proposal.culture.icon</x:v>
      </x:c>
      <x:c r="B158" s="9" t="str">
        <x:v>Preserver icon token</x:v>
      </x:c>
      <x:c r="C158" s="9" t="str">
        <x:v>Cultural objects</x:v>
      </x:c>
      <x:c r="D158" s="9" t="str">
        <x:v>Religious</x:v>
      </x:c>
      <x:c r="E158" s="9" t="str">
        <x:v>New proposal</x:v>
      </x:c>
      <x:c r="F158" s="9" t="str">
        <x:v>Small devotional image carried or displayed</x:v>
      </x:c>
      <x:c r="G158" s="9" t="str">
        <x:v>Unassigned</x:v>
      </x:c>
      <x:c r="H158" s="9" t="str">
        <x:v>Personal kit / local storage eligibility TBD</x:v>
      </x:c>
      <x:c r="I158" s="13"/>
      <x:c r="J158" s="15"/>
      <x:c r="K158" s="9" t="str">
        <x:v>Craft, trade, gift or institutional custody; exact source TBD</x:v>
      </x:c>
      <x:c r="L158" s="9" t="str">
        <x:v>Material candidate: Stamped metal or carved shell</x:v>
      </x:c>
      <x:c r="M158" s="9" t="str">
        <x:v>Not implemented</x:v>
      </x:c>
      <x:c r="N158" s="9" t="str">
        <x:v>Symbolic object; no protective buff</x:v>
      </x:c>
      <x:c r="O158" s="17"/>
      <x:c r="P158" s="17"/>
      <x:c r="Q158" s="17"/>
      <x:c r="R158" s="17"/>
      <x:c r="S158" s="17"/>
      <x:c r="T158" s="9" t="str">
        <x:v>Plain stamped examples could be accessible; fine engraving is prestige work. Faith, political authority, ritual practice and prices remain proposals.</x:v>
      </x:c>
      <x:c r="U158" s="11"/>
      <x:c r="V158" s="9" t="str">
        <x:v>New game proposal inspired by proposal-stage lore: https://github.com/sleepyseamonster/Arc-Dust/blob/f6f98515c005dc3c73cccd9cbc031691745740c6/02-Arc-Dust-Worldbuilding/world/economy/canister/religious-traditions.md</x:v>
      </x:c>
      <x:c r="W158" s="4" t="str">
        <x:v>Cultural object</x:v>
      </x:c>
      <x:c r="X158" s="4" t="str">
        <x:v>Finished item</x:v>
      </x:c>
      <x:c r="Y158" s="4" t="str">
        <x:v>Manufactured / unresolved</x:v>
      </x:c>
      <x:c r="Z158" s="4" t="str">
        <x:v>Devotion</x:v>
      </x:c>
      <x:c r="AA158" s="4" t="str">
        <x:v>Metal or shell</x:v>
      </x:c>
      <x:c r="AB158" s="4" t="str">
        <x:v>Solid piece</x:v>
      </x:c>
      <x:c r="AC158" s="4" t="str">
        <x:v>Proposal</x:v>
      </x:c>
      <x:c r="AD158" s="4" t="str">
        <x:f>LOWER(A158&amp;"; "&amp;B158&amp;"; "&amp;C158&amp;"; "&amp;D158&amp;"; "&amp;W158&amp;"; "&amp;X158&amp;"; "&amp;Y158&amp;"; "&amp;Z158&amp;"; "&amp;AA158&amp;"; "&amp;AB158&amp;"; "&amp;AC158&amp;"; "&amp;U158)</x:f>
        <x:v>proposal.culture.icon; preserver icon token; cultural objects; religious; cultural object; finished item; manufactured / unresolved; devotion; metal or shell; solid piece; proposal; </x:v>
      </x:c>
      <x:c r="AE158" s="4" t="str">
        <x:v>From current item description. Proposed uses retain their existing approval status.</x:v>
      </x:c>
    </x:row>
    <x:row r="159" ht="100" customHeight="1">
      <x:c r="A159" s="9" t="str">
        <x:v>proposal.culture.shrine</x:v>
      </x:c>
      <x:c r="B159" s="9" t="str">
        <x:v>Household shrine plaque</x:v>
      </x:c>
      <x:c r="C159" s="9" t="str">
        <x:v>Cultural objects</x:v>
      </x:c>
      <x:c r="D159" s="9" t="str">
        <x:v>Religious</x:v>
      </x:c>
      <x:c r="E159" s="9" t="str">
        <x:v>New proposal</x:v>
      </x:c>
      <x:c r="F159" s="9" t="str">
        <x:v>Small fixed place for household remembrance and devotion</x:v>
      </x:c>
      <x:c r="G159" s="9" t="str">
        <x:v>Unassigned</x:v>
      </x:c>
      <x:c r="H159" s="9" t="str">
        <x:v>Personal kit / local storage eligibility TBD</x:v>
      </x:c>
      <x:c r="I159" s="13"/>
      <x:c r="J159" s="15"/>
      <x:c r="K159" s="9" t="str">
        <x:v>Craft, trade, gift or institutional custody; exact source TBD</x:v>
      </x:c>
      <x:c r="L159" s="9" t="str">
        <x:v>Material candidate: Shell backing and metal motif</x:v>
      </x:c>
      <x:c r="M159" s="9" t="str">
        <x:v>Not implemented</x:v>
      </x:c>
      <x:c r="N159" s="9" t="str">
        <x:v>Household object; no temple system assumed</x:v>
      </x:c>
      <x:c r="O159" s="17"/>
      <x:c r="P159" s="17"/>
      <x:c r="Q159" s="17"/>
      <x:c r="R159" s="17"/>
      <x:c r="S159" s="17"/>
      <x:c r="T159" s="9" t="str">
        <x:v>Simple versions versus elaborate commissioned pieces. Faith, political authority, ritual practice and prices remain proposals.</x:v>
      </x:c>
      <x:c r="U159" s="11"/>
      <x:c r="V159" s="9" t="str">
        <x:v>New game proposal inspired by proposal-stage lore: https://github.com/sleepyseamonster/Arc-Dust/blob/f6f98515c005dc3c73cccd9cbc031691745740c6/02-Arc-Dust-Worldbuilding/world/economy/canister/religious-traditions.md</x:v>
      </x:c>
      <x:c r="W159" s="4" t="str">
        <x:v>Cultural object</x:v>
      </x:c>
      <x:c r="X159" s="4" t="str">
        <x:v>Finished item</x:v>
      </x:c>
      <x:c r="Y159" s="4" t="str">
        <x:v>Manufactured / unresolved</x:v>
      </x:c>
      <x:c r="Z159" s="4" t="str">
        <x:v>Devotion</x:v>
      </x:c>
      <x:c r="AA159" s="4" t="str">
        <x:v>Metal or shell</x:v>
      </x:c>
      <x:c r="AB159" s="4" t="str">
        <x:v>Panel</x:v>
      </x:c>
      <x:c r="AC159" s="4" t="str">
        <x:v>Proposal</x:v>
      </x:c>
      <x:c r="AD159" s="4" t="str">
        <x:f>LOWER(A159&amp;"; "&amp;B159&amp;"; "&amp;C159&amp;"; "&amp;D159&amp;"; "&amp;W159&amp;"; "&amp;X159&amp;"; "&amp;Y159&amp;"; "&amp;Z159&amp;"; "&amp;AA159&amp;"; "&amp;AB159&amp;"; "&amp;AC159&amp;"; "&amp;U159)</x:f>
        <x:v>proposal.culture.shrine; household shrine plaque; cultural objects; religious; cultural object; finished item; manufactured / unresolved; devotion; metal or shell; panel; proposal; </x:v>
      </x:c>
      <x:c r="AE159" s="4" t="str">
        <x:v>From current item description. Proposed uses retain their existing approval status.</x:v>
      </x:c>
    </x:row>
    <x:row r="160" ht="100" customHeight="1">
      <x:c r="A160" s="9" t="str">
        <x:v>proposal.culture.altar_vial</x:v>
      </x:c>
      <x:c r="B160" s="9" t="str">
        <x:v>Altar display vial</x:v>
      </x:c>
      <x:c r="C160" s="9" t="str">
        <x:v>Cultural objects</x:v>
      </x:c>
      <x:c r="D160" s="9" t="str">
        <x:v>Religious</x:v>
      </x:c>
      <x:c r="E160" s="9" t="str">
        <x:v>New proposal</x:v>
      </x:c>
      <x:c r="F160" s="9" t="str">
        <x:v>Ceremonial display of a deliberately contained sacred sample</x:v>
      </x:c>
      <x:c r="G160" s="9" t="str">
        <x:v>Unassigned</x:v>
      </x:c>
      <x:c r="H160" s="9" t="str">
        <x:v>Personal kit / local storage eligibility TBD</x:v>
      </x:c>
      <x:c r="I160" s="13"/>
      <x:c r="J160" s="15"/>
      <x:c r="K160" s="9" t="str">
        <x:v>Craft, trade, gift or institutional custody; exact source TBD</x:v>
      </x:c>
      <x:c r="L160" s="9" t="str">
        <x:v>Material candidate: Fine sealed glass vessel and metal cradle</x:v>
      </x:c>
      <x:c r="M160" s="9" t="str">
        <x:v>Not implemented</x:v>
      </x:c>
      <x:c r="N160" s="9" t="str">
        <x:v>Source altar-vial concept; payload identity and viability unresolved; reuse vessel parts</x:v>
      </x:c>
      <x:c r="O160" s="17"/>
      <x:c r="P160" s="17"/>
      <x:c r="Q160" s="17"/>
      <x:c r="R160" s="17"/>
      <x:c r="S160" s="17"/>
      <x:c r="T160" s="9" t="str">
        <x:v>Fine glass and precision sealing suggest costly craftsmanship. Faith, political authority, ritual practice and prices remain proposals.</x:v>
      </x:c>
      <x:c r="U160" s="11" t="str">
        <x:v>liquid and bulk containment</x:v>
      </x:c>
      <x:c r="V160" s="9" t="str">
        <x:v>New game proposal inspired by proposal-stage lore: https://github.com/sleepyseamonster/Arc-Dust/blob/f6f98515c005dc3c73cccd9cbc031691745740c6/02-Arc-Dust-Worldbuilding/world/economy/canister/religious-traditions.md</x:v>
      </x:c>
      <x:c r="W160" s="4" t="str">
        <x:v>Container</x:v>
      </x:c>
      <x:c r="X160" s="4" t="str">
        <x:v>Finished item</x:v>
      </x:c>
      <x:c r="Y160" s="4" t="str">
        <x:v>Manufactured / unresolved</x:v>
      </x:c>
      <x:c r="Z160" s="4" t="str">
        <x:v>Ceremony</x:v>
      </x:c>
      <x:c r="AA160" s="4" t="str">
        <x:v>Glass and metal</x:v>
      </x:c>
      <x:c r="AB160" s="4" t="str">
        <x:v>Assembly</x:v>
      </x:c>
      <x:c r="AC160" s="4" t="str">
        <x:v>Proposal</x:v>
      </x:c>
      <x:c r="AD160" s="4" t="str">
        <x:f>LOWER(A160&amp;"; "&amp;B160&amp;"; "&amp;C160&amp;"; "&amp;D160&amp;"; "&amp;W160&amp;"; "&amp;X160&amp;"; "&amp;Y160&amp;"; "&amp;Z160&amp;"; "&amp;AA160&amp;"; "&amp;AB160&amp;"; "&amp;AC160&amp;"; "&amp;U160)</x:f>
        <x:v>proposal.culture.altar_vial; altar display vial; cultural objects; religious; container; finished item; manufactured / unresolved; ceremony; glass and metal; assembly; proposal; liquid and bulk containment</x:v>
      </x:c>
      <x:c r="AE160" s="4" t="str">
        <x:v>From current item description. Proposed uses retain their existing approval status.</x:v>
      </x:c>
    </x:row>
    <x:row r="161" ht="100" customHeight="1">
      <x:c r="A161" s="9" t="str">
        <x:v>proposal.culture.reliquary</x:v>
      </x:c>
      <x:c r="B161" s="9" t="str">
        <x:v>Relic case</x:v>
      </x:c>
      <x:c r="C161" s="9" t="str">
        <x:v>Cultural objects</x:v>
      </x:c>
      <x:c r="D161" s="9" t="str">
        <x:v>Religious</x:v>
      </x:c>
      <x:c r="E161" s="9" t="str">
        <x:v>New proposal</x:v>
      </x:c>
      <x:c r="F161" s="9" t="str">
        <x:v>Protect and display a claimed ancestral relic</x:v>
      </x:c>
      <x:c r="G161" s="9" t="str">
        <x:v>Unassigned</x:v>
      </x:c>
      <x:c r="H161" s="9" t="str">
        <x:v>Personal kit / local storage eligibility TBD</x:v>
      </x:c>
      <x:c r="I161" s="13"/>
      <x:c r="J161" s="15"/>
      <x:c r="K161" s="9" t="str">
        <x:v>Craft, trade, gift or institutional custody; exact source TBD</x:v>
      </x:c>
      <x:c r="L161" s="9" t="str">
        <x:v>Material candidate: Metal or shell case; rare clear window optional</x:v>
      </x:c>
      <x:c r="M161" s="9" t="str">
        <x:v>Not implemented</x:v>
      </x:c>
      <x:c r="N161" s="9" t="str">
        <x:v>A claim of authenticity is not proof or a magical property</x:v>
      </x:c>
      <x:c r="O161" s="17"/>
      <x:c r="P161" s="17"/>
      <x:c r="Q161" s="17"/>
      <x:c r="R161" s="17"/>
      <x:c r="S161" s="17"/>
      <x:c r="T161" s="9" t="str">
        <x:v>Plain keepsake boxes through rare institutional commissions. Faith, political authority, ritual practice and prices remain proposals.</x:v>
      </x:c>
      <x:c r="U161" s="11" t="str">
        <x:v>keepsake storage</x:v>
      </x:c>
      <x:c r="V161" s="9" t="str">
        <x:v>New game proposal inspired by proposal-stage lore: https://github.com/sleepyseamonster/Arc-Dust/blob/f6f98515c005dc3c73cccd9cbc031691745740c6/02-Arc-Dust-Worldbuilding/world/economy/spiritual-economy.md</x:v>
      </x:c>
      <x:c r="W161" s="4" t="str">
        <x:v>Container</x:v>
      </x:c>
      <x:c r="X161" s="4" t="str">
        <x:v>Finished item</x:v>
      </x:c>
      <x:c r="Y161" s="4" t="str">
        <x:v>Manufactured / unresolved</x:v>
      </x:c>
      <x:c r="Z161" s="4" t="str">
        <x:v>Devotion</x:v>
      </x:c>
      <x:c r="AA161" s="4" t="str">
        <x:v>Metal or shell</x:v>
      </x:c>
      <x:c r="AB161" s="4" t="str">
        <x:v>Assembly</x:v>
      </x:c>
      <x:c r="AC161" s="4" t="str">
        <x:v>Proposal</x:v>
      </x:c>
      <x:c r="AD161" s="4" t="str">
        <x:f>LOWER(A161&amp;"; "&amp;B161&amp;"; "&amp;C161&amp;"; "&amp;D161&amp;"; "&amp;W161&amp;"; "&amp;X161&amp;"; "&amp;Y161&amp;"; "&amp;Z161&amp;"; "&amp;AA161&amp;"; "&amp;AB161&amp;"; "&amp;AC161&amp;"; "&amp;U161)</x:f>
        <x:v>proposal.culture.reliquary; relic case; cultural objects; religious; container; finished item; manufactured / unresolved; devotion; metal or shell; assembly; proposal; keepsake storage</x:v>
      </x:c>
      <x:c r="AE161" s="4" t="str">
        <x:v>From current item description. Proposed uses retain their existing approval status.</x:v>
      </x:c>
    </x:row>
    <x:row r="162" ht="100" customHeight="1">
      <x:c r="A162" s="9" t="str">
        <x:v>proposal.culture.prayer_leaf</x:v>
      </x:c>
      <x:c r="B162" s="9" t="str">
        <x:v>Husk-paper prayer leaf</x:v>
      </x:c>
      <x:c r="C162" s="9" t="str">
        <x:v>Cultural objects</x:v>
      </x:c>
      <x:c r="D162" s="9" t="str">
        <x:v>Religious</x:v>
      </x:c>
      <x:c r="E162" s="9" t="str">
        <x:v>New proposal</x:v>
      </x:c>
      <x:c r="F162" s="9" t="str">
        <x:v>Portable prayers or devotional images</x:v>
      </x:c>
      <x:c r="G162" s="9" t="str">
        <x:v>Unassigned</x:v>
      </x:c>
      <x:c r="H162" s="9" t="str">
        <x:v>Personal kit / local storage eligibility TBD</x:v>
      </x:c>
      <x:c r="I162" s="13"/>
      <x:c r="J162" s="15"/>
      <x:c r="K162" s="9" t="str">
        <x:v>Craft, trade, gift or institutional custody; exact source TBD</x:v>
      </x:c>
      <x:c r="L162" s="9" t="str">
        <x:v>Material candidate: Scraped husk-fiber paper and mineral marking medium</x:v>
      </x:c>
      <x:c r="M162" s="9" t="str">
        <x:v>Not implemented</x:v>
      </x:c>
      <x:c r="N162" s="9" t="str">
        <x:v>No ordinary pulp paper or cloth; text and faith acceptance TBD</x:v>
      </x:c>
      <x:c r="O162" s="17"/>
      <x:c r="P162" s="17"/>
      <x:c r="Q162" s="17"/>
      <x:c r="R162" s="17"/>
      <x:c r="S162" s="17"/>
      <x:c r="T162" s="9" t="str">
        <x:v>Paper processing and copying consume scarce skilled work. Faith, political authority, ritual practice and prices remain proposals.</x:v>
      </x:c>
      <x:c r="U162" s="11" t="str">
        <x:v>writing and records</x:v>
      </x:c>
      <x:c r="V162" s="9" t="str">
        <x:v>New game proposal inspired by proposal-stage lore: https://github.com/sleepyseamonster/Arc-Dust/blob/f6f98515c005dc3c73cccd9cbc031691745740c6/02-Arc-Dust-Worldbuilding/world/economy/canister/religious-traditions.md</x:v>
      </x:c>
      <x:c r="W162" s="4" t="str">
        <x:v>Document</x:v>
      </x:c>
      <x:c r="X162" s="4" t="str">
        <x:v>Finished item</x:v>
      </x:c>
      <x:c r="Y162" s="4" t="str">
        <x:v>Manufactured / unresolved</x:v>
      </x:c>
      <x:c r="Z162" s="4" t="str">
        <x:v>Devotion</x:v>
      </x:c>
      <x:c r="AA162" s="4" t="str">
        <x:v>Husk fiber</x:v>
      </x:c>
      <x:c r="AB162" s="4" t="str">
        <x:v>Sheet</x:v>
      </x:c>
      <x:c r="AC162" s="4" t="str">
        <x:v>Proposal</x:v>
      </x:c>
      <x:c r="AD162" s="4" t="str">
        <x:f>LOWER(A162&amp;"; "&amp;B162&amp;"; "&amp;C162&amp;"; "&amp;D162&amp;"; "&amp;W162&amp;"; "&amp;X162&amp;"; "&amp;Y162&amp;"; "&amp;Z162&amp;"; "&amp;AA162&amp;"; "&amp;AB162&amp;"; "&amp;AC162&amp;"; "&amp;U162)</x:f>
        <x:v>proposal.culture.prayer_leaf; husk-paper prayer leaf; cultural objects; religious; document; finished item; manufactured / unresolved; devotion; husk fiber; sheet; proposal; writing and records</x:v>
      </x:c>
      <x:c r="AE162" s="4" t="str">
        <x:v>From current item description. Proposed uses retain their existing approval status.</x:v>
      </x:c>
    </x:row>
    <x:row r="163" ht="100" customHeight="1">
      <x:c r="A163" s="9" t="str">
        <x:v>proposal.culture.offering</x:v>
      </x:c>
      <x:c r="B163" s="9" t="str">
        <x:v>Votive shell token</x:v>
      </x:c>
      <x:c r="C163" s="9" t="str">
        <x:v>Cultural objects</x:v>
      </x:c>
      <x:c r="D163" s="9" t="str">
        <x:v>Religious</x:v>
      </x:c>
      <x:c r="E163" s="9" t="str">
        <x:v>New proposal</x:v>
      </x:c>
      <x:c r="F163" s="9" t="str">
        <x:v>Small dedicated offering left at a shrine</x:v>
      </x:c>
      <x:c r="G163" s="9" t="str">
        <x:v>Unassigned</x:v>
      </x:c>
      <x:c r="H163" s="9" t="str">
        <x:v>Personal kit / local storage eligibility TBD</x:v>
      </x:c>
      <x:c r="I163" s="13"/>
      <x:c r="J163" s="15"/>
      <x:c r="K163" s="9" t="str">
        <x:v>Craft, trade, gift or institutional custody; exact source TBD</x:v>
      </x:c>
      <x:c r="L163" s="9" t="str">
        <x:v>Material candidate: Worked shed shell; metal inlay optional</x:v>
      </x:c>
      <x:c r="M163" s="9" t="str">
        <x:v>Not implemented</x:v>
      </x:c>
      <x:c r="N163" s="9" t="str">
        <x:v>New game object idea; no mandatory tithe or survival payment</x:v>
      </x:c>
      <x:c r="O163" s="17"/>
      <x:c r="P163" s="17"/>
      <x:c r="Q163" s="17"/>
      <x:c r="R163" s="17"/>
      <x:c r="S163" s="17"/>
      <x:c r="T163" s="9" t="str">
        <x:v>Simple shell version can be modest; embellished versions expensive. Faith, political authority, ritual practice and prices remain proposals.</x:v>
      </x:c>
      <x:c r="U163" s="11"/>
      <x:c r="V163" s="9" t="str">
        <x:v>New game proposal inspired by proposal-stage lore: https://github.com/sleepyseamonster/Arc-Dust/blob/f6f98515c005dc3c73cccd9cbc031691745740c6/02-Arc-Dust-Worldbuilding/world/economy/spiritual-economy.md</x:v>
      </x:c>
      <x:c r="W163" s="4" t="str">
        <x:v>Cultural object</x:v>
      </x:c>
      <x:c r="X163" s="4" t="str">
        <x:v>Finished item</x:v>
      </x:c>
      <x:c r="Y163" s="4" t="str">
        <x:v>Manufactured / unresolved</x:v>
      </x:c>
      <x:c r="Z163" s="4" t="str">
        <x:v>Devotion</x:v>
      </x:c>
      <x:c r="AA163" s="4" t="str">
        <x:v>Shell / chitin</x:v>
      </x:c>
      <x:c r="AB163" s="4" t="str">
        <x:v>Solid piece</x:v>
      </x:c>
      <x:c r="AC163" s="4" t="str">
        <x:v>Proposal</x:v>
      </x:c>
      <x:c r="AD163" s="4" t="str">
        <x:f>LOWER(A163&amp;"; "&amp;B163&amp;"; "&amp;C163&amp;"; "&amp;D163&amp;"; "&amp;W163&amp;"; "&amp;X163&amp;"; "&amp;Y163&amp;"; "&amp;Z163&amp;"; "&amp;AA163&amp;"; "&amp;AB163&amp;"; "&amp;AC163&amp;"; "&amp;U163)</x:f>
        <x:v>proposal.culture.offering; votive shell token; cultural objects; religious; cultural object; finished item; manufactured / unresolved; devotion; shell / chitin; solid piece; proposal; </x:v>
      </x:c>
      <x:c r="AE163" s="4" t="str">
        <x:v>From current item description. Proposed uses retain their existing approval status.</x:v>
      </x:c>
    </x:row>
    <x:row r="164" ht="100" customHeight="1">
      <x:c r="A164" s="9" t="str">
        <x:v>proposal.culture.badge</x:v>
      </x:c>
      <x:c r="B164" s="9" t="str">
        <x:v>Civic office badge</x:v>
      </x:c>
      <x:c r="C164" s="9" t="str">
        <x:v>Cultural objects</x:v>
      </x:c>
      <x:c r="D164" s="9" t="str">
        <x:v>Political / civic</x:v>
      </x:c>
      <x:c r="E164" s="9" t="str">
        <x:v>New proposal</x:v>
      </x:c>
      <x:c r="F164" s="9" t="str">
        <x:v>Visible sign of a delegated public role</x:v>
      </x:c>
      <x:c r="G164" s="9" t="str">
        <x:v>Unassigned</x:v>
      </x:c>
      <x:c r="H164" s="9" t="str">
        <x:v>Personal kit / local storage eligibility TBD</x:v>
      </x:c>
      <x:c r="I164" s="13"/>
      <x:c r="J164" s="15"/>
      <x:c r="K164" s="9" t="str">
        <x:v>Craft, trade, gift or institutional custody; exact source TBD</x:v>
      </x:c>
      <x:c r="L164" s="9" t="str">
        <x:v>Material candidate: Stamped metal or carved shell</x:v>
      </x:c>
      <x:c r="M164" s="9" t="str">
        <x:v>Not implemented</x:v>
      </x:c>
      <x:c r="N164" s="9" t="str">
        <x:v>Office names and authority unresolved; no automatic access rules</x:v>
      </x:c>
      <x:c r="O164" s="17"/>
      <x:c r="P164" s="17"/>
      <x:c r="Q164" s="17"/>
      <x:c r="R164" s="17"/>
      <x:c r="S164" s="17"/>
      <x:c r="T164" s="9" t="str">
        <x:v>Plain office issue or costly ceremonial version. Faith, political authority, ritual practice and prices remain proposals.</x:v>
      </x:c>
      <x:c r="U164" s="11"/>
      <x:c r="V164" s="9" t="str">
        <x:v>New game proposal inspired by proposal-stage lore: https://github.com/sleepyseamonster/Arc-Dust/blob/f6f98515c005dc3c73cccd9cbc031691745740c6/02-Arc-Dust-Worldbuilding/world/economy/civic-contract.md</x:v>
      </x:c>
      <x:c r="W164" s="4" t="str">
        <x:v>Cultural object</x:v>
      </x:c>
      <x:c r="X164" s="4" t="str">
        <x:v>Finished item</x:v>
      </x:c>
      <x:c r="Y164" s="4" t="str">
        <x:v>Manufactured / unresolved</x:v>
      </x:c>
      <x:c r="Z164" s="4" t="str">
        <x:v>Civic identification</x:v>
      </x:c>
      <x:c r="AA164" s="4" t="str">
        <x:v>Metal or shell</x:v>
      </x:c>
      <x:c r="AB164" s="4" t="str">
        <x:v>Solid piece</x:v>
      </x:c>
      <x:c r="AC164" s="4" t="str">
        <x:v>Proposal</x:v>
      </x:c>
      <x:c r="AD164" s="4" t="str">
        <x:f>LOWER(A164&amp;"; "&amp;B164&amp;"; "&amp;C164&amp;"; "&amp;D164&amp;"; "&amp;W164&amp;"; "&amp;X164&amp;"; "&amp;Y164&amp;"; "&amp;Z164&amp;"; "&amp;AA164&amp;"; "&amp;AB164&amp;"; "&amp;AC164&amp;"; "&amp;U164)</x:f>
        <x:v>proposal.culture.badge; civic office badge; cultural objects; political / civic; cultural object; finished item; manufactured / unresolved; civic identification; metal or shell; solid piece; proposal; </x:v>
      </x:c>
      <x:c r="AE164" s="4" t="str">
        <x:v>From current item description. Proposed uses retain their existing approval status.</x:v>
      </x:c>
    </x:row>
    <x:row r="165" ht="100" customHeight="1">
      <x:c r="A165" s="9" t="str">
        <x:v>proposal.culture.stamp</x:v>
      </x:c>
      <x:c r="B165" s="9" t="str">
        <x:v>Official seal stamp</x:v>
      </x:c>
      <x:c r="C165" s="9" t="str">
        <x:v>Cultural objects</x:v>
      </x:c>
      <x:c r="D165" s="9" t="str">
        <x:v>Political / civic</x:v>
      </x:c>
      <x:c r="E165" s="9" t="str">
        <x:v>New proposal</x:v>
      </x:c>
      <x:c r="F165" s="9" t="str">
        <x:v>Mark a record or notice with an office symbol</x:v>
      </x:c>
      <x:c r="G165" s="9" t="str">
        <x:v>Unassigned</x:v>
      </x:c>
      <x:c r="H165" s="9" t="str">
        <x:v>Personal kit / local storage eligibility TBD</x:v>
      </x:c>
      <x:c r="I165" s="13"/>
      <x:c r="J165" s="15"/>
      <x:c r="K165" s="9" t="str">
        <x:v>Craft, trade, gift or institutional custody; exact source TBD</x:v>
      </x:c>
      <x:c r="L165" s="9" t="str">
        <x:v>Material candidate: Engraved metal stamping face</x:v>
      </x:c>
      <x:c r="M165" s="9" t="str">
        <x:v>Not implemented</x:v>
      </x:c>
      <x:c r="N165" s="9" t="str">
        <x:v>Document mark only; distinct from a canister pressure seal</x:v>
      </x:c>
      <x:c r="O165" s="17"/>
      <x:c r="P165" s="17"/>
      <x:c r="Q165" s="17"/>
      <x:c r="R165" s="17"/>
      <x:c r="S165" s="17"/>
      <x:c r="T165" s="9" t="str">
        <x:v>Skilled engraving; actual trade restrictions unresolved. Faith, political authority, ritual practice and prices remain proposals.</x:v>
      </x:c>
      <x:c r="U165" s="11" t="str">
        <x:v>civic identification; document authentication stamp not pressure seal</x:v>
      </x:c>
      <x:c r="V165" s="9" t="str">
        <x:v>New game proposal inspired by proposal-stage lore: https://github.com/sleepyseamonster/Arc-Dust/blob/f6f98515c005dc3c73cccd9cbc031691745740c6/02-Arc-Dust-Worldbuilding/world/economy/civic-contract.md</x:v>
      </x:c>
      <x:c r="W165" s="4" t="str">
        <x:v>Tool</x:v>
      </x:c>
      <x:c r="X165" s="4" t="str">
        <x:v>Finished item</x:v>
      </x:c>
      <x:c r="Y165" s="4" t="str">
        <x:v>Manufactured / unresolved</x:v>
      </x:c>
      <x:c r="Z165" s="4" t="str">
        <x:v>Writing and records</x:v>
      </x:c>
      <x:c r="AA165" s="4" t="str">
        <x:v>Metal</x:v>
      </x:c>
      <x:c r="AB165" s="4" t="str">
        <x:v>Solid part</x:v>
      </x:c>
      <x:c r="AC165" s="4" t="str">
        <x:v>Proposal</x:v>
      </x:c>
      <x:c r="AD165" s="4" t="str">
        <x:f>LOWER(A165&amp;"; "&amp;B165&amp;"; "&amp;C165&amp;"; "&amp;D165&amp;"; "&amp;W165&amp;"; "&amp;X165&amp;"; "&amp;Y165&amp;"; "&amp;Z165&amp;"; "&amp;AA165&amp;"; "&amp;AB165&amp;"; "&amp;AC165&amp;"; "&amp;U165)</x:f>
        <x:v>proposal.culture.stamp; official seal stamp; cultural objects; political / civic; tool; finished item; manufactured / unresolved; writing and records; metal; solid part; proposal; civic identification; document authentication stamp not pressure seal</x:v>
      </x:c>
      <x:c r="AE165" s="4" t="str">
        <x:v>From current item description. Proposed uses retain their existing approval status.</x:v>
      </x:c>
    </x:row>
    <x:row r="166" ht="100" customHeight="1">
      <x:c r="A166" s="9" t="str">
        <x:v>proposal.culture.register</x:v>
      </x:c>
      <x:c r="B166" s="9" t="str">
        <x:v>Civic register folio</x:v>
      </x:c>
      <x:c r="C166" s="9" t="str">
        <x:v>Cultural objects</x:v>
      </x:c>
      <x:c r="D166" s="9" t="str">
        <x:v>Political / civic</x:v>
      </x:c>
      <x:c r="E166" s="9" t="str">
        <x:v>New proposal</x:v>
      </x:c>
      <x:c r="F166" s="9" t="str">
        <x:v>Record voluntary contributions, membership and commendations</x:v>
      </x:c>
      <x:c r="G166" s="9" t="str">
        <x:v>Unassigned</x:v>
      </x:c>
      <x:c r="H166" s="9" t="str">
        <x:v>Personal kit / local storage eligibility TBD</x:v>
      </x:c>
      <x:c r="I166" s="13"/>
      <x:c r="J166" s="15"/>
      <x:c r="K166" s="9" t="str">
        <x:v>Craft, trade, gift or institutional custody; exact source TBD</x:v>
      </x:c>
      <x:c r="L166" s="9" t="str">
        <x:v>Material candidate: Husk-paper leaves between shell covers</x:v>
      </x:c>
      <x:c r="M166" s="9" t="str">
        <x:v>Not implemented</x:v>
      </x:c>
      <x:c r="N166" s="9" t="str">
        <x:v>Source civic register inspiration; no legal survival obligation or permission gate</x:v>
      </x:c>
      <x:c r="O166" s="17"/>
      <x:c r="P166" s="17"/>
      <x:c r="Q166" s="17"/>
      <x:c r="R166" s="17"/>
      <x:c r="S166" s="17"/>
      <x:c r="T166" s="9" t="str">
        <x:v>Labor-intensive communal record; not assumed universal personal kit. Faith, political authority, ritual practice and prices remain proposals.</x:v>
      </x:c>
      <x:c r="U166" s="11" t="str">
        <x:v>civic recognition</x:v>
      </x:c>
      <x:c r="V166" s="9" t="str">
        <x:v>New game proposal inspired by proposal-stage lore: https://github.com/sleepyseamonster/Arc-Dust/blob/f6f98515c005dc3c73cccd9cbc031691745740c6/02-Arc-Dust-Worldbuilding/world/economy/civic-contract.md</x:v>
      </x:c>
      <x:c r="W166" s="4" t="str">
        <x:v>Document</x:v>
      </x:c>
      <x:c r="X166" s="4" t="str">
        <x:v>Finished item</x:v>
      </x:c>
      <x:c r="Y166" s="4" t="str">
        <x:v>Manufactured / unresolved</x:v>
      </x:c>
      <x:c r="Z166" s="4" t="str">
        <x:v>Writing and records</x:v>
      </x:c>
      <x:c r="AA166" s="4" t="str">
        <x:v>Husk fiber and shell</x:v>
      </x:c>
      <x:c r="AB166" s="4" t="str">
        <x:v>Folio</x:v>
      </x:c>
      <x:c r="AC166" s="4" t="str">
        <x:v>Proposal</x:v>
      </x:c>
      <x:c r="AD166" s="4" t="str">
        <x:f>LOWER(A166&amp;"; "&amp;B166&amp;"; "&amp;C166&amp;"; "&amp;D166&amp;"; "&amp;W166&amp;"; "&amp;X166&amp;"; "&amp;Y166&amp;"; "&amp;Z166&amp;"; "&amp;AA166&amp;"; "&amp;AB166&amp;"; "&amp;AC166&amp;"; "&amp;U166)</x:f>
        <x:v>proposal.culture.register; civic register folio; cultural objects; political / civic; document; finished item; manufactured / unresolved; writing and records; husk fiber and shell; folio; proposal; civic recognition</x:v>
      </x:c>
      <x:c r="AE166" s="4" t="str">
        <x:v>From current item description. Proposed uses retain their existing approval status.</x:v>
      </x:c>
    </x:row>
    <x:row r="167" ht="100" customHeight="1">
      <x:c r="A167" s="9" t="str">
        <x:v>proposal.culture.notice</x:v>
      </x:c>
      <x:c r="B167" s="9" t="str">
        <x:v>Public notice plate</x:v>
      </x:c>
      <x:c r="C167" s="9" t="str">
        <x:v>Cultural objects</x:v>
      </x:c>
      <x:c r="D167" s="9" t="str">
        <x:v>Political / civic</x:v>
      </x:c>
      <x:c r="E167" s="9" t="str">
        <x:v>New proposal</x:v>
      </x:c>
      <x:c r="F167" s="9" t="str">
        <x:v>Display civic announcements, rules or meeting notices</x:v>
      </x:c>
      <x:c r="G167" s="9" t="str">
        <x:v>Unassigned</x:v>
      </x:c>
      <x:c r="H167" s="9" t="str">
        <x:v>Personal kit / local storage eligibility TBD</x:v>
      </x:c>
      <x:c r="I167" s="13"/>
      <x:c r="J167" s="15"/>
      <x:c r="K167" s="9" t="str">
        <x:v>Craft, trade, gift or institutional custody; exact source TBD</x:v>
      </x:c>
      <x:c r="L167" s="9" t="str">
        <x:v>Material candidate: Incised shell or thin worked metal</x:v>
      </x:c>
      <x:c r="M167" s="9" t="str">
        <x:v>Not implemented</x:v>
      </x:c>
      <x:c r="N167" s="9" t="str">
        <x:v>Government and literacy practices unresolved</x:v>
      </x:c>
      <x:c r="O167" s="17"/>
      <x:c r="P167" s="17"/>
      <x:c r="Q167" s="17"/>
      <x:c r="R167" s="17"/>
      <x:c r="S167" s="17"/>
      <x:c r="T167" s="9" t="str">
        <x:v>Durable reusable public object; exact cost TBD. Faith, political authority, ritual practice and prices remain proposals.</x:v>
      </x:c>
      <x:c r="U167" s="11"/>
      <x:c r="V167" s="9" t="str">
        <x:v>New game proposal inspired by proposal-stage lore: https://github.com/sleepyseamonster/Arc-Dust/blob/f6f98515c005dc3c73cccd9cbc031691745740c6/02-Arc-Dust-Worldbuilding/world/economy/civic-contract.md</x:v>
      </x:c>
      <x:c r="W167" s="4" t="str">
        <x:v>Document</x:v>
      </x:c>
      <x:c r="X167" s="4" t="str">
        <x:v>Finished item</x:v>
      </x:c>
      <x:c r="Y167" s="4" t="str">
        <x:v>Manufactured / unresolved</x:v>
      </x:c>
      <x:c r="Z167" s="4" t="str">
        <x:v>Public communication</x:v>
      </x:c>
      <x:c r="AA167" s="4" t="str">
        <x:v>Metal or shell</x:v>
      </x:c>
      <x:c r="AB167" s="4" t="str">
        <x:v>Panel</x:v>
      </x:c>
      <x:c r="AC167" s="4" t="str">
        <x:v>Proposal</x:v>
      </x:c>
      <x:c r="AD167" s="4" t="str">
        <x:f>LOWER(A167&amp;"; "&amp;B167&amp;"; "&amp;C167&amp;"; "&amp;D167&amp;"; "&amp;W167&amp;"; "&amp;X167&amp;"; "&amp;Y167&amp;"; "&amp;Z167&amp;"; "&amp;AA167&amp;"; "&amp;AB167&amp;"; "&amp;AC167&amp;"; "&amp;U167)</x:f>
        <x:v>proposal.culture.notice; public notice plate; cultural objects; political / civic; document; finished item; manufactured / unresolved; public communication; metal or shell; panel; proposal; </x:v>
      </x:c>
      <x:c r="AE167" s="4" t="str">
        <x:v>From current item description. Proposed uses retain their existing approval status.</x:v>
      </x:c>
    </x:row>
    <x:row r="168" ht="100" customHeight="1">
      <x:c r="A168" s="9" t="str">
        <x:v>proposal.culture.petition</x:v>
      </x:c>
      <x:c r="B168" s="9" t="str">
        <x:v>Petition leaf</x:v>
      </x:c>
      <x:c r="C168" s="9" t="str">
        <x:v>Cultural objects</x:v>
      </x:c>
      <x:c r="D168" s="9" t="str">
        <x:v>Political / civic</x:v>
      </x:c>
      <x:c r="E168" s="9" t="str">
        <x:v>New proposal</x:v>
      </x:c>
      <x:c r="F168" s="9" t="str">
        <x:v>Carry a written request or collective statement</x:v>
      </x:c>
      <x:c r="G168" s="9" t="str">
        <x:v>Unassigned</x:v>
      </x:c>
      <x:c r="H168" s="9" t="str">
        <x:v>Personal kit / local storage eligibility TBD</x:v>
      </x:c>
      <x:c r="I168" s="13"/>
      <x:c r="J168" s="15"/>
      <x:c r="K168" s="9" t="str">
        <x:v>Craft, trade, gift or institutional custody; exact source TBD</x:v>
      </x:c>
      <x:c r="L168" s="9" t="str">
        <x:v>Material candidate: Husk-fiber paper and mineral marks</x:v>
      </x:c>
      <x:c r="M168" s="9" t="str">
        <x:v>Not implemented</x:v>
      </x:c>
      <x:c r="N168" s="9" t="str">
        <x:v>Political disagreement need not imply repression or a named faction</x:v>
      </x:c>
      <x:c r="O168" s="17"/>
      <x:c r="P168" s="17"/>
      <x:c r="Q168" s="17"/>
      <x:c r="R168" s="17"/>
      <x:c r="S168" s="17"/>
      <x:c r="T168" s="9" t="str">
        <x:v>Paper cost and copying effort; no numeric price. Faith, political authority, ritual practice and prices remain proposals.</x:v>
      </x:c>
      <x:c r="U168" s="11"/>
      <x:c r="V168" s="9" t="str">
        <x:v>New game proposal inspired by proposal-stage lore: https://github.com/sleepyseamonster/Arc-Dust/blob/f6f98515c005dc3c73cccd9cbc031691745740c6/02-Arc-Dust-Worldbuilding/world/economy/civic-contract.md</x:v>
      </x:c>
      <x:c r="W168" s="4" t="str">
        <x:v>Document</x:v>
      </x:c>
      <x:c r="X168" s="4" t="str">
        <x:v>Finished item</x:v>
      </x:c>
      <x:c r="Y168" s="4" t="str">
        <x:v>Manufactured / unresolved</x:v>
      </x:c>
      <x:c r="Z168" s="4" t="str">
        <x:v>Public communication</x:v>
      </x:c>
      <x:c r="AA168" s="4" t="str">
        <x:v>Husk fiber</x:v>
      </x:c>
      <x:c r="AB168" s="4" t="str">
        <x:v>Sheet</x:v>
      </x:c>
      <x:c r="AC168" s="4" t="str">
        <x:v>Proposal</x:v>
      </x:c>
      <x:c r="AD168" s="4" t="str">
        <x:f>LOWER(A168&amp;"; "&amp;B168&amp;"; "&amp;C168&amp;"; "&amp;D168&amp;"; "&amp;W168&amp;"; "&amp;X168&amp;"; "&amp;Y168&amp;"; "&amp;Z168&amp;"; "&amp;AA168&amp;"; "&amp;AB168&amp;"; "&amp;AC168&amp;"; "&amp;U168)</x:f>
        <x:v>proposal.culture.petition; petition leaf; cultural objects; political / civic; document; finished item; manufactured / unresolved; public communication; husk fiber; sheet; proposal; </x:v>
      </x:c>
      <x:c r="AE168" s="4" t="str">
        <x:v>From current item description. Proposed uses retain their existing approval status.</x:v>
      </x:c>
    </x:row>
    <x:row r="169" ht="100" customHeight="1">
      <x:c r="A169" s="9" t="str">
        <x:v>proposal.culture.commendation</x:v>
      </x:c>
      <x:c r="B169" s="9" t="str">
        <x:v>Community service medallion</x:v>
      </x:c>
      <x:c r="C169" s="9" t="str">
        <x:v>Cultural objects</x:v>
      </x:c>
      <x:c r="D169" s="9" t="str">
        <x:v>Political / civic</x:v>
      </x:c>
      <x:c r="E169" s="9" t="str">
        <x:v>New proposal</x:v>
      </x:c>
      <x:c r="F169" s="9" t="str">
        <x:v>Public recognition of voluntary service</x:v>
      </x:c>
      <x:c r="G169" s="9" t="str">
        <x:v>Unassigned</x:v>
      </x:c>
      <x:c r="H169" s="9" t="str">
        <x:v>Personal kit / local storage eligibility TBD</x:v>
      </x:c>
      <x:c r="I169" s="13"/>
      <x:c r="J169" s="15"/>
      <x:c r="K169" s="9" t="str">
        <x:v>Craft, trade, gift or institutional custody; exact source TBD</x:v>
      </x:c>
      <x:c r="L169" s="9" t="str">
        <x:v>Material candidate: Stamped metal; optional fine inlay</x:v>
      </x:c>
      <x:c r="M169" s="9" t="str">
        <x:v>Not implemented</x:v>
      </x:c>
      <x:c r="N169" s="9" t="str">
        <x:v>Not a maker plate; award eligibility and issuing body undefined</x:v>
      </x:c>
      <x:c r="O169" s="17"/>
      <x:c r="P169" s="17"/>
      <x:c r="Q169" s="17"/>
      <x:c r="R169" s="17"/>
      <x:c r="S169" s="17"/>
      <x:c r="T169" s="9" t="str">
        <x:v>Basic award to elaborate exceptional commission. Faith, political authority, ritual practice and prices remain proposals.</x:v>
      </x:c>
      <x:c r="U169" s="11"/>
      <x:c r="V169" s="9" t="str">
        <x:v>New game proposal inspired by proposal-stage lore: https://github.com/sleepyseamonster/Arc-Dust/blob/f6f98515c005dc3c73cccd9cbc031691745740c6/02-Arc-Dust-Worldbuilding/world/economy/civic-contract.md</x:v>
      </x:c>
      <x:c r="W169" s="4" t="str">
        <x:v>Cultural object</x:v>
      </x:c>
      <x:c r="X169" s="4" t="str">
        <x:v>Finished item</x:v>
      </x:c>
      <x:c r="Y169" s="4" t="str">
        <x:v>Manufactured / unresolved</x:v>
      </x:c>
      <x:c r="Z169" s="4" t="str">
        <x:v>Civic recognition</x:v>
      </x:c>
      <x:c r="AA169" s="4" t="str">
        <x:v>Metal</x:v>
      </x:c>
      <x:c r="AB169" s="4" t="str">
        <x:v>Solid piece</x:v>
      </x:c>
      <x:c r="AC169" s="4" t="str">
        <x:v>Proposal</x:v>
      </x:c>
      <x:c r="AD169" s="4" t="str">
        <x:f>LOWER(A169&amp;"; "&amp;B169&amp;"; "&amp;C169&amp;"; "&amp;D169&amp;"; "&amp;W169&amp;"; "&amp;X169&amp;"; "&amp;Y169&amp;"; "&amp;Z169&amp;"; "&amp;AA169&amp;"; "&amp;AB169&amp;"; "&amp;AC169&amp;"; "&amp;U169)</x:f>
        <x:v>proposal.culture.commendation; community service medallion; cultural objects; political / civic; cultural object; finished item; manufactured / unresolved; civic recognition; metal; solid piece; proposal; </x:v>
      </x:c>
      <x:c r="AE169" s="4" t="str">
        <x:v>From current item description. Proposed uses retain their existing approval status.</x:v>
      </x:c>
    </x:row>
    <x:row r="170" ht="100" customHeight="1">
      <x:c r="A170" s="9" t="str">
        <x:v>proposal.culture.pilgrim_die</x:v>
      </x:c>
      <x:c r="B170" s="9" t="str">
        <x:v>Pilgrimage marking die</x:v>
      </x:c>
      <x:c r="C170" s="9" t="str">
        <x:v>Cultural objects</x:v>
      </x:c>
      <x:c r="D170" s="9" t="str">
        <x:v>Ritual</x:v>
      </x:c>
      <x:c r="E170" s="9" t="str">
        <x:v>New proposal</x:v>
      </x:c>
      <x:c r="F170" s="9" t="str">
        <x:v>Apply a sacred-site mark to a suitable record surface</x:v>
      </x:c>
      <x:c r="G170" s="9" t="str">
        <x:v>Unassigned</x:v>
      </x:c>
      <x:c r="H170" s="9" t="str">
        <x:v>Personal kit / local storage eligibility TBD</x:v>
      </x:c>
      <x:c r="I170" s="13"/>
      <x:c r="J170" s="15"/>
      <x:c r="K170" s="9" t="str">
        <x:v>Craft, trade, gift or institutional custody; exact source TBD</x:v>
      </x:c>
      <x:c r="L170" s="9" t="str">
        <x:v>Material candidate: Engraved metal die</x:v>
      </x:c>
      <x:c r="M170" s="9" t="str">
        <x:v>Not implemented</x:v>
      </x:c>
      <x:c r="N170" s="9" t="str">
        <x:v>No hammering on a live vessel assumed; safe application and faith adoption TBD</x:v>
      </x:c>
      <x:c r="O170" s="17"/>
      <x:c r="P170" s="17"/>
      <x:c r="Q170" s="17"/>
      <x:c r="R170" s="17"/>
      <x:c r="S170" s="17"/>
      <x:c r="T170" s="9" t="str">
        <x:v>Specialist institutional tool. Faith, political authority, ritual practice and prices remain proposals.</x:v>
      </x:c>
      <x:c r="U170" s="11" t="str">
        <x:v>provenance</x:v>
      </x:c>
      <x:c r="V170" s="9" t="str">
        <x:v>New game proposal inspired by proposal-stage lore: https://github.com/sleepyseamonster/Arc-Dust/blob/f6f98515c005dc3c73cccd9cbc031691745740c6/02-Arc-Dust-Worldbuilding/world/economy/canister/religious-traditions.md</x:v>
      </x:c>
      <x:c r="W170" s="4" t="str">
        <x:v>Tool</x:v>
      </x:c>
      <x:c r="X170" s="4" t="str">
        <x:v>Finished item</x:v>
      </x:c>
      <x:c r="Y170" s="4" t="str">
        <x:v>Manufactured / unresolved</x:v>
      </x:c>
      <x:c r="Z170" s="4" t="str">
        <x:v>Ceremony</x:v>
      </x:c>
      <x:c r="AA170" s="4" t="str">
        <x:v>Metal</x:v>
      </x:c>
      <x:c r="AB170" s="4" t="str">
        <x:v>Solid part</x:v>
      </x:c>
      <x:c r="AC170" s="4" t="str">
        <x:v>Proposal</x:v>
      </x:c>
      <x:c r="AD170" s="4" t="str">
        <x:f>LOWER(A170&amp;"; "&amp;B170&amp;"; "&amp;C170&amp;"; "&amp;D170&amp;"; "&amp;W170&amp;"; "&amp;X170&amp;"; "&amp;Y170&amp;"; "&amp;Z170&amp;"; "&amp;AA170&amp;"; "&amp;AB170&amp;"; "&amp;AC170&amp;"; "&amp;U170)</x:f>
        <x:v>proposal.culture.pilgrim_die; pilgrimage marking die; cultural objects; ritual; tool; finished item; manufactured / unresolved; ceremony; metal; solid part; proposal; provenance</x:v>
      </x:c>
      <x:c r="AE170" s="4" t="str">
        <x:v>From current item description. Proposed uses retain their existing approval status.</x:v>
      </x:c>
    </x:row>
    <x:row r="171" ht="100" customHeight="1">
      <x:c r="A171" s="9" t="str">
        <x:v>proposal.culture.memorial</x:v>
      </x:c>
      <x:c r="B171" s="9" t="str">
        <x:v>Memorial name plate</x:v>
      </x:c>
      <x:c r="C171" s="9" t="str">
        <x:v>Cultural objects</x:v>
      </x:c>
      <x:c r="D171" s="9" t="str">
        <x:v>Ritual</x:v>
      </x:c>
      <x:c r="E171" s="9" t="str">
        <x:v>New proposal</x:v>
      </x:c>
      <x:c r="F171" s="9" t="str">
        <x:v>Remember a deceased person or missing traveler</x:v>
      </x:c>
      <x:c r="G171" s="9" t="str">
        <x:v>Unassigned</x:v>
      </x:c>
      <x:c r="H171" s="9" t="str">
        <x:v>Personal kit / local storage eligibility TBD</x:v>
      </x:c>
      <x:c r="I171" s="13"/>
      <x:c r="J171" s="15"/>
      <x:c r="K171" s="9" t="str">
        <x:v>Craft, trade, gift or institutional custody; exact source TBD</x:v>
      </x:c>
      <x:c r="L171" s="9" t="str">
        <x:v>Material candidate: Incised metal or shell</x:v>
      </x:c>
      <x:c r="M171" s="9" t="str">
        <x:v>Not implemented</x:v>
      </x:c>
      <x:c r="N171" s="9" t="str">
        <x:v>Cultural keepsake; no resurrection or supernatural effect</x:v>
      </x:c>
      <x:c r="O171" s="17"/>
      <x:c r="P171" s="17"/>
      <x:c r="Q171" s="17"/>
      <x:c r="R171" s="17"/>
      <x:c r="S171" s="17"/>
      <x:c r="T171" s="9" t="str">
        <x:v>Plain family marker to elaborate memorial commission. Faith, political authority, ritual practice and prices remain proposals.</x:v>
      </x:c>
      <x:c r="U171" s="11"/>
      <x:c r="V171" s="9" t="str">
        <x:v>New game proposal inspired by proposal-stage lore: https://github.com/sleepyseamonster/Arc-Dust/blob/f6f98515c005dc3c73cccd9cbc031691745740c6/02-Arc-Dust-Worldbuilding/world/economy/spiritual-economy.md</x:v>
      </x:c>
      <x:c r="W171" s="4" t="str">
        <x:v>Cultural object</x:v>
      </x:c>
      <x:c r="X171" s="4" t="str">
        <x:v>Finished item</x:v>
      </x:c>
      <x:c r="Y171" s="4" t="str">
        <x:v>Manufactured / unresolved</x:v>
      </x:c>
      <x:c r="Z171" s="4" t="str">
        <x:v>Remembrance</x:v>
      </x:c>
      <x:c r="AA171" s="4" t="str">
        <x:v>Metal or shell</x:v>
      </x:c>
      <x:c r="AB171" s="4" t="str">
        <x:v>Panel</x:v>
      </x:c>
      <x:c r="AC171" s="4" t="str">
        <x:v>Proposal</x:v>
      </x:c>
      <x:c r="AD171" s="4" t="str">
        <x:f>LOWER(A171&amp;"; "&amp;B171&amp;"; "&amp;C171&amp;"; "&amp;D171&amp;"; "&amp;W171&amp;"; "&amp;X171&amp;"; "&amp;Y171&amp;"; "&amp;Z171&amp;"; "&amp;AA171&amp;"; "&amp;AB171&amp;"; "&amp;AC171&amp;"; "&amp;U171)</x:f>
        <x:v>proposal.culture.memorial; memorial name plate; cultural objects; ritual; cultural object; finished item; manufactured / unresolved; remembrance; metal or shell; panel; proposal; </x:v>
      </x:c>
      <x:c r="AE171" s="4" t="str">
        <x:v>From current item description. Proposed uses retain their existing approval status.</x:v>
      </x:c>
    </x:row>
    <x:row r="172" ht="100" customHeight="1">
      <x:c r="A172" s="9" t="str">
        <x:v>proposal.culture.oath_ring</x:v>
      </x:c>
      <x:c r="B172" s="9" t="str">
        <x:v>Oath exchange ring</x:v>
      </x:c>
      <x:c r="C172" s="9" t="str">
        <x:v>Cultural objects</x:v>
      </x:c>
      <x:c r="D172" s="9" t="str">
        <x:v>Ritual</x:v>
      </x:c>
      <x:c r="E172" s="9" t="str">
        <x:v>New proposal</x:v>
      </x:c>
      <x:c r="F172" s="9" t="str">
        <x:v>Exchange a visible token at a vow or commitment</x:v>
      </x:c>
      <x:c r="G172" s="9" t="str">
        <x:v>Unassigned</x:v>
      </x:c>
      <x:c r="H172" s="9" t="str">
        <x:v>Personal kit / local storage eligibility TBD</x:v>
      </x:c>
      <x:c r="I172" s="13"/>
      <x:c r="J172" s="15"/>
      <x:c r="K172" s="9" t="str">
        <x:v>Craft, trade, gift or institutional custody; exact source TBD</x:v>
      </x:c>
      <x:c r="L172" s="9" t="str">
        <x:v>Material candidate: Worked metal; shell inset optional</x:v>
      </x:c>
      <x:c r="M172" s="9" t="str">
        <x:v>Not implemented</x:v>
      </x:c>
      <x:c r="N172" s="9" t="str">
        <x:v>New game ritual proposal; exact marriage or guild customs undecided</x:v>
      </x:c>
      <x:c r="O172" s="17"/>
      <x:c r="P172" s="17"/>
      <x:c r="Q172" s="17"/>
      <x:c r="R172" s="17"/>
      <x:c r="S172" s="17"/>
      <x:c r="T172" s="9" t="str">
        <x:v>Simple bands through expensive engraved work. Faith, political authority, ritual practice and prices remain proposals.</x:v>
      </x:c>
      <x:c r="U172" s="11"/>
      <x:c r="V172" s="9" t="str">
        <x:v>New game proposal inspired by proposal-stage lore: https://github.com/sleepyseamonster/Arc-Dust/blob/f6f98515c005dc3c73cccd9cbc031691745740c6/02-Arc-Dust-Worldbuilding/world/economy/spiritual-economy.md</x:v>
      </x:c>
      <x:c r="W172" s="4" t="str">
        <x:v>Cultural object</x:v>
      </x:c>
      <x:c r="X172" s="4" t="str">
        <x:v>Finished item</x:v>
      </x:c>
      <x:c r="Y172" s="4" t="str">
        <x:v>Manufactured / unresolved</x:v>
      </x:c>
      <x:c r="Z172" s="4" t="str">
        <x:v>Ceremony</x:v>
      </x:c>
      <x:c r="AA172" s="4" t="str">
        <x:v>Metal</x:v>
      </x:c>
      <x:c r="AB172" s="4" t="str">
        <x:v>Solid piece</x:v>
      </x:c>
      <x:c r="AC172" s="4" t="str">
        <x:v>Proposal</x:v>
      </x:c>
      <x:c r="AD172" s="4" t="str">
        <x:f>LOWER(A172&amp;"; "&amp;B172&amp;"; "&amp;C172&amp;"; "&amp;D172&amp;"; "&amp;W172&amp;"; "&amp;X172&amp;"; "&amp;Y172&amp;"; "&amp;Z172&amp;"; "&amp;AA172&amp;"; "&amp;AB172&amp;"; "&amp;AC172&amp;"; "&amp;U172)</x:f>
        <x:v>proposal.culture.oath_ring; oath exchange ring; cultural objects; ritual; cultural object; finished item; manufactured / unresolved; ceremony; metal; solid piece; proposal; </x:v>
      </x:c>
      <x:c r="AE172" s="4" t="str">
        <x:v>From current item description. Proposed uses retain their existing approval status.</x:v>
      </x:c>
    </x:row>
    <x:row r="173" ht="100" customHeight="1">
      <x:c r="A173" s="9" t="str">
        <x:v>proposal.culture.milestone</x:v>
      </x:c>
      <x:c r="B173" s="9" t="str">
        <x:v>Life-event charm</x:v>
      </x:c>
      <x:c r="C173" s="9" t="str">
        <x:v>Cultural objects</x:v>
      </x:c>
      <x:c r="D173" s="9" t="str">
        <x:v>Ritual</x:v>
      </x:c>
      <x:c r="E173" s="9" t="str">
        <x:v>New proposal</x:v>
      </x:c>
      <x:c r="F173" s="9" t="str">
        <x:v>Record coming of age, apprenticeship or return</x:v>
      </x:c>
      <x:c r="G173" s="9" t="str">
        <x:v>Unassigned</x:v>
      </x:c>
      <x:c r="H173" s="9" t="str">
        <x:v>Personal kit / local storage eligibility TBD</x:v>
      </x:c>
      <x:c r="I173" s="13"/>
      <x:c r="J173" s="15"/>
      <x:c r="K173" s="9" t="str">
        <x:v>Craft, trade, gift or institutional custody; exact source TBD</x:v>
      </x:c>
      <x:c r="L173" s="9" t="str">
        <x:v>Material candidate: Stamped metal or carved shell</x:v>
      </x:c>
      <x:c r="M173" s="9" t="str">
        <x:v>Not implemented</x:v>
      </x:c>
      <x:c r="N173" s="9" t="str">
        <x:v>Use existing mounts where appropriate; not a new functional canister</x:v>
      </x:c>
      <x:c r="O173" s="17"/>
      <x:c r="P173" s="17"/>
      <x:c r="Q173" s="17"/>
      <x:c r="R173" s="17"/>
      <x:c r="S173" s="17"/>
      <x:c r="T173" s="9" t="str">
        <x:v>Small plain charm to fine engraved keepsake. Faith, political authority, ritual practice and prices remain proposals.</x:v>
      </x:c>
      <x:c r="U173" s="11" t="str">
        <x:v>ceremony</x:v>
      </x:c>
      <x:c r="V173" s="9" t="str">
        <x:v>New game proposal inspired by proposal-stage lore: https://github.com/sleepyseamonster/Arc-Dust/blob/f6f98515c005dc3c73cccd9cbc031691745740c6/02-Arc-Dust-Worldbuilding/world/economy/canister/religious-traditions.md</x:v>
      </x:c>
      <x:c r="W173" s="4" t="str">
        <x:v>Cultural object</x:v>
      </x:c>
      <x:c r="X173" s="4" t="str">
        <x:v>Finished item</x:v>
      </x:c>
      <x:c r="Y173" s="4" t="str">
        <x:v>Manufactured / unresolved</x:v>
      </x:c>
      <x:c r="Z173" s="4" t="str">
        <x:v>Remembrance</x:v>
      </x:c>
      <x:c r="AA173" s="4" t="str">
        <x:v>Metal or shell</x:v>
      </x:c>
      <x:c r="AB173" s="4" t="str">
        <x:v>Solid piece</x:v>
      </x:c>
      <x:c r="AC173" s="4" t="str">
        <x:v>Proposal</x:v>
      </x:c>
      <x:c r="AD173" s="4" t="str">
        <x:f>LOWER(A173&amp;"; "&amp;B173&amp;"; "&amp;C173&amp;"; "&amp;D173&amp;"; "&amp;W173&amp;"; "&amp;X173&amp;"; "&amp;Y173&amp;"; "&amp;Z173&amp;"; "&amp;AA173&amp;"; "&amp;AB173&amp;"; "&amp;AC173&amp;"; "&amp;U173)</x:f>
        <x:v>proposal.culture.milestone; life-event charm; cultural objects; ritual; cultural object; finished item; manufactured / unresolved; remembrance; metal or shell; solid piece; proposal; ceremony</x:v>
      </x:c>
      <x:c r="AE173" s="4" t="str">
        <x:v>From current item description. Proposed uses retain their existing approval status.</x:v>
      </x:c>
    </x:row>
    <x:row r="174" ht="100" customHeight="1">
      <x:c r="A174" s="9" t="str">
        <x:v>proposal.culture.rattle</x:v>
      </x:c>
      <x:c r="B174" s="9" t="str">
        <x:v>Ceremonial shell rattle</x:v>
      </x:c>
      <x:c r="C174" s="9" t="str">
        <x:v>Cultural objects</x:v>
      </x:c>
      <x:c r="D174" s="9" t="str">
        <x:v>Ritual</x:v>
      </x:c>
      <x:c r="E174" s="9" t="str">
        <x:v>New proposal</x:v>
      </x:c>
      <x:c r="F174" s="9" t="str">
        <x:v>Provide a dry percussive sound for gatherings</x:v>
      </x:c>
      <x:c r="G174" s="9" t="str">
        <x:v>Unassigned</x:v>
      </x:c>
      <x:c r="H174" s="9" t="str">
        <x:v>Personal kit / local storage eligibility TBD</x:v>
      </x:c>
      <x:c r="I174" s="13"/>
      <x:c r="J174" s="15"/>
      <x:c r="K174" s="9" t="str">
        <x:v>Craft, trade, gift or institutional custody; exact source TBD</x:v>
      </x:c>
      <x:c r="L174" s="9" t="str">
        <x:v>Material candidate: Hollow shell with mineral chips and metal fasteners</x:v>
      </x:c>
      <x:c r="M174" s="9" t="str">
        <x:v>Not implemented</x:v>
      </x:c>
      <x:c r="N174" s="9" t="str">
        <x:v>Sound rituals and fauna reactions undecided; no weapon mechanic</x:v>
      </x:c>
      <x:c r="O174" s="17"/>
      <x:c r="P174" s="17"/>
      <x:c r="Q174" s="17"/>
      <x:c r="R174" s="17"/>
      <x:c r="S174" s="17"/>
      <x:c r="T174" s="9" t="str">
        <x:v>Plain community instrument; decorated pieces may be costly. Faith, political authority, ritual practice and prices remain proposals.</x:v>
      </x:c>
      <x:c r="U174" s="11" t="str">
        <x:v>music</x:v>
      </x:c>
      <x:c r="V174" s="9" t="str">
        <x:v>New game proposal; author request October 14, 2026</x:v>
      </x:c>
      <x:c r="W174" s="4" t="str">
        <x:v>Musical instrument</x:v>
      </x:c>
      <x:c r="X174" s="4" t="str">
        <x:v>Finished item</x:v>
      </x:c>
      <x:c r="Y174" s="4" t="str">
        <x:v>Manufactured / unresolved</x:v>
      </x:c>
      <x:c r="Z174" s="4" t="str">
        <x:v>Ceremony</x:v>
      </x:c>
      <x:c r="AA174" s="4" t="str">
        <x:v>Shell and mineral</x:v>
      </x:c>
      <x:c r="AB174" s="4" t="str">
        <x:v>Assembly</x:v>
      </x:c>
      <x:c r="AC174" s="4" t="str">
        <x:v>Proposal</x:v>
      </x:c>
      <x:c r="AD174" s="4" t="str">
        <x:f>LOWER(A174&amp;"; "&amp;B174&amp;"; "&amp;C174&amp;"; "&amp;D174&amp;"; "&amp;W174&amp;"; "&amp;X174&amp;"; "&amp;Y174&amp;"; "&amp;Z174&amp;"; "&amp;AA174&amp;"; "&amp;AB174&amp;"; "&amp;AC174&amp;"; "&amp;U174)</x:f>
        <x:v>proposal.culture.rattle; ceremonial shell rattle; cultural objects; ritual; musical instrument; finished item; manufactured / unresolved; ceremony; shell and mineral; assembly; proposal; music</x:v>
      </x:c>
      <x:c r="AE174" s="4" t="str">
        <x:v>From current item description. Proposed uses retain their existing approval status.</x:v>
      </x:c>
    </x:row>
    <x:row r="175" ht="100" customHeight="1">
      <x:c r="A175" s="9" t="str">
        <x:v>proposal.culture.gift_case</x:v>
      </x:c>
      <x:c r="B175" s="9" t="str">
        <x:v>Ceremonial gift case</x:v>
      </x:c>
      <x:c r="C175" s="9" t="str">
        <x:v>Cultural objects</x:v>
      </x:c>
      <x:c r="D175" s="9" t="str">
        <x:v>Ritual</x:v>
      </x:c>
      <x:c r="E175" s="9" t="str">
        <x:v>New proposal</x:v>
      </x:c>
      <x:c r="F175" s="9" t="str">
        <x:v>Present and retain a life-event gift</x:v>
      </x:c>
      <x:c r="G175" s="9" t="str">
        <x:v>Unassigned</x:v>
      </x:c>
      <x:c r="H175" s="9" t="str">
        <x:v>Personal kit / local storage eligibility TBD</x:v>
      </x:c>
      <x:c r="I175" s="13"/>
      <x:c r="J175" s="15"/>
      <x:c r="K175" s="9" t="str">
        <x:v>Craft, trade, gift or institutional custody; exact source TBD</x:v>
      </x:c>
      <x:c r="L175" s="9" t="str">
        <x:v>Material candidate: Fitted shell or worked metal; minimal lining if needed</x:v>
      </x:c>
      <x:c r="M175" s="9" t="str">
        <x:v>Not implemented</x:v>
      </x:c>
      <x:c r="N175" s="9" t="str">
        <x:v>Reuse existing box/container family as craft basis; contents counted separately</x:v>
      </x:c>
      <x:c r="O175" s="17"/>
      <x:c r="P175" s="17"/>
      <x:c r="Q175" s="17"/>
      <x:c r="R175" s="17"/>
      <x:c r="S175" s="17"/>
      <x:c r="T175" s="9" t="str">
        <x:v>Labor-intensive fitted finish differentiates it from basic storage. Faith, political authority, ritual practice and prices remain proposals.</x:v>
      </x:c>
      <x:c r="U175" s="11" t="str">
        <x:v>keepsake storage</x:v>
      </x:c>
      <x:c r="V175" s="9" t="str">
        <x:v>New game proposal inspired by proposal-stage lore: https://github.com/sleepyseamonster/Arc-Dust/blob/f6f98515c005dc3c73cccd9cbc031691745740c6/02-Arc-Dust-Worldbuilding/world/economy/canister/religious-traditions.md</x:v>
      </x:c>
      <x:c r="W175" s="4" t="str">
        <x:v>Container</x:v>
      </x:c>
      <x:c r="X175" s="4" t="str">
        <x:v>Finished item</x:v>
      </x:c>
      <x:c r="Y175" s="4" t="str">
        <x:v>Manufactured / unresolved</x:v>
      </x:c>
      <x:c r="Z175" s="4" t="str">
        <x:v>Ceremony</x:v>
      </x:c>
      <x:c r="AA175" s="4" t="str">
        <x:v>Metal or shell</x:v>
      </x:c>
      <x:c r="AB175" s="4" t="str">
        <x:v>Assembly</x:v>
      </x:c>
      <x:c r="AC175" s="4" t="str">
        <x:v>Proposal</x:v>
      </x:c>
      <x:c r="AD175" s="4" t="str">
        <x:f>LOWER(A175&amp;"; "&amp;B175&amp;"; "&amp;C175&amp;"; "&amp;D175&amp;"; "&amp;W175&amp;"; "&amp;X175&amp;"; "&amp;Y175&amp;"; "&amp;Z175&amp;"; "&amp;AA175&amp;"; "&amp;AB175&amp;"; "&amp;AC175&amp;"; "&amp;U175)</x:f>
        <x:v>proposal.culture.gift_case; ceremonial gift case; cultural objects; ritual; container; finished item; manufactured / unresolved; ceremony; metal or shell; assembly; proposal; keepsake storage</x:v>
      </x:c>
      <x:c r="AE175" s="4" t="str">
        <x:v>From current item description. Proposed uses retain their existing approval status.</x:v>
      </x:c>
    </x:row>
    <x:row r="176" ht="100" customHeight="1">
      <x:c r="A176" s="9" t="str">
        <x:v>proposal.culture.bowl</x:v>
      </x:c>
      <x:c r="B176" s="9" t="str">
        <x:v>Everyday shell bowl</x:v>
      </x:c>
      <x:c r="C176" s="9" t="str">
        <x:v>Everyday objects</x:v>
      </x:c>
      <x:c r="D176" s="9" t="str">
        <x:v>Everyday household</x:v>
      </x:c>
      <x:c r="E176" s="9" t="str">
        <x:v>New proposal</x:v>
      </x:c>
      <x:c r="F176" s="9" t="str">
        <x:v>Hold an algae meal or sorted small goods</x:v>
      </x:c>
      <x:c r="G176" s="9" t="str">
        <x:v>Unassigned</x:v>
      </x:c>
      <x:c r="H176" s="9" t="str">
        <x:v>Personal kit / local storage eligibility TBD</x:v>
      </x:c>
      <x:c r="I176" s="13"/>
      <x:c r="J176" s="15"/>
      <x:c r="K176" s="9" t="str">
        <x:v>Craft, trade, gift or institutional custody; exact source TBD</x:v>
      </x:c>
      <x:c r="L176" s="9" t="str">
        <x:v>Material candidate: Prepared shell; safe metal version possible</x:v>
      </x:c>
      <x:c r="M176" s="9" t="str">
        <x:v>Not implemented</x:v>
      </x:c>
      <x:c r="N176" s="9" t="str">
        <x:v>Shell must be assessed for toxic residues; no assumed water supply</x:v>
      </x:c>
      <x:c r="O176" s="17"/>
      <x:c r="P176" s="17"/>
      <x:c r="Q176" s="17"/>
      <x:c r="R176" s="17"/>
      <x:c r="S176" s="17"/>
      <x:c r="T176" s="9" t="str">
        <x:v>Cheap raw shell; food-contact preparation has its own cost. Faith, political authority, ritual practice and prices remain proposals.</x:v>
      </x:c>
      <x:c r="U176" s="11"/>
      <x:c r="V176" s="9" t="str">
        <x:v>New game proposal; author request October 14, 2026</x:v>
      </x:c>
      <x:c r="W176" s="4" t="str">
        <x:v>Household utensil</x:v>
      </x:c>
      <x:c r="X176" s="4" t="str">
        <x:v>Finished item</x:v>
      </x:c>
      <x:c r="Y176" s="4" t="str">
        <x:v>Manufactured / unresolved</x:v>
      </x:c>
      <x:c r="Z176" s="4" t="str">
        <x:v>Food service</x:v>
      </x:c>
      <x:c r="AA176" s="4" t="str">
        <x:v>Metal or shell</x:v>
      </x:c>
      <x:c r="AB176" s="4" t="str">
        <x:v>Solid piece</x:v>
      </x:c>
      <x:c r="AC176" s="4" t="str">
        <x:v>Proposal</x:v>
      </x:c>
      <x:c r="AD176" s="4" t="str">
        <x:f>LOWER(A176&amp;"; "&amp;B176&amp;"; "&amp;C176&amp;"; "&amp;D176&amp;"; "&amp;W176&amp;"; "&amp;X176&amp;"; "&amp;Y176&amp;"; "&amp;Z176&amp;"; "&amp;AA176&amp;"; "&amp;AB176&amp;"; "&amp;AC176&amp;"; "&amp;U176)</x:f>
        <x:v>proposal.culture.bowl; everyday shell bowl; everyday objects; everyday household; household utensil; finished item; manufactured / unresolved; food service; metal or shell; solid piece; proposal; </x:v>
      </x:c>
      <x:c r="AE176" s="4" t="str">
        <x:v>From current item description. Proposed uses retain their existing approval status.</x:v>
      </x:c>
    </x:row>
    <x:row r="177" ht="100" customHeight="1">
      <x:c r="A177" s="9" t="str">
        <x:v>proposal.culture.spoon</x:v>
      </x:c>
      <x:c r="B177" s="9" t="str">
        <x:v>Algae spoon / scraper</x:v>
      </x:c>
      <x:c r="C177" s="9" t="str">
        <x:v>Everyday objects</x:v>
      </x:c>
      <x:c r="D177" s="9" t="str">
        <x:v>Everyday household</x:v>
      </x:c>
      <x:c r="E177" s="9" t="str">
        <x:v>New proposal</x:v>
      </x:c>
      <x:c r="F177" s="9" t="str">
        <x:v>Eat or scrape a contained algae portion</x:v>
      </x:c>
      <x:c r="G177" s="9" t="str">
        <x:v>Unassigned</x:v>
      </x:c>
      <x:c r="H177" s="9" t="str">
        <x:v>Personal kit / local storage eligibility TBD</x:v>
      </x:c>
      <x:c r="I177" s="13"/>
      <x:c r="J177" s="15"/>
      <x:c r="K177" s="9" t="str">
        <x:v>Craft, trade, gift or institutional custody; exact source TBD</x:v>
      </x:c>
      <x:c r="L177" s="9" t="str">
        <x:v>Material candidate: Formed metal or prepared shell</x:v>
      </x:c>
      <x:c r="M177" s="9" t="str">
        <x:v>Not implemented</x:v>
      </x:c>
      <x:c r="N177" s="9" t="str">
        <x:v>Food-safe finish TBD; no duplicate algae supply</x:v>
      </x:c>
      <x:c r="O177" s="17"/>
      <x:c r="P177" s="17"/>
      <x:c r="Q177" s="17"/>
      <x:c r="R177" s="17"/>
      <x:c r="S177" s="17"/>
      <x:c r="T177" s="9" t="str">
        <x:v>Practical simple tool; workmanship and material determine value. Faith, political authority, ritual practice and prices remain proposals.</x:v>
      </x:c>
      <x:c r="U177" s="11"/>
      <x:c r="V177" s="9" t="str">
        <x:v>New game proposal; author request October 14, 2026</x:v>
      </x:c>
      <x:c r="W177" s="4" t="str">
        <x:v>Household utensil</x:v>
      </x:c>
      <x:c r="X177" s="4" t="str">
        <x:v>Finished item</x:v>
      </x:c>
      <x:c r="Y177" s="4" t="str">
        <x:v>Manufactured / unresolved</x:v>
      </x:c>
      <x:c r="Z177" s="4" t="str">
        <x:v>Food service</x:v>
      </x:c>
      <x:c r="AA177" s="4" t="str">
        <x:v>Metal or shell</x:v>
      </x:c>
      <x:c r="AB177" s="4" t="str">
        <x:v>Solid piece</x:v>
      </x:c>
      <x:c r="AC177" s="4" t="str">
        <x:v>Proposal</x:v>
      </x:c>
      <x:c r="AD177" s="4" t="str">
        <x:f>LOWER(A177&amp;"; "&amp;B177&amp;"; "&amp;C177&amp;"; "&amp;D177&amp;"; "&amp;W177&amp;"; "&amp;X177&amp;"; "&amp;Y177&amp;"; "&amp;Z177&amp;"; "&amp;AA177&amp;"; "&amp;AB177&amp;"; "&amp;AC177&amp;"; "&amp;U177)</x:f>
        <x:v>proposal.culture.spoon; algae spoon / scraper; everyday objects; everyday household; household utensil; finished item; manufactured / unresolved; food service; metal or shell; solid piece; proposal; </x:v>
      </x:c>
      <x:c r="AE177" s="4" t="str">
        <x:v>From current item description. Proposed uses retain their existing approval status.</x:v>
      </x:c>
    </x:row>
    <x:row r="178" ht="100" customHeight="1">
      <x:c r="A178" s="9" t="str">
        <x:v>proposal.culture.brush</x:v>
      </x:c>
      <x:c r="B178" s="9" t="str">
        <x:v>Dust brush</x:v>
      </x:c>
      <x:c r="C178" s="9" t="str">
        <x:v>Everyday objects</x:v>
      </x:c>
      <x:c r="D178" s="9" t="str">
        <x:v>Everyday household</x:v>
      </x:c>
      <x:c r="E178" s="9" t="str">
        <x:v>New proposal</x:v>
      </x:c>
      <x:c r="F178" s="9" t="str">
        <x:v>Sweep dust from possessions and living areas</x:v>
      </x:c>
      <x:c r="G178" s="9" t="str">
        <x:v>Unassigned</x:v>
      </x:c>
      <x:c r="H178" s="9" t="str">
        <x:v>Personal kit / local storage eligibility TBD</x:v>
      </x:c>
      <x:c r="I178" s="13"/>
      <x:c r="J178" s="15"/>
      <x:c r="K178" s="9" t="str">
        <x:v>Craft, trade, gift or institutional custody; exact source TBD</x:v>
      </x:c>
      <x:c r="L178" s="9" t="str">
        <x:v>Material candidate: Selected fauna bristles in a shell/metal head</x:v>
      </x:c>
      <x:c r="M178" s="9" t="str">
        <x:v>Not implemented</x:v>
      </x:c>
      <x:c r="N178" s="9" t="str">
        <x:v>Bristle safety and assembly unresolved; no cloth required</x:v>
      </x:c>
      <x:c r="O178" s="17"/>
      <x:c r="P178" s="17"/>
      <x:c r="Q178" s="17"/>
      <x:c r="R178" s="17"/>
      <x:c r="S178" s="17"/>
      <x:c r="T178" s="9" t="str">
        <x:v>Raw bristles and finished brush have separate value. Faith, political authority, ritual practice and prices remain proposals.</x:v>
      </x:c>
      <x:c r="U178" s="11"/>
      <x:c r="V178" s="9" t="str">
        <x:v>New game proposal; author request October 14, 2026</x:v>
      </x:c>
      <x:c r="W178" s="4" t="str">
        <x:v>Tool</x:v>
      </x:c>
      <x:c r="X178" s="4" t="str">
        <x:v>Finished item</x:v>
      </x:c>
      <x:c r="Y178" s="4" t="str">
        <x:v>Manufactured / unresolved</x:v>
      </x:c>
      <x:c r="Z178" s="4" t="str">
        <x:v>Cleaning</x:v>
      </x:c>
      <x:c r="AA178" s="4" t="str">
        <x:v>Faunal fiber and shell</x:v>
      </x:c>
      <x:c r="AB178" s="4" t="str">
        <x:v>Assembly</x:v>
      </x:c>
      <x:c r="AC178" s="4" t="str">
        <x:v>Proposal</x:v>
      </x:c>
      <x:c r="AD178" s="4" t="str">
        <x:f>LOWER(A178&amp;"; "&amp;B178&amp;"; "&amp;C178&amp;"; "&amp;D178&amp;"; "&amp;W178&amp;"; "&amp;X178&amp;"; "&amp;Y178&amp;"; "&amp;Z178&amp;"; "&amp;AA178&amp;"; "&amp;AB178&amp;"; "&amp;AC178&amp;"; "&amp;U178)</x:f>
        <x:v>proposal.culture.brush; dust brush; everyday objects; everyday household; tool; finished item; manufactured / unresolved; cleaning; faunal fiber and shell; assembly; proposal; </x:v>
      </x:c>
      <x:c r="AE178" s="4" t="str">
        <x:v>From current item description. Proposed uses retain their existing approval status.</x:v>
      </x:c>
    </x:row>
    <x:row r="179" ht="100" customHeight="1">
      <x:c r="A179" s="9" t="str">
        <x:v>proposal.culture.comb</x:v>
      </x:c>
      <x:c r="B179" s="9" t="str">
        <x:v>Shell comb</x:v>
      </x:c>
      <x:c r="C179" s="9" t="str">
        <x:v>Everyday objects</x:v>
      </x:c>
      <x:c r="D179" s="9" t="str">
        <x:v>Everyday household</x:v>
      </x:c>
      <x:c r="E179" s="9" t="str">
        <x:v>New proposal</x:v>
      </x:c>
      <x:c r="F179" s="9" t="str">
        <x:v>Personal grooming</x:v>
      </x:c>
      <x:c r="G179" s="9" t="str">
        <x:v>Unassigned</x:v>
      </x:c>
      <x:c r="H179" s="9" t="str">
        <x:v>Personal kit / local storage eligibility TBD</x:v>
      </x:c>
      <x:c r="I179" s="13"/>
      <x:c r="J179" s="15"/>
      <x:c r="K179" s="9" t="str">
        <x:v>Craft, trade, gift or institutional custody; exact source TBD</x:v>
      </x:c>
      <x:c r="L179" s="9" t="str">
        <x:v>Material candidate: Carved shell or metal</x:v>
      </x:c>
      <x:c r="M179" s="9" t="str">
        <x:v>Not implemented</x:v>
      </x:c>
      <x:c r="N179" s="9" t="str">
        <x:v>No fur textile input or clothing slot implied</x:v>
      </x:c>
      <x:c r="O179" s="17"/>
      <x:c r="P179" s="17"/>
      <x:c r="Q179" s="17"/>
      <x:c r="R179" s="17"/>
      <x:c r="S179" s="17"/>
      <x:c r="T179" s="9" t="str">
        <x:v>Simple cheap-material craft; elaborate fine-tooth versions possible. Faith, political authority, ritual practice and prices remain proposals.</x:v>
      </x:c>
      <x:c r="U179" s="11"/>
      <x:c r="V179" s="9" t="str">
        <x:v>New game proposal; author request October 14, 2026</x:v>
      </x:c>
      <x:c r="W179" s="4" t="str">
        <x:v>Household utensil</x:v>
      </x:c>
      <x:c r="X179" s="4" t="str">
        <x:v>Finished item</x:v>
      </x:c>
      <x:c r="Y179" s="4" t="str">
        <x:v>Manufactured / unresolved</x:v>
      </x:c>
      <x:c r="Z179" s="4" t="str">
        <x:v>Grooming</x:v>
      </x:c>
      <x:c r="AA179" s="4" t="str">
        <x:v>Metal or shell</x:v>
      </x:c>
      <x:c r="AB179" s="4" t="str">
        <x:v>Solid piece</x:v>
      </x:c>
      <x:c r="AC179" s="4" t="str">
        <x:v>Proposal</x:v>
      </x:c>
      <x:c r="AD179" s="4" t="str">
        <x:f>LOWER(A179&amp;"; "&amp;B179&amp;"; "&amp;C179&amp;"; "&amp;D179&amp;"; "&amp;W179&amp;"; "&amp;X179&amp;"; "&amp;Y179&amp;"; "&amp;Z179&amp;"; "&amp;AA179&amp;"; "&amp;AB179&amp;"; "&amp;AC179&amp;"; "&amp;U179)</x:f>
        <x:v>proposal.culture.comb; shell comb; everyday objects; everyday household; household utensil; finished item; manufactured / unresolved; grooming; metal or shell; solid piece; proposal; </x:v>
      </x:c>
      <x:c r="AE179" s="4" t="str">
        <x:v>From current item description. Proposed uses retain their existing approval status.</x:v>
      </x:c>
    </x:row>
    <x:row r="180" ht="100" customHeight="1">
      <x:c r="A180" s="9" t="str">
        <x:v>proposal.culture.tablet</x:v>
      </x:c>
      <x:c r="B180" s="9" t="str">
        <x:v>Reusable tally tablet</x:v>
      </x:c>
      <x:c r="C180" s="9" t="str">
        <x:v>Everyday objects</x:v>
      </x:c>
      <x:c r="D180" s="9" t="str">
        <x:v>Everyday household</x:v>
      </x:c>
      <x:c r="E180" s="9" t="str">
        <x:v>New proposal</x:v>
      </x:c>
      <x:c r="F180" s="9" t="str">
        <x:v>Practice marks, keep counts or leave short messages</x:v>
      </x:c>
      <x:c r="G180" s="9" t="str">
        <x:v>Unassigned</x:v>
      </x:c>
      <x:c r="H180" s="9" t="str">
        <x:v>Personal kit / local storage eligibility TBD</x:v>
      </x:c>
      <x:c r="I180" s="13"/>
      <x:c r="J180" s="15"/>
      <x:c r="K180" s="9" t="str">
        <x:v>Craft, trade, gift or institutional custody; exact source TBD</x:v>
      </x:c>
      <x:c r="L180" s="9" t="str">
        <x:v>Material candidate: Incised shell or soft mineral plate</x:v>
      </x:c>
      <x:c r="M180" s="9" t="str">
        <x:v>Not implemented</x:v>
      </x:c>
      <x:c r="N180" s="9" t="str">
        <x:v>Writing method must match surface; not an electronic tablet</x:v>
      </x:c>
      <x:c r="O180" s="17"/>
      <x:c r="P180" s="17"/>
      <x:c r="Q180" s="17"/>
      <x:c r="R180" s="17"/>
      <x:c r="S180" s="17"/>
      <x:c r="T180" s="9" t="str">
        <x:v>Paper-saving reusable surface; exact erasability TBD. Faith, political authority, ritual practice and prices remain proposals.</x:v>
      </x:c>
      <x:c r="U180" s="11"/>
      <x:c r="V180" s="9" t="str">
        <x:v>New game proposal; author request October 14, 2026</x:v>
      </x:c>
      <x:c r="W180" s="4" t="str">
        <x:v>Document</x:v>
      </x:c>
      <x:c r="X180" s="4" t="str">
        <x:v>Finished item</x:v>
      </x:c>
      <x:c r="Y180" s="4" t="str">
        <x:v>Manufactured / unresolved</x:v>
      </x:c>
      <x:c r="Z180" s="4" t="str">
        <x:v>Writing and records</x:v>
      </x:c>
      <x:c r="AA180" s="4" t="str">
        <x:v>Mineral or shell</x:v>
      </x:c>
      <x:c r="AB180" s="4" t="str">
        <x:v>Solid piece</x:v>
      </x:c>
      <x:c r="AC180" s="4" t="str">
        <x:v>Proposal</x:v>
      </x:c>
      <x:c r="AD180" s="4" t="str">
        <x:f>LOWER(A180&amp;"; "&amp;B180&amp;"; "&amp;C180&amp;"; "&amp;D180&amp;"; "&amp;W180&amp;"; "&amp;X180&amp;"; "&amp;Y180&amp;"; "&amp;Z180&amp;"; "&amp;AA180&amp;"; "&amp;AB180&amp;"; "&amp;AC180&amp;"; "&amp;U180)</x:f>
        <x:v>proposal.culture.tablet; reusable tally tablet; everyday objects; everyday household; document; finished item; manufactured / unresolved; writing and records; mineral or shell; solid piece; proposal; </x:v>
      </x:c>
      <x:c r="AE180" s="4" t="str">
        <x:v>From current item description. Proposed uses retain their existing approval status.</x:v>
      </x:c>
    </x:row>
    <x:row r="181" ht="100" customHeight="1">
      <x:c r="A181" s="9" t="str">
        <x:v>proposal.culture.stylus</x:v>
      </x:c>
      <x:c r="B181" s="9" t="str">
        <x:v>Marking stylus</x:v>
      </x:c>
      <x:c r="C181" s="9" t="str">
        <x:v>Everyday objects</x:v>
      </x:c>
      <x:c r="D181" s="9" t="str">
        <x:v>Everyday household</x:v>
      </x:c>
      <x:c r="E181" s="9" t="str">
        <x:v>New proposal</x:v>
      </x:c>
      <x:c r="F181" s="9" t="str">
        <x:v>Incise compatible tablets, labels or simple designs</x:v>
      </x:c>
      <x:c r="G181" s="9" t="str">
        <x:v>Unassigned</x:v>
      </x:c>
      <x:c r="H181" s="9" t="str">
        <x:v>Personal kit / local storage eligibility TBD</x:v>
      </x:c>
      <x:c r="I181" s="13"/>
      <x:c r="J181" s="15"/>
      <x:c r="K181" s="9" t="str">
        <x:v>Craft, trade, gift or institutional custody; exact source TBD</x:v>
      </x:c>
      <x:c r="L181" s="9" t="str">
        <x:v>Material candidate: Worked metal point in a shell/metal grip</x:v>
      </x:c>
      <x:c r="M181" s="9" t="str">
        <x:v>Not implemented</x:v>
      </x:c>
      <x:c r="N181" s="9" t="str">
        <x:v>No ink chemistry or universal writing compatibility assumed</x:v>
      </x:c>
      <x:c r="O181" s="17"/>
      <x:c r="P181" s="17"/>
      <x:c r="Q181" s="17"/>
      <x:c r="R181" s="17"/>
      <x:c r="S181" s="17"/>
      <x:c r="T181" s="9" t="str">
        <x:v>Simple durable tool; fine engraving tools are separate specialist grades. Faith, political authority, ritual practice and prices remain proposals.</x:v>
      </x:c>
      <x:c r="U181" s="11"/>
      <x:c r="V181" s="9" t="str">
        <x:v>New game proposal; author request October 14, 2026</x:v>
      </x:c>
      <x:c r="W181" s="4" t="str">
        <x:v>Tool</x:v>
      </x:c>
      <x:c r="X181" s="4" t="str">
        <x:v>Finished item</x:v>
      </x:c>
      <x:c r="Y181" s="4" t="str">
        <x:v>Manufactured / unresolved</x:v>
      </x:c>
      <x:c r="Z181" s="4" t="str">
        <x:v>Writing and records</x:v>
      </x:c>
      <x:c r="AA181" s="4" t="str">
        <x:v>Metal and shell</x:v>
      </x:c>
      <x:c r="AB181" s="4" t="str">
        <x:v>Solid part</x:v>
      </x:c>
      <x:c r="AC181" s="4" t="str">
        <x:v>Proposal</x:v>
      </x:c>
      <x:c r="AD181" s="4" t="str">
        <x:f>LOWER(A181&amp;"; "&amp;B181&amp;"; "&amp;C181&amp;"; "&amp;D181&amp;"; "&amp;W181&amp;"; "&amp;X181&amp;"; "&amp;Y181&amp;"; "&amp;Z181&amp;"; "&amp;AA181&amp;"; "&amp;AB181&amp;"; "&amp;AC181&amp;"; "&amp;U181)</x:f>
        <x:v>proposal.culture.stylus; marking stylus; everyday objects; everyday household; tool; finished item; manufactured / unresolved; writing and records; metal and shell; solid part; proposal; </x:v>
      </x:c>
      <x:c r="AE181" s="4" t="str">
        <x:v>From current item description. Proposed uses retain their existing approval status.</x:v>
      </x:c>
    </x:row>
    <x:row r="182" ht="105" customHeight="1">
      <x:c r="A182" s="9" t="str">
        <x:v>proposal.ceramic.grog</x:v>
      </x:c>
      <x:c r="B182" s="9" t="str">
        <x:v>Crushed fired ceramic grit</x:v>
      </x:c>
      <x:c r="C182" s="9" t="str">
        <x:v>Resources</x:v>
      </x:c>
      <x:c r="D182" s="9" t="str">
        <x:v>Ceramic feedstock</x:v>
      </x:c>
      <x:c r="E182" s="9" t="str">
        <x:v>New proposal</x:v>
      </x:c>
      <x:c r="F182" s="9" t="str">
        <x:v>Selected broken fired ceramic, sorted and crushed for candidate body mixes.</x:v>
      </x:c>
      <x:c r="G182" s="9" t="str">
        <x:v>Unassigned; no new slot approved</x:v>
      </x:c>
      <x:c r="H182" s="9" t="str">
        <x:v>Carrier / placement policy TBD</x:v>
      </x:c>
      <x:c r="I182" s="13"/>
      <x:c r="J182" s="15"/>
      <x:c r="K182" s="9" t="str">
        <x:v>Specialist ceramic craft or trade; exact production route TBD</x:v>
      </x:c>
      <x:c r="L182" s="9" t="str">
        <x:v>Build on existing claystone, alumina, mineral feeds and insulating blanks where appropriate. No recipe authored.</x:v>
      </x:c>
      <x:c r="M182" s="9" t="str">
        <x:v>Not implemented</x:v>
      </x:c>
      <x:c r="N182" s="9" t="str">
        <x:v>Composition and contamination must be identified; not every broken vessel is reusable feed.</x:v>
      </x:c>
      <x:c r="O182" s="17"/>
      <x:c r="P182" s="17"/>
      <x:c r="Q182" s="17"/>
      <x:c r="R182" s="17"/>
      <x:c r="S182" s="17"/>
      <x:c r="T182" s="9" t="str">
        <x:v>Ceramics requested as a broad item family. Specific objects, grades, sourcing, yield and value remain proposals.</x:v>
      </x:c>
      <x:c r="U182" s="11" t="str">
        <x:v>fabrication; ceramic; pottery</x:v>
      </x:c>
      <x:c r="V182" s="9" t="str">
        <x:v>Author ceramics direction October 14, 2026; local game item proposal. Existing mineral/ceramic entries reused where applicable.</x:v>
      </x:c>
      <x:c r="W182" s="4" t="str">
        <x:v>Processed material</x:v>
      </x:c>
      <x:c r="X182" s="4" t="str">
        <x:v>Processed intermediate</x:v>
      </x:c>
      <x:c r="Y182" s="4" t="str">
        <x:v>Geological</x:v>
      </x:c>
      <x:c r="Z182" s="4" t="str">
        <x:v>Glass and ceramics</x:v>
      </x:c>
      <x:c r="AA182" s="4" t="str">
        <x:v>Ceramic feed mixture</x:v>
      </x:c>
      <x:c r="AB182" s="4" t="str">
        <x:v>Particles</x:v>
      </x:c>
      <x:c r="AC182" s="4" t="str">
        <x:v>Proposal</x:v>
      </x:c>
      <x:c r="AD182" s="4" t="str">
        <x:f>LOWER(A182&amp;"; "&amp;B182&amp;"; "&amp;C182&amp;"; "&amp;D182&amp;"; "&amp;W182&amp;"; "&amp;X182&amp;"; "&amp;Y182&amp;"; "&amp;Z182&amp;"; "&amp;AA182&amp;"; "&amp;AB182&amp;"; "&amp;AC182&amp;"; "&amp;U182)</x:f>
        <x:v>proposal.ceramic.grog; crushed fired ceramic grit; resources; ceramic feedstock; processed material; processed intermediate; geological; glass and ceramics; ceramic feed mixture; particles; proposal; fabrication; ceramic; pottery</x:v>
      </x:c>
      <x:c r="AE182" s="4" t="str">
        <x:v>Specific item proposed from author ceramics direction; functional and material limits remain unresolved.</x:v>
      </x:c>
    </x:row>
    <x:row r="183" ht="105" customHeight="1">
      <x:c r="A183" s="9" t="str">
        <x:v>proposal.ceramic.body_feed</x:v>
      </x:c>
      <x:c r="B183" s="9" t="str">
        <x:v>Prepared ceramic body feed</x:v>
      </x:c>
      <x:c r="C183" s="9" t="str">
        <x:v>Resources</x:v>
      </x:c>
      <x:c r="D183" s="9" t="str">
        <x:v>Ceramic feedstock</x:v>
      </x:c>
      <x:c r="E183" s="9" t="str">
        <x:v>New proposal</x:v>
      </x:c>
      <x:c r="F183" s="9" t="str">
        <x:v>Selected mineral feed blended for a chosen ceramic product.</x:v>
      </x:c>
      <x:c r="G183" s="9" t="str">
        <x:v>Unassigned; no new slot approved</x:v>
      </x:c>
      <x:c r="H183" s="9" t="str">
        <x:v>Carrier / placement policy TBD</x:v>
      </x:c>
      <x:c r="I183" s="13"/>
      <x:c r="J183" s="15"/>
      <x:c r="K183" s="9" t="str">
        <x:v>Specialist ceramic craft or trade; exact production route TBD</x:v>
      </x:c>
      <x:c r="L183" s="9" t="str">
        <x:v>Build on existing claystone, alumina, mineral feeds and insulating blanks where appropriate. No recipe authored.</x:v>
      </x:c>
      <x:c r="M183" s="9" t="str">
        <x:v>Not implemented</x:v>
      </x:c>
      <x:c r="N183" s="9" t="str">
        <x:v>Forming and binder method unresolved under the no-free-water rule; no recipe ratios.</x:v>
      </x:c>
      <x:c r="O183" s="17"/>
      <x:c r="P183" s="17"/>
      <x:c r="Q183" s="17"/>
      <x:c r="R183" s="17"/>
      <x:c r="S183" s="17"/>
      <x:c r="T183" s="9" t="str">
        <x:v>Ceramics requested as a broad item family. Specific objects, grades, sourcing, yield and value remain proposals.</x:v>
      </x:c>
      <x:c r="U183" s="11" t="str">
        <x:v>fabrication; ceramic; pottery</x:v>
      </x:c>
      <x:c r="V183" s="9" t="str">
        <x:v>Author ceramics direction October 14, 2026; local game item proposal. Existing mineral/ceramic entries reused where applicable.</x:v>
      </x:c>
      <x:c r="W183" s="4" t="str">
        <x:v>Processed material</x:v>
      </x:c>
      <x:c r="X183" s="4" t="str">
        <x:v>Processed intermediate</x:v>
      </x:c>
      <x:c r="Y183" s="4" t="str">
        <x:v>Geological</x:v>
      </x:c>
      <x:c r="Z183" s="4" t="str">
        <x:v>Glass and ceramics</x:v>
      </x:c>
      <x:c r="AA183" s="4" t="str">
        <x:v>Ceramic feed mixture</x:v>
      </x:c>
      <x:c r="AB183" s="4" t="str">
        <x:v>Particles</x:v>
      </x:c>
      <x:c r="AC183" s="4" t="str">
        <x:v>Proposal</x:v>
      </x:c>
      <x:c r="AD183" s="4" t="str">
        <x:f>LOWER(A183&amp;"; "&amp;B183&amp;"; "&amp;C183&amp;"; "&amp;D183&amp;"; "&amp;W183&amp;"; "&amp;X183&amp;"; "&amp;Y183&amp;"; "&amp;Z183&amp;"; "&amp;AA183&amp;"; "&amp;AB183&amp;"; "&amp;AC183&amp;"; "&amp;U183)</x:f>
        <x:v>proposal.ceramic.body_feed; prepared ceramic body feed; resources; ceramic feedstock; processed material; processed intermediate; geological; glass and ceramics; ceramic feed mixture; particles; proposal; fabrication; ceramic; pottery</x:v>
      </x:c>
      <x:c r="AE183" s="4" t="str">
        <x:v>Specific item proposed from author ceramics direction; functional and material limits remain unresolved.</x:v>
      </x:c>
    </x:row>
    <x:row r="184" ht="105" customHeight="1">
      <x:c r="A184" s="9" t="str">
        <x:v>proposal.ceramic.glaze_feed</x:v>
      </x:c>
      <x:c r="B184" s="9" t="str">
        <x:v>Prepared glaze feed</x:v>
      </x:c>
      <x:c r="C184" s="9" t="str">
        <x:v>Resources</x:v>
      </x:c>
      <x:c r="D184" s="9" t="str">
        <x:v>Ceramic feedstock</x:v>
      </x:c>
      <x:c r="E184" s="9" t="str">
        <x:v>New proposal</x:v>
      </x:c>
      <x:c r="F184" s="9" t="str">
        <x:v>Selected mineral finishing feed for compatible ceramic surfaces.</x:v>
      </x:c>
      <x:c r="G184" s="9" t="str">
        <x:v>Unassigned; no new slot approved</x:v>
      </x:c>
      <x:c r="H184" s="9" t="str">
        <x:v>Carrier / placement policy TBD</x:v>
      </x:c>
      <x:c r="I184" s="13"/>
      <x:c r="J184" s="15"/>
      <x:c r="K184" s="9" t="str">
        <x:v>Specialist ceramic craft or trade; exact production route TBD</x:v>
      </x:c>
      <x:c r="L184" s="9" t="str">
        <x:v>Build on existing claystone, alumina, mineral feeds and insulating blanks where appropriate. No recipe authored.</x:v>
      </x:c>
      <x:c r="M184" s="9" t="str">
        <x:v>Not implemented</x:v>
      </x:c>
      <x:c r="N184" s="9" t="str">
        <x:v>No universal glaze, toxin barrier or food-safe finish assumed.</x:v>
      </x:c>
      <x:c r="O184" s="17"/>
      <x:c r="P184" s="17"/>
      <x:c r="Q184" s="17"/>
      <x:c r="R184" s="17"/>
      <x:c r="S184" s="17"/>
      <x:c r="T184" s="9" t="str">
        <x:v>Ceramics requested as a broad item family. Specific objects, grades, sourcing, yield and value remain proposals.</x:v>
      </x:c>
      <x:c r="U184" s="11" t="str">
        <x:v>surface finishing; ceramic; pottery</x:v>
      </x:c>
      <x:c r="V184" s="9" t="str">
        <x:v>Author ceramics direction October 14, 2026; local game item proposal. Existing mineral/ceramic entries reused where applicable.</x:v>
      </x:c>
      <x:c r="W184" s="4" t="str">
        <x:v>Processed material</x:v>
      </x:c>
      <x:c r="X184" s="4" t="str">
        <x:v>Processed intermediate</x:v>
      </x:c>
      <x:c r="Y184" s="4" t="str">
        <x:v>Geological</x:v>
      </x:c>
      <x:c r="Z184" s="4" t="str">
        <x:v>Glass and ceramics</x:v>
      </x:c>
      <x:c r="AA184" s="4" t="str">
        <x:v>Ceramic feed mixture</x:v>
      </x:c>
      <x:c r="AB184" s="4" t="str">
        <x:v>Particles</x:v>
      </x:c>
      <x:c r="AC184" s="4" t="str">
        <x:v>Proposal</x:v>
      </x:c>
      <x:c r="AD184" s="4" t="str">
        <x:f>LOWER(A184&amp;"; "&amp;B184&amp;"; "&amp;C184&amp;"; "&amp;D184&amp;"; "&amp;W184&amp;"; "&amp;X184&amp;"; "&amp;Y184&amp;"; "&amp;Z184&amp;"; "&amp;AA184&amp;"; "&amp;AB184&amp;"; "&amp;AC184&amp;"; "&amp;U184)</x:f>
        <x:v>proposal.ceramic.glaze_feed; prepared glaze feed; resources; ceramic feedstock; processed material; processed intermediate; geological; glass and ceramics; ceramic feed mixture; particles; proposal; surface finishing; ceramic; pottery</x:v>
      </x:c>
      <x:c r="AE184" s="4" t="str">
        <x:v>Specific item proposed from author ceramics direction; functional and material limits remain unresolved.</x:v>
      </x:c>
    </x:row>
    <x:row r="185" ht="105" customHeight="1">
      <x:c r="A185" s="9" t="str">
        <x:v>proposal.ceramic.unfired_blank</x:v>
      </x:c>
      <x:c r="B185" s="9" t="str">
        <x:v>Unfired shaped ceramic blank</x:v>
      </x:c>
      <x:c r="C185" s="9" t="str">
        <x:v>Crafting components</x:v>
      </x:c>
      <x:c r="D185" s="9" t="str">
        <x:v>Ceramic intermediate</x:v>
      </x:c>
      <x:c r="E185" s="9" t="str">
        <x:v>New proposal</x:v>
      </x:c>
      <x:c r="F185" s="9" t="str">
        <x:v>A shaped intermediate awaiting its designed firing process.</x:v>
      </x:c>
      <x:c r="G185" s="9" t="str">
        <x:v>Unassigned; no new slot approved</x:v>
      </x:c>
      <x:c r="H185" s="9" t="str">
        <x:v>Carrier / placement policy TBD</x:v>
      </x:c>
      <x:c r="I185" s="13"/>
      <x:c r="J185" s="15"/>
      <x:c r="K185" s="9" t="str">
        <x:v>Specialist ceramic craft or trade; exact production route TBD</x:v>
      </x:c>
      <x:c r="L185" s="9" t="str">
        <x:v>Build on existing claystone, alumina, mineral feeds and insulating blanks where appropriate. No recipe authored.</x:v>
      </x:c>
      <x:c r="M185" s="9" t="str">
        <x:v>Not implemented</x:v>
      </x:c>
      <x:c r="N185" s="9" t="str">
        <x:v>Forming method and required binders remain proposals; not a usable finished part.</x:v>
      </x:c>
      <x:c r="O185" s="17"/>
      <x:c r="P185" s="17"/>
      <x:c r="Q185" s="17"/>
      <x:c r="R185" s="17"/>
      <x:c r="S185" s="17"/>
      <x:c r="T185" s="9" t="str">
        <x:v>Ceramics requested as a broad item family. Specific objects, grades, sourcing, yield and value remain proposals.</x:v>
      </x:c>
      <x:c r="U185" s="11" t="str">
        <x:v>pottery</x:v>
      </x:c>
      <x:c r="V185" s="9" t="str">
        <x:v>Author ceramics direction October 14, 2026; local game item proposal. Existing mineral/ceramic entries reused where applicable.</x:v>
      </x:c>
      <x:c r="W185" s="4" t="str">
        <x:v>Crafting component</x:v>
      </x:c>
      <x:c r="X185" s="4" t="str">
        <x:v>Unfired intermediate</x:v>
      </x:c>
      <x:c r="Y185" s="4" t="str">
        <x:v>Manufactured / unresolved</x:v>
      </x:c>
      <x:c r="Z185" s="4" t="str">
        <x:v>Glass and ceramics</x:v>
      </x:c>
      <x:c r="AA185" s="4" t="str">
        <x:v>Ceramic</x:v>
      </x:c>
      <x:c r="AB185" s="4" t="str">
        <x:v>Solid part</x:v>
      </x:c>
      <x:c r="AC185" s="4" t="str">
        <x:v>Proposal</x:v>
      </x:c>
      <x:c r="AD185" s="4" t="str">
        <x:f>LOWER(A185&amp;"; "&amp;B185&amp;"; "&amp;C185&amp;"; "&amp;D185&amp;"; "&amp;W185&amp;"; "&amp;X185&amp;"; "&amp;Y185&amp;"; "&amp;Z185&amp;"; "&amp;AA185&amp;"; "&amp;AB185&amp;"; "&amp;AC185&amp;"; "&amp;U185)</x:f>
        <x:v>proposal.ceramic.unfired_blank; unfired shaped ceramic blank; crafting components; ceramic intermediate; crafting component; unfired intermediate; manufactured / unresolved; glass and ceramics; ceramic; solid part; proposal; pottery</x:v>
      </x:c>
      <x:c r="AE185" s="4" t="str">
        <x:v>Specific item proposed from author ceramics direction; functional and material limits remain unresolved.</x:v>
      </x:c>
    </x:row>
    <x:row r="186" ht="105" customHeight="1">
      <x:c r="A186" s="9" t="str">
        <x:v>proposal.ceramic.bowl</x:v>
      </x:c>
      <x:c r="B186" s="9" t="str">
        <x:v>Plain ceramic eating bowl</x:v>
      </x:c>
      <x:c r="C186" s="9" t="str">
        <x:v>Everyday objects</x:v>
      </x:c>
      <x:c r="D186" s="9" t="str">
        <x:v>Ceramic household</x:v>
      </x:c>
      <x:c r="E186" s="9" t="str">
        <x:v>New proposal</x:v>
      </x:c>
      <x:c r="F186" s="9" t="str">
        <x:v>Simple ceramic bowl for contained algae portions.</x:v>
      </x:c>
      <x:c r="G186" s="9" t="str">
        <x:v>Unassigned; no new slot approved</x:v>
      </x:c>
      <x:c r="H186" s="9" t="str">
        <x:v>Carrier / placement policy TBD</x:v>
      </x:c>
      <x:c r="I186" s="13"/>
      <x:c r="J186" s="15"/>
      <x:c r="K186" s="9" t="str">
        <x:v>Specialist ceramic craft or trade; exact production route TBD</x:v>
      </x:c>
      <x:c r="L186" s="9" t="str">
        <x:v>Build on existing claystone, alumina, mineral feeds and insulating blanks where appropriate. No recipe authored.</x:v>
      </x:c>
      <x:c r="M186" s="9" t="str">
        <x:v>Not implemented</x:v>
      </x:c>
      <x:c r="N186" s="9" t="str">
        <x:v>Food-contact grade and surface finish require design; not a water vessel assumption.</x:v>
      </x:c>
      <x:c r="O186" s="17"/>
      <x:c r="P186" s="17"/>
      <x:c r="Q186" s="17"/>
      <x:c r="R186" s="17"/>
      <x:c r="S186" s="17"/>
      <x:c r="T186" s="9" t="str">
        <x:v>Ceramics requested as a broad item family. Specific objects, grades, sourcing, yield and value remain proposals.</x:v>
      </x:c>
      <x:c r="U186" s="11" t="str">
        <x:v>pottery</x:v>
      </x:c>
      <x:c r="V186" s="9" t="str">
        <x:v>Author ceramics direction October 14, 2026; local game item proposal. Existing mineral/ceramic entries reused where applicable.</x:v>
      </x:c>
      <x:c r="W186" s="4" t="str">
        <x:v>Household utensil</x:v>
      </x:c>
      <x:c r="X186" s="4" t="str">
        <x:v>Finished item</x:v>
      </x:c>
      <x:c r="Y186" s="4" t="str">
        <x:v>Manufactured / unresolved</x:v>
      </x:c>
      <x:c r="Z186" s="4" t="str">
        <x:v>Food service</x:v>
      </x:c>
      <x:c r="AA186" s="4" t="str">
        <x:v>Ceramic</x:v>
      </x:c>
      <x:c r="AB186" s="4" t="str">
        <x:v>Solid part</x:v>
      </x:c>
      <x:c r="AC186" s="4" t="str">
        <x:v>Proposal</x:v>
      </x:c>
      <x:c r="AD186" s="4" t="str">
        <x:f>LOWER(A186&amp;"; "&amp;B186&amp;"; "&amp;C186&amp;"; "&amp;D186&amp;"; "&amp;W186&amp;"; "&amp;X186&amp;"; "&amp;Y186&amp;"; "&amp;Z186&amp;"; "&amp;AA186&amp;"; "&amp;AB186&amp;"; "&amp;AC186&amp;"; "&amp;U186)</x:f>
        <x:v>proposal.ceramic.bowl; plain ceramic eating bowl; everyday objects; ceramic household; household utensil; finished item; manufactured / unresolved; food service; ceramic; solid part; proposal; pottery</x:v>
      </x:c>
      <x:c r="AE186" s="4" t="str">
        <x:v>Specific item proposed from author ceramics direction; functional and material limits remain unresolved.</x:v>
      </x:c>
    </x:row>
    <x:row r="187" ht="105" customHeight="1">
      <x:c r="A187" s="9" t="str">
        <x:v>proposal.ceramic.cup</x:v>
      </x:c>
      <x:c r="B187" s="9" t="str">
        <x:v>Small ceramic cup</x:v>
      </x:c>
      <x:c r="C187" s="9" t="str">
        <x:v>Everyday objects</x:v>
      </x:c>
      <x:c r="D187" s="9" t="str">
        <x:v>Ceramic household</x:v>
      </x:c>
      <x:c r="E187" s="9" t="str">
        <x:v>New proposal</x:v>
      </x:c>
      <x:c r="F187" s="9" t="str">
        <x:v>Small cup for a contained food portion or other assigned household use.</x:v>
      </x:c>
      <x:c r="G187" s="9" t="str">
        <x:v>Unassigned; no new slot approved</x:v>
      </x:c>
      <x:c r="H187" s="9" t="str">
        <x:v>Carrier / placement policy TBD</x:v>
      </x:c>
      <x:c r="I187" s="13"/>
      <x:c r="J187" s="15"/>
      <x:c r="K187" s="9" t="str">
        <x:v>Specialist ceramic craft or trade; exact production route TBD</x:v>
      </x:c>
      <x:c r="L187" s="9" t="str">
        <x:v>Build on existing claystone, alumina, mineral feeds and insulating blanks where appropriate. No recipe authored.</x:v>
      </x:c>
      <x:c r="M187" s="9" t="str">
        <x:v>Not implemented</x:v>
      </x:c>
      <x:c r="N187" s="9" t="str">
        <x:v>Contents and food-contact suitability must be defined; no natural water introduced.</x:v>
      </x:c>
      <x:c r="O187" s="17"/>
      <x:c r="P187" s="17"/>
      <x:c r="Q187" s="17"/>
      <x:c r="R187" s="17"/>
      <x:c r="S187" s="17"/>
      <x:c r="T187" s="9" t="str">
        <x:v>Ceramics requested as a broad item family. Specific objects, grades, sourcing, yield and value remain proposals.</x:v>
      </x:c>
      <x:c r="U187" s="11" t="str">
        <x:v>pottery</x:v>
      </x:c>
      <x:c r="V187" s="9" t="str">
        <x:v>Author ceramics direction October 14, 2026; local game item proposal. Existing mineral/ceramic entries reused where applicable.</x:v>
      </x:c>
      <x:c r="W187" s="4" t="str">
        <x:v>Household utensil</x:v>
      </x:c>
      <x:c r="X187" s="4" t="str">
        <x:v>Finished item</x:v>
      </x:c>
      <x:c r="Y187" s="4" t="str">
        <x:v>Manufactured / unresolved</x:v>
      </x:c>
      <x:c r="Z187" s="4" t="str">
        <x:v>Food service</x:v>
      </x:c>
      <x:c r="AA187" s="4" t="str">
        <x:v>Ceramic</x:v>
      </x:c>
      <x:c r="AB187" s="4" t="str">
        <x:v>Solid part</x:v>
      </x:c>
      <x:c r="AC187" s="4" t="str">
        <x:v>Proposal</x:v>
      </x:c>
      <x:c r="AD187" s="4" t="str">
        <x:f>LOWER(A187&amp;"; "&amp;B187&amp;"; "&amp;C187&amp;"; "&amp;D187&amp;"; "&amp;W187&amp;"; "&amp;X187&amp;"; "&amp;Y187&amp;"; "&amp;Z187&amp;"; "&amp;AA187&amp;"; "&amp;AB187&amp;"; "&amp;AC187&amp;"; "&amp;U187)</x:f>
        <x:v>proposal.ceramic.cup; small ceramic cup; everyday objects; ceramic household; household utensil; finished item; manufactured / unresolved; food service; ceramic; solid part; proposal; pottery</x:v>
      </x:c>
      <x:c r="AE187" s="4" t="str">
        <x:v>Specific item proposed from author ceramics direction; functional and material limits remain unresolved.</x:v>
      </x:c>
    </x:row>
    <x:row r="188" ht="105" customHeight="1">
      <x:c r="A188" s="9" t="str">
        <x:v>proposal.ceramic.plate</x:v>
      </x:c>
      <x:c r="B188" s="9" t="str">
        <x:v>Ceramic serving plate</x:v>
      </x:c>
      <x:c r="C188" s="9" t="str">
        <x:v>Everyday objects</x:v>
      </x:c>
      <x:c r="D188" s="9" t="str">
        <x:v>Ceramic household</x:v>
      </x:c>
      <x:c r="E188" s="9" t="str">
        <x:v>New proposal</x:v>
      </x:c>
      <x:c r="F188" s="9" t="str">
        <x:v>Shallow plate for serving or separating food portions.</x:v>
      </x:c>
      <x:c r="G188" s="9" t="str">
        <x:v>Unassigned; no new slot approved</x:v>
      </x:c>
      <x:c r="H188" s="9" t="str">
        <x:v>Carrier / placement policy TBD</x:v>
      </x:c>
      <x:c r="I188" s="13"/>
      <x:c r="J188" s="15"/>
      <x:c r="K188" s="9" t="str">
        <x:v>Specialist ceramic craft or trade; exact production route TBD</x:v>
      </x:c>
      <x:c r="L188" s="9" t="str">
        <x:v>Build on existing claystone, alumina, mineral feeds and insulating blanks where appropriate. No recipe authored.</x:v>
      </x:c>
      <x:c r="M188" s="9" t="str">
        <x:v>Not implemented</x:v>
      </x:c>
      <x:c r="N188" s="9" t="str">
        <x:v>No edible-fauna nutritional improvement or cleanliness mechanic granted.</x:v>
      </x:c>
      <x:c r="O188" s="17"/>
      <x:c r="P188" s="17"/>
      <x:c r="Q188" s="17"/>
      <x:c r="R188" s="17"/>
      <x:c r="S188" s="17"/>
      <x:c r="T188" s="9" t="str">
        <x:v>Ceramics requested as a broad item family. Specific objects, grades, sourcing, yield and value remain proposals.</x:v>
      </x:c>
      <x:c r="U188" s="11" t="str">
        <x:v>pottery</x:v>
      </x:c>
      <x:c r="V188" s="9" t="str">
        <x:v>Author ceramics direction October 14, 2026; local game item proposal. Existing mineral/ceramic entries reused where applicable.</x:v>
      </x:c>
      <x:c r="W188" s="4" t="str">
        <x:v>Household utensil</x:v>
      </x:c>
      <x:c r="X188" s="4" t="str">
        <x:v>Finished item</x:v>
      </x:c>
      <x:c r="Y188" s="4" t="str">
        <x:v>Manufactured / unresolved</x:v>
      </x:c>
      <x:c r="Z188" s="4" t="str">
        <x:v>Food service</x:v>
      </x:c>
      <x:c r="AA188" s="4" t="str">
        <x:v>Ceramic</x:v>
      </x:c>
      <x:c r="AB188" s="4" t="str">
        <x:v>Solid part</x:v>
      </x:c>
      <x:c r="AC188" s="4" t="str">
        <x:v>Proposal</x:v>
      </x:c>
      <x:c r="AD188" s="4" t="str">
        <x:f>LOWER(A188&amp;"; "&amp;B188&amp;"; "&amp;C188&amp;"; "&amp;D188&amp;"; "&amp;W188&amp;"; "&amp;X188&amp;"; "&amp;Y188&amp;"; "&amp;Z188&amp;"; "&amp;AA188&amp;"; "&amp;AB188&amp;"; "&amp;AC188&amp;"; "&amp;U188)</x:f>
        <x:v>proposal.ceramic.plate; ceramic serving plate; everyday objects; ceramic household; household utensil; finished item; manufactured / unresolved; food service; ceramic; solid part; proposal; pottery</x:v>
      </x:c>
      <x:c r="AE188" s="4" t="str">
        <x:v>Specific item proposed from author ceramics direction; functional and material limits remain unresolved.</x:v>
      </x:c>
    </x:row>
    <x:row r="189" ht="105" customHeight="1">
      <x:c r="A189" s="9" t="str">
        <x:v>proposal.ceramic.storage_crock</x:v>
      </x:c>
      <x:c r="B189" s="9" t="str">
        <x:v>Ceramic dry-storage crock</x:v>
      </x:c>
      <x:c r="C189" s="9" t="str">
        <x:v>Containers</x:v>
      </x:c>
      <x:c r="D189" s="9" t="str">
        <x:v>Ceramic storage</x:v>
      </x:c>
      <x:c r="E189" s="9" t="str">
        <x:v>New proposal</x:v>
      </x:c>
      <x:c r="F189" s="9" t="str">
        <x:v>Lidded vessel for selected dry household goods.</x:v>
      </x:c>
      <x:c r="G189" s="9" t="str">
        <x:v>Unassigned; no new slot approved</x:v>
      </x:c>
      <x:c r="H189" s="9" t="str">
        <x:v>Carrier / placement policy TBD</x:v>
      </x:c>
      <x:c r="I189" s="13"/>
      <x:c r="J189" s="15"/>
      <x:c r="K189" s="9" t="str">
        <x:v>Specialist ceramic craft or trade; exact production route TBD</x:v>
      </x:c>
      <x:c r="L189" s="9" t="str">
        <x:v>Build on existing claystone, alumina, mineral feeds and insulating blanks where appropriate. No recipe authored.</x:v>
      </x:c>
      <x:c r="M189" s="9" t="str">
        <x:v>Not implemented</x:v>
      </x:c>
      <x:c r="N189" s="9" t="str">
        <x:v>Not automatically sealed, airtight, pressure-rated or chemically compatible.</x:v>
      </x:c>
      <x:c r="O189" s="17"/>
      <x:c r="P189" s="17"/>
      <x:c r="Q189" s="17"/>
      <x:c r="R189" s="17"/>
      <x:c r="S189" s="17"/>
      <x:c r="T189" s="9" t="str">
        <x:v>Ceramics requested as a broad item family. Specific objects, grades, sourcing, yield and value remain proposals.</x:v>
      </x:c>
      <x:c r="U189" s="11" t="str">
        <x:v>liquid and bulk containment; pottery</x:v>
      </x:c>
      <x:c r="V189" s="9" t="str">
        <x:v>Author ceramics direction October 14, 2026; local game item proposal. Existing mineral/ceramic entries reused where applicable.</x:v>
      </x:c>
      <x:c r="W189" s="4" t="str">
        <x:v>Container</x:v>
      </x:c>
      <x:c r="X189" s="4" t="str">
        <x:v>Finished item</x:v>
      </x:c>
      <x:c r="Y189" s="4" t="str">
        <x:v>Manufactured / unresolved</x:v>
      </x:c>
      <x:c r="Z189" s="4" t="str">
        <x:v>Cargo organization</x:v>
      </x:c>
      <x:c r="AA189" s="4" t="str">
        <x:v>Ceramic</x:v>
      </x:c>
      <x:c r="AB189" s="4" t="str">
        <x:v>Solid part</x:v>
      </x:c>
      <x:c r="AC189" s="4" t="str">
        <x:v>Proposal</x:v>
      </x:c>
      <x:c r="AD189" s="4" t="str">
        <x:f>LOWER(A189&amp;"; "&amp;B189&amp;"; "&amp;C189&amp;"; "&amp;D189&amp;"; "&amp;W189&amp;"; "&amp;X189&amp;"; "&amp;Y189&amp;"; "&amp;Z189&amp;"; "&amp;AA189&amp;"; "&amp;AB189&amp;"; "&amp;AC189&amp;"; "&amp;U189)</x:f>
        <x:v>proposal.ceramic.storage_crock; ceramic dry-storage crock; containers; ceramic storage; container; finished item; manufactured / unresolved; cargo organization; ceramic; solid part; proposal; liquid and bulk containment; pottery</x:v>
      </x:c>
      <x:c r="AE189" s="4" t="str">
        <x:v>Specific item proposed from author ceramics direction; functional and material limits remain unresolved.</x:v>
      </x:c>
    </x:row>
    <x:row r="190" ht="105" customHeight="1">
      <x:c r="A190" s="9" t="str">
        <x:v>proposal.ceramic.crucible</x:v>
      </x:c>
      <x:c r="B190" s="9" t="str">
        <x:v>Ceramic crucible</x:v>
      </x:c>
      <x:c r="C190" s="9" t="str">
        <x:v>Equipment</x:v>
      </x:c>
      <x:c r="D190" s="9" t="str">
        <x:v>Ceramic workshop</x:v>
      </x:c>
      <x:c r="E190" s="9" t="str">
        <x:v>New proposal</x:v>
      </x:c>
      <x:c r="F190" s="9" t="str">
        <x:v>Specialist vessel candidate for a selected high-temperature material process.</x:v>
      </x:c>
      <x:c r="G190" s="9" t="str">
        <x:v>Unassigned; no new slot approved</x:v>
      </x:c>
      <x:c r="H190" s="9" t="str">
        <x:v>Carrier / placement policy TBD</x:v>
      </x:c>
      <x:c r="I190" s="13"/>
      <x:c r="J190" s="15"/>
      <x:c r="K190" s="9" t="str">
        <x:v>Specialist ceramic craft or trade; exact production route TBD</x:v>
      </x:c>
      <x:c r="L190" s="9" t="str">
        <x:v>Build on existing claystone, alumina, mineral feeds and insulating blanks where appropriate. No recipe authored.</x:v>
      </x:c>
      <x:c r="M190" s="9" t="str">
        <x:v>Not implemented</x:v>
      </x:c>
      <x:c r="N190" s="9" t="str">
        <x:v>Composition, supported contents and temperature range unresolved; ordinary pottery is not interchangeable.</x:v>
      </x:c>
      <x:c r="O190" s="17"/>
      <x:c r="P190" s="17"/>
      <x:c r="Q190" s="17"/>
      <x:c r="R190" s="17"/>
      <x:c r="S190" s="17"/>
      <x:c r="T190" s="9" t="str">
        <x:v>Ceramics requested as a broad item family. Specific objects, grades, sourcing, yield and value remain proposals.</x:v>
      </x:c>
      <x:c r="U190" s="11" t="str">
        <x:v>glass and ceramics; pottery</x:v>
      </x:c>
      <x:c r="V190" s="9" t="str">
        <x:v>Author ceramics direction October 14, 2026; local game item proposal. Existing mineral/ceramic entries reused where applicable.</x:v>
      </x:c>
      <x:c r="W190" s="4" t="str">
        <x:v>Tool</x:v>
      </x:c>
      <x:c r="X190" s="4" t="str">
        <x:v>Finished item</x:v>
      </x:c>
      <x:c r="Y190" s="4" t="str">
        <x:v>Manufactured / unresolved</x:v>
      </x:c>
      <x:c r="Z190" s="4" t="str">
        <x:v>Metal refining</x:v>
      </x:c>
      <x:c r="AA190" s="4" t="str">
        <x:v>Ceramic</x:v>
      </x:c>
      <x:c r="AB190" s="4" t="str">
        <x:v>Solid part</x:v>
      </x:c>
      <x:c r="AC190" s="4" t="str">
        <x:v>Proposal</x:v>
      </x:c>
      <x:c r="AD190" s="4" t="str">
        <x:f>LOWER(A190&amp;"; "&amp;B190&amp;"; "&amp;C190&amp;"; "&amp;D190&amp;"; "&amp;W190&amp;"; "&amp;X190&amp;"; "&amp;Y190&amp;"; "&amp;Z190&amp;"; "&amp;AA190&amp;"; "&amp;AB190&amp;"; "&amp;AC190&amp;"; "&amp;U190)</x:f>
        <x:v>proposal.ceramic.crucible; ceramic crucible; equipment; ceramic workshop; tool; finished item; manufactured / unresolved; metal refining; ceramic; solid part; proposal; glass and ceramics; pottery</x:v>
      </x:c>
      <x:c r="AE190" s="4" t="str">
        <x:v>Specific item proposed from author ceramics direction; functional and material limits remain unresolved.</x:v>
      </x:c>
    </x:row>
    <x:row r="191" ht="105" customHeight="1">
      <x:c r="A191" s="9" t="str">
        <x:v>proposal.ceramic.casting_mold</x:v>
      </x:c>
      <x:c r="B191" s="9" t="str">
        <x:v>Ceramic casting mold</x:v>
      </x:c>
      <x:c r="C191" s="9" t="str">
        <x:v>Equipment</x:v>
      </x:c>
      <x:c r="D191" s="9" t="str">
        <x:v>Ceramic workshop</x:v>
      </x:c>
      <x:c r="E191" s="9" t="str">
        <x:v>New proposal</x:v>
      </x:c>
      <x:c r="F191" s="9" t="str">
        <x:v>A shaped mold for a specifically chosen casting process.</x:v>
      </x:c>
      <x:c r="G191" s="9" t="str">
        <x:v>Unassigned; no new slot approved</x:v>
      </x:c>
      <x:c r="H191" s="9" t="str">
        <x:v>Carrier / placement policy TBD</x:v>
      </x:c>
      <x:c r="I191" s="13"/>
      <x:c r="J191" s="15"/>
      <x:c r="K191" s="9" t="str">
        <x:v>Specialist ceramic craft or trade; exact production route TBD</x:v>
      </x:c>
      <x:c r="L191" s="9" t="str">
        <x:v>Build on existing claystone, alumina, mineral feeds and insulating blanks where appropriate. No recipe authored.</x:v>
      </x:c>
      <x:c r="M191" s="9" t="str">
        <x:v>Not implemented</x:v>
      </x:c>
      <x:c r="N191" s="9" t="str">
        <x:v>Process compatibility, release, lifetime and reusable versus expendable construction TBD.</x:v>
      </x:c>
      <x:c r="O191" s="17"/>
      <x:c r="P191" s="17"/>
      <x:c r="Q191" s="17"/>
      <x:c r="R191" s="17"/>
      <x:c r="S191" s="17"/>
      <x:c r="T191" s="9" t="str">
        <x:v>Ceramics requested as a broad item family. Specific objects, grades, sourcing, yield and value remain proposals.</x:v>
      </x:c>
      <x:c r="U191" s="11" t="str">
        <x:v>metal refining; pottery</x:v>
      </x:c>
      <x:c r="V191" s="9" t="str">
        <x:v>Author ceramics direction October 14, 2026; local game item proposal. Existing mineral/ceramic entries reused where applicable.</x:v>
      </x:c>
      <x:c r="W191" s="4" t="str">
        <x:v>Tool</x:v>
      </x:c>
      <x:c r="X191" s="4" t="str">
        <x:v>Finished item</x:v>
      </x:c>
      <x:c r="Y191" s="4" t="str">
        <x:v>Manufactured / unresolved</x:v>
      </x:c>
      <x:c r="Z191" s="4" t="str">
        <x:v>Fabrication</x:v>
      </x:c>
      <x:c r="AA191" s="4" t="str">
        <x:v>Ceramic</x:v>
      </x:c>
      <x:c r="AB191" s="4" t="str">
        <x:v>Solid part</x:v>
      </x:c>
      <x:c r="AC191" s="4" t="str">
        <x:v>Proposal</x:v>
      </x:c>
      <x:c r="AD191" s="4" t="str">
        <x:f>LOWER(A191&amp;"; "&amp;B191&amp;"; "&amp;C191&amp;"; "&amp;D191&amp;"; "&amp;W191&amp;"; "&amp;X191&amp;"; "&amp;Y191&amp;"; "&amp;Z191&amp;"; "&amp;AA191&amp;"; "&amp;AB191&amp;"; "&amp;AC191&amp;"; "&amp;U191)</x:f>
        <x:v>proposal.ceramic.casting_mold; ceramic casting mold; equipment; ceramic workshop; tool; finished item; manufactured / unresolved; fabrication; ceramic; solid part; proposal; metal refining; pottery</x:v>
      </x:c>
      <x:c r="AE191" s="4" t="str">
        <x:v>Specific item proposed from author ceramics direction; functional and material limits remain unresolved.</x:v>
      </x:c>
    </x:row>
    <x:row r="192" ht="105" customHeight="1">
      <x:c r="A192" s="9" t="str">
        <x:v>proposal.ceramic.mortar</x:v>
      </x:c>
      <x:c r="B192" s="9" t="str">
        <x:v>Ceramic grinding mortar</x:v>
      </x:c>
      <x:c r="C192" s="9" t="str">
        <x:v>Equipment</x:v>
      </x:c>
      <x:c r="D192" s="9" t="str">
        <x:v>Ceramic workshop</x:v>
      </x:c>
      <x:c r="E192" s="9" t="str">
        <x:v>New proposal</x:v>
      </x:c>
      <x:c r="F192" s="9" t="str">
        <x:v>Bowl-shaped workshop tool for controlled grinding of selected feed.</x:v>
      </x:c>
      <x:c r="G192" s="9" t="str">
        <x:v>Unassigned; no new slot approved</x:v>
      </x:c>
      <x:c r="H192" s="9" t="str">
        <x:v>Carrier / placement policy TBD</x:v>
      </x:c>
      <x:c r="I192" s="13"/>
      <x:c r="J192" s="15"/>
      <x:c r="K192" s="9" t="str">
        <x:v>Specialist ceramic craft or trade; exact production route TBD</x:v>
      </x:c>
      <x:c r="L192" s="9" t="str">
        <x:v>Build on existing claystone, alumina, mineral feeds and insulating blanks where appropriate. No recipe authored.</x:v>
      </x:c>
      <x:c r="M192" s="9" t="str">
        <x:v>Not implemented</x:v>
      </x:c>
      <x:c r="N192" s="9" t="str">
        <x:v>Grinding suitability and contamination matter; not interchangeable with an eating bowl.</x:v>
      </x:c>
      <x:c r="O192" s="17"/>
      <x:c r="P192" s="17"/>
      <x:c r="Q192" s="17"/>
      <x:c r="R192" s="17"/>
      <x:c r="S192" s="17"/>
      <x:c r="T192" s="9" t="str">
        <x:v>Ceramics requested as a broad item family. Specific objects, grades, sourcing, yield and value remain proposals.</x:v>
      </x:c>
      <x:c r="U192" s="11" t="str">
        <x:v>glass and ceramics; pottery</x:v>
      </x:c>
      <x:c r="V192" s="9" t="str">
        <x:v>Author ceramics direction October 14, 2026; local game item proposal. Existing mineral/ceramic entries reused where applicable.</x:v>
      </x:c>
      <x:c r="W192" s="4" t="str">
        <x:v>Tool</x:v>
      </x:c>
      <x:c r="X192" s="4" t="str">
        <x:v>Finished item</x:v>
      </x:c>
      <x:c r="Y192" s="4" t="str">
        <x:v>Manufactured / unresolved</x:v>
      </x:c>
      <x:c r="Z192" s="4" t="str">
        <x:v>Chemical processing</x:v>
      </x:c>
      <x:c r="AA192" s="4" t="str">
        <x:v>Ceramic</x:v>
      </x:c>
      <x:c r="AB192" s="4" t="str">
        <x:v>Solid part</x:v>
      </x:c>
      <x:c r="AC192" s="4" t="str">
        <x:v>Proposal</x:v>
      </x:c>
      <x:c r="AD192" s="4" t="str">
        <x:f>LOWER(A192&amp;"; "&amp;B192&amp;"; "&amp;C192&amp;"; "&amp;D192&amp;"; "&amp;W192&amp;"; "&amp;X192&amp;"; "&amp;Y192&amp;"; "&amp;Z192&amp;"; "&amp;AA192&amp;"; "&amp;AB192&amp;"; "&amp;AC192&amp;"; "&amp;U192)</x:f>
        <x:v>proposal.ceramic.mortar; ceramic grinding mortar; equipment; ceramic workshop; tool; finished item; manufactured / unresolved; chemical processing; ceramic; solid part; proposal; glass and ceramics; pottery</x:v>
      </x:c>
      <x:c r="AE192" s="4" t="str">
        <x:v>Specific item proposed from author ceramics direction; functional and material limits remain unresolved.</x:v>
      </x:c>
    </x:row>
    <x:row r="193" ht="105" customHeight="1">
      <x:c r="A193" s="9" t="str">
        <x:v>proposal.ceramic.pestle</x:v>
      </x:c>
      <x:c r="B193" s="9" t="str">
        <x:v>Ceramic pestle</x:v>
      </x:c>
      <x:c r="C193" s="9" t="str">
        <x:v>Equipment</x:v>
      </x:c>
      <x:c r="D193" s="9" t="str">
        <x:v>Ceramic workshop</x:v>
      </x:c>
      <x:c r="E193" s="9" t="str">
        <x:v>New proposal</x:v>
      </x:c>
      <x:c r="F193" s="9" t="str">
        <x:v>Grinding tool used with a compatible mortar.</x:v>
      </x:c>
      <x:c r="G193" s="9" t="str">
        <x:v>Unassigned; no new slot approved</x:v>
      </x:c>
      <x:c r="H193" s="9" t="str">
        <x:v>Carrier / placement policy TBD</x:v>
      </x:c>
      <x:c r="I193" s="13"/>
      <x:c r="J193" s="15"/>
      <x:c r="K193" s="9" t="str">
        <x:v>Specialist ceramic craft or trade; exact production route TBD</x:v>
      </x:c>
      <x:c r="L193" s="9" t="str">
        <x:v>Build on existing claystone, alumina, mineral feeds and insulating blanks where appropriate. No recipe authored.</x:v>
      </x:c>
      <x:c r="M193" s="9" t="str">
        <x:v>Not implemented</x:v>
      </x:c>
      <x:c r="N193" s="9" t="str">
        <x:v>Companion mortar remains separately owned; no automatic processing recipe.</x:v>
      </x:c>
      <x:c r="O193" s="17"/>
      <x:c r="P193" s="17"/>
      <x:c r="Q193" s="17"/>
      <x:c r="R193" s="17"/>
      <x:c r="S193" s="17"/>
      <x:c r="T193" s="9" t="str">
        <x:v>Ceramics requested as a broad item family. Specific objects, grades, sourcing, yield and value remain proposals.</x:v>
      </x:c>
      <x:c r="U193" s="11" t="str">
        <x:v>glass and ceramics; pottery</x:v>
      </x:c>
      <x:c r="V193" s="9" t="str">
        <x:v>Author ceramics direction October 14, 2026; local game item proposal. Existing mineral/ceramic entries reused where applicable.</x:v>
      </x:c>
      <x:c r="W193" s="4" t="str">
        <x:v>Tool</x:v>
      </x:c>
      <x:c r="X193" s="4" t="str">
        <x:v>Finished item</x:v>
      </x:c>
      <x:c r="Y193" s="4" t="str">
        <x:v>Manufactured / unresolved</x:v>
      </x:c>
      <x:c r="Z193" s="4" t="str">
        <x:v>Chemical processing</x:v>
      </x:c>
      <x:c r="AA193" s="4" t="str">
        <x:v>Ceramic</x:v>
      </x:c>
      <x:c r="AB193" s="4" t="str">
        <x:v>Solid part</x:v>
      </x:c>
      <x:c r="AC193" s="4" t="str">
        <x:v>Proposal</x:v>
      </x:c>
      <x:c r="AD193" s="4" t="str">
        <x:f>LOWER(A193&amp;"; "&amp;B193&amp;"; "&amp;C193&amp;"; "&amp;D193&amp;"; "&amp;W193&amp;"; "&amp;X193&amp;"; "&amp;Y193&amp;"; "&amp;Z193&amp;"; "&amp;AA193&amp;"; "&amp;AB193&amp;"; "&amp;AC193&amp;"; "&amp;U193)</x:f>
        <x:v>proposal.ceramic.pestle; ceramic pestle; equipment; ceramic workshop; tool; finished item; manufactured / unresolved; chemical processing; ceramic; solid part; proposal; glass and ceramics; pottery</x:v>
      </x:c>
      <x:c r="AE193" s="4" t="str">
        <x:v>Specific item proposed from author ceramics direction; functional and material limits remain unresolved.</x:v>
      </x:c>
    </x:row>
    <x:row r="194" ht="105" customHeight="1">
      <x:c r="A194" s="9" t="str">
        <x:v>proposal.ceramic.firing_tray</x:v>
      </x:c>
      <x:c r="B194" s="9" t="str">
        <x:v>Ceramic firing tray</x:v>
      </x:c>
      <x:c r="C194" s="9" t="str">
        <x:v>Equipment</x:v>
      </x:c>
      <x:c r="D194" s="9" t="str">
        <x:v>Ceramic workshop</x:v>
      </x:c>
      <x:c r="E194" s="9" t="str">
        <x:v>New proposal</x:v>
      </x:c>
      <x:c r="F194" s="9" t="str">
        <x:v>Support selected small parts in a proposed firing setup.</x:v>
      </x:c>
      <x:c r="G194" s="9" t="str">
        <x:v>Unassigned; no new slot approved</x:v>
      </x:c>
      <x:c r="H194" s="9" t="str">
        <x:v>Carrier / placement policy TBD</x:v>
      </x:c>
      <x:c r="I194" s="13"/>
      <x:c r="J194" s="15"/>
      <x:c r="K194" s="9" t="str">
        <x:v>Specialist ceramic craft or trade; exact production route TBD</x:v>
      </x:c>
      <x:c r="L194" s="9" t="str">
        <x:v>Build on existing claystone, alumina, mineral feeds and insulating blanks where appropriate. No recipe authored.</x:v>
      </x:c>
      <x:c r="M194" s="9" t="str">
        <x:v>Not implemented</x:v>
      </x:c>
      <x:c r="N194" s="9" t="str">
        <x:v>Suitable ceramic grade, kiln system and firing behavior are undefined.</x:v>
      </x:c>
      <x:c r="O194" s="17"/>
      <x:c r="P194" s="17"/>
      <x:c r="Q194" s="17"/>
      <x:c r="R194" s="17"/>
      <x:c r="S194" s="17"/>
      <x:c r="T194" s="9" t="str">
        <x:v>Ceramics requested as a broad item family. Specific objects, grades, sourcing, yield and value remain proposals.</x:v>
      </x:c>
      <x:c r="U194" s="11" t="str">
        <x:v>pottery</x:v>
      </x:c>
      <x:c r="V194" s="9" t="str">
        <x:v>Author ceramics direction October 14, 2026; local game item proposal. Existing mineral/ceramic entries reused where applicable.</x:v>
      </x:c>
      <x:c r="W194" s="4" t="str">
        <x:v>Tool</x:v>
      </x:c>
      <x:c r="X194" s="4" t="str">
        <x:v>Finished item</x:v>
      </x:c>
      <x:c r="Y194" s="4" t="str">
        <x:v>Manufactured / unresolved</x:v>
      </x:c>
      <x:c r="Z194" s="4" t="str">
        <x:v>Glass and ceramics</x:v>
      </x:c>
      <x:c r="AA194" s="4" t="str">
        <x:v>Ceramic</x:v>
      </x:c>
      <x:c r="AB194" s="4" t="str">
        <x:v>Panel</x:v>
      </x:c>
      <x:c r="AC194" s="4" t="str">
        <x:v>Proposal</x:v>
      </x:c>
      <x:c r="AD194" s="4" t="str">
        <x:f>LOWER(A194&amp;"; "&amp;B194&amp;"; "&amp;C194&amp;"; "&amp;D194&amp;"; "&amp;W194&amp;"; "&amp;X194&amp;"; "&amp;Y194&amp;"; "&amp;Z194&amp;"; "&amp;AA194&amp;"; "&amp;AB194&amp;"; "&amp;AC194&amp;"; "&amp;U194)</x:f>
        <x:v>proposal.ceramic.firing_tray; ceramic firing tray; equipment; ceramic workshop; tool; finished item; manufactured / unresolved; glass and ceramics; ceramic; panel; proposal; pottery</x:v>
      </x:c>
      <x:c r="AE194" s="4" t="str">
        <x:v>Specific item proposed from author ceramics direction; functional and material limits remain unresolved.</x:v>
      </x:c>
    </x:row>
    <x:row r="195" ht="105" customHeight="1">
      <x:c r="A195" s="9" t="str">
        <x:v>proposal.ceramic.refractory_brick</x:v>
      </x:c>
      <x:c r="B195" s="9" t="str">
        <x:v>Refractory ceramic brick</x:v>
      </x:c>
      <x:c r="C195" s="9" t="str">
        <x:v>Crafting components</x:v>
      </x:c>
      <x:c r="D195" s="9" t="str">
        <x:v>Ceramic thermal component</x:v>
      </x:c>
      <x:c r="E195" s="9" t="str">
        <x:v>New proposal</x:v>
      </x:c>
      <x:c r="F195" s="9" t="str">
        <x:v>Specialist lining brick for a compatible furnace or kiln.</x:v>
      </x:c>
      <x:c r="G195" s="9" t="str">
        <x:v>Unassigned; no new slot approved</x:v>
      </x:c>
      <x:c r="H195" s="9" t="str">
        <x:v>Carrier / placement policy TBD</x:v>
      </x:c>
      <x:c r="I195" s="13"/>
      <x:c r="J195" s="15"/>
      <x:c r="K195" s="9" t="str">
        <x:v>Specialist ceramic craft or trade; exact production route TBD</x:v>
      </x:c>
      <x:c r="L195" s="9" t="str">
        <x:v>Build on existing claystone, alumina, mineral feeds and insulating blanks where appropriate. No recipe authored.</x:v>
      </x:c>
      <x:c r="M195" s="9" t="str">
        <x:v>Not implemented</x:v>
      </x:c>
      <x:c r="N195" s="9" t="str">
        <x:v>Heat-service composition and installation unresolved; no universal fire immunity.</x:v>
      </x:c>
      <x:c r="O195" s="17"/>
      <x:c r="P195" s="17"/>
      <x:c r="Q195" s="17"/>
      <x:c r="R195" s="17"/>
      <x:c r="S195" s="17"/>
      <x:c r="T195" s="9" t="str">
        <x:v>Ceramics requested as a broad item family. Specific objects, grades, sourcing, yield and value remain proposals.</x:v>
      </x:c>
      <x:c r="U195" s="11" t="str">
        <x:v>glass and ceramics; metal refining; pottery</x:v>
      </x:c>
      <x:c r="V195" s="9" t="str">
        <x:v>Author ceramics direction October 14, 2026; local game item proposal. Existing mineral/ceramic entries reused where applicable.</x:v>
      </x:c>
      <x:c r="W195" s="4" t="str">
        <x:v>Crafting component</x:v>
      </x:c>
      <x:c r="X195" s="4" t="str">
        <x:v>Processed intermediate</x:v>
      </x:c>
      <x:c r="Y195" s="4" t="str">
        <x:v>Manufactured / unresolved</x:v>
      </x:c>
      <x:c r="Z195" s="4" t="str">
        <x:v>Protective fabrication</x:v>
      </x:c>
      <x:c r="AA195" s="4" t="str">
        <x:v>Ceramic</x:v>
      </x:c>
      <x:c r="AB195" s="4" t="str">
        <x:v>Solid part</x:v>
      </x:c>
      <x:c r="AC195" s="4" t="str">
        <x:v>Proposal</x:v>
      </x:c>
      <x:c r="AD195" s="4" t="str">
        <x:f>LOWER(A195&amp;"; "&amp;B195&amp;"; "&amp;C195&amp;"; "&amp;D195&amp;"; "&amp;W195&amp;"; "&amp;X195&amp;"; "&amp;Y195&amp;"; "&amp;Z195&amp;"; "&amp;AA195&amp;"; "&amp;AB195&amp;"; "&amp;AC195&amp;"; "&amp;U195)</x:f>
        <x:v>proposal.ceramic.refractory_brick; refractory ceramic brick; crafting components; ceramic thermal component; crafting component; processed intermediate; manufactured / unresolved; protective fabrication; ceramic; solid part; proposal; glass and ceramics; metal refining; pottery</x:v>
      </x:c>
      <x:c r="AE195" s="4" t="str">
        <x:v>Specific item proposed from author ceramics direction; functional and material limits remain unresolved.</x:v>
      </x:c>
    </x:row>
    <x:row r="196" ht="105" customHeight="1">
      <x:c r="A196" s="9" t="str">
        <x:v>proposal.ceramic.kiln_liner</x:v>
      </x:c>
      <x:c r="B196" s="9" t="str">
        <x:v>Ceramic kiln lining panel</x:v>
      </x:c>
      <x:c r="C196" s="9" t="str">
        <x:v>Crafting components</x:v>
      </x:c>
      <x:c r="D196" s="9" t="str">
        <x:v>Ceramic thermal component</x:v>
      </x:c>
      <x:c r="E196" s="9" t="str">
        <x:v>New proposal</x:v>
      </x:c>
      <x:c r="F196" s="9" t="str">
        <x:v>Replaceable shaped hot-face panel for a proposed stationary kiln.</x:v>
      </x:c>
      <x:c r="G196" s="9" t="str">
        <x:v>Unassigned; no new slot approved</x:v>
      </x:c>
      <x:c r="H196" s="9" t="str">
        <x:v>Carrier / placement policy TBD</x:v>
      </x:c>
      <x:c r="I196" s="13"/>
      <x:c r="J196" s="15"/>
      <x:c r="K196" s="9" t="str">
        <x:v>Specialist ceramic craft or trade; exact production route TBD</x:v>
      </x:c>
      <x:c r="L196" s="9" t="str">
        <x:v>Build on existing claystone, alumina, mineral feeds and insulating blanks where appropriate. No recipe authored.</x:v>
      </x:c>
      <x:c r="M196" s="9" t="str">
        <x:v>Not implemented</x:v>
      </x:c>
      <x:c r="N196" s="9" t="str">
        <x:v>Panel differs from brick geometry; kiln implementation and thermal properties TBD.</x:v>
      </x:c>
      <x:c r="O196" s="17"/>
      <x:c r="P196" s="17"/>
      <x:c r="Q196" s="17"/>
      <x:c r="R196" s="17"/>
      <x:c r="S196" s="17"/>
      <x:c r="T196" s="9" t="str">
        <x:v>Ceramics requested as a broad item family. Specific objects, grades, sourcing, yield and value remain proposals.</x:v>
      </x:c>
      <x:c r="U196" s="11" t="str">
        <x:v>glass and ceramics; pottery</x:v>
      </x:c>
      <x:c r="V196" s="9" t="str">
        <x:v>Author ceramics direction October 14, 2026; local game item proposal. Existing mineral/ceramic entries reused where applicable.</x:v>
      </x:c>
      <x:c r="W196" s="4" t="str">
        <x:v>Crafting component</x:v>
      </x:c>
      <x:c r="X196" s="4" t="str">
        <x:v>Processed intermediate</x:v>
      </x:c>
      <x:c r="Y196" s="4" t="str">
        <x:v>Manufactured / unresolved</x:v>
      </x:c>
      <x:c r="Z196" s="4" t="str">
        <x:v>Protective fabrication</x:v>
      </x:c>
      <x:c r="AA196" s="4" t="str">
        <x:v>Ceramic</x:v>
      </x:c>
      <x:c r="AB196" s="4" t="str">
        <x:v>Panel</x:v>
      </x:c>
      <x:c r="AC196" s="4" t="str">
        <x:v>Proposal</x:v>
      </x:c>
      <x:c r="AD196" s="4" t="str">
        <x:f>LOWER(A196&amp;"; "&amp;B196&amp;"; "&amp;C196&amp;"; "&amp;D196&amp;"; "&amp;W196&amp;"; "&amp;X196&amp;"; "&amp;Y196&amp;"; "&amp;Z196&amp;"; "&amp;AA196&amp;"; "&amp;AB196&amp;"; "&amp;AC196&amp;"; "&amp;U196)</x:f>
        <x:v>proposal.ceramic.kiln_liner; ceramic kiln lining panel; crafting components; ceramic thermal component; crafting component; processed intermediate; manufactured / unresolved; protective fabrication; ceramic; panel; proposal; glass and ceramics; pottery</x:v>
      </x:c>
      <x:c r="AE196" s="4" t="str">
        <x:v>Specific item proposed from author ceramics direction; functional and material limits remain unresolved.</x:v>
      </x:c>
    </x:row>
    <x:row r="197" ht="105" customHeight="1">
      <x:c r="A197" s="9" t="str">
        <x:v>proposal.ceramic.bead</x:v>
      </x:c>
      <x:c r="B197" s="9" t="str">
        <x:v>Ceramic insulating bead</x:v>
      </x:c>
      <x:c r="C197" s="9" t="str">
        <x:v>Crafting components</x:v>
      </x:c>
      <x:c r="D197" s="9" t="str">
        <x:v>Ceramic electrical component</x:v>
      </x:c>
      <x:c r="E197" s="9" t="str">
        <x:v>New proposal</x:v>
      </x:c>
      <x:c r="F197" s="9" t="str">
        <x:v>Small fitted bead candidate for separating selected conductor sections.</x:v>
      </x:c>
      <x:c r="G197" s="9" t="str">
        <x:v>Unassigned; no new slot approved</x:v>
      </x:c>
      <x:c r="H197" s="9" t="str">
        <x:v>Carrier / placement policy TBD</x:v>
      </x:c>
      <x:c r="I197" s="13"/>
      <x:c r="J197" s="15"/>
      <x:c r="K197" s="9" t="str">
        <x:v>Specialist ceramic craft or trade; exact production route TBD</x:v>
      </x:c>
      <x:c r="L197" s="9" t="str">
        <x:v>Build on existing claystone, alumina, mineral feeds and insulating blanks where appropriate. No recipe authored.</x:v>
      </x:c>
      <x:c r="M197" s="9" t="str">
        <x:v>Not implemented</x:v>
      </x:c>
      <x:c r="N197" s="9" t="str">
        <x:v>Voltage, contamination, geometry and mounting unresolved; no lightning immunity.</x:v>
      </x:c>
      <x:c r="O197" s="17"/>
      <x:c r="P197" s="17"/>
      <x:c r="Q197" s="17"/>
      <x:c r="R197" s="17"/>
      <x:c r="S197" s="17"/>
      <x:c r="T197" s="9" t="str">
        <x:v>Ceramics requested as a broad item family. Specific objects, grades, sourcing, yield and value remain proposals.</x:v>
      </x:c>
      <x:c r="U197" s="11" t="str">
        <x:v>electrical work; pottery</x:v>
      </x:c>
      <x:c r="V197" s="9" t="str">
        <x:v>Author ceramics direction October 14, 2026; local game item proposal. Existing mineral/ceramic entries reused where applicable.</x:v>
      </x:c>
      <x:c r="W197" s="4" t="str">
        <x:v>Crafting component</x:v>
      </x:c>
      <x:c r="X197" s="4" t="str">
        <x:v>Processed intermediate</x:v>
      </x:c>
      <x:c r="Y197" s="4" t="str">
        <x:v>Manufactured / unresolved</x:v>
      </x:c>
      <x:c r="Z197" s="4" t="str">
        <x:v>Electrical insulation</x:v>
      </x:c>
      <x:c r="AA197" s="4" t="str">
        <x:v>Ceramic</x:v>
      </x:c>
      <x:c r="AB197" s="4" t="str">
        <x:v>Solid part</x:v>
      </x:c>
      <x:c r="AC197" s="4" t="str">
        <x:v>Proposal</x:v>
      </x:c>
      <x:c r="AD197" s="4" t="str">
        <x:f>LOWER(A197&amp;"; "&amp;B197&amp;"; "&amp;C197&amp;"; "&amp;D197&amp;"; "&amp;W197&amp;"; "&amp;X197&amp;"; "&amp;Y197&amp;"; "&amp;Z197&amp;"; "&amp;AA197&amp;"; "&amp;AB197&amp;"; "&amp;AC197&amp;"; "&amp;U197)</x:f>
        <x:v>proposal.ceramic.bead; ceramic insulating bead; crafting components; ceramic electrical component; crafting component; processed intermediate; manufactured / unresolved; electrical insulation; ceramic; solid part; proposal; electrical work; pottery</x:v>
      </x:c>
      <x:c r="AE197" s="4" t="str">
        <x:v>Specific item proposed from author ceramics direction; functional and material limits remain unresolved.</x:v>
      </x:c>
    </x:row>
    <x:row r="198" ht="105" customHeight="1">
      <x:c r="A198" s="9" t="str">
        <x:v>proposal.ceramic.spacer</x:v>
      </x:c>
      <x:c r="B198" s="9" t="str">
        <x:v>Ceramic insulating spacer</x:v>
      </x:c>
      <x:c r="C198" s="9" t="str">
        <x:v>Crafting components</x:v>
      </x:c>
      <x:c r="D198" s="9" t="str">
        <x:v>Ceramic electrical component</x:v>
      </x:c>
      <x:c r="E198" s="9" t="str">
        <x:v>New proposal</x:v>
      </x:c>
      <x:c r="F198" s="9" t="str">
        <x:v>Hard standoff separating compatible conductive parts.</x:v>
      </x:c>
      <x:c r="G198" s="9" t="str">
        <x:v>Unassigned; no new slot approved</x:v>
      </x:c>
      <x:c r="H198" s="9" t="str">
        <x:v>Carrier / placement policy TBD</x:v>
      </x:c>
      <x:c r="I198" s="13"/>
      <x:c r="J198" s="15"/>
      <x:c r="K198" s="9" t="str">
        <x:v>Specialist ceramic craft or trade; exact production route TBD</x:v>
      </x:c>
      <x:c r="L198" s="9" t="str">
        <x:v>Build on existing claystone, alumina, mineral feeds and insulating blanks where appropriate. No recipe authored.</x:v>
      </x:c>
      <x:c r="M198" s="9" t="str">
        <x:v>Not implemented</x:v>
      </x:c>
      <x:c r="N198" s="9" t="str">
        <x:v>Shape-specific part within existing insulating-blank family; no universal substitution.</x:v>
      </x:c>
      <x:c r="O198" s="17"/>
      <x:c r="P198" s="17"/>
      <x:c r="Q198" s="17"/>
      <x:c r="R198" s="17"/>
      <x:c r="S198" s="17"/>
      <x:c r="T198" s="9" t="str">
        <x:v>Ceramics requested as a broad item family. Specific objects, grades, sourcing, yield and value remain proposals.</x:v>
      </x:c>
      <x:c r="U198" s="11" t="str">
        <x:v>electrical work; pottery</x:v>
      </x:c>
      <x:c r="V198" s="9" t="str">
        <x:v>Author ceramics direction October 14, 2026; local game item proposal. Existing mineral/ceramic entries reused where applicable.</x:v>
      </x:c>
      <x:c r="W198" s="4" t="str">
        <x:v>Crafting component</x:v>
      </x:c>
      <x:c r="X198" s="4" t="str">
        <x:v>Processed intermediate</x:v>
      </x:c>
      <x:c r="Y198" s="4" t="str">
        <x:v>Manufactured / unresolved</x:v>
      </x:c>
      <x:c r="Z198" s="4" t="str">
        <x:v>Electrical insulation</x:v>
      </x:c>
      <x:c r="AA198" s="4" t="str">
        <x:v>Ceramic</x:v>
      </x:c>
      <x:c r="AB198" s="4" t="str">
        <x:v>Solid part</x:v>
      </x:c>
      <x:c r="AC198" s="4" t="str">
        <x:v>Proposal</x:v>
      </x:c>
      <x:c r="AD198" s="4" t="str">
        <x:f>LOWER(A198&amp;"; "&amp;B198&amp;"; "&amp;C198&amp;"; "&amp;D198&amp;"; "&amp;W198&amp;"; "&amp;X198&amp;"; "&amp;Y198&amp;"; "&amp;Z198&amp;"; "&amp;AA198&amp;"; "&amp;AB198&amp;"; "&amp;AC198&amp;"; "&amp;U198)</x:f>
        <x:v>proposal.ceramic.spacer; ceramic insulating spacer; crafting components; ceramic electrical component; crafting component; processed intermediate; manufactured / unresolved; electrical insulation; ceramic; solid part; proposal; electrical work; pottery</x:v>
      </x:c>
      <x:c r="AE198" s="4" t="str">
        <x:v>Specific item proposed from author ceramics direction; functional and material limits remain unresolved.</x:v>
      </x:c>
    </x:row>
    <x:row r="199" ht="105" customHeight="1">
      <x:c r="A199" s="9" t="str">
        <x:v>proposal.ceramic.feedthrough</x:v>
      </x:c>
      <x:c r="B199" s="9" t="str">
        <x:v>Ceramic electrical feedthrough</x:v>
      </x:c>
      <x:c r="C199" s="9" t="str">
        <x:v>Crafting components</x:v>
      </x:c>
      <x:c r="D199" s="9" t="str">
        <x:v>Ceramic electrical component</x:v>
      </x:c>
      <x:c r="E199" s="9" t="str">
        <x:v>New proposal</x:v>
      </x:c>
      <x:c r="F199" s="9" t="str">
        <x:v>Fitted ceramic/conductor assembly routing an electrical connection through a housing.</x:v>
      </x:c>
      <x:c r="G199" s="9" t="str">
        <x:v>Unassigned; no new slot approved</x:v>
      </x:c>
      <x:c r="H199" s="9" t="str">
        <x:v>Carrier / placement policy TBD</x:v>
      </x:c>
      <x:c r="I199" s="13"/>
      <x:c r="J199" s="15"/>
      <x:c r="K199" s="9" t="str">
        <x:v>Specialist ceramic craft or trade; exact production route TBD</x:v>
      </x:c>
      <x:c r="L199" s="9" t="str">
        <x:v>Build on existing claystone, alumina, mineral feeds and insulating blanks where appropriate. No recipe authored.</x:v>
      </x:c>
      <x:c r="M199" s="9" t="str">
        <x:v>Not implemented</x:v>
      </x:c>
      <x:c r="N199" s="9" t="str">
        <x:v>Material, seals, voltage and intended service unresolved.</x:v>
      </x:c>
      <x:c r="O199" s="17"/>
      <x:c r="P199" s="17"/>
      <x:c r="Q199" s="17"/>
      <x:c r="R199" s="17"/>
      <x:c r="S199" s="17"/>
      <x:c r="T199" s="9" t="str">
        <x:v>Ceramics requested as a broad item family. Specific objects, grades, sourcing, yield and value remain proposals.</x:v>
      </x:c>
      <x:c r="U199" s="11" t="str">
        <x:v>electrical conduction; ceramic; pottery</x:v>
      </x:c>
      <x:c r="V199" s="9" t="str">
        <x:v>Author ceramics direction October 14, 2026; local game item proposal. Existing mineral/ceramic entries reused where applicable.</x:v>
      </x:c>
      <x:c r="W199" s="4" t="str">
        <x:v>Crafting component</x:v>
      </x:c>
      <x:c r="X199" s="4" t="str">
        <x:v>Processed intermediate</x:v>
      </x:c>
      <x:c r="Y199" s="4" t="str">
        <x:v>Manufactured / unresolved</x:v>
      </x:c>
      <x:c r="Z199" s="4" t="str">
        <x:v>Electrical insulation</x:v>
      </x:c>
      <x:c r="AA199" s="4" t="str">
        <x:v>Ceramic and metal</x:v>
      </x:c>
      <x:c r="AB199" s="4" t="str">
        <x:v>Assembly</x:v>
      </x:c>
      <x:c r="AC199" s="4" t="str">
        <x:v>Proposal</x:v>
      </x:c>
      <x:c r="AD199" s="4" t="str">
        <x:f>LOWER(A199&amp;"; "&amp;B199&amp;"; "&amp;C199&amp;"; "&amp;D199&amp;"; "&amp;W199&amp;"; "&amp;X199&amp;"; "&amp;Y199&amp;"; "&amp;Z199&amp;"; "&amp;AA199&amp;"; "&amp;AB199&amp;"; "&amp;AC199&amp;"; "&amp;U199)</x:f>
        <x:v>proposal.ceramic.feedthrough; ceramic electrical feedthrough; crafting components; ceramic electrical component; crafting component; processed intermediate; manufactured / unresolved; electrical insulation; ceramic and metal; assembly; proposal; electrical conduction; ceramic; pottery</x:v>
      </x:c>
      <x:c r="AE199" s="4" t="str">
        <x:v>Specific item proposed from author ceramics direction; functional and material limits remain unresolved.</x:v>
      </x:c>
    </x:row>
    <x:row r="200" ht="105" customHeight="1">
      <x:c r="A200" s="9" t="str">
        <x:v>proposal.ceramic.stopper</x:v>
      </x:c>
      <x:c r="B200" s="9" t="str">
        <x:v>Fitted ceramic stopper</x:v>
      </x:c>
      <x:c r="C200" s="9" t="str">
        <x:v>Crafting components</x:v>
      </x:c>
      <x:c r="D200" s="9" t="str">
        <x:v>Ceramic vessel fitting</x:v>
      </x:c>
      <x:c r="E200" s="9" t="str">
        <x:v>New proposal</x:v>
      </x:c>
      <x:c r="F200" s="9" t="str">
        <x:v>Hard closure shaped for its matching vessel.</x:v>
      </x:c>
      <x:c r="G200" s="9" t="str">
        <x:v>Unassigned; no new slot approved</x:v>
      </x:c>
      <x:c r="H200" s="9" t="str">
        <x:v>Carrier / placement policy TBD</x:v>
      </x:c>
      <x:c r="I200" s="13"/>
      <x:c r="J200" s="15"/>
      <x:c r="K200" s="9" t="str">
        <x:v>Specialist ceramic craft or trade; exact production route TBD</x:v>
      </x:c>
      <x:c r="L200" s="9" t="str">
        <x:v>Build on existing claystone, alumina, mineral feeds and insulating blanks where appropriate. No recipe authored.</x:v>
      </x:c>
      <x:c r="M200" s="9" t="str">
        <x:v>Not implemented</x:v>
      </x:c>
      <x:c r="N200" s="9" t="str">
        <x:v>Not automatically leak-tight; compatible seat and sealing material may be required.</x:v>
      </x:c>
      <x:c r="O200" s="17"/>
      <x:c r="P200" s="17"/>
      <x:c r="Q200" s="17"/>
      <x:c r="R200" s="17"/>
      <x:c r="S200" s="17"/>
      <x:c r="T200" s="9" t="str">
        <x:v>Ceramics requested as a broad item family. Specific objects, grades, sourcing, yield and value remain proposals.</x:v>
      </x:c>
      <x:c r="U200" s="11" t="str">
        <x:v>pottery</x:v>
      </x:c>
      <x:c r="V200" s="9" t="str">
        <x:v>Author ceramics direction October 14, 2026; local game item proposal. Existing mineral/ceramic entries reused where applicable.</x:v>
      </x:c>
      <x:c r="W200" s="4" t="str">
        <x:v>Container part</x:v>
      </x:c>
      <x:c r="X200" s="4" t="str">
        <x:v>Processed intermediate</x:v>
      </x:c>
      <x:c r="Y200" s="4" t="str">
        <x:v>Manufactured / unresolved</x:v>
      </x:c>
      <x:c r="Z200" s="4" t="str">
        <x:v>Sealing</x:v>
      </x:c>
      <x:c r="AA200" s="4" t="str">
        <x:v>Ceramic</x:v>
      </x:c>
      <x:c r="AB200" s="4" t="str">
        <x:v>Solid part</x:v>
      </x:c>
      <x:c r="AC200" s="4" t="str">
        <x:v>Proposal</x:v>
      </x:c>
      <x:c r="AD200" s="4" t="str">
        <x:f>LOWER(A200&amp;"; "&amp;B200&amp;"; "&amp;C200&amp;"; "&amp;D200&amp;"; "&amp;W200&amp;"; "&amp;X200&amp;"; "&amp;Y200&amp;"; "&amp;Z200&amp;"; "&amp;AA200&amp;"; "&amp;AB200&amp;"; "&amp;AC200&amp;"; "&amp;U200)</x:f>
        <x:v>proposal.ceramic.stopper; fitted ceramic stopper; crafting components; ceramic vessel fitting; container part; processed intermediate; manufactured / unresolved; sealing; ceramic; solid part; proposal; pottery</x:v>
      </x:c>
      <x:c r="AE200" s="4" t="str">
        <x:v>Specific item proposed from author ceramics direction; functional and material limits remain unresolved.</x:v>
      </x:c>
    </x:row>
    <x:row r="201" ht="105" customHeight="1">
      <x:c r="A201" s="9" t="str">
        <x:v>proposal.ceramic.lid</x:v>
      </x:c>
      <x:c r="B201" s="9" t="str">
        <x:v>Ceramic vessel lid</x:v>
      </x:c>
      <x:c r="C201" s="9" t="str">
        <x:v>Crafting components</x:v>
      </x:c>
      <x:c r="D201" s="9" t="str">
        <x:v>Ceramic vessel fitting</x:v>
      </x:c>
      <x:c r="E201" s="9" t="str">
        <x:v>New proposal</x:v>
      </x:c>
      <x:c r="F201" s="9" t="str">
        <x:v>Removable cover matched to an open-topped ceramic vessel.</x:v>
      </x:c>
      <x:c r="G201" s="9" t="str">
        <x:v>Unassigned; no new slot approved</x:v>
      </x:c>
      <x:c r="H201" s="9" t="str">
        <x:v>Carrier / placement policy TBD</x:v>
      </x:c>
      <x:c r="I201" s="13"/>
      <x:c r="J201" s="15"/>
      <x:c r="K201" s="9" t="str">
        <x:v>Specialist ceramic craft or trade; exact production route TBD</x:v>
      </x:c>
      <x:c r="L201" s="9" t="str">
        <x:v>Build on existing claystone, alumina, mineral feeds and insulating blanks where appropriate. No recipe authored.</x:v>
      </x:c>
      <x:c r="M201" s="9" t="str">
        <x:v>Not implemented</x:v>
      </x:c>
      <x:c r="N201" s="9" t="str">
        <x:v>A cover is distinct from a pressure seal or a matched neck stopper.</x:v>
      </x:c>
      <x:c r="O201" s="17"/>
      <x:c r="P201" s="17"/>
      <x:c r="Q201" s="17"/>
      <x:c r="R201" s="17"/>
      <x:c r="S201" s="17"/>
      <x:c r="T201" s="9" t="str">
        <x:v>Ceramics requested as a broad item family. Specific objects, grades, sourcing, yield and value remain proposals.</x:v>
      </x:c>
      <x:c r="U201" s="11" t="str">
        <x:v>dust exclusion; pottery</x:v>
      </x:c>
      <x:c r="V201" s="9" t="str">
        <x:v>Author ceramics direction October 14, 2026; local game item proposal. Existing mineral/ceramic entries reused where applicable.</x:v>
      </x:c>
      <x:c r="W201" s="4" t="str">
        <x:v>Container part</x:v>
      </x:c>
      <x:c r="X201" s="4" t="str">
        <x:v>Processed intermediate</x:v>
      </x:c>
      <x:c r="Y201" s="4" t="str">
        <x:v>Manufactured / unresolved</x:v>
      </x:c>
      <x:c r="Z201" s="4" t="str">
        <x:v>Liquid and bulk containment</x:v>
      </x:c>
      <x:c r="AA201" s="4" t="str">
        <x:v>Ceramic</x:v>
      </x:c>
      <x:c r="AB201" s="4" t="str">
        <x:v>Solid part</x:v>
      </x:c>
      <x:c r="AC201" s="4" t="str">
        <x:v>Proposal</x:v>
      </x:c>
      <x:c r="AD201" s="4" t="str">
        <x:f>LOWER(A201&amp;"; "&amp;B201&amp;"; "&amp;C201&amp;"; "&amp;D201&amp;"; "&amp;W201&amp;"; "&amp;X201&amp;"; "&amp;Y201&amp;"; "&amp;Z201&amp;"; "&amp;AA201&amp;"; "&amp;AB201&amp;"; "&amp;AC201&amp;"; "&amp;U201)</x:f>
        <x:v>proposal.ceramic.lid; ceramic vessel lid; crafting components; ceramic vessel fitting; container part; processed intermediate; manufactured / unresolved; liquid and bulk containment; ceramic; solid part; proposal; dust exclusion; pottery</x:v>
      </x:c>
      <x:c r="AE201" s="4" t="str">
        <x:v>Specific item proposed from author ceramics direction; functional and material limits remain unresolved.</x:v>
      </x:c>
    </x:row>
    <x:row r="202" ht="105" customHeight="1">
      <x:c r="A202" s="9" t="str">
        <x:v>proposal.ceramic.pour_spout</x:v>
      </x:c>
      <x:c r="B202" s="9" t="str">
        <x:v>Ceramic pouring spout</x:v>
      </x:c>
      <x:c r="C202" s="9" t="str">
        <x:v>Crafting components</x:v>
      </x:c>
      <x:c r="D202" s="9" t="str">
        <x:v>Ceramic vessel fitting</x:v>
      </x:c>
      <x:c r="E202" s="9" t="str">
        <x:v>New proposal</x:v>
      </x:c>
      <x:c r="F202" s="9" t="str">
        <x:v>Replaceable outlet candidate for compatible contained material.</x:v>
      </x:c>
      <x:c r="G202" s="9" t="str">
        <x:v>Unassigned; no new slot approved</x:v>
      </x:c>
      <x:c r="H202" s="9" t="str">
        <x:v>Carrier / placement policy TBD</x:v>
      </x:c>
      <x:c r="I202" s="13"/>
      <x:c r="J202" s="15"/>
      <x:c r="K202" s="9" t="str">
        <x:v>Specialist ceramic craft or trade; exact production route TBD</x:v>
      </x:c>
      <x:c r="L202" s="9" t="str">
        <x:v>Build on existing claystone, alumina, mineral feeds and insulating blanks where appropriate. No recipe authored.</x:v>
      </x:c>
      <x:c r="M202" s="9" t="str">
        <x:v>Not implemented</x:v>
      </x:c>
      <x:c r="N202" s="9" t="str">
        <x:v>Viscosity, joints and chemical suitability unresolved; not a universal ichor fitting.</x:v>
      </x:c>
      <x:c r="O202" s="17"/>
      <x:c r="P202" s="17"/>
      <x:c r="Q202" s="17"/>
      <x:c r="R202" s="17"/>
      <x:c r="S202" s="17"/>
      <x:c r="T202" s="9" t="str">
        <x:v>Ceramics requested as a broad item family. Specific objects, grades, sourcing, yield and value remain proposals.</x:v>
      </x:c>
      <x:c r="U202" s="11" t="str">
        <x:v>pottery</x:v>
      </x:c>
      <x:c r="V202" s="9" t="str">
        <x:v>Author ceramics direction October 14, 2026; local game item proposal. Existing mineral/ceramic entries reused where applicable.</x:v>
      </x:c>
      <x:c r="W202" s="4" t="str">
        <x:v>Container part</x:v>
      </x:c>
      <x:c r="X202" s="4" t="str">
        <x:v>Processed intermediate</x:v>
      </x:c>
      <x:c r="Y202" s="4" t="str">
        <x:v>Manufactured / unresolved</x:v>
      </x:c>
      <x:c r="Z202" s="4" t="str">
        <x:v>Material transfer</x:v>
      </x:c>
      <x:c r="AA202" s="4" t="str">
        <x:v>Ceramic</x:v>
      </x:c>
      <x:c r="AB202" s="4" t="str">
        <x:v>Solid part</x:v>
      </x:c>
      <x:c r="AC202" s="4" t="str">
        <x:v>Proposal</x:v>
      </x:c>
      <x:c r="AD202" s="4" t="str">
        <x:f>LOWER(A202&amp;"; "&amp;B202&amp;"; "&amp;C202&amp;"; "&amp;D202&amp;"; "&amp;W202&amp;"; "&amp;X202&amp;"; "&amp;Y202&amp;"; "&amp;Z202&amp;"; "&amp;AA202&amp;"; "&amp;AB202&amp;"; "&amp;AC202&amp;"; "&amp;U202)</x:f>
        <x:v>proposal.ceramic.pour_spout; ceramic pouring spout; crafting components; ceramic vessel fitting; container part; processed intermediate; manufactured / unresolved; material transfer; ceramic; solid part; proposal; pottery</x:v>
      </x:c>
      <x:c r="AE202" s="4" t="str">
        <x:v>Specific item proposed from author ceramics direction; functional and material limits remain unresolved.</x:v>
      </x:c>
    </x:row>
    <x:row r="203" ht="105" customHeight="1">
      <x:c r="A203" s="9" t="str">
        <x:v>proposal.ceramic.conduit</x:v>
      </x:c>
      <x:c r="B203" s="9" t="str">
        <x:v>Ceramic conduit section</x:v>
      </x:c>
      <x:c r="C203" s="9" t="str">
        <x:v>Crafting components</x:v>
      </x:c>
      <x:c r="D203" s="9" t="str">
        <x:v>Ceramic vessel fitting</x:v>
      </x:c>
      <x:c r="E203" s="9" t="str">
        <x:v>New proposal</x:v>
      </x:c>
      <x:c r="F203" s="9" t="str">
        <x:v>Rigid channel candidate for an assigned industrial transfer route.</x:v>
      </x:c>
      <x:c r="G203" s="9" t="str">
        <x:v>Unassigned; no new slot approved</x:v>
      </x:c>
      <x:c r="H203" s="9" t="str">
        <x:v>Carrier / placement policy TBD</x:v>
      </x:c>
      <x:c r="I203" s="13"/>
      <x:c r="J203" s="15"/>
      <x:c r="K203" s="9" t="str">
        <x:v>Specialist ceramic craft or trade; exact production route TBD</x:v>
      </x:c>
      <x:c r="L203" s="9" t="str">
        <x:v>Build on existing claystone, alumina, mineral feeds and insulating blanks where appropriate. No recipe authored.</x:v>
      </x:c>
      <x:c r="M203" s="9" t="str">
        <x:v>Not implemented</x:v>
      </x:c>
      <x:c r="N203" s="9" t="str">
        <x:v>Contents, joints and installation TBD; does not establish outdoor liquid streams.</x:v>
      </x:c>
      <x:c r="O203" s="17"/>
      <x:c r="P203" s="17"/>
      <x:c r="Q203" s="17"/>
      <x:c r="R203" s="17"/>
      <x:c r="S203" s="17"/>
      <x:c r="T203" s="9" t="str">
        <x:v>Ceramics requested as a broad item family. Specific objects, grades, sourcing, yield and value remain proposals.</x:v>
      </x:c>
      <x:c r="U203" s="11" t="str">
        <x:v>pottery</x:v>
      </x:c>
      <x:c r="V203" s="9" t="str">
        <x:v>Author ceramics direction October 14, 2026; local game item proposal. Existing mineral/ceramic entries reused where applicable.</x:v>
      </x:c>
      <x:c r="W203" s="4" t="str">
        <x:v>Crafting component</x:v>
      </x:c>
      <x:c r="X203" s="4" t="str">
        <x:v>Processed intermediate</x:v>
      </x:c>
      <x:c r="Y203" s="4" t="str">
        <x:v>Manufactured / unresolved</x:v>
      </x:c>
      <x:c r="Z203" s="4" t="str">
        <x:v>Material transfer</x:v>
      </x:c>
      <x:c r="AA203" s="4" t="str">
        <x:v>Ceramic</x:v>
      </x:c>
      <x:c r="AB203" s="4" t="str">
        <x:v>Solid part</x:v>
      </x:c>
      <x:c r="AC203" s="4" t="str">
        <x:v>Proposal</x:v>
      </x:c>
      <x:c r="AD203" s="4" t="str">
        <x:f>LOWER(A203&amp;"; "&amp;B203&amp;"; "&amp;C203&amp;"; "&amp;D203&amp;"; "&amp;W203&amp;"; "&amp;X203&amp;"; "&amp;Y203&amp;"; "&amp;Z203&amp;"; "&amp;AA203&amp;"; "&amp;AB203&amp;"; "&amp;AC203&amp;"; "&amp;U203)</x:f>
        <x:v>proposal.ceramic.conduit; ceramic conduit section; crafting components; ceramic vessel fitting; crafting component; processed intermediate; manufactured / unresolved; material transfer; ceramic; solid part; proposal; pottery</x:v>
      </x:c>
      <x:c r="AE203" s="4" t="str">
        <x:v>Specific item proposed from author ceramics direction; functional and material limits remain unresolved.</x:v>
      </x:c>
    </x:row>
    <x:row r="204" ht="105" customHeight="1">
      <x:c r="A204" s="9" t="str">
        <x:v>proposal.ceramic.votive_plaque</x:v>
      </x:c>
      <x:c r="B204" s="9" t="str">
        <x:v>Ceramic votive plaque</x:v>
      </x:c>
      <x:c r="C204" s="9" t="str">
        <x:v>Cultural objects</x:v>
      </x:c>
      <x:c r="D204" s="9" t="str">
        <x:v>Ceramic ceremonial</x:v>
      </x:c>
      <x:c r="E204" s="9" t="str">
        <x:v>New proposal</x:v>
      </x:c>
      <x:c r="F204" s="9" t="str">
        <x:v>Small ceramic offering or devotional image.</x:v>
      </x:c>
      <x:c r="G204" s="9" t="str">
        <x:v>Unassigned; no new slot approved</x:v>
      </x:c>
      <x:c r="H204" s="9" t="str">
        <x:v>Carrier / placement policy TBD</x:v>
      </x:c>
      <x:c r="I204" s="13"/>
      <x:c r="J204" s="15"/>
      <x:c r="K204" s="9" t="str">
        <x:v>Specialist ceramic craft or trade; exact production route TBD</x:v>
      </x:c>
      <x:c r="L204" s="9" t="str">
        <x:v>Build on existing claystone, alumina, mineral feeds and insulating blanks where appropriate. No recipe authored.</x:v>
      </x:c>
      <x:c r="M204" s="9" t="str">
        <x:v>Not implemented</x:v>
      </x:c>
      <x:c r="N204" s="9" t="str">
        <x:v>New material-specific craft family; iconography and institutional acceptance remain proposals.</x:v>
      </x:c>
      <x:c r="O204" s="17"/>
      <x:c r="P204" s="17"/>
      <x:c r="Q204" s="17"/>
      <x:c r="R204" s="17"/>
      <x:c r="S204" s="17"/>
      <x:c r="T204" s="9" t="str">
        <x:v>Ceramics requested as a broad item family. Specific objects, grades, sourcing, yield and value remain proposals.</x:v>
      </x:c>
      <x:c r="U204" s="11" t="str">
        <x:v>decoration; pottery</x:v>
      </x:c>
      <x:c r="V204" s="9" t="str">
        <x:v>Author ceramics direction October 14, 2026; local game item proposal. Existing mineral/ceramic entries reused where applicable.</x:v>
      </x:c>
      <x:c r="W204" s="4" t="str">
        <x:v>Cultural object</x:v>
      </x:c>
      <x:c r="X204" s="4" t="str">
        <x:v>Finished item</x:v>
      </x:c>
      <x:c r="Y204" s="4" t="str">
        <x:v>Manufactured / unresolved</x:v>
      </x:c>
      <x:c r="Z204" s="4" t="str">
        <x:v>Devotion</x:v>
      </x:c>
      <x:c r="AA204" s="4" t="str">
        <x:v>Ceramic</x:v>
      </x:c>
      <x:c r="AB204" s="4" t="str">
        <x:v>Panel</x:v>
      </x:c>
      <x:c r="AC204" s="4" t="str">
        <x:v>Proposal</x:v>
      </x:c>
      <x:c r="AD204" s="4" t="str">
        <x:f>LOWER(A204&amp;"; "&amp;B204&amp;"; "&amp;C204&amp;"; "&amp;D204&amp;"; "&amp;W204&amp;"; "&amp;X204&amp;"; "&amp;Y204&amp;"; "&amp;Z204&amp;"; "&amp;AA204&amp;"; "&amp;AB204&amp;"; "&amp;AC204&amp;"; "&amp;U204)</x:f>
        <x:v>proposal.ceramic.votive_plaque; ceramic votive plaque; cultural objects; ceramic ceremonial; cultural object; finished item; manufactured / unresolved; devotion; ceramic; panel; proposal; decoration; pottery</x:v>
      </x:c>
      <x:c r="AE204" s="4" t="str">
        <x:v>Specific item proposed from author ceramics direction; functional and material limits remain unresolved.</x:v>
      </x:c>
    </x:row>
    <x:row r="205" ht="105" customHeight="1">
      <x:c r="A205" s="9" t="str">
        <x:v>proposal.ceramic.figurine</x:v>
      </x:c>
      <x:c r="B205" s="9" t="str">
        <x:v>Ceramic commemorative figurine</x:v>
      </x:c>
      <x:c r="C205" s="9" t="str">
        <x:v>Cultural objects</x:v>
      </x:c>
      <x:c r="D205" s="9" t="str">
        <x:v>Ceramic ceremonial</x:v>
      </x:c>
      <x:c r="E205" s="9" t="str">
        <x:v>New proposal</x:v>
      </x:c>
      <x:c r="F205" s="9" t="str">
        <x:v>Sculpted keepsake of a person, creature or significant event.</x:v>
      </x:c>
      <x:c r="G205" s="9" t="str">
        <x:v>Unassigned; no new slot approved</x:v>
      </x:c>
      <x:c r="H205" s="9" t="str">
        <x:v>Carrier / placement policy TBD</x:v>
      </x:c>
      <x:c r="I205" s="13"/>
      <x:c r="J205" s="15"/>
      <x:c r="K205" s="9" t="str">
        <x:v>Specialist ceramic craft or trade; exact production route TBD</x:v>
      </x:c>
      <x:c r="L205" s="9" t="str">
        <x:v>Build on existing claystone, alumina, mineral feeds and insulating blanks where appropriate. No recipe authored.</x:v>
      </x:c>
      <x:c r="M205" s="9" t="str">
        <x:v>Not implemented</x:v>
      </x:c>
      <x:c r="N205" s="9" t="str">
        <x:v>Subject matter and style TBD; no relic authenticity or supernatural property.</x:v>
      </x:c>
      <x:c r="O205" s="17"/>
      <x:c r="P205" s="17"/>
      <x:c r="Q205" s="17"/>
      <x:c r="R205" s="17"/>
      <x:c r="S205" s="17"/>
      <x:c r="T205" s="9" t="str">
        <x:v>Ceramics requested as a broad item family. Specific objects, grades, sourcing, yield and value remain proposals.</x:v>
      </x:c>
      <x:c r="U205" s="11" t="str">
        <x:v>decoration; pottery</x:v>
      </x:c>
      <x:c r="V205" s="9" t="str">
        <x:v>Author ceramics direction October 14, 2026; local game item proposal. Existing mineral/ceramic entries reused where applicable.</x:v>
      </x:c>
      <x:c r="W205" s="4" t="str">
        <x:v>Cultural object</x:v>
      </x:c>
      <x:c r="X205" s="4" t="str">
        <x:v>Finished item</x:v>
      </x:c>
      <x:c r="Y205" s="4" t="str">
        <x:v>Manufactured / unresolved</x:v>
      </x:c>
      <x:c r="Z205" s="4" t="str">
        <x:v>Remembrance</x:v>
      </x:c>
      <x:c r="AA205" s="4" t="str">
        <x:v>Ceramic</x:v>
      </x:c>
      <x:c r="AB205" s="4" t="str">
        <x:v>Solid piece</x:v>
      </x:c>
      <x:c r="AC205" s="4" t="str">
        <x:v>Proposal</x:v>
      </x:c>
      <x:c r="AD205" s="4" t="str">
        <x:f>LOWER(A205&amp;"; "&amp;B205&amp;"; "&amp;C205&amp;"; "&amp;D205&amp;"; "&amp;W205&amp;"; "&amp;X205&amp;"; "&amp;Y205&amp;"; "&amp;Z205&amp;"; "&amp;AA205&amp;"; "&amp;AB205&amp;"; "&amp;AC205&amp;"; "&amp;U205)</x:f>
        <x:v>proposal.ceramic.figurine; ceramic commemorative figurine; cultural objects; ceramic ceremonial; cultural object; finished item; manufactured / unresolved; remembrance; ceramic; solid piece; proposal; decoration; pottery</x:v>
      </x:c>
      <x:c r="AE205" s="4" t="str">
        <x:v>Specific item proposed from author ceramics direction; functional and material limits remain unresolved.</x:v>
      </x:c>
    </x:row>
    <x:row r="206" ht="105" customHeight="1">
      <x:c r="A206" s="9" t="str">
        <x:v>proposal.ceramic.ceremony_bowl</x:v>
      </x:c>
      <x:c r="B206" s="9" t="str">
        <x:v>Ceremonial ceramic bowl</x:v>
      </x:c>
      <x:c r="C206" s="9" t="str">
        <x:v>Cultural objects</x:v>
      </x:c>
      <x:c r="D206" s="9" t="str">
        <x:v>Ceramic ceremonial</x:v>
      </x:c>
      <x:c r="E206" s="9" t="str">
        <x:v>New proposal</x:v>
      </x:c>
      <x:c r="F206" s="9" t="str">
        <x:v>Dedicated presentation bowl with selected finish or engraving.</x:v>
      </x:c>
      <x:c r="G206" s="9" t="str">
        <x:v>Unassigned; no new slot approved</x:v>
      </x:c>
      <x:c r="H206" s="9" t="str">
        <x:v>Carrier / placement policy TBD</x:v>
      </x:c>
      <x:c r="I206" s="13"/>
      <x:c r="J206" s="15"/>
      <x:c r="K206" s="9" t="str">
        <x:v>Specialist ceramic craft or trade; exact production route TBD</x:v>
      </x:c>
      <x:c r="L206" s="9" t="str">
        <x:v>Build on existing claystone, alumina, mineral feeds and insulating blanks where appropriate. No recipe authored.</x:v>
      </x:c>
      <x:c r="M206" s="9" t="str">
        <x:v>Not implemented</x:v>
      </x:c>
      <x:c r="N206" s="9" t="str">
        <x:v>Ceremonial workmanship distinguishes this from ordinary tableware; contents unspecified.</x:v>
      </x:c>
      <x:c r="O206" s="17"/>
      <x:c r="P206" s="17"/>
      <x:c r="Q206" s="17"/>
      <x:c r="R206" s="17"/>
      <x:c r="S206" s="17"/>
      <x:c r="T206" s="9" t="str">
        <x:v>Ceramics requested as a broad item family. Specific objects, grades, sourcing, yield and value remain proposals.</x:v>
      </x:c>
      <x:c r="U206" s="11" t="str">
        <x:v>decoration; pottery</x:v>
      </x:c>
      <x:c r="V206" s="9" t="str">
        <x:v>Author ceramics direction October 14, 2026; local game item proposal. Existing mineral/ceramic entries reused where applicable.</x:v>
      </x:c>
      <x:c r="W206" s="4" t="str">
        <x:v>Cultural object</x:v>
      </x:c>
      <x:c r="X206" s="4" t="str">
        <x:v>Finished item</x:v>
      </x:c>
      <x:c r="Y206" s="4" t="str">
        <x:v>Manufactured / unresolved</x:v>
      </x:c>
      <x:c r="Z206" s="4" t="str">
        <x:v>Ceremony</x:v>
      </x:c>
      <x:c r="AA206" s="4" t="str">
        <x:v>Ceramic</x:v>
      </x:c>
      <x:c r="AB206" s="4" t="str">
        <x:v>Solid part</x:v>
      </x:c>
      <x:c r="AC206" s="4" t="str">
        <x:v>Proposal</x:v>
      </x:c>
      <x:c r="AD206" s="4" t="str">
        <x:f>LOWER(A206&amp;"; "&amp;B206&amp;"; "&amp;C206&amp;"; "&amp;D206&amp;"; "&amp;W206&amp;"; "&amp;X206&amp;"; "&amp;Y206&amp;"; "&amp;Z206&amp;"; "&amp;AA206&amp;"; "&amp;AB206&amp;"; "&amp;AC206&amp;"; "&amp;U206)</x:f>
        <x:v>proposal.ceramic.ceremony_bowl; ceremonial ceramic bowl; cultural objects; ceramic ceremonial; cultural object; finished item; manufactured / unresolved; ceremony; ceramic; solid part; proposal; decoration; pottery</x:v>
      </x:c>
      <x:c r="AE206" s="4" t="str">
        <x:v>Specific item proposed from author ceramics direction; functional and material limits remain unresolved.</x:v>
      </x:c>
    </x:row>
    <x:row r="207" ht="105" customHeight="1">
      <x:c r="A207" s="9" t="str">
        <x:v>proposal.ceramic.armor_insert</x:v>
      </x:c>
      <x:c r="B207" s="9" t="str">
        <x:v>Specialist ceramic armor insert</x:v>
      </x:c>
      <x:c r="C207" s="9" t="str">
        <x:v>Equipment</x:v>
      </x:c>
      <x:c r="D207" s="9" t="str">
        <x:v>Ceramic protection</x:v>
      </x:c>
      <x:c r="E207" s="9" t="str">
        <x:v>New proposal</x:v>
      </x:c>
      <x:c r="F207" s="9" t="str">
        <x:v>Candidate fitted insert in the existing specialized-armor-plate family.</x:v>
      </x:c>
      <x:c r="G207" s="9" t="str">
        <x:v>Unassigned; no new slot approved</x:v>
      </x:c>
      <x:c r="H207" s="9" t="str">
        <x:v>Carrier / placement policy TBD</x:v>
      </x:c>
      <x:c r="I207" s="13"/>
      <x:c r="J207" s="15"/>
      <x:c r="K207" s="9" t="str">
        <x:v>Specialist ceramic craft or trade; exact production route TBD</x:v>
      </x:c>
      <x:c r="L207" s="9" t="str">
        <x:v>Build on existing claystone, alumina, mineral feeds and insulating blanks where appropriate. No recipe authored.</x:v>
      </x:c>
      <x:c r="M207" s="9" t="str">
        <x:v>Not implemented</x:v>
      </x:c>
      <x:c r="N207" s="9" t="str">
        <x:v>Performance, brittleness, mounting and damage behavior undecided; no protection stats.</x:v>
      </x:c>
      <x:c r="O207" s="17"/>
      <x:c r="P207" s="17"/>
      <x:c r="Q207" s="17"/>
      <x:c r="R207" s="17"/>
      <x:c r="S207" s="17"/>
      <x:c r="T207" s="9" t="str">
        <x:v>Ceramics requested as a broad item family. Specific objects, grades, sourcing, yield and value remain proposals.</x:v>
      </x:c>
      <x:c r="U207" s="11" t="str">
        <x:v>pottery</x:v>
      </x:c>
      <x:c r="V207" s="9" t="str">
        <x:v>Author ceramics direction October 14, 2026; local game item proposal. Existing mineral/ceramic entries reused where applicable.</x:v>
      </x:c>
      <x:c r="W207" s="4" t="str">
        <x:v>Armor</x:v>
      </x:c>
      <x:c r="X207" s="4" t="str">
        <x:v>Finished item</x:v>
      </x:c>
      <x:c r="Y207" s="4" t="str">
        <x:v>Manufactured / unresolved</x:v>
      </x:c>
      <x:c r="Z207" s="4" t="str">
        <x:v>Protection</x:v>
      </x:c>
      <x:c r="AA207" s="4" t="str">
        <x:v>Ceramic</x:v>
      </x:c>
      <x:c r="AB207" s="4" t="str">
        <x:v>Panel</x:v>
      </x:c>
      <x:c r="AC207" s="4" t="str">
        <x:v>Proposal</x:v>
      </x:c>
      <x:c r="AD207" s="4" t="str">
        <x:f>LOWER(A207&amp;"; "&amp;B207&amp;"; "&amp;C207&amp;"; "&amp;D207&amp;"; "&amp;W207&amp;"; "&amp;X207&amp;"; "&amp;Y207&amp;"; "&amp;Z207&amp;"; "&amp;AA207&amp;"; "&amp;AB207&amp;"; "&amp;AC207&amp;"; "&amp;U207)</x:f>
        <x:v>proposal.ceramic.armor_insert; specialist ceramic armor insert; equipment; ceramic protection; armor; finished item; manufactured / unresolved; protection; ceramic; panel; proposal; pottery</x:v>
      </x:c>
      <x:c r="AE207" s="4" t="str">
        <x:v>Specific item proposed from author ceramics direction; functional and material limits remain unresolved.</x:v>
      </x:c>
    </x:row>
    <x:row r="208" ht="105" customHeight="1">
      <x:c r="A208" s="9" t="str">
        <x:v>proposal.ceramic.fastener</x:v>
      </x:c>
      <x:c r="B208" s="9" t="str">
        <x:v>Ceramic toggle fastener</x:v>
      </x:c>
      <x:c r="C208" s="9" t="str">
        <x:v>Crafting components</x:v>
      </x:c>
      <x:c r="D208" s="9" t="str">
        <x:v>Ceramic household fitting</x:v>
      </x:c>
      <x:c r="E208" s="9" t="str">
        <x:v>New proposal</x:v>
      </x:c>
      <x:c r="F208" s="9" t="str">
        <x:v>Shaped toggle for a compatible wrap or fitted carrier.</x:v>
      </x:c>
      <x:c r="G208" s="9" t="str">
        <x:v>Unassigned; no new slot approved</x:v>
      </x:c>
      <x:c r="H208" s="9" t="str">
        <x:v>Carrier / placement policy TBD</x:v>
      </x:c>
      <x:c r="I208" s="13"/>
      <x:c r="J208" s="15"/>
      <x:c r="K208" s="9" t="str">
        <x:v>Specialist ceramic craft or trade; exact production route TBD</x:v>
      </x:c>
      <x:c r="L208" s="9" t="str">
        <x:v>Build on existing claystone, alumina, mineral feeds and insulating blanks where appropriate. No recipe authored.</x:v>
      </x:c>
      <x:c r="M208" s="9" t="str">
        <x:v>Not implemented</x:v>
      </x:c>
      <x:c r="N208" s="9" t="str">
        <x:v>No cloth required; joining method, strength and wear properties unresolved.</x:v>
      </x:c>
      <x:c r="O208" s="17"/>
      <x:c r="P208" s="17"/>
      <x:c r="Q208" s="17"/>
      <x:c r="R208" s="17"/>
      <x:c r="S208" s="17"/>
      <x:c r="T208" s="9" t="str">
        <x:v>Ceramics requested as a broad item family. Specific objects, grades, sourcing, yield and value remain proposals.</x:v>
      </x:c>
      <x:c r="U208" s="11" t="str">
        <x:v>equipment mounting; pottery</x:v>
      </x:c>
      <x:c r="V208" s="9" t="str">
        <x:v>Author ceramics direction October 14, 2026; local game item proposal. Existing mineral/ceramic entries reused where applicable.</x:v>
      </x:c>
      <x:c r="W208" s="4" t="str">
        <x:v>Crafting component</x:v>
      </x:c>
      <x:c r="X208" s="4" t="str">
        <x:v>Processed intermediate</x:v>
      </x:c>
      <x:c r="Y208" s="4" t="str">
        <x:v>Manufactured / unresolved</x:v>
      </x:c>
      <x:c r="Z208" s="4" t="str">
        <x:v>Clothing fabrication</x:v>
      </x:c>
      <x:c r="AA208" s="4" t="str">
        <x:v>Ceramic</x:v>
      </x:c>
      <x:c r="AB208" s="4" t="str">
        <x:v>Solid part</x:v>
      </x:c>
      <x:c r="AC208" s="4" t="str">
        <x:v>Proposal</x:v>
      </x:c>
      <x:c r="AD208" s="4" t="str">
        <x:f>LOWER(A208&amp;"; "&amp;B208&amp;"; "&amp;C208&amp;"; "&amp;D208&amp;"; "&amp;W208&amp;"; "&amp;X208&amp;"; "&amp;Y208&amp;"; "&amp;Z208&amp;"; "&amp;AA208&amp;"; "&amp;AB208&amp;"; "&amp;AC208&amp;"; "&amp;U208)</x:f>
        <x:v>proposal.ceramic.fastener; ceramic toggle fastener; crafting components; ceramic household fitting; crafting component; processed intermediate; manufactured / unresolved; clothing fabrication; ceramic; solid part; proposal; equipment mounting; pottery</x:v>
      </x:c>
      <x:c r="AE208" s="4" t="str">
        <x:v>Specific item proposed from author ceramics direction; functional and material limits remain unresolved.</x:v>
      </x:c>
    </x:row>
    <x:row r="209" ht="105" customHeight="1">
      <x:c r="A209" s="9" t="str">
        <x:v>proposal.ceramic.grinding_disc</x:v>
      </x:c>
      <x:c r="B209" s="9" t="str">
        <x:v>Ceramic abrasive disc</x:v>
      </x:c>
      <x:c r="C209" s="9" t="str">
        <x:v>Equipment</x:v>
      </x:c>
      <x:c r="D209" s="9" t="str">
        <x:v>Ceramic workshop</x:v>
      </x:c>
      <x:c r="E209" s="9" t="str">
        <x:v>New proposal</x:v>
      </x:c>
      <x:c r="F209" s="9" t="str">
        <x:v>Replaceable shaped abrasive for a chosen workshop tool.</x:v>
      </x:c>
      <x:c r="G209" s="9" t="str">
        <x:v>Unassigned; no new slot approved</x:v>
      </x:c>
      <x:c r="H209" s="9" t="str">
        <x:v>Carrier / placement policy TBD</x:v>
      </x:c>
      <x:c r="I209" s="13"/>
      <x:c r="J209" s="15"/>
      <x:c r="K209" s="9" t="str">
        <x:v>Specialist ceramic craft or trade; exact production route TBD</x:v>
      </x:c>
      <x:c r="L209" s="9" t="str">
        <x:v>Build on existing claystone, alumina, mineral feeds and insulating blanks where appropriate. No recipe authored.</x:v>
      </x:c>
      <x:c r="M209" s="9" t="str">
        <x:v>Not implemented</x:v>
      </x:c>
      <x:c r="N209" s="9" t="str">
        <x:v>Abrasive grade, drive method and safe operating limits unresolved; no powered tool granted.</x:v>
      </x:c>
      <x:c r="O209" s="17"/>
      <x:c r="P209" s="17"/>
      <x:c r="Q209" s="17"/>
      <x:c r="R209" s="17"/>
      <x:c r="S209" s="17"/>
      <x:c r="T209" s="9" t="str">
        <x:v>Ceramics requested as a broad item family. Specific objects, grades, sourcing, yield and value remain proposals.</x:v>
      </x:c>
      <x:c r="U209" s="11" t="str">
        <x:v>pottery</x:v>
      </x:c>
      <x:c r="V209" s="9" t="str">
        <x:v>Author ceramics direction October 14, 2026; local game item proposal. Existing mineral/ceramic entries reused where applicable.</x:v>
      </x:c>
      <x:c r="W209" s="4" t="str">
        <x:v>Tool</x:v>
      </x:c>
      <x:c r="X209" s="4" t="str">
        <x:v>Finished item</x:v>
      </x:c>
      <x:c r="Y209" s="4" t="str">
        <x:v>Manufactured / unresolved</x:v>
      </x:c>
      <x:c r="Z209" s="4" t="str">
        <x:v>Surface finishing</x:v>
      </x:c>
      <x:c r="AA209" s="4" t="str">
        <x:v>Ceramic</x:v>
      </x:c>
      <x:c r="AB209" s="4" t="str">
        <x:v>Solid part</x:v>
      </x:c>
      <x:c r="AC209" s="4" t="str">
        <x:v>Proposal</x:v>
      </x:c>
      <x:c r="AD209" s="4" t="str">
        <x:f>LOWER(A209&amp;"; "&amp;B209&amp;"; "&amp;C209&amp;"; "&amp;D209&amp;"; "&amp;W209&amp;"; "&amp;X209&amp;"; "&amp;Y209&amp;"; "&amp;Z209&amp;"; "&amp;AA209&amp;"; "&amp;AB209&amp;"; "&amp;AC209&amp;"; "&amp;U209)</x:f>
        <x:v>proposal.ceramic.grinding_disc; ceramic abrasive disc; equipment; ceramic workshop; tool; finished item; manufactured / unresolved; surface finishing; ceramic; solid part; proposal; pottery</x:v>
      </x:c>
      <x:c r="AE209" s="4" t="str">
        <x:v>Specific item proposed from author ceramics direction; functional and material limits remain unresolved.</x:v>
      </x:c>
    </x:row>
    <x:row r="210" ht="115" customHeight="1">
      <x:c r="A210" s="9" t="str">
        <x:v>source.currency.imperial_commons</x:v>
      </x:c>
      <x:c r="B210" s="9" t="str">
        <x:v>Imperial Commons</x:v>
      </x:c>
      <x:c r="C210" s="9" t="str">
        <x:v>Currency</x:v>
      </x:c>
      <x:c r="D210" s="9" t="str">
        <x:v>Currency family; denominations unspecified</x:v>
      </x:c>
      <x:c r="E210" s="9" t="str">
        <x:v>Source proposal; not implemented</x:v>
      </x:c>
      <x:c r="F210" s="9" t="str">
        <x:v>Imperial currency for exchange. Source everyday name: Commons; commercial shorthand: marks.</x:v>
      </x:c>
      <x:c r="G210" s="9" t="str">
        <x:v>None</x:v>
      </x:c>
      <x:c r="H210" s="9" t="str">
        <x:v>Physical form and carrier policy unresolved</x:v>
      </x:c>
      <x:c r="I210" s="13"/>
      <x:c r="J210" s="15"/>
      <x:c r="K210" s="9" t="str">
        <x:v>Source issuer: Empire. Issuance and acquisition are not game systems.</x:v>
      </x:c>
      <x:c r="L210" s="9" t="str">
        <x:v>No minting or crafting recipe authored</x:v>
      </x:c>
      <x:c r="M210" s="9" t="str">
        <x:v>Not implemented</x:v>
      </x:c>
      <x:c r="N210" s="9" t="str">
        <x:v>Source WLD-0032 is draft/proposal. No denomination names, face values, ratios, coin/note materials, dimensions or physical form are specified.</x:v>
      </x:c>
      <x:c r="O210" s="17"/>
      <x:c r="P210" s="17"/>
      <x:c r="Q210" s="17"/>
      <x:c r="R210" s="17"/>
      <x:c r="S210" s="17"/>
      <x:c r="T210" s="9" t="str">
        <x:v>Currency-family placeholder, not a claimed one-Common coin or note. Commons and marks are aliases, not separate denominations. Leave face values, item prices, stack/mass and wallet behavior undefined.</x:v>
      </x:c>
      <x:c r="U210" s="11" t="str">
        <x:v>commons; marks; money; exchange; denomination unspecified</x:v>
      </x:c>
      <x:c r="V210" s="9" t="str">
        <x:v>https://github.com/sleepyseamonster/Arc-Dust/blob/f6f98515c005dc3c73cccd9cbc031691745740c6/02-Arc-Dust-Worldbuilding/world/economy/currency.md; WLD-0032 status=draft, canon_status=proposal; remote master revision verified October 14, 2026.</x:v>
      </x:c>
      <x:c r="W210" s="4" t="str">
        <x:v>Currency</x:v>
      </x:c>
      <x:c r="X210" s="4" t="str">
        <x:v>Unresolved</x:v>
      </x:c>
      <x:c r="Y210" s="4" t="str">
        <x:v>Manufactured / unresolved</x:v>
      </x:c>
      <x:c r="Z210" s="4" t="str">
        <x:v>Trade</x:v>
      </x:c>
      <x:c r="AA210" s="4" t="str">
        <x:v>Unresolved</x:v>
      </x:c>
      <x:c r="AB210" s="4" t="str">
        <x:v>Unresolved</x:v>
      </x:c>
      <x:c r="AC210" s="4" t="str">
        <x:v>Source proposal</x:v>
      </x:c>
      <x:c r="AD210" s="4" t="str">
        <x:f>LOWER(A210&amp;"; "&amp;B210&amp;"; "&amp;C210&amp;"; "&amp;D210&amp;"; "&amp;W210&amp;"; "&amp;X210&amp;"; "&amp;Y210&amp;"; "&amp;Z210&amp;"; "&amp;AA210&amp;"; "&amp;AB210&amp;"; "&amp;AC210&amp;"; "&amp;U210)</x:f>
        <x:v>source.currency.imperial_commons; imperial commons; currency; currency family; denominations unspecified; currency; unresolved; manufactured / unresolved; trade; unresolved; unresolved; source proposal; commons; marks; money; exchange; denomination unspecified</x:v>
      </x:c>
      <x:c r="AE210" s="4" t="str">
        <x:v>Source record explicitly names the currency and aliases; no physical denomination item inferred.</x:v>
      </x:c>
    </x:row>
    <x:row r="211" ht="115" customHeight="1">
      <x:c r="A211" s="9" t="str">
        <x:v>proposal.fire.oxygen_stone</x:v>
      </x:c>
      <x:c r="B211" s="9" t="str">
        <x:v>Oxygen-releasing stone</x:v>
      </x:c>
      <x:c r="C211" s="9" t="str">
        <x:v>Resources</x:v>
      </x:c>
      <x:c r="D211" s="9" t="str">
        <x:v>Special stone</x:v>
      </x:c>
      <x:c r="E211" s="9" t="str">
        <x:v>User direction; not implemented</x:v>
      </x:c>
      <x:c r="F211" s="9" t="str">
        <x:v>Stone family that releases oxygen, as requested by author.</x:v>
      </x:c>
      <x:c r="G211" s="9" t="str">
        <x:v>Unassigned; no new slot approved</x:v>
      </x:c>
      <x:c r="H211" s="9" t="str">
        <x:v>Carrier / placement policy TBD</x:v>
      </x:c>
      <x:c r="I211" s="13"/>
      <x:c r="J211" s="15"/>
      <x:c r="K211" s="9" t="str">
        <x:v>Gathering, specialist craft or trade; exact acquisition TBD</x:v>
      </x:c>
      <x:c r="L211" s="9" t="str">
        <x:v>No cooking, ignition or oxygen-release recipe authored</x:v>
      </x:c>
      <x:c r="M211" s="9" t="str">
        <x:v>Not implemented</x:v>
      </x:c>
      <x:c r="N211" s="9" t="str">
        <x:v>Source describes active bedrock under geothermal heat/pressure. Continued output after extraction, rate, exhaustion and activation unresolved; no portable infinite air supply.</x:v>
      </x:c>
      <x:c r="O211" s="17"/>
      <x:c r="P211" s="17"/>
      <x:c r="Q211" s="17"/>
      <x:c r="R211" s="17"/>
      <x:c r="S211" s="17"/>
      <x:c r="T211" s="9" t="str">
        <x:v>Names are descriptive working labels. Fire-dependent uses are constrained by source atmosphere proposals; no oxygen/flame simulation, nutrition bonus or automatic detoxification.</x:v>
      </x:c>
      <x:c r="U211" s="11"/>
      <x:c r="V211" s="9" t="str">
        <x:v>https://github.com/sleepyseamonster/Arc-Dust/blob/f6f98515c005dc3c73cccd9cbc031691745740c6/02-Arc-Dust-Worldbuilding/world/geography/atmosphere.md</x:v>
      </x:c>
      <x:c r="W211" s="4" t="str">
        <x:v>Raw material</x:v>
      </x:c>
      <x:c r="X211" s="4" t="str">
        <x:v>Raw</x:v>
      </x:c>
      <x:c r="Y211" s="4" t="str">
        <x:v>Geological</x:v>
      </x:c>
      <x:c r="Z211" s="4" t="str">
        <x:v>Atmospheric support</x:v>
      </x:c>
      <x:c r="AA211" s="4" t="str">
        <x:v>Mineral</x:v>
      </x:c>
      <x:c r="AB211" s="4" t="str">
        <x:v>Rock</x:v>
      </x:c>
      <x:c r="AC211" s="4" t="str">
        <x:v>Author direction</x:v>
      </x:c>
      <x:c r="AD211" s="4" t="str">
        <x:f>LOWER(A211&amp;"; "&amp;B211&amp;"; "&amp;C211&amp;"; "&amp;D211&amp;"; "&amp;W211&amp;"; "&amp;X211&amp;"; "&amp;Y211&amp;"; "&amp;Z211&amp;"; "&amp;AA211&amp;"; "&amp;AB211&amp;"; "&amp;AC211&amp;"; "&amp;U211)</x:f>
        <x:v>proposal.fire.oxygen_stone; oxygen-releasing stone; resources; special stone; raw material; raw; geological; atmospheric support; mineral; rock; author direction; </x:v>
      </x:c>
      <x:c r="AE211" s="4" t="str">
        <x:v>Author direction establishes stone families. Source mechanisms remain proposal-stage; specific equipment functions are proposals.</x:v>
      </x:c>
    </x:row>
    <x:row r="212" ht="115" customHeight="1">
      <x:c r="A212" s="9" t="str">
        <x:v>proposal.fire.glow_stone</x:v>
      </x:c>
      <x:c r="B212" s="9" t="str">
        <x:v>Glowing stone</x:v>
      </x:c>
      <x:c r="C212" s="9" t="str">
        <x:v>Resources</x:v>
      </x:c>
      <x:c r="D212" s="9" t="str">
        <x:v>Special stone</x:v>
      </x:c>
      <x:c r="E212" s="9" t="str">
        <x:v>User direction; not implemented</x:v>
      </x:c>
      <x:c r="F212" s="9" t="str">
        <x:v>Stone family that emits light, as requested by author.</x:v>
      </x:c>
      <x:c r="G212" s="9" t="str">
        <x:v>Unassigned; no new slot approved</x:v>
      </x:c>
      <x:c r="H212" s="9" t="str">
        <x:v>Carrier / placement policy TBD</x:v>
      </x:c>
      <x:c r="I212" s="13"/>
      <x:c r="J212" s="15"/>
      <x:c r="K212" s="9" t="str">
        <x:v>Gathering, specialist craft or trade; exact acquisition TBD</x:v>
      </x:c>
      <x:c r="L212" s="9" t="str">
        <x:v>No cooking, ignition or oxygen-release recipe authored</x:v>
      </x:c>
      <x:c r="M212" s="9" t="str">
        <x:v>Not implemented</x:v>
      </x:c>
      <x:c r="N212" s="9" t="str">
        <x:v>No owning glow-stone record found in inspected material/atmosphere records. Color, brightness, duration, charging, depletion and heat unresolved; glow does not imply combustion.</x:v>
      </x:c>
      <x:c r="O212" s="17"/>
      <x:c r="P212" s="17"/>
      <x:c r="Q212" s="17"/>
      <x:c r="R212" s="17"/>
      <x:c r="S212" s="17"/>
      <x:c r="T212" s="9" t="str">
        <x:v>Names are descriptive working labels. Fire-dependent uses are constrained by source atmosphere proposals; no oxygen/flame simulation, nutrition bonus or automatic detoxification.</x:v>
      </x:c>
      <x:c r="U212" s="11"/>
      <x:c r="V212" s="9" t="str">
        <x:v>Direct author direction October 14, 2026</x:v>
      </x:c>
      <x:c r="W212" s="4" t="str">
        <x:v>Raw material</x:v>
      </x:c>
      <x:c r="X212" s="4" t="str">
        <x:v>Raw</x:v>
      </x:c>
      <x:c r="Y212" s="4" t="str">
        <x:v>Geological</x:v>
      </x:c>
      <x:c r="Z212" s="4" t="str">
        <x:v>Illumination</x:v>
      </x:c>
      <x:c r="AA212" s="4" t="str">
        <x:v>Mineral</x:v>
      </x:c>
      <x:c r="AB212" s="4" t="str">
        <x:v>Rock</x:v>
      </x:c>
      <x:c r="AC212" s="4" t="str">
        <x:v>Author direction</x:v>
      </x:c>
      <x:c r="AD212" s="4" t="str">
        <x:f>LOWER(A212&amp;"; "&amp;B212&amp;"; "&amp;C212&amp;"; "&amp;D212&amp;"; "&amp;W212&amp;"; "&amp;X212&amp;"; "&amp;Y212&amp;"; "&amp;Z212&amp;"; "&amp;AA212&amp;"; "&amp;AB212&amp;"; "&amp;AC212&amp;"; "&amp;U212)</x:f>
        <x:v>proposal.fire.glow_stone; glowing stone; resources; special stone; raw material; raw; geological; illumination; mineral; rock; author direction; </x:v>
      </x:c>
      <x:c r="AE212" s="4" t="str">
        <x:v>Author direction establishes stone families. Source mechanisms remain proposal-stage; specific equipment functions are proposals.</x:v>
      </x:c>
    </x:row>
    <x:row r="213" ht="115" customHeight="1">
      <x:c r="A213" s="9" t="str">
        <x:v>proposal.fire.flint</x:v>
      </x:c>
      <x:c r="B213" s="9" t="str">
        <x:v>Flint stone</x:v>
      </x:c>
      <x:c r="C213" s="9" t="str">
        <x:v>Resources</x:v>
      </x:c>
      <x:c r="D213" s="9" t="str">
        <x:v>Special stone</x:v>
      </x:c>
      <x:c r="E213" s="9" t="str">
        <x:v>User direction; not implemented</x:v>
      </x:c>
      <x:c r="F213" s="9" t="str">
        <x:v>Flint resource requested by author; candidate sparking and worked-edge uses.</x:v>
      </x:c>
      <x:c r="G213" s="9" t="str">
        <x:v>Unassigned; no new slot approved</x:v>
      </x:c>
      <x:c r="H213" s="9" t="str">
        <x:v>Carrier / placement policy TBD</x:v>
      </x:c>
      <x:c r="I213" s="13"/>
      <x:c r="J213" s="15"/>
      <x:c r="K213" s="9" t="str">
        <x:v>Gathering, specialist craft or trade; exact acquisition TBD</x:v>
      </x:c>
      <x:c r="L213" s="9" t="str">
        <x:v>No cooking, ignition or oxygen-release recipe authored</x:v>
      </x:c>
      <x:c r="M213" s="9" t="str">
        <x:v>Not implemented</x:v>
      </x:c>
      <x:c r="N213" s="9" t="str">
        <x:v>No matched striker, tinder, guaranteed ignition or crafting recipe assigned. Atmospheric conditions still matter.</x:v>
      </x:c>
      <x:c r="O213" s="17"/>
      <x:c r="P213" s="17"/>
      <x:c r="Q213" s="17"/>
      <x:c r="R213" s="17"/>
      <x:c r="S213" s="17"/>
      <x:c r="T213" s="9" t="str">
        <x:v>Names are descriptive working labels. Fire-dependent uses are constrained by source atmosphere proposals; no oxygen/flame simulation, nutrition bonus or automatic detoxification.</x:v>
      </x:c>
      <x:c r="U213" s="11" t="str">
        <x:v>tool fabrication</x:v>
      </x:c>
      <x:c r="V213" s="9" t="str">
        <x:v>Direct author direction October 14, 2026</x:v>
      </x:c>
      <x:c r="W213" s="4" t="str">
        <x:v>Raw material</x:v>
      </x:c>
      <x:c r="X213" s="4" t="str">
        <x:v>Raw</x:v>
      </x:c>
      <x:c r="Y213" s="4" t="str">
        <x:v>Geological</x:v>
      </x:c>
      <x:c r="Z213" s="4" t="str">
        <x:v>Ignition</x:v>
      </x:c>
      <x:c r="AA213" s="4" t="str">
        <x:v>Mineral</x:v>
      </x:c>
      <x:c r="AB213" s="4" t="str">
        <x:v>Rock</x:v>
      </x:c>
      <x:c r="AC213" s="4" t="str">
        <x:v>Author direction</x:v>
      </x:c>
      <x:c r="AD213" s="4" t="str">
        <x:f>LOWER(A213&amp;"; "&amp;B213&amp;"; "&amp;C213&amp;"; "&amp;D213&amp;"; "&amp;W213&amp;"; "&amp;X213&amp;"; "&amp;Y213&amp;"; "&amp;Z213&amp;"; "&amp;AA213&amp;"; "&amp;AB213&amp;"; "&amp;AC213&amp;"; "&amp;U213)</x:f>
        <x:v>proposal.fire.flint; flint stone; resources; special stone; raw material; raw; geological; ignition; mineral; rock; author direction; tool fabrication</x:v>
      </x:c>
      <x:c r="AE213" s="4" t="str">
        <x:v>Author direction establishes stone families. Source mechanisms remain proposal-stage; specific equipment functions are proposals.</x:v>
      </x:c>
    </x:row>
    <x:row r="214" ht="115" customHeight="1">
      <x:c r="A214" s="9" t="str">
        <x:v>proposal.fire.striker</x:v>
      </x:c>
      <x:c r="B214" s="9" t="str">
        <x:v>Flint striking tool</x:v>
      </x:c>
      <x:c r="C214" s="9" t="str">
        <x:v>Equipment</x:v>
      </x:c>
      <x:c r="D214" s="9" t="str">
        <x:v>Ignition tool</x:v>
      </x:c>
      <x:c r="E214" s="9" t="str">
        <x:v>New proposal</x:v>
      </x:c>
      <x:c r="F214" s="9" t="str">
        <x:v>Worked striking implement candidate used with compatible flint.</x:v>
      </x:c>
      <x:c r="G214" s="9" t="str">
        <x:v>Unassigned; no new slot approved</x:v>
      </x:c>
      <x:c r="H214" s="9" t="str">
        <x:v>Carrier / placement policy TBD</x:v>
      </x:c>
      <x:c r="I214" s="13"/>
      <x:c r="J214" s="15"/>
      <x:c r="K214" s="9" t="str">
        <x:v>Gathering, specialist craft or trade; exact acquisition TBD</x:v>
      </x:c>
      <x:c r="L214" s="9" t="str">
        <x:v>No cooking, ignition or oxygen-release recipe authored</x:v>
      </x:c>
      <x:c r="M214" s="9" t="str">
        <x:v>Not implemented</x:v>
      </x:c>
      <x:c r="N214" s="9" t="str">
        <x:v>Striking-face composition and fuel/tinder pairing TBD; a spark does not guarantee a sustained cooking fire.</x:v>
      </x:c>
      <x:c r="O214" s="17"/>
      <x:c r="P214" s="17"/>
      <x:c r="Q214" s="17"/>
      <x:c r="R214" s="17"/>
      <x:c r="S214" s="17"/>
      <x:c r="T214" s="9" t="str">
        <x:v>Names are descriptive working labels. Fire-dependent uses are constrained by source atmosphere proposals; no oxygen/flame simulation, nutrition bonus or automatic detoxification.</x:v>
      </x:c>
      <x:c r="U214" s="11"/>
      <x:c r="V214" s="9" t="str">
        <x:v>New game proposal from author flint direction</x:v>
      </x:c>
      <x:c r="W214" s="4" t="str">
        <x:v>Tool</x:v>
      </x:c>
      <x:c r="X214" s="4" t="str">
        <x:v>Finished item</x:v>
      </x:c>
      <x:c r="Y214" s="4" t="str">
        <x:v>Manufactured / unresolved</x:v>
      </x:c>
      <x:c r="Z214" s="4" t="str">
        <x:v>Ignition</x:v>
      </x:c>
      <x:c r="AA214" s="4" t="str">
        <x:v>Metal or shell</x:v>
      </x:c>
      <x:c r="AB214" s="4" t="str">
        <x:v>Assembly</x:v>
      </x:c>
      <x:c r="AC214" s="4" t="str">
        <x:v>Proposal</x:v>
      </x:c>
      <x:c r="AD214" s="4" t="str">
        <x:f>LOWER(A214&amp;"; "&amp;B214&amp;"; "&amp;C214&amp;"; "&amp;D214&amp;"; "&amp;W214&amp;"; "&amp;X214&amp;"; "&amp;Y214&amp;"; "&amp;Z214&amp;"; "&amp;AA214&amp;"; "&amp;AB214&amp;"; "&amp;AC214&amp;"; "&amp;U214)</x:f>
        <x:v>proposal.fire.striker; flint striking tool; equipment; ignition tool; tool; finished item; manufactured / unresolved; ignition; metal or shell; assembly; proposal; </x:v>
      </x:c>
      <x:c r="AE214" s="4" t="str">
        <x:v>Author direction establishes stone families. Source mechanisms remain proposal-stage; specific equipment functions are proposals.</x:v>
      </x:c>
    </x:row>
    <x:row r="215" ht="115" customHeight="1">
      <x:c r="A215" s="9" t="str">
        <x:v>proposal.fire.chitin_char</x:v>
      </x:c>
      <x:c r="B215" s="9" t="str">
        <x:v>Chitin-char</x:v>
      </x:c>
      <x:c r="C215" s="9" t="str">
        <x:v>Resources</x:v>
      </x:c>
      <x:c r="D215" s="9" t="str">
        <x:v>Fire fuel</x:v>
      </x:c>
      <x:c r="E215" s="9" t="str">
        <x:v>Source proposal; not implemented</x:v>
      </x:c>
      <x:c r="F215" s="9" t="str">
        <x:v>Carbonized chitin material described in the chitin source record.</x:v>
      </x:c>
      <x:c r="G215" s="9" t="str">
        <x:v>Unassigned; no new slot approved</x:v>
      </x:c>
      <x:c r="H215" s="9" t="str">
        <x:v>Carrier / placement policy TBD</x:v>
      </x:c>
      <x:c r="I215" s="13"/>
      <x:c r="J215" s="15"/>
      <x:c r="K215" s="9" t="str">
        <x:v>Gathering, specialist craft or trade; exact acquisition TBD</x:v>
      </x:c>
      <x:c r="L215" s="9" t="str">
        <x:v>No cooking, ignition or oxygen-release recipe authored</x:v>
      </x:c>
      <x:c r="M215" s="9" t="str">
        <x:v>Not implemented</x:v>
      </x:c>
      <x:c r="N215" s="9" t="str">
        <x:v>Exact preparation and fuel performance unapproved. Existing generic Charcoal is retained; decide whether these become a material variant or separate resources before implementation.</x:v>
      </x:c>
      <x:c r="O215" s="17"/>
      <x:c r="P215" s="17"/>
      <x:c r="Q215" s="17"/>
      <x:c r="R215" s="17"/>
      <x:c r="S215" s="17"/>
      <x:c r="T215" s="9" t="str">
        <x:v>Names are descriptive working labels. Fire-dependent uses are constrained by source atmosphere proposals; no oxygen/flame simulation, nutrition bonus or automatic detoxification.</x:v>
      </x:c>
      <x:c r="U215" s="11"/>
      <x:c r="V215" s="9" t="str">
        <x:v>https://github.com/sleepyseamonster/Arc-Dust/blob/f6f98515c005dc3c73cccd9cbc031691745740c6/02-Arc-Dust-Worldbuilding/world/materials/chitin.md</x:v>
      </x:c>
      <x:c r="W215" s="4" t="str">
        <x:v>Processed material</x:v>
      </x:c>
      <x:c r="X215" s="4" t="str">
        <x:v>Processed intermediate</x:v>
      </x:c>
      <x:c r="Y215" s="4" t="str">
        <x:v>Fauna</x:v>
      </x:c>
      <x:c r="Z215" s="4" t="str">
        <x:v>Fuel</x:v>
      </x:c>
      <x:c r="AA215" s="4" t="str">
        <x:v>Carbonaceous material</x:v>
      </x:c>
      <x:c r="AB215" s="4" t="str">
        <x:v>Solid piece</x:v>
      </x:c>
      <x:c r="AC215" s="4" t="str">
        <x:v>Source proposal</x:v>
      </x:c>
      <x:c r="AD215" s="4" t="str">
        <x:f>LOWER(A215&amp;"; "&amp;B215&amp;"; "&amp;C215&amp;"; "&amp;D215&amp;"; "&amp;W215&amp;"; "&amp;X215&amp;"; "&amp;Y215&amp;"; "&amp;Z215&amp;"; "&amp;AA215&amp;"; "&amp;AB215&amp;"; "&amp;AC215&amp;"; "&amp;U215)</x:f>
        <x:v>proposal.fire.chitin_char; chitin-char; resources; fire fuel; processed material; processed intermediate; fauna; fuel; carbonaceous material; solid piece; source proposal; </x:v>
      </x:c>
      <x:c r="AE215" s="4" t="str">
        <x:v>Author direction establishes stone families. Source mechanisms remain proposal-stage; specific equipment functions are proposals.</x:v>
      </x:c>
    </x:row>
    <x:row r="216" ht="115" customHeight="1">
      <x:c r="A216" s="9" t="str">
        <x:v>proposal.fire.cooking_pot</x:v>
      </x:c>
      <x:c r="B216" s="9" t="str">
        <x:v>Ceramic cooking pot</x:v>
      </x:c>
      <x:c r="C216" s="9" t="str">
        <x:v>Equipment</x:v>
      </x:c>
      <x:c r="D216" s="9" t="str">
        <x:v>Cooking vessel</x:v>
      </x:c>
      <x:c r="E216" s="9" t="str">
        <x:v>New proposal</x:v>
      </x:c>
      <x:c r="F216" s="9" t="str">
        <x:v>Purpose-made ceramic vessel candidate for heating a contained food portion.</x:v>
      </x:c>
      <x:c r="G216" s="9" t="str">
        <x:v>Unassigned; no new slot approved</x:v>
      </x:c>
      <x:c r="H216" s="9" t="str">
        <x:v>Carrier / placement policy TBD</x:v>
      </x:c>
      <x:c r="I216" s="13"/>
      <x:c r="J216" s="15"/>
      <x:c r="K216" s="9" t="str">
        <x:v>Gathering, specialist craft or trade; exact acquisition TBD</x:v>
      </x:c>
      <x:c r="L216" s="9" t="str">
        <x:v>No cooking, ignition or oxygen-release recipe authored</x:v>
      </x:c>
      <x:c r="M216" s="9" t="str">
        <x:v>Not implemented</x:v>
      </x:c>
      <x:c r="N216" s="9" t="str">
        <x:v>Food-contact suitability, supported contents, heat grade and process TBD. Distinct from cold serving bowl, storage crock and chemical-service jar.</x:v>
      </x:c>
      <x:c r="O216" s="17"/>
      <x:c r="P216" s="17"/>
      <x:c r="Q216" s="17"/>
      <x:c r="R216" s="17"/>
      <x:c r="S216" s="17"/>
      <x:c r="T216" s="9" t="str">
        <x:v>Names are descriptive working labels. Fire-dependent uses are constrained by source atmosphere proposals; no oxygen/flame simulation, nutrition bonus or automatic detoxification.</x:v>
      </x:c>
      <x:c r="U216" s="11"/>
      <x:c r="V216" s="9" t="str">
        <x:v>https://github.com/sleepyseamonster/Arc-Dust/blob/f6f98515c005dc3c73cccd9cbc031691745740c6/02-Arc-Dust-Worldbuilding/world/geography/atmosphere.md</x:v>
      </x:c>
      <x:c r="W216" s="4" t="str">
        <x:v>Tool</x:v>
      </x:c>
      <x:c r="X216" s="4" t="str">
        <x:v>Finished item</x:v>
      </x:c>
      <x:c r="Y216" s="4" t="str">
        <x:v>Manufactured / unresolved</x:v>
      </x:c>
      <x:c r="Z216" s="4" t="str">
        <x:v>Cooking</x:v>
      </x:c>
      <x:c r="AA216" s="4" t="str">
        <x:v>Ceramic</x:v>
      </x:c>
      <x:c r="AB216" s="4" t="str">
        <x:v>Solid part</x:v>
      </x:c>
      <x:c r="AC216" s="4" t="str">
        <x:v>Proposal</x:v>
      </x:c>
      <x:c r="AD216" s="4" t="str">
        <x:f>LOWER(A216&amp;"; "&amp;B216&amp;"; "&amp;C216&amp;"; "&amp;D216&amp;"; "&amp;W216&amp;"; "&amp;X216&amp;"; "&amp;Y216&amp;"; "&amp;Z216&amp;"; "&amp;AA216&amp;"; "&amp;AB216&amp;"; "&amp;AC216&amp;"; "&amp;U216)</x:f>
        <x:v>proposal.fire.cooking_pot; ceramic cooking pot; equipment; cooking vessel; tool; finished item; manufactured / unresolved; cooking; ceramic; solid part; proposal; </x:v>
      </x:c>
      <x:c r="AE216" s="4" t="str">
        <x:v>Author direction establishes stone families. Source mechanisms remain proposal-stage; specific equipment functions are proposals.</x:v>
      </x:c>
    </x:row>
    <x:row r="217" ht="115" customHeight="1">
      <x:c r="A217" s="9" t="str">
        <x:v>proposal.fire.cooking_slab</x:v>
      </x:c>
      <x:c r="B217" s="9" t="str">
        <x:v>Cooking stone slab</x:v>
      </x:c>
      <x:c r="C217" s="9" t="str">
        <x:v>Equipment</x:v>
      </x:c>
      <x:c r="D217" s="9" t="str">
        <x:v>Cooking tool</x:v>
      </x:c>
      <x:c r="E217" s="9" t="str">
        <x:v>New proposal</x:v>
      </x:c>
      <x:c r="F217" s="9" t="str">
        <x:v>Selected worked stone surface candidate for food heating.</x:v>
      </x:c>
      <x:c r="G217" s="9" t="str">
        <x:v>Unassigned; no new slot approved</x:v>
      </x:c>
      <x:c r="H217" s="9" t="str">
        <x:v>Carrier / placement policy TBD</x:v>
      </x:c>
      <x:c r="I217" s="13"/>
      <x:c r="J217" s="15"/>
      <x:c r="K217" s="9" t="str">
        <x:v>Gathering, specialist craft or trade; exact acquisition TBD</x:v>
      </x:c>
      <x:c r="L217" s="9" t="str">
        <x:v>No cooking, ignition or oxygen-release recipe authored</x:v>
      </x:c>
      <x:c r="M217" s="9" t="str">
        <x:v>Not implemented</x:v>
      </x:c>
      <x:c r="N217" s="9" t="str">
        <x:v>Stone selection and thermal behavior undefined; oxygen/glow stones are not automatically suitable cooking surfaces.</x:v>
      </x:c>
      <x:c r="O217" s="17"/>
      <x:c r="P217" s="17"/>
      <x:c r="Q217" s="17"/>
      <x:c r="R217" s="17"/>
      <x:c r="S217" s="17"/>
      <x:c r="T217" s="9" t="str">
        <x:v>Names are descriptive working labels. Fire-dependent uses are constrained by source atmosphere proposals; no oxygen/flame simulation, nutrition bonus or automatic detoxification.</x:v>
      </x:c>
      <x:c r="U217" s="11"/>
      <x:c r="V217" s="9" t="str">
        <x:v>New game proposal from author cooking direction</x:v>
      </x:c>
      <x:c r="W217" s="4" t="str">
        <x:v>Tool</x:v>
      </x:c>
      <x:c r="X217" s="4" t="str">
        <x:v>Processed intermediate</x:v>
      </x:c>
      <x:c r="Y217" s="4" t="str">
        <x:v>Geological</x:v>
      </x:c>
      <x:c r="Z217" s="4" t="str">
        <x:v>Cooking</x:v>
      </x:c>
      <x:c r="AA217" s="4" t="str">
        <x:v>Mineral</x:v>
      </x:c>
      <x:c r="AB217" s="4" t="str">
        <x:v>Panel</x:v>
      </x:c>
      <x:c r="AC217" s="4" t="str">
        <x:v>Proposal</x:v>
      </x:c>
      <x:c r="AD217" s="4" t="str">
        <x:f>LOWER(A217&amp;"; "&amp;B217&amp;"; "&amp;C217&amp;"; "&amp;D217&amp;"; "&amp;W217&amp;"; "&amp;X217&amp;"; "&amp;Y217&amp;"; "&amp;Z217&amp;"; "&amp;AA217&amp;"; "&amp;AB217&amp;"; "&amp;AC217&amp;"; "&amp;U217)</x:f>
        <x:v>proposal.fire.cooking_slab; cooking stone slab; equipment; cooking tool; tool; processed intermediate; geological; cooking; mineral; panel; proposal; </x:v>
      </x:c>
      <x:c r="AE217" s="4" t="str">
        <x:v>Author direction establishes stone families. Source mechanisms remain proposal-stage; specific equipment functions are proposals.</x:v>
      </x:c>
    </x:row>
    <x:row r="218" ht="115" customHeight="1">
      <x:c r="A218" s="9" t="str">
        <x:v>proposal.fire.lidded_pan</x:v>
      </x:c>
      <x:c r="B218" s="9" t="str">
        <x:v>Lidded cooking pan</x:v>
      </x:c>
      <x:c r="C218" s="9" t="str">
        <x:v>Equipment</x:v>
      </x:c>
      <x:c r="D218" s="9" t="str">
        <x:v>Cooking vessel</x:v>
      </x:c>
      <x:c r="E218" s="9" t="str">
        <x:v>New proposal</x:v>
      </x:c>
      <x:c r="F218" s="9" t="str">
        <x:v>Metal cooking pan with matched cover for controlled heating.</x:v>
      </x:c>
      <x:c r="G218" s="9" t="str">
        <x:v>Unassigned; no new slot approved</x:v>
      </x:c>
      <x:c r="H218" s="9" t="str">
        <x:v>Carrier / placement policy TBD</x:v>
      </x:c>
      <x:c r="I218" s="13"/>
      <x:c r="J218" s="15"/>
      <x:c r="K218" s="9" t="str">
        <x:v>Gathering, specialist craft or trade; exact acquisition TBD</x:v>
      </x:c>
      <x:c r="L218" s="9" t="str">
        <x:v>No cooking, ignition or oxygen-release recipe authored</x:v>
      </x:c>
      <x:c r="M218" s="9" t="str">
        <x:v>Not implemented</x:v>
      </x:c>
      <x:c r="N218" s="9" t="str">
        <x:v>Lid is part of the item family; heat requirements and food process unresolved. No water-boiling recipe assumed.</x:v>
      </x:c>
      <x:c r="O218" s="17"/>
      <x:c r="P218" s="17"/>
      <x:c r="Q218" s="17"/>
      <x:c r="R218" s="17"/>
      <x:c r="S218" s="17"/>
      <x:c r="T218" s="9" t="str">
        <x:v>Names are descriptive working labels. Fire-dependent uses are constrained by source atmosphere proposals; no oxygen/flame simulation, nutrition bonus or automatic detoxification.</x:v>
      </x:c>
      <x:c r="U218" s="11"/>
      <x:c r="V218" s="9" t="str">
        <x:v>https://github.com/sleepyseamonster/Arc-Dust/blob/f6f98515c005dc3c73cccd9cbc031691745740c6/02-Arc-Dust-Worldbuilding/world/geography/atmosphere.md</x:v>
      </x:c>
      <x:c r="W218" s="4" t="str">
        <x:v>Tool</x:v>
      </x:c>
      <x:c r="X218" s="4" t="str">
        <x:v>Finished item</x:v>
      </x:c>
      <x:c r="Y218" s="4" t="str">
        <x:v>Manufactured / unresolved</x:v>
      </x:c>
      <x:c r="Z218" s="4" t="str">
        <x:v>Cooking</x:v>
      </x:c>
      <x:c r="AA218" s="4" t="str">
        <x:v>Metal</x:v>
      </x:c>
      <x:c r="AB218" s="4" t="str">
        <x:v>Assembly</x:v>
      </x:c>
      <x:c r="AC218" s="4" t="str">
        <x:v>Proposal</x:v>
      </x:c>
      <x:c r="AD218" s="4" t="str">
        <x:f>LOWER(A218&amp;"; "&amp;B218&amp;"; "&amp;C218&amp;"; "&amp;D218&amp;"; "&amp;W218&amp;"; "&amp;X218&amp;"; "&amp;Y218&amp;"; "&amp;Z218&amp;"; "&amp;AA218&amp;"; "&amp;AB218&amp;"; "&amp;AC218&amp;"; "&amp;U218)</x:f>
        <x:v>proposal.fire.lidded_pan; lidded cooking pan; equipment; cooking vessel; tool; finished item; manufactured / unresolved; cooking; metal; assembly; proposal; </x:v>
      </x:c>
      <x:c r="AE218" s="4" t="str">
        <x:v>Author direction establishes stone families. Source mechanisms remain proposal-stage; specific equipment functions are proposals.</x:v>
      </x:c>
    </x:row>
    <x:row r="219" ht="115" customHeight="1">
      <x:c r="A219" s="9" t="str">
        <x:v>proposal.fire.rack</x:v>
      </x:c>
      <x:c r="B219" s="9" t="str">
        <x:v>Cooking rack</x:v>
      </x:c>
      <x:c r="C219" s="9" t="str">
        <x:v>Equipment</x:v>
      </x:c>
      <x:c r="D219" s="9" t="str">
        <x:v>Cooking tool</x:v>
      </x:c>
      <x:c r="E219" s="9" t="str">
        <x:v>New proposal</x:v>
      </x:c>
      <x:c r="F219" s="9" t="str">
        <x:v>Open rack for a specifically supported food-heating method.</x:v>
      </x:c>
      <x:c r="G219" s="9" t="str">
        <x:v>Unassigned; no new slot approved</x:v>
      </x:c>
      <x:c r="H219" s="9" t="str">
        <x:v>Carrier / placement policy TBD</x:v>
      </x:c>
      <x:c r="I219" s="13"/>
      <x:c r="J219" s="15"/>
      <x:c r="K219" s="9" t="str">
        <x:v>Gathering, specialist craft or trade; exact acquisition TBD</x:v>
      </x:c>
      <x:c r="L219" s="9" t="str">
        <x:v>No cooking, ignition or oxygen-release recipe authored</x:v>
      </x:c>
      <x:c r="M219" s="9" t="str">
        <x:v>Not implemented</x:v>
      </x:c>
      <x:c r="N219" s="9" t="str">
        <x:v>Compatible food and heat source TBD; cooking does not automatically detoxify fauna.</x:v>
      </x:c>
      <x:c r="O219" s="17"/>
      <x:c r="P219" s="17"/>
      <x:c r="Q219" s="17"/>
      <x:c r="R219" s="17"/>
      <x:c r="S219" s="17"/>
      <x:c r="T219" s="9" t="str">
        <x:v>Names are descriptive working labels. Fire-dependent uses are constrained by source atmosphere proposals; no oxygen/flame simulation, nutrition bonus or automatic detoxification.</x:v>
      </x:c>
      <x:c r="U219" s="11"/>
      <x:c r="V219" s="9" t="str">
        <x:v>https://github.com/sleepyseamonster/Arc-Dust/blob/f6f98515c005dc3c73cccd9cbc031691745740c6/02-Arc-Dust-Worldbuilding/world/geography/atmosphere.md</x:v>
      </x:c>
      <x:c r="W219" s="4" t="str">
        <x:v>Tool</x:v>
      </x:c>
      <x:c r="X219" s="4" t="str">
        <x:v>Finished item</x:v>
      </x:c>
      <x:c r="Y219" s="4" t="str">
        <x:v>Manufactured / unresolved</x:v>
      </x:c>
      <x:c r="Z219" s="4" t="str">
        <x:v>Cooking</x:v>
      </x:c>
      <x:c r="AA219" s="4" t="str">
        <x:v>Metal</x:v>
      </x:c>
      <x:c r="AB219" s="4" t="str">
        <x:v>Assembly</x:v>
      </x:c>
      <x:c r="AC219" s="4" t="str">
        <x:v>Proposal</x:v>
      </x:c>
      <x:c r="AD219" s="4" t="str">
        <x:f>LOWER(A219&amp;"; "&amp;B219&amp;"; "&amp;C219&amp;"; "&amp;D219&amp;"; "&amp;W219&amp;"; "&amp;X219&amp;"; "&amp;Y219&amp;"; "&amp;Z219&amp;"; "&amp;AA219&amp;"; "&amp;AB219&amp;"; "&amp;AC219&amp;"; "&amp;U219)</x:f>
        <x:v>proposal.fire.rack; cooking rack; equipment; cooking tool; tool; finished item; manufactured / unresolved; cooking; metal; assembly; proposal; </x:v>
      </x:c>
      <x:c r="AE219" s="4" t="str">
        <x:v>Author direction establishes stone families. Source mechanisms remain proposal-stage; specific equipment functions are proposals.</x:v>
      </x:c>
    </x:row>
    <x:row r="220" ht="115" customHeight="1">
      <x:c r="A220" s="9" t="str">
        <x:v>proposal.fire.pot_stand</x:v>
      </x:c>
      <x:c r="B220" s="9" t="str">
        <x:v>Cooking pot stand</x:v>
      </x:c>
      <x:c r="C220" s="9" t="str">
        <x:v>Equipment</x:v>
      </x:c>
      <x:c r="D220" s="9" t="str">
        <x:v>Cooking tool</x:v>
      </x:c>
      <x:c r="E220" s="9" t="str">
        <x:v>New proposal</x:v>
      </x:c>
      <x:c r="F220" s="9" t="str">
        <x:v>Support a compatible vessel above a managed heat source.</x:v>
      </x:c>
      <x:c r="G220" s="9" t="str">
        <x:v>Unassigned; no new slot approved</x:v>
      </x:c>
      <x:c r="H220" s="9" t="str">
        <x:v>Carrier / placement policy TBD</x:v>
      </x:c>
      <x:c r="I220" s="13"/>
      <x:c r="J220" s="15"/>
      <x:c r="K220" s="9" t="str">
        <x:v>Gathering, specialist craft or trade; exact acquisition TBD</x:v>
      </x:c>
      <x:c r="L220" s="9" t="str">
        <x:v>No cooking, ignition or oxygen-release recipe authored</x:v>
      </x:c>
      <x:c r="M220" s="9" t="str">
        <x:v>Not implemented</x:v>
      </x:c>
      <x:c r="N220" s="9" t="str">
        <x:v>Footprint, heat clearance and field deployment unresolved; no free-standing workstation service implied.</x:v>
      </x:c>
      <x:c r="O220" s="17"/>
      <x:c r="P220" s="17"/>
      <x:c r="Q220" s="17"/>
      <x:c r="R220" s="17"/>
      <x:c r="S220" s="17"/>
      <x:c r="T220" s="9" t="str">
        <x:v>Names are descriptive working labels. Fire-dependent uses are constrained by source atmosphere proposals; no oxygen/flame simulation, nutrition bonus or automatic detoxification.</x:v>
      </x:c>
      <x:c r="U220" s="11"/>
      <x:c r="V220" s="9" t="str">
        <x:v>https://github.com/sleepyseamonster/Arc-Dust/blob/f6f98515c005dc3c73cccd9cbc031691745740c6/02-Arc-Dust-Worldbuilding/world/geography/atmosphere.md</x:v>
      </x:c>
      <x:c r="W220" s="4" t="str">
        <x:v>Tool</x:v>
      </x:c>
      <x:c r="X220" s="4" t="str">
        <x:v>Finished item</x:v>
      </x:c>
      <x:c r="Y220" s="4" t="str">
        <x:v>Manufactured / unresolved</x:v>
      </x:c>
      <x:c r="Z220" s="4" t="str">
        <x:v>Cooking</x:v>
      </x:c>
      <x:c r="AA220" s="4" t="str">
        <x:v>Metal</x:v>
      </x:c>
      <x:c r="AB220" s="4" t="str">
        <x:v>Assembly</x:v>
      </x:c>
      <x:c r="AC220" s="4" t="str">
        <x:v>Proposal</x:v>
      </x:c>
      <x:c r="AD220" s="4" t="str">
        <x:f>LOWER(A220&amp;"; "&amp;B220&amp;"; "&amp;C220&amp;"; "&amp;D220&amp;"; "&amp;W220&amp;"; "&amp;X220&amp;"; "&amp;Y220&amp;"; "&amp;Z220&amp;"; "&amp;AA220&amp;"; "&amp;AB220&amp;"; "&amp;AC220&amp;"; "&amp;U220)</x:f>
        <x:v>proposal.fire.pot_stand; cooking pot stand; equipment; cooking tool; tool; finished item; manufactured / unresolved; cooking; metal; assembly; proposal; </x:v>
      </x:c>
      <x:c r="AE220" s="4" t="str">
        <x:v>Author direction establishes stone families. Source mechanisms remain proposal-stage; specific equipment functions are proposals.</x:v>
      </x:c>
    </x:row>
    <x:row r="221" ht="115" customHeight="1">
      <x:c r="A221" s="9" t="str">
        <x:v>proposal.fire.tongs</x:v>
      </x:c>
      <x:c r="B221" s="9" t="str">
        <x:v>Cooking tongs</x:v>
      </x:c>
      <x:c r="C221" s="9" t="str">
        <x:v>Equipment</x:v>
      </x:c>
      <x:c r="D221" s="9" t="str">
        <x:v>Cooking tool</x:v>
      </x:c>
      <x:c r="E221" s="9" t="str">
        <x:v>New proposal</x:v>
      </x:c>
      <x:c r="F221" s="9" t="str">
        <x:v>Handle compatible hot cooking items.</x:v>
      </x:c>
      <x:c r="G221" s="9" t="str">
        <x:v>Unassigned; no new slot approved</x:v>
      </x:c>
      <x:c r="H221" s="9" t="str">
        <x:v>Carrier / placement policy TBD</x:v>
      </x:c>
      <x:c r="I221" s="13"/>
      <x:c r="J221" s="15"/>
      <x:c r="K221" s="9" t="str">
        <x:v>Gathering, specialist craft or trade; exact acquisition TBD</x:v>
      </x:c>
      <x:c r="L221" s="9" t="str">
        <x:v>No cooking, ignition or oxygen-release recipe authored</x:v>
      </x:c>
      <x:c r="M221" s="9" t="str">
        <x:v>Not implemented</x:v>
      </x:c>
      <x:c r="N221" s="9" t="str">
        <x:v>Contact surfaces, reach and handling behavior TBD; no automatic immunity to heat.</x:v>
      </x:c>
      <x:c r="O221" s="17"/>
      <x:c r="P221" s="17"/>
      <x:c r="Q221" s="17"/>
      <x:c r="R221" s="17"/>
      <x:c r="S221" s="17"/>
      <x:c r="T221" s="9" t="str">
        <x:v>Names are descriptive working labels. Fire-dependent uses are constrained by source atmosphere proposals; no oxygen/flame simulation, nutrition bonus or automatic detoxification.</x:v>
      </x:c>
      <x:c r="U221" s="11"/>
      <x:c r="V221" s="9" t="str">
        <x:v>New game proposal from author cooking direction</x:v>
      </x:c>
      <x:c r="W221" s="4" t="str">
        <x:v>Tool</x:v>
      </x:c>
      <x:c r="X221" s="4" t="str">
        <x:v>Finished item</x:v>
      </x:c>
      <x:c r="Y221" s="4" t="str">
        <x:v>Manufactured / unresolved</x:v>
      </x:c>
      <x:c r="Z221" s="4" t="str">
        <x:v>Cooking</x:v>
      </x:c>
      <x:c r="AA221" s="4" t="str">
        <x:v>Metal</x:v>
      </x:c>
      <x:c r="AB221" s="4" t="str">
        <x:v>Assembly</x:v>
      </x:c>
      <x:c r="AC221" s="4" t="str">
        <x:v>Proposal</x:v>
      </x:c>
      <x:c r="AD221" s="4" t="str">
        <x:f>LOWER(A221&amp;"; "&amp;B221&amp;"; "&amp;C221&amp;"; "&amp;D221&amp;"; "&amp;W221&amp;"; "&amp;X221&amp;"; "&amp;Y221&amp;"; "&amp;Z221&amp;"; "&amp;AA221&amp;"; "&amp;AB221&amp;"; "&amp;AC221&amp;"; "&amp;U221)</x:f>
        <x:v>proposal.fire.tongs; cooking tongs; equipment; cooking tool; tool; finished item; manufactured / unresolved; cooking; metal; assembly; proposal; </x:v>
      </x:c>
      <x:c r="AE221" s="4" t="str">
        <x:v>Author direction establishes stone families. Source mechanisms remain proposal-stage; specific equipment functions are proposals.</x:v>
      </x:c>
    </x:row>
    <x:row r="222" ht="115" customHeight="1">
      <x:c r="A222" s="9" t="str">
        <x:v>proposal.fire.firebox</x:v>
      </x:c>
      <x:c r="B222" s="9" t="str">
        <x:v>Managed cooking firebox</x:v>
      </x:c>
      <x:c r="C222" s="9" t="str">
        <x:v>Equipment</x:v>
      </x:c>
      <x:c r="D222" s="9" t="str">
        <x:v>Fire management</x:v>
      </x:c>
      <x:c r="E222" s="9" t="str">
        <x:v>New proposal</x:v>
      </x:c>
      <x:c r="F222" s="9" t="str">
        <x:v>Contained fire-bed assembly candidate for a chosen low-oxygen cooking setup.</x:v>
      </x:c>
      <x:c r="G222" s="9" t="str">
        <x:v>Unassigned; no new slot approved</x:v>
      </x:c>
      <x:c r="H222" s="9" t="str">
        <x:v>Carrier / placement policy TBD</x:v>
      </x:c>
      <x:c r="I222" s="13"/>
      <x:c r="J222" s="15"/>
      <x:c r="K222" s="9" t="str">
        <x:v>Gathering, specialist craft or trade; exact acquisition TBD</x:v>
      </x:c>
      <x:c r="L222" s="9" t="str">
        <x:v>No cooking, ignition or oxygen-release recipe authored</x:v>
      </x:c>
      <x:c r="M222" s="9" t="str">
        <x:v>Not implemented</x:v>
      </x:c>
      <x:c r="N222" s="9" t="str">
        <x:v>Fuel, intake, exhaust and usable surroundings need design. A box does not create oxygen or make a sealed camp safe.</x:v>
      </x:c>
      <x:c r="O222" s="17"/>
      <x:c r="P222" s="17"/>
      <x:c r="Q222" s="17"/>
      <x:c r="R222" s="17"/>
      <x:c r="S222" s="17"/>
      <x:c r="T222" s="9" t="str">
        <x:v>Names are descriptive working labels. Fire-dependent uses are constrained by source atmosphere proposals; no oxygen/flame simulation, nutrition bonus or automatic detoxification.</x:v>
      </x:c>
      <x:c r="U222" s="11" t="str">
        <x:v>fire management</x:v>
      </x:c>
      <x:c r="V222" s="9" t="str">
        <x:v>https://github.com/sleepyseamonster/Arc-Dust/blob/f6f98515c005dc3c73cccd9cbc031691745740c6/02-Arc-Dust-Worldbuilding/world/geography/atmosphere.md</x:v>
      </x:c>
      <x:c r="W222" s="4" t="str">
        <x:v>Tool</x:v>
      </x:c>
      <x:c r="X222" s="4" t="str">
        <x:v>Finished item</x:v>
      </x:c>
      <x:c r="Y222" s="4" t="str">
        <x:v>Manufactured / unresolved</x:v>
      </x:c>
      <x:c r="Z222" s="4" t="str">
        <x:v>Cooking</x:v>
      </x:c>
      <x:c r="AA222" s="4" t="str">
        <x:v>Mixed / unresolved</x:v>
      </x:c>
      <x:c r="AB222" s="4" t="str">
        <x:v>Assembly</x:v>
      </x:c>
      <x:c r="AC222" s="4" t="str">
        <x:v>Proposal</x:v>
      </x:c>
      <x:c r="AD222" s="4" t="str">
        <x:f>LOWER(A222&amp;"; "&amp;B222&amp;"; "&amp;C222&amp;"; "&amp;D222&amp;"; "&amp;W222&amp;"; "&amp;X222&amp;"; "&amp;Y222&amp;"; "&amp;Z222&amp;"; "&amp;AA222&amp;"; "&amp;AB222&amp;"; "&amp;AC222&amp;"; "&amp;U222)</x:f>
        <x:v>proposal.fire.firebox; managed cooking firebox; equipment; fire management; tool; finished item; manufactured / unresolved; cooking; mixed / unresolved; assembly; proposal; fire management</x:v>
      </x:c>
      <x:c r="AE222" s="4" t="str">
        <x:v>Author direction establishes stone families. Source mechanisms remain proposal-stage; specific equipment functions are proposals.</x:v>
      </x:c>
    </x:row>
    <x:row r="223" ht="115" customHeight="1">
      <x:c r="A223" s="9" t="str">
        <x:v>proposal.fire.wind_baffle</x:v>
      </x:c>
      <x:c r="B223" s="9" t="str">
        <x:v>Cooking wind baffle</x:v>
      </x:c>
      <x:c r="C223" s="9" t="str">
        <x:v>Crafting components</x:v>
      </x:c>
      <x:c r="D223" s="9" t="str">
        <x:v>Fire management</x:v>
      </x:c>
      <x:c r="E223" s="9" t="str">
        <x:v>New proposal</x:v>
      </x:c>
      <x:c r="F223" s="9" t="str">
        <x:v>Shaped screen candidate to reduce disruptive crosswind around a cooking setup.</x:v>
      </x:c>
      <x:c r="G223" s="9" t="str">
        <x:v>Unassigned; no new slot approved</x:v>
      </x:c>
      <x:c r="H223" s="9" t="str">
        <x:v>Carrier / placement policy TBD</x:v>
      </x:c>
      <x:c r="I223" s="13"/>
      <x:c r="J223" s="15"/>
      <x:c r="K223" s="9" t="str">
        <x:v>Gathering, specialist craft or trade; exact acquisition TBD</x:v>
      </x:c>
      <x:c r="L223" s="9" t="str">
        <x:v>No cooking, ignition or oxygen-release recipe authored</x:v>
      </x:c>
      <x:c r="M223" s="9" t="str">
        <x:v>Not implemented</x:v>
      </x:c>
      <x:c r="N223" s="9" t="str">
        <x:v>Airflow and exhaust must remain part of design; wind protection must not be treated as airtight enclosure.</x:v>
      </x:c>
      <x:c r="O223" s="17"/>
      <x:c r="P223" s="17"/>
      <x:c r="Q223" s="17"/>
      <x:c r="R223" s="17"/>
      <x:c r="S223" s="17"/>
      <x:c r="T223" s="9" t="str">
        <x:v>Names are descriptive working labels. Fire-dependent uses are constrained by source atmosphere proposals; no oxygen/flame simulation, nutrition bonus or automatic detoxification.</x:v>
      </x:c>
      <x:c r="U223" s="11" t="str">
        <x:v>cooking</x:v>
      </x:c>
      <x:c r="V223" s="9" t="str">
        <x:v>https://github.com/sleepyseamonster/Arc-Dust/blob/f6f98515c005dc3c73cccd9cbc031691745740c6/02-Arc-Dust-Worldbuilding/world/geography/atmosphere.md</x:v>
      </x:c>
      <x:c r="W223" s="4" t="str">
        <x:v>Crafting component</x:v>
      </x:c>
      <x:c r="X223" s="4" t="str">
        <x:v>Processed intermediate</x:v>
      </x:c>
      <x:c r="Y223" s="4" t="str">
        <x:v>Manufactured / unresolved</x:v>
      </x:c>
      <x:c r="Z223" s="4" t="str">
        <x:v>Fire management</x:v>
      </x:c>
      <x:c r="AA223" s="4" t="str">
        <x:v>Metal</x:v>
      </x:c>
      <x:c r="AB223" s="4" t="str">
        <x:v>Panel</x:v>
      </x:c>
      <x:c r="AC223" s="4" t="str">
        <x:v>Proposal</x:v>
      </x:c>
      <x:c r="AD223" s="4" t="str">
        <x:f>LOWER(A223&amp;"; "&amp;B223&amp;"; "&amp;C223&amp;"; "&amp;D223&amp;"; "&amp;W223&amp;"; "&amp;X223&amp;"; "&amp;Y223&amp;"; "&amp;Z223&amp;"; "&amp;AA223&amp;"; "&amp;AB223&amp;"; "&amp;AC223&amp;"; "&amp;U223)</x:f>
        <x:v>proposal.fire.wind_baffle; cooking wind baffle; crafting components; fire management; crafting component; processed intermediate; manufactured / unresolved; fire management; metal; panel; proposal; cooking</x:v>
      </x:c>
      <x:c r="AE223" s="4" t="str">
        <x:v>Author direction establishes stone families. Source mechanisms remain proposal-stage; specific equipment functions are proposals.</x:v>
      </x:c>
    </x:row>
    <x:row r="224" ht="115" customHeight="1">
      <x:c r="A224" s="9" t="str">
        <x:v>proposal.fire.draft_collar</x:v>
      </x:c>
      <x:c r="B224" s="9" t="str">
        <x:v>Cooking draft collar</x:v>
      </x:c>
      <x:c r="C224" s="9" t="str">
        <x:v>Crafting components</x:v>
      </x:c>
      <x:c r="D224" s="9" t="str">
        <x:v>Fire management</x:v>
      </x:c>
      <x:c r="E224" s="9" t="str">
        <x:v>New proposal</x:v>
      </x:c>
      <x:c r="F224" s="9" t="str">
        <x:v>Fitted intake/draft part candidate for a compatible cooking firebox.</x:v>
      </x:c>
      <x:c r="G224" s="9" t="str">
        <x:v>Unassigned; no new slot approved</x:v>
      </x:c>
      <x:c r="H224" s="9" t="str">
        <x:v>Carrier / placement policy TBD</x:v>
      </x:c>
      <x:c r="I224" s="13"/>
      <x:c r="J224" s="15"/>
      <x:c r="K224" s="9" t="str">
        <x:v>Gathering, specialist craft or trade; exact acquisition TBD</x:v>
      </x:c>
      <x:c r="L224" s="9" t="str">
        <x:v>No cooking, ignition or oxygen-release recipe authored</x:v>
      </x:c>
      <x:c r="M224" s="9" t="str">
        <x:v>Not implemented</x:v>
      </x:c>
      <x:c r="N224" s="9" t="str">
        <x:v>Proposed small-cooker adaptation of source draft engineering, not a proven design or oxygen-generating device.</x:v>
      </x:c>
      <x:c r="O224" s="17"/>
      <x:c r="P224" s="17"/>
      <x:c r="Q224" s="17"/>
      <x:c r="R224" s="17"/>
      <x:c r="S224" s="17"/>
      <x:c r="T224" s="9" t="str">
        <x:v>Names are descriptive working labels. Fire-dependent uses are constrained by source atmosphere proposals; no oxygen/flame simulation, nutrition bonus or automatic detoxification.</x:v>
      </x:c>
      <x:c r="U224" s="11" t="str">
        <x:v>cooking</x:v>
      </x:c>
      <x:c r="V224" s="9" t="str">
        <x:v>https://github.com/sleepyseamonster/Arc-Dust/blob/f6f98515c005dc3c73cccd9cbc031691745740c6/02-Arc-Dust-Worldbuilding/world/geography/atmosphere.md</x:v>
      </x:c>
      <x:c r="W224" s="4" t="str">
        <x:v>Crafting component</x:v>
      </x:c>
      <x:c r="X224" s="4" t="str">
        <x:v>Processed intermediate</x:v>
      </x:c>
      <x:c r="Y224" s="4" t="str">
        <x:v>Manufactured / unresolved</x:v>
      </x:c>
      <x:c r="Z224" s="4" t="str">
        <x:v>Fire management</x:v>
      </x:c>
      <x:c r="AA224" s="4" t="str">
        <x:v>Ceramic</x:v>
      </x:c>
      <x:c r="AB224" s="4" t="str">
        <x:v>Solid part</x:v>
      </x:c>
      <x:c r="AC224" s="4" t="str">
        <x:v>Proposal</x:v>
      </x:c>
      <x:c r="AD224" s="4" t="str">
        <x:f>LOWER(A224&amp;"; "&amp;B224&amp;"; "&amp;C224&amp;"; "&amp;D224&amp;"; "&amp;W224&amp;"; "&amp;X224&amp;"; "&amp;Y224&amp;"; "&amp;Z224&amp;"; "&amp;AA224&amp;"; "&amp;AB224&amp;"; "&amp;AC224&amp;"; "&amp;U224)</x:f>
        <x:v>proposal.fire.draft_collar; cooking draft collar; crafting components; fire management; crafting component; processed intermediate; manufactured / unresolved; fire management; ceramic; solid part; proposal; cooking</x:v>
      </x:c>
      <x:c r="AE224" s="4" t="str">
        <x:v>Author direction establishes stone families. Source mechanisms remain proposal-stage; specific equipment functions are proposals.</x:v>
      </x:c>
    </x:row>
    <x:row r="225" ht="115" customHeight="1">
      <x:c r="A225" s="9" t="str">
        <x:v>proposal.fire.heat_shroud</x:v>
      </x:c>
      <x:c r="B225" s="9" t="str">
        <x:v>Cooking heat shroud</x:v>
      </x:c>
      <x:c r="C225" s="9" t="str">
        <x:v>Crafting components</x:v>
      </x:c>
      <x:c r="D225" s="9" t="str">
        <x:v>Fire management</x:v>
      </x:c>
      <x:c r="E225" s="9" t="str">
        <x:v>New proposal</x:v>
      </x:c>
      <x:c r="F225" s="9" t="str">
        <x:v>Shaped ceramic panel candidate around a selected heat path.</x:v>
      </x:c>
      <x:c r="G225" s="9" t="str">
        <x:v>Unassigned; no new slot approved</x:v>
      </x:c>
      <x:c r="H225" s="9" t="str">
        <x:v>Carrier / placement policy TBD</x:v>
      </x:c>
      <x:c r="I225" s="13"/>
      <x:c r="J225" s="15"/>
      <x:c r="K225" s="9" t="str">
        <x:v>Gathering, specialist craft or trade; exact acquisition TBD</x:v>
      </x:c>
      <x:c r="L225" s="9" t="str">
        <x:v>No cooking, ignition or oxygen-release recipe authored</x:v>
      </x:c>
      <x:c r="M225" s="9" t="str">
        <x:v>Not implemented</x:v>
      </x:c>
      <x:c r="N225" s="9" t="str">
        <x:v>Service grade, mounting and actual heat performance undefined; reuse ceramic lining craft family where possible.</x:v>
      </x:c>
      <x:c r="O225" s="17"/>
      <x:c r="P225" s="17"/>
      <x:c r="Q225" s="17"/>
      <x:c r="R225" s="17"/>
      <x:c r="S225" s="17"/>
      <x:c r="T225" s="9" t="str">
        <x:v>Names are descriptive working labels. Fire-dependent uses are constrained by source atmosphere proposals; no oxygen/flame simulation, nutrition bonus or automatic detoxification.</x:v>
      </x:c>
      <x:c r="U225" s="11" t="str">
        <x:v>protective fabrication</x:v>
      </x:c>
      <x:c r="V225" s="9" t="str">
        <x:v>https://github.com/sleepyseamonster/Arc-Dust/blob/f6f98515c005dc3c73cccd9cbc031691745740c6/02-Arc-Dust-Worldbuilding/world/geography/atmosphere.md</x:v>
      </x:c>
      <x:c r="W225" s="4" t="str">
        <x:v>Crafting component</x:v>
      </x:c>
      <x:c r="X225" s="4" t="str">
        <x:v>Processed intermediate</x:v>
      </x:c>
      <x:c r="Y225" s="4" t="str">
        <x:v>Manufactured / unresolved</x:v>
      </x:c>
      <x:c r="Z225" s="4" t="str">
        <x:v>Cooking</x:v>
      </x:c>
      <x:c r="AA225" s="4" t="str">
        <x:v>Ceramic</x:v>
      </x:c>
      <x:c r="AB225" s="4" t="str">
        <x:v>Panel</x:v>
      </x:c>
      <x:c r="AC225" s="4" t="str">
        <x:v>Proposal</x:v>
      </x:c>
      <x:c r="AD225" s="4" t="str">
        <x:f>LOWER(A225&amp;"; "&amp;B225&amp;"; "&amp;C225&amp;"; "&amp;D225&amp;"; "&amp;W225&amp;"; "&amp;X225&amp;"; "&amp;Y225&amp;"; "&amp;Z225&amp;"; "&amp;AA225&amp;"; "&amp;AB225&amp;"; "&amp;AC225&amp;"; "&amp;U225)</x:f>
        <x:v>proposal.fire.heat_shroud; cooking heat shroud; crafting components; fire management; crafting component; processed intermediate; manufactured / unresolved; cooking; ceramic; panel; proposal; protective fabrication</x:v>
      </x:c>
      <x:c r="AE225" s="4" t="str">
        <x:v>Author direction establishes stone families. Source mechanisms remain proposal-stage; specific equipment functions are proposals.</x:v>
      </x:c>
    </x:row>
    <x:row r="226" ht="115" customHeight="1">
      <x:c r="A226" s="9" t="str">
        <x:v>proposal.fire.glow_holder</x:v>
      </x:c>
      <x:c r="B226" s="9" t="str">
        <x:v>Shuttered glow-stone holder</x:v>
      </x:c>
      <x:c r="C226" s="9" t="str">
        <x:v>Equipment</x:v>
      </x:c>
      <x:c r="D226" s="9" t="str">
        <x:v>Mineral light</x:v>
      </x:c>
      <x:c r="E226" s="9" t="str">
        <x:v>New proposal</x:v>
      </x:c>
      <x:c r="F226" s="9" t="str">
        <x:v>Carrier with a movable cover for a selected glowing stone.</x:v>
      </x:c>
      <x:c r="G226" s="9" t="str">
        <x:v>Unassigned; no new slot approved</x:v>
      </x:c>
      <x:c r="H226" s="9" t="str">
        <x:v>Carrier / placement policy TBD</x:v>
      </x:c>
      <x:c r="I226" s="13"/>
      <x:c r="J226" s="15"/>
      <x:c r="K226" s="9" t="str">
        <x:v>Gathering, specialist craft or trade; exact acquisition TBD</x:v>
      </x:c>
      <x:c r="L226" s="9" t="str">
        <x:v>No cooking, ignition or oxygen-release recipe authored</x:v>
      </x:c>
      <x:c r="M226" s="9" t="str">
        <x:v>Not implemented</x:v>
      </x:c>
      <x:c r="N226" s="9" t="str">
        <x:v>Holder is separate from its stone payload. It may expose or cover light, but does not establish charging, fuel, heat or brightness behavior.</x:v>
      </x:c>
      <x:c r="O226" s="17"/>
      <x:c r="P226" s="17"/>
      <x:c r="Q226" s="17"/>
      <x:c r="R226" s="17"/>
      <x:c r="S226" s="17"/>
      <x:c r="T226" s="9" t="str">
        <x:v>Names are descriptive working labels. Fire-dependent uses are constrained by source atmosphere proposals; no oxygen/flame simulation, nutrition bonus or automatic detoxification.</x:v>
      </x:c>
      <x:c r="U226" s="11"/>
      <x:c r="V226" s="9" t="str">
        <x:v>New game proposal from author glowing-stone direction</x:v>
      </x:c>
      <x:c r="W226" s="4" t="str">
        <x:v>Tool</x:v>
      </x:c>
      <x:c r="X226" s="4" t="str">
        <x:v>Finished item</x:v>
      </x:c>
      <x:c r="Y226" s="4" t="str">
        <x:v>Manufactured / unresolved</x:v>
      </x:c>
      <x:c r="Z226" s="4" t="str">
        <x:v>Illumination</x:v>
      </x:c>
      <x:c r="AA226" s="4" t="str">
        <x:v>Mixed / unresolved</x:v>
      </x:c>
      <x:c r="AB226" s="4" t="str">
        <x:v>Assembly</x:v>
      </x:c>
      <x:c r="AC226" s="4" t="str">
        <x:v>Proposal</x:v>
      </x:c>
      <x:c r="AD226" s="4" t="str">
        <x:f>LOWER(A226&amp;"; "&amp;B226&amp;"; "&amp;C226&amp;"; "&amp;D226&amp;"; "&amp;W226&amp;"; "&amp;X226&amp;"; "&amp;Y226&amp;"; "&amp;Z226&amp;"; "&amp;AA226&amp;"; "&amp;AB226&amp;"; "&amp;AC226&amp;"; "&amp;U226)</x:f>
        <x:v>proposal.fire.glow_holder; shuttered glow-stone holder; equipment; mineral light; tool; finished item; manufactured / unresolved; illumination; mixed / unresolved; assembly; proposal; </x:v>
      </x:c>
      <x:c r="AE226" s="4" t="str">
        <x:v>Author direction establishes stone families. Source mechanisms remain proposal-stage; specific equipment functions are proposals.</x:v>
      </x:c>
    </x:row>
    <x:row r="227" ht="115" customHeight="1">
      <x:c r="A227" s="9" t="str">
        <x:v>proposal.lubricant.base</x:v>
      </x:c>
      <x:c r="B227" s="9" t="str">
        <x:v>Clarified faunal lubricant base</x:v>
      </x:c>
      <x:c r="C227" s="9" t="str">
        <x:v>Resources</x:v>
      </x:c>
      <x:c r="D227" s="9" t="str">
        <x:v>Lubricant intermediate</x:v>
      </x:c>
      <x:c r="E227" s="9" t="str">
        <x:v>New proposal</x:v>
      </x:c>
      <x:c r="F227" s="9" t="str">
        <x:v>Select a candidate lubricating liquid fraction from existing joint secretion or a suitable species-specific metabolic fluid.</x:v>
      </x:c>
      <x:c r="G227" s="9" t="str">
        <x:v>None</x:v>
      </x:c>
      <x:c r="H227" s="9" t="str">
        <x:v>Contained chemical cargo; carrier policy TBD</x:v>
      </x:c>
      <x:c r="I227" s="13"/>
      <x:c r="J227" s="15"/>
      <x:c r="K227" s="9" t="str">
        <x:v>Process existing faunal secretions in a specialist workshop; exact species and route TBD</x:v>
      </x:c>
      <x:c r="L227" s="9" t="str">
        <x:v>Proposed stages: segregated collection, separation, selected-fraction preparation, compatible formulation, service-specific testing. No formula or numeric yield.</x:v>
      </x:c>
      <x:c r="M227" s="9" t="str">
        <x:v>Not implemented</x:v>
      </x:c>
      <x:c r="N227" s="9" t="str">
        <x:v>Separate grit, hard-clotting fractions and unwanted chemistry; exact apparatus, stabilization, yield and residual toxicity unresolved.</x:v>
      </x:c>
      <x:c r="O227" s="17"/>
      <x:c r="P227" s="17"/>
      <x:c r="Q227" s="17"/>
      <x:c r="R227" s="17"/>
      <x:c r="S227" s="17"/>
      <x:c r="T227" s="9" t="str">
        <x:v>Toxic industrial chemistry remains separate from food. Quality, batch consistency and specialist refinement may drive value; no price, spoilage or maintenance timer assigned.</x:v>
      </x:c>
      <x:c r="U227" s="11" t="str">
        <x:v>grease; lubricant; fauna chemistry; lubrication</x:v>
      </x:c>
      <x:c r="V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7" s="4" t="str">
        <x:v>Chemical material</x:v>
      </x:c>
      <x:c r="X227" s="4" t="str">
        <x:v>Processed intermediate</x:v>
      </x:c>
      <x:c r="Y227" s="4" t="str">
        <x:v>Fauna</x:v>
      </x:c>
      <x:c r="Z227" s="4" t="str">
        <x:v>Chemical processing</x:v>
      </x:c>
      <x:c r="AA227" s="4" t="str">
        <x:v>Biological chemical</x:v>
      </x:c>
      <x:c r="AB227" s="4" t="str">
        <x:v>Liquid</x:v>
      </x:c>
      <x:c r="AC227" s="4" t="str">
        <x:v>Proposal</x:v>
      </x:c>
      <x:c r="AD227" s="4" t="str">
        <x:f>LOWER(A227&amp;"; "&amp;B227&amp;"; "&amp;C227&amp;"; "&amp;D227&amp;"; "&amp;W227&amp;"; "&amp;X227&amp;"; "&amp;Y227&amp;"; "&amp;Z227&amp;"; "&amp;AA227&amp;"; "&amp;AB227&amp;"; "&amp;AC227&amp;"; "&amp;U227)</x:f>
        <x:v>proposal.lubricant.base; clarified faunal lubricant base; resources; lubricant intermediate; chemical material; processed intermediate; fauna; chemical processing; biological chemical; liquid; proposal; grease; lubricant; fauna chemistry; lubrication</x:v>
      </x:c>
      <x:c r="AE227" s="4" t="str">
        <x:v>Specific formulation is proposed; source oils and existing joint secretion are references, not validated recipes.</x:v>
      </x:c>
    </x:row>
    <x:row r="228" ht="115" customHeight="1">
      <x:c r="A228" s="9" t="str">
        <x:v>proposal.lubricant.thickener</x:v>
      </x:c>
      <x:c r="B228" s="9" t="str">
        <x:v>Prepared secretion thickener</x:v>
      </x:c>
      <x:c r="C228" s="9" t="str">
        <x:v>Resources</x:v>
      </x:c>
      <x:c r="D228" s="9" t="str">
        <x:v>Lubricant intermediate</x:v>
      </x:c>
      <x:c r="E228" s="9" t="str">
        <x:v>New proposal</x:v>
      </x:c>
      <x:c r="F228" s="9" t="str">
        <x:v>Selected biological fraction proposed to give a compatible lubricant body and retention.</x:v>
      </x:c>
      <x:c r="G228" s="9" t="str">
        <x:v>None</x:v>
      </x:c>
      <x:c r="H228" s="9" t="str">
        <x:v>Contained chemical cargo; carrier policy TBD</x:v>
      </x:c>
      <x:c r="I228" s="13"/>
      <x:c r="J228" s="15"/>
      <x:c r="K228" s="9" t="str">
        <x:v>Process existing faunal secretions in a specialist workshop; exact species and route TBD</x:v>
      </x:c>
      <x:c r="L228" s="9" t="str">
        <x:v>Proposed stages: segregated collection, separation, selected-fraction preparation, compatible formulation, service-specific testing. No formula or numeric yield.</x:v>
      </x:c>
      <x:c r="M228" s="9" t="str">
        <x:v>Not implemented</x:v>
      </x:c>
      <x:c r="N228" s="9" t="str">
        <x:v>New research candidate, not automatic use of shell glue, husk enzymes, wax or conventional animal fat. It must remain workable rather than cure hard.</x:v>
      </x:c>
      <x:c r="O228" s="17"/>
      <x:c r="P228" s="17"/>
      <x:c r="Q228" s="17"/>
      <x:c r="R228" s="17"/>
      <x:c r="S228" s="17"/>
      <x:c r="T228" s="9" t="str">
        <x:v>Toxic industrial chemistry remains separate from food. Quality, batch consistency and specialist refinement may drive value; no price, spoilage or maintenance timer assigned.</x:v>
      </x:c>
      <x:c r="U228" s="11" t="str">
        <x:v>grease; lubricant; fauna chemistry; lubrication</x:v>
      </x:c>
      <x:c r="V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8" s="4" t="str">
        <x:v>Chemical material</x:v>
      </x:c>
      <x:c r="X228" s="4" t="str">
        <x:v>Processed intermediate</x:v>
      </x:c>
      <x:c r="Y228" s="4" t="str">
        <x:v>Fauna</x:v>
      </x:c>
      <x:c r="Z228" s="4" t="str">
        <x:v>Chemical processing</x:v>
      </x:c>
      <x:c r="AA228" s="4" t="str">
        <x:v>Biological chemical</x:v>
      </x:c>
      <x:c r="AB228" s="4" t="str">
        <x:v>Unresolved</x:v>
      </x:c>
      <x:c r="AC228" s="4" t="str">
        <x:v>Proposal</x:v>
      </x:c>
      <x:c r="AD228" s="4" t="str">
        <x:f>LOWER(A228&amp;"; "&amp;B228&amp;"; "&amp;C228&amp;"; "&amp;D228&amp;"; "&amp;W228&amp;"; "&amp;X228&amp;"; "&amp;Y228&amp;"; "&amp;Z228&amp;"; "&amp;AA228&amp;"; "&amp;AB228&amp;"; "&amp;AC228&amp;"; "&amp;U228)</x:f>
        <x:v>proposal.lubricant.thickener; prepared secretion thickener; resources; lubricant intermediate; chemical material; processed intermediate; fauna; chemical processing; biological chemical; unresolved; proposal; grease; lubricant; fauna chemistry; lubrication</x:v>
      </x:c>
      <x:c r="AE228" s="4" t="str">
        <x:v>Specific formulation is proposed; source oils and existing joint secretion are references, not validated recipes.</x:v>
      </x:c>
    </x:row>
    <x:row r="229" ht="115" customHeight="1">
      <x:c r="A229" s="9" t="str">
        <x:v>proposal.lubricant.joint_grease</x:v>
      </x:c>
      <x:c r="B229" s="9" t="str">
        <x:v>Faunal joint grease</x:v>
      </x:c>
      <x:c r="C229" s="9" t="str">
        <x:v>Resources</x:v>
      </x:c>
      <x:c r="D229" s="9" t="str">
        <x:v>Finished lubricant</x:v>
      </x:c>
      <x:c r="E229" s="9" t="str">
        <x:v>New proposal</x:v>
      </x:c>
      <x:c r="F229" s="9" t="str">
        <x:v>Lubricant base plus a compatible prepared thickener, proposed for slow mechanical pivots and heavy joints.</x:v>
      </x:c>
      <x:c r="G229" s="9" t="str">
        <x:v>None</x:v>
      </x:c>
      <x:c r="H229" s="9" t="str">
        <x:v>Contained chemical cargo; carrier policy TBD</x:v>
      </x:c>
      <x:c r="I229" s="13"/>
      <x:c r="J229" s="15"/>
      <x:c r="K229" s="9" t="str">
        <x:v>Process existing faunal secretions in a specialist workshop; exact species and route TBD</x:v>
      </x:c>
      <x:c r="L229" s="9" t="str">
        <x:v>Proposed stages: segregated collection, separation, selected-fraction preparation, compatible formulation, service-specific testing. No formula or numeric yield.</x:v>
      </x:c>
      <x:c r="M229" s="9" t="str">
        <x:v>Not implemented</x:v>
      </x:c>
      <x:c r="N229" s="9" t="str">
        <x:v>Application, consistency, seal fit and service interval TBD. Raw secretion is not ready-to-use universal grease.</x:v>
      </x:c>
      <x:c r="O229" s="17"/>
      <x:c r="P229" s="17"/>
      <x:c r="Q229" s="17"/>
      <x:c r="R229" s="17"/>
      <x:c r="S229" s="17"/>
      <x:c r="T229" s="9" t="str">
        <x:v>Toxic industrial chemistry remains separate from food. Quality, batch consistency and specialist refinement may drive value; no price, spoilage or maintenance timer assigned.</x:v>
      </x:c>
      <x:c r="U229" s="11" t="str">
        <x:v>grease; lubricant; fauna chemistry; equipment repair</x:v>
      </x:c>
      <x:c r="V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29" s="4" t="str">
        <x:v>Chemical material</x:v>
      </x:c>
      <x:c r="X229" s="4" t="str">
        <x:v>Finished item</x:v>
      </x:c>
      <x:c r="Y229" s="4" t="str">
        <x:v>Fauna</x:v>
      </x:c>
      <x:c r="Z229" s="4" t="str">
        <x:v>Lubrication</x:v>
      </x:c>
      <x:c r="AA229" s="4" t="str">
        <x:v>Biological chemical</x:v>
      </x:c>
      <x:c r="AB229" s="4" t="str">
        <x:v>Paste</x:v>
      </x:c>
      <x:c r="AC229" s="4" t="str">
        <x:v>Proposal</x:v>
      </x:c>
      <x:c r="AD229" s="4" t="str">
        <x:f>LOWER(A229&amp;"; "&amp;B229&amp;"; "&amp;C229&amp;"; "&amp;D229&amp;"; "&amp;W229&amp;"; "&amp;X229&amp;"; "&amp;Y229&amp;"; "&amp;Z229&amp;"; "&amp;AA229&amp;"; "&amp;AB229&amp;"; "&amp;AC229&amp;"; "&amp;U229)</x:f>
        <x:v>proposal.lubricant.joint_grease; faunal joint grease; resources; finished lubricant; chemical material; finished item; fauna; lubrication; biological chemical; paste; proposal; grease; lubricant; fauna chemistry; equipment repair</x:v>
      </x:c>
      <x:c r="AE229" s="4" t="str">
        <x:v>Specific formulation is proposed; source oils and existing joint secretion are references, not validated recipes.</x:v>
      </x:c>
    </x:row>
    <x:row r="230" ht="115" customHeight="1">
      <x:c r="A230" s="9" t="str">
        <x:v>proposal.lubricant.dust_film</x:v>
      </x:c>
      <x:c r="B230" s="9" t="str">
        <x:v>Dust-shedding lubricant film</x:v>
      </x:c>
      <x:c r="C230" s="9" t="str">
        <x:v>Resources</x:v>
      </x:c>
      <x:c r="D230" s="9" t="str">
        <x:v>Finished lubricant</x:v>
      </x:c>
      <x:c r="E230" s="9" t="str">
        <x:v>New proposal</x:v>
      </x:c>
      <x:c r="F230" s="9" t="str">
        <x:v>Candidate thin-film finish for exposed tool slides and guides in dusty terrain.</x:v>
      </x:c>
      <x:c r="G230" s="9" t="str">
        <x:v>None</x:v>
      </x:c>
      <x:c r="H230" s="9" t="str">
        <x:v>Contained chemical cargo; carrier policy TBD</x:v>
      </x:c>
      <x:c r="I230" s="13"/>
      <x:c r="J230" s="15"/>
      <x:c r="K230" s="9" t="str">
        <x:v>Process existing faunal secretions in a specialist workshop; exact species and route TBD</x:v>
      </x:c>
      <x:c r="L230" s="9" t="str">
        <x:v>Proposed stages: segregated collection, separation, selected-fraction preparation, compatible formulation, service-specific testing. No formula or numeric yield.</x:v>
      </x:c>
      <x:c r="M230" s="9" t="str">
        <x:v>Not implemented</x:v>
      </x:c>
      <x:c r="N230" s="9" t="str">
        <x:v>Design goal: avoid a persistent sticky exposed coating. Film formation, dust behavior and reapplication remain unverified.</x:v>
      </x:c>
      <x:c r="O230" s="17"/>
      <x:c r="P230" s="17"/>
      <x:c r="Q230" s="17"/>
      <x:c r="R230" s="17"/>
      <x:c r="S230" s="17"/>
      <x:c r="T230" s="9" t="str">
        <x:v>Toxic industrial chemistry remains separate from food. Quality, batch consistency and specialist refinement may drive value; no price, spoilage or maintenance timer assigned.</x:v>
      </x:c>
      <x:c r="U230" s="11" t="str">
        <x:v>grease; lubricant; fauna chemistry; dust exclusion</x:v>
      </x:c>
      <x:c r="V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0" s="4" t="str">
        <x:v>Chemical material</x:v>
      </x:c>
      <x:c r="X230" s="4" t="str">
        <x:v>Finished item</x:v>
      </x:c>
      <x:c r="Y230" s="4" t="str">
        <x:v>Fauna</x:v>
      </x:c>
      <x:c r="Z230" s="4" t="str">
        <x:v>Lubrication</x:v>
      </x:c>
      <x:c r="AA230" s="4" t="str">
        <x:v>Biological chemical</x:v>
      </x:c>
      <x:c r="AB230" s="4" t="str">
        <x:v>Unresolved</x:v>
      </x:c>
      <x:c r="AC230" s="4" t="str">
        <x:v>Proposal</x:v>
      </x:c>
      <x:c r="AD230" s="4" t="str">
        <x:f>LOWER(A230&amp;"; "&amp;B230&amp;"; "&amp;C230&amp;"; "&amp;D230&amp;"; "&amp;W230&amp;"; "&amp;X230&amp;"; "&amp;Y230&amp;"; "&amp;Z230&amp;"; "&amp;AA230&amp;"; "&amp;AB230&amp;"; "&amp;AC230&amp;"; "&amp;U230)</x:f>
        <x:v>proposal.lubricant.dust_film; dust-shedding lubricant film; resources; finished lubricant; chemical material; finished item; fauna; lubrication; biological chemical; unresolved; proposal; grease; lubricant; fauna chemistry; dust exclusion</x:v>
      </x:c>
      <x:c r="AE230" s="4" t="str">
        <x:v>Specific formulation is proposed; source oils and existing joint secretion are references, not validated recipes.</x:v>
      </x:c>
    </x:row>
    <x:row r="231" ht="115" customHeight="1">
      <x:c r="A231" s="9" t="str">
        <x:v>proposal.lubricant.seal_paste</x:v>
      </x:c>
      <x:c r="B231" s="9" t="str">
        <x:v>Seal-conditioning paste</x:v>
      </x:c>
      <x:c r="C231" s="9" t="str">
        <x:v>Resources</x:v>
      </x:c>
      <x:c r="D231" s="9" t="str">
        <x:v>Finished lubricant</x:v>
      </x:c>
      <x:c r="E231" s="9" t="str">
        <x:v>New proposal</x:v>
      </x:c>
      <x:c r="F231" s="9" t="str">
        <x:v>Candidate small-dose conditioner for a specifically compatible canister seal material.</x:v>
      </x:c>
      <x:c r="G231" s="9" t="str">
        <x:v>None</x:v>
      </x:c>
      <x:c r="H231" s="9" t="str">
        <x:v>Contained chemical cargo; carrier policy TBD</x:v>
      </x:c>
      <x:c r="I231" s="13"/>
      <x:c r="J231" s="15"/>
      <x:c r="K231" s="9" t="str">
        <x:v>Process existing faunal secretions in a specialist workshop; exact species and route TBD</x:v>
      </x:c>
      <x:c r="L231" s="9" t="str">
        <x:v>Proposed stages: segregated collection, separation, selected-fraction preparation, compatible formulation, service-specific testing. No formula or numeric yield.</x:v>
      </x:c>
      <x:c r="M231" s="9" t="str">
        <x:v>Not implemented</x:v>
      </x:c>
      <x:c r="N231" s="9" t="str">
        <x:v>Not a sealant, adhesive or repair for a broken seal. Must not contaminate the payload or damage the selected seal.</x:v>
      </x:c>
      <x:c r="O231" s="17"/>
      <x:c r="P231" s="17"/>
      <x:c r="Q231" s="17"/>
      <x:c r="R231" s="17"/>
      <x:c r="S231" s="17"/>
      <x:c r="T231" s="9" t="str">
        <x:v>Toxic industrial chemistry remains separate from food. Quality, batch consistency and specialist refinement may drive value; no price, spoilage or maintenance timer assigned.</x:v>
      </x:c>
      <x:c r="U231" s="11" t="str">
        <x:v>grease; lubricant; fauna chemistry; sealing</x:v>
      </x:c>
      <x:c r="V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1" s="4" t="str">
        <x:v>Chemical material</x:v>
      </x:c>
      <x:c r="X231" s="4" t="str">
        <x:v>Finished item</x:v>
      </x:c>
      <x:c r="Y231" s="4" t="str">
        <x:v>Fauna</x:v>
      </x:c>
      <x:c r="Z231" s="4" t="str">
        <x:v>Lubrication</x:v>
      </x:c>
      <x:c r="AA231" s="4" t="str">
        <x:v>Biological chemical</x:v>
      </x:c>
      <x:c r="AB231" s="4" t="str">
        <x:v>Paste</x:v>
      </x:c>
      <x:c r="AC231" s="4" t="str">
        <x:v>Proposal</x:v>
      </x:c>
      <x:c r="AD231" s="4" t="str">
        <x:f>LOWER(A231&amp;"; "&amp;B231&amp;"; "&amp;C231&amp;"; "&amp;D231&amp;"; "&amp;W231&amp;"; "&amp;X231&amp;"; "&amp;Y231&amp;"; "&amp;Z231&amp;"; "&amp;AA231&amp;"; "&amp;AB231&amp;"; "&amp;AC231&amp;"; "&amp;U231)</x:f>
        <x:v>proposal.lubricant.seal_paste; seal-conditioning paste; resources; finished lubricant; chemical material; finished item; fauna; lubrication; biological chemical; paste; proposal; grease; lubricant; fauna chemistry; sealing</x:v>
      </x:c>
      <x:c r="AE231" s="4" t="str">
        <x:v>Specific formulation is proposed; source oils and existing joint secretion are references, not validated recipes.</x:v>
      </x:c>
    </x:row>
    <x:row r="232" ht="115" customHeight="1">
      <x:c r="A232" s="9" t="str">
        <x:v>proposal.lubricant.graphite_grease</x:v>
      </x:c>
      <x:c r="B232" s="9" t="str">
        <x:v>Graphite faunal grease</x:v>
      </x:c>
      <x:c r="C232" s="9" t="str">
        <x:v>Resources</x:v>
      </x:c>
      <x:c r="D232" s="9" t="str">
        <x:v>Finished lubricant</x:v>
      </x:c>
      <x:c r="E232" s="9" t="str">
        <x:v>New proposal</x:v>
      </x:c>
      <x:c r="F232" s="9" t="str">
        <x:v>Candidate lubricating blend using existing graded graphite flakes in a compatible faunal carrier.</x:v>
      </x:c>
      <x:c r="G232" s="9" t="str">
        <x:v>None</x:v>
      </x:c>
      <x:c r="H232" s="9" t="str">
        <x:v>Contained chemical cargo; carrier policy TBD</x:v>
      </x:c>
      <x:c r="I232" s="13"/>
      <x:c r="J232" s="15"/>
      <x:c r="K232" s="9" t="str">
        <x:v>Process existing faunal secretions in a specialist workshop; exact species and route TBD</x:v>
      </x:c>
      <x:c r="L232" s="9" t="str">
        <x:v>Proposed stages: segregated collection, separation, selected-fraction preparation, compatible formulation, service-specific testing. No formula or numeric yield.</x:v>
      </x:c>
      <x:c r="M232" s="9" t="str">
        <x:v>Not implemented</x:v>
      </x:c>
      <x:c r="N232" s="9" t="str">
        <x:v>Particle grade and part compatibility TBD. Keep electrical-contact behavior separate; no universal lubricant for every machine.</x:v>
      </x:c>
      <x:c r="O232" s="17"/>
      <x:c r="P232" s="17"/>
      <x:c r="Q232" s="17"/>
      <x:c r="R232" s="17"/>
      <x:c r="S232" s="17"/>
      <x:c r="T232" s="9" t="str">
        <x:v>Toxic industrial chemistry remains separate from food. Quality, batch consistency and specialist refinement may drive value; no price, spoilage or maintenance timer assigned.</x:v>
      </x:c>
      <x:c r="U232" s="11" t="str">
        <x:v>grease; lubricant; fauna chemistry; equipment repair</x:v>
      </x:c>
      <x:c r="V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2" s="4" t="str">
        <x:v>Chemical material</x:v>
      </x:c>
      <x:c r="X232" s="4" t="str">
        <x:v>Finished item</x:v>
      </x:c>
      <x:c r="Y232" s="4" t="str">
        <x:v>Fauna</x:v>
      </x:c>
      <x:c r="Z232" s="4" t="str">
        <x:v>Lubrication</x:v>
      </x:c>
      <x:c r="AA232" s="4" t="str">
        <x:v>Biological and mineral mixture</x:v>
      </x:c>
      <x:c r="AB232" s="4" t="str">
        <x:v>Paste</x:v>
      </x:c>
      <x:c r="AC232" s="4" t="str">
        <x:v>Proposal</x:v>
      </x:c>
      <x:c r="AD232" s="4" t="str">
        <x:f>LOWER(A232&amp;"; "&amp;B232&amp;"; "&amp;C232&amp;"; "&amp;D232&amp;"; "&amp;W232&amp;"; "&amp;X232&amp;"; "&amp;Y232&amp;"; "&amp;Z232&amp;"; "&amp;AA232&amp;"; "&amp;AB232&amp;"; "&amp;AC232&amp;"; "&amp;U232)</x:f>
        <x:v>proposal.lubricant.graphite_grease; graphite faunal grease; resources; finished lubricant; chemical material; finished item; fauna; lubrication; biological and mineral mixture; paste; proposal; grease; lubricant; fauna chemistry; equipment repair</x:v>
      </x:c>
      <x:c r="AE232" s="4" t="str">
        <x:v>Specific formulation is proposed; source oils and existing joint secretion are references, not validated recipes.</x:v>
      </x:c>
    </x:row>
    <x:row r="233" ht="115" customHeight="1">
      <x:c r="A233" s="9" t="str">
        <x:v>proposal.lubricant.insulating_grease</x:v>
      </x:c>
      <x:c r="B233" s="9" t="str">
        <x:v>Electrically insulating grease</x:v>
      </x:c>
      <x:c r="C233" s="9" t="str">
        <x:v>Resources</x:v>
      </x:c>
      <x:c r="D233" s="9" t="str">
        <x:v>Finished lubricant</x:v>
      </x:c>
      <x:c r="E233" s="9" t="str">
        <x:v>New proposal</x:v>
      </x:c>
      <x:c r="F233" s="9" t="str">
        <x:v>Candidate grease formulated for a selected insulating joint or equipment interface.</x:v>
      </x:c>
      <x:c r="G233" s="9" t="str">
        <x:v>None</x:v>
      </x:c>
      <x:c r="H233" s="9" t="str">
        <x:v>Contained chemical cargo; carrier policy TBD</x:v>
      </x:c>
      <x:c r="I233" s="13"/>
      <x:c r="J233" s="15"/>
      <x:c r="K233" s="9" t="str">
        <x:v>Process existing faunal secretions in a specialist workshop; exact species and route TBD</x:v>
      </x:c>
      <x:c r="L233" s="9" t="str">
        <x:v>Proposed stages: segregated collection, separation, selected-fraction preparation, compatible formulation, service-specific testing. No formula or numeric yield.</x:v>
      </x:c>
      <x:c r="M233" s="9" t="str">
        <x:v>Not implemented</x:v>
      </x:c>
      <x:c r="N233" s="9" t="str">
        <x:v>Insulation is a design target needing material selection and testing; not inferred from ordinary ichor or graphite grease.</x:v>
      </x:c>
      <x:c r="O233" s="17"/>
      <x:c r="P233" s="17"/>
      <x:c r="Q233" s="17"/>
      <x:c r="R233" s="17"/>
      <x:c r="S233" s="17"/>
      <x:c r="T233" s="9" t="str">
        <x:v>Toxic industrial chemistry remains separate from food. Quality, batch consistency and specialist refinement may drive value; no price, spoilage or maintenance timer assigned.</x:v>
      </x:c>
      <x:c r="U233" s="11" t="str">
        <x:v>grease; lubricant; fauna chemistry; electrical insulation</x:v>
      </x:c>
      <x:c r="V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3" s="4" t="str">
        <x:v>Chemical material</x:v>
      </x:c>
      <x:c r="X233" s="4" t="str">
        <x:v>Finished item</x:v>
      </x:c>
      <x:c r="Y233" s="4" t="str">
        <x:v>Fauna</x:v>
      </x:c>
      <x:c r="Z233" s="4" t="str">
        <x:v>Lubrication</x:v>
      </x:c>
      <x:c r="AA233" s="4" t="str">
        <x:v>Biological chemical</x:v>
      </x:c>
      <x:c r="AB233" s="4" t="str">
        <x:v>Paste</x:v>
      </x:c>
      <x:c r="AC233" s="4" t="str">
        <x:v>Proposal</x:v>
      </x:c>
      <x:c r="AD233" s="4" t="str">
        <x:f>LOWER(A233&amp;"; "&amp;B233&amp;"; "&amp;C233&amp;"; "&amp;D233&amp;"; "&amp;W233&amp;"; "&amp;X233&amp;"; "&amp;Y233&amp;"; "&amp;Z233&amp;"; "&amp;AA233&amp;"; "&amp;AB233&amp;"; "&amp;AC233&amp;"; "&amp;U233)</x:f>
        <x:v>proposal.lubricant.insulating_grease; electrically insulating grease; resources; finished lubricant; chemical material; finished item; fauna; lubrication; biological chemical; paste; proposal; grease; lubricant; fauna chemistry; electrical insulation</x:v>
      </x:c>
      <x:c r="AE233" s="4" t="str">
        <x:v>Specific formulation is proposed; source oils and existing joint secretion are references, not validated recipes.</x:v>
      </x:c>
    </x:row>
    <x:row r="234" ht="115" customHeight="1">
      <x:c r="A234" s="9" t="str">
        <x:v>proposal.lubricant.precision_oil</x:v>
      </x:c>
      <x:c r="B234" s="9" t="str">
        <x:v>Fine mechanism oil</x:v>
      </x:c>
      <x:c r="C234" s="9" t="str">
        <x:v>Resources</x:v>
      </x:c>
      <x:c r="D234" s="9" t="str">
        <x:v>Finished lubricant</x:v>
      </x:c>
      <x:c r="E234" s="9" t="str">
        <x:v>New proposal</x:v>
      </x:c>
      <x:c r="F234" s="9" t="str">
        <x:v>Highly selected liquid lubricant candidate for small mechanisms and specialist workshop work.</x:v>
      </x:c>
      <x:c r="G234" s="9" t="str">
        <x:v>None</x:v>
      </x:c>
      <x:c r="H234" s="9" t="str">
        <x:v>Contained chemical cargo; carrier policy TBD</x:v>
      </x:c>
      <x:c r="I234" s="13"/>
      <x:c r="J234" s="15"/>
      <x:c r="K234" s="9" t="str">
        <x:v>Process existing faunal secretions in a specialist workshop; exact species and route TBD</x:v>
      </x:c>
      <x:c r="L234" s="9" t="str">
        <x:v>Proposed stages: segregated collection, separation, selected-fraction preparation, compatible formulation, service-specific testing. No formula or numeric yield.</x:v>
      </x:c>
      <x:c r="M234" s="9" t="str">
        <x:v>Not implemented</x:v>
      </x:c>
      <x:c r="N234" s="9" t="str">
        <x:v>Precision and low residue are proposed craft grades. No assumed food safety, optical suitability, shelf life or ancient-tech repair capability.</x:v>
      </x:c>
      <x:c r="O234" s="17"/>
      <x:c r="P234" s="17"/>
      <x:c r="Q234" s="17"/>
      <x:c r="R234" s="17"/>
      <x:c r="S234" s="17"/>
      <x:c r="T234" s="9" t="str">
        <x:v>Toxic industrial chemistry remains separate from food. Quality, batch consistency and specialist refinement may drive value; no price, spoilage or maintenance timer assigned.</x:v>
      </x:c>
      <x:c r="U234" s="11" t="str">
        <x:v>grease; lubricant; fauna chemistry; equipment repair</x:v>
      </x:c>
      <x:c r="V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W234" s="4" t="str">
        <x:v>Chemical material</x:v>
      </x:c>
      <x:c r="X234" s="4" t="str">
        <x:v>Finished item</x:v>
      </x:c>
      <x:c r="Y234" s="4" t="str">
        <x:v>Fauna</x:v>
      </x:c>
      <x:c r="Z234" s="4" t="str">
        <x:v>Lubrication</x:v>
      </x:c>
      <x:c r="AA234" s="4" t="str">
        <x:v>Biological chemical</x:v>
      </x:c>
      <x:c r="AB234" s="4" t="str">
        <x:v>Liquid</x:v>
      </x:c>
      <x:c r="AC234" s="4" t="str">
        <x:v>Proposal</x:v>
      </x:c>
      <x:c r="AD234" s="4" t="str">
        <x:f>LOWER(A234&amp;"; "&amp;B234&amp;"; "&amp;C234&amp;"; "&amp;D234&amp;"; "&amp;W234&amp;"; "&amp;X234&amp;"; "&amp;Y234&amp;"; "&amp;Z234&amp;"; "&amp;AA234&amp;"; "&amp;AB234&amp;"; "&amp;AC234&amp;"; "&amp;U234)</x:f>
        <x:v>proposal.lubricant.precision_oil; fine mechanism oil; resources; finished lubricant; chemical material; finished item; fauna; lubrication; biological chemical; liquid; proposal; grease; lubricant; fauna chemistry; equipment repair</x:v>
      </x:c>
      <x:c r="AE234" s="4" t="str">
        <x:v>Specific formulation is proposed; source oils and existing joint secretion are references, not validated recipes.</x:v>
      </x:c>
    </x:row>
    <x:row r="235" ht="115" customHeight="1">
      <x:c r="A235" s="9" t="str">
        <x:v>proposal.wind.turbine</x:v>
      </x:c>
      <x:c r="B235" s="9" t="str">
        <x:v>Salvaged wind turbine</x:v>
      </x:c>
      <x:c r="C235" s="9" t="str">
        <x:v>Equipment</x:v>
      </x:c>
      <x:c r="D235" s="9" t="str">
        <x:v>Wind machine</x:v>
      </x:c>
      <x:c r="E235" s="9" t="str">
        <x:v>User direction; not implemented</x:v>
      </x:c>
      <x:c r="F235" s="9" t="str">
        <x:v>Wind turbine assembled from fallen/salvaged parts, as requested by author.</x:v>
      </x:c>
      <x:c r="G235" s="9" t="str">
        <x:v>Unassigned; no new slot approved</x:v>
      </x:c>
      <x:c r="H235" s="9" t="str">
        <x:v>Physical part / installation ownership TBD</x:v>
      </x:c>
      <x:c r="I235" s="13"/>
      <x:c r="J235" s="15"/>
      <x:c r="K235" s="9" t="str">
        <x:v>Salvage, insect-wing processing and specialist assembly; exact routes TBD</x:v>
      </x:c>
      <x:c r="L235" s="9" t="str">
        <x:v>No recipe authored. Existing metal stock, drive salvage, fasteners and compatible lubricant concepts may support later design.</x:v>
      </x:c>
      <x:c r="M235" s="9" t="str">
        <x:v>Not implemented</x:v>
      </x:c>
      <x:c r="N235" s="9" t="str">
        <x:v>Stationary versus deployable installation, mounting, rotor form, wind response and useful output unresolved. Existing drive salvage is a candidate input, not a mandatory recipe.</x:v>
      </x:c>
      <x:c r="O235" s="17"/>
      <x:c r="P235" s="17"/>
      <x:c r="Q235" s="17"/>
      <x:c r="R235" s="17"/>
      <x:c r="S235" s="17"/>
      <x:c r="T235" s="9" t="str">
        <x:v>Working labels; material quantities, durability and value unspecified. Fallen parts is interpreted as recoverable salvage, not proof of mandatory ancient technology.</x:v>
      </x:c>
      <x:c r="U235" s="11" t="str">
        <x:v>machinery drive; wind; sail</x:v>
      </x:c>
      <x:c r="V235" s="9" t="str">
        <x:v>Direct author wind-turbine, insect-wing sail and four-wheel dirtboard direction October 14, 2026; specific component breakdown is proposed.</x:v>
      </x:c>
      <x:c r="W235" s="4" t="str">
        <x:v>Machine</x:v>
      </x:c>
      <x:c r="X235" s="4" t="str">
        <x:v>Finished item</x:v>
      </x:c>
      <x:c r="Y235" s="4" t="str">
        <x:v>Recovered machinery</x:v>
      </x:c>
      <x:c r="Z235" s="4" t="str">
        <x:v>Wind power</x:v>
      </x:c>
      <x:c r="AA235" s="4" t="str">
        <x:v>Mixed / unresolved</x:v>
      </x:c>
      <x:c r="AB235" s="4" t="str">
        <x:v>Assembly</x:v>
      </x:c>
      <x:c r="AC235" s="4" t="str">
        <x:v>Author direction</x:v>
      </x:c>
      <x:c r="AD235" s="4" t="str">
        <x:f>LOWER(A235&amp;"; "&amp;B235&amp;"; "&amp;C235&amp;"; "&amp;D235&amp;"; "&amp;W235&amp;"; "&amp;X235&amp;"; "&amp;Y235&amp;"; "&amp;Z235&amp;"; "&amp;AA235&amp;"; "&amp;AB235&amp;"; "&amp;AC235&amp;"; "&amp;U235)</x:f>
        <x:v>proposal.wind.turbine; salvaged wind turbine; equipment; wind machine; machine; finished item; recovered machinery; wind power; mixed / unresolved; assembly; author direction; machinery drive; wind; sail</x:v>
      </x:c>
      <x:c r="AE235" s="4" t="str">
        <x:v>Author direction for equipment families; proposed components and unimplemented behavior remain explicitly separate.</x:v>
      </x:c>
    </x:row>
    <x:row r="236" ht="115" customHeight="1">
      <x:c r="A236" s="9" t="str">
        <x:v>proposal.wind.sail_panel</x:v>
      </x:c>
      <x:c r="B236" s="9" t="str">
        <x:v>Prepared insect-wing sail panel</x:v>
      </x:c>
      <x:c r="C236" s="9" t="str">
        <x:v>Crafting components</x:v>
      </x:c>
      <x:c r="D236" s="9" t="str">
        <x:v>Wind sail material</x:v>
      </x:c>
      <x:c r="E236" s="9" t="str">
        <x:v>User direction; not implemented</x:v>
      </x:c>
      <x:c r="F236" s="9" t="str">
        <x:v>Prepared delicate insectoid-wing membrane intended for a sail.</x:v>
      </x:c>
      <x:c r="G236" s="9" t="str">
        <x:v>Unassigned; no new slot approved</x:v>
      </x:c>
      <x:c r="H236" s="9" t="str">
        <x:v>Physical part / installation ownership TBD</x:v>
      </x:c>
      <x:c r="I236" s="13"/>
      <x:c r="J236" s="15"/>
      <x:c r="K236" s="9" t="str">
        <x:v>Salvage, insect-wing processing and specialist assembly; exact routes TBD</x:v>
      </x:c>
      <x:c r="L236" s="9" t="str">
        <x:v>No recipe authored. Existing metal stock, drive salvage, fasteners and compatible lubricant concepts may support later design.</x:v>
      </x:c>
      <x:c r="M236" s="9" t="str">
        <x:v>Not implemented</x:v>
      </x:c>
      <x:c r="N236" s="9" t="str">
        <x:v>Reuse existing inner-wing resource. Sail panel and shade panel are service-specific intermediate concepts; decide later whether their preparation can share a product.</x:v>
      </x:c>
      <x:c r="O236" s="17"/>
      <x:c r="P236" s="17"/>
      <x:c r="Q236" s="17"/>
      <x:c r="R236" s="17"/>
      <x:c r="S236" s="17"/>
      <x:c r="T236" s="9" t="str">
        <x:v>Working labels; material quantities, durability and value unspecified. Fallen parts is interpreted as recoverable salvage, not proof of mandatory ancient technology.</x:v>
      </x:c>
      <x:c r="U236" s="11" t="str">
        <x:v>wind; sail</x:v>
      </x:c>
      <x:c r="V236" s="9" t="str">
        <x:v>Direct author wind-turbine, insect-wing sail and four-wheel dirtboard direction October 14, 2026; specific component breakdown is proposed.</x:v>
      </x:c>
      <x:c r="W236" s="4" t="str">
        <x:v>Crafting component</x:v>
      </x:c>
      <x:c r="X236" s="4" t="str">
        <x:v>Processed intermediate</x:v>
      </x:c>
      <x:c r="Y236" s="4" t="str">
        <x:v>Manufactured / unresolved</x:v>
      </x:c>
      <x:c r="Z236" s="4" t="str">
        <x:v>Wind propulsion</x:v>
      </x:c>
      <x:c r="AA236" s="4" t="str">
        <x:v>Wing membrane</x:v>
      </x:c>
      <x:c r="AB236" s="4" t="str">
        <x:v>Panel</x:v>
      </x:c>
      <x:c r="AC236" s="4" t="str">
        <x:v>Author direction</x:v>
      </x:c>
      <x:c r="AD236" s="4" t="str">
        <x:f>LOWER(A236&amp;"; "&amp;B236&amp;"; "&amp;C236&amp;"; "&amp;D236&amp;"; "&amp;W236&amp;"; "&amp;X236&amp;"; "&amp;Y236&amp;"; "&amp;Z236&amp;"; "&amp;AA236&amp;"; "&amp;AB236&amp;"; "&amp;AC236&amp;"; "&amp;U236)</x:f>
        <x:v>proposal.wind.sail_panel; prepared insect-wing sail panel; crafting components; wind sail material; crafting component; processed intermediate; manufactured / unresolved; wind propulsion; wing membrane; panel; author direction; wind; sail</x:v>
      </x:c>
      <x:c r="AE236" s="4" t="str">
        <x:v>Author direction for equipment families; proposed components and unimplemented behavior remain explicitly separate.</x:v>
      </x:c>
    </x:row>
    <x:row r="237" ht="115" customHeight="1">
      <x:c r="A237" s="9" t="str">
        <x:v>proposal.wind.hand_sail</x:v>
      </x:c>
      <x:c r="B237" s="9" t="str">
        <x:v>Collapsible handheld wind sail</x:v>
      </x:c>
      <x:c r="C237" s="9" t="str">
        <x:v>Equipment</x:v>
      </x:c>
      <x:c r="D237" s="9" t="str">
        <x:v>Wind traversal gear</x:v>
      </x:c>
      <x:c r="E237" s="9" t="str">
        <x:v>User direction; not implemented</x:v>
      </x:c>
      <x:c r="F237" s="9" t="str">
        <x:v>Booter handheld sail that collapses for carrying and opens for wind-driven dirtboard travel.</x:v>
      </x:c>
      <x:c r="G237" s="9" t="str">
        <x:v>Unassigned; no new slot approved</x:v>
      </x:c>
      <x:c r="H237" s="9" t="str">
        <x:v>Booter personal gear intended; stowage policy TBD</x:v>
      </x:c>
      <x:c r="I237" s="13"/>
      <x:c r="J237" s="15"/>
      <x:c r="K237" s="9" t="str">
        <x:v>Salvage, insect-wing processing and specialist assembly; exact routes TBD</x:v>
      </x:c>
      <x:c r="L237" s="9" t="str">
        <x:v>No recipe authored. Existing metal stock, drive salvage, fasteners and compatible lubricant concepts may support later design.</x:v>
      </x:c>
      <x:c r="M237" s="9" t="str">
        <x:v>Not implemented</x:v>
      </x:c>
      <x:c r="N237" s="9" t="str">
        <x:v>One gear item with carried/deployed configurations. Frame geometry, hand use, steering, stowage and carry policy undefined.</x:v>
      </x:c>
      <x:c r="O237" s="17"/>
      <x:c r="P237" s="17"/>
      <x:c r="Q237" s="17"/>
      <x:c r="R237" s="17"/>
      <x:c r="S237" s="17"/>
      <x:c r="T237" s="9" t="str">
        <x:v>Working labels; material quantities, durability and value unspecified. Fallen parts is interpreted as recoverable salvage, not proof of mandatory ancient technology.</x:v>
      </x:c>
      <x:c r="U237" s="11" t="str">
        <x:v>traversal; wind; sail</x:v>
      </x:c>
      <x:c r="V237" s="9" t="str">
        <x:v>Direct author wind-turbine, insect-wing sail and four-wheel dirtboard direction October 14, 2026; specific component breakdown is proposed.</x:v>
      </x:c>
      <x:c r="W237" s="4" t="str">
        <x:v>Traversal device</x:v>
      </x:c>
      <x:c r="X237" s="4" t="str">
        <x:v>Finished item</x:v>
      </x:c>
      <x:c r="Y237" s="4" t="str">
        <x:v>Manufactured / unresolved</x:v>
      </x:c>
      <x:c r="Z237" s="4" t="str">
        <x:v>Wind propulsion</x:v>
      </x:c>
      <x:c r="AA237" s="4" t="str">
        <x:v>Wing membrane and frame</x:v>
      </x:c>
      <x:c r="AB237" s="4" t="str">
        <x:v>Assembly</x:v>
      </x:c>
      <x:c r="AC237" s="4" t="str">
        <x:v>Author direction</x:v>
      </x:c>
      <x:c r="AD237" s="4" t="str">
        <x:f>LOWER(A237&amp;"; "&amp;B237&amp;"; "&amp;C237&amp;"; "&amp;D237&amp;"; "&amp;W237&amp;"; "&amp;X237&amp;"; "&amp;Y237&amp;"; "&amp;Z237&amp;"; "&amp;AA237&amp;"; "&amp;AB237&amp;"; "&amp;AC237&amp;"; "&amp;U237)</x:f>
        <x:v>proposal.wind.hand_sail; collapsible handheld wind sail; equipment; wind traversal gear; traversal device; finished item; manufactured / unresolved; wind propulsion; wing membrane and frame; assembly; author direction; traversal; wind; sail</x:v>
      </x:c>
      <x:c r="AE237" s="4" t="str">
        <x:v>Author direction for equipment families; proposed components and unimplemented behavior remain explicitly separate.</x:v>
      </x:c>
    </x:row>
    <x:row r="238" ht="115" customHeight="1">
      <x:c r="A238" s="9" t="str">
        <x:v>proposal.wind.dirtboard</x:v>
      </x:c>
      <x:c r="B238" s="9" t="str">
        <x:v>Four-wheel all-terrain dirtboard</x:v>
      </x:c>
      <x:c r="C238" s="9" t="str">
        <x:v>Equipment</x:v>
      </x:c>
      <x:c r="D238" s="9" t="str">
        <x:v>Wind traversal gear</x:v>
      </x:c>
      <x:c r="E238" s="9" t="str">
        <x:v>User direction; not implemented</x:v>
      </x:c>
      <x:c r="F238" s="9" t="str">
        <x:v>Booter all-terrain skateboard with four wheels, used with the handheld sail across large flat areas.</x:v>
      </x:c>
      <x:c r="G238" s="9" t="str">
        <x:v>Unassigned; no new slot approved</x:v>
      </x:c>
      <x:c r="H238" s="9" t="str">
        <x:v>Booter personal gear intended; stowage policy TBD</x:v>
      </x:c>
      <x:c r="I238" s="13"/>
      <x:c r="J238" s="15"/>
      <x:c r="K238" s="9" t="str">
        <x:v>Salvage, insect-wing processing and specialist assembly; exact routes TBD</x:v>
      </x:c>
      <x:c r="L238" s="9" t="str">
        <x:v>No recipe authored. Existing metal stock, drive salvage, fasteners and compatible lubricant concepts may support later design.</x:v>
      </x:c>
      <x:c r="M238" s="9" t="str">
        <x:v>Not implemented</x:v>
      </x:c>
      <x:c r="N238" s="9" t="str">
        <x:v>Wheel material, steering, braking, traction, terrain limits, speed and cargo effects remain open. Sail and board are separately owned companion items.</x:v>
      </x:c>
      <x:c r="O238" s="17"/>
      <x:c r="P238" s="17"/>
      <x:c r="Q238" s="17"/>
      <x:c r="R238" s="17"/>
      <x:c r="S238" s="17"/>
      <x:c r="T238" s="9" t="str">
        <x:v>Working labels; material quantities, durability and value unspecified. Fallen parts is interpreted as recoverable salvage, not proof of mandatory ancient technology.</x:v>
      </x:c>
      <x:c r="U238" s="11" t="str">
        <x:v>wind propulsion; wind; sail; skateboard mountainboard four wheel dirt board</x:v>
      </x:c>
      <x:c r="V238" s="9" t="str">
        <x:v>Direct author wind-turbine, insect-wing sail and four-wheel dirtboard direction October 14, 2026; specific component breakdown is proposed.</x:v>
      </x:c>
      <x:c r="W238" s="4" t="str">
        <x:v>Traversal device</x:v>
      </x:c>
      <x:c r="X238" s="4" t="str">
        <x:v>Finished item</x:v>
      </x:c>
      <x:c r="Y238" s="4" t="str">
        <x:v>Manufactured / unresolved</x:v>
      </x:c>
      <x:c r="Z238" s="4" t="str">
        <x:v>Traversal</x:v>
      </x:c>
      <x:c r="AA238" s="4" t="str">
        <x:v>Mixed / unresolved</x:v>
      </x:c>
      <x:c r="AB238" s="4" t="str">
        <x:v>Assembly</x:v>
      </x:c>
      <x:c r="AC238" s="4" t="str">
        <x:v>Author direction</x:v>
      </x:c>
      <x:c r="AD238" s="4" t="str">
        <x:f>LOWER(A238&amp;"; "&amp;B238&amp;"; "&amp;C238&amp;"; "&amp;D238&amp;"; "&amp;W238&amp;"; "&amp;X238&amp;"; "&amp;Y238&amp;"; "&amp;Z238&amp;"; "&amp;AA238&amp;"; "&amp;AB238&amp;"; "&amp;AC238&amp;"; "&amp;U238)</x:f>
        <x:v>proposal.wind.dirtboard; four-wheel all-terrain dirtboard; equipment; wind traversal gear; traversal device; finished item; manufactured / unresolved; traversal; mixed / unresolved; assembly; author direction; wind propulsion; wind; sail; skateboard mountainboard four wheel dirt board</x:v>
      </x:c>
      <x:c r="AE238" s="4" t="str">
        <x:v>Author direction for equipment families; proposed components and unimplemented behavior remain explicitly separate.</x:v>
      </x:c>
    </x:row>
    <x:row r="239" ht="115" customHeight="1">
      <x:c r="A239" s="9" t="str">
        <x:v>proposal.wind.folding_frame</x:v>
      </x:c>
      <x:c r="B239" s="9" t="str">
        <x:v>Collapsible sail frame</x:v>
      </x:c>
      <x:c r="C239" s="9" t="str">
        <x:v>Crafting components</x:v>
      </x:c>
      <x:c r="D239" s="9" t="str">
        <x:v>Wind sail component</x:v>
      </x:c>
      <x:c r="E239" s="9" t="str">
        <x:v>New proposal</x:v>
      </x:c>
      <x:c r="F239" s="9" t="str">
        <x:v>Proposed folding spars, joints and retainers supporting a wing sail.</x:v>
      </x:c>
      <x:c r="G239" s="9" t="str">
        <x:v>Unassigned; no new slot approved</x:v>
      </x:c>
      <x:c r="H239" s="9" t="str">
        <x:v>Physical part / installation ownership TBD</x:v>
      </x:c>
      <x:c r="I239" s="13"/>
      <x:c r="J239" s="15"/>
      <x:c r="K239" s="9" t="str">
        <x:v>Salvage, insect-wing processing and specialist assembly; exact routes TBD</x:v>
      </x:c>
      <x:c r="L239" s="9" t="str">
        <x:v>No recipe authored. Existing metal stock, drive salvage, fasteners and compatible lubricant concepts may support later design.</x:v>
      </x:c>
      <x:c r="M239" s="9" t="str">
        <x:v>Not implemented</x:v>
      </x:c>
      <x:c r="N239" s="9" t="str">
        <x:v>Use metal/salvaged parts as candidates; folding geometry, weight and membrane attachment require design.</x:v>
      </x:c>
      <x:c r="O239" s="17"/>
      <x:c r="P239" s="17"/>
      <x:c r="Q239" s="17"/>
      <x:c r="R239" s="17"/>
      <x:c r="S239" s="17"/>
      <x:c r="T239" s="9" t="str">
        <x:v>Working labels; material quantities, durability and value unspecified. Fallen parts is interpreted as recoverable salvage, not proof of mandatory ancient technology.</x:v>
      </x:c>
      <x:c r="U239" s="11" t="str">
        <x:v>wind; sail</x:v>
      </x:c>
      <x:c r="V239" s="9" t="str">
        <x:v>Direct author wind-turbine, insect-wing sail and four-wheel dirtboard direction October 14, 2026; specific component breakdown is proposed.</x:v>
      </x:c>
      <x:c r="W239" s="4" t="str">
        <x:v>Crafting component</x:v>
      </x:c>
      <x:c r="X239" s="4" t="str">
        <x:v>Processed intermediate</x:v>
      </x:c>
      <x:c r="Y239" s="4" t="str">
        <x:v>Manufactured / unresolved</x:v>
      </x:c>
      <x:c r="Z239" s="4" t="str">
        <x:v>Equipment fabrication</x:v>
      </x:c>
      <x:c r="AA239" s="4" t="str">
        <x:v>Metal</x:v>
      </x:c>
      <x:c r="AB239" s="4" t="str">
        <x:v>Assembly</x:v>
      </x:c>
      <x:c r="AC239" s="4" t="str">
        <x:v>Proposal</x:v>
      </x:c>
      <x:c r="AD239" s="4" t="str">
        <x:f>LOWER(A239&amp;"; "&amp;B239&amp;"; "&amp;C239&amp;"; "&amp;D239&amp;"; "&amp;W239&amp;"; "&amp;X239&amp;"; "&amp;Y239&amp;"; "&amp;Z239&amp;"; "&amp;AA239&amp;"; "&amp;AB239&amp;"; "&amp;AC239&amp;"; "&amp;U239)</x:f>
        <x:v>proposal.wind.folding_frame; collapsible sail frame; crafting components; wind sail component; crafting component; processed intermediate; manufactured / unresolved; equipment fabrication; metal; assembly; proposal; wind; sail</x:v>
      </x:c>
      <x:c r="AE239" s="4" t="str">
        <x:v>Author direction for equipment families; proposed components and unimplemented behavior remain explicitly separate.</x:v>
      </x:c>
    </x:row>
    <x:row r="240" ht="115" customHeight="1">
      <x:c r="A240" s="9" t="str">
        <x:v>proposal.wind.sail_grip</x:v>
      </x:c>
      <x:c r="B240" s="9" t="str">
        <x:v>Hand-sail grip assembly</x:v>
      </x:c>
      <x:c r="C240" s="9" t="str">
        <x:v>Crafting components</x:v>
      </x:c>
      <x:c r="D240" s="9" t="str">
        <x:v>Wind sail component</x:v>
      </x:c>
      <x:c r="E240" s="9" t="str">
        <x:v>New proposal</x:v>
      </x:c>
      <x:c r="F240" s="9" t="str">
        <x:v>Proposed hand interface and control attachment for the collapsible sail.</x:v>
      </x:c>
      <x:c r="G240" s="9" t="str">
        <x:v>Unassigned; no new slot approved</x:v>
      </x:c>
      <x:c r="H240" s="9" t="str">
        <x:v>Physical part / installation ownership TBD</x:v>
      </x:c>
      <x:c r="I240" s="13"/>
      <x:c r="J240" s="15"/>
      <x:c r="K240" s="9" t="str">
        <x:v>Salvage, insect-wing processing and specialist assembly; exact routes TBD</x:v>
      </x:c>
      <x:c r="L240" s="9" t="str">
        <x:v>No recipe authored. Existing metal stock, drive salvage, fasteners and compatible lubricant concepts may support later design.</x:v>
      </x:c>
      <x:c r="M240" s="9" t="str">
        <x:v>Not implemented</x:v>
      </x:c>
      <x:c r="N240" s="9" t="str">
        <x:v>Grip arrangement, release behavior and hand occupancy undecided; no body harness or bindings assumed.</x:v>
      </x:c>
      <x:c r="O240" s="17"/>
      <x:c r="P240" s="17"/>
      <x:c r="Q240" s="17"/>
      <x:c r="R240" s="17"/>
      <x:c r="S240" s="17"/>
      <x:c r="T240" s="9" t="str">
        <x:v>Working labels; material quantities, durability and value unspecified. Fallen parts is interpreted as recoverable salvage, not proof of mandatory ancient technology.</x:v>
      </x:c>
      <x:c r="U240" s="11" t="str">
        <x:v>equipment mounting; wind; sail</x:v>
      </x:c>
      <x:c r="V240" s="9" t="str">
        <x:v>Direct author wind-turbine, insect-wing sail and four-wheel dirtboard direction October 14, 2026; specific component breakdown is proposed.</x:v>
      </x:c>
      <x:c r="W240" s="4" t="str">
        <x:v>Crafting component</x:v>
      </x:c>
      <x:c r="X240" s="4" t="str">
        <x:v>Processed intermediate</x:v>
      </x:c>
      <x:c r="Y240" s="4" t="str">
        <x:v>Manufactured / unresolved</x:v>
      </x:c>
      <x:c r="Z240" s="4" t="str">
        <x:v>Equipment fabrication</x:v>
      </x:c>
      <x:c r="AA240" s="4" t="str">
        <x:v>Mixed / unresolved</x:v>
      </x:c>
      <x:c r="AB240" s="4" t="str">
        <x:v>Assembly</x:v>
      </x:c>
      <x:c r="AC240" s="4" t="str">
        <x:v>Proposal</x:v>
      </x:c>
      <x:c r="AD240" s="4" t="str">
        <x:f>LOWER(A240&amp;"; "&amp;B240&amp;"; "&amp;C240&amp;"; "&amp;D240&amp;"; "&amp;W240&amp;"; "&amp;X240&amp;"; "&amp;Y240&amp;"; "&amp;Z240&amp;"; "&amp;AA240&amp;"; "&amp;AB240&amp;"; "&amp;AC240&amp;"; "&amp;U240)</x:f>
        <x:v>proposal.wind.sail_grip; hand-sail grip assembly; crafting components; wind sail component; crafting component; processed intermediate; manufactured / unresolved; equipment fabrication; mixed / unresolved; assembly; proposal; equipment mounting; wind; sail</x:v>
      </x:c>
      <x:c r="AE240" s="4" t="str">
        <x:v>Author direction for equipment families; proposed components and unimplemented behavior remain explicitly separate.</x:v>
      </x:c>
    </x:row>
    <x:row r="241" ht="115" customHeight="1">
      <x:c r="A241" s="9" t="str">
        <x:v>proposal.wind.wheel</x:v>
      </x:c>
      <x:c r="B241" s="9" t="str">
        <x:v>Dirtboard wheel assembly</x:v>
      </x:c>
      <x:c r="C241" s="9" t="str">
        <x:v>Crafting components</x:v>
      </x:c>
      <x:c r="D241" s="9" t="str">
        <x:v>Dirtboard component</x:v>
      </x:c>
      <x:c r="E241" s="9" t="str">
        <x:v>New proposal</x:v>
      </x:c>
      <x:c r="F241" s="9" t="str">
        <x:v>Replaceable wheel-and-bearing unit candidate for the four-wheel dirtboard.</x:v>
      </x:c>
      <x:c r="G241" s="9" t="str">
        <x:v>Unassigned; no new slot approved</x:v>
      </x:c>
      <x:c r="H241" s="9" t="str">
        <x:v>Physical part / installation ownership TBD</x:v>
      </x:c>
      <x:c r="I241" s="13"/>
      <x:c r="J241" s="15"/>
      <x:c r="K241" s="9" t="str">
        <x:v>Salvage, insect-wing processing and specialist assembly; exact routes TBD</x:v>
      </x:c>
      <x:c r="L241" s="9" t="str">
        <x:v>No recipe authored. Existing metal stock, drive salvage, fasteners and compatible lubricant concepts may support later design.</x:v>
      </x:c>
      <x:c r="M241" s="9" t="str">
        <x:v>Not implemented</x:v>
      </x:c>
      <x:c r="N241" s="9" t="str">
        <x:v>Exactly four wheels on the assembled board by author direction. Wheel composition unresolved; no ordinary rubber supply assumed.</x:v>
      </x:c>
      <x:c r="O241" s="17"/>
      <x:c r="P241" s="17"/>
      <x:c r="Q241" s="17"/>
      <x:c r="R241" s="17"/>
      <x:c r="S241" s="17"/>
      <x:c r="T241" s="9" t="str">
        <x:v>Working labels; material quantities, durability and value unspecified. Fallen parts is interpreted as recoverable salvage, not proof of mandatory ancient technology.</x:v>
      </x:c>
      <x:c r="U241" s="11" t="str">
        <x:v>equipment repair; wind; sail</x:v>
      </x:c>
      <x:c r="V241" s="9" t="str">
        <x:v>Direct author wind-turbine, insect-wing sail and four-wheel dirtboard direction October 14, 2026; specific component breakdown is proposed.</x:v>
      </x:c>
      <x:c r="W241" s="4" t="str">
        <x:v>Crafting component</x:v>
      </x:c>
      <x:c r="X241" s="4" t="str">
        <x:v>Processed intermediate</x:v>
      </x:c>
      <x:c r="Y241" s="4" t="str">
        <x:v>Manufactured / unresolved</x:v>
      </x:c>
      <x:c r="Z241" s="4" t="str">
        <x:v>Equipment fabrication</x:v>
      </x:c>
      <x:c r="AA241" s="4" t="str">
        <x:v>Mixed / unresolved</x:v>
      </x:c>
      <x:c r="AB241" s="4" t="str">
        <x:v>Assembly</x:v>
      </x:c>
      <x:c r="AC241" s="4" t="str">
        <x:v>Proposal</x:v>
      </x:c>
      <x:c r="AD241" s="4" t="str">
        <x:f>LOWER(A241&amp;"; "&amp;B241&amp;"; "&amp;C241&amp;"; "&amp;D241&amp;"; "&amp;W241&amp;"; "&amp;X241&amp;"; "&amp;Y241&amp;"; "&amp;Z241&amp;"; "&amp;AA241&amp;"; "&amp;AB241&amp;"; "&amp;AC241&amp;"; "&amp;U241)</x:f>
        <x:v>proposal.wind.wheel; dirtboard wheel assembly; crafting components; dirtboard component; crafting component; processed intermediate; manufactured / unresolved; equipment fabrication; mixed / unresolved; assembly; proposal; equipment repair; wind; sail</x:v>
      </x:c>
      <x:c r="AE241" s="4" t="str">
        <x:v>Author direction for equipment families; proposed components and unimplemented behavior remain explicitly separate.</x:v>
      </x:c>
    </x:row>
    <x:row r="242" ht="115" customHeight="1">
      <x:c r="A242" s="9" t="str">
        <x:v>proposal.wind.truck</x:v>
      </x:c>
      <x:c r="B242" s="9" t="str">
        <x:v>Dirtboard axle / steering assembly</x:v>
      </x:c>
      <x:c r="C242" s="9" t="str">
        <x:v>Crafting components</x:v>
      </x:c>
      <x:c r="D242" s="9" t="str">
        <x:v>Dirtboard component</x:v>
      </x:c>
      <x:c r="E242" s="9" t="str">
        <x:v>New proposal</x:v>
      </x:c>
      <x:c r="F242" s="9" t="str">
        <x:v>Proposed mount joining wheels to the board and supporting a chosen steering method.</x:v>
      </x:c>
      <x:c r="G242" s="9" t="str">
        <x:v>Unassigned; no new slot approved</x:v>
      </x:c>
      <x:c r="H242" s="9" t="str">
        <x:v>Physical part / installation ownership TBD</x:v>
      </x:c>
      <x:c r="I242" s="13"/>
      <x:c r="J242" s="15"/>
      <x:c r="K242" s="9" t="str">
        <x:v>Salvage, insect-wing processing and specialist assembly; exact routes TBD</x:v>
      </x:c>
      <x:c r="L242" s="9" t="str">
        <x:v>No recipe authored. Existing metal stock, drive salvage, fasteners and compatible lubricant concepts may support later design.</x:v>
      </x:c>
      <x:c r="M242" s="9" t="str">
        <x:v>Not implemented</x:v>
      </x:c>
      <x:c r="N242" s="9" t="str">
        <x:v>Axle/truck geometry, suspension and steering response are design questions; component count unassigned.</x:v>
      </x:c>
      <x:c r="O242" s="17"/>
      <x:c r="P242" s="17"/>
      <x:c r="Q242" s="17"/>
      <x:c r="R242" s="17"/>
      <x:c r="S242" s="17"/>
      <x:c r="T242" s="9" t="str">
        <x:v>Working labels; material quantities, durability and value unspecified. Fallen parts is interpreted as recoverable salvage, not proof of mandatory ancient technology.</x:v>
      </x:c>
      <x:c r="U242" s="11" t="str">
        <x:v>equipment repair; wind; sail</x:v>
      </x:c>
      <x:c r="V242" s="9" t="str">
        <x:v>Direct author wind-turbine, insect-wing sail and four-wheel dirtboard direction October 14, 2026; specific component breakdown is proposed.</x:v>
      </x:c>
      <x:c r="W242" s="4" t="str">
        <x:v>Crafting component</x:v>
      </x:c>
      <x:c r="X242" s="4" t="str">
        <x:v>Processed intermediate</x:v>
      </x:c>
      <x:c r="Y242" s="4" t="str">
        <x:v>Manufactured / unresolved</x:v>
      </x:c>
      <x:c r="Z242" s="4" t="str">
        <x:v>Equipment fabrication</x:v>
      </x:c>
      <x:c r="AA242" s="4" t="str">
        <x:v>Metal</x:v>
      </x:c>
      <x:c r="AB242" s="4" t="str">
        <x:v>Assembly</x:v>
      </x:c>
      <x:c r="AC242" s="4" t="str">
        <x:v>Proposal</x:v>
      </x:c>
      <x:c r="AD242" s="4" t="str">
        <x:f>LOWER(A242&amp;"; "&amp;B242&amp;"; "&amp;C242&amp;"; "&amp;D242&amp;"; "&amp;W242&amp;"; "&amp;X242&amp;"; "&amp;Y242&amp;"; "&amp;Z242&amp;"; "&amp;AA242&amp;"; "&amp;AB242&amp;"; "&amp;AC242&amp;"; "&amp;U242)</x:f>
        <x:v>proposal.wind.truck; dirtboard axle / steering assembly; crafting components; dirtboard component; crafting component; processed intermediate; manufactured / unresolved; equipment fabrication; metal; assembly; proposal; equipment repair; wind; sail</x:v>
      </x:c>
      <x:c r="AE242" s="4" t="str">
        <x:v>Author direction for equipment families; proposed components and unimplemented behavior remain explicitly separate.</x:v>
      </x:c>
    </x:row>
    <x:row r="243" ht="115" customHeight="1">
      <x:c r="A243" s="9" t="str">
        <x:v>proposal.wind.rotor</x:v>
      </x:c>
      <x:c r="B243" s="9" t="str">
        <x:v>Salvaged turbine rotor assembly</x:v>
      </x:c>
      <x:c r="C243" s="9" t="str">
        <x:v>Crafting components</x:v>
      </x:c>
      <x:c r="D243" s="9" t="str">
        <x:v>Wind machine component</x:v>
      </x:c>
      <x:c r="E243" s="9" t="str">
        <x:v>New proposal</x:v>
      </x:c>
      <x:c r="F243" s="9" t="str">
        <x:v>Recovered or reworked rotor components for a compatible wind turbine.</x:v>
      </x:c>
      <x:c r="G243" s="9" t="str">
        <x:v>Unassigned; no new slot approved</x:v>
      </x:c>
      <x:c r="H243" s="9" t="str">
        <x:v>Physical part / installation ownership TBD</x:v>
      </x:c>
      <x:c r="I243" s="13"/>
      <x:c r="J243" s="15"/>
      <x:c r="K243" s="9" t="str">
        <x:v>Salvage, insect-wing processing and specialist assembly; exact routes TBD</x:v>
      </x:c>
      <x:c r="L243" s="9" t="str">
        <x:v>No recipe authored. Existing metal stock, drive salvage, fasteners and compatible lubricant concepts may support later design.</x:v>
      </x:c>
      <x:c r="M243" s="9" t="str">
        <x:v>Not implemented</x:v>
      </x:c>
      <x:c r="N243" s="9" t="str">
        <x:v>Blade versus membrane rotor design undecided; not automatically a complete operating turbine.</x:v>
      </x:c>
      <x:c r="O243" s="17"/>
      <x:c r="P243" s="17"/>
      <x:c r="Q243" s="17"/>
      <x:c r="R243" s="17"/>
      <x:c r="S243" s="17"/>
      <x:c r="T243" s="9" t="str">
        <x:v>Working labels; material quantities, durability and value unspecified. Fallen parts is interpreted as recoverable salvage, not proof of mandatory ancient technology.</x:v>
      </x:c>
      <x:c r="U243" s="11" t="str">
        <x:v>wind power; wind; sail</x:v>
      </x:c>
      <x:c r="V243" s="9" t="str">
        <x:v>Direct author wind-turbine, insect-wing sail and four-wheel dirtboard direction October 14, 2026; specific component breakdown is proposed.</x:v>
      </x:c>
      <x:c r="W243" s="4" t="str">
        <x:v>Crafting component</x:v>
      </x:c>
      <x:c r="X243" s="4" t="str">
        <x:v>Processed intermediate</x:v>
      </x:c>
      <x:c r="Y243" s="4" t="str">
        <x:v>Recovered machinery</x:v>
      </x:c>
      <x:c r="Z243" s="4" t="str">
        <x:v>Equipment fabrication</x:v>
      </x:c>
      <x:c r="AA243" s="4" t="str">
        <x:v>Mixed / unresolved</x:v>
      </x:c>
      <x:c r="AB243" s="4" t="str">
        <x:v>Assembly</x:v>
      </x:c>
      <x:c r="AC243" s="4" t="str">
        <x:v>Proposal</x:v>
      </x:c>
      <x:c r="AD243" s="4" t="str">
        <x:f>LOWER(A243&amp;"; "&amp;B243&amp;"; "&amp;C243&amp;"; "&amp;D243&amp;"; "&amp;W243&amp;"; "&amp;X243&amp;"; "&amp;Y243&amp;"; "&amp;Z243&amp;"; "&amp;AA243&amp;"; "&amp;AB243&amp;"; "&amp;AC243&amp;"; "&amp;U243)</x:f>
        <x:v>proposal.wind.rotor; salvaged turbine rotor assembly; crafting components; wind machine component; crafting component; processed intermediate; recovered machinery; equipment fabrication; mixed / unresolved; assembly; proposal; wind power; wind; sail</x:v>
      </x:c>
      <x:c r="AE243" s="4" t="str">
        <x:v>Author direction for equipment families; proposed components and unimplemented behavior remain explicitly separate.</x:v>
      </x:c>
    </x:row>
    <x:row r="244" ht="115" customHeight="1">
      <x:c r="A244" s="9" t="str">
        <x:v>proposal.wind.generator</x:v>
      </x:c>
      <x:c r="B244" s="9" t="str">
        <x:v>Salvaged generator assembly</x:v>
      </x:c>
      <x:c r="C244" s="9" t="str">
        <x:v>Crafting components</x:v>
      </x:c>
      <x:c r="D244" s="9" t="str">
        <x:v>Wind machine component</x:v>
      </x:c>
      <x:c r="E244" s="9" t="str">
        <x:v>New proposal</x:v>
      </x:c>
      <x:c r="F244" s="9" t="str">
        <x:v>Optional recovered electromechanical conversion unit for a future electrical-output turbine design.</x:v>
      </x:c>
      <x:c r="G244" s="9" t="str">
        <x:v>Unassigned; no new slot approved</x:v>
      </x:c>
      <x:c r="H244" s="9" t="str">
        <x:v>Physical part / installation ownership TBD</x:v>
      </x:c>
      <x:c r="I244" s="13"/>
      <x:c r="J244" s="15"/>
      <x:c r="K244" s="9" t="str">
        <x:v>Salvage, insect-wing processing and specialist assembly; exact routes TBD</x:v>
      </x:c>
      <x:c r="L244" s="9" t="str">
        <x:v>No recipe authored. Existing metal stock, drive salvage, fasteners and compatible lubricant concepts may support later design.</x:v>
      </x:c>
      <x:c r="M244" s="9" t="str">
        <x:v>Not implemented</x:v>
      </x:c>
      <x:c r="N244" s="9" t="str">
        <x:v>Wind output may instead drive machinery directly. Electrical output, connections and Arc Battery compatibility are undefined.</x:v>
      </x:c>
      <x:c r="O244" s="17"/>
      <x:c r="P244" s="17"/>
      <x:c r="Q244" s="17"/>
      <x:c r="R244" s="17"/>
      <x:c r="S244" s="17"/>
      <x:c r="T244" s="9" t="str">
        <x:v>Working labels; material quantities, durability and value unspecified. Fallen parts is interpreted as recoverable salvage, not proof of mandatory ancient technology.</x:v>
      </x:c>
      <x:c r="U244" s="11" t="str">
        <x:v>wind power; wind; sail</x:v>
      </x:c>
      <x:c r="V244" s="9" t="str">
        <x:v>Direct author wind-turbine, insect-wing sail and four-wheel dirtboard direction October 14, 2026; specific component breakdown is proposed.</x:v>
      </x:c>
      <x:c r="W244" s="4" t="str">
        <x:v>Crafting component</x:v>
      </x:c>
      <x:c r="X244" s="4" t="str">
        <x:v>Processed intermediate</x:v>
      </x:c>
      <x:c r="Y244" s="4" t="str">
        <x:v>Recovered machinery</x:v>
      </x:c>
      <x:c r="Z244" s="4" t="str">
        <x:v>Energy processing</x:v>
      </x:c>
      <x:c r="AA244" s="4" t="str">
        <x:v>Mixed / unresolved</x:v>
      </x:c>
      <x:c r="AB244" s="4" t="str">
        <x:v>Assembly</x:v>
      </x:c>
      <x:c r="AC244" s="4" t="str">
        <x:v>Proposal</x:v>
      </x:c>
      <x:c r="AD244" s="4" t="str">
        <x:f>LOWER(A244&amp;"; "&amp;B244&amp;"; "&amp;C244&amp;"; "&amp;D244&amp;"; "&amp;W244&amp;"; "&amp;X244&amp;"; "&amp;Y244&amp;"; "&amp;Z244&amp;"; "&amp;AA244&amp;"; "&amp;AB244&amp;"; "&amp;AC244&amp;"; "&amp;U244)</x:f>
        <x:v>proposal.wind.generator; salvaged generator assembly; crafting components; wind machine component; crafting component; processed intermediate; recovered machinery; energy processing; mixed / unresolved; assembly; proposal; wind power; wind; sail</x:v>
      </x:c>
      <x:c r="AE244" s="4" t="str">
        <x:v>Author direction for equipment families; proposed components and unimplemented behavior remain explicitly separate.</x:v>
      </x:c>
    </x:row>
    <x:row r="245" ht="115" customHeight="1">
      <x:c r="A245" s="9" t="str">
        <x:v>proposal.legger.sling</x:v>
      </x:c>
      <x:c r="B245" s="9" t="str">
        <x:v>Legger cargo sling</x:v>
      </x:c>
      <x:c r="C245" s="9" t="str">
        <x:v>Equipment</x:v>
      </x:c>
      <x:c r="D245" s="9" t="str">
        <x:v>Legger cargo rigging</x:v>
      </x:c>
      <x:c r="E245" s="9" t="str">
        <x:v>New proposal</x:v>
      </x:c>
      <x:c r="F245" s="9" t="str">
        <x:v>Flexible cradle carrying a physically supported load.</x:v>
      </x:c>
      <x:c r="G245" s="9" t="str">
        <x:v>Legger fitment unresolved</x:v>
      </x:c>
      <x:c r="H245" s="9" t="str">
        <x:v>Legger attachment / replacement intended; physical cargo policy unchanged</x:v>
      </x:c>
      <x:c r="I245" s="13"/>
      <x:c r="J245" s="15"/>
      <x:c r="K245" s="9" t="str">
        <x:v>Local craft, salvage or specialist trade; exact route TBD</x:v>
      </x:c>
      <x:c r="L245" s="9" t="str">
        <x:v>No recipe authored. Reuse existing iron stock, biological materials, ceramic craft, lubricant and ancient-material families where appropriate.</x:v>
      </x:c>
      <x:c r="M245" s="9" t="str">
        <x:v>Not implemented</x:v>
      </x:c>
      <x:c r="N245" s="9" t="str">
        <x:v>Metal links, biological cord or scarce processed hide are candidates; no ordinary cloth. Cargo envelope and fit TBD.</x:v>
      </x:c>
      <x:c r="O245" s="17"/>
      <x:c r="P245" s="17"/>
      <x:c r="Q245" s="17"/>
      <x:c r="R245" s="17"/>
      <x:c r="S245" s="17"/>
      <x:c r="T245" s="9" t="str">
        <x:v>Brainstorming candidate. Geometry, cost, mass, mounting, carrying and replacement behavior remain open. Part belongs to a finite physical companion.</x:v>
      </x:c>
      <x:c r="U245" s="11" t="str">
        <x:v>equipment mounting; legger; leger; companion replacement part</x:v>
      </x:c>
      <x:c r="V245" s="9" t="str">
        <x:v>Author Legger slings/chassis/replacement/iron/ancient-armor brainstorming October 14, 2026; Docs/WORLD_BASIS.md#the-legger; specific item proposal.</x:v>
      </x:c>
      <x:c r="W245" s="4" t="str">
        <x:v>Carrier</x:v>
      </x:c>
      <x:c r="X245" s="4" t="str">
        <x:v>Finished item</x:v>
      </x:c>
      <x:c r="Y245" s="4" t="str">
        <x:v>Manufactured / unresolved</x:v>
      </x:c>
      <x:c r="Z245" s="4" t="str">
        <x:v>Cargo organization</x:v>
      </x:c>
      <x:c r="AA245" s="4" t="str">
        <x:v>Mixed / unresolved</x:v>
      </x:c>
      <x:c r="AB245" s="4" t="str">
        <x:v>Assembly</x:v>
      </x:c>
      <x:c r="AC245" s="4" t="str">
        <x:v>Proposal</x:v>
      </x:c>
      <x:c r="AD245" s="4" t="str">
        <x:f>LOWER(A245&amp;"; "&amp;B245&amp;"; "&amp;C245&amp;"; "&amp;D245&amp;"; "&amp;W245&amp;"; "&amp;X245&amp;"; "&amp;Y245&amp;"; "&amp;Z245&amp;"; "&amp;AA245&amp;"; "&amp;AB245&amp;"; "&amp;AC245&amp;"; "&amp;U245)</x:f>
        <x:v>proposal.legger.sling; legger cargo sling; equipment; legger cargo rigging; carrier; finished item; manufactured / unresolved; cargo organization; mixed / unresolved; assembly; proposal; equipment mounting; legger; leger; companion replacement part</x:v>
      </x:c>
      <x:c r="AE245" s="4" t="str">
        <x:v>Specific parts and protective properties remain proposals; ancient-material scarcity is established author direction.</x:v>
      </x:c>
    </x:row>
    <x:row r="246" ht="115" customHeight="1">
      <x:c r="A246" s="9" t="str">
        <x:v>proposal.legger.cradle</x:v>
      </x:c>
      <x:c r="B246" s="9" t="str">
        <x:v>Legger rigid cargo cradle</x:v>
      </x:c>
      <x:c r="C246" s="9" t="str">
        <x:v>Equipment</x:v>
      </x:c>
      <x:c r="D246" s="9" t="str">
        <x:v>Legger cargo rigging</x:v>
      </x:c>
      <x:c r="E246" s="9" t="str">
        <x:v>New proposal</x:v>
      </x:c>
      <x:c r="F246" s="9" t="str">
        <x:v>Fitted frame for an awkward piece of salvage or a compatible container.</x:v>
      </x:c>
      <x:c r="G246" s="9" t="str">
        <x:v>Legger fitment unresolved</x:v>
      </x:c>
      <x:c r="H246" s="9" t="str">
        <x:v>Legger attachment / replacement intended; physical cargo policy unchanged</x:v>
      </x:c>
      <x:c r="I246" s="13"/>
      <x:c r="J246" s="15"/>
      <x:c r="K246" s="9" t="str">
        <x:v>Local craft, salvage or specialist trade; exact route TBD</x:v>
      </x:c>
      <x:c r="L246" s="9" t="str">
        <x:v>No recipe authored. Reuse existing iron stock, biological materials, ceramic craft, lubricant and ancient-material families where appropriate.</x:v>
      </x:c>
      <x:c r="M246" s="9" t="str">
        <x:v>Not implemented</x:v>
      </x:c>
      <x:c r="N246" s="9" t="str">
        <x:v>Shape-specific support differs from a flexible sling; dimensions and capacity undecided.</x:v>
      </x:c>
      <x:c r="O246" s="17"/>
      <x:c r="P246" s="17"/>
      <x:c r="Q246" s="17"/>
      <x:c r="R246" s="17"/>
      <x:c r="S246" s="17"/>
      <x:c r="T246" s="9" t="str">
        <x:v>Brainstorming candidate. Geometry, cost, mass, mounting, carrying and replacement behavior remain open. Part belongs to a finite physical companion.</x:v>
      </x:c>
      <x:c r="U246" s="11" t="str">
        <x:v>equipment mounting; legger; leger; companion replacement part</x:v>
      </x:c>
      <x:c r="V246" s="9" t="str">
        <x:v>Author Legger slings/chassis/replacement/iron/ancient-armor brainstorming October 14, 2026; Docs/WORLD_BASIS.md#the-legger; specific item proposal.</x:v>
      </x:c>
      <x:c r="W246" s="4" t="str">
        <x:v>Carrier</x:v>
      </x:c>
      <x:c r="X246" s="4" t="str">
        <x:v>Finished item</x:v>
      </x:c>
      <x:c r="Y246" s="4" t="str">
        <x:v>Manufactured / unresolved</x:v>
      </x:c>
      <x:c r="Z246" s="4" t="str">
        <x:v>Cargo organization</x:v>
      </x:c>
      <x:c r="AA246" s="4" t="str">
        <x:v>Metal</x:v>
      </x:c>
      <x:c r="AB246" s="4" t="str">
        <x:v>Assembly</x:v>
      </x:c>
      <x:c r="AC246" s="4" t="str">
        <x:v>Proposal</x:v>
      </x:c>
      <x:c r="AD246" s="4" t="str">
        <x:f>LOWER(A246&amp;"; "&amp;B246&amp;"; "&amp;C246&amp;"; "&amp;D246&amp;"; "&amp;W246&amp;"; "&amp;X246&amp;"; "&amp;Y246&amp;"; "&amp;Z246&amp;"; "&amp;AA246&amp;"; "&amp;AB246&amp;"; "&amp;AC246&amp;"; "&amp;U246)</x:f>
        <x:v>proposal.legger.cradle; legger rigid cargo cradle; equipment; legger cargo rigging; carrier; finished item; manufactured / unresolved; cargo organization; metal; assembly; proposal; equipment mounting; legger; leger; companion replacement part</x:v>
      </x:c>
      <x:c r="AE246" s="4" t="str">
        <x:v>Specific parts and protective properties remain proposals; ancient-material scarcity is established author direction.</x:v>
      </x:c>
    </x:row>
    <x:row r="247" ht="115" customHeight="1">
      <x:c r="A247" s="9" t="str">
        <x:v>proposal.legger.anchors</x:v>
      </x:c>
      <x:c r="B247" s="9" t="str">
        <x:v>Legger lashing-anchor set</x:v>
      </x:c>
      <x:c r="C247" s="9" t="str">
        <x:v>Crafting components</x:v>
      </x:c>
      <x:c r="D247" s="9" t="str">
        <x:v>Legger cargo rigging</x:v>
      </x:c>
      <x:c r="E247" s="9" t="str">
        <x:v>New proposal</x:v>
      </x:c>
      <x:c r="F247" s="9" t="str">
        <x:v>Attachment eyes and retainers for a chosen cargo rig.</x:v>
      </x:c>
      <x:c r="G247" s="9" t="str">
        <x:v>Legger fitment unresolved</x:v>
      </x:c>
      <x:c r="H247" s="9" t="str">
        <x:v>Legger attachment / replacement intended; physical cargo policy unchanged</x:v>
      </x:c>
      <x:c r="I247" s="13"/>
      <x:c r="J247" s="15"/>
      <x:c r="K247" s="9" t="str">
        <x:v>Local craft, salvage or specialist trade; exact route TBD</x:v>
      </x:c>
      <x:c r="L247" s="9" t="str">
        <x:v>No recipe authored. Reuse existing iron stock, biological materials, ceramic craft, lubricant and ancient-material families where appropriate.</x:v>
      </x:c>
      <x:c r="M247" s="9" t="str">
        <x:v>Not implemented</x:v>
      </x:c>
      <x:c r="N247" s="9" t="str">
        <x:v>Anchor geometry, fastening and loads unresolved; item is a set with quantity not yet defined.</x:v>
      </x:c>
      <x:c r="O247" s="17"/>
      <x:c r="P247" s="17"/>
      <x:c r="Q247" s="17"/>
      <x:c r="R247" s="17"/>
      <x:c r="S247" s="17"/>
      <x:c r="T247" s="9" t="str">
        <x:v>Brainstorming candidate. Geometry, cost, mass, mounting, carrying and replacement behavior remain open. Part belongs to a finite physical companion.</x:v>
      </x:c>
      <x:c r="U247" s="11" t="str">
        <x:v>legger; leger; companion replacement part</x:v>
      </x:c>
      <x:c r="V247" s="9" t="str">
        <x:v>Author Legger slings/chassis/replacement/iron/ancient-armor brainstorming October 14, 2026; Docs/WORLD_BASIS.md#the-legger; specific item proposal.</x:v>
      </x:c>
      <x:c r="W247" s="4" t="str">
        <x:v>Crafting component</x:v>
      </x:c>
      <x:c r="X247" s="4" t="str">
        <x:v>Processed intermediate</x:v>
      </x:c>
      <x:c r="Y247" s="4" t="str">
        <x:v>Manufactured / unresolved</x:v>
      </x:c>
      <x:c r="Z247" s="4" t="str">
        <x:v>Equipment mounting</x:v>
      </x:c>
      <x:c r="AA247" s="4" t="str">
        <x:v>Metal</x:v>
      </x:c>
      <x:c r="AB247" s="4" t="str">
        <x:v>Assembly</x:v>
      </x:c>
      <x:c r="AC247" s="4" t="str">
        <x:v>Proposal</x:v>
      </x:c>
      <x:c r="AD247" s="4" t="str">
        <x:f>LOWER(A247&amp;"; "&amp;B247&amp;"; "&amp;C247&amp;"; "&amp;D247&amp;"; "&amp;W247&amp;"; "&amp;X247&amp;"; "&amp;Y247&amp;"; "&amp;Z247&amp;"; "&amp;AA247&amp;"; "&amp;AB247&amp;"; "&amp;AC247&amp;"; "&amp;U247)</x:f>
        <x:v>proposal.legger.anchors; legger lashing-anchor set; crafting components; legger cargo rigging; crafting component; processed intermediate; manufactured / unresolved; equipment mounting; metal; assembly; proposal; legger; leger; companion replacement part</x:v>
      </x:c>
      <x:c r="AE247" s="4" t="str">
        <x:v>Specific parts and protective properties remain proposals; ancient-material scarcity is established author direction.</x:v>
      </x:c>
    </x:row>
    <x:row r="248" ht="115" customHeight="1">
      <x:c r="A248" s="9" t="str">
        <x:v>proposal.legger.balance_link</x:v>
      </x:c>
      <x:c r="B248" s="9" t="str">
        <x:v>Legger load-balance linkage</x:v>
      </x:c>
      <x:c r="C248" s="9" t="str">
        <x:v>Crafting components</x:v>
      </x:c>
      <x:c r="D248" s="9" t="str">
        <x:v>Legger cargo rigging</x:v>
      </x:c>
      <x:c r="E248" s="9" t="str">
        <x:v>New proposal</x:v>
      </x:c>
      <x:c r="F248" s="9" t="str">
        <x:v>Mechanical linkage candidate to distribute a supported cargo load.</x:v>
      </x:c>
      <x:c r="G248" s="9" t="str">
        <x:v>Legger fitment unresolved</x:v>
      </x:c>
      <x:c r="H248" s="9" t="str">
        <x:v>Legger attachment / replacement intended; physical cargo policy unchanged</x:v>
      </x:c>
      <x:c r="I248" s="13"/>
      <x:c r="J248" s="15"/>
      <x:c r="K248" s="9" t="str">
        <x:v>Local craft, salvage or specialist trade; exact route TBD</x:v>
      </x:c>
      <x:c r="L248" s="9" t="str">
        <x:v>No recipe authored. Reuse existing iron stock, biological materials, ceramic craft, lubricant and ancient-material families where appropriate.</x:v>
      </x:c>
      <x:c r="M248" s="9" t="str">
        <x:v>Not implemented</x:v>
      </x:c>
      <x:c r="N248" s="9" t="str">
        <x:v>A design goal rather than active self-balancing behavior; no increased capacity or stability stat assigned.</x:v>
      </x:c>
      <x:c r="O248" s="17"/>
      <x:c r="P248" s="17"/>
      <x:c r="Q248" s="17"/>
      <x:c r="R248" s="17"/>
      <x:c r="S248" s="17"/>
      <x:c r="T248" s="9" t="str">
        <x:v>Brainstorming candidate. Geometry, cost, mass, mounting, carrying and replacement behavior remain open. Part belongs to a finite physical companion.</x:v>
      </x:c>
      <x:c r="U248" s="11" t="str">
        <x:v>equipment mounting; legger; leger; companion replacement part</x:v>
      </x:c>
      <x:c r="V248" s="9" t="str">
        <x:v>Author Legger slings/chassis/replacement/iron/ancient-armor brainstorming October 14, 2026; Docs/WORLD_BASIS.md#the-legger; specific item proposal.</x:v>
      </x:c>
      <x:c r="W248" s="4" t="str">
        <x:v>Crafting component</x:v>
      </x:c>
      <x:c r="X248" s="4" t="str">
        <x:v>Processed intermediate</x:v>
      </x:c>
      <x:c r="Y248" s="4" t="str">
        <x:v>Manufactured / unresolved</x:v>
      </x:c>
      <x:c r="Z248" s="4" t="str">
        <x:v>Cargo organization</x:v>
      </x:c>
      <x:c r="AA248" s="4" t="str">
        <x:v>Metal</x:v>
      </x:c>
      <x:c r="AB248" s="4" t="str">
        <x:v>Assembly</x:v>
      </x:c>
      <x:c r="AC248" s="4" t="str">
        <x:v>Proposal</x:v>
      </x:c>
      <x:c r="AD248" s="4" t="str">
        <x:f>LOWER(A248&amp;"; "&amp;B248&amp;"; "&amp;C248&amp;"; "&amp;D248&amp;"; "&amp;W248&amp;"; "&amp;X248&amp;"; "&amp;Y248&amp;"; "&amp;Z248&amp;"; "&amp;AA248&amp;"; "&amp;AB248&amp;"; "&amp;AC248&amp;"; "&amp;U248)</x:f>
        <x:v>proposal.legger.balance_link; legger load-balance linkage; crafting components; legger cargo rigging; crafting component; processed intermediate; manufactured / unresolved; cargo organization; metal; assembly; proposal; equipment mounting; legger; leger; companion replacement part</x:v>
      </x:c>
      <x:c r="AE248" s="4" t="str">
        <x:v>Specific parts and protective properties remain proposals; ancient-material scarcity is established author direction.</x:v>
      </x:c>
    </x:row>
    <x:row r="249" ht="115" customHeight="1">
      <x:c r="A249" s="9" t="str">
        <x:v>proposal.legger.iron_rib</x:v>
      </x:c>
      <x:c r="B249" s="9" t="str">
        <x:v>Iron chassis replacement rib</x:v>
      </x:c>
      <x:c r="C249" s="9" t="str">
        <x:v>Crafting components</x:v>
      </x:c>
      <x:c r="D249" s="9" t="str">
        <x:v>Legger chassis</x:v>
      </x:c>
      <x:c r="E249" s="9" t="str">
        <x:v>New proposal</x:v>
      </x:c>
      <x:c r="F249" s="9" t="str">
        <x:v>Locally worked iron replacement for a selected damaged chassis member.</x:v>
      </x:c>
      <x:c r="G249" s="9" t="str">
        <x:v>Legger fitment unresolved</x:v>
      </x:c>
      <x:c r="H249" s="9" t="str">
        <x:v>Legger attachment / replacement intended; physical cargo policy unchanged</x:v>
      </x:c>
      <x:c r="I249" s="13"/>
      <x:c r="J249" s="15"/>
      <x:c r="K249" s="9" t="str">
        <x:v>Local craft, salvage or specialist trade; exact route TBD</x:v>
      </x:c>
      <x:c r="L249" s="9" t="str">
        <x:v>No recipe authored. Reuse existing iron stock, biological materials, ceramic craft, lubricant and ancient-material families where appropriate.</x:v>
      </x:c>
      <x:c r="M249" s="9" t="str">
        <x:v>Not implemented</x:v>
      </x:c>
      <x:c r="N249" s="9" t="str">
        <x:v>Geometry, weight and compatibility must match the selected host; iron is not an automatic drop-in substitute.</x:v>
      </x:c>
      <x:c r="O249" s="17"/>
      <x:c r="P249" s="17"/>
      <x:c r="Q249" s="17"/>
      <x:c r="R249" s="17"/>
      <x:c r="S249" s="17"/>
      <x:c r="T249" s="9" t="str">
        <x:v>Brainstorming candidate. Geometry, cost, mass, mounting, carrying and replacement behavior remain open. Part belongs to a finite physical companion.</x:v>
      </x:c>
      <x:c r="U249" s="11" t="str">
        <x:v>legger; leger; companion replacement part</x:v>
      </x:c>
      <x:c r="V249" s="9" t="str">
        <x:v>Author Legger slings/chassis/replacement/iron/ancient-armor brainstorming October 14, 2026; Docs/WORLD_BASIS.md#the-legger; specific item proposal.</x:v>
      </x:c>
      <x:c r="W249" s="4" t="str">
        <x:v>Crafting component</x:v>
      </x:c>
      <x:c r="X249" s="4" t="str">
        <x:v>Processed intermediate</x:v>
      </x:c>
      <x:c r="Y249" s="4" t="str">
        <x:v>Manufactured / unresolved</x:v>
      </x:c>
      <x:c r="Z249" s="4" t="str">
        <x:v>Equipment repair</x:v>
      </x:c>
      <x:c r="AA249" s="4" t="str">
        <x:v>Metal</x:v>
      </x:c>
      <x:c r="AB249" s="4" t="str">
        <x:v>Solid part</x:v>
      </x:c>
      <x:c r="AC249" s="4" t="str">
        <x:v>Proposal</x:v>
      </x:c>
      <x:c r="AD249" s="4" t="str">
        <x:f>LOWER(A249&amp;"; "&amp;B249&amp;"; "&amp;C249&amp;"; "&amp;D249&amp;"; "&amp;W249&amp;"; "&amp;X249&amp;"; "&amp;Y249&amp;"; "&amp;Z249&amp;"; "&amp;AA249&amp;"; "&amp;AB249&amp;"; "&amp;AC249&amp;"; "&amp;U249)</x:f>
        <x:v>proposal.legger.iron_rib; iron chassis replacement rib; crafting components; legger chassis; crafting component; processed intermediate; manufactured / unresolved; equipment repair; metal; solid part; proposal; legger; leger; companion replacement part</x:v>
      </x:c>
      <x:c r="AE249" s="4" t="str">
        <x:v>Specific parts and protective properties remain proposals; ancient-material scarcity is established author direction.</x:v>
      </x:c>
    </x:row>
    <x:row r="250" ht="115" customHeight="1">
      <x:c r="A250" s="9" t="str">
        <x:v>proposal.legger.crossbrace</x:v>
      </x:c>
      <x:c r="B250" s="9" t="str">
        <x:v>Chassis crossbrace</x:v>
      </x:c>
      <x:c r="C250" s="9" t="str">
        <x:v>Crafting components</x:v>
      </x:c>
      <x:c r="D250" s="9" t="str">
        <x:v>Legger chassis</x:v>
      </x:c>
      <x:c r="E250" s="9" t="str">
        <x:v>New proposal</x:v>
      </x:c>
      <x:c r="F250" s="9" t="str">
        <x:v>Brace joining selected chassis members.</x:v>
      </x:c>
      <x:c r="G250" s="9" t="str">
        <x:v>Legger fitment unresolved</x:v>
      </x:c>
      <x:c r="H250" s="9" t="str">
        <x:v>Legger attachment / replacement intended; physical cargo policy unchanged</x:v>
      </x:c>
      <x:c r="I250" s="13"/>
      <x:c r="J250" s="15"/>
      <x:c r="K250" s="9" t="str">
        <x:v>Local craft, salvage or specialist trade; exact route TBD</x:v>
      </x:c>
      <x:c r="L250" s="9" t="str">
        <x:v>No recipe authored. Reuse existing iron stock, biological materials, ceramic craft, lubricant and ancient-material families where appropriate.</x:v>
      </x:c>
      <x:c r="M250" s="9" t="str">
        <x:v>Not implemented</x:v>
      </x:c>
      <x:c r="N250" s="9" t="str">
        <x:v>Mounting pattern, material grade and repair procedure TBD.</x:v>
      </x:c>
      <x:c r="O250" s="17"/>
      <x:c r="P250" s="17"/>
      <x:c r="Q250" s="17"/>
      <x:c r="R250" s="17"/>
      <x:c r="S250" s="17"/>
      <x:c r="T250" s="9" t="str">
        <x:v>Brainstorming candidate. Geometry, cost, mass, mounting, carrying and replacement behavior remain open. Part belongs to a finite physical companion.</x:v>
      </x:c>
      <x:c r="U250" s="11" t="str">
        <x:v>equipment fabrication; legger; leger; companion replacement part</x:v>
      </x:c>
      <x:c r="V250" s="9" t="str">
        <x:v>Author Legger slings/chassis/replacement/iron/ancient-armor brainstorming October 14, 2026; Docs/WORLD_BASIS.md#the-legger; specific item proposal.</x:v>
      </x:c>
      <x:c r="W250" s="4" t="str">
        <x:v>Crafting component</x:v>
      </x:c>
      <x:c r="X250" s="4" t="str">
        <x:v>Processed intermediate</x:v>
      </x:c>
      <x:c r="Y250" s="4" t="str">
        <x:v>Manufactured / unresolved</x:v>
      </x:c>
      <x:c r="Z250" s="4" t="str">
        <x:v>Equipment repair</x:v>
      </x:c>
      <x:c r="AA250" s="4" t="str">
        <x:v>Metal</x:v>
      </x:c>
      <x:c r="AB250" s="4" t="str">
        <x:v>Solid part</x:v>
      </x:c>
      <x:c r="AC250" s="4" t="str">
        <x:v>Proposal</x:v>
      </x:c>
      <x:c r="AD250" s="4" t="str">
        <x:f>LOWER(A250&amp;"; "&amp;B250&amp;"; "&amp;C250&amp;"; "&amp;D250&amp;"; "&amp;W250&amp;"; "&amp;X250&amp;"; "&amp;Y250&amp;"; "&amp;Z250&amp;"; "&amp;AA250&amp;"; "&amp;AB250&amp;"; "&amp;AC250&amp;"; "&amp;U250)</x:f>
        <x:v>proposal.legger.crossbrace; chassis crossbrace; crafting components; legger chassis; crafting component; processed intermediate; manufactured / unresolved; equipment repair; metal; solid part; proposal; equipment fabrication; legger; leger; companion replacement part</x:v>
      </x:c>
      <x:c r="AE250" s="4" t="str">
        <x:v>Specific parts and protective properties remain proposals; ancient-material scarcity is established author direction.</x:v>
      </x:c>
    </x:row>
    <x:row r="251" ht="115" customHeight="1">
      <x:c r="A251" s="9" t="str">
        <x:v>proposal.legger.belly_pan</x:v>
      </x:c>
      <x:c r="B251" s="9" t="str">
        <x:v>Legger chassis belly pan</x:v>
      </x:c>
      <x:c r="C251" s="9" t="str">
        <x:v>Equipment</x:v>
      </x:c>
      <x:c r="D251" s="9" t="str">
        <x:v>Legger chassis</x:v>
      </x:c>
      <x:c r="E251" s="9" t="str">
        <x:v>New proposal</x:v>
      </x:c>
      <x:c r="F251" s="9" t="str">
        <x:v>Lower chassis cover candidate for debris and contact exposure.</x:v>
      </x:c>
      <x:c r="G251" s="9" t="str">
        <x:v>Legger fitment unresolved</x:v>
      </x:c>
      <x:c r="H251" s="9" t="str">
        <x:v>Legger attachment / replacement intended; physical cargo policy unchanged</x:v>
      </x:c>
      <x:c r="I251" s="13"/>
      <x:c r="J251" s="15"/>
      <x:c r="K251" s="9" t="str">
        <x:v>Local craft, salvage or specialist trade; exact route TBD</x:v>
      </x:c>
      <x:c r="L251" s="9" t="str">
        <x:v>No recipe authored. Reuse existing iron stock, biological materials, ceramic craft, lubricant and ancient-material families where appropriate.</x:v>
      </x:c>
      <x:c r="M251" s="9" t="str">
        <x:v>Not implemented</x:v>
      </x:c>
      <x:c r="N251" s="9" t="str">
        <x:v>Clearance, access and actual protection remain undecided.</x:v>
      </x:c>
      <x:c r="O251" s="17"/>
      <x:c r="P251" s="17"/>
      <x:c r="Q251" s="17"/>
      <x:c r="R251" s="17"/>
      <x:c r="S251" s="17"/>
      <x:c r="T251" s="9" t="str">
        <x:v>Brainstorming candidate. Geometry, cost, mass, mounting, carrying and replacement behavior remain open. Part belongs to a finite physical companion.</x:v>
      </x:c>
      <x:c r="U251" s="11" t="str">
        <x:v>dust exclusion; legger; leger; companion replacement part</x:v>
      </x:c>
      <x:c r="V251" s="9" t="str">
        <x:v>Author Legger slings/chassis/replacement/iron/ancient-armor brainstorming October 14, 2026; Docs/WORLD_BASIS.md#the-legger; specific item proposal.</x:v>
      </x:c>
      <x:c r="W251" s="4" t="str">
        <x:v>Armor</x:v>
      </x:c>
      <x:c r="X251" s="4" t="str">
        <x:v>Finished item</x:v>
      </x:c>
      <x:c r="Y251" s="4" t="str">
        <x:v>Manufactured / unresolved</x:v>
      </x:c>
      <x:c r="Z251" s="4" t="str">
        <x:v>Protection</x:v>
      </x:c>
      <x:c r="AA251" s="4" t="str">
        <x:v>Metal</x:v>
      </x:c>
      <x:c r="AB251" s="4" t="str">
        <x:v>Assembly</x:v>
      </x:c>
      <x:c r="AC251" s="4" t="str">
        <x:v>Proposal</x:v>
      </x:c>
      <x:c r="AD251" s="4" t="str">
        <x:f>LOWER(A251&amp;"; "&amp;B251&amp;"; "&amp;C251&amp;"; "&amp;D251&amp;"; "&amp;W251&amp;"; "&amp;X251&amp;"; "&amp;Y251&amp;"; "&amp;Z251&amp;"; "&amp;AA251&amp;"; "&amp;AB251&amp;"; "&amp;AC251&amp;"; "&amp;U251)</x:f>
        <x:v>proposal.legger.belly_pan; legger chassis belly pan; equipment; legger chassis; armor; finished item; manufactured / unresolved; protection; metal; assembly; proposal; dust exclusion; legger; leger; companion replacement part</x:v>
      </x:c>
      <x:c r="AE251" s="4" t="str">
        <x:v>Specific parts and protective properties remain proposals; ancient-material scarcity is established author direction.</x:v>
      </x:c>
    </x:row>
    <x:row r="252" ht="115" customHeight="1">
      <x:c r="A252" s="9" t="str">
        <x:v>proposal.legger.mount_rail</x:v>
      </x:c>
      <x:c r="B252" s="9" t="str">
        <x:v>Legger attachment rail</x:v>
      </x:c>
      <x:c r="C252" s="9" t="str">
        <x:v>Crafting components</x:v>
      </x:c>
      <x:c r="D252" s="9" t="str">
        <x:v>Legger chassis</x:v>
      </x:c>
      <x:c r="E252" s="9" t="str">
        <x:v>New proposal</x:v>
      </x:c>
      <x:c r="F252" s="9" t="str">
        <x:v>Standardized mounting surface candidate for selected Legger attachments.</x:v>
      </x:c>
      <x:c r="G252" s="9" t="str">
        <x:v>Legger fitment unresolved</x:v>
      </x:c>
      <x:c r="H252" s="9" t="str">
        <x:v>Legger attachment / replacement intended; physical cargo policy unchanged</x:v>
      </x:c>
      <x:c r="I252" s="13"/>
      <x:c r="J252" s="15"/>
      <x:c r="K252" s="9" t="str">
        <x:v>Local craft, salvage or specialist trade; exact route TBD</x:v>
      </x:c>
      <x:c r="L252" s="9" t="str">
        <x:v>No recipe authored. Reuse existing iron stock, biological materials, ceramic craft, lubricant and ancient-material families where appropriate.</x:v>
      </x:c>
      <x:c r="M252" s="9" t="str">
        <x:v>Not implemented</x:v>
      </x:c>
      <x:c r="N252" s="9" t="str">
        <x:v>Compatibility is a future design choice; does not create universal sockets or unlimited attachments.</x:v>
      </x:c>
      <x:c r="O252" s="17"/>
      <x:c r="P252" s="17"/>
      <x:c r="Q252" s="17"/>
      <x:c r="R252" s="17"/>
      <x:c r="S252" s="17"/>
      <x:c r="T252" s="9" t="str">
        <x:v>Brainstorming candidate. Geometry, cost, mass, mounting, carrying and replacement behavior remain open. Part belongs to a finite physical companion.</x:v>
      </x:c>
      <x:c r="U252" s="11" t="str">
        <x:v>legger; leger; companion replacement part</x:v>
      </x:c>
      <x:c r="V252" s="9" t="str">
        <x:v>Author Legger slings/chassis/replacement/iron/ancient-armor brainstorming October 14, 2026; Docs/WORLD_BASIS.md#the-legger; specific item proposal.</x:v>
      </x:c>
      <x:c r="W252" s="4" t="str">
        <x:v>Crafting component</x:v>
      </x:c>
      <x:c r="X252" s="4" t="str">
        <x:v>Processed intermediate</x:v>
      </x:c>
      <x:c r="Y252" s="4" t="str">
        <x:v>Manufactured / unresolved</x:v>
      </x:c>
      <x:c r="Z252" s="4" t="str">
        <x:v>Equipment mounting</x:v>
      </x:c>
      <x:c r="AA252" s="4" t="str">
        <x:v>Metal</x:v>
      </x:c>
      <x:c r="AB252" s="4" t="str">
        <x:v>Solid part</x:v>
      </x:c>
      <x:c r="AC252" s="4" t="str">
        <x:v>Proposal</x:v>
      </x:c>
      <x:c r="AD252" s="4" t="str">
        <x:f>LOWER(A252&amp;"; "&amp;B252&amp;"; "&amp;C252&amp;"; "&amp;D252&amp;"; "&amp;W252&amp;"; "&amp;X252&amp;"; "&amp;Y252&amp;"; "&amp;Z252&amp;"; "&amp;AA252&amp;"; "&amp;AB252&amp;"; "&amp;AC252&amp;"; "&amp;U252)</x:f>
        <x:v>proposal.legger.mount_rail; legger attachment rail; crafting components; legger chassis; crafting component; processed intermediate; manufactured / unresolved; equipment mounting; metal; solid part; proposal; legger; leger; companion replacement part</x:v>
      </x:c>
      <x:c r="AE252" s="4" t="str">
        <x:v>Specific parts and protective properties remain proposals; ancient-material scarcity is established author direction.</x:v>
      </x:c>
    </x:row>
    <x:row r="253" ht="115" customHeight="1">
      <x:c r="A253" s="9" t="str">
        <x:v>proposal.legger.joint_bush</x:v>
      </x:c>
      <x:c r="B253" s="9" t="str">
        <x:v>Iron joint bushing</x:v>
      </x:c>
      <x:c r="C253" s="9" t="str">
        <x:v>Crafting components</x:v>
      </x:c>
      <x:c r="D253" s="9" t="str">
        <x:v>Legger mechanical parts</x:v>
      </x:c>
      <x:c r="E253" s="9" t="str">
        <x:v>New proposal</x:v>
      </x:c>
      <x:c r="F253" s="9" t="str">
        <x:v>Replaceable wear sleeve in a specifically matched joint.</x:v>
      </x:c>
      <x:c r="G253" s="9" t="str">
        <x:v>Legger fitment unresolved</x:v>
      </x:c>
      <x:c r="H253" s="9" t="str">
        <x:v>Legger attachment / replacement intended; physical cargo policy unchanged</x:v>
      </x:c>
      <x:c r="I253" s="13"/>
      <x:c r="J253" s="15"/>
      <x:c r="K253" s="9" t="str">
        <x:v>Local craft, salvage or specialist trade; exact route TBD</x:v>
      </x:c>
      <x:c r="L253" s="9" t="str">
        <x:v>No recipe authored. Reuse existing iron stock, biological materials, ceramic craft, lubricant and ancient-material families where appropriate.</x:v>
      </x:c>
      <x:c r="M253" s="9" t="str">
        <x:v>Not implemented</x:v>
      </x:c>
      <x:c r="N253" s="9" t="str">
        <x:v>Material grade, fit and lubrication are unresolved; separate from a full bearing cassette.</x:v>
      </x:c>
      <x:c r="O253" s="17"/>
      <x:c r="P253" s="17"/>
      <x:c r="Q253" s="17"/>
      <x:c r="R253" s="17"/>
      <x:c r="S253" s="17"/>
      <x:c r="T253" s="9" t="str">
        <x:v>Brainstorming candidate. Geometry, cost, mass, mounting, carrying and replacement behavior remain open. Part belongs to a finite physical companion.</x:v>
      </x:c>
      <x:c r="U253" s="11" t="str">
        <x:v>legger; leger; companion replacement part</x:v>
      </x:c>
      <x:c r="V253" s="9" t="str">
        <x:v>Author Legger slings/chassis/replacement/iron/ancient-armor brainstorming October 14, 2026; Docs/WORLD_BASIS.md#the-legger; specific item proposal.</x:v>
      </x:c>
      <x:c r="W253" s="4" t="str">
        <x:v>Crafting component</x:v>
      </x:c>
      <x:c r="X253" s="4" t="str">
        <x:v>Processed intermediate</x:v>
      </x:c>
      <x:c r="Y253" s="4" t="str">
        <x:v>Manufactured / unresolved</x:v>
      </x:c>
      <x:c r="Z253" s="4" t="str">
        <x:v>Equipment repair</x:v>
      </x:c>
      <x:c r="AA253" s="4" t="str">
        <x:v>Metal</x:v>
      </x:c>
      <x:c r="AB253" s="4" t="str">
        <x:v>Solid part</x:v>
      </x:c>
      <x:c r="AC253" s="4" t="str">
        <x:v>Proposal</x:v>
      </x:c>
      <x:c r="AD253" s="4" t="str">
        <x:f>LOWER(A253&amp;"; "&amp;B253&amp;"; "&amp;C253&amp;"; "&amp;D253&amp;"; "&amp;W253&amp;"; "&amp;X253&amp;"; "&amp;Y253&amp;"; "&amp;Z253&amp;"; "&amp;AA253&amp;"; "&amp;AB253&amp;"; "&amp;AC253&amp;"; "&amp;U253)</x:f>
        <x:v>proposal.legger.joint_bush; iron joint bushing; crafting components; legger mechanical parts; crafting component; processed intermediate; manufactured / unresolved; equipment repair; metal; solid part; proposal; legger; leger; companion replacement part</x:v>
      </x:c>
      <x:c r="AE253" s="4" t="str">
        <x:v>Specific parts and protective properties remain proposals; ancient-material scarcity is established author direction.</x:v>
      </x:c>
    </x:row>
    <x:row r="254" ht="115" customHeight="1">
      <x:c r="A254" s="9" t="str">
        <x:v>proposal.legger.bearing</x:v>
      </x:c>
      <x:c r="B254" s="9" t="str">
        <x:v>Replacement bearing assembly</x:v>
      </x:c>
      <x:c r="C254" s="9" t="str">
        <x:v>Crafting components</x:v>
      </x:c>
      <x:c r="D254" s="9" t="str">
        <x:v>Legger mechanical parts</x:v>
      </x:c>
      <x:c r="E254" s="9" t="str">
        <x:v>New proposal</x:v>
      </x:c>
      <x:c r="F254" s="9" t="str">
        <x:v>Locally serviceable bearing assembly for a selected mechanical joint.</x:v>
      </x:c>
      <x:c r="G254" s="9" t="str">
        <x:v>Legger fitment unresolved</x:v>
      </x:c>
      <x:c r="H254" s="9" t="str">
        <x:v>Legger attachment / replacement intended; physical cargo policy unchanged</x:v>
      </x:c>
      <x:c r="I254" s="13"/>
      <x:c r="J254" s="15"/>
      <x:c r="K254" s="9" t="str">
        <x:v>Local craft, salvage or specialist trade; exact route TBD</x:v>
      </x:c>
      <x:c r="L254" s="9" t="str">
        <x:v>No recipe authored. Reuse existing iron stock, biological materials, ceramic craft, lubricant and ancient-material families where appropriate.</x:v>
      </x:c>
      <x:c r="M254" s="9" t="str">
        <x:v>Not implemented</x:v>
      </x:c>
      <x:c r="N254" s="9" t="str">
        <x:v>Load, geometry, grit exclusion and suitable lubricant TBD; no bearing standard assumed.</x:v>
      </x:c>
      <x:c r="O254" s="17"/>
      <x:c r="P254" s="17"/>
      <x:c r="Q254" s="17"/>
      <x:c r="R254" s="17"/>
      <x:c r="S254" s="17"/>
      <x:c r="T254" s="9" t="str">
        <x:v>Brainstorming candidate. Geometry, cost, mass, mounting, carrying and replacement behavior remain open. Part belongs to a finite physical companion.</x:v>
      </x:c>
      <x:c r="U254" s="11" t="str">
        <x:v>legger; leger; companion replacement part</x:v>
      </x:c>
      <x:c r="V254" s="9" t="str">
        <x:v>Author Legger slings/chassis/replacement/iron/ancient-armor brainstorming October 14, 2026; Docs/WORLD_BASIS.md#the-legger; specific item proposal.</x:v>
      </x:c>
      <x:c r="W254" s="4" t="str">
        <x:v>Crafting component</x:v>
      </x:c>
      <x:c r="X254" s="4" t="str">
        <x:v>Processed intermediate</x:v>
      </x:c>
      <x:c r="Y254" s="4" t="str">
        <x:v>Manufactured / unresolved</x:v>
      </x:c>
      <x:c r="Z254" s="4" t="str">
        <x:v>Equipment repair</x:v>
      </x:c>
      <x:c r="AA254" s="4" t="str">
        <x:v>Mixed / unresolved</x:v>
      </x:c>
      <x:c r="AB254" s="4" t="str">
        <x:v>Assembly</x:v>
      </x:c>
      <x:c r="AC254" s="4" t="str">
        <x:v>Proposal</x:v>
      </x:c>
      <x:c r="AD254" s="4" t="str">
        <x:f>LOWER(A254&amp;"; "&amp;B254&amp;"; "&amp;C254&amp;"; "&amp;D254&amp;"; "&amp;W254&amp;"; "&amp;X254&amp;"; "&amp;Y254&amp;"; "&amp;Z254&amp;"; "&amp;AA254&amp;"; "&amp;AB254&amp;"; "&amp;AC254&amp;"; "&amp;U254)</x:f>
        <x:v>proposal.legger.bearing; replacement bearing assembly; crafting components; legger mechanical parts; crafting component; processed intermediate; manufactured / unresolved; equipment repair; mixed / unresolved; assembly; proposal; legger; leger; companion replacement part</x:v>
      </x:c>
      <x:c r="AE254" s="4" t="str">
        <x:v>Specific parts and protective properties remain proposals; ancient-material scarcity is established author direction.</x:v>
      </x:c>
    </x:row>
    <x:row r="255" ht="115" customHeight="1">
      <x:c r="A255" s="9" t="str">
        <x:v>proposal.legger.foot_plate</x:v>
      </x:c>
      <x:c r="B255" s="9" t="str">
        <x:v>Replaceable foot contact plate</x:v>
      </x:c>
      <x:c r="C255" s="9" t="str">
        <x:v>Crafting components</x:v>
      </x:c>
      <x:c r="D255" s="9" t="str">
        <x:v>Legger mechanical parts</x:v>
      </x:c>
      <x:c r="E255" s="9" t="str">
        <x:v>New proposal</x:v>
      </x:c>
      <x:c r="F255" s="9" t="str">
        <x:v>Wear plate at an existing foot-ground contact surface.</x:v>
      </x:c>
      <x:c r="G255" s="9" t="str">
        <x:v>Legger fitment unresolved</x:v>
      </x:c>
      <x:c r="H255" s="9" t="str">
        <x:v>Legger attachment / replacement intended; physical cargo policy unchanged</x:v>
      </x:c>
      <x:c r="I255" s="13"/>
      <x:c r="J255" s="15"/>
      <x:c r="K255" s="9" t="str">
        <x:v>Local craft, salvage or specialist trade; exact route TBD</x:v>
      </x:c>
      <x:c r="L255" s="9" t="str">
        <x:v>No recipe authored. Reuse existing iron stock, biological materials, ceramic craft, lubricant and ancient-material families where appropriate.</x:v>
      </x:c>
      <x:c r="M255" s="9" t="str">
        <x:v>Not implemented</x:v>
      </x:c>
      <x:c r="N255" s="9" t="str">
        <x:v>Foot anatomy and attachment need inspection before implementation; traction and ground effects unassigned.</x:v>
      </x:c>
      <x:c r="O255" s="17"/>
      <x:c r="P255" s="17"/>
      <x:c r="Q255" s="17"/>
      <x:c r="R255" s="17"/>
      <x:c r="S255" s="17"/>
      <x:c r="T255" s="9" t="str">
        <x:v>Brainstorming candidate. Geometry, cost, mass, mounting, carrying and replacement behavior remain open. Part belongs to a finite physical companion.</x:v>
      </x:c>
      <x:c r="U255" s="11" t="str">
        <x:v>traversal; legger; leger; companion replacement part</x:v>
      </x:c>
      <x:c r="V255" s="9" t="str">
        <x:v>Author Legger slings/chassis/replacement/iron/ancient-armor brainstorming October 14, 2026; Docs/WORLD_BASIS.md#the-legger; specific item proposal.</x:v>
      </x:c>
      <x:c r="W255" s="4" t="str">
        <x:v>Crafting component</x:v>
      </x:c>
      <x:c r="X255" s="4" t="str">
        <x:v>Processed intermediate</x:v>
      </x:c>
      <x:c r="Y255" s="4" t="str">
        <x:v>Manufactured / unresolved</x:v>
      </x:c>
      <x:c r="Z255" s="4" t="str">
        <x:v>Equipment repair</x:v>
      </x:c>
      <x:c r="AA255" s="4" t="str">
        <x:v>Metal</x:v>
      </x:c>
      <x:c r="AB255" s="4" t="str">
        <x:v>Solid part</x:v>
      </x:c>
      <x:c r="AC255" s="4" t="str">
        <x:v>Proposal</x:v>
      </x:c>
      <x:c r="AD255" s="4" t="str">
        <x:f>LOWER(A255&amp;"; "&amp;B255&amp;"; "&amp;C255&amp;"; "&amp;D255&amp;"; "&amp;W255&amp;"; "&amp;X255&amp;"; "&amp;Y255&amp;"; "&amp;Z255&amp;"; "&amp;AA255&amp;"; "&amp;AB255&amp;"; "&amp;AC255&amp;"; "&amp;U255)</x:f>
        <x:v>proposal.legger.foot_plate; replaceable foot contact plate; crafting components; legger mechanical parts; crafting component; processed intermediate; manufactured / unresolved; equipment repair; metal; solid part; proposal; traversal; legger; leger; companion replacement part</x:v>
      </x:c>
      <x:c r="AE255" s="4" t="str">
        <x:v>Specific parts and protective properties remain proposals; ancient-material scarcity is established author direction.</x:v>
      </x:c>
    </x:row>
    <x:row r="256" ht="115" customHeight="1">
      <x:c r="A256" s="9" t="str">
        <x:v>proposal.legger.actuator_rod</x:v>
      </x:c>
      <x:c r="B256" s="9" t="str">
        <x:v>Replacement actuator link</x:v>
      </x:c>
      <x:c r="C256" s="9" t="str">
        <x:v>Crafting components</x:v>
      </x:c>
      <x:c r="D256" s="9" t="str">
        <x:v>Legger mechanical parts</x:v>
      </x:c>
      <x:c r="E256" s="9" t="str">
        <x:v>New proposal</x:v>
      </x:c>
      <x:c r="F256" s="9" t="str">
        <x:v>Mechanical link candidate within a compatible existing movement assembly.</x:v>
      </x:c>
      <x:c r="G256" s="9" t="str">
        <x:v>Legger fitment unresolved</x:v>
      </x:c>
      <x:c r="H256" s="9" t="str">
        <x:v>Legger attachment / replacement intended; physical cargo policy unchanged</x:v>
      </x:c>
      <x:c r="I256" s="13"/>
      <x:c r="J256" s="15"/>
      <x:c r="K256" s="9" t="str">
        <x:v>Local craft, salvage or specialist trade; exact route TBD</x:v>
      </x:c>
      <x:c r="L256" s="9" t="str">
        <x:v>No recipe authored. Reuse existing iron stock, biological materials, ceramic craft, lubricant and ancient-material families where appropriate.</x:v>
      </x:c>
      <x:c r="M256" s="9" t="str">
        <x:v>Not implemented</x:v>
      </x:c>
      <x:c r="N256" s="9" t="str">
        <x:v>Does not establish hydraulic, pneumatic or electric actuation; host mechanism remains TBD.</x:v>
      </x:c>
      <x:c r="O256" s="17"/>
      <x:c r="P256" s="17"/>
      <x:c r="Q256" s="17"/>
      <x:c r="R256" s="17"/>
      <x:c r="S256" s="17"/>
      <x:c r="T256" s="9" t="str">
        <x:v>Brainstorming candidate. Geometry, cost, mass, mounting, carrying and replacement behavior remain open. Part belongs to a finite physical companion.</x:v>
      </x:c>
      <x:c r="U256" s="11" t="str">
        <x:v>legger; leger; companion replacement part</x:v>
      </x:c>
      <x:c r="V256" s="9" t="str">
        <x:v>Author Legger slings/chassis/replacement/iron/ancient-armor brainstorming October 14, 2026; Docs/WORLD_BASIS.md#the-legger; specific item proposal.</x:v>
      </x:c>
      <x:c r="W256" s="4" t="str">
        <x:v>Crafting component</x:v>
      </x:c>
      <x:c r="X256" s="4" t="str">
        <x:v>Processed intermediate</x:v>
      </x:c>
      <x:c r="Y256" s="4" t="str">
        <x:v>Manufactured / unresolved</x:v>
      </x:c>
      <x:c r="Z256" s="4" t="str">
        <x:v>Equipment repair</x:v>
      </x:c>
      <x:c r="AA256" s="4" t="str">
        <x:v>Metal</x:v>
      </x:c>
      <x:c r="AB256" s="4" t="str">
        <x:v>Solid part</x:v>
      </x:c>
      <x:c r="AC256" s="4" t="str">
        <x:v>Proposal</x:v>
      </x:c>
      <x:c r="AD256" s="4" t="str">
        <x:f>LOWER(A256&amp;"; "&amp;B256&amp;"; "&amp;C256&amp;"; "&amp;D256&amp;"; "&amp;W256&amp;"; "&amp;X256&amp;"; "&amp;Y256&amp;"; "&amp;Z256&amp;"; "&amp;AA256&amp;"; "&amp;AB256&amp;"; "&amp;AC256&amp;"; "&amp;U256)</x:f>
        <x:v>proposal.legger.actuator_rod; replacement actuator link; crafting components; legger mechanical parts; crafting component; processed intermediate; manufactured / unresolved; equipment repair; metal; solid part; proposal; legger; leger; companion replacement part</x:v>
      </x:c>
      <x:c r="AE256" s="4" t="str">
        <x:v>Specific parts and protective properties remain proposals; ancient-material scarcity is established author direction.</x:v>
      </x:c>
    </x:row>
    <x:row r="257" ht="115" customHeight="1">
      <x:c r="A257" s="9" t="str">
        <x:v>proposal.legger.joint_shroud</x:v>
      </x:c>
      <x:c r="B257" s="9" t="str">
        <x:v>Joint dust shroud</x:v>
      </x:c>
      <x:c r="C257" s="9" t="str">
        <x:v>Crafting components</x:v>
      </x:c>
      <x:c r="D257" s="9" t="str">
        <x:v>Legger service parts</x:v>
      </x:c>
      <x:c r="E257" s="9" t="str">
        <x:v>New proposal</x:v>
      </x:c>
      <x:c r="F257" s="9" t="str">
        <x:v>Protective cover candidate around a moving joint.</x:v>
      </x:c>
      <x:c r="G257" s="9" t="str">
        <x:v>Legger fitment unresolved</x:v>
      </x:c>
      <x:c r="H257" s="9" t="str">
        <x:v>Legger attachment / replacement intended; physical cargo policy unchanged</x:v>
      </x:c>
      <x:c r="I257" s="13"/>
      <x:c r="J257" s="15"/>
      <x:c r="K257" s="9" t="str">
        <x:v>Local craft, salvage or specialist trade; exact route TBD</x:v>
      </x:c>
      <x:c r="L257" s="9" t="str">
        <x:v>No recipe authored. Reuse existing iron stock, biological materials, ceramic craft, lubricant and ancient-material families where appropriate.</x:v>
      </x:c>
      <x:c r="M257" s="9" t="str">
        <x:v>Not implemented</x:v>
      </x:c>
      <x:c r="N257" s="9" t="str">
        <x:v>Selected membrane or segmented metal geometry; no rubber or cloth supply presumed.</x:v>
      </x:c>
      <x:c r="O257" s="17"/>
      <x:c r="P257" s="17"/>
      <x:c r="Q257" s="17"/>
      <x:c r="R257" s="17"/>
      <x:c r="S257" s="17"/>
      <x:c r="T257" s="9" t="str">
        <x:v>Brainstorming candidate. Geometry, cost, mass, mounting, carrying and replacement behavior remain open. Part belongs to a finite physical companion.</x:v>
      </x:c>
      <x:c r="U257" s="11" t="str">
        <x:v>protection; legger; leger; companion replacement part</x:v>
      </x:c>
      <x:c r="V257" s="9" t="str">
        <x:v>Author Legger slings/chassis/replacement/iron/ancient-armor brainstorming October 14, 2026; Docs/WORLD_BASIS.md#the-legger; specific item proposal.</x:v>
      </x:c>
      <x:c r="W257" s="4" t="str">
        <x:v>Crafting component</x:v>
      </x:c>
      <x:c r="X257" s="4" t="str">
        <x:v>Processed intermediate</x:v>
      </x:c>
      <x:c r="Y257" s="4" t="str">
        <x:v>Manufactured / unresolved</x:v>
      </x:c>
      <x:c r="Z257" s="4" t="str">
        <x:v>Dust exclusion</x:v>
      </x:c>
      <x:c r="AA257" s="4" t="str">
        <x:v>Mixed / unresolved</x:v>
      </x:c>
      <x:c r="AB257" s="4" t="str">
        <x:v>Assembly</x:v>
      </x:c>
      <x:c r="AC257" s="4" t="str">
        <x:v>Proposal</x:v>
      </x:c>
      <x:c r="AD257" s="4" t="str">
        <x:f>LOWER(A257&amp;"; "&amp;B257&amp;"; "&amp;C257&amp;"; "&amp;D257&amp;"; "&amp;W257&amp;"; "&amp;X257&amp;"; "&amp;Y257&amp;"; "&amp;Z257&amp;"; "&amp;AA257&amp;"; "&amp;AB257&amp;"; "&amp;AC257&amp;"; "&amp;U257)</x:f>
        <x:v>proposal.legger.joint_shroud; joint dust shroud; crafting components; legger service parts; crafting component; processed intermediate; manufactured / unresolved; dust exclusion; mixed / unresolved; assembly; proposal; protection; legger; leger; companion replacement part</x:v>
      </x:c>
      <x:c r="AE257" s="4" t="str">
        <x:v>Specific parts and protective properties remain proposals; ancient-material scarcity is established author direction.</x:v>
      </x:c>
    </x:row>
    <x:row r="258" ht="115" customHeight="1">
      <x:c r="A258" s="9" t="str">
        <x:v>proposal.legger.grease_cup</x:v>
      </x:c>
      <x:c r="B258" s="9" t="str">
        <x:v>Fitted joint lubricant cup</x:v>
      </x:c>
      <x:c r="C258" s="9" t="str">
        <x:v>Crafting components</x:v>
      </x:c>
      <x:c r="D258" s="9" t="str">
        <x:v>Legger service parts</x:v>
      </x:c>
      <x:c r="E258" s="9" t="str">
        <x:v>New proposal</x:v>
      </x:c>
      <x:c r="F258" s="9" t="str">
        <x:v>Small fitted reservoir candidate for a selected joint lubricant.</x:v>
      </x:c>
      <x:c r="G258" s="9" t="str">
        <x:v>Legger fitment unresolved</x:v>
      </x:c>
      <x:c r="H258" s="9" t="str">
        <x:v>Legger attachment / replacement intended; physical cargo policy unchanged</x:v>
      </x:c>
      <x:c r="I258" s="13"/>
      <x:c r="J258" s="15"/>
      <x:c r="K258" s="9" t="str">
        <x:v>Local craft, salvage or specialist trade; exact route TBD</x:v>
      </x:c>
      <x:c r="L258" s="9" t="str">
        <x:v>No recipe authored. Reuse existing iron stock, biological materials, ceramic craft, lubricant and ancient-material families where appropriate.</x:v>
      </x:c>
      <x:c r="M258" s="9" t="str">
        <x:v>Not implemented</x:v>
      </x:c>
      <x:c r="N258" s="9" t="str">
        <x:v>Supply path, dose and grease compatibility TBD. No automatic replenishment or maintenance timer.</x:v>
      </x:c>
      <x:c r="O258" s="17"/>
      <x:c r="P258" s="17"/>
      <x:c r="Q258" s="17"/>
      <x:c r="R258" s="17"/>
      <x:c r="S258" s="17"/>
      <x:c r="T258" s="9" t="str">
        <x:v>Brainstorming candidate. Geometry, cost, mass, mounting, carrying and replacement behavior remain open. Part belongs to a finite physical companion.</x:v>
      </x:c>
      <x:c r="U258" s="11" t="str">
        <x:v>legger; leger; companion replacement part</x:v>
      </x:c>
      <x:c r="V258" s="9" t="str">
        <x:v>Author Legger slings/chassis/replacement/iron/ancient-armor brainstorming October 14, 2026; Docs/WORLD_BASIS.md#the-legger; specific item proposal.</x:v>
      </x:c>
      <x:c r="W258" s="4" t="str">
        <x:v>Container part</x:v>
      </x:c>
      <x:c r="X258" s="4" t="str">
        <x:v>Processed intermediate</x:v>
      </x:c>
      <x:c r="Y258" s="4" t="str">
        <x:v>Manufactured / unresolved</x:v>
      </x:c>
      <x:c r="Z258" s="4" t="str">
        <x:v>Lubrication</x:v>
      </x:c>
      <x:c r="AA258" s="4" t="str">
        <x:v>Metal</x:v>
      </x:c>
      <x:c r="AB258" s="4" t="str">
        <x:v>Assembly</x:v>
      </x:c>
      <x:c r="AC258" s="4" t="str">
        <x:v>Proposal</x:v>
      </x:c>
      <x:c r="AD258" s="4" t="str">
        <x:f>LOWER(A258&amp;"; "&amp;B258&amp;"; "&amp;C258&amp;"; "&amp;D258&amp;"; "&amp;W258&amp;"; "&amp;X258&amp;"; "&amp;Y258&amp;"; "&amp;Z258&amp;"; "&amp;AA258&amp;"; "&amp;AB258&amp;"; "&amp;AC258&amp;"; "&amp;U258)</x:f>
        <x:v>proposal.legger.grease_cup; fitted joint lubricant cup; crafting components; legger service parts; container part; processed intermediate; manufactured / unresolved; lubrication; metal; assembly; proposal; legger; leger; companion replacement part</x:v>
      </x:c>
      <x:c r="AE258" s="4" t="str">
        <x:v>Specific parts and protective properties remain proposals; ancient-material scarcity is established author direction.</x:v>
      </x:c>
    </x:row>
    <x:row r="259" ht="115" customHeight="1">
      <x:c r="A259" s="9" t="str">
        <x:v>proposal.legger.seal_cartridge</x:v>
      </x:c>
      <x:c r="B259" s="9" t="str">
        <x:v>Replaceable joint-seal cartridge</x:v>
      </x:c>
      <x:c r="C259" s="9" t="str">
        <x:v>Crafting components</x:v>
      </x:c>
      <x:c r="D259" s="9" t="str">
        <x:v>Legger service parts</x:v>
      </x:c>
      <x:c r="E259" s="9" t="str">
        <x:v>New proposal</x:v>
      </x:c>
      <x:c r="F259" s="9" t="str">
        <x:v>Serviceable dust/lubricant retention unit for a specific joint.</x:v>
      </x:c>
      <x:c r="G259" s="9" t="str">
        <x:v>Legger fitment unresolved</x:v>
      </x:c>
      <x:c r="H259" s="9" t="str">
        <x:v>Legger attachment / replacement intended; physical cargo policy unchanged</x:v>
      </x:c>
      <x:c r="I259" s="13"/>
      <x:c r="J259" s="15"/>
      <x:c r="K259" s="9" t="str">
        <x:v>Local craft, salvage or specialist trade; exact route TBD</x:v>
      </x:c>
      <x:c r="L259" s="9" t="str">
        <x:v>No recipe authored. Reuse existing iron stock, biological materials, ceramic craft, lubricant and ancient-material families where appropriate.</x:v>
      </x:c>
      <x:c r="M259" s="9" t="str">
        <x:v>Not implemented</x:v>
      </x:c>
      <x:c r="N259" s="9" t="str">
        <x:v>Different service from a survival-canister seal; materials and fit unresolved.</x:v>
      </x:c>
      <x:c r="O259" s="17"/>
      <x:c r="P259" s="17"/>
      <x:c r="Q259" s="17"/>
      <x:c r="R259" s="17"/>
      <x:c r="S259" s="17"/>
      <x:c r="T259" s="9" t="str">
        <x:v>Brainstorming candidate. Geometry, cost, mass, mounting, carrying and replacement behavior remain open. Part belongs to a finite physical companion.</x:v>
      </x:c>
      <x:c r="U259" s="11" t="str">
        <x:v>equipment repair; legger; leger; companion replacement part</x:v>
      </x:c>
      <x:c r="V259" s="9" t="str">
        <x:v>Author Legger slings/chassis/replacement/iron/ancient-armor brainstorming October 14, 2026; Docs/WORLD_BASIS.md#the-legger; specific item proposal.</x:v>
      </x:c>
      <x:c r="W259" s="4" t="str">
        <x:v>Crafting component</x:v>
      </x:c>
      <x:c r="X259" s="4" t="str">
        <x:v>Processed intermediate</x:v>
      </x:c>
      <x:c r="Y259" s="4" t="str">
        <x:v>Manufactured / unresolved</x:v>
      </x:c>
      <x:c r="Z259" s="4" t="str">
        <x:v>Sealing</x:v>
      </x:c>
      <x:c r="AA259" s="4" t="str">
        <x:v>Mixed / unresolved</x:v>
      </x:c>
      <x:c r="AB259" s="4" t="str">
        <x:v>Assembly</x:v>
      </x:c>
      <x:c r="AC259" s="4" t="str">
        <x:v>Proposal</x:v>
      </x:c>
      <x:c r="AD259" s="4" t="str">
        <x:f>LOWER(A259&amp;"; "&amp;B259&amp;"; "&amp;C259&amp;"; "&amp;D259&amp;"; "&amp;W259&amp;"; "&amp;X259&amp;"; "&amp;Y259&amp;"; "&amp;Z259&amp;"; "&amp;AA259&amp;"; "&amp;AB259&amp;"; "&amp;AC259&amp;"; "&amp;U259)</x:f>
        <x:v>proposal.legger.seal_cartridge; replaceable joint-seal cartridge; crafting components; legger service parts; crafting component; processed intermediate; manufactured / unresolved; sealing; mixed / unresolved; assembly; proposal; equipment repair; legger; leger; companion replacement part</x:v>
      </x:c>
      <x:c r="AE259" s="4" t="str">
        <x:v>Specific parts and protective properties remain proposals; ancient-material scarcity is established author direction.</x:v>
      </x:c>
    </x:row>
    <x:row r="260" ht="115" customHeight="1">
      <x:c r="A260" s="9" t="str">
        <x:v>proposal.legger.fastener_pack</x:v>
      </x:c>
      <x:c r="B260" s="9" t="str">
        <x:v>Legger service fastener pack</x:v>
      </x:c>
      <x:c r="C260" s="9" t="str">
        <x:v>Field supplies</x:v>
      </x:c>
      <x:c r="D260" s="9" t="str">
        <x:v>Legger service parts</x:v>
      </x:c>
      <x:c r="E260" s="9" t="str">
        <x:v>New proposal</x:v>
      </x:c>
      <x:c r="F260" s="9" t="str">
        <x:v>Selected matching pins, retainers and fasteners for a bounded repair job.</x:v>
      </x:c>
      <x:c r="G260" s="9" t="str">
        <x:v>Legger fitment unresolved</x:v>
      </x:c>
      <x:c r="H260" s="9" t="str">
        <x:v>Legger attachment / replacement intended; physical cargo policy unchanged</x:v>
      </x:c>
      <x:c r="I260" s="13"/>
      <x:c r="J260" s="15"/>
      <x:c r="K260" s="9" t="str">
        <x:v>Local craft, salvage or specialist trade; exact route TBD</x:v>
      </x:c>
      <x:c r="L260" s="9" t="str">
        <x:v>No recipe authored. Reuse existing iron stock, biological materials, ceramic craft, lubricant and ancient-material families where appropriate.</x:v>
      </x:c>
      <x:c r="M260" s="9" t="str">
        <x:v>Not implemented</x:v>
      </x:c>
      <x:c r="N260" s="9" t="str">
        <x:v>Pack contents and quantity TBD; no generic ability to repair every part or duplicate uncounted contents.</x:v>
      </x:c>
      <x:c r="O260" s="17"/>
      <x:c r="P260" s="17"/>
      <x:c r="Q260" s="17"/>
      <x:c r="R260" s="17"/>
      <x:c r="S260" s="17"/>
      <x:c r="T260" s="9" t="str">
        <x:v>Brainstorming candidate. Geometry, cost, mass, mounting, carrying and replacement behavior remain open. Part belongs to a finite physical companion.</x:v>
      </x:c>
      <x:c r="U260" s="11" t="str">
        <x:v>legger; leger; companion replacement part</x:v>
      </x:c>
      <x:c r="V260" s="9" t="str">
        <x:v>Author Legger slings/chassis/replacement/iron/ancient-armor brainstorming October 14, 2026; Docs/WORLD_BASIS.md#the-legger; specific item proposal.</x:v>
      </x:c>
      <x:c r="W260" s="4" t="str">
        <x:v>Service kit</x:v>
      </x:c>
      <x:c r="X260" s="4" t="str">
        <x:v>Finished item</x:v>
      </x:c>
      <x:c r="Y260" s="4" t="str">
        <x:v>Manufactured / unresolved</x:v>
      </x:c>
      <x:c r="Z260" s="4" t="str">
        <x:v>Equipment repair</x:v>
      </x:c>
      <x:c r="AA260" s="4" t="str">
        <x:v>Metal</x:v>
      </x:c>
      <x:c r="AB260" s="4" t="str">
        <x:v>Assembly</x:v>
      </x:c>
      <x:c r="AC260" s="4" t="str">
        <x:v>Proposal</x:v>
      </x:c>
      <x:c r="AD260" s="4" t="str">
        <x:f>LOWER(A260&amp;"; "&amp;B260&amp;"; "&amp;C260&amp;"; "&amp;D260&amp;"; "&amp;W260&amp;"; "&amp;X260&amp;"; "&amp;Y260&amp;"; "&amp;Z260&amp;"; "&amp;AA260&amp;"; "&amp;AB260&amp;"; "&amp;AC260&amp;"; "&amp;U260)</x:f>
        <x:v>proposal.legger.fastener_pack; legger service fastener pack; field supplies; legger service parts; service kit; finished item; manufactured / unresolved; equipment repair; metal; assembly; proposal; legger; leger; companion replacement part</x:v>
      </x:c>
      <x:c r="AE260" s="4" t="str">
        <x:v>Specific parts and protective properties remain proposals; ancient-material scarcity is established author direction.</x:v>
      </x:c>
    </x:row>
    <x:row r="261" ht="115" customHeight="1">
      <x:c r="A261" s="9" t="str">
        <x:v>proposal.legger.shell_guard</x:v>
      </x:c>
      <x:c r="B261" s="9" t="str">
        <x:v>Chitin chassis guard</x:v>
      </x:c>
      <x:c r="C261" s="9" t="str">
        <x:v>Equipment</x:v>
      </x:c>
      <x:c r="D261" s="9" t="str">
        <x:v>Legger armor</x:v>
      </x:c>
      <x:c r="E261" s="9" t="str">
        <x:v>New proposal</x:v>
      </x:c>
      <x:c r="F261" s="9" t="str">
        <x:v>Worked shell panel candidate covering a selected exposed surface.</x:v>
      </x:c>
      <x:c r="G261" s="9" t="str">
        <x:v>Legger fitment unresolved</x:v>
      </x:c>
      <x:c r="H261" s="9" t="str">
        <x:v>Legger attachment / replacement intended; physical cargo policy unchanged</x:v>
      </x:c>
      <x:c r="I261" s="13"/>
      <x:c r="J261" s="15"/>
      <x:c r="K261" s="9" t="str">
        <x:v>Local craft, salvage or specialist trade; exact route TBD</x:v>
      </x:c>
      <x:c r="L261" s="9" t="str">
        <x:v>No recipe authored. Reuse existing iron stock, biological materials, ceramic craft, lubricant and ancient-material families where appropriate.</x:v>
      </x:c>
      <x:c r="M261" s="9" t="str">
        <x:v>Not implemented</x:v>
      </x:c>
      <x:c r="N261" s="9" t="str">
        <x:v>Cheap raw shell still needs fitting; no numeric protection, durability or ballistic rating.</x:v>
      </x:c>
      <x:c r="O261" s="17"/>
      <x:c r="P261" s="17"/>
      <x:c r="Q261" s="17"/>
      <x:c r="R261" s="17"/>
      <x:c r="S261" s="17"/>
      <x:c r="T261" s="9" t="str">
        <x:v>Brainstorming candidate. Geometry, cost, mass, mounting, carrying and replacement behavior remain open. Part belongs to a finite physical companion.</x:v>
      </x:c>
      <x:c r="U261" s="11" t="str">
        <x:v>legger; leger; companion replacement part</x:v>
      </x:c>
      <x:c r="V261" s="9" t="str">
        <x:v>Author Legger slings/chassis/replacement/iron/ancient-armor brainstorming October 14, 2026; Docs/WORLD_BASIS.md#the-legger; specific item proposal.</x:v>
      </x:c>
      <x:c r="W261" s="4" t="str">
        <x:v>Armor</x:v>
      </x:c>
      <x:c r="X261" s="4" t="str">
        <x:v>Finished item</x:v>
      </x:c>
      <x:c r="Y261" s="4" t="str">
        <x:v>Manufactured / unresolved</x:v>
      </x:c>
      <x:c r="Z261" s="4" t="str">
        <x:v>Protection</x:v>
      </x:c>
      <x:c r="AA261" s="4" t="str">
        <x:v>Shell / chitin</x:v>
      </x:c>
      <x:c r="AB261" s="4" t="str">
        <x:v>Panel</x:v>
      </x:c>
      <x:c r="AC261" s="4" t="str">
        <x:v>Proposal</x:v>
      </x:c>
      <x:c r="AD261" s="4" t="str">
        <x:f>LOWER(A261&amp;"; "&amp;B261&amp;"; "&amp;C261&amp;"; "&amp;D261&amp;"; "&amp;W261&amp;"; "&amp;X261&amp;"; "&amp;Y261&amp;"; "&amp;Z261&amp;"; "&amp;AA261&amp;"; "&amp;AB261&amp;"; "&amp;AC261&amp;"; "&amp;U261)</x:f>
        <x:v>proposal.legger.shell_guard; chitin chassis guard; equipment; legger armor; armor; finished item; manufactured / unresolved; protection; shell / chitin; panel; proposal; legger; leger; companion replacement part</x:v>
      </x:c>
      <x:c r="AE261" s="4" t="str">
        <x:v>Specific parts and protective properties remain proposals; ancient-material scarcity is established author direction.</x:v>
      </x:c>
    </x:row>
    <x:row r="262" ht="115" customHeight="1">
      <x:c r="A262" s="9" t="str">
        <x:v>proposal.legger.iron_guard</x:v>
      </x:c>
      <x:c r="B262" s="9" t="str">
        <x:v>Iron chassis guard</x:v>
      </x:c>
      <x:c r="C262" s="9" t="str">
        <x:v>Equipment</x:v>
      </x:c>
      <x:c r="D262" s="9" t="str">
        <x:v>Legger armor</x:v>
      </x:c>
      <x:c r="E262" s="9" t="str">
        <x:v>New proposal</x:v>
      </x:c>
      <x:c r="F262" s="9" t="str">
        <x:v>Worked iron panel candidate for a selected Legger mount.</x:v>
      </x:c>
      <x:c r="G262" s="9" t="str">
        <x:v>Legger fitment unresolved</x:v>
      </x:c>
      <x:c r="H262" s="9" t="str">
        <x:v>Legger attachment / replacement intended; physical cargo policy unchanged</x:v>
      </x:c>
      <x:c r="I262" s="13"/>
      <x:c r="J262" s="15"/>
      <x:c r="K262" s="9" t="str">
        <x:v>Local craft, salvage or specialist trade; exact route TBD</x:v>
      </x:c>
      <x:c r="L262" s="9" t="str">
        <x:v>No recipe authored. Reuse existing iron stock, biological materials, ceramic craft, lubricant and ancient-material families where appropriate.</x:v>
      </x:c>
      <x:c r="M262" s="9" t="str">
        <x:v>Not implemented</x:v>
      </x:c>
      <x:c r="N262" s="9" t="str">
        <x:v>Mass, articulation, shielding and replacement tradeoffs require design.</x:v>
      </x:c>
      <x:c r="O262" s="17"/>
      <x:c r="P262" s="17"/>
      <x:c r="Q262" s="17"/>
      <x:c r="R262" s="17"/>
      <x:c r="S262" s="17"/>
      <x:c r="T262" s="9" t="str">
        <x:v>Brainstorming candidate. Geometry, cost, mass, mounting, carrying and replacement behavior remain open. Part belongs to a finite physical companion.</x:v>
      </x:c>
      <x:c r="U262" s="11" t="str">
        <x:v>legger; leger; companion replacement part</x:v>
      </x:c>
      <x:c r="V262" s="9" t="str">
        <x:v>Author Legger slings/chassis/replacement/iron/ancient-armor brainstorming October 14, 2026; Docs/WORLD_BASIS.md#the-legger; specific item proposal.</x:v>
      </x:c>
      <x:c r="W262" s="4" t="str">
        <x:v>Armor</x:v>
      </x:c>
      <x:c r="X262" s="4" t="str">
        <x:v>Finished item</x:v>
      </x:c>
      <x:c r="Y262" s="4" t="str">
        <x:v>Manufactured / unresolved</x:v>
      </x:c>
      <x:c r="Z262" s="4" t="str">
        <x:v>Protection</x:v>
      </x:c>
      <x:c r="AA262" s="4" t="str">
        <x:v>Metal</x:v>
      </x:c>
      <x:c r="AB262" s="4" t="str">
        <x:v>Panel</x:v>
      </x:c>
      <x:c r="AC262" s="4" t="str">
        <x:v>Proposal</x:v>
      </x:c>
      <x:c r="AD262" s="4" t="str">
        <x:f>LOWER(A262&amp;"; "&amp;B262&amp;"; "&amp;C262&amp;"; "&amp;D262&amp;"; "&amp;W262&amp;"; "&amp;X262&amp;"; "&amp;Y262&amp;"; "&amp;Z262&amp;"; "&amp;AA262&amp;"; "&amp;AB262&amp;"; "&amp;AC262&amp;"; "&amp;U262)</x:f>
        <x:v>proposal.legger.iron_guard; iron chassis guard; equipment; legger armor; armor; finished item; manufactured / unresolved; protection; metal; panel; proposal; legger; leger; companion replacement part</x:v>
      </x:c>
      <x:c r="AE262" s="4" t="str">
        <x:v>Specific parts and protective properties remain proposals; ancient-material scarcity is established author direction.</x:v>
      </x:c>
    </x:row>
    <x:row r="263" ht="115" customHeight="1">
      <x:c r="A263" s="9" t="str">
        <x:v>proposal.legger.joint_guard</x:v>
      </x:c>
      <x:c r="B263" s="9" t="str">
        <x:v>Articulated joint guard</x:v>
      </x:c>
      <x:c r="C263" s="9" t="str">
        <x:v>Equipment</x:v>
      </x:c>
      <x:c r="D263" s="9" t="str">
        <x:v>Legger armor</x:v>
      </x:c>
      <x:c r="E263" s="9" t="str">
        <x:v>New proposal</x:v>
      </x:c>
      <x:c r="F263" s="9" t="str">
        <x:v>Overlapping or articulated cover candidate around a moving joint.</x:v>
      </x:c>
      <x:c r="G263" s="9" t="str">
        <x:v>Legger fitment unresolved</x:v>
      </x:c>
      <x:c r="H263" s="9" t="str">
        <x:v>Legger attachment / replacement intended; physical cargo policy unchanged</x:v>
      </x:c>
      <x:c r="I263" s="13"/>
      <x:c r="J263" s="15"/>
      <x:c r="K263" s="9" t="str">
        <x:v>Local craft, salvage or specialist trade; exact route TBD</x:v>
      </x:c>
      <x:c r="L263" s="9" t="str">
        <x:v>No recipe authored. Reuse existing iron stock, biological materials, ceramic craft, lubricant and ancient-material families where appropriate.</x:v>
      </x:c>
      <x:c r="M263" s="9" t="str">
        <x:v>Not implemented</x:v>
      </x:c>
      <x:c r="N263" s="9" t="str">
        <x:v>Geometry must preserve movement and maintenance access; no proven protective effect.</x:v>
      </x:c>
      <x:c r="O263" s="17"/>
      <x:c r="P263" s="17"/>
      <x:c r="Q263" s="17"/>
      <x:c r="R263" s="17"/>
      <x:c r="S263" s="17"/>
      <x:c r="T263" s="9" t="str">
        <x:v>Brainstorming candidate. Geometry, cost, mass, mounting, carrying and replacement behavior remain open. Part belongs to a finite physical companion.</x:v>
      </x:c>
      <x:c r="U263" s="11" t="str">
        <x:v>legger; leger; companion replacement part</x:v>
      </x:c>
      <x:c r="V263" s="9" t="str">
        <x:v>Author Legger slings/chassis/replacement/iron/ancient-armor brainstorming October 14, 2026; Docs/WORLD_BASIS.md#the-legger; specific item proposal.</x:v>
      </x:c>
      <x:c r="W263" s="4" t="str">
        <x:v>Armor</x:v>
      </x:c>
      <x:c r="X263" s="4" t="str">
        <x:v>Finished item</x:v>
      </x:c>
      <x:c r="Y263" s="4" t="str">
        <x:v>Manufactured / unresolved</x:v>
      </x:c>
      <x:c r="Z263" s="4" t="str">
        <x:v>Protection</x:v>
      </x:c>
      <x:c r="AA263" s="4" t="str">
        <x:v>Mixed / unresolved</x:v>
      </x:c>
      <x:c r="AB263" s="4" t="str">
        <x:v>Assembly</x:v>
      </x:c>
      <x:c r="AC263" s="4" t="str">
        <x:v>Proposal</x:v>
      </x:c>
      <x:c r="AD263" s="4" t="str">
        <x:f>LOWER(A263&amp;"; "&amp;B263&amp;"; "&amp;C263&amp;"; "&amp;D263&amp;"; "&amp;W263&amp;"; "&amp;X263&amp;"; "&amp;Y263&amp;"; "&amp;Z263&amp;"; "&amp;AA263&amp;"; "&amp;AB263&amp;"; "&amp;AC263&amp;"; "&amp;U263)</x:f>
        <x:v>proposal.legger.joint_guard; articulated joint guard; equipment; legger armor; armor; finished item; manufactured / unresolved; protection; mixed / unresolved; assembly; proposal; legger; leger; companion replacement part</x:v>
      </x:c>
      <x:c r="AE263" s="4" t="str">
        <x:v>Specific parts and protective properties remain proposals; ancient-material scarcity is established author direction.</x:v>
      </x:c>
    </x:row>
    <x:row r="264" ht="115" customHeight="1">
      <x:c r="A264" s="9" t="str">
        <x:v>proposal.legger.ceramic_backing</x:v>
      </x:c>
      <x:c r="B264" s="9" t="str">
        <x:v>Ceramic armor backing insert</x:v>
      </x:c>
      <x:c r="C264" s="9" t="str">
        <x:v>Equipment</x:v>
      </x:c>
      <x:c r="D264" s="9" t="str">
        <x:v>Legger armor</x:v>
      </x:c>
      <x:c r="E264" s="9" t="str">
        <x:v>New proposal</x:v>
      </x:c>
      <x:c r="F264" s="9" t="str">
        <x:v>Fitted ceramic backing candidate within a selected composite guard assembly.</x:v>
      </x:c>
      <x:c r="G264" s="9" t="str">
        <x:v>Legger fitment unresolved</x:v>
      </x:c>
      <x:c r="H264" s="9" t="str">
        <x:v>Legger attachment / replacement intended; physical cargo policy unchanged</x:v>
      </x:c>
      <x:c r="I264" s="13"/>
      <x:c r="J264" s="15"/>
      <x:c r="K264" s="9" t="str">
        <x:v>Local craft, salvage or specialist trade; exact route TBD</x:v>
      </x:c>
      <x:c r="L264" s="9" t="str">
        <x:v>No recipe authored. Reuse existing iron stock, biological materials, ceramic craft, lubricant and ancient-material families where appropriate.</x:v>
      </x:c>
      <x:c r="M264" s="9" t="str">
        <x:v>Not implemented</x:v>
      </x:c>
      <x:c r="N264" s="9" t="str">
        <x:v>An application of the existing ceramic-armor family; layer order, damage and service limits TBD.</x:v>
      </x:c>
      <x:c r="O264" s="17"/>
      <x:c r="P264" s="17"/>
      <x:c r="Q264" s="17"/>
      <x:c r="R264" s="17"/>
      <x:c r="S264" s="17"/>
      <x:c r="T264" s="9" t="str">
        <x:v>Brainstorming candidate. Geometry, cost, mass, mounting, carrying and replacement behavior remain open. Part belongs to a finite physical companion.</x:v>
      </x:c>
      <x:c r="U264" s="11" t="str">
        <x:v>legger; leger; companion replacement part</x:v>
      </x:c>
      <x:c r="V264" s="9" t="str">
        <x:v>Author Legger slings/chassis/replacement/iron/ancient-armor brainstorming October 14, 2026; Docs/WORLD_BASIS.md#the-legger; specific item proposal.</x:v>
      </x:c>
      <x:c r="W264" s="4" t="str">
        <x:v>Armor</x:v>
      </x:c>
      <x:c r="X264" s="4" t="str">
        <x:v>Finished item</x:v>
      </x:c>
      <x:c r="Y264" s="4" t="str">
        <x:v>Manufactured / unresolved</x:v>
      </x:c>
      <x:c r="Z264" s="4" t="str">
        <x:v>Protection</x:v>
      </x:c>
      <x:c r="AA264" s="4" t="str">
        <x:v>Ceramic</x:v>
      </x:c>
      <x:c r="AB264" s="4" t="str">
        <x:v>Panel</x:v>
      </x:c>
      <x:c r="AC264" s="4" t="str">
        <x:v>Proposal</x:v>
      </x:c>
      <x:c r="AD264" s="4" t="str">
        <x:f>LOWER(A264&amp;"; "&amp;B264&amp;"; "&amp;C264&amp;"; "&amp;D264&amp;"; "&amp;W264&amp;"; "&amp;X264&amp;"; "&amp;Y264&amp;"; "&amp;Z264&amp;"; "&amp;AA264&amp;"; "&amp;AB264&amp;"; "&amp;AC264&amp;"; "&amp;U264)</x:f>
        <x:v>proposal.legger.ceramic_backing; ceramic armor backing insert; equipment; legger armor; armor; finished item; manufactured / unresolved; protection; ceramic; panel; proposal; legger; leger; companion replacement part</x:v>
      </x:c>
      <x:c r="AE264" s="4" t="str">
        <x:v>Specific parts and protective properties remain proposals; ancient-material scarcity is established author direction.</x:v>
      </x:c>
    </x:row>
    <x:row r="265" ht="115" customHeight="1">
      <x:c r="A265" s="9" t="str">
        <x:v>proposal.legger.plasteel_rib</x:v>
      </x:c>
      <x:c r="B265" s="9" t="str">
        <x:v>Ancient plasteel replacement member</x:v>
      </x:c>
      <x:c r="C265" s="9" t="str">
        <x:v>Crafting components</x:v>
      </x:c>
      <x:c r="D265" s="9" t="str">
        <x:v>Legger ancient replacement</x:v>
      </x:c>
      <x:c r="E265" s="9" t="str">
        <x:v>New proposal</x:v>
      </x:c>
      <x:c r="F265" s="9" t="str">
        <x:v>Recovered plasteel structural piece considered for a compatible chassis replacement.</x:v>
      </x:c>
      <x:c r="G265" s="9" t="str">
        <x:v>Legger fitment unresolved</x:v>
      </x:c>
      <x:c r="H265" s="9" t="str">
        <x:v>Legger attachment / replacement intended; physical cargo policy unchanged</x:v>
      </x:c>
      <x:c r="I265" s="13"/>
      <x:c r="J265" s="15"/>
      <x:c r="K265" s="9" t="str">
        <x:v>Extremely rare recovered technology; fitting and recovery method TBD</x:v>
      </x:c>
      <x:c r="L265" s="9" t="str">
        <x:v>No recipe authored. Reuse existing iron stock, biological materials, ceramic craft, lubricant and ancient-material families where appropriate.</x:v>
      </x:c>
      <x:c r="M265" s="9" t="str">
        <x:v>Not implemented</x:v>
      </x:c>
      <x:c r="N265" s="9" t="str">
        <x:v>Extremely rare; fit, identification, rework and attachment remain unresolved. Recovery does not grant manufacture.</x:v>
      </x:c>
      <x:c r="O265" s="17" t="str">
        <x:v>Extremely rare</x:v>
      </x:c>
      <x:c r="P265" s="17"/>
      <x:c r="Q265" s="17"/>
      <x:c r="R265" s="17"/>
      <x:c r="S265" s="17"/>
      <x:c r="T265" s="9" t="str">
        <x:v>Brainstorming candidate. Geometry, cost, mass, mounting, carrying and replacement behavior remain open. Part belongs to a finite physical companion.</x:v>
      </x:c>
      <x:c r="U265" s="11" t="str">
        <x:v>legger; leger; companion replacement part; ancient salvage plasteel nanotube ballistic</x:v>
      </x:c>
      <x:c r="V265" s="9" t="str">
        <x:v>Author Legger slings/chassis/replacement/iron/ancient-armor brainstorming October 14, 2026; Docs/WORLD_BASIS.md#the-legger; specific item proposal.</x:v>
      </x:c>
      <x:c r="W265" s="4" t="str">
        <x:v>Crafting component</x:v>
      </x:c>
      <x:c r="X265" s="4" t="str">
        <x:v>Processed intermediate</x:v>
      </x:c>
      <x:c r="Y265" s="4" t="str">
        <x:v>Ancient technology</x:v>
      </x:c>
      <x:c r="Z265" s="4" t="str">
        <x:v>Equipment repair</x:v>
      </x:c>
      <x:c r="AA265" s="4" t="str">
        <x:v>Ancient composite</x:v>
      </x:c>
      <x:c r="AB265" s="4" t="str">
        <x:v>Solid part</x:v>
      </x:c>
      <x:c r="AC265" s="4" t="str">
        <x:v>Proposal</x:v>
      </x:c>
      <x:c r="AD265" s="4" t="str">
        <x:f>LOWER(A265&amp;"; "&amp;B265&amp;"; "&amp;C265&amp;"; "&amp;D265&amp;"; "&amp;W265&amp;"; "&amp;X265&amp;"; "&amp;Y265&amp;"; "&amp;Z265&amp;"; "&amp;AA265&amp;"; "&amp;AB265&amp;"; "&amp;AC265&amp;"; "&amp;U265)</x:f>
        <x:v>proposal.legger.plasteel_rib; ancient plasteel replacement member; crafting components; legger ancient replacement; crafting component; processed intermediate; ancient technology; equipment repair; ancient composite; solid part; proposal; legger; leger; companion replacement part; ancient salvage plasteel nanotube ballistic</x:v>
      </x:c>
      <x:c r="AE265" s="4" t="str">
        <x:v>Specific parts and protective properties remain proposals; ancient-material scarcity is established author direction.</x:v>
      </x:c>
    </x:row>
    <x:row r="266" ht="115" customHeight="1">
      <x:c r="A266" s="9" t="str">
        <x:v>proposal.legger.nanocarbon_panel</x:v>
      </x:c>
      <x:c r="B266" s="9" t="str">
        <x:v>Ancient nanocarbon armor panel</x:v>
      </x:c>
      <x:c r="C266" s="9" t="str">
        <x:v>Equipment</x:v>
      </x:c>
      <x:c r="D266" s="9" t="str">
        <x:v>Legger ancient replacement</x:v>
      </x:c>
      <x:c r="E266" s="9" t="str">
        <x:v>New proposal</x:v>
      </x:c>
      <x:c r="F266" s="9" t="str">
        <x:v>Recovered nanotube/nanocarbon composite protective panel candidate.</x:v>
      </x:c>
      <x:c r="G266" s="9" t="str">
        <x:v>Legger fitment unresolved</x:v>
      </x:c>
      <x:c r="H266" s="9" t="str">
        <x:v>Legger attachment / replacement intended; physical cargo policy unchanged</x:v>
      </x:c>
      <x:c r="I266" s="13"/>
      <x:c r="J266" s="15"/>
      <x:c r="K266" s="9" t="str">
        <x:v>Extremely rare recovered technology; fitting and recovery method TBD</x:v>
      </x:c>
      <x:c r="L266" s="9" t="str">
        <x:v>No recipe authored. Reuse existing iron stock, biological materials, ceramic craft, lubricant and ancient-material families where appropriate.</x:v>
      </x:c>
      <x:c r="M266" s="9" t="str">
        <x:v>Not implemented</x:v>
      </x:c>
      <x:c r="N266" s="9" t="str">
        <x:v>Extremely rare; ballistic response and degradation must be designed, with no automatic immunity or reproducibility.</x:v>
      </x:c>
      <x:c r="O266" s="17" t="str">
        <x:v>Extremely rare</x:v>
      </x:c>
      <x:c r="P266" s="17"/>
      <x:c r="Q266" s="17"/>
      <x:c r="R266" s="17"/>
      <x:c r="S266" s="17"/>
      <x:c r="T266" s="9" t="str">
        <x:v>Brainstorming candidate. Geometry, cost, mass, mounting, carrying and replacement behavior remain open. Part belongs to a finite physical companion.</x:v>
      </x:c>
      <x:c r="U266" s="11" t="str">
        <x:v>legger; leger; companion replacement part; ancient salvage plasteel nanotube ballistic</x:v>
      </x:c>
      <x:c r="V266" s="9" t="str">
        <x:v>Author Legger slings/chassis/replacement/iron/ancient-armor brainstorming October 14, 2026; Docs/WORLD_BASIS.md#the-legger; specific item proposal.</x:v>
      </x:c>
      <x:c r="W266" s="4" t="str">
        <x:v>Armor</x:v>
      </x:c>
      <x:c r="X266" s="4" t="str">
        <x:v>Finished item</x:v>
      </x:c>
      <x:c r="Y266" s="4" t="str">
        <x:v>Ancient technology</x:v>
      </x:c>
      <x:c r="Z266" s="4" t="str">
        <x:v>Protection</x:v>
      </x:c>
      <x:c r="AA266" s="4" t="str">
        <x:v>Ancient composite</x:v>
      </x:c>
      <x:c r="AB266" s="4" t="str">
        <x:v>Panel</x:v>
      </x:c>
      <x:c r="AC266" s="4" t="str">
        <x:v>Proposal</x:v>
      </x:c>
      <x:c r="AD266" s="4" t="str">
        <x:f>LOWER(A266&amp;"; "&amp;B266&amp;"; "&amp;C266&amp;"; "&amp;D266&amp;"; "&amp;W266&amp;"; "&amp;X266&amp;"; "&amp;Y266&amp;"; "&amp;Z266&amp;"; "&amp;AA266&amp;"; "&amp;AB266&amp;"; "&amp;AC266&amp;"; "&amp;U266)</x:f>
        <x:v>proposal.legger.nanocarbon_panel; ancient nanocarbon armor panel; equipment; legger ancient replacement; armor; finished item; ancient technology; protection; ancient composite; panel; proposal; legger; leger; companion replacement part; ancient salvage plasteel nanotube ballistic</x:v>
      </x:c>
      <x:c r="AE266" s="4" t="str">
        <x:v>Specific parts and protective properties remain proposals; ancient-material scarcity is established author direction.</x:v>
      </x:c>
    </x:row>
    <x:row r="267" ht="115" customHeight="1">
      <x:c r="A267" s="9" t="str">
        <x:v>proposal.legger.ancient_bearing</x:v>
      </x:c>
      <x:c r="B267" s="9" t="str">
        <x:v>Ancient bearing cassette</x:v>
      </x:c>
      <x:c r="C267" s="9" t="str">
        <x:v>Crafting components</x:v>
      </x:c>
      <x:c r="D267" s="9" t="str">
        <x:v>Legger ancient replacement</x:v>
      </x:c>
      <x:c r="E267" s="9" t="str">
        <x:v>New proposal</x:v>
      </x:c>
      <x:c r="F267" s="9" t="str">
        <x:v>Recovered precision bearing module considered for an appropriate joint.</x:v>
      </x:c>
      <x:c r="G267" s="9" t="str">
        <x:v>Legger fitment unresolved</x:v>
      </x:c>
      <x:c r="H267" s="9" t="str">
        <x:v>Legger attachment / replacement intended; physical cargo policy unchanged</x:v>
      </x:c>
      <x:c r="I267" s="13"/>
      <x:c r="J267" s="15"/>
      <x:c r="K267" s="9" t="str">
        <x:v>Extremely rare recovered technology; fitting and recovery method TBD</x:v>
      </x:c>
      <x:c r="L267" s="9" t="str">
        <x:v>No recipe authored. Reuse existing iron stock, biological materials, ceramic craft, lubricant and ancient-material families where appropriate.</x:v>
      </x:c>
      <x:c r="M267" s="9" t="str">
        <x:v>Not implemented</x:v>
      </x:c>
      <x:c r="N267" s="9" t="str">
        <x:v>Extremely rare; compatibility, remaining life and ability to service it are unknown. Material makeup unspecified.</x:v>
      </x:c>
      <x:c r="O267" s="17" t="str">
        <x:v>Extremely rare</x:v>
      </x:c>
      <x:c r="P267" s="17"/>
      <x:c r="Q267" s="17"/>
      <x:c r="R267" s="17"/>
      <x:c r="S267" s="17"/>
      <x:c r="T267" s="9" t="str">
        <x:v>Brainstorming candidate. Geometry, cost, mass, mounting, carrying and replacement behavior remain open. Part belongs to a finite physical companion.</x:v>
      </x:c>
      <x:c r="U267" s="11" t="str">
        <x:v>legger; leger; companion replacement part; ancient salvage plasteel nanotube ballistic</x:v>
      </x:c>
      <x:c r="V267" s="9" t="str">
        <x:v>Author Legger slings/chassis/replacement/iron/ancient-armor brainstorming October 14, 2026; Docs/WORLD_BASIS.md#the-legger; specific item proposal.</x:v>
      </x:c>
      <x:c r="W267" s="4" t="str">
        <x:v>Crafting component</x:v>
      </x:c>
      <x:c r="X267" s="4" t="str">
        <x:v>Processed intermediate</x:v>
      </x:c>
      <x:c r="Y267" s="4" t="str">
        <x:v>Ancient technology</x:v>
      </x:c>
      <x:c r="Z267" s="4" t="str">
        <x:v>Equipment repair</x:v>
      </x:c>
      <x:c r="AA267" s="4" t="str">
        <x:v>Unresolved</x:v>
      </x:c>
      <x:c r="AB267" s="4" t="str">
        <x:v>Assembly</x:v>
      </x:c>
      <x:c r="AC267" s="4" t="str">
        <x:v>Proposal</x:v>
      </x:c>
      <x:c r="AD267" s="4" t="str">
        <x:f>LOWER(A267&amp;"; "&amp;B267&amp;"; "&amp;C267&amp;"; "&amp;D267&amp;"; "&amp;W267&amp;"; "&amp;X267&amp;"; "&amp;Y267&amp;"; "&amp;Z267&amp;"; "&amp;AA267&amp;"; "&amp;AB267&amp;"; "&amp;AC267&amp;"; "&amp;U267)</x:f>
        <x:v>proposal.legger.ancient_bearing; ancient bearing cassette; crafting components; legger ancient replacement; crafting component; processed intermediate; ancient technology; equipment repair; unresolved; assembly; proposal; legger; leger; companion replacement part; ancient salvage plasteel nanotube ballistic</x:v>
      </x:c>
      <x:c r="AE267" s="4" t="str">
        <x:v>Specific parts and protective properties remain proposals; ancient-material scarcity is established author direction.</x:v>
      </x:c>
    </x:row>
    <x:row r="268" ht="115" customHeight="1">
      <x:c r="A268" s="9" t="str">
        <x:v>proposal.legger.ballistic_guard</x:v>
      </x:c>
      <x:c r="B268" s="9" t="str">
        <x:v>Ancient ballistic-deflecting guard</x:v>
      </x:c>
      <x:c r="C268" s="9" t="str">
        <x:v>Equipment</x:v>
      </x:c>
      <x:c r="D268" s="9" t="str">
        <x:v>Legger ancient replacement</x:v>
      </x:c>
      <x:c r="E268" s="9" t="str">
        <x:v>New proposal</x:v>
      </x:c>
      <x:c r="F268" s="9" t="str">
        <x:v>Working concept for plasteel/nanocarbon armor intended to resist or deflect projectiles.</x:v>
      </x:c>
      <x:c r="G268" s="9" t="str">
        <x:v>Legger fitment unresolved</x:v>
      </x:c>
      <x:c r="H268" s="9" t="str">
        <x:v>Legger attachment / replacement intended; physical cargo policy unchanged</x:v>
      </x:c>
      <x:c r="I268" s="13"/>
      <x:c r="J268" s="15"/>
      <x:c r="K268" s="9" t="str">
        <x:v>Extremely rare recovered technology; fitting and recovery method TBD</x:v>
      </x:c>
      <x:c r="L268" s="9" t="str">
        <x:v>No recipe authored. Reuse existing iron stock, biological materials, ceramic craft, lubricant and ancient-material families where appropriate.</x:v>
      </x:c>
      <x:c r="M268" s="9" t="str">
        <x:v>Not implemented</x:v>
      </x:c>
      <x:c r="N268" s="9" t="str">
        <x:v>Extremely rare. Passive layering, geometry or another mechanism is undecided; no force-field system, guaranteed deflection or armor statistics established.</x:v>
      </x:c>
      <x:c r="O268" s="17" t="str">
        <x:v>Extremely rare</x:v>
      </x:c>
      <x:c r="P268" s="17"/>
      <x:c r="Q268" s="17"/>
      <x:c r="R268" s="17"/>
      <x:c r="S268" s="17"/>
      <x:c r="T268" s="9" t="str">
        <x:v>Brainstorming candidate. Geometry, cost, mass, mounting, carrying and replacement behavior remain open. Part belongs to a finite physical companion.</x:v>
      </x:c>
      <x:c r="U268" s="11" t="str">
        <x:v>legger; leger; companion replacement part; ancient salvage plasteel nanotube ballistic</x:v>
      </x:c>
      <x:c r="V268" s="9" t="str">
        <x:v>Author Legger slings/chassis/replacement/iron/ancient-armor brainstorming October 14, 2026; Docs/WORLD_BASIS.md#the-legger; specific item proposal.</x:v>
      </x:c>
      <x:c r="W268" s="4" t="str">
        <x:v>Armor</x:v>
      </x:c>
      <x:c r="X268" s="4" t="str">
        <x:v>Finished item</x:v>
      </x:c>
      <x:c r="Y268" s="4" t="str">
        <x:v>Ancient technology</x:v>
      </x:c>
      <x:c r="Z268" s="4" t="str">
        <x:v>Protection</x:v>
      </x:c>
      <x:c r="AA268" s="4" t="str">
        <x:v>Ancient composite</x:v>
      </x:c>
      <x:c r="AB268" s="4" t="str">
        <x:v>Panel</x:v>
      </x:c>
      <x:c r="AC268" s="4" t="str">
        <x:v>Proposal</x:v>
      </x:c>
      <x:c r="AD268" s="4" t="str">
        <x:f>LOWER(A268&amp;"; "&amp;B268&amp;"; "&amp;C268&amp;"; "&amp;D268&amp;"; "&amp;W268&amp;"; "&amp;X268&amp;"; "&amp;Y268&amp;"; "&amp;Z268&amp;"; "&amp;AA268&amp;"; "&amp;AB268&amp;"; "&amp;AC268&amp;"; "&amp;U268)</x:f>
        <x:v>proposal.legger.ballistic_guard; ancient ballistic-deflecting guard; equipment; legger ancient replacement; armor; finished item; ancient technology; protection; ancient composite; panel; proposal; legger; leger; companion replacement part; ancient salvage plasteel nanotube ballistic</x:v>
      </x:c>
      <x:c r="AE268" s="4" t="str">
        <x:v>Specific parts and protective properties remain proposals; ancient-material scarcity is established author direction.</x:v>
      </x:c>
    </x:row>
    <x:row r="269" ht="115" customHeight="1">
      <x:c r="A269" s="9" t="str">
        <x:v>proposal.legger.pannier_frame</x:v>
      </x:c>
      <x:c r="B269" s="9" t="str">
        <x:v>Legger side-pannier frame</x:v>
      </x:c>
      <x:c r="C269" s="9" t="str">
        <x:v>Equipment</x:v>
      </x:c>
      <x:c r="D269" s="9" t="str">
        <x:v>Legger cargo rigging</x:v>
      </x:c>
      <x:c r="E269" s="9" t="str">
        <x:v>New proposal</x:v>
      </x:c>
      <x:c r="F269" s="9" t="str">
        <x:v>Side-mounted support for a matched bounded cargo container.</x:v>
      </x:c>
      <x:c r="G269" s="9" t="str">
        <x:v>Legger fitment unresolved</x:v>
      </x:c>
      <x:c r="H269" s="9" t="str">
        <x:v>Legger attachment / replacement intended; physical cargo policy unchanged</x:v>
      </x:c>
      <x:c r="I269" s="13"/>
      <x:c r="J269" s="15"/>
      <x:c r="K269" s="9" t="str">
        <x:v>Local craft, salvage or specialist trade; exact route TBD</x:v>
      </x:c>
      <x:c r="L269" s="9" t="str">
        <x:v>No recipe authored. Reuse existing iron stock, biological materials, ceramic craft, lubricant and ancient-material families where appropriate.</x:v>
      </x:c>
      <x:c r="M269" s="9" t="str">
        <x:v>Not implemented</x:v>
      </x:c>
      <x:c r="N269" s="9" t="str">
        <x:v>Side clearance, load placement and attachment remain open; distinct from a general cargo cradle.</x:v>
      </x:c>
      <x:c r="O269" s="17"/>
      <x:c r="P269" s="17"/>
      <x:c r="Q269" s="17"/>
      <x:c r="R269" s="17"/>
      <x:c r="S269" s="17"/>
      <x:c r="T269" s="9" t="str">
        <x:v>Brainstorming candidate. Geometry, cost, mass, mounting, carrying and replacement behavior remain open. Part belongs to a finite physical companion.</x:v>
      </x:c>
      <x:c r="U269" s="11" t="str">
        <x:v>equipment mounting; legger; leger; companion replacement part</x:v>
      </x:c>
      <x:c r="V269" s="9" t="str">
        <x:v>Author Legger slings/chassis/replacement/iron/ancient-armor brainstorming October 14, 2026; Docs/WORLD_BASIS.md#the-legger; specific item proposal.</x:v>
      </x:c>
      <x:c r="W269" s="4" t="str">
        <x:v>Carrier</x:v>
      </x:c>
      <x:c r="X269" s="4" t="str">
        <x:v>Finished item</x:v>
      </x:c>
      <x:c r="Y269" s="4" t="str">
        <x:v>Manufactured / unresolved</x:v>
      </x:c>
      <x:c r="Z269" s="4" t="str">
        <x:v>Cargo organization</x:v>
      </x:c>
      <x:c r="AA269" s="4" t="str">
        <x:v>Metal</x:v>
      </x:c>
      <x:c r="AB269" s="4" t="str">
        <x:v>Assembly</x:v>
      </x:c>
      <x:c r="AC269" s="4" t="str">
        <x:v>Proposal</x:v>
      </x:c>
      <x:c r="AD269" s="4" t="str">
        <x:f>LOWER(A269&amp;"; "&amp;B269&amp;"; "&amp;C269&amp;"; "&amp;D269&amp;"; "&amp;W269&amp;"; "&amp;X269&amp;"; "&amp;Y269&amp;"; "&amp;Z269&amp;"; "&amp;AA269&amp;"; "&amp;AB269&amp;"; "&amp;AC269&amp;"; "&amp;U269)</x:f>
        <x:v>proposal.legger.pannier_frame; legger side-pannier frame; equipment; legger cargo rigging; carrier; finished item; manufactured / unresolved; cargo organization; metal; assembly; proposal; equipment mounting; legger; leger; companion replacement part</x:v>
      </x:c>
      <x:c r="AE269" s="4" t="str">
        <x:v>Specific parts and protective properties remain proposals; ancient-material scarcity is established author direction.</x:v>
      </x:c>
    </x:row>
    <x:row r="270" ht="115" customHeight="1">
      <x:c r="A270" s="9" t="str">
        <x:v>proposal.legger.sample_rack</x:v>
      </x:c>
      <x:c r="B270" s="9" t="str">
        <x:v>Legger sample-vial rack</x:v>
      </x:c>
      <x:c r="C270" s="9" t="str">
        <x:v>Equipment</x:v>
      </x:c>
      <x:c r="D270" s="9" t="str">
        <x:v>Legger cargo rigging</x:v>
      </x:c>
      <x:c r="E270" s="9" t="str">
        <x:v>New proposal</x:v>
      </x:c>
      <x:c r="F270" s="9" t="str">
        <x:v>Fitted rack holding existing separately sealed sample vessels.</x:v>
      </x:c>
      <x:c r="G270" s="9" t="str">
        <x:v>Legger fitment unresolved</x:v>
      </x:c>
      <x:c r="H270" s="9" t="str">
        <x:v>Legger attachment / replacement intended; physical cargo policy unchanged</x:v>
      </x:c>
      <x:c r="I270" s="13"/>
      <x:c r="J270" s="15"/>
      <x:c r="K270" s="9" t="str">
        <x:v>Local craft, salvage or specialist trade; exact route TBD</x:v>
      </x:c>
      <x:c r="L270" s="9" t="str">
        <x:v>No recipe authored. Reuse existing iron stock, biological materials, ceramic craft, lubricant and ancient-material families where appropriate.</x:v>
      </x:c>
      <x:c r="M270" s="9" t="str">
        <x:v>Not implemented</x:v>
      </x:c>
      <x:c r="N270" s="9" t="str">
        <x:v>Rack geometry, shock isolation and chemistry segregation TBD; vials remain separately counted.</x:v>
      </x:c>
      <x:c r="O270" s="17"/>
      <x:c r="P270" s="17"/>
      <x:c r="Q270" s="17"/>
      <x:c r="R270" s="17"/>
      <x:c r="S270" s="17"/>
      <x:c r="T270" s="9" t="str">
        <x:v>Brainstorming candidate. Geometry, cost, mass, mounting, carrying and replacement behavior remain open. Part belongs to a finite physical companion.</x:v>
      </x:c>
      <x:c r="U270" s="11" t="str">
        <x:v>legger; leger; companion replacement part</x:v>
      </x:c>
      <x:c r="V270" s="9" t="str">
        <x:v>Author Legger slings/chassis/replacement/iron/ancient-armor brainstorming October 14, 2026; Docs/WORLD_BASIS.md#the-legger; specific item proposal.</x:v>
      </x:c>
      <x:c r="W270" s="4" t="str">
        <x:v>Carrier</x:v>
      </x:c>
      <x:c r="X270" s="4" t="str">
        <x:v>Finished item</x:v>
      </x:c>
      <x:c r="Y270" s="4" t="str">
        <x:v>Manufactured / unresolved</x:v>
      </x:c>
      <x:c r="Z270" s="4" t="str">
        <x:v>Cargo organization</x:v>
      </x:c>
      <x:c r="AA270" s="4" t="str">
        <x:v>Mixed / unresolved</x:v>
      </x:c>
      <x:c r="AB270" s="4" t="str">
        <x:v>Assembly</x:v>
      </x:c>
      <x:c r="AC270" s="4" t="str">
        <x:v>Proposal</x:v>
      </x:c>
      <x:c r="AD270" s="4" t="str">
        <x:f>LOWER(A270&amp;"; "&amp;B270&amp;"; "&amp;C270&amp;"; "&amp;D270&amp;"; "&amp;W270&amp;"; "&amp;X270&amp;"; "&amp;Y270&amp;"; "&amp;Z270&amp;"; "&amp;AA270&amp;"; "&amp;AB270&amp;"; "&amp;AC270&amp;"; "&amp;U270)</x:f>
        <x:v>proposal.legger.sample_rack; legger sample-vial rack; equipment; legger cargo rigging; carrier; finished item; manufactured / unresolved; cargo organization; mixed / unresolved; assembly; proposal; legger; leger; companion replacement part</x:v>
      </x:c>
      <x:c r="AE270" s="4" t="str">
        <x:v>Specific parts and protective properties remain proposals; ancient-material scarcity is established author direction.</x:v>
      </x:c>
    </x:row>
    <x:row r="271" ht="115" customHeight="1">
      <x:c r="A271" s="9" t="str">
        <x:v>proposal.legger.ore_bin</x:v>
      </x:c>
      <x:c r="B271" s="9" t="str">
        <x:v>Legger removable ore bin</x:v>
      </x:c>
      <x:c r="C271" s="9" t="str">
        <x:v>Equipment</x:v>
      </x:c>
      <x:c r="D271" s="9" t="str">
        <x:v>Legger cargo rigging</x:v>
      </x:c>
      <x:c r="E271" s="9" t="str">
        <x:v>New proposal</x:v>
      </x:c>
      <x:c r="F271" s="9" t="str">
        <x:v>Removable rigid bin for selected bulk mineral cargo.</x:v>
      </x:c>
      <x:c r="G271" s="9" t="str">
        <x:v>Legger fitment unresolved</x:v>
      </x:c>
      <x:c r="H271" s="9" t="str">
        <x:v>Legger attachment / replacement intended; physical cargo policy unchanged</x:v>
      </x:c>
      <x:c r="I271" s="13"/>
      <x:c r="J271" s="15"/>
      <x:c r="K271" s="9" t="str">
        <x:v>Local craft, salvage or specialist trade; exact route TBD</x:v>
      </x:c>
      <x:c r="L271" s="9" t="str">
        <x:v>No recipe authored. Reuse existing iron stock, biological materials, ceramic craft, lubricant and ancient-material families where appropriate.</x:v>
      </x:c>
      <x:c r="M271" s="9" t="str">
        <x:v>Not implemented</x:v>
      </x:c>
      <x:c r="N271" s="9" t="str">
        <x:v>Volume and load limit undefined; remains physical Legger cargo, not extra abstract inventory.</x:v>
      </x:c>
      <x:c r="O271" s="17"/>
      <x:c r="P271" s="17"/>
      <x:c r="Q271" s="17"/>
      <x:c r="R271" s="17"/>
      <x:c r="S271" s="17"/>
      <x:c r="T271" s="9" t="str">
        <x:v>Brainstorming candidate. Geometry, cost, mass, mounting, carrying and replacement behavior remain open. Part belongs to a finite physical companion.</x:v>
      </x:c>
      <x:c r="U271" s="11" t="str">
        <x:v>legger; leger; companion replacement part</x:v>
      </x:c>
      <x:c r="V271" s="9" t="str">
        <x:v>Author Legger slings/chassis/replacement/iron/ancient-armor brainstorming October 14, 2026; Docs/WORLD_BASIS.md#the-legger; specific item proposal.</x:v>
      </x:c>
      <x:c r="W271" s="4" t="str">
        <x:v>Container</x:v>
      </x:c>
      <x:c r="X271" s="4" t="str">
        <x:v>Finished item</x:v>
      </x:c>
      <x:c r="Y271" s="4" t="str">
        <x:v>Manufactured / unresolved</x:v>
      </x:c>
      <x:c r="Z271" s="4" t="str">
        <x:v>Cargo organization</x:v>
      </x:c>
      <x:c r="AA271" s="4" t="str">
        <x:v>Metal</x:v>
      </x:c>
      <x:c r="AB271" s="4" t="str">
        <x:v>Assembly</x:v>
      </x:c>
      <x:c r="AC271" s="4" t="str">
        <x:v>Proposal</x:v>
      </x:c>
      <x:c r="AD271" s="4" t="str">
        <x:f>LOWER(A271&amp;"; "&amp;B271&amp;"; "&amp;C271&amp;"; "&amp;D271&amp;"; "&amp;W271&amp;"; "&amp;X271&amp;"; "&amp;Y271&amp;"; "&amp;Z271&amp;"; "&amp;AA271&amp;"; "&amp;AB271&amp;"; "&amp;AC271&amp;"; "&amp;U271)</x:f>
        <x:v>proposal.legger.ore_bin; legger removable ore bin; equipment; legger cargo rigging; container; finished item; manufactured / unresolved; cargo organization; metal; assembly; proposal; legger; leger; companion replacement part</x:v>
      </x:c>
      <x:c r="AE271" s="4" t="str">
        <x:v>Specific parts and protective properties remain proposals; ancient-material scarcity is established author direction.</x:v>
      </x:c>
    </x:row>
    <x:row r="272" ht="115" customHeight="1">
      <x:c r="A272" s="9" t="str">
        <x:v>proposal.legger.long_load_clamp</x:v>
      </x:c>
      <x:c r="B272" s="9" t="str">
        <x:v>Legger long-load clamp</x:v>
      </x:c>
      <x:c r="C272" s="9" t="str">
        <x:v>Crafting components</x:v>
      </x:c>
      <x:c r="D272" s="9" t="str">
        <x:v>Legger cargo rigging</x:v>
      </x:c>
      <x:c r="E272" s="9" t="str">
        <x:v>New proposal</x:v>
      </x:c>
      <x:c r="F272" s="9" t="str">
        <x:v>A matched clamp for carrying a long salvage member.</x:v>
      </x:c>
      <x:c r="G272" s="9" t="str">
        <x:v>Legger fitment unresolved</x:v>
      </x:c>
      <x:c r="H272" s="9" t="str">
        <x:v>Legger attachment / replacement intended; physical cargo policy unchanged</x:v>
      </x:c>
      <x:c r="I272" s="13"/>
      <x:c r="J272" s="15"/>
      <x:c r="K272" s="9" t="str">
        <x:v>Local craft, salvage or specialist trade; exact route TBD</x:v>
      </x:c>
      <x:c r="L272" s="9" t="str">
        <x:v>No recipe authored. Reuse existing iron stock, biological materials, ceramic craft, lubricant and ancient-material families where appropriate.</x:v>
      </x:c>
      <x:c r="M272" s="9" t="str">
        <x:v>Not implemented</x:v>
      </x:c>
      <x:c r="N272" s="9" t="str">
        <x:v>Must account for reach, balance and collision envelope; no automatic carrying of arbitrarily large objects.</x:v>
      </x:c>
      <x:c r="O272" s="17"/>
      <x:c r="P272" s="17"/>
      <x:c r="Q272" s="17"/>
      <x:c r="R272" s="17"/>
      <x:c r="S272" s="17"/>
      <x:c r="T272" s="9" t="str">
        <x:v>Brainstorming candidate. Geometry, cost, mass, mounting, carrying and replacement behavior remain open. Part belongs to a finite physical companion.</x:v>
      </x:c>
      <x:c r="U272" s="11" t="str">
        <x:v>cargo organization; legger; leger; companion replacement part</x:v>
      </x:c>
      <x:c r="V272" s="9" t="str">
        <x:v>Author Legger slings/chassis/replacement/iron/ancient-armor brainstorming October 14, 2026; Docs/WORLD_BASIS.md#the-legger; specific item proposal.</x:v>
      </x:c>
      <x:c r="W272" s="4" t="str">
        <x:v>Crafting component</x:v>
      </x:c>
      <x:c r="X272" s="4" t="str">
        <x:v>Processed intermediate</x:v>
      </x:c>
      <x:c r="Y272" s="4" t="str">
        <x:v>Manufactured / unresolved</x:v>
      </x:c>
      <x:c r="Z272" s="4" t="str">
        <x:v>Equipment mounting</x:v>
      </x:c>
      <x:c r="AA272" s="4" t="str">
        <x:v>Metal</x:v>
      </x:c>
      <x:c r="AB272" s="4" t="str">
        <x:v>Solid part</x:v>
      </x:c>
      <x:c r="AC272" s="4" t="str">
        <x:v>Proposal</x:v>
      </x:c>
      <x:c r="AD272" s="4" t="str">
        <x:f>LOWER(A272&amp;"; "&amp;B272&amp;"; "&amp;C272&amp;"; "&amp;D272&amp;"; "&amp;W272&amp;"; "&amp;X272&amp;"; "&amp;Y272&amp;"; "&amp;Z272&amp;"; "&amp;AA272&amp;"; "&amp;AB272&amp;"; "&amp;AC272&amp;"; "&amp;U272)</x:f>
        <x:v>proposal.legger.long_load_clamp; legger long-load clamp; crafting components; legger cargo rigging; crafting component; processed intermediate; manufactured / unresolved; equipment mounting; metal; solid part; proposal; cargo organization; legger; leger; companion replacement part</x:v>
      </x:c>
      <x:c r="AE272" s="4" t="str">
        <x:v>Specific parts and protective properties remain proposals; ancient-material scarcity is established author direction.</x:v>
      </x:c>
    </x:row>
    <x:row r="273" ht="115" customHeight="1">
      <x:c r="A273" s="9" t="str">
        <x:v>proposal.legger.release_latch</x:v>
      </x:c>
      <x:c r="B273" s="9" t="str">
        <x:v>Cargo quick-release latch</x:v>
      </x:c>
      <x:c r="C273" s="9" t="str">
        <x:v>Crafting components</x:v>
      </x:c>
      <x:c r="D273" s="9" t="str">
        <x:v>Legger cargo rigging</x:v>
      </x:c>
      <x:c r="E273" s="9" t="str">
        <x:v>New proposal</x:v>
      </x:c>
      <x:c r="F273" s="9" t="str">
        <x:v>Serviceable latch securing one compatible cargo carrier.</x:v>
      </x:c>
      <x:c r="G273" s="9" t="str">
        <x:v>Legger fitment unresolved</x:v>
      </x:c>
      <x:c r="H273" s="9" t="str">
        <x:v>Legger attachment / replacement intended; physical cargo policy unchanged</x:v>
      </x:c>
      <x:c r="I273" s="13"/>
      <x:c r="J273" s="15"/>
      <x:c r="K273" s="9" t="str">
        <x:v>Local craft, salvage or specialist trade; exact route TBD</x:v>
      </x:c>
      <x:c r="L273" s="9" t="str">
        <x:v>No recipe authored. Reuse existing iron stock, biological materials, ceramic craft, lubricant and ancient-material families where appropriate.</x:v>
      </x:c>
      <x:c r="M273" s="9" t="str">
        <x:v>Not implemented</x:v>
      </x:c>
      <x:c r="N273" s="9" t="str">
        <x:v>Release action, retention and failure behavior TBD; distinguish from mounting eyes and lashings.</x:v>
      </x:c>
      <x:c r="O273" s="17"/>
      <x:c r="P273" s="17"/>
      <x:c r="Q273" s="17"/>
      <x:c r="R273" s="17"/>
      <x:c r="S273" s="17"/>
      <x:c r="T273" s="9" t="str">
        <x:v>Brainstorming candidate. Geometry, cost, mass, mounting, carrying and replacement behavior remain open. Part belongs to a finite physical companion.</x:v>
      </x:c>
      <x:c r="U273" s="11" t="str">
        <x:v>legger; leger; companion replacement part</x:v>
      </x:c>
      <x:c r="V273" s="9" t="str">
        <x:v>Author Legger slings/chassis/replacement/iron/ancient-armor brainstorming October 14, 2026; Docs/WORLD_BASIS.md#the-legger; specific item proposal.</x:v>
      </x:c>
      <x:c r="W273" s="4" t="str">
        <x:v>Crafting component</x:v>
      </x:c>
      <x:c r="X273" s="4" t="str">
        <x:v>Processed intermediate</x:v>
      </x:c>
      <x:c r="Y273" s="4" t="str">
        <x:v>Manufactured / unresolved</x:v>
      </x:c>
      <x:c r="Z273" s="4" t="str">
        <x:v>Equipment mounting</x:v>
      </x:c>
      <x:c r="AA273" s="4" t="str">
        <x:v>Metal</x:v>
      </x:c>
      <x:c r="AB273" s="4" t="str">
        <x:v>Solid part</x:v>
      </x:c>
      <x:c r="AC273" s="4" t="str">
        <x:v>Proposal</x:v>
      </x:c>
      <x:c r="AD273" s="4" t="str">
        <x:f>LOWER(A273&amp;"; "&amp;B273&amp;"; "&amp;C273&amp;"; "&amp;D273&amp;"; "&amp;W273&amp;"; "&amp;X273&amp;"; "&amp;Y273&amp;"; "&amp;Z273&amp;"; "&amp;AA273&amp;"; "&amp;AB273&amp;"; "&amp;AC273&amp;"; "&amp;U273)</x:f>
        <x:v>proposal.legger.release_latch; cargo quick-release latch; crafting components; legger cargo rigging; crafting component; processed intermediate; manufactured / unresolved; equipment mounting; metal; solid part; proposal; legger; leger; companion replacement part</x:v>
      </x:c>
      <x:c r="AE273" s="4" t="str">
        <x:v>Specific parts and protective properties remain proposals; ancient-material scarcity is established author direction.</x:v>
      </x:c>
    </x:row>
    <x:row r="274" ht="115" customHeight="1">
      <x:c r="A274" s="9" t="str">
        <x:v>proposal.legger.board_bracket</x:v>
      </x:c>
      <x:c r="B274" s="9" t="str">
        <x:v>Legger dirtboard carrying bracket</x:v>
      </x:c>
      <x:c r="C274" s="9" t="str">
        <x:v>Equipment</x:v>
      </x:c>
      <x:c r="D274" s="9" t="str">
        <x:v>Legger cargo rigging</x:v>
      </x:c>
      <x:c r="E274" s="9" t="str">
        <x:v>New proposal</x:v>
      </x:c>
      <x:c r="F274" s="9" t="str">
        <x:v>Proposed stowage bracket for Booter four-wheel dirtboard.</x:v>
      </x:c>
      <x:c r="G274" s="9" t="str">
        <x:v>Legger fitment unresolved</x:v>
      </x:c>
      <x:c r="H274" s="9" t="str">
        <x:v>Legger attachment / replacement intended; physical cargo policy unchanged</x:v>
      </x:c>
      <x:c r="I274" s="13"/>
      <x:c r="J274" s="15"/>
      <x:c r="K274" s="9" t="str">
        <x:v>Local craft, salvage or specialist trade; exact route TBD</x:v>
      </x:c>
      <x:c r="L274" s="9" t="str">
        <x:v>No recipe authored. Reuse existing iron stock, biological materials, ceramic craft, lubricant and ancient-material families where appropriate.</x:v>
      </x:c>
      <x:c r="M274" s="9" t="str">
        <x:v>Not implemented</x:v>
      </x:c>
      <x:c r="N274" s="9" t="str">
        <x:v>Fits only after gear/companion carry design; adds no remote board access or capacity.</x:v>
      </x:c>
      <x:c r="O274" s="17"/>
      <x:c r="P274" s="17"/>
      <x:c r="Q274" s="17"/>
      <x:c r="R274" s="17"/>
      <x:c r="S274" s="17"/>
      <x:c r="T274" s="9" t="str">
        <x:v>Brainstorming candidate. Geometry, cost, mass, mounting, carrying and replacement behavior remain open. Part belongs to a finite physical companion.</x:v>
      </x:c>
      <x:c r="U274" s="11" t="str">
        <x:v>equipment mounting; legger; leger; companion replacement part</x:v>
      </x:c>
      <x:c r="V274" s="9" t="str">
        <x:v>Author Legger slings/chassis/replacement/iron/ancient-armor brainstorming October 14, 2026; Docs/WORLD_BASIS.md#the-legger; specific item proposal.</x:v>
      </x:c>
      <x:c r="W274" s="4" t="str">
        <x:v>Carrier</x:v>
      </x:c>
      <x:c r="X274" s="4" t="str">
        <x:v>Finished item</x:v>
      </x:c>
      <x:c r="Y274" s="4" t="str">
        <x:v>Manufactured / unresolved</x:v>
      </x:c>
      <x:c r="Z274" s="4" t="str">
        <x:v>Cargo organization</x:v>
      </x:c>
      <x:c r="AA274" s="4" t="str">
        <x:v>Metal</x:v>
      </x:c>
      <x:c r="AB274" s="4" t="str">
        <x:v>Assembly</x:v>
      </x:c>
      <x:c r="AC274" s="4" t="str">
        <x:v>Proposal</x:v>
      </x:c>
      <x:c r="AD274" s="4" t="str">
        <x:f>LOWER(A274&amp;"; "&amp;B274&amp;"; "&amp;C274&amp;"; "&amp;D274&amp;"; "&amp;W274&amp;"; "&amp;X274&amp;"; "&amp;Y274&amp;"; "&amp;Z274&amp;"; "&amp;AA274&amp;"; "&amp;AB274&amp;"; "&amp;AC274&amp;"; "&amp;U274)</x:f>
        <x:v>proposal.legger.board_bracket; legger dirtboard carrying bracket; equipment; legger cargo rigging; carrier; finished item; manufactured / unresolved; cargo organization; metal; assembly; proposal; equipment mounting; legger; leger; companion replacement part</x:v>
      </x:c>
      <x:c r="AE274" s="4" t="str">
        <x:v>Specific parts and protective properties remain proposals; ancient-material scarcity is established author direction.</x:v>
      </x:c>
    </x:row>
    <x:row r="275" ht="115" customHeight="1">
      <x:c r="A275" s="9" t="str">
        <x:v>proposal.legger.hinge_plate</x:v>
      </x:c>
      <x:c r="B275" s="9" t="str">
        <x:v>Chassis hinge-mount plate</x:v>
      </x:c>
      <x:c r="C275" s="9" t="str">
        <x:v>Crafting components</x:v>
      </x:c>
      <x:c r="D275" s="9" t="str">
        <x:v>Legger chassis</x:v>
      </x:c>
      <x:c r="E275" s="9" t="str">
        <x:v>New proposal</x:v>
      </x:c>
      <x:c r="F275" s="9" t="str">
        <x:v>Replaceable mounting face for a compatible hinged chassis assembly.</x:v>
      </x:c>
      <x:c r="G275" s="9" t="str">
        <x:v>Legger fitment unresolved</x:v>
      </x:c>
      <x:c r="H275" s="9" t="str">
        <x:v>Legger attachment / replacement intended; physical cargo policy unchanged</x:v>
      </x:c>
      <x:c r="I275" s="13"/>
      <x:c r="J275" s="15"/>
      <x:c r="K275" s="9" t="str">
        <x:v>Local craft, salvage or specialist trade; exact route TBD</x:v>
      </x:c>
      <x:c r="L275" s="9" t="str">
        <x:v>No recipe authored. Reuse existing iron stock, biological materials, ceramic craft, lubricant and ancient-material families where appropriate.</x:v>
      </x:c>
      <x:c r="M275" s="9" t="str">
        <x:v>Not implemented</x:v>
      </x:c>
      <x:c r="N275" s="9" t="str">
        <x:v>Host joint geometry and fasteners must be established first.</x:v>
      </x:c>
      <x:c r="O275" s="17"/>
      <x:c r="P275" s="17"/>
      <x:c r="Q275" s="17"/>
      <x:c r="R275" s="17"/>
      <x:c r="S275" s="17"/>
      <x:c r="T275" s="9" t="str">
        <x:v>Brainstorming candidate. Geometry, cost, mass, mounting, carrying and replacement behavior remain open. Part belongs to a finite physical companion.</x:v>
      </x:c>
      <x:c r="U275" s="11" t="str">
        <x:v>equipment mounting; legger; leger; companion replacement part</x:v>
      </x:c>
      <x:c r="V275" s="9" t="str">
        <x:v>Author Legger slings/chassis/replacement/iron/ancient-armor brainstorming October 14, 2026; Docs/WORLD_BASIS.md#the-legger; specific item proposal.</x:v>
      </x:c>
      <x:c r="W275" s="4" t="str">
        <x:v>Crafting component</x:v>
      </x:c>
      <x:c r="X275" s="4" t="str">
        <x:v>Processed intermediate</x:v>
      </x:c>
      <x:c r="Y275" s="4" t="str">
        <x:v>Manufactured / unresolved</x:v>
      </x:c>
      <x:c r="Z275" s="4" t="str">
        <x:v>Equipment repair</x:v>
      </x:c>
      <x:c r="AA275" s="4" t="str">
        <x:v>Metal</x:v>
      </x:c>
      <x:c r="AB275" s="4" t="str">
        <x:v>Panel</x:v>
      </x:c>
      <x:c r="AC275" s="4" t="str">
        <x:v>Proposal</x:v>
      </x:c>
      <x:c r="AD275" s="4" t="str">
        <x:f>LOWER(A275&amp;"; "&amp;B275&amp;"; "&amp;C275&amp;"; "&amp;D275&amp;"; "&amp;W275&amp;"; "&amp;X275&amp;"; "&amp;Y275&amp;"; "&amp;Z275&amp;"; "&amp;AA275&amp;"; "&amp;AB275&amp;"; "&amp;AC275&amp;"; "&amp;U275)</x:f>
        <x:v>proposal.legger.hinge_plate; chassis hinge-mount plate; crafting components; legger chassis; crafting component; processed intermediate; manufactured / unresolved; equipment repair; metal; panel; proposal; equipment mounting; legger; leger; companion replacement part</x:v>
      </x:c>
      <x:c r="AE275" s="4" t="str">
        <x:v>Specific parts and protective properties remain proposals; ancient-material scarcity is established author direction.</x:v>
      </x:c>
    </x:row>
    <x:row r="276" ht="115" customHeight="1">
      <x:c r="A276" s="9" t="str">
        <x:v>proposal.legger.inspection_hatch</x:v>
      </x:c>
      <x:c r="B276" s="9" t="str">
        <x:v>Legger inspection hatch</x:v>
      </x:c>
      <x:c r="C276" s="9" t="str">
        <x:v>Crafting components</x:v>
      </x:c>
      <x:c r="D276" s="9" t="str">
        <x:v>Legger chassis</x:v>
      </x:c>
      <x:c r="E276" s="9" t="str">
        <x:v>New proposal</x:v>
      </x:c>
      <x:c r="F276" s="9" t="str">
        <x:v>Removable chassis access cover for selected service points.</x:v>
      </x:c>
      <x:c r="G276" s="9" t="str">
        <x:v>Legger fitment unresolved</x:v>
      </x:c>
      <x:c r="H276" s="9" t="str">
        <x:v>Legger attachment / replacement intended; physical cargo policy unchanged</x:v>
      </x:c>
      <x:c r="I276" s="13"/>
      <x:c r="J276" s="15"/>
      <x:c r="K276" s="9" t="str">
        <x:v>Local craft, salvage or specialist trade; exact route TBD</x:v>
      </x:c>
      <x:c r="L276" s="9" t="str">
        <x:v>No recipe authored. Reuse existing iron stock, biological materials, ceramic craft, lubricant and ancient-material families where appropriate.</x:v>
      </x:c>
      <x:c r="M276" s="9" t="str">
        <x:v>Not implemented</x:v>
      </x:c>
      <x:c r="N276" s="9" t="str">
        <x:v>Opening and sealing details remain open; distinct from an armor cover.</x:v>
      </x:c>
      <x:c r="O276" s="17"/>
      <x:c r="P276" s="17"/>
      <x:c r="Q276" s="17"/>
      <x:c r="R276" s="17"/>
      <x:c r="S276" s="17"/>
      <x:c r="T276" s="9" t="str">
        <x:v>Brainstorming candidate. Geometry, cost, mass, mounting, carrying and replacement behavior remain open. Part belongs to a finite physical companion.</x:v>
      </x:c>
      <x:c r="U276" s="11" t="str">
        <x:v>equipment repair; legger; leger; companion replacement part</x:v>
      </x:c>
      <x:c r="V276" s="9" t="str">
        <x:v>Author Legger slings/chassis/replacement/iron/ancient-armor brainstorming October 14, 2026; Docs/WORLD_BASIS.md#the-legger; specific item proposal.</x:v>
      </x:c>
      <x:c r="W276" s="4" t="str">
        <x:v>Crafting component</x:v>
      </x:c>
      <x:c r="X276" s="4" t="str">
        <x:v>Processed intermediate</x:v>
      </x:c>
      <x:c r="Y276" s="4" t="str">
        <x:v>Manufactured / unresolved</x:v>
      </x:c>
      <x:c r="Z276" s="4" t="str">
        <x:v>Inspection</x:v>
      </x:c>
      <x:c r="AA276" s="4" t="str">
        <x:v>Metal</x:v>
      </x:c>
      <x:c r="AB276" s="4" t="str">
        <x:v>Assembly</x:v>
      </x:c>
      <x:c r="AC276" s="4" t="str">
        <x:v>Proposal</x:v>
      </x:c>
      <x:c r="AD276" s="4" t="str">
        <x:f>LOWER(A276&amp;"; "&amp;B276&amp;"; "&amp;C276&amp;"; "&amp;D276&amp;"; "&amp;W276&amp;"; "&amp;X276&amp;"; "&amp;Y276&amp;"; "&amp;Z276&amp;"; "&amp;AA276&amp;"; "&amp;AB276&amp;"; "&amp;AC276&amp;"; "&amp;U276)</x:f>
        <x:v>proposal.legger.inspection_hatch; legger inspection hatch; crafting components; legger chassis; crafting component; processed intermediate; manufactured / unresolved; inspection; metal; assembly; proposal; equipment repair; legger; leger; companion replacement part</x:v>
      </x:c>
      <x:c r="AE276" s="4" t="str">
        <x:v>Specific parts and protective properties remain proposals; ancient-material scarcity is established author direction.</x:v>
      </x:c>
    </x:row>
    <x:row r="277" ht="115" customHeight="1">
      <x:c r="A277" s="9" t="str">
        <x:v>proposal.legger.fracture_patch</x:v>
      </x:c>
      <x:c r="B277" s="9" t="str">
        <x:v>Iron chassis fracture patch</x:v>
      </x:c>
      <x:c r="C277" s="9" t="str">
        <x:v>Crafting components</x:v>
      </x:c>
      <x:c r="D277" s="9" t="str">
        <x:v>Legger chassis</x:v>
      </x:c>
      <x:c r="E277" s="9" t="str">
        <x:v>New proposal</x:v>
      </x:c>
      <x:c r="F277" s="9" t="str">
        <x:v>Shaped bridging piece for a particular damaged frame location.</x:v>
      </x:c>
      <x:c r="G277" s="9" t="str">
        <x:v>Legger fitment unresolved</x:v>
      </x:c>
      <x:c r="H277" s="9" t="str">
        <x:v>Legger attachment / replacement intended; physical cargo policy unchanged</x:v>
      </x:c>
      <x:c r="I277" s="13"/>
      <x:c r="J277" s="15"/>
      <x:c r="K277" s="9" t="str">
        <x:v>Local craft, salvage or specialist trade; exact route TBD</x:v>
      </x:c>
      <x:c r="L277" s="9" t="str">
        <x:v>No recipe authored. Reuse existing iron stock, biological materials, ceramic craft, lubricant and ancient-material families where appropriate.</x:v>
      </x:c>
      <x:c r="M277" s="9" t="str">
        <x:v>Not implemented</x:v>
      </x:c>
      <x:c r="N277" s="9" t="str">
        <x:v>Temporary versus permanent repair and installation method TBD; not universal structural healing.</x:v>
      </x:c>
      <x:c r="O277" s="17"/>
      <x:c r="P277" s="17"/>
      <x:c r="Q277" s="17"/>
      <x:c r="R277" s="17"/>
      <x:c r="S277" s="17"/>
      <x:c r="T277" s="9" t="str">
        <x:v>Brainstorming candidate. Geometry, cost, mass, mounting, carrying and replacement behavior remain open. Part belongs to a finite physical companion.</x:v>
      </x:c>
      <x:c r="U277" s="11" t="str">
        <x:v>legger; leger; companion replacement part</x:v>
      </x:c>
      <x:c r="V277" s="9" t="str">
        <x:v>Author Legger slings/chassis/replacement/iron/ancient-armor brainstorming October 14, 2026; Docs/WORLD_BASIS.md#the-legger; specific item proposal.</x:v>
      </x:c>
      <x:c r="W277" s="4" t="str">
        <x:v>Crafting component</x:v>
      </x:c>
      <x:c r="X277" s="4" t="str">
        <x:v>Processed intermediate</x:v>
      </x:c>
      <x:c r="Y277" s="4" t="str">
        <x:v>Manufactured / unresolved</x:v>
      </x:c>
      <x:c r="Z277" s="4" t="str">
        <x:v>Equipment repair</x:v>
      </x:c>
      <x:c r="AA277" s="4" t="str">
        <x:v>Metal</x:v>
      </x:c>
      <x:c r="AB277" s="4" t="str">
        <x:v>Panel</x:v>
      </x:c>
      <x:c r="AC277" s="4" t="str">
        <x:v>Proposal</x:v>
      </x:c>
      <x:c r="AD277" s="4" t="str">
        <x:f>LOWER(A277&amp;"; "&amp;B277&amp;"; "&amp;C277&amp;"; "&amp;D277&amp;"; "&amp;W277&amp;"; "&amp;X277&amp;"; "&amp;Y277&amp;"; "&amp;Z277&amp;"; "&amp;AA277&amp;"; "&amp;AB277&amp;"; "&amp;AC277&amp;"; "&amp;U277)</x:f>
        <x:v>proposal.legger.fracture_patch; iron chassis fracture patch; crafting components; legger chassis; crafting component; processed intermediate; manufactured / unresolved; equipment repair; metal; panel; proposal; legger; leger; companion replacement part</x:v>
      </x:c>
      <x:c r="AE277" s="4" t="str">
        <x:v>Specific parts and protective properties remain proposals; ancient-material scarcity is established author direction.</x:v>
      </x:c>
    </x:row>
    <x:row r="278" ht="115" customHeight="1">
      <x:c r="A278" s="9" t="str">
        <x:v>proposal.legger.crush_mount</x:v>
      </x:c>
      <x:c r="B278" s="9" t="str">
        <x:v>Sacrificial attachment mount</x:v>
      </x:c>
      <x:c r="C278" s="9" t="str">
        <x:v>Crafting components</x:v>
      </x:c>
      <x:c r="D278" s="9" t="str">
        <x:v>Legger chassis</x:v>
      </x:c>
      <x:c r="E278" s="9" t="str">
        <x:v>New proposal</x:v>
      </x:c>
      <x:c r="F278" s="9" t="str">
        <x:v>Replaceable mount proposed to localize damage at an attachment.</x:v>
      </x:c>
      <x:c r="G278" s="9" t="str">
        <x:v>Legger fitment unresolved</x:v>
      </x:c>
      <x:c r="H278" s="9" t="str">
        <x:v>Legger attachment / replacement intended; physical cargo policy unchanged</x:v>
      </x:c>
      <x:c r="I278" s="13"/>
      <x:c r="J278" s="15"/>
      <x:c r="K278" s="9" t="str">
        <x:v>Local craft, salvage or specialist trade; exact route TBD</x:v>
      </x:c>
      <x:c r="L278" s="9" t="str">
        <x:v>No recipe authored. Reuse existing iron stock, biological materials, ceramic craft, lubricant and ancient-material families where appropriate.</x:v>
      </x:c>
      <x:c r="M278" s="9" t="str">
        <x:v>Not implemented</x:v>
      </x:c>
      <x:c r="N278" s="9" t="str">
        <x:v>Controlled failure is a design goal; thresholds and damage transfer unresolved.</x:v>
      </x:c>
      <x:c r="O278" s="17"/>
      <x:c r="P278" s="17"/>
      <x:c r="Q278" s="17"/>
      <x:c r="R278" s="17"/>
      <x:c r="S278" s="17"/>
      <x:c r="T278" s="9" t="str">
        <x:v>Brainstorming candidate. Geometry, cost, mass, mounting, carrying and replacement behavior remain open. Part belongs to a finite physical companion.</x:v>
      </x:c>
      <x:c r="U278" s="11" t="str">
        <x:v>protection; legger; leger; companion replacement part</x:v>
      </x:c>
      <x:c r="V278" s="9" t="str">
        <x:v>Author Legger slings/chassis/replacement/iron/ancient-armor brainstorming October 14, 2026; Docs/WORLD_BASIS.md#the-legger; specific item proposal.</x:v>
      </x:c>
      <x:c r="W278" s="4" t="str">
        <x:v>Crafting component</x:v>
      </x:c>
      <x:c r="X278" s="4" t="str">
        <x:v>Processed intermediate</x:v>
      </x:c>
      <x:c r="Y278" s="4" t="str">
        <x:v>Manufactured / unresolved</x:v>
      </x:c>
      <x:c r="Z278" s="4" t="str">
        <x:v>Equipment mounting</x:v>
      </x:c>
      <x:c r="AA278" s="4" t="str">
        <x:v>Metal</x:v>
      </x:c>
      <x:c r="AB278" s="4" t="str">
        <x:v>Assembly</x:v>
      </x:c>
      <x:c r="AC278" s="4" t="str">
        <x:v>Proposal</x:v>
      </x:c>
      <x:c r="AD278" s="4" t="str">
        <x:f>LOWER(A278&amp;"; "&amp;B278&amp;"; "&amp;C278&amp;"; "&amp;D278&amp;"; "&amp;W278&amp;"; "&amp;X278&amp;"; "&amp;Y278&amp;"; "&amp;Z278&amp;"; "&amp;AA278&amp;"; "&amp;AB278&amp;"; "&amp;AC278&amp;"; "&amp;U278)</x:f>
        <x:v>proposal.legger.crush_mount; sacrificial attachment mount; crafting components; legger chassis; crafting component; processed intermediate; manufactured / unresolved; equipment mounting; metal; assembly; proposal; protection; legger; leger; companion replacement part</x:v>
      </x:c>
      <x:c r="AE278" s="4" t="str">
        <x:v>Specific parts and protective properties remain proposals; ancient-material scarcity is established author direction.</x:v>
      </x:c>
    </x:row>
    <x:row r="279" ht="115" customHeight="1">
      <x:c r="A279" s="9" t="str">
        <x:v>proposal.legger.bulkhead_ring</x:v>
      </x:c>
      <x:c r="B279" s="9" t="str">
        <x:v>Chassis reinforcing ring</x:v>
      </x:c>
      <x:c r="C279" s="9" t="str">
        <x:v>Crafting components</x:v>
      </x:c>
      <x:c r="D279" s="9" t="str">
        <x:v>Legger chassis</x:v>
      </x:c>
      <x:c r="E279" s="9" t="str">
        <x:v>New proposal</x:v>
      </x:c>
      <x:c r="F279" s="9" t="str">
        <x:v>Shaped reinforcement around a selected chassis opening.</x:v>
      </x:c>
      <x:c r="G279" s="9" t="str">
        <x:v>Legger fitment unresolved</x:v>
      </x:c>
      <x:c r="H279" s="9" t="str">
        <x:v>Legger attachment / replacement intended; physical cargo policy unchanged</x:v>
      </x:c>
      <x:c r="I279" s="13"/>
      <x:c r="J279" s="15"/>
      <x:c r="K279" s="9" t="str">
        <x:v>Local craft, salvage or specialist trade; exact route TBD</x:v>
      </x:c>
      <x:c r="L279" s="9" t="str">
        <x:v>No recipe authored. Reuse existing iron stock, biological materials, ceramic craft, lubricant and ancient-material families where appropriate.</x:v>
      </x:c>
      <x:c r="M279" s="9" t="str">
        <x:v>Not implemented</x:v>
      </x:c>
      <x:c r="N279" s="9" t="str">
        <x:v>Requires actual host geometry; reinforcement and mass effects undefined.</x:v>
      </x:c>
      <x:c r="O279" s="17"/>
      <x:c r="P279" s="17"/>
      <x:c r="Q279" s="17"/>
      <x:c r="R279" s="17"/>
      <x:c r="S279" s="17"/>
      <x:c r="T279" s="9" t="str">
        <x:v>Brainstorming candidate. Geometry, cost, mass, mounting, carrying and replacement behavior remain open. Part belongs to a finite physical companion.</x:v>
      </x:c>
      <x:c r="U279" s="11" t="str">
        <x:v>legger; leger; companion replacement part</x:v>
      </x:c>
      <x:c r="V279" s="9" t="str">
        <x:v>Author Legger slings/chassis/replacement/iron/ancient-armor brainstorming October 14, 2026; Docs/WORLD_BASIS.md#the-legger; specific item proposal.</x:v>
      </x:c>
      <x:c r="W279" s="4" t="str">
        <x:v>Crafting component</x:v>
      </x:c>
      <x:c r="X279" s="4" t="str">
        <x:v>Processed intermediate</x:v>
      </x:c>
      <x:c r="Y279" s="4" t="str">
        <x:v>Manufactured / unresolved</x:v>
      </x:c>
      <x:c r="Z279" s="4" t="str">
        <x:v>Equipment fabrication</x:v>
      </x:c>
      <x:c r="AA279" s="4" t="str">
        <x:v>Metal</x:v>
      </x:c>
      <x:c r="AB279" s="4" t="str">
        <x:v>Solid part</x:v>
      </x:c>
      <x:c r="AC279" s="4" t="str">
        <x:v>Proposal</x:v>
      </x:c>
      <x:c r="AD279" s="4" t="str">
        <x:f>LOWER(A279&amp;"; "&amp;B279&amp;"; "&amp;C279&amp;"; "&amp;D279&amp;"; "&amp;W279&amp;"; "&amp;X279&amp;"; "&amp;Y279&amp;"; "&amp;Z279&amp;"; "&amp;AA279&amp;"; "&amp;AB279&amp;"; "&amp;AC279&amp;"; "&amp;U279)</x:f>
        <x:v>proposal.legger.bulkhead_ring; chassis reinforcing ring; crafting components; legger chassis; crafting component; processed intermediate; manufactured / unresolved; equipment fabrication; metal; solid part; proposal; legger; leger; companion replacement part</x:v>
      </x:c>
      <x:c r="AE279" s="4" t="str">
        <x:v>Specific parts and protective properties remain proposals; ancient-material scarcity is established author direction.</x:v>
      </x:c>
    </x:row>
    <x:row r="280" ht="115" customHeight="1">
      <x:c r="A280" s="9" t="str">
        <x:v>proposal.legger.alignment_shims</x:v>
      </x:c>
      <x:c r="B280" s="9" t="str">
        <x:v>Chassis alignment-shim set</x:v>
      </x:c>
      <x:c r="C280" s="9" t="str">
        <x:v>Crafting components</x:v>
      </x:c>
      <x:c r="D280" s="9" t="str">
        <x:v>Legger chassis</x:v>
      </x:c>
      <x:c r="E280" s="9" t="str">
        <x:v>New proposal</x:v>
      </x:c>
      <x:c r="F280" s="9" t="str">
        <x:v>Selected thin inserts for matching fitted structural faces.</x:v>
      </x:c>
      <x:c r="G280" s="9" t="str">
        <x:v>Legger fitment unresolved</x:v>
      </x:c>
      <x:c r="H280" s="9" t="str">
        <x:v>Legger attachment / replacement intended; physical cargo policy unchanged</x:v>
      </x:c>
      <x:c r="I280" s="13"/>
      <x:c r="J280" s="15"/>
      <x:c r="K280" s="9" t="str">
        <x:v>Local craft, salvage or specialist trade; exact route TBD</x:v>
      </x:c>
      <x:c r="L280" s="9" t="str">
        <x:v>No recipe authored. Reuse existing iron stock, biological materials, ceramic craft, lubricant and ancient-material families where appropriate.</x:v>
      </x:c>
      <x:c r="M280" s="9" t="str">
        <x:v>Not implemented</x:v>
      </x:c>
      <x:c r="N280" s="9" t="str">
        <x:v>Set sizes and required tolerances unresolved; no universal-fit interface.</x:v>
      </x:c>
      <x:c r="O280" s="17"/>
      <x:c r="P280" s="17"/>
      <x:c r="Q280" s="17"/>
      <x:c r="R280" s="17"/>
      <x:c r="S280" s="17"/>
      <x:c r="T280" s="9" t="str">
        <x:v>Brainstorming candidate. Geometry, cost, mass, mounting, carrying and replacement behavior remain open. Part belongs to a finite physical companion.</x:v>
      </x:c>
      <x:c r="U280" s="11" t="str">
        <x:v>legger; leger; companion replacement part</x:v>
      </x:c>
      <x:c r="V280" s="9" t="str">
        <x:v>Author Legger slings/chassis/replacement/iron/ancient-armor brainstorming October 14, 2026; Docs/WORLD_BASIS.md#the-legger; specific item proposal.</x:v>
      </x:c>
      <x:c r="W280" s="4" t="str">
        <x:v>Crafting component</x:v>
      </x:c>
      <x:c r="X280" s="4" t="str">
        <x:v>Processed intermediate</x:v>
      </x:c>
      <x:c r="Y280" s="4" t="str">
        <x:v>Manufactured / unresolved</x:v>
      </x:c>
      <x:c r="Z280" s="4" t="str">
        <x:v>Equipment repair</x:v>
      </x:c>
      <x:c r="AA280" s="4" t="str">
        <x:v>Metal</x:v>
      </x:c>
      <x:c r="AB280" s="4" t="str">
        <x:v>Solid part</x:v>
      </x:c>
      <x:c r="AC280" s="4" t="str">
        <x:v>Proposal</x:v>
      </x:c>
      <x:c r="AD280" s="4" t="str">
        <x:f>LOWER(A280&amp;"; "&amp;B280&amp;"; "&amp;C280&amp;"; "&amp;D280&amp;"; "&amp;W280&amp;"; "&amp;X280&amp;"; "&amp;Y280&amp;"; "&amp;Z280&amp;"; "&amp;AA280&amp;"; "&amp;AB280&amp;"; "&amp;AC280&amp;"; "&amp;U280)</x:f>
        <x:v>proposal.legger.alignment_shims; chassis alignment-shim set; crafting components; legger chassis; crafting component; processed intermediate; manufactured / unresolved; equipment repair; metal; solid part; proposal; legger; leger; companion replacement part</x:v>
      </x:c>
      <x:c r="AE280" s="4" t="str">
        <x:v>Specific parts and protective properties remain proposals; ancient-material scarcity is established author direction.</x:v>
      </x:c>
    </x:row>
    <x:row r="281" ht="115" customHeight="1">
      <x:c r="A281" s="9" t="str">
        <x:v>proposal.legger.joint_pin</x:v>
      </x:c>
      <x:c r="B281" s="9" t="str">
        <x:v>Replaceable joint pin</x:v>
      </x:c>
      <x:c r="C281" s="9" t="str">
        <x:v>Crafting components</x:v>
      </x:c>
      <x:c r="D281" s="9" t="str">
        <x:v>Legger mechanical parts</x:v>
      </x:c>
      <x:c r="E281" s="9" t="str">
        <x:v>New proposal</x:v>
      </x:c>
      <x:c r="F281" s="9" t="str">
        <x:v>Matched pivot pin within a selected Legger joint.</x:v>
      </x:c>
      <x:c r="G281" s="9" t="str">
        <x:v>Legger fitment unresolved</x:v>
      </x:c>
      <x:c r="H281" s="9" t="str">
        <x:v>Legger attachment / replacement intended; physical cargo policy unchanged</x:v>
      </x:c>
      <x:c r="I281" s="13"/>
      <x:c r="J281" s="15"/>
      <x:c r="K281" s="9" t="str">
        <x:v>Local craft, salvage or specialist trade; exact route TBD</x:v>
      </x:c>
      <x:c r="L281" s="9" t="str">
        <x:v>No recipe authored. Reuse existing iron stock, biological materials, ceramic craft, lubricant and ancient-material families where appropriate.</x:v>
      </x:c>
      <x:c r="M281" s="9" t="str">
        <x:v>Not implemented</x:v>
      </x:c>
      <x:c r="N281" s="9" t="str">
        <x:v>Pin, sleeve and bearing are different parts; geometry and material grade unresolved.</x:v>
      </x:c>
      <x:c r="O281" s="17"/>
      <x:c r="P281" s="17"/>
      <x:c r="Q281" s="17"/>
      <x:c r="R281" s="17"/>
      <x:c r="S281" s="17"/>
      <x:c r="T281" s="9" t="str">
        <x:v>Brainstorming candidate. Geometry, cost, mass, mounting, carrying and replacement behavior remain open. Part belongs to a finite physical companion.</x:v>
      </x:c>
      <x:c r="U281" s="11" t="str">
        <x:v>legger; leger; companion replacement part</x:v>
      </x:c>
      <x:c r="V281" s="9" t="str">
        <x:v>Author Legger slings/chassis/replacement/iron/ancient-armor brainstorming October 14, 2026; Docs/WORLD_BASIS.md#the-legger; specific item proposal.</x:v>
      </x:c>
      <x:c r="W281" s="4" t="str">
        <x:v>Crafting component</x:v>
      </x:c>
      <x:c r="X281" s="4" t="str">
        <x:v>Processed intermediate</x:v>
      </x:c>
      <x:c r="Y281" s="4" t="str">
        <x:v>Manufactured / unresolved</x:v>
      </x:c>
      <x:c r="Z281" s="4" t="str">
        <x:v>Equipment repair</x:v>
      </x:c>
      <x:c r="AA281" s="4" t="str">
        <x:v>Metal</x:v>
      </x:c>
      <x:c r="AB281" s="4" t="str">
        <x:v>Solid part</x:v>
      </x:c>
      <x:c r="AC281" s="4" t="str">
        <x:v>Proposal</x:v>
      </x:c>
      <x:c r="AD281" s="4" t="str">
        <x:f>LOWER(A281&amp;"; "&amp;B281&amp;"; "&amp;C281&amp;"; "&amp;D281&amp;"; "&amp;W281&amp;"; "&amp;X281&amp;"; "&amp;Y281&amp;"; "&amp;Z281&amp;"; "&amp;AA281&amp;"; "&amp;AB281&amp;"; "&amp;AC281&amp;"; "&amp;U281)</x:f>
        <x:v>proposal.legger.joint_pin; replaceable joint pin; crafting components; legger mechanical parts; crafting component; processed intermediate; manufactured / unresolved; equipment repair; metal; solid part; proposal; legger; leger; companion replacement part</x:v>
      </x:c>
      <x:c r="AE281" s="4" t="str">
        <x:v>Specific parts and protective properties remain proposals; ancient-material scarcity is established author direction.</x:v>
      </x:c>
    </x:row>
    <x:row r="282" ht="115" customHeight="1">
      <x:c r="A282" s="9" t="str">
        <x:v>proposal.legger.thrust_washer</x:v>
      </x:c>
      <x:c r="B282" s="9" t="str">
        <x:v>Joint thrust washer</x:v>
      </x:c>
      <x:c r="C282" s="9" t="str">
        <x:v>Crafting components</x:v>
      </x:c>
      <x:c r="D282" s="9" t="str">
        <x:v>Legger mechanical parts</x:v>
      </x:c>
      <x:c r="E282" s="9" t="str">
        <x:v>New proposal</x:v>
      </x:c>
      <x:c r="F282" s="9" t="str">
        <x:v>Wear-interface insert proposed for a selected axial contact.</x:v>
      </x:c>
      <x:c r="G282" s="9" t="str">
        <x:v>Legger fitment unresolved</x:v>
      </x:c>
      <x:c r="H282" s="9" t="str">
        <x:v>Legger attachment / replacement intended; physical cargo policy unchanged</x:v>
      </x:c>
      <x:c r="I282" s="13"/>
      <x:c r="J282" s="15"/>
      <x:c r="K282" s="9" t="str">
        <x:v>Local craft, salvage or specialist trade; exact route TBD</x:v>
      </x:c>
      <x:c r="L282" s="9" t="str">
        <x:v>No recipe authored. Reuse existing iron stock, biological materials, ceramic craft, lubricant and ancient-material families where appropriate.</x:v>
      </x:c>
      <x:c r="M282" s="9" t="str">
        <x:v>Not implemented</x:v>
      </x:c>
      <x:c r="N282" s="9" t="str">
        <x:v>Actual load path, lubrication and service requirements TBD.</x:v>
      </x:c>
      <x:c r="O282" s="17"/>
      <x:c r="P282" s="17"/>
      <x:c r="Q282" s="17"/>
      <x:c r="R282" s="17"/>
      <x:c r="S282" s="17"/>
      <x:c r="T282" s="9" t="str">
        <x:v>Brainstorming candidate. Geometry, cost, mass, mounting, carrying and replacement behavior remain open. Part belongs to a finite physical companion.</x:v>
      </x:c>
      <x:c r="U282" s="11" t="str">
        <x:v>legger; leger; companion replacement part</x:v>
      </x:c>
      <x:c r="V282" s="9" t="str">
        <x:v>Author Legger slings/chassis/replacement/iron/ancient-armor brainstorming October 14, 2026; Docs/WORLD_BASIS.md#the-legger; specific item proposal.</x:v>
      </x:c>
      <x:c r="W282" s="4" t="str">
        <x:v>Crafting component</x:v>
      </x:c>
      <x:c r="X282" s="4" t="str">
        <x:v>Processed intermediate</x:v>
      </x:c>
      <x:c r="Y282" s="4" t="str">
        <x:v>Manufactured / unresolved</x:v>
      </x:c>
      <x:c r="Z282" s="4" t="str">
        <x:v>Equipment repair</x:v>
      </x:c>
      <x:c r="AA282" s="4" t="str">
        <x:v>Metal</x:v>
      </x:c>
      <x:c r="AB282" s="4" t="str">
        <x:v>Solid part</x:v>
      </x:c>
      <x:c r="AC282" s="4" t="str">
        <x:v>Proposal</x:v>
      </x:c>
      <x:c r="AD282" s="4" t="str">
        <x:f>LOWER(A282&amp;"; "&amp;B282&amp;"; "&amp;C282&amp;"; "&amp;D282&amp;"; "&amp;W282&amp;"; "&amp;X282&amp;"; "&amp;Y282&amp;"; "&amp;Z282&amp;"; "&amp;AA282&amp;"; "&amp;AB282&amp;"; "&amp;AC282&amp;"; "&amp;U282)</x:f>
        <x:v>proposal.legger.thrust_washer; joint thrust washer; crafting components; legger mechanical parts; crafting component; processed intermediate; manufactured / unresolved; equipment repair; metal; solid part; proposal; legger; leger; companion replacement part</x:v>
      </x:c>
      <x:c r="AE282" s="4" t="str">
        <x:v>Specific parts and protective properties remain proposals; ancient-material scarcity is established author direction.</x:v>
      </x:c>
    </x:row>
    <x:row r="283" ht="115" customHeight="1">
      <x:c r="A283" s="9" t="str">
        <x:v>proposal.legger.gear_cluster</x:v>
      </x:c>
      <x:c r="B283" s="9" t="str">
        <x:v>Replacement gear cluster</x:v>
      </x:c>
      <x:c r="C283" s="9" t="str">
        <x:v>Crafting components</x:v>
      </x:c>
      <x:c r="D283" s="9" t="str">
        <x:v>Legger mechanical parts</x:v>
      </x:c>
      <x:c r="E283" s="9" t="str">
        <x:v>New proposal</x:v>
      </x:c>
      <x:c r="F283" s="9" t="str">
        <x:v>Matched gears for a compatible drive assembly.</x:v>
      </x:c>
      <x:c r="G283" s="9" t="str">
        <x:v>Legger fitment unresolved</x:v>
      </x:c>
      <x:c r="H283" s="9" t="str">
        <x:v>Legger attachment / replacement intended; physical cargo policy unchanged</x:v>
      </x:c>
      <x:c r="I283" s="13"/>
      <x:c r="J283" s="15"/>
      <x:c r="K283" s="9" t="str">
        <x:v>Local craft, salvage or specialist trade; exact route TBD</x:v>
      </x:c>
      <x:c r="L283" s="9" t="str">
        <x:v>No recipe authored. Reuse existing iron stock, biological materials, ceramic craft, lubricant and ancient-material families where appropriate.</x:v>
      </x:c>
      <x:c r="M283" s="9" t="str">
        <x:v>Not implemented</x:v>
      </x:c>
      <x:c r="N283" s="9" t="str">
        <x:v>A candidate mechanism rather than proof the current Legger uses this transmission.</x:v>
      </x:c>
      <x:c r="O283" s="17"/>
      <x:c r="P283" s="17"/>
      <x:c r="Q283" s="17"/>
      <x:c r="R283" s="17"/>
      <x:c r="S283" s="17"/>
      <x:c r="T283" s="9" t="str">
        <x:v>Brainstorming candidate. Geometry, cost, mass, mounting, carrying and replacement behavior remain open. Part belongs to a finite physical companion.</x:v>
      </x:c>
      <x:c r="U283" s="11" t="str">
        <x:v>equipment repair; legger; leger; companion replacement part</x:v>
      </x:c>
      <x:c r="V283" s="9" t="str">
        <x:v>Author Legger slings/chassis/replacement/iron/ancient-armor brainstorming October 14, 2026; Docs/WORLD_BASIS.md#the-legger; specific item proposal.</x:v>
      </x:c>
      <x:c r="W283" s="4" t="str">
        <x:v>Crafting component</x:v>
      </x:c>
      <x:c r="X283" s="4" t="str">
        <x:v>Processed intermediate</x:v>
      </x:c>
      <x:c r="Y283" s="4" t="str">
        <x:v>Manufactured / unresolved</x:v>
      </x:c>
      <x:c r="Z283" s="4" t="str">
        <x:v>Machinery drive</x:v>
      </x:c>
      <x:c r="AA283" s="4" t="str">
        <x:v>Metal</x:v>
      </x:c>
      <x:c r="AB283" s="4" t="str">
        <x:v>Assembly</x:v>
      </x:c>
      <x:c r="AC283" s="4" t="str">
        <x:v>Proposal</x:v>
      </x:c>
      <x:c r="AD283" s="4" t="str">
        <x:f>LOWER(A283&amp;"; "&amp;B283&amp;"; "&amp;C283&amp;"; "&amp;D283&amp;"; "&amp;W283&amp;"; "&amp;X283&amp;"; "&amp;Y283&amp;"; "&amp;Z283&amp;"; "&amp;AA283&amp;"; "&amp;AB283&amp;"; "&amp;AC283&amp;"; "&amp;U283)</x:f>
        <x:v>proposal.legger.gear_cluster; replacement gear cluster; crafting components; legger mechanical parts; crafting component; processed intermediate; manufactured / unresolved; machinery drive; metal; assembly; proposal; equipment repair; legger; leger; companion replacement part</x:v>
      </x:c>
      <x:c r="AE283" s="4" t="str">
        <x:v>Specific parts and protective properties remain proposals; ancient-material scarcity is established author direction.</x:v>
      </x:c>
    </x:row>
    <x:row r="284" ht="115" customHeight="1">
      <x:c r="A284" s="9" t="str">
        <x:v>proposal.legger.linkage_end</x:v>
      </x:c>
      <x:c r="B284" s="9" t="str">
        <x:v>Replacement linkage-end joint</x:v>
      </x:c>
      <x:c r="C284" s="9" t="str">
        <x:v>Crafting components</x:v>
      </x:c>
      <x:c r="D284" s="9" t="str">
        <x:v>Legger mechanical parts</x:v>
      </x:c>
      <x:c r="E284" s="9" t="str">
        <x:v>New proposal</x:v>
      </x:c>
      <x:c r="F284" s="9" t="str">
        <x:v>End connector joining a selected movement link to its mount.</x:v>
      </x:c>
      <x:c r="G284" s="9" t="str">
        <x:v>Legger fitment unresolved</x:v>
      </x:c>
      <x:c r="H284" s="9" t="str">
        <x:v>Legger attachment / replacement intended; physical cargo policy unchanged</x:v>
      </x:c>
      <x:c r="I284" s="13"/>
      <x:c r="J284" s="15"/>
      <x:c r="K284" s="9" t="str">
        <x:v>Local craft, salvage or specialist trade; exact route TBD</x:v>
      </x:c>
      <x:c r="L284" s="9" t="str">
        <x:v>No recipe authored. Reuse existing iron stock, biological materials, ceramic craft, lubricant and ancient-material families where appropriate.</x:v>
      </x:c>
      <x:c r="M284" s="9" t="str">
        <x:v>Not implemented</x:v>
      </x:c>
      <x:c r="N284" s="9" t="str">
        <x:v>Degrees of movement, fit and service method unresolved.</x:v>
      </x:c>
      <x:c r="O284" s="17"/>
      <x:c r="P284" s="17"/>
      <x:c r="Q284" s="17"/>
      <x:c r="R284" s="17"/>
      <x:c r="S284" s="17"/>
      <x:c r="T284" s="9" t="str">
        <x:v>Brainstorming candidate. Geometry, cost, mass, mounting, carrying and replacement behavior remain open. Part belongs to a finite physical companion.</x:v>
      </x:c>
      <x:c r="U284" s="11" t="str">
        <x:v>legger; leger; companion replacement part</x:v>
      </x:c>
      <x:c r="V284" s="9" t="str">
        <x:v>Author Legger slings/chassis/replacement/iron/ancient-armor brainstorming October 14, 2026; Docs/WORLD_BASIS.md#the-legger; specific item proposal.</x:v>
      </x:c>
      <x:c r="W284" s="4" t="str">
        <x:v>Crafting component</x:v>
      </x:c>
      <x:c r="X284" s="4" t="str">
        <x:v>Processed intermediate</x:v>
      </x:c>
      <x:c r="Y284" s="4" t="str">
        <x:v>Manufactured / unresolved</x:v>
      </x:c>
      <x:c r="Z284" s="4" t="str">
        <x:v>Equipment repair</x:v>
      </x:c>
      <x:c r="AA284" s="4" t="str">
        <x:v>Metal</x:v>
      </x:c>
      <x:c r="AB284" s="4" t="str">
        <x:v>Solid part</x:v>
      </x:c>
      <x:c r="AC284" s="4" t="str">
        <x:v>Proposal</x:v>
      </x:c>
      <x:c r="AD284" s="4" t="str">
        <x:f>LOWER(A284&amp;"; "&amp;B284&amp;"; "&amp;C284&amp;"; "&amp;D284&amp;"; "&amp;W284&amp;"; "&amp;X284&amp;"; "&amp;Y284&amp;"; "&amp;Z284&amp;"; "&amp;AA284&amp;"; "&amp;AB284&amp;"; "&amp;AC284&amp;"; "&amp;U284)</x:f>
        <x:v>proposal.legger.linkage_end; replacement linkage-end joint; crafting components; legger mechanical parts; crafting component; processed intermediate; manufactured / unresolved; equipment repair; metal; solid part; proposal; legger; leger; companion replacement part</x:v>
      </x:c>
      <x:c r="AE284" s="4" t="str">
        <x:v>Specific parts and protective properties remain proposals; ancient-material scarcity is established author direction.</x:v>
      </x:c>
    </x:row>
    <x:row r="285" ht="115" customHeight="1">
      <x:c r="A285" s="9" t="str">
        <x:v>proposal.legger.tensioner</x:v>
      </x:c>
      <x:c r="B285" s="9" t="str">
        <x:v>Drive tensioner assembly</x:v>
      </x:c>
      <x:c r="C285" s="9" t="str">
        <x:v>Crafting components</x:v>
      </x:c>
      <x:c r="D285" s="9" t="str">
        <x:v>Legger mechanical parts</x:v>
      </x:c>
      <x:c r="E285" s="9" t="str">
        <x:v>New proposal</x:v>
      </x:c>
      <x:c r="F285" s="9" t="str">
        <x:v>Adjustment assembly candidate for a selected mechanical drive path.</x:v>
      </x:c>
      <x:c r="G285" s="9" t="str">
        <x:v>Legger fitment unresolved</x:v>
      </x:c>
      <x:c r="H285" s="9" t="str">
        <x:v>Legger attachment / replacement intended; physical cargo policy unchanged</x:v>
      </x:c>
      <x:c r="I285" s="13"/>
      <x:c r="J285" s="15"/>
      <x:c r="K285" s="9" t="str">
        <x:v>Local craft, salvage or specialist trade; exact route TBD</x:v>
      </x:c>
      <x:c r="L285" s="9" t="str">
        <x:v>No recipe authored. Reuse existing iron stock, biological materials, ceramic craft, lubricant and ancient-material families where appropriate.</x:v>
      </x:c>
      <x:c r="M285" s="9" t="str">
        <x:v>Not implemented</x:v>
      </x:c>
      <x:c r="N285" s="9" t="str">
        <x:v>Requires a compatible drive architecture; no belt or chain transmission assumed.</x:v>
      </x:c>
      <x:c r="O285" s="17"/>
      <x:c r="P285" s="17"/>
      <x:c r="Q285" s="17"/>
      <x:c r="R285" s="17"/>
      <x:c r="S285" s="17"/>
      <x:c r="T285" s="9" t="str">
        <x:v>Brainstorming candidate. Geometry, cost, mass, mounting, carrying and replacement behavior remain open. Part belongs to a finite physical companion.</x:v>
      </x:c>
      <x:c r="U285" s="11" t="str">
        <x:v>equipment repair; legger; leger; companion replacement part</x:v>
      </x:c>
      <x:c r="V285" s="9" t="str">
        <x:v>Author Legger slings/chassis/replacement/iron/ancient-armor brainstorming October 14, 2026; Docs/WORLD_BASIS.md#the-legger; specific item proposal.</x:v>
      </x:c>
      <x:c r="W285" s="4" t="str">
        <x:v>Crafting component</x:v>
      </x:c>
      <x:c r="X285" s="4" t="str">
        <x:v>Processed intermediate</x:v>
      </x:c>
      <x:c r="Y285" s="4" t="str">
        <x:v>Manufactured / unresolved</x:v>
      </x:c>
      <x:c r="Z285" s="4" t="str">
        <x:v>Machinery drive</x:v>
      </x:c>
      <x:c r="AA285" s="4" t="str">
        <x:v>Mixed / unresolved</x:v>
      </x:c>
      <x:c r="AB285" s="4" t="str">
        <x:v>Assembly</x:v>
      </x:c>
      <x:c r="AC285" s="4" t="str">
        <x:v>Proposal</x:v>
      </x:c>
      <x:c r="AD285" s="4" t="str">
        <x:f>LOWER(A285&amp;"; "&amp;B285&amp;"; "&amp;C285&amp;"; "&amp;D285&amp;"; "&amp;W285&amp;"; "&amp;X285&amp;"; "&amp;Y285&amp;"; "&amp;Z285&amp;"; "&amp;AA285&amp;"; "&amp;AB285&amp;"; "&amp;AC285&amp;"; "&amp;U285)</x:f>
        <x:v>proposal.legger.tensioner; drive tensioner assembly; crafting components; legger mechanical parts; crafting component; processed intermediate; manufactured / unresolved; machinery drive; mixed / unresolved; assembly; proposal; equipment repair; legger; leger; companion replacement part</x:v>
      </x:c>
      <x:c r="AE285" s="4" t="str">
        <x:v>Specific parts and protective properties remain proposals; ancient-material scarcity is established author direction.</x:v>
      </x:c>
    </x:row>
    <x:row r="286" ht="115" customHeight="1">
      <x:c r="A286" s="9" t="str">
        <x:v>proposal.legger.scraper_ring</x:v>
      </x:c>
      <x:c r="B286" s="9" t="str">
        <x:v>Joint grit-scraper ring</x:v>
      </x:c>
      <x:c r="C286" s="9" t="str">
        <x:v>Crafting components</x:v>
      </x:c>
      <x:c r="D286" s="9" t="str">
        <x:v>Legger mechanical parts</x:v>
      </x:c>
      <x:c r="E286" s="9" t="str">
        <x:v>New proposal</x:v>
      </x:c>
      <x:c r="F286" s="9" t="str">
        <x:v>Replaceable contact ring proposed to clear grit from a matched moving surface.</x:v>
      </x:c>
      <x:c r="G286" s="9" t="str">
        <x:v>Legger fitment unresolved</x:v>
      </x:c>
      <x:c r="H286" s="9" t="str">
        <x:v>Legger attachment / replacement intended; physical cargo policy unchanged</x:v>
      </x:c>
      <x:c r="I286" s="13"/>
      <x:c r="J286" s="15"/>
      <x:c r="K286" s="9" t="str">
        <x:v>Local craft, salvage or specialist trade; exact route TBD</x:v>
      </x:c>
      <x:c r="L286" s="9" t="str">
        <x:v>No recipe authored. Reuse existing iron stock, biological materials, ceramic craft, lubricant and ancient-material families where appropriate.</x:v>
      </x:c>
      <x:c r="M286" s="9" t="str">
        <x:v>Not implemented</x:v>
      </x:c>
      <x:c r="N286" s="9" t="str">
        <x:v>Distinct from a seal cartridge or external shroud; contact and wear properties TBD.</x:v>
      </x:c>
      <x:c r="O286" s="17"/>
      <x:c r="P286" s="17"/>
      <x:c r="Q286" s="17"/>
      <x:c r="R286" s="17"/>
      <x:c r="S286" s="17"/>
      <x:c r="T286" s="9" t="str">
        <x:v>Brainstorming candidate. Geometry, cost, mass, mounting, carrying and replacement behavior remain open. Part belongs to a finite physical companion.</x:v>
      </x:c>
      <x:c r="U286" s="11" t="str">
        <x:v>equipment repair; legger; leger; companion replacement part</x:v>
      </x:c>
      <x:c r="V286" s="9" t="str">
        <x:v>Author Legger slings/chassis/replacement/iron/ancient-armor brainstorming October 14, 2026; Docs/WORLD_BASIS.md#the-legger; specific item proposal.</x:v>
      </x:c>
      <x:c r="W286" s="4" t="str">
        <x:v>Crafting component</x:v>
      </x:c>
      <x:c r="X286" s="4" t="str">
        <x:v>Processed intermediate</x:v>
      </x:c>
      <x:c r="Y286" s="4" t="str">
        <x:v>Manufactured / unresolved</x:v>
      </x:c>
      <x:c r="Z286" s="4" t="str">
        <x:v>Dust exclusion</x:v>
      </x:c>
      <x:c r="AA286" s="4" t="str">
        <x:v>Mixed / unresolved</x:v>
      </x:c>
      <x:c r="AB286" s="4" t="str">
        <x:v>Solid part</x:v>
      </x:c>
      <x:c r="AC286" s="4" t="str">
        <x:v>Proposal</x:v>
      </x:c>
      <x:c r="AD286" s="4" t="str">
        <x:f>LOWER(A286&amp;"; "&amp;B286&amp;"; "&amp;C286&amp;"; "&amp;D286&amp;"; "&amp;W286&amp;"; "&amp;X286&amp;"; "&amp;Y286&amp;"; "&amp;Z286&amp;"; "&amp;AA286&amp;"; "&amp;AB286&amp;"; "&amp;AC286&amp;"; "&amp;U286)</x:f>
        <x:v>proposal.legger.scraper_ring; joint grit-scraper ring; crafting components; legger mechanical parts; crafting component; processed intermediate; manufactured / unresolved; dust exclusion; mixed / unresolved; solid part; proposal; equipment repair; legger; leger; companion replacement part</x:v>
      </x:c>
      <x:c r="AE286" s="4" t="str">
        <x:v>Specific parts and protective properties remain proposals; ancient-material scarcity is established author direction.</x:v>
      </x:c>
    </x:row>
    <x:row r="287" ht="115" customHeight="1">
      <x:c r="A287" s="9" t="str">
        <x:v>proposal.legger.grease_applicator</x:v>
      </x:c>
      <x:c r="B287" s="9" t="str">
        <x:v>Joint grease applicator</x:v>
      </x:c>
      <x:c r="C287" s="9" t="str">
        <x:v>Equipment</x:v>
      </x:c>
      <x:c r="D287" s="9" t="str">
        <x:v>Legger service parts</x:v>
      </x:c>
      <x:c r="E287" s="9" t="str">
        <x:v>New proposal</x:v>
      </x:c>
      <x:c r="F287" s="9" t="str">
        <x:v>Hand-operated tool candidate for placing selected faunal grease at a service point.</x:v>
      </x:c>
      <x:c r="G287" s="9" t="str">
        <x:v>Legger fitment unresolved</x:v>
      </x:c>
      <x:c r="H287" s="9" t="str">
        <x:v>Legger attachment / replacement intended; physical cargo policy unchanged</x:v>
      </x:c>
      <x:c r="I287" s="13"/>
      <x:c r="J287" s="15"/>
      <x:c r="K287" s="9" t="str">
        <x:v>Local craft, salvage or specialist trade; exact route TBD</x:v>
      </x:c>
      <x:c r="L287" s="9" t="str">
        <x:v>No recipe authored. Reuse existing iron stock, biological materials, ceramic craft, lubricant and ancient-material families where appropriate.</x:v>
      </x:c>
      <x:c r="M287" s="9" t="str">
        <x:v>Not implemented</x:v>
      </x:c>
      <x:c r="N287" s="9" t="str">
        <x:v>Pressure, fitting and dose undefined; does not imply hydraulic actuation.</x:v>
      </x:c>
      <x:c r="O287" s="17"/>
      <x:c r="P287" s="17"/>
      <x:c r="Q287" s="17"/>
      <x:c r="R287" s="17"/>
      <x:c r="S287" s="17"/>
      <x:c r="T287" s="9" t="str">
        <x:v>Brainstorming candidate. Geometry, cost, mass, mounting, carrying and replacement behavior remain open. Part belongs to a finite physical companion.</x:v>
      </x:c>
      <x:c r="U287" s="11" t="str">
        <x:v>equipment repair; legger; leger; companion replacement part</x:v>
      </x:c>
      <x:c r="V287" s="9" t="str">
        <x:v>Author Legger slings/chassis/replacement/iron/ancient-armor brainstorming October 14, 2026; Docs/WORLD_BASIS.md#the-legger; specific item proposal.</x:v>
      </x:c>
      <x:c r="W287" s="4" t="str">
        <x:v>Tool</x:v>
      </x:c>
      <x:c r="X287" s="4" t="str">
        <x:v>Finished item</x:v>
      </x:c>
      <x:c r="Y287" s="4" t="str">
        <x:v>Manufactured / unresolved</x:v>
      </x:c>
      <x:c r="Z287" s="4" t="str">
        <x:v>Lubrication</x:v>
      </x:c>
      <x:c r="AA287" s="4" t="str">
        <x:v>Metal</x:v>
      </x:c>
      <x:c r="AB287" s="4" t="str">
        <x:v>Assembly</x:v>
      </x:c>
      <x:c r="AC287" s="4" t="str">
        <x:v>Proposal</x:v>
      </x:c>
      <x:c r="AD287" s="4" t="str">
        <x:f>LOWER(A287&amp;"; "&amp;B287&amp;"; "&amp;C287&amp;"; "&amp;D287&amp;"; "&amp;W287&amp;"; "&amp;X287&amp;"; "&amp;Y287&amp;"; "&amp;Z287&amp;"; "&amp;AA287&amp;"; "&amp;AB287&amp;"; "&amp;AC287&amp;"; "&amp;U287)</x:f>
        <x:v>proposal.legger.grease_applicator; joint grease applicator; equipment; legger service parts; tool; finished item; manufactured / unresolved; lubrication; metal; assembly; proposal; equipment repair; legger; leger; companion replacement part</x:v>
      </x:c>
      <x:c r="AE287" s="4" t="str">
        <x:v>Specific parts and protective properties remain proposals; ancient-material scarcity is established author direction.</x:v>
      </x:c>
    </x:row>
    <x:row r="288" ht="115" customHeight="1">
      <x:c r="A288" s="9" t="str">
        <x:v>proposal.legger.service_adapter</x:v>
      </x:c>
      <x:c r="B288" s="9" t="str">
        <x:v>Lubricant service-port adapter</x:v>
      </x:c>
      <x:c r="C288" s="9" t="str">
        <x:v>Crafting components</x:v>
      </x:c>
      <x:c r="D288" s="9" t="str">
        <x:v>Legger service parts</x:v>
      </x:c>
      <x:c r="E288" s="9" t="str">
        <x:v>New proposal</x:v>
      </x:c>
      <x:c r="F288" s="9" t="str">
        <x:v>Matched connection between a lubricant tool and a selected service port.</x:v>
      </x:c>
      <x:c r="G288" s="9" t="str">
        <x:v>Legger fitment unresolved</x:v>
      </x:c>
      <x:c r="H288" s="9" t="str">
        <x:v>Legger attachment / replacement intended; physical cargo policy unchanged</x:v>
      </x:c>
      <x:c r="I288" s="13"/>
      <x:c r="J288" s="15"/>
      <x:c r="K288" s="9" t="str">
        <x:v>Local craft, salvage or specialist trade; exact route TBD</x:v>
      </x:c>
      <x:c r="L288" s="9" t="str">
        <x:v>No recipe authored. Reuse existing iron stock, biological materials, ceramic craft, lubricant and ancient-material families where appropriate.</x:v>
      </x:c>
      <x:c r="M288" s="9" t="str">
        <x:v>Not implemented</x:v>
      </x:c>
      <x:c r="N288" s="9" t="str">
        <x:v>Compatible fitting standard remains open; not a universal chemical connector.</x:v>
      </x:c>
      <x:c r="O288" s="17"/>
      <x:c r="P288" s="17"/>
      <x:c r="Q288" s="17"/>
      <x:c r="R288" s="17"/>
      <x:c r="S288" s="17"/>
      <x:c r="T288" s="9" t="str">
        <x:v>Brainstorming candidate. Geometry, cost, mass, mounting, carrying and replacement behavior remain open. Part belongs to a finite physical companion.</x:v>
      </x:c>
      <x:c r="U288" s="11" t="str">
        <x:v>lubrication; legger; leger; companion replacement part</x:v>
      </x:c>
      <x:c r="V288" s="9" t="str">
        <x:v>Author Legger slings/chassis/replacement/iron/ancient-armor brainstorming October 14, 2026; Docs/WORLD_BASIS.md#the-legger; specific item proposal.</x:v>
      </x:c>
      <x:c r="W288" s="4" t="str">
        <x:v>Container part</x:v>
      </x:c>
      <x:c r="X288" s="4" t="str">
        <x:v>Processed intermediate</x:v>
      </x:c>
      <x:c r="Y288" s="4" t="str">
        <x:v>Manufactured / unresolved</x:v>
      </x:c>
      <x:c r="Z288" s="4" t="str">
        <x:v>Material transfer</x:v>
      </x:c>
      <x:c r="AA288" s="4" t="str">
        <x:v>Metal</x:v>
      </x:c>
      <x:c r="AB288" s="4" t="str">
        <x:v>Solid part</x:v>
      </x:c>
      <x:c r="AC288" s="4" t="str">
        <x:v>Proposal</x:v>
      </x:c>
      <x:c r="AD288" s="4" t="str">
        <x:f>LOWER(A288&amp;"; "&amp;B288&amp;"; "&amp;C288&amp;"; "&amp;D288&amp;"; "&amp;W288&amp;"; "&amp;X288&amp;"; "&amp;Y288&amp;"; "&amp;Z288&amp;"; "&amp;AA288&amp;"; "&amp;AB288&amp;"; "&amp;AC288&amp;"; "&amp;U288)</x:f>
        <x:v>proposal.legger.service_adapter; lubricant service-port adapter; crafting components; legger service parts; container part; processed intermediate; manufactured / unresolved; material transfer; metal; solid part; proposal; lubrication; legger; leger; companion replacement part</x:v>
      </x:c>
      <x:c r="AE288" s="4" t="str">
        <x:v>Specific parts and protective properties remain proposals; ancient-material scarcity is established author direction.</x:v>
      </x:c>
    </x:row>
    <x:row r="289" ht="115" customHeight="1">
      <x:c r="A289" s="9" t="str">
        <x:v>proposal.legger.service_pick</x:v>
      </x:c>
      <x:c r="B289" s="9" t="str">
        <x:v>Joint-service cleaning pick</x:v>
      </x:c>
      <x:c r="C289" s="9" t="str">
        <x:v>Equipment</x:v>
      </x:c>
      <x:c r="D289" s="9" t="str">
        <x:v>Legger service parts</x:v>
      </x:c>
      <x:c r="E289" s="9" t="str">
        <x:v>New proposal</x:v>
      </x:c>
      <x:c r="F289" s="9" t="str">
        <x:v>Shaped tool for removing residue from an accessible service recess.</x:v>
      </x:c>
      <x:c r="G289" s="9" t="str">
        <x:v>Legger fitment unresolved</x:v>
      </x:c>
      <x:c r="H289" s="9" t="str">
        <x:v>Legger attachment / replacement intended; physical cargo policy unchanged</x:v>
      </x:c>
      <x:c r="I289" s="13"/>
      <x:c r="J289" s="15"/>
      <x:c r="K289" s="9" t="str">
        <x:v>Local craft, salvage or specialist trade; exact route TBD</x:v>
      </x:c>
      <x:c r="L289" s="9" t="str">
        <x:v>No recipe authored. Reuse existing iron stock, biological materials, ceramic craft, lubricant and ancient-material families where appropriate.</x:v>
      </x:c>
      <x:c r="M289" s="9" t="str">
        <x:v>Not implemented</x:v>
      </x:c>
      <x:c r="N289" s="9" t="str">
        <x:v>Tool tip and use must preserve the selected seal/contact surface.</x:v>
      </x:c>
      <x:c r="O289" s="17"/>
      <x:c r="P289" s="17"/>
      <x:c r="Q289" s="17"/>
      <x:c r="R289" s="17"/>
      <x:c r="S289" s="17"/>
      <x:c r="T289" s="9" t="str">
        <x:v>Brainstorming candidate. Geometry, cost, mass, mounting, carrying and replacement behavior remain open. Part belongs to a finite physical companion.</x:v>
      </x:c>
      <x:c r="U289" s="11" t="str">
        <x:v>equipment repair; legger; leger; companion replacement part</x:v>
      </x:c>
      <x:c r="V289" s="9" t="str">
        <x:v>Author Legger slings/chassis/replacement/iron/ancient-armor brainstorming October 14, 2026; Docs/WORLD_BASIS.md#the-legger; specific item proposal.</x:v>
      </x:c>
      <x:c r="W289" s="4" t="str">
        <x:v>Tool</x:v>
      </x:c>
      <x:c r="X289" s="4" t="str">
        <x:v>Finished item</x:v>
      </x:c>
      <x:c r="Y289" s="4" t="str">
        <x:v>Manufactured / unresolved</x:v>
      </x:c>
      <x:c r="Z289" s="4" t="str">
        <x:v>Cleaning</x:v>
      </x:c>
      <x:c r="AA289" s="4" t="str">
        <x:v>Metal</x:v>
      </x:c>
      <x:c r="AB289" s="4" t="str">
        <x:v>Solid part</x:v>
      </x:c>
      <x:c r="AC289" s="4" t="str">
        <x:v>Proposal</x:v>
      </x:c>
      <x:c r="AD289" s="4" t="str">
        <x:f>LOWER(A289&amp;"; "&amp;B289&amp;"; "&amp;C289&amp;"; "&amp;D289&amp;"; "&amp;W289&amp;"; "&amp;X289&amp;"; "&amp;Y289&amp;"; "&amp;Z289&amp;"; "&amp;AA289&amp;"; "&amp;AB289&amp;"; "&amp;AC289&amp;"; "&amp;U289)</x:f>
        <x:v>proposal.legger.service_pick; joint-service cleaning pick; equipment; legger service parts; tool; finished item; manufactured / unresolved; cleaning; metal; solid part; proposal; equipment repair; legger; leger; companion replacement part</x:v>
      </x:c>
      <x:c r="AE289" s="4" t="str">
        <x:v>Specific parts and protective properties remain proposals; ancient-material scarcity is established author direction.</x:v>
      </x:c>
    </x:row>
    <x:row r="290" ht="115" customHeight="1">
      <x:c r="A290" s="9" t="str">
        <x:v>proposal.legger.bearing_puller</x:v>
      </x:c>
      <x:c r="B290" s="9" t="str">
        <x:v>Matched bearing-removal tool</x:v>
      </x:c>
      <x:c r="C290" s="9" t="str">
        <x:v>Equipment</x:v>
      </x:c>
      <x:c r="D290" s="9" t="str">
        <x:v>Legger service parts</x:v>
      </x:c>
      <x:c r="E290" s="9" t="str">
        <x:v>New proposal</x:v>
      </x:c>
      <x:c r="F290" s="9" t="str">
        <x:v>Workshop tool candidate for removing a selected bearing assembly.</x:v>
      </x:c>
      <x:c r="G290" s="9" t="str">
        <x:v>Legger fitment unresolved</x:v>
      </x:c>
      <x:c r="H290" s="9" t="str">
        <x:v>Legger attachment / replacement intended; physical cargo policy unchanged</x:v>
      </x:c>
      <x:c r="I290" s="13"/>
      <x:c r="J290" s="15"/>
      <x:c r="K290" s="9" t="str">
        <x:v>Local craft, salvage or specialist trade; exact route TBD</x:v>
      </x:c>
      <x:c r="L290" s="9" t="str">
        <x:v>No recipe authored. Reuse existing iron stock, biological materials, ceramic craft, lubricant and ancient-material families where appropriate.</x:v>
      </x:c>
      <x:c r="M290" s="9" t="str">
        <x:v>Not implemented</x:v>
      </x:c>
      <x:c r="N290" s="9" t="str">
        <x:v>Requires the actual bearing and host fit; does not grant field disassembly of all joints.</x:v>
      </x:c>
      <x:c r="O290" s="17"/>
      <x:c r="P290" s="17"/>
      <x:c r="Q290" s="17"/>
      <x:c r="R290" s="17"/>
      <x:c r="S290" s="17"/>
      <x:c r="T290" s="9" t="str">
        <x:v>Brainstorming candidate. Geometry, cost, mass, mounting, carrying and replacement behavior remain open. Part belongs to a finite physical companion.</x:v>
      </x:c>
      <x:c r="U290" s="11" t="str">
        <x:v>legger; leger; companion replacement part</x:v>
      </x:c>
      <x:c r="V290" s="9" t="str">
        <x:v>Author Legger slings/chassis/replacement/iron/ancient-armor brainstorming October 14, 2026; Docs/WORLD_BASIS.md#the-legger; specific item proposal.</x:v>
      </x:c>
      <x:c r="W290" s="4" t="str">
        <x:v>Tool</x:v>
      </x:c>
      <x:c r="X290" s="4" t="str">
        <x:v>Finished item</x:v>
      </x:c>
      <x:c r="Y290" s="4" t="str">
        <x:v>Manufactured / unresolved</x:v>
      </x:c>
      <x:c r="Z290" s="4" t="str">
        <x:v>Equipment repair</x:v>
      </x:c>
      <x:c r="AA290" s="4" t="str">
        <x:v>Metal</x:v>
      </x:c>
      <x:c r="AB290" s="4" t="str">
        <x:v>Assembly</x:v>
      </x:c>
      <x:c r="AC290" s="4" t="str">
        <x:v>Proposal</x:v>
      </x:c>
      <x:c r="AD290" s="4" t="str">
        <x:f>LOWER(A290&amp;"; "&amp;B290&amp;"; "&amp;C290&amp;"; "&amp;D290&amp;"; "&amp;W290&amp;"; "&amp;X290&amp;"; "&amp;Y290&amp;"; "&amp;Z290&amp;"; "&amp;AA290&amp;"; "&amp;AB290&amp;"; "&amp;AC290&amp;"; "&amp;U290)</x:f>
        <x:v>proposal.legger.bearing_puller; matched bearing-removal tool; equipment; legger service parts; tool; finished item; manufactured / unresolved; equipment repair; metal; assembly; proposal; legger; leger; companion replacement part</x:v>
      </x:c>
      <x:c r="AE290" s="4" t="str">
        <x:v>Specific parts and protective properties remain proposals; ancient-material scarcity is established author direction.</x:v>
      </x:c>
    </x:row>
    <x:row r="291" ht="115" customHeight="1">
      <x:c r="A291" s="9" t="str">
        <x:v>proposal.legger.alignment_gauge</x:v>
      </x:c>
      <x:c r="B291" s="9" t="str">
        <x:v>Legger alignment gauge</x:v>
      </x:c>
      <x:c r="C291" s="9" t="str">
        <x:v>Equipment</x:v>
      </x:c>
      <x:c r="D291" s="9" t="str">
        <x:v>Legger service parts</x:v>
      </x:c>
      <x:c r="E291" s="9" t="str">
        <x:v>New proposal</x:v>
      </x:c>
      <x:c r="F291" s="9" t="str">
        <x:v>Template or gauge for checking a defined fitted relationship.</x:v>
      </x:c>
      <x:c r="G291" s="9" t="str">
        <x:v>Legger fitment unresolved</x:v>
      </x:c>
      <x:c r="H291" s="9" t="str">
        <x:v>Legger attachment / replacement intended; physical cargo policy unchanged</x:v>
      </x:c>
      <x:c r="I291" s="13"/>
      <x:c r="J291" s="15"/>
      <x:c r="K291" s="9" t="str">
        <x:v>Local craft, salvage or specialist trade; exact route TBD</x:v>
      </x:c>
      <x:c r="L291" s="9" t="str">
        <x:v>No recipe authored. Reuse existing iron stock, biological materials, ceramic craft, lubricant and ancient-material families where appropriate.</x:v>
      </x:c>
      <x:c r="M291" s="9" t="str">
        <x:v>Not implemented</x:v>
      </x:c>
      <x:c r="N291" s="9" t="str">
        <x:v>Reference geometry and acceptable tolerances unresolved.</x:v>
      </x:c>
      <x:c r="O291" s="17"/>
      <x:c r="P291" s="17"/>
      <x:c r="Q291" s="17"/>
      <x:c r="R291" s="17"/>
      <x:c r="S291" s="17"/>
      <x:c r="T291" s="9" t="str">
        <x:v>Brainstorming candidate. Geometry, cost, mass, mounting, carrying and replacement behavior remain open. Part belongs to a finite physical companion.</x:v>
      </x:c>
      <x:c r="U291" s="11" t="str">
        <x:v>equipment repair; legger; leger; companion replacement part</x:v>
      </x:c>
      <x:c r="V291" s="9" t="str">
        <x:v>Author Legger slings/chassis/replacement/iron/ancient-armor brainstorming October 14, 2026; Docs/WORLD_BASIS.md#the-legger; specific item proposal.</x:v>
      </x:c>
      <x:c r="W291" s="4" t="str">
        <x:v>Tool</x:v>
      </x:c>
      <x:c r="X291" s="4" t="str">
        <x:v>Finished item</x:v>
      </x:c>
      <x:c r="Y291" s="4" t="str">
        <x:v>Manufactured / unresolved</x:v>
      </x:c>
      <x:c r="Z291" s="4" t="str">
        <x:v>Inspection</x:v>
      </x:c>
      <x:c r="AA291" s="4" t="str">
        <x:v>Metal</x:v>
      </x:c>
      <x:c r="AB291" s="4" t="str">
        <x:v>Solid part</x:v>
      </x:c>
      <x:c r="AC291" s="4" t="str">
        <x:v>Proposal</x:v>
      </x:c>
      <x:c r="AD291" s="4" t="str">
        <x:f>LOWER(A291&amp;"; "&amp;B291&amp;"; "&amp;C291&amp;"; "&amp;D291&amp;"; "&amp;W291&amp;"; "&amp;X291&amp;"; "&amp;Y291&amp;"; "&amp;Z291&amp;"; "&amp;AA291&amp;"; "&amp;AB291&amp;"; "&amp;AC291&amp;"; "&amp;U291)</x:f>
        <x:v>proposal.legger.alignment_gauge; legger alignment gauge; equipment; legger service parts; tool; finished item; manufactured / unresolved; inspection; metal; solid part; proposal; equipment repair; legger; leger; companion replacement part</x:v>
      </x:c>
      <x:c r="AE291" s="4" t="str">
        <x:v>Specific parts and protective properties remain proposals; ancient-material scarcity is established author direction.</x:v>
      </x:c>
    </x:row>
    <x:row r="292" ht="115" customHeight="1">
      <x:c r="A292" s="9" t="str">
        <x:v>proposal.legger.spares_case</x:v>
      </x:c>
      <x:c r="B292" s="9" t="str">
        <x:v>Legger fitted spares case</x:v>
      </x:c>
      <x:c r="C292" s="9" t="str">
        <x:v>Equipment</x:v>
      </x:c>
      <x:c r="D292" s="9" t="str">
        <x:v>Legger service parts</x:v>
      </x:c>
      <x:c r="E292" s="9" t="str">
        <x:v>New proposal</x:v>
      </x:c>
      <x:c r="F292" s="9" t="str">
        <x:v>Partitioned case for selected small replacement parts and service tools.</x:v>
      </x:c>
      <x:c r="G292" s="9" t="str">
        <x:v>Legger fitment unresolved</x:v>
      </x:c>
      <x:c r="H292" s="9" t="str">
        <x:v>Legger attachment / replacement intended; physical cargo policy unchanged</x:v>
      </x:c>
      <x:c r="I292" s="13"/>
      <x:c r="J292" s="15"/>
      <x:c r="K292" s="9" t="str">
        <x:v>Local craft, salvage or specialist trade; exact route TBD</x:v>
      </x:c>
      <x:c r="L292" s="9" t="str">
        <x:v>No recipe authored. Reuse existing iron stock, biological materials, ceramic craft, lubricant and ancient-material families where appropriate.</x:v>
      </x:c>
      <x:c r="M292" s="9" t="str">
        <x:v>Not implemented</x:v>
      </x:c>
      <x:c r="N292" s="9" t="str">
        <x:v>Contents remain separate items; no uncounted complete repair kit or capacity increase.</x:v>
      </x:c>
      <x:c r="O292" s="17"/>
      <x:c r="P292" s="17"/>
      <x:c r="Q292" s="17"/>
      <x:c r="R292" s="17"/>
      <x:c r="S292" s="17"/>
      <x:c r="T292" s="9" t="str">
        <x:v>Brainstorming candidate. Geometry, cost, mass, mounting, carrying and replacement behavior remain open. Part belongs to a finite physical companion.</x:v>
      </x:c>
      <x:c r="U292" s="11" t="str">
        <x:v>legger; leger; companion replacement part</x:v>
      </x:c>
      <x:c r="V292" s="9" t="str">
        <x:v>Author Legger slings/chassis/replacement/iron/ancient-armor brainstorming October 14, 2026; Docs/WORLD_BASIS.md#the-legger; specific item proposal.</x:v>
      </x:c>
      <x:c r="W292" s="4" t="str">
        <x:v>Container</x:v>
      </x:c>
      <x:c r="X292" s="4" t="str">
        <x:v>Finished item</x:v>
      </x:c>
      <x:c r="Y292" s="4" t="str">
        <x:v>Manufactured / unresolved</x:v>
      </x:c>
      <x:c r="Z292" s="4" t="str">
        <x:v>Cargo organization</x:v>
      </x:c>
      <x:c r="AA292" s="4" t="str">
        <x:v>Metal or shell</x:v>
      </x:c>
      <x:c r="AB292" s="4" t="str">
        <x:v>Assembly</x:v>
      </x:c>
      <x:c r="AC292" s="4" t="str">
        <x:v>Proposal</x:v>
      </x:c>
      <x:c r="AD292" s="4" t="str">
        <x:f>LOWER(A292&amp;"; "&amp;B292&amp;"; "&amp;C292&amp;"; "&amp;D292&amp;"; "&amp;W292&amp;"; "&amp;X292&amp;"; "&amp;Y292&amp;"; "&amp;Z292&amp;"; "&amp;AA292&amp;"; "&amp;AB292&amp;"; "&amp;AC292&amp;"; "&amp;U292)</x:f>
        <x:v>proposal.legger.spares_case; legger fitted spares case; equipment; legger service parts; container; finished item; manufactured / unresolved; cargo organization; metal or shell; assembly; proposal; legger; leger; companion replacement part</x:v>
      </x:c>
      <x:c r="AE292" s="4" t="str">
        <x:v>Specific parts and protective properties remain proposals; ancient-material scarcity is established author direction.</x:v>
      </x:c>
    </x:row>
    <x:row r="293" ht="115" customHeight="1">
      <x:c r="A293" s="9" t="str">
        <x:v>proposal.legger.edge_guard</x:v>
      </x:c>
      <x:c r="B293" s="9" t="str">
        <x:v>Chassis leading-edge guard</x:v>
      </x:c>
      <x:c r="C293" s="9" t="str">
        <x:v>Equipment</x:v>
      </x:c>
      <x:c r="D293" s="9" t="str">
        <x:v>Legger armor</x:v>
      </x:c>
      <x:c r="E293" s="9" t="str">
        <x:v>New proposal</x:v>
      </x:c>
      <x:c r="F293" s="9" t="str">
        <x:v>Replaceable narrow guard on a selected exposed frame edge.</x:v>
      </x:c>
      <x:c r="G293" s="9" t="str">
        <x:v>Legger fitment unresolved</x:v>
      </x:c>
      <x:c r="H293" s="9" t="str">
        <x:v>Legger attachment / replacement intended; physical cargo policy unchanged</x:v>
      </x:c>
      <x:c r="I293" s="13"/>
      <x:c r="J293" s="15"/>
      <x:c r="K293" s="9" t="str">
        <x:v>Local craft, salvage or specialist trade; exact route TBD</x:v>
      </x:c>
      <x:c r="L293" s="9" t="str">
        <x:v>No recipe authored. Reuse existing iron stock, biological materials, ceramic craft, lubricant and ancient-material families where appropriate.</x:v>
      </x:c>
      <x:c r="M293" s="9" t="str">
        <x:v>Not implemented</x:v>
      </x:c>
      <x:c r="N293" s="9" t="str">
        <x:v>Coverage and host geometry distinguish it from full chassis plates; protection TBD.</x:v>
      </x:c>
      <x:c r="O293" s="17"/>
      <x:c r="P293" s="17"/>
      <x:c r="Q293" s="17"/>
      <x:c r="R293" s="17"/>
      <x:c r="S293" s="17"/>
      <x:c r="T293" s="9" t="str">
        <x:v>Brainstorming candidate. Geometry, cost, mass, mounting, carrying and replacement behavior remain open. Part belongs to a finite physical companion.</x:v>
      </x:c>
      <x:c r="U293" s="11" t="str">
        <x:v>legger; leger; companion replacement part</x:v>
      </x:c>
      <x:c r="V293" s="9" t="str">
        <x:v>Author Legger slings/chassis/replacement/iron/ancient-armor brainstorming October 14, 2026; Docs/WORLD_BASIS.md#the-legger; specific item proposal.</x:v>
      </x:c>
      <x:c r="W293" s="4" t="str">
        <x:v>Armor</x:v>
      </x:c>
      <x:c r="X293" s="4" t="str">
        <x:v>Finished item</x:v>
      </x:c>
      <x:c r="Y293" s="4" t="str">
        <x:v>Manufactured / unresolved</x:v>
      </x:c>
      <x:c r="Z293" s="4" t="str">
        <x:v>Protection</x:v>
      </x:c>
      <x:c r="AA293" s="4" t="str">
        <x:v>Metal</x:v>
      </x:c>
      <x:c r="AB293" s="4" t="str">
        <x:v>Panel</x:v>
      </x:c>
      <x:c r="AC293" s="4" t="str">
        <x:v>Proposal</x:v>
      </x:c>
      <x:c r="AD293" s="4" t="str">
        <x:f>LOWER(A293&amp;"; "&amp;B293&amp;"; "&amp;C293&amp;"; "&amp;D293&amp;"; "&amp;W293&amp;"; "&amp;X293&amp;"; "&amp;Y293&amp;"; "&amp;Z293&amp;"; "&amp;AA293&amp;"; "&amp;AB293&amp;"; "&amp;AC293&amp;"; "&amp;U293)</x:f>
        <x:v>proposal.legger.edge_guard; chassis leading-edge guard; equipment; legger armor; armor; finished item; manufactured / unresolved; protection; metal; panel; proposal; legger; leger; companion replacement part</x:v>
      </x:c>
      <x:c r="AE293" s="4" t="str">
        <x:v>Specific parts and protective properties remain proposals; ancient-material scarcity is established author direction.</x:v>
      </x:c>
    </x:row>
    <x:row r="294" ht="115" customHeight="1">
      <x:c r="A294" s="9" t="str">
        <x:v>proposal.legger.instrument_guard</x:v>
      </x:c>
      <x:c r="B294" s="9" t="str">
        <x:v>Instrument-face guard</x:v>
      </x:c>
      <x:c r="C294" s="9" t="str">
        <x:v>Equipment</x:v>
      </x:c>
      <x:c r="D294" s="9" t="str">
        <x:v>Legger armor</x:v>
      </x:c>
      <x:c r="E294" s="9" t="str">
        <x:v>New proposal</x:v>
      </x:c>
      <x:c r="F294" s="9" t="str">
        <x:v>Protective cage candidate around a selected exposed instrument face.</x:v>
      </x:c>
      <x:c r="G294" s="9" t="str">
        <x:v>Legger fitment unresolved</x:v>
      </x:c>
      <x:c r="H294" s="9" t="str">
        <x:v>Legger attachment / replacement intended; physical cargo policy unchanged</x:v>
      </x:c>
      <x:c r="I294" s="13"/>
      <x:c r="J294" s="15"/>
      <x:c r="K294" s="9" t="str">
        <x:v>Local craft, salvage or specialist trade; exact route TBD</x:v>
      </x:c>
      <x:c r="L294" s="9" t="str">
        <x:v>No recipe authored. Reuse existing iron stock, biological materials, ceramic craft, lubricant and ancient-material families where appropriate.</x:v>
      </x:c>
      <x:c r="M294" s="9" t="str">
        <x:v>Not implemented</x:v>
      </x:c>
      <x:c r="N294" s="9" t="str">
        <x:v>Requires a real instrument and sight/clearance review; grants no new sensor capability.</x:v>
      </x:c>
      <x:c r="O294" s="17"/>
      <x:c r="P294" s="17"/>
      <x:c r="Q294" s="17"/>
      <x:c r="R294" s="17"/>
      <x:c r="S294" s="17"/>
      <x:c r="T294" s="9" t="str">
        <x:v>Brainstorming candidate. Geometry, cost, mass, mounting, carrying and replacement behavior remain open. Part belongs to a finite physical companion.</x:v>
      </x:c>
      <x:c r="U294" s="11" t="str">
        <x:v>legger; leger; companion replacement part</x:v>
      </x:c>
      <x:c r="V294" s="9" t="str">
        <x:v>Author Legger slings/chassis/replacement/iron/ancient-armor brainstorming October 14, 2026; Docs/WORLD_BASIS.md#the-legger; specific item proposal.</x:v>
      </x:c>
      <x:c r="W294" s="4" t="str">
        <x:v>Armor</x:v>
      </x:c>
      <x:c r="X294" s="4" t="str">
        <x:v>Finished item</x:v>
      </x:c>
      <x:c r="Y294" s="4" t="str">
        <x:v>Manufactured / unresolved</x:v>
      </x:c>
      <x:c r="Z294" s="4" t="str">
        <x:v>Protection</x:v>
      </x:c>
      <x:c r="AA294" s="4" t="str">
        <x:v>Mixed / unresolved</x:v>
      </x:c>
      <x:c r="AB294" s="4" t="str">
        <x:v>Assembly</x:v>
      </x:c>
      <x:c r="AC294" s="4" t="str">
        <x:v>Proposal</x:v>
      </x:c>
      <x:c r="AD294" s="4" t="str">
        <x:f>LOWER(A294&amp;"; "&amp;B294&amp;"; "&amp;C294&amp;"; "&amp;D294&amp;"; "&amp;W294&amp;"; "&amp;X294&amp;"; "&amp;Y294&amp;"; "&amp;Z294&amp;"; "&amp;AA294&amp;"; "&amp;AB294&amp;"; "&amp;AC294&amp;"; "&amp;U294)</x:f>
        <x:v>proposal.legger.instrument_guard; instrument-face guard; equipment; legger armor; armor; finished item; manufactured / unresolved; protection; mixed / unresolved; assembly; proposal; legger; leger; companion replacement part</x:v>
      </x:c>
      <x:c r="AE294" s="4" t="str">
        <x:v>Specific parts and protective properties remain proposals; ancient-material scarcity is established author direction.</x:v>
      </x:c>
    </x:row>
    <x:row r="295" ht="115" customHeight="1">
      <x:c r="A295" s="9" t="str">
        <x:v>proposal.legger.seam_guard</x:v>
      </x:c>
      <x:c r="B295" s="9" t="str">
        <x:v>Armor seam-cover strip</x:v>
      </x:c>
      <x:c r="C295" s="9" t="str">
        <x:v>Equipment</x:v>
      </x:c>
      <x:c r="D295" s="9" t="str">
        <x:v>Legger armor</x:v>
      </x:c>
      <x:c r="E295" s="9" t="str">
        <x:v>New proposal</x:v>
      </x:c>
      <x:c r="F295" s="9" t="str">
        <x:v>Overlap piece covering a selected gap between fitted guards.</x:v>
      </x:c>
      <x:c r="G295" s="9" t="str">
        <x:v>Legger fitment unresolved</x:v>
      </x:c>
      <x:c r="H295" s="9" t="str">
        <x:v>Legger attachment / replacement intended; physical cargo policy unchanged</x:v>
      </x:c>
      <x:c r="I295" s="13"/>
      <x:c r="J295" s="15"/>
      <x:c r="K295" s="9" t="str">
        <x:v>Local craft, salvage or specialist trade; exact route TBD</x:v>
      </x:c>
      <x:c r="L295" s="9" t="str">
        <x:v>No recipe authored. Reuse existing iron stock, biological materials, ceramic craft, lubricant and ancient-material families where appropriate.</x:v>
      </x:c>
      <x:c r="M295" s="9" t="str">
        <x:v>Not implemented</x:v>
      </x:c>
      <x:c r="N295" s="9" t="str">
        <x:v>Must preserve movement and service access; no complete gap-free protection inferred.</x:v>
      </x:c>
      <x:c r="O295" s="17"/>
      <x:c r="P295" s="17"/>
      <x:c r="Q295" s="17"/>
      <x:c r="R295" s="17"/>
      <x:c r="S295" s="17"/>
      <x:c r="T295" s="9" t="str">
        <x:v>Brainstorming candidate. Geometry, cost, mass, mounting, carrying and replacement behavior remain open. Part belongs to a finite physical companion.</x:v>
      </x:c>
      <x:c r="U295" s="11" t="str">
        <x:v>legger; leger; companion replacement part</x:v>
      </x:c>
      <x:c r="V295" s="9" t="str">
        <x:v>Author Legger slings/chassis/replacement/iron/ancient-armor brainstorming October 14, 2026; Docs/WORLD_BASIS.md#the-legger; specific item proposal.</x:v>
      </x:c>
      <x:c r="W295" s="4" t="str">
        <x:v>Armor</x:v>
      </x:c>
      <x:c r="X295" s="4" t="str">
        <x:v>Finished item</x:v>
      </x:c>
      <x:c r="Y295" s="4" t="str">
        <x:v>Manufactured / unresolved</x:v>
      </x:c>
      <x:c r="Z295" s="4" t="str">
        <x:v>Protection</x:v>
      </x:c>
      <x:c r="AA295" s="4" t="str">
        <x:v>Metal</x:v>
      </x:c>
      <x:c r="AB295" s="4" t="str">
        <x:v>Panel</x:v>
      </x:c>
      <x:c r="AC295" s="4" t="str">
        <x:v>Proposal</x:v>
      </x:c>
      <x:c r="AD295" s="4" t="str">
        <x:f>LOWER(A295&amp;"; "&amp;B295&amp;"; "&amp;C295&amp;"; "&amp;D295&amp;"; "&amp;W295&amp;"; "&amp;X295&amp;"; "&amp;Y295&amp;"; "&amp;Z295&amp;"; "&amp;AA295&amp;"; "&amp;AB295&amp;"; "&amp;AC295&amp;"; "&amp;U295)</x:f>
        <x:v>proposal.legger.seam_guard; armor seam-cover strip; equipment; legger armor; armor; finished item; manufactured / unresolved; protection; metal; panel; proposal; legger; leger; companion replacement part</x:v>
      </x:c>
      <x:c r="AE295" s="4" t="str">
        <x:v>Specific parts and protective properties remain proposals; ancient-material scarcity is established author direction.</x:v>
      </x:c>
    </x:row>
    <x:row r="296" ht="115" customHeight="1">
      <x:c r="A296" s="9" t="str">
        <x:v>proposal.legger.impact_cap</x:v>
      </x:c>
      <x:c r="B296" s="9" t="str">
        <x:v>Sacrificial impact cap</x:v>
      </x:c>
      <x:c r="C296" s="9" t="str">
        <x:v>Equipment</x:v>
      </x:c>
      <x:c r="D296" s="9" t="str">
        <x:v>Legger armor</x:v>
      </x:c>
      <x:c r="E296" s="9" t="str">
        <x:v>New proposal</x:v>
      </x:c>
      <x:c r="F296" s="9" t="str">
        <x:v>Replaceable cap candidate over a selected protruding part.</x:v>
      </x:c>
      <x:c r="G296" s="9" t="str">
        <x:v>Legger fitment unresolved</x:v>
      </x:c>
      <x:c r="H296" s="9" t="str">
        <x:v>Legger attachment / replacement intended; physical cargo policy unchanged</x:v>
      </x:c>
      <x:c r="I296" s="13"/>
      <x:c r="J296" s="15"/>
      <x:c r="K296" s="9" t="str">
        <x:v>Local craft, salvage or specialist trade; exact route TBD</x:v>
      </x:c>
      <x:c r="L296" s="9" t="str">
        <x:v>No recipe authored. Reuse existing iron stock, biological materials, ceramic craft, lubricant and ancient-material families where appropriate.</x:v>
      </x:c>
      <x:c r="M296" s="9" t="str">
        <x:v>Not implemented</x:v>
      </x:c>
      <x:c r="N296" s="9" t="str">
        <x:v>Damage localization, shell grade and replacement behavior remain proposed.</x:v>
      </x:c>
      <x:c r="O296" s="17"/>
      <x:c r="P296" s="17"/>
      <x:c r="Q296" s="17"/>
      <x:c r="R296" s="17"/>
      <x:c r="S296" s="17"/>
      <x:c r="T296" s="9" t="str">
        <x:v>Brainstorming candidate. Geometry, cost, mass, mounting, carrying and replacement behavior remain open. Part belongs to a finite physical companion.</x:v>
      </x:c>
      <x:c r="U296" s="11" t="str">
        <x:v>legger; leger; companion replacement part</x:v>
      </x:c>
      <x:c r="V296" s="9" t="str">
        <x:v>Author Legger slings/chassis/replacement/iron/ancient-armor brainstorming October 14, 2026; Docs/WORLD_BASIS.md#the-legger; specific item proposal.</x:v>
      </x:c>
      <x:c r="W296" s="4" t="str">
        <x:v>Armor</x:v>
      </x:c>
      <x:c r="X296" s="4" t="str">
        <x:v>Finished item</x:v>
      </x:c>
      <x:c r="Y296" s="4" t="str">
        <x:v>Manufactured / unresolved</x:v>
      </x:c>
      <x:c r="Z296" s="4" t="str">
        <x:v>Protection</x:v>
      </x:c>
      <x:c r="AA296" s="4" t="str">
        <x:v>Shell / chitin</x:v>
      </x:c>
      <x:c r="AB296" s="4" t="str">
        <x:v>Solid part</x:v>
      </x:c>
      <x:c r="AC296" s="4" t="str">
        <x:v>Proposal</x:v>
      </x:c>
      <x:c r="AD296" s="4" t="str">
        <x:f>LOWER(A296&amp;"; "&amp;B296&amp;"; "&amp;C296&amp;"; "&amp;D296&amp;"; "&amp;W296&amp;"; "&amp;X296&amp;"; "&amp;Y296&amp;"; "&amp;Z296&amp;"; "&amp;AA296&amp;"; "&amp;AB296&amp;"; "&amp;AC296&amp;"; "&amp;U296)</x:f>
        <x:v>proposal.legger.impact_cap; sacrificial impact cap; equipment; legger armor; armor; finished item; manufactured / unresolved; protection; shell / chitin; solid part; proposal; legger; leger; companion replacement part</x:v>
      </x:c>
      <x:c r="AE296" s="4" t="str">
        <x:v>Specific parts and protective properties remain proposals; ancient-material scarcity is established author direction.</x:v>
      </x:c>
    </x:row>
    <x:row r="297" ht="115" customHeight="1">
      <x:c r="A297" s="9" t="str">
        <x:v>proposal.legger.fragment_liner</x:v>
      </x:c>
      <x:c r="B297" s="9" t="str">
        <x:v>Pressed-husk fragment liner</x:v>
      </x:c>
      <x:c r="C297" s="9" t="str">
        <x:v>Equipment</x:v>
      </x:c>
      <x:c r="D297" s="9" t="str">
        <x:v>Legger armor</x:v>
      </x:c>
      <x:c r="E297" s="9" t="str">
        <x:v>New proposal</x:v>
      </x:c>
      <x:c r="F297" s="9" t="str">
        <x:v>Scarce pressed-fiber backing proposed inside a selected guard.</x:v>
      </x:c>
      <x:c r="G297" s="9" t="str">
        <x:v>Legger fitment unresolved</x:v>
      </x:c>
      <x:c r="H297" s="9" t="str">
        <x:v>Legger attachment / replacement intended; physical cargo policy unchanged</x:v>
      </x:c>
      <x:c r="I297" s="13"/>
      <x:c r="J297" s="15"/>
      <x:c r="K297" s="9" t="str">
        <x:v>Local craft, salvage or specialist trade; exact route TBD</x:v>
      </x:c>
      <x:c r="L297" s="9" t="str">
        <x:v>No recipe authored. Reuse existing iron stock, biological materials, ceramic craft, lubricant and ancient-material families where appropriate.</x:v>
      </x:c>
      <x:c r="M297" s="9" t="str">
        <x:v>Not implemented</x:v>
      </x:c>
      <x:c r="N297" s="9" t="str">
        <x:v>Fragment retention is a research goal, not proven ballistic protection; difficult textile processing still applies.</x:v>
      </x:c>
      <x:c r="O297" s="17"/>
      <x:c r="P297" s="17"/>
      <x:c r="Q297" s="17"/>
      <x:c r="R297" s="17"/>
      <x:c r="S297" s="17"/>
      <x:c r="T297" s="9" t="str">
        <x:v>Brainstorming candidate. Geometry, cost, mass, mounting, carrying and replacement behavior remain open. Part belongs to a finite physical companion.</x:v>
      </x:c>
      <x:c r="U297" s="11" t="str">
        <x:v>legger; leger; companion replacement part</x:v>
      </x:c>
      <x:c r="V297" s="9" t="str">
        <x:v>Author Legger slings/chassis/replacement/iron/ancient-armor brainstorming October 14, 2026; Docs/WORLD_BASIS.md#the-legger; specific item proposal.</x:v>
      </x:c>
      <x:c r="W297" s="4" t="str">
        <x:v>Armor</x:v>
      </x:c>
      <x:c r="X297" s="4" t="str">
        <x:v>Finished item</x:v>
      </x:c>
      <x:c r="Y297" s="4" t="str">
        <x:v>Manufactured / unresolved</x:v>
      </x:c>
      <x:c r="Z297" s="4" t="str">
        <x:v>Protection</x:v>
      </x:c>
      <x:c r="AA297" s="4" t="str">
        <x:v>Husk fiber</x:v>
      </x:c>
      <x:c r="AB297" s="4" t="str">
        <x:v>Panel</x:v>
      </x:c>
      <x:c r="AC297" s="4" t="str">
        <x:v>Proposal</x:v>
      </x:c>
      <x:c r="AD297" s="4" t="str">
        <x:f>LOWER(A297&amp;"; "&amp;B297&amp;"; "&amp;C297&amp;"; "&amp;D297&amp;"; "&amp;W297&amp;"; "&amp;X297&amp;"; "&amp;Y297&amp;"; "&amp;Z297&amp;"; "&amp;AA297&amp;"; "&amp;AB297&amp;"; "&amp;AC297&amp;"; "&amp;U297)</x:f>
        <x:v>proposal.legger.fragment_liner; pressed-husk fragment liner; equipment; legger armor; armor; finished item; manufactured / unresolved; protection; husk fiber; panel; proposal; legger; leger; companion replacement part</x:v>
      </x:c>
      <x:c r="AE297" s="4" t="str">
        <x:v>Specific parts and protective properties remain proposals; ancient-material scarcity is established author direction.</x:v>
      </x:c>
    </x:row>
    <x:row r="298" ht="115" customHeight="1">
      <x:c r="A298" s="9" t="str">
        <x:v>proposal.legger.guard_hinge</x:v>
      </x:c>
      <x:c r="B298" s="9" t="str">
        <x:v>Armor-guard hinge assembly</x:v>
      </x:c>
      <x:c r="C298" s="9" t="str">
        <x:v>Crafting components</x:v>
      </x:c>
      <x:c r="D298" s="9" t="str">
        <x:v>Legger armor</x:v>
      </x:c>
      <x:c r="E298" s="9" t="str">
        <x:v>New proposal</x:v>
      </x:c>
      <x:c r="F298" s="9" t="str">
        <x:v>Hinge/retainer unit candidate for an articulated protective panel.</x:v>
      </x:c>
      <x:c r="G298" s="9" t="str">
        <x:v>Legger fitment unresolved</x:v>
      </x:c>
      <x:c r="H298" s="9" t="str">
        <x:v>Legger attachment / replacement intended; physical cargo policy unchanged</x:v>
      </x:c>
      <x:c r="I298" s="13"/>
      <x:c r="J298" s="15"/>
      <x:c r="K298" s="9" t="str">
        <x:v>Local craft, salvage or specialist trade; exact route TBD</x:v>
      </x:c>
      <x:c r="L298" s="9" t="str">
        <x:v>No recipe authored. Reuse existing iron stock, biological materials, ceramic craft, lubricant and ancient-material families where appropriate.</x:v>
      </x:c>
      <x:c r="M298" s="9" t="str">
        <x:v>Not implemented</x:v>
      </x:c>
      <x:c r="N298" s="9" t="str">
        <x:v>Different from the joint guard itself; geometry and durability TBD.</x:v>
      </x:c>
      <x:c r="O298" s="17"/>
      <x:c r="P298" s="17"/>
      <x:c r="Q298" s="17"/>
      <x:c r="R298" s="17"/>
      <x:c r="S298" s="17"/>
      <x:c r="T298" s="9" t="str">
        <x:v>Brainstorming candidate. Geometry, cost, mass, mounting, carrying and replacement behavior remain open. Part belongs to a finite physical companion.</x:v>
      </x:c>
      <x:c r="U298" s="11" t="str">
        <x:v>equipment repair; legger; leger; companion replacement part</x:v>
      </x:c>
      <x:c r="V298" s="9" t="str">
        <x:v>Author Legger slings/chassis/replacement/iron/ancient-armor brainstorming October 14, 2026; Docs/WORLD_BASIS.md#the-legger; specific item proposal.</x:v>
      </x:c>
      <x:c r="W298" s="4" t="str">
        <x:v>Crafting component</x:v>
      </x:c>
      <x:c r="X298" s="4" t="str">
        <x:v>Processed intermediate</x:v>
      </x:c>
      <x:c r="Y298" s="4" t="str">
        <x:v>Manufactured / unresolved</x:v>
      </x:c>
      <x:c r="Z298" s="4" t="str">
        <x:v>Equipment mounting</x:v>
      </x:c>
      <x:c r="AA298" s="4" t="str">
        <x:v>Metal</x:v>
      </x:c>
      <x:c r="AB298" s="4" t="str">
        <x:v>Assembly</x:v>
      </x:c>
      <x:c r="AC298" s="4" t="str">
        <x:v>Proposal</x:v>
      </x:c>
      <x:c r="AD298" s="4" t="str">
        <x:f>LOWER(A298&amp;"; "&amp;B298&amp;"; "&amp;C298&amp;"; "&amp;D298&amp;"; "&amp;W298&amp;"; "&amp;X298&amp;"; "&amp;Y298&amp;"; "&amp;Z298&amp;"; "&amp;AA298&amp;"; "&amp;AB298&amp;"; "&amp;AC298&amp;"; "&amp;U298)</x:f>
        <x:v>proposal.legger.guard_hinge; armor-guard hinge assembly; crafting components; legger armor; crafting component; processed intermediate; manufactured / unresolved; equipment mounting; metal; assembly; proposal; equipment repair; legger; leger; companion replacement part</x:v>
      </x:c>
      <x:c r="AE298" s="4" t="str">
        <x:v>Specific parts and protective properties remain proposals; ancient-material scarcity is established author direction.</x:v>
      </x:c>
    </x:row>
    <x:row r="299" ht="115" customHeight="1">
      <x:c r="A299" s="9" t="str">
        <x:v>proposal.legger.plasteel_collar</x:v>
      </x:c>
      <x:c r="B299" s="9" t="str">
        <x:v>Ancient plasteel joint collar</x:v>
      </x:c>
      <x:c r="C299" s="9" t="str">
        <x:v>Crafting components</x:v>
      </x:c>
      <x:c r="D299" s="9" t="str">
        <x:v>Legger ancient replacement</x:v>
      </x:c>
      <x:c r="E299" s="9" t="str">
        <x:v>New proposal</x:v>
      </x:c>
      <x:c r="F299" s="9" t="str">
        <x:v>Recovered shaped collar considered for an appropriate joint housing.</x:v>
      </x:c>
      <x:c r="G299" s="9" t="str">
        <x:v>Legger fitment unresolved</x:v>
      </x:c>
      <x:c r="H299" s="9" t="str">
        <x:v>Legger attachment / replacement intended; physical cargo policy unchanged</x:v>
      </x:c>
      <x:c r="I299" s="13"/>
      <x:c r="J299" s="15"/>
      <x:c r="K299" s="9" t="str">
        <x:v>Extremely rare recovered technology; fitting and recovery method TBD</x:v>
      </x:c>
      <x:c r="L299" s="9" t="str">
        <x:v>No recipe authored. Reuse existing iron stock, biological materials, ceramic craft, lubricant and ancient-material families where appropriate.</x:v>
      </x:c>
      <x:c r="M299" s="9" t="str">
        <x:v>Not implemented</x:v>
      </x:c>
      <x:c r="N299" s="9" t="str">
        <x:v>Extremely rare; interfaces, residual condition and rework capability unknown.</x:v>
      </x:c>
      <x:c r="O299" s="17" t="str">
        <x:v>Extremely rare</x:v>
      </x:c>
      <x:c r="P299" s="17"/>
      <x:c r="Q299" s="17"/>
      <x:c r="R299" s="17"/>
      <x:c r="S299" s="17"/>
      <x:c r="T299" s="9" t="str">
        <x:v>Brainstorming candidate. Geometry, cost, mass, mounting, carrying and replacement behavior remain open. Part belongs to a finite physical companion.</x:v>
      </x:c>
      <x:c r="U299" s="11" t="str">
        <x:v>legger; leger; companion replacement part; ancient salvage plasteel nanotube ballistic</x:v>
      </x:c>
      <x:c r="V299" s="9" t="str">
        <x:v>Author Legger slings/chassis/replacement/iron/ancient-armor brainstorming October 14, 2026; Docs/WORLD_BASIS.md#the-legger; specific item proposal.</x:v>
      </x:c>
      <x:c r="W299" s="4" t="str">
        <x:v>Crafting component</x:v>
      </x:c>
      <x:c r="X299" s="4" t="str">
        <x:v>Processed intermediate</x:v>
      </x:c>
      <x:c r="Y299" s="4" t="str">
        <x:v>Ancient technology</x:v>
      </x:c>
      <x:c r="Z299" s="4" t="str">
        <x:v>Equipment repair</x:v>
      </x:c>
      <x:c r="AA299" s="4" t="str">
        <x:v>Ancient composite</x:v>
      </x:c>
      <x:c r="AB299" s="4" t="str">
        <x:v>Solid part</x:v>
      </x:c>
      <x:c r="AC299" s="4" t="str">
        <x:v>Proposal</x:v>
      </x:c>
      <x:c r="AD299" s="4" t="str">
        <x:f>LOWER(A299&amp;"; "&amp;B299&amp;"; "&amp;C299&amp;"; "&amp;D299&amp;"; "&amp;W299&amp;"; "&amp;X299&amp;"; "&amp;Y299&amp;"; "&amp;Z299&amp;"; "&amp;AA299&amp;"; "&amp;AB299&amp;"; "&amp;AC299&amp;"; "&amp;U299)</x:f>
        <x:v>proposal.legger.plasteel_collar; ancient plasteel joint collar; crafting components; legger ancient replacement; crafting component; processed intermediate; ancient technology; equipment repair; ancient composite; solid part; proposal; legger; leger; companion replacement part; ancient salvage plasteel nanotube ballistic</x:v>
      </x:c>
      <x:c r="AE299" s="4" t="str">
        <x:v>Specific parts and protective properties remain proposals; ancient-material scarcity is established author direction.</x:v>
      </x:c>
    </x:row>
    <x:row r="300" ht="115" customHeight="1">
      <x:c r="A300" s="9" t="str">
        <x:v>proposal.legger.tension_member</x:v>
      </x:c>
      <x:c r="B300" s="9" t="str">
        <x:v>Ancient nanocarbon tension member</x:v>
      </x:c>
      <x:c r="C300" s="9" t="str">
        <x:v>Crafting components</x:v>
      </x:c>
      <x:c r="D300" s="9" t="str">
        <x:v>Legger ancient replacement</x:v>
      </x:c>
      <x:c r="E300" s="9" t="str">
        <x:v>New proposal</x:v>
      </x:c>
      <x:c r="F300" s="9" t="str">
        <x:v>Recovered fiber/composite member considered for a selected tensile linkage.</x:v>
      </x:c>
      <x:c r="G300" s="9" t="str">
        <x:v>Legger fitment unresolved</x:v>
      </x:c>
      <x:c r="H300" s="9" t="str">
        <x:v>Legger attachment / replacement intended; physical cargo policy unchanged</x:v>
      </x:c>
      <x:c r="I300" s="13"/>
      <x:c r="J300" s="15"/>
      <x:c r="K300" s="9" t="str">
        <x:v>Extremely rare recovered technology; fitting and recovery method TBD</x:v>
      </x:c>
      <x:c r="L300" s="9" t="str">
        <x:v>No recipe authored. Reuse existing iron stock, biological materials, ceramic craft, lubricant and ancient-material families where appropriate.</x:v>
      </x:c>
      <x:c r="M300" s="9" t="str">
        <x:v>Not implemented</x:v>
      </x:c>
      <x:c r="N300" s="9" t="str">
        <x:v>Extremely rare; term describes intended structural role, not confirmed strength or active muscle behavior.</x:v>
      </x:c>
      <x:c r="O300" s="17" t="str">
        <x:v>Extremely rare</x:v>
      </x:c>
      <x:c r="P300" s="17"/>
      <x:c r="Q300" s="17"/>
      <x:c r="R300" s="17"/>
      <x:c r="S300" s="17"/>
      <x:c r="T300" s="9" t="str">
        <x:v>Brainstorming candidate. Geometry, cost, mass, mounting, carrying and replacement behavior remain open. Part belongs to a finite physical companion.</x:v>
      </x:c>
      <x:c r="U300" s="11" t="str">
        <x:v>legger; leger; companion replacement part; ancient salvage plasteel nanotube ballistic</x:v>
      </x:c>
      <x:c r="V300" s="9" t="str">
        <x:v>Author Legger slings/chassis/replacement/iron/ancient-armor brainstorming October 14, 2026; Docs/WORLD_BASIS.md#the-legger; specific item proposal.</x:v>
      </x:c>
      <x:c r="W300" s="4" t="str">
        <x:v>Crafting component</x:v>
      </x:c>
      <x:c r="X300" s="4" t="str">
        <x:v>Processed intermediate</x:v>
      </x:c>
      <x:c r="Y300" s="4" t="str">
        <x:v>Ancient technology</x:v>
      </x:c>
      <x:c r="Z300" s="4" t="str">
        <x:v>Equipment repair</x:v>
      </x:c>
      <x:c r="AA300" s="4" t="str">
        <x:v>Ancient composite</x:v>
      </x:c>
      <x:c r="AB300" s="4" t="str">
        <x:v>Solid part</x:v>
      </x:c>
      <x:c r="AC300" s="4" t="str">
        <x:v>Proposal</x:v>
      </x:c>
      <x:c r="AD300" s="4" t="str">
        <x:f>LOWER(A300&amp;"; "&amp;B300&amp;"; "&amp;C300&amp;"; "&amp;D300&amp;"; "&amp;W300&amp;"; "&amp;X300&amp;"; "&amp;Y300&amp;"; "&amp;Z300&amp;"; "&amp;AA300&amp;"; "&amp;AB300&amp;"; "&amp;AC300&amp;"; "&amp;U300)</x:f>
        <x:v>proposal.legger.tension_member; ancient nanocarbon tension member; crafting components; legger ancient replacement; crafting component; processed intermediate; ancient technology; equipment repair; ancient composite; solid part; proposal; legger; leger; companion replacement part; ancient salvage plasteel nanotube ballistic</x:v>
      </x:c>
      <x:c r="AE300" s="4" t="str">
        <x:v>Specific parts and protective properties remain proposals; ancient-material scarcity is established author direction.</x:v>
      </x:c>
    </x:row>
    <x:row r="301" ht="115" customHeight="1">
      <x:c r="A301" s="9" t="str">
        <x:v>proposal.legger.friction_insert</x:v>
      </x:c>
      <x:c r="B301" s="9" t="str">
        <x:v>Ancient friction-interface insert</x:v>
      </x:c>
      <x:c r="C301" s="9" t="str">
        <x:v>Crafting components</x:v>
      </x:c>
      <x:c r="D301" s="9" t="str">
        <x:v>Legger ancient replacement</x:v>
      </x:c>
      <x:c r="E301" s="9" t="str">
        <x:v>New proposal</x:v>
      </x:c>
      <x:c r="F301" s="9" t="str">
        <x:v>Recovered contact insert considered for a matched wear interface.</x:v>
      </x:c>
      <x:c r="G301" s="9" t="str">
        <x:v>Legger fitment unresolved</x:v>
      </x:c>
      <x:c r="H301" s="9" t="str">
        <x:v>Legger attachment / replacement intended; physical cargo policy unchanged</x:v>
      </x:c>
      <x:c r="I301" s="13"/>
      <x:c r="J301" s="15"/>
      <x:c r="K301" s="9" t="str">
        <x:v>Extremely rare recovered technology; fitting and recovery method TBD</x:v>
      </x:c>
      <x:c r="L301" s="9" t="str">
        <x:v>No recipe authored. Reuse existing iron stock, biological materials, ceramic craft, lubricant and ancient-material families where appropriate.</x:v>
      </x:c>
      <x:c r="M301" s="9" t="str">
        <x:v>Not implemented</x:v>
      </x:c>
      <x:c r="N301" s="9" t="str">
        <x:v>Extremely rare; composition, remaining life and lubricant requirements unknown.</x:v>
      </x:c>
      <x:c r="O301" s="17" t="str">
        <x:v>Extremely rare</x:v>
      </x:c>
      <x:c r="P301" s="17"/>
      <x:c r="Q301" s="17"/>
      <x:c r="R301" s="17"/>
      <x:c r="S301" s="17"/>
      <x:c r="T301" s="9" t="str">
        <x:v>Brainstorming candidate. Geometry, cost, mass, mounting, carrying and replacement behavior remain open. Part belongs to a finite physical companion.</x:v>
      </x:c>
      <x:c r="U301" s="11" t="str">
        <x:v>legger; leger; companion replacement part; ancient salvage plasteel nanotube ballistic</x:v>
      </x:c>
      <x:c r="V301" s="9" t="str">
        <x:v>Author Legger slings/chassis/replacement/iron/ancient-armor brainstorming October 14, 2026; Docs/WORLD_BASIS.md#the-legger; specific item proposal.</x:v>
      </x:c>
      <x:c r="W301" s="4" t="str">
        <x:v>Crafting component</x:v>
      </x:c>
      <x:c r="X301" s="4" t="str">
        <x:v>Processed intermediate</x:v>
      </x:c>
      <x:c r="Y301" s="4" t="str">
        <x:v>Ancient technology</x:v>
      </x:c>
      <x:c r="Z301" s="4" t="str">
        <x:v>Equipment repair</x:v>
      </x:c>
      <x:c r="AA301" s="4" t="str">
        <x:v>Unresolved</x:v>
      </x:c>
      <x:c r="AB301" s="4" t="str">
        <x:v>Solid part</x:v>
      </x:c>
      <x:c r="AC301" s="4" t="str">
        <x:v>Proposal</x:v>
      </x:c>
      <x:c r="AD301" s="4" t="str">
        <x:f>LOWER(A301&amp;"; "&amp;B301&amp;"; "&amp;C301&amp;"; "&amp;D301&amp;"; "&amp;W301&amp;"; "&amp;X301&amp;"; "&amp;Y301&amp;"; "&amp;Z301&amp;"; "&amp;AA301&amp;"; "&amp;AB301&amp;"; "&amp;AC301&amp;"; "&amp;U301)</x:f>
        <x:v>proposal.legger.friction_insert; ancient friction-interface insert; crafting components; legger ancient replacement; crafting component; processed intermediate; ancient technology; equipment repair; unresolved; solid part; proposal; legger; leger; companion replacement part; ancient salvage plasteel nanotube ballistic</x:v>
      </x:c>
      <x:c r="AE301" s="4" t="str">
        <x:v>Specific parts and protective properties remain proposals; ancient-material scarcity is established author direction.</x:v>
      </x:c>
    </x:row>
    <x:row r="302" ht="115" customHeight="1">
      <x:c r="A302" s="9" t="str">
        <x:v>proposal.legger.ceramic_race</x:v>
      </x:c>
      <x:c r="B302" s="9" t="str">
        <x:v>Ancient precision ceramic bearing race</x:v>
      </x:c>
      <x:c r="C302" s="9" t="str">
        <x:v>Crafting components</x:v>
      </x:c>
      <x:c r="D302" s="9" t="str">
        <x:v>Legger ancient replacement</x:v>
      </x:c>
      <x:c r="E302" s="9" t="str">
        <x:v>New proposal</x:v>
      </x:c>
      <x:c r="F302" s="9" t="str">
        <x:v>Recovered high-precision ceramic race candidate within a compatible bearing.</x:v>
      </x:c>
      <x:c r="G302" s="9" t="str">
        <x:v>Legger fitment unresolved</x:v>
      </x:c>
      <x:c r="H302" s="9" t="str">
        <x:v>Legger attachment / replacement intended; physical cargo policy unchanged</x:v>
      </x:c>
      <x:c r="I302" s="13"/>
      <x:c r="J302" s="15"/>
      <x:c r="K302" s="9" t="str">
        <x:v>Extremely rare recovered technology; fitting and recovery method TBD</x:v>
      </x:c>
      <x:c r="L302" s="9" t="str">
        <x:v>No recipe authored. Reuse existing iron stock, biological materials, ceramic craft, lubricant and ancient-material families where appropriate.</x:v>
      </x:c>
      <x:c r="M302" s="9" t="str">
        <x:v>Not implemented</x:v>
      </x:c>
      <x:c r="N302" s="9" t="str">
        <x:v>Extremely rare because of its ancient fabrication; ordinary modern ceramic parts are a separate family.</x:v>
      </x:c>
      <x:c r="O302" s="17" t="str">
        <x:v>Extremely rare</x:v>
      </x:c>
      <x:c r="P302" s="17"/>
      <x:c r="Q302" s="17"/>
      <x:c r="R302" s="17"/>
      <x:c r="S302" s="17"/>
      <x:c r="T302" s="9" t="str">
        <x:v>Brainstorming candidate. Geometry, cost, mass, mounting, carrying and replacement behavior remain open. Part belongs to a finite physical companion.</x:v>
      </x:c>
      <x:c r="U302" s="11" t="str">
        <x:v>legger; leger; companion replacement part; ancient salvage plasteel nanotube ballistic</x:v>
      </x:c>
      <x:c r="V302" s="9" t="str">
        <x:v>Author Legger slings/chassis/replacement/iron/ancient-armor brainstorming October 14, 2026; Docs/WORLD_BASIS.md#the-legger; specific item proposal.</x:v>
      </x:c>
      <x:c r="W302" s="4" t="str">
        <x:v>Crafting component</x:v>
      </x:c>
      <x:c r="X302" s="4" t="str">
        <x:v>Processed intermediate</x:v>
      </x:c>
      <x:c r="Y302" s="4" t="str">
        <x:v>Ancient technology</x:v>
      </x:c>
      <x:c r="Z302" s="4" t="str">
        <x:v>Equipment repair</x:v>
      </x:c>
      <x:c r="AA302" s="4" t="str">
        <x:v>Ceramic</x:v>
      </x:c>
      <x:c r="AB302" s="4" t="str">
        <x:v>Solid part</x:v>
      </x:c>
      <x:c r="AC302" s="4" t="str">
        <x:v>Proposal</x:v>
      </x:c>
      <x:c r="AD302" s="4" t="str">
        <x:f>LOWER(A302&amp;"; "&amp;B302&amp;"; "&amp;C302&amp;"; "&amp;D302&amp;"; "&amp;W302&amp;"; "&amp;X302&amp;"; "&amp;Y302&amp;"; "&amp;Z302&amp;"; "&amp;AA302&amp;"; "&amp;AB302&amp;"; "&amp;AC302&amp;"; "&amp;U302)</x:f>
        <x:v>proposal.legger.ceramic_race; ancient precision ceramic bearing race; crafting components; legger ancient replacement; crafting component; processed intermediate; ancient technology; equipment repair; ceramic; solid part; proposal; legger; leger; companion replacement part; ancient salvage plasteel nanotube ballistic</x:v>
      </x:c>
      <x:c r="AE302" s="4" t="str">
        <x:v>Specific parts and protective properties remain proposals; ancient-material scarcity is established author direction.</x:v>
      </x:c>
    </x:row>
    <x:row r="303" ht="115" customHeight="1">
      <x:c r="A303" s="9" t="str">
        <x:v>proposal.legger.impact_lattice</x:v>
      </x:c>
      <x:c r="B303" s="9" t="str">
        <x:v>Ancient impact-lattice backing</x:v>
      </x:c>
      <x:c r="C303" s="9" t="str">
        <x:v>Equipment</x:v>
      </x:c>
      <x:c r="D303" s="9" t="str">
        <x:v>Legger ancient replacement</x:v>
      </x:c>
      <x:c r="E303" s="9" t="str">
        <x:v>New proposal</x:v>
      </x:c>
      <x:c r="F303" s="9" t="str">
        <x:v>Recovered structured backing considered for a composite guard.</x:v>
      </x:c>
      <x:c r="G303" s="9" t="str">
        <x:v>Legger fitment unresolved</x:v>
      </x:c>
      <x:c r="H303" s="9" t="str">
        <x:v>Legger attachment / replacement intended; physical cargo policy unchanged</x:v>
      </x:c>
      <x:c r="I303" s="13"/>
      <x:c r="J303" s="15"/>
      <x:c r="K303" s="9" t="str">
        <x:v>Extremely rare recovered technology; fitting and recovery method TBD</x:v>
      </x:c>
      <x:c r="L303" s="9" t="str">
        <x:v>No recipe authored. Reuse existing iron stock, biological materials, ceramic craft, lubricant and ancient-material families where appropriate.</x:v>
      </x:c>
      <x:c r="M303" s="9" t="str">
        <x:v>Not implemented</x:v>
      </x:c>
      <x:c r="N303" s="9" t="str">
        <x:v>Extremely rare; energy response, layer compatibility and protection behavior remain undefined.</x:v>
      </x:c>
      <x:c r="O303" s="17" t="str">
        <x:v>Extremely rare</x:v>
      </x:c>
      <x:c r="P303" s="17"/>
      <x:c r="Q303" s="17"/>
      <x:c r="R303" s="17"/>
      <x:c r="S303" s="17"/>
      <x:c r="T303" s="9" t="str">
        <x:v>Brainstorming candidate. Geometry, cost, mass, mounting, carrying and replacement behavior remain open. Part belongs to a finite physical companion.</x:v>
      </x:c>
      <x:c r="U303" s="11" t="str">
        <x:v>legger; leger; companion replacement part; ancient salvage plasteel nanotube ballistic</x:v>
      </x:c>
      <x:c r="V303" s="9" t="str">
        <x:v>Author Legger slings/chassis/replacement/iron/ancient-armor brainstorming October 14, 2026; Docs/WORLD_BASIS.md#the-legger; specific item proposal.</x:v>
      </x:c>
      <x:c r="W303" s="4" t="str">
        <x:v>Armor</x:v>
      </x:c>
      <x:c r="X303" s="4" t="str">
        <x:v>Finished item</x:v>
      </x:c>
      <x:c r="Y303" s="4" t="str">
        <x:v>Ancient technology</x:v>
      </x:c>
      <x:c r="Z303" s="4" t="str">
        <x:v>Protection</x:v>
      </x:c>
      <x:c r="AA303" s="4" t="str">
        <x:v>Ancient composite</x:v>
      </x:c>
      <x:c r="AB303" s="4" t="str">
        <x:v>Panel</x:v>
      </x:c>
      <x:c r="AC303" s="4" t="str">
        <x:v>Proposal</x:v>
      </x:c>
      <x:c r="AD303" s="4" t="str">
        <x:f>LOWER(A303&amp;"; "&amp;B303&amp;"; "&amp;C303&amp;"; "&amp;D303&amp;"; "&amp;W303&amp;"; "&amp;X303&amp;"; "&amp;Y303&amp;"; "&amp;Z303&amp;"; "&amp;AA303&amp;"; "&amp;AB303&amp;"; "&amp;AC303&amp;"; "&amp;U303)</x:f>
        <x:v>proposal.legger.impact_lattice; ancient impact-lattice backing; equipment; legger ancient replacement; armor; finished item; ancient technology; protection; ancient composite; panel; proposal; legger; leger; companion replacement part; ancient salvage plasteel nanotube ballistic</x:v>
      </x:c>
      <x:c r="AE303" s="4" t="str">
        <x:v>Specific parts and protective properties remain proposals; ancient-material scarcity is established author direction.</x:v>
      </x:c>
    </x:row>
    <x:row r="304" ht="115" customHeight="1">
      <x:c r="A304" s="9" t="str">
        <x:v>proposal.legger.interface_adapter</x:v>
      </x:c>
      <x:c r="B304" s="9" t="str">
        <x:v>Ancient module interface adapter</x:v>
      </x:c>
      <x:c r="C304" s="9" t="str">
        <x:v>Crafting components</x:v>
      </x:c>
      <x:c r="D304" s="9" t="str">
        <x:v>Legger ancient replacement</x:v>
      </x:c>
      <x:c r="E304" s="9" t="str">
        <x:v>New proposal</x:v>
      </x:c>
      <x:c r="F304" s="9" t="str">
        <x:v>Recovered adapter candidate joining one identified ancient module to a matching host.</x:v>
      </x:c>
      <x:c r="G304" s="9" t="str">
        <x:v>Legger fitment unresolved</x:v>
      </x:c>
      <x:c r="H304" s="9" t="str">
        <x:v>Legger attachment / replacement intended; physical cargo policy unchanged</x:v>
      </x:c>
      <x:c r="I304" s="13"/>
      <x:c r="J304" s="15"/>
      <x:c r="K304" s="9" t="str">
        <x:v>Extremely rare recovered technology; fitting and recovery method TBD</x:v>
      </x:c>
      <x:c r="L304" s="9" t="str">
        <x:v>No recipe authored. Reuse existing iron stock, biological materials, ceramic craft, lubricant and ancient-material families where appropriate.</x:v>
      </x:c>
      <x:c r="M304" s="9" t="str">
        <x:v>Not implemented</x:v>
      </x:c>
      <x:c r="N304" s="9" t="str">
        <x:v>Extremely rare and interface-specific; does not unlock universal ancient-module compatibility.</x:v>
      </x:c>
      <x:c r="O304" s="17" t="str">
        <x:v>Extremely rare</x:v>
      </x:c>
      <x:c r="P304" s="17"/>
      <x:c r="Q304" s="17"/>
      <x:c r="R304" s="17"/>
      <x:c r="S304" s="17"/>
      <x:c r="T304" s="9" t="str">
        <x:v>Brainstorming candidate. Geometry, cost, mass, mounting, carrying and replacement behavior remain open. Part belongs to a finite physical companion.</x:v>
      </x:c>
      <x:c r="U304" s="11" t="str">
        <x:v>legger; leger; companion replacement part; ancient salvage plasteel nanotube ballistic</x:v>
      </x:c>
      <x:c r="V304" s="9" t="str">
        <x:v>Author Legger slings/chassis/replacement/iron/ancient-armor brainstorming October 14, 2026; Docs/WORLD_BASIS.md#the-legger; specific item proposal.</x:v>
      </x:c>
      <x:c r="W304" s="4" t="str">
        <x:v>Crafting component</x:v>
      </x:c>
      <x:c r="X304" s="4" t="str">
        <x:v>Processed intermediate</x:v>
      </x:c>
      <x:c r="Y304" s="4" t="str">
        <x:v>Ancient technology</x:v>
      </x:c>
      <x:c r="Z304" s="4" t="str">
        <x:v>Equipment mounting</x:v>
      </x:c>
      <x:c r="AA304" s="4" t="str">
        <x:v>Unresolved</x:v>
      </x:c>
      <x:c r="AB304" s="4" t="str">
        <x:v>Solid part</x:v>
      </x:c>
      <x:c r="AC304" s="4" t="str">
        <x:v>Proposal</x:v>
      </x:c>
      <x:c r="AD304" s="4" t="str">
        <x:f>LOWER(A304&amp;"; "&amp;B304&amp;"; "&amp;C304&amp;"; "&amp;D304&amp;"; "&amp;W304&amp;"; "&amp;X304&amp;"; "&amp;Y304&amp;"; "&amp;Z304&amp;"; "&amp;AA304&amp;"; "&amp;AB304&amp;"; "&amp;AC304&amp;"; "&amp;U304)</x:f>
        <x:v>proposal.legger.interface_adapter; ancient module interface adapter; crafting components; legger ancient replacement; crafting component; processed intermediate; ancient technology; equipment mounting; unresolved; solid part; proposal; legger; leger; companion replacement part; ancient salvage plasteel nanotube ballistic</x:v>
      </x:c>
      <x:c r="AE304" s="4" t="str">
        <x:v>Specific parts and protective properties remain proposals; ancient-material scarcity is established author direction.</x:v>
      </x:c>
    </x:row>
  </x:sheetData>
  <x:conditionalFormatting sqref="E6:E23">
    <x:cfRule type="containsText" dxfId="0" priority="1" operator="containsText" text="trial"/>
  </x:conditionalFormatting>
  <x:conditionalFormatting sqref="E24:E55">
    <x:cfRule type="containsText" dxfId="1" priority="2" operator="containsText" text="proposal"/>
  </x:conditionalFormatting>
  <x:conditionalFormatting sqref="E56:E74">
    <x:cfRule type="containsText" dxfId="2" priority="3" operator="containsText" text="proposal"/>
  </x:conditionalFormatting>
  <x:conditionalFormatting sqref="E84:E95">
    <x:cfRule type="containsText" dxfId="3" priority="4" operator="containsText" text="proposal"/>
  </x:conditionalFormatting>
  <x:dataValidations count="8">
    <x:dataValidation type="list" sqref="C6:C1005">
      <x:formula1>'Taxonomy'!$B$6:$B$14</x:formula1>
    </x:dataValidation>
    <x:dataValidation type="list" sqref="W6:W1005">
      <x:formula1>'Taxonomy'!$B$15:$B$38</x:formula1>
    </x:dataValidation>
    <x:dataValidation type="list" sqref="X6:X1005">
      <x:formula1>'Taxonomy'!$B$39:$B$47</x:formula1>
    </x:dataValidation>
    <x:dataValidation type="list" sqref="Y6:Y1005">
      <x:formula1>'Taxonomy'!$B$48:$B$55</x:formula1>
    </x:dataValidation>
    <x:dataValidation type="list" sqref="Z6:Z1005">
      <x:formula1>'Taxonomy'!$B$56:$B$128</x:formula1>
    </x:dataValidation>
    <x:dataValidation type="list" sqref="AA6:AA1005">
      <x:formula1>'Taxonomy'!$B$129:$B$159</x:formula1>
    </x:dataValidation>
    <x:dataValidation type="list" sqref="AB6:AB1005">
      <x:formula1>'Taxonomy'!$B$160:$B$179</x:formula1>
    </x:dataValidation>
    <x:dataValidation type="list" sqref="AC6:AC1005">
      <x:formula1>'Taxonomy'!$B$180:$B$184</x:formula1>
    </x:dataValidation>
  </x:dataValidations>
  <x:pageMargins left="0.7" right="0.7" top="0.75" bottom="0.75" header="0.3" footer="0.3"/>
  <x:tableParts count="1">
    <x:tablePart xmlns:r="http://schemas.openxmlformats.org/officeDocument/2006/relationships" r:id="R910c896bf9f54894"/>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t="str">
        <x:v>equipment.jacket</x:v>
      </x:c>
      <x:c r="B12" s="9" t="str">
        <x:v>Jacket</x:v>
      </x:c>
      <x:c r="C12" s="9" t="str">
        <x:v>Camp Loop trial</x:v>
      </x:c>
      <x:c r="D12" s="9" t="str">
        <x:v>Equipment</x:v>
      </x:c>
      <x:c r="E12" s="9" t="str">
        <x:v>Jacket</x:v>
      </x:c>
      <x:c r="F12" s="21" t="b">
        <x:v>0</x:v>
      </x:c>
      <x:c r="G12" s="9" t="str">
        <x:v>Either carrier</x:v>
      </x:c>
      <x:c r="H12" s="9" t="n">
        <x:v>1</x:v>
      </x:c>
      <x:c r="I12" s="9" t="n">
        <x:v>1</x:v>
      </x:c>
      <x:c r="J12" s="9" t="str">
        <x:v>Quick access</x:v>
      </x:c>
      <x:c r="K12" s="9" t="str">
        <x:v>Separate jacket equipment. No new protection or durability effect is enabled.</x:v>
      </x:c>
      <x:c r="L12" s="11"/>
      <x:c r="M12" s="9" t="str">
        <x:v>Assets/_Project/Settings/Items/CampLoopLoadout/Jacket.asset</x:v>
      </x:c>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6121a759c0274a56"/>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dcd5659b5a9e4e66"/>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row>
    <x:row r="6" ht="48" customHeight="1">
      <x:c r="A6" s="9" t="str">
        <x:v>Equipment</x:v>
      </x:c>
      <x:c r="B6" s="9" t="n">
        <x:f>COUNTIF(Items!$C$6:$C$1005,A6)</x:f>
        <x:v>70</x:v>
      </x:c>
      <x:c r="C6" s="9" t="str">
        <x:v>Existing gear plus armor, carriers, rare eyewear/headwear and very rare fashion families</x:v>
      </x:c>
      <x:c r="D6" s="9" t="str">
        <x:v>New equipment concepts have no implemented slots, effects or layering rules</x:v>
      </x:c>
      <x:c r="E6" s="4" t="str">
        <x:v>Primary category</x:v>
      </x:c>
    </x:row>
    <x:row r="7" ht="48" customHeight="1">
      <x:c r="A7" s="4" t="str">
        <x:v>Field supplies</x:v>
      </x:c>
      <x:c r="B7" s="4" t="n">
        <x:f>COUNTIF(Items!$C$6:$C$1005,A7)</x:f>
        <x:v>5</x:v>
      </x:c>
      <x:c r="C7" s="4" t="str">
        <x:v>Two battery states, pop-up camp, canister service kit and Legger service fasteners</x:v>
      </x:c>
      <x:c r="D7" s="4" t="str">
        <x:v>Counts follow Category, independent of implementation status.</x:v>
      </x:c>
      <x:c r="E7" s="4" t="str">
        <x:v>Primary category</x:v>
      </x:c>
    </x:row>
    <x:row r="8" ht="48" customHeight="1">
      <x:c r="A8" s="9" t="str">
        <x:v>Resources</x:v>
      </x:c>
      <x:c r="B8" s="9" t="n">
        <x:f>COUNTIF(Items!$C$6:$C$1005,A8)</x:f>
        <x:v>92</x:v>
      </x:c>
      <x:c r="C8" s="9" t="str">
        <x:v>Raw and processed minerals, fauna materials, fuels, gems and industrial chemistry</x:v>
      </x:c>
      <x:c r="D8" s="9" t="str">
        <x:v>Use type/stage/material/use filters to narrow this broad resource category.</x:v>
      </x:c>
      <x:c r="E8" s="4" t="str">
        <x:v>Primary category</x:v>
      </x:c>
    </x:row>
    <x:row r="9" ht="48" customHeight="1">
      <x:c r="A9" s="4" t="str">
        <x:v>Crafting components</x:v>
      </x:c>
      <x:c r="B9" s="4" t="n">
        <x:f>COUNTIF(Items!$C$6:$C$1005,A9)</x:f>
        <x:v>83</x:v>
      </x:c>
      <x:c r="C9" s="4" t="str">
        <x:v>Salvage, prepared materials, vessel parts, wind equipment parts and Legger replacement components</x:v>
      </x:c>
      <x:c r="D9" s="4" t="str">
        <x:v>Use Subtype for a family and Primary use or Item uses for its intended job.</x:v>
      </x:c>
      <x:c r="E9" s="4" t="str">
        <x:v>Primary category</x:v>
      </x:c>
    </x:row>
    <x:row r="10" ht="48" customHeight="1">
      <x:c r="A10" s="9" t="str">
        <x:v>Survival contents</x:v>
      </x:c>
      <x:c r="B10" s="9" t="str">
        <x:v>Not discrete items</x:v>
      </x:c>
      <x:c r="C10" s="9" t="str">
        <x:v>Living algae in its attached personal canister</x:v>
      </x:c>
      <x:c r="D10" s="9" t="str">
        <x:v>Do not create a duplicate algae stack</x:v>
      </x:c>
      <x:c r="E10" s="4" t="str">
        <x:v>Planning scope</x:v>
      </x:c>
    </x:row>
    <x:row r="11" ht="48" customHeight="1">
      <x:c r="A11" s="4" t="str">
        <x:v>Energy</x:v>
      </x:c>
      <x:c r="B11" s="4" t="str">
        <x:v>Not discrete items</x:v>
      </x:c>
      <x:c r="C11" s="4" t="str">
        <x:v>Arc Energy contained by charged batteries</x:v>
      </x:c>
      <x:c r="D11" s="4" t="str">
        <x:v>No separate energy inventory definition</x:v>
      </x:c>
      <x:c r="E11" s="4" t="str">
        <x:v>Planning scope</x:v>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row>
    <x:row r="13" ht="48" customHeight="1">
      <x:c r="A13" s="4" t="str">
        <x:v>Workstations and storage</x:v>
      </x:c>
      <x:c r="B13" s="4" t="str">
        <x:v>World objects</x:v>
      </x:c>
      <x:c r="C13" s="4" t="str">
        <x:v>Workbench, dust refinery, Ironstone sorter, camp chest</x:v>
      </x:c>
      <x:c r="D13" s="4" t="str">
        <x:v>Not portable inventory items or recipes for crafting stations</x:v>
      </x:c>
      <x:c r="E13" s="4" t="str">
        <x:v>Planning scope</x:v>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row>
    <x:row r="16" ht="70" customHeight="1">
      <x:c r="A16" s="41" t="str">
        <x:v>Containers</x:v>
      </x:c>
      <x:c r="B16" s="41" t="n">
        <x:f>COUNTIF(Items!$C$6:$C$1005,A16)</x:f>
        <x:v>17</x:v>
      </x:c>
      <x:c r="C16" s="41" t="str">
        <x:v>Items assigned to the broad Containers category, including tools/closures in the original vessel family</x:v>
      </x:c>
      <x:c r="D16" s="41" t="str">
        <x:v>For all vessels/cases across categories, filter Item type = Container or Carrier. Container concepts retains its original sixteen proposals.</x:v>
      </x:c>
      <x:c r="E16" s="4" t="str">
        <x:v>Primary category</x:v>
      </x:c>
    </x:row>
    <x:row r="17" ht="60" customHeight="1">
      <x:c r="A17" s="4" t="str">
        <x:v>Offensive weapons</x:v>
      </x:c>
      <x:c r="B17" s="4" t="n">
        <x:f>COUNTIFS(Items!$C$6:$C$1005,"Weapons",Items!$D$6:$D$1005,A17)</x:f>
        <x:v>0</x:v>
      </x:c>
      <x:c r="C17" s="4" t="str">
        <x:v>Reserved category; no named item added</x:v>
      </x:c>
      <x:c r="D17" s="4" t="str">
        <x:v>Specialized purpose and detailed brainstorming deferred</x:v>
      </x:c>
      <x:c r="E17" s="4" t="str">
        <x:v>Planning scope</x:v>
      </x:c>
    </x:row>
    <x:row r="18" ht="60" customHeight="1">
      <x:c r="A18" s="4" t="str">
        <x:v>Defensive weapons</x:v>
      </x:c>
      <x:c r="B18" s="4" t="n">
        <x:f>COUNTIFS(Items!$C$6:$C$1005,"Weapons",Items!$D$6:$D$1005,A18)</x:f>
        <x:v>0</x:v>
      </x:c>
      <x:c r="C18" s="4" t="str">
        <x:v>Reserved category; existing shield concept remains in Equipment</x:v>
      </x:c>
      <x:c r="D18" s="4" t="str">
        <x:v>No duplicate shield item or new defensive weapon added</x:v>
      </x:c>
      <x:c r="E18" s="4" t="str">
        <x:v>Planning scope</x:v>
      </x:c>
    </x:row>
    <x:row r="19" ht="60" customHeight="1">
      <x:c r="A19" s="4" t="str">
        <x:v>Traps</x:v>
      </x:c>
      <x:c r="B19" s="4" t="n">
        <x:f>COUNTIFS(Items!$C$6:$C$1005,"Weapons",Items!$D$6:$D$1005,A19)</x:f>
        <x:v>0</x:v>
      </x:c>
      <x:c r="C19" s="4" t="str">
        <x:v>Reserved category; no named trap added</x:v>
      </x:c>
      <x:c r="D19" s="4" t="str">
        <x:v>Targets, trigger, recovery and mechanics deferred</x:v>
      </x:c>
      <x:c r="E19" s="4" t="str">
        <x:v>Planning scope</x:v>
      </x:c>
    </x:row>
    <x:row r="20" ht="60" customHeight="1">
      <x:c r="A20" s="4" t="str">
        <x:v>Trip-ups</x:v>
      </x:c>
      <x:c r="B20" s="4" t="n">
        <x:f>COUNTIFS(Items!$C$6:$C$1005,"Weapons",Items!$D$6:$D$1005,A20)</x:f>
        <x:v>1</x:v>
      </x:c>
      <x:c r="C20" s="4" t="str">
        <x:v>Caltrops is the first named candidate</x:v>
      </x:c>
      <x:c r="D20" s="4" t="str">
        <x:v>No damage, recipe, deployment or target compatibility established</x:v>
      </x:c>
      <x:c r="E20" s="4" t="str">
        <x:v>Item family</x:v>
      </x:c>
    </x:row>
    <x:row r="21" ht="65" customHeight="1">
      <x:c r="A21" s="4" t="str">
        <x:v>Ancient material feedstocks</x:v>
      </x:c>
      <x:c r="B21" s="4" t="n">
        <x:f>COUNTIFS(Items!$C$6:$C$1005,"Resources",Items!$D$6:$D$1005,"Ancient manufactured material")</x:f>
        <x:v>3</x:v>
      </x:c>
      <x:c r="C21" s="4" t="str">
        <x:v>Carbon composites, nanocarbon materials, plasteels and related futuristic substances</x:v>
      </x:c>
      <x:c r="D21" s="4" t="str">
        <x:v>Extremely rare; source of material does not establish repeatable manufacture</x:v>
      </x:c>
      <x:c r="E21" s="4" t="str">
        <x:v>Item family</x:v>
      </x:c>
    </x:row>
    <x:row r="22" ht="75" customHeight="1">
      <x:c r="A22" s="4" t="str">
        <x:v>Fashion, hats and eyewear</x:v>
      </x:c>
      <x:c r="B22" s="4" t="n">
        <x:f>COUNTIF(Items!$D$6:$D$1005,"Specialist eyewear")+COUNTIF(Items!$D$6:$D$1005,"Eyewear")+COUNTIF(Items!$D$6:$D$1005,"Headwear")+COUNTIF(Items!$D$6:$D$1005,"Fashion garment")</x:f>
        <x:v>6</x:v>
      </x:c>
      <x:c r="C22" s="4" t="str">
        <x:v>Six rare eyewear/headwear and elaborate fashion families</x:v>
      </x:c>
      <x:c r="D22" s="4" t="str">
        <x:v>Elaborate fashion is very rare/expensive; everyday simple wraps and chainmail are a separate baseline.</x:v>
      </x:c>
      <x:c r="E22" s="4" t="str">
        <x:v>Item family</x:v>
      </x:c>
    </x:row>
    <x:row r="23" ht="75" customHeight="1">
      <x:c r="A23" s="4" t="str">
        <x:v>Gemstones</x:v>
      </x:c>
      <x:c r="B23" s="4" t="n">
        <x:f>COUNTIF(Items!$D$6:$D$1005,"Gemstone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row>
    <x:row r="24" ht="75" customHeight="1">
      <x:c r="A24" s="4" t="str">
        <x:v>Everyday clothing</x:v>
      </x:c>
      <x:c r="B24" s="4" t="n">
        <x:f>COUNTIF(Items!$D$6:$D$1005,"Everyday clothing")+COUNTIF(Items!$A$6:$A$1005,"proposal.gear.mail_shirt")</x:f>
        <x:v>2</x:v>
      </x:c>
      <x:c r="C24" s="4" t="str">
        <x:v>Simple wraps, metal chainmail and practical metal-based wear with minimal fur</x:v>
      </x:c>
      <x:c r="D24" s="4" t="str">
        <x:v>Chainmail already has an item-family entry; no duplicate mail item or cloth input added.</x:v>
      </x:c>
      <x:c r="E24" s="4" t="str">
        <x:v>Item family</x:v>
      </x:c>
    </x:row>
    <x:row r="25" ht="85" customHeight="1">
      <x:c r="A25" s="4" t="str">
        <x:v>Canister economy</x:v>
      </x:c>
      <x:c r="B25" s="4" t="n">
        <x:f>COUNTIF(Items!$D$6:$D$1005,"Canister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row>
    <x:row r="26" ht="85" customHeight="1">
      <x:c r="A26" s="4" t="str">
        <x:v>Megafauna wing materials</x:v>
      </x:c>
      <x:c r="B26" s="4" t="n">
        <x:f>COUNTIF(Items!$AA$6:$AA$1005,"Wing membrane")+COUNTIF(Items!$AA$6:$AA$1005,"Wing membrane and frame")</x:f>
        <x:v>4</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COUNTIF(Items!$D$6:$D$1005,"Religious")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COUNTIF(Items!$D$6:$D$1005,"Political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COUNTIF(Items!$D$6:$D$1005,"Ritual")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COUNTIF(Items!$D$6:$D$1005,"Everyday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COUNTIF(Items!$AA$6:$AA$1005,"Ceramic")+COUNTIF(Items!$AA$6:$AA$1005,"Ceramic feed mixture")+COUNTIF(Items!$AA$6:$AA$1005,"Ceramic and metal")</x:f>
        <x:v>35</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t="n">
        <x:f>COUNTIF(Items!$C$6:$C$1005,"Currency")</x:f>
        <x:v>1</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COUNTIF(Items!$D$6:$D$1005,"Special stone")+COUNTIF(Items!$D$6:$D$1005,"Ignition tool")+COUNTIF(Items!$D$6:$D$1005,"Fire fuel")+COUNTIF(Items!$D$6:$D$1005,"Cooking vessel")+COUNTIF(Items!$D$6:$D$1005,"Cooking tool")+COUNTIF(Items!$D$6:$D$1005,"Fire management")+COUNTIF(Items!$D$6:$D$1005,"Mineral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COUNTIF(Items!$D$6:$D$1005,"Lubricant intermediate")+COUNTIF(Items!$D$6:$D$1005,"Finished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COUNTIF(Items!$D$6:$D$1005,"Wind machine")+COUNTIF(Items!$D$6:$D$1005,"Wind sail material")+COUNTIF(Items!$D$6:$D$1005,"Wind traversal gear")+COUNTIF(Items!$D$6:$D$1005,"Wind sail component")+COUNTIF(Items!$D$6:$D$1005,"Dirtboard component")+COUNTIF(Items!$D$6:$D$1005,"Wind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COUNTIF(Items!$D$6:$D$1005,"Legger cargo rigging")+COUNTIF(Items!$D$6:$D$1005,"Legger chassis")+COUNTIF(Items!$D$6:$D$1005,"Legger mechanical parts")+COUNTIF(Items!$D$6:$D$1005,"Legger service parts")+COUNTIF(Items!$D$6:$D$1005,"Legger armor")+COUNTIF(Items!$D$6:$D$1005,"Legger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t="n">
        <x:f>COUNTIF(Items!$C$6:$C$1005,A37)</x:f>
        <x:v>1</x:v>
      </x:c>
      <x:c r="C37" s="4" t="str">
        <x:v>Weapon-category items; caltrops currently supplies this category</x:v>
      </x:c>
      <x:c r="D37" s="4" t="str">
        <x:v>Detailed offensive, defensive, trap and trip-up design remains open.</x:v>
      </x:c>
      <x:c r="E37" s="4" t="str">
        <x:v>Primary category</x:v>
      </x:c>
    </x:row>
    <x:row r="38" ht="85" customHeight="1">
      <x:c r="A38" s="4" t="str">
        <x:v>Cultural objects</x:v>
      </x:c>
      <x:c r="B38" s="4" t="n">
        <x:f>COUNTIF(Items!$C$6:$C$1005,A38)</x:f>
        <x:v>21</x:v>
      </x:c>
      <x:c r="C38" s="4" t="str">
        <x:v>Devotional, civic, ritual and ceramic ceremonial objects</x:v>
      </x:c>
      <x:c r="D38" s="4" t="str">
        <x:v>Use Subtype or Item uses to select a cultural purpose.</x:v>
      </x:c>
      <x:c r="E38" s="4" t="str">
        <x:v>Primary category</x:v>
      </x:c>
    </x:row>
    <x:row r="39" ht="85" customHeight="1">
      <x:c r="A39" s="4" t="str">
        <x:v>Everyday objects</x:v>
      </x:c>
      <x:c r="B39" s="4" t="n">
        <x:f>COUNTIF(Items!$C$6:$C$1005,A39)</x:f>
        <x:v>9</x:v>
      </x:c>
      <x:c r="C39" s="4" t="str">
        <x:v>Household utensils, record tools and ceramic tableware</x:v>
      </x:c>
      <x:c r="D39" s="4" t="str">
        <x:v>Other practical tools may be classified as Equipment; use Item type/Use across categories.</x:v>
      </x:c>
      <x:c r="E39" s="4" t="str">
        <x:v>Primary category</x:v>
      </x:c>
    </x:row>
    <x:row r="40" ht="85" customHeight="1">
      <x:c r="A40" s="4" t="str">
        <x:v>Ancient recovered items</x:v>
      </x:c>
      <x:c r="B40" s="4" t="n">
        <x:f>COUNTIF(Items!$Y$6:$Y$1005,"Ancient technology")</x:f>
        <x:v>13</x:v>
      </x:c>
      <x:c r="C40" s="4" t="str">
        <x:v>Raw ancient materials plus fitted ancient replacement concepts</x:v>
      </x:c>
      <x:c r="D40" s="4" t="str">
        <x:v>Use Origin family = Ancient technology across the whole master; scarcity does not establish properties.</x:v>
      </x:c>
      <x:c r="E40" s="4" t="str">
        <x:v>Item family</x:v>
      </x:c>
    </x:row>
  </x:sheetData>
  <x:pageMargins left="0.7" right="0.7" top="0.75" bottom="0.75" header="0.3" footer="0.3"/>
  <x:tableParts count="1">
    <x:tablePart xmlns:r="http://schemas.openxmlformats.org/officeDocument/2006/relationships" r:id="R5ca94f1076a441e5"/>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"&amp;COUNTIF(Items!$AC$6:$AC$1005,"Existing definition")&amp;" existing definition IDs and "&amp;(COUNTA(Items!$A$6:$A$1005)-COUNTIF(Items!$AC$6:$AC$1005,"Existing definition"))&amp;" design/source concepts."</x:f>
        <x:v>299 catalog entries: 18 existing definition IDs and 281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ItemsTable is the master filterable table. Category and Subtype retain broad and family labels. W:AC separates type, stage, origin, primary use, material, form and status. U stores additional search aliases; AD combines current master labels and aliases automatically. Freeze panes retain IDs/names while scrolling.</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(AD). AD is calculated from ID, name, category, subtype, classifications and aliases in U. Edit U for extra synonyms; do not overwrite AD formulas. Item uses is authoritative for exact primary/secondary purpose filtering. Update any copied secondary-use keyword in U if that relationship changes.</x:v>
      </x:c>
    </x:row>
    <x:row r="100" ht="85" customHeight="1">
      <x:c r="A100" s="4" t="str">
        <x:v>Vocabulary ownership</x:v>
      </x:c>
      <x:c r="B100" s="4" t="str">
        <x:v>Taxonomy owns allowed classification values and definitions. Dropdowns cover current rows plus space through row 1005. Extend validation sources when adding vocabulary. Use Unresolved rather than guessing. Retain blank rarity, prices and stats when undecided.</x:v>
      </x:c>
    </x:row>
    <x:row r="101" ht="85" customHeight="1">
      <x:c r="A101" s="4" t="str">
        <x:v>Adding a new item</x:v>
      </x:c>
      <x:c r="B101" s="4" t="str">
        <x:v>Add one row inside ItemsTable with a unique Item ID. Fill category/subtype, source/status, W:AC and optional search aliases U; copy the AD search formula. Add exactly one Primary relationship in Item uses plus any Secondary rows, copying linked formulas. Extend validation sources and bounded references beyond row 1005 when needed. Current dropdown item-ID source ends at row 304.</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nine mutually exclusive groups covering every master entry once. Item family and Planning scope rows may overlap; their counts must not be added to primary category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sheetData>
  <x:pageMargins left="0.7" right="0.7" top="0.75" bottom="0.75" header="0.3" footer="0.3"/>
  <x:tableParts count="1">
    <x:tablePart xmlns:r="http://schemas.openxmlformats.org/officeDocument/2006/relationships" r:id="R8a4510f234c24b6f"/>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t="str">
        <x:v>proposal.natural.mica</x:v>
      </x:c>
      <x:c r="B20" s="4" t="str">
        <x:v>proposal.gear.grounding_kit</x:v>
      </x:c>
      <x:c r="C20" s="4" t="str">
        <x:v>Trim insulating separator</x:v>
      </x:c>
      <x:c r="D20" s="4" t="str">
        <x:v>Separates selected contact surfaces; not the discharge path</x:v>
      </x:c>
      <x:c r="E20" s="4" t="str">
        <x:v>Field fitting proposed</x:v>
      </x:c>
      <x:c r="F20" s="4" t="str">
        <x:v>Kit also needs an authored conductive path and game-valid ground contact</x:v>
      </x:c>
      <x:c r="G20" s="4" t="str">
        <x:v>New proposal</x:v>
      </x:c>
      <x:c r="H20" s="4" t="str">
        <x:v>User design direction, October 14, 2026; local brainstorming. New proposal unless explicitly marked User direction.</x:v>
      </x:c>
    </x:row>
    <x:row r="21" ht="85" customHeight="1">
      <x:c r="A21" s="4" t="str">
        <x:v>proposal.natural.carbon</x:v>
      </x:c>
      <x:c r="B21" s="4" t="str">
        <x:v>proposal.gear.grounding_kit</x:v>
      </x:c>
      <x:c r="C21" s="4" t="str">
        <x:v>Potential conductive composite ingredient</x:v>
      </x:c>
      <x:c r="D21" s="4" t="str">
        <x:v>Charge-control kit component research</x:v>
      </x:c>
      <x:c r="E21" s="4" t="str">
        <x:v>Workbench proposed</x:v>
      </x:c>
      <x:c r="F21" s="4" t="str">
        <x:v>Does not establish a complete working kit or physical safety claim</x:v>
      </x:c>
      <x:c r="G21" s="4" t="str">
        <x:v>New proposal</x:v>
      </x:c>
      <x:c r="H21" s="4" t="str">
        <x:v>User design direction, October 14, 2026; local brainstorming. New proposal unless explicitly marked User direction.</x:v>
      </x:c>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t="str">
        <x:v>proposal.natural.raw_copper</x:v>
      </x:c>
      <x:c r="B27" s="4" t="str">
        <x:v>proposal.gear.grounding_kit</x:v>
      </x:c>
      <x:c r="C27" s="4" t="str">
        <x:v>Manufacture conductive parts; kit design unresolved</x:v>
      </x:c>
      <x:c r="D27" s="4" t="str">
        <x:v>Charge-management gear</x:v>
      </x:c>
      <x:c r="E27" s="4" t="str">
        <x:v>Workbench proposed</x:v>
      </x:c>
      <x:c r="F27" s="4" t="str">
        <x:v>Material link only; not a complete electrical design</x:v>
      </x:c>
      <x:c r="G27" s="4" t="str">
        <x:v>New proposal</x:v>
      </x:c>
      <x:c r="H27" s="4" t="str">
        <x:v>User direction; proposed crafting relationship</x:v>
      </x:c>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t="str">
        <x:v>proposal.bio.chitin_fibers</x:v>
      </x:c>
      <x:c r="B30" s="4" t="str">
        <x:v>proposal.bio.husk_paper</x:v>
      </x:c>
      <x:c r="C30" s="4" t="str">
        <x:v>Process scraped husk fibers into paper</x:v>
      </x:c>
      <x:c r="D30" s="4" t="str">
        <x:v>Main paper material</x:v>
      </x:c>
      <x:c r="E30" s="4" t="str">
        <x:v>Paper-processing station not yet defined</x:v>
      </x:c>
      <x:c r="F30" s="4" t="str">
        <x:v>No numeric yield, paper recipe or processing difficulty approved</x:v>
      </x:c>
      <x:c r="G30" s="4" t="str">
        <x:v>User direction; not implemented</x:v>
      </x:c>
      <x:c r="H30" s="4" t="str">
        <x:v>Docs/WORLD_BASIS.md#material-culture; author direction October 14, 2026. Process details and specific product forms remain unimplemented.</x:v>
      </x:c>
    </x:row>
    <x:row r="31" ht="90" customHeight="1">
      <x:c r="A31" s="4" t="str">
        <x:v>proposal.bio.icore_fibers</x:v>
      </x:c>
      <x:c r="B31" s="4" t="str">
        <x:v>proposal.bio.husk_paper</x:v>
      </x:c>
      <x:c r="C31" s="4" t="str">
        <x:v>Use scraped husk fibers for paper</x:v>
      </x:c>
      <x:c r="D31" s="4" t="str">
        <x:v>Main paper material</x:v>
      </x:c>
      <x:c r="E31" s="4" t="str">
        <x:v>Paper-processing station not yet defined</x:v>
      </x:c>
      <x:c r="F31" s="4" t="str">
        <x:v>Two fiber inputs shown as alternatives/options; mixing requirement not settled</x:v>
      </x:c>
      <x:c r="G31" s="4" t="str">
        <x:v>User direction; not implemented</x:v>
      </x:c>
      <x:c r="H31" s="4" t="str">
        <x:v>Docs/WORLD_BASIS.md#material-culture; author direction October 14, 2026. Process details and specific product forms remain unimplemented.</x:v>
      </x:c>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2165680f86d64d4f"/>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ff43dbe606a14e00"/>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bd09061fea11472f"/>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t="str">
        <x:v>proposal.container.sample_vial</x:v>
      </x:c>
      <x:c r="B6" s="4" t="str">
        <x:v>Clear sample vial</x:v>
      </x:c>
      <x:c r="C6" s="4" t="str">
        <x:v>Primary vessel</x:v>
      </x:c>
      <x:c r="D6" s="4" t="str">
        <x:v>Scarce clear glass</x:v>
      </x:c>
      <x:c r="E6" s="4" t="str">
        <x:v>Inspect a small ichor or chemical sample without opening it</x:v>
      </x:c>
      <x:c r="F6" s="4" t="str">
        <x:v>Small sample</x:v>
      </x:c>
      <x:c r="G6" s="4" t="str">
        <x:v>Matched stopper with retained cover proposed</x:v>
      </x:c>
      <x:c r="H6" s="4" t="str">
        <x:v>Species-tagged ichor; compatible chemical samples</x:v>
      </x:c>
      <x:c r="I6" s="4" t="str">
        <x:v>Clear glass cost; liquid compatibility and fill limit unapproved</x:v>
      </x:c>
      <x:c r="J6" s="4" t="str">
        <x:v>Glass draft supports costly transparent material; this vessel is a new proposal</x:v>
      </x:c>
      <x:c r="K6" s="4" t="str">
        <x:v>https://github.com/sleepyseamonster/Arc-Dust/blob/f6f98515c005dc3c73cccd9cbc031691745740c6/02-Arc-Dust-Worldbuilding/world/materials/glass.md; https://github.com/sleepyseamonster/Arc-Dust/blob/f6f98515c005dc3c73cccd9cbc031691745740c6/02-Arc-Dust-Worldbuilding/world/materials/chitin.md</x:v>
      </x:c>
    </x:row>
    <x:row r="7" ht="90" customHeight="1">
      <x:c r="A7" s="4" t="str">
        <x:v>proposal.container.reagent_bottle</x:v>
      </x:c>
      <x:c r="B7" s="4" t="str">
        <x:v>Opaque reagent bottle</x:v>
      </x:c>
      <x:c r="C7" s="4" t="str">
        <x:v>Primary vessel</x:v>
      </x:c>
      <x:c r="D7" s="4" t="str">
        <x:v>Opaque mineral glass; shell/metal cap</x:v>
      </x:c>
      <x:c r="E7" s="4" t="str">
        <x:v>Everyday transport of one known material</x:v>
      </x:c>
      <x:c r="F7" s="4" t="str">
        <x:v>Hand-sized</x:v>
      </x:c>
      <x:c r="G7" s="4" t="str">
        <x:v>Compression cap and compatible seat proposed</x:v>
      </x:c>
      <x:c r="H7" s="4" t="str">
        <x:v>One identified ichor or reagent batch</x:v>
      </x:c>
      <x:c r="I7" s="4" t="str">
        <x:v>Cannot inspect contents through the wall; external identity label matters</x:v>
      </x:c>
      <x:c r="J7" s="4" t="str">
        <x:v>Standard opaque glass vessels have a source-draft basis; exact item new</x:v>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str">
        <x:v>Primary vessel</x:v>
      </x:c>
      <x:c r="D8" s="4" t="str">
        <x:v>Glass body; rigid broad lid</x:v>
      </x:c>
      <x:c r="E8" s="4" t="str">
        <x:v>Carry thick gels, clot samples and mineral-rich slurry</x:v>
      </x:c>
      <x:c r="F8" s="4" t="str">
        <x:v>Small to medium</x:v>
      </x:c>
      <x:c r="G8" s="4" t="str">
        <x:v>Broad fitted lid with compatible sealing seat</x:v>
      </x:c>
      <x:c r="H8" s="4" t="str">
        <x:v>Viscous material or solid/liquid sample</x:v>
      </x:c>
      <x:c r="I8" s="4" t="str">
        <x:v>Wide opening aids access but makes transfers less controlled; no scoop rules set</x:v>
      </x:c>
      <x:c r="J8" s="4" t="str">
        <x:v>Glass vessel basis; wide-mouth item and uses proposed</x:v>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str">
        <x:v>Primary vessel</x:v>
      </x:c>
      <x:c r="D9" s="4" t="str">
        <x:v>Sealed clear glass</x:v>
      </x:c>
      <x:c r="E9" s="4" t="str">
        <x:v>Preserve an isolated small specimen for later analysis or trade</x:v>
      </x:c>
      <x:c r="F9" s="4" t="str">
        <x:v>Very small</x:v>
      </x:c>
      <x:c r="G9" s="4" t="str">
        <x:v>Factory/workshop sealed</x:v>
      </x:c>
      <x:c r="H9" s="4" t="str">
        <x:v>One specimen; chemistry compatibility unresolved</x:v>
      </x:c>
      <x:c r="I9" s="4" t="str">
        <x:v>Opening and reuse undecided; no mandatory single-use depletion rule approved</x:v>
      </x:c>
      <x:c r="J9" s="4" t="str">
        <x:v>New sealed-glass form inspired by source glasswork</x:v>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str">
        <x:v>Primary vessel</x:v>
      </x:c>
      <x:c r="D10" s="4" t="str">
        <x:v>Clear glass with etched marks</x:v>
      </x:c>
      <x:c r="E10" s="4" t="str">
        <x:v>Read fill and compare a specimen before transfer</x:v>
      </x:c>
      <x:c r="F10" s="4" t="str">
        <x:v>Small sample / workshop</x:v>
      </x:c>
      <x:c r="G10" s="4" t="str">
        <x:v>Matched stopper proposed</x:v>
      </x:c>
      <x:c r="H10" s="4" t="str">
        <x:v>Compatible samples and liquids</x:v>
      </x:c>
      <x:c r="I10" s="4" t="str">
        <x:v>Marks do not establish numeric volume, chemistry analysis or automatic quality grading</x:v>
      </x:c>
      <x:c r="J10" s="4" t="str">
        <x:v>New measuring/inspection use; no authored volume system</x:v>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str">
        <x:v>Protected vessel assembly</x:v>
      </x:c>
      <x:c r="D11" s="4" t="str">
        <x:v>Glass inner vessel; slotted shell outer cage</x:v>
      </x:c>
      <x:c r="E11" s="4" t="str">
        <x:v>Protect a carried specimen while keeping a viewing opening</x:v>
      </x:c>
      <x:c r="F11" s="4" t="str">
        <x:v>Medium</x:v>
      </x:c>
      <x:c r="G11" s="4" t="str">
        <x:v>Retained cap and inspectable seat proposed</x:v>
      </x:c>
      <x:c r="H11" s="4" t="str">
        <x:v>One compatible liquid payload</x:v>
      </x:c>
      <x:c r="I11" s="4" t="str">
        <x:v>One assembled container, not two copies of storage; protection behavior undecided</x:v>
      </x:c>
      <x:c r="J11" s="4" t="str">
        <x:v>Chitin plate/curved vessel and glass drafts inspire assembly; item new</x:v>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str">
        <x:v>Protected vessel assembly</x:v>
      </x:c>
      <x:c r="D12" s="4" t="str">
        <x:v>Metal/shell outer body; replaceable glass liner</x:v>
      </x:c>
      <x:c r="E12" s="4" t="str">
        <x:v>Transport larger quantities to a processing workshop</x:v>
      </x:c>
      <x:c r="F12" s="4" t="str">
        <x:v>Medium haul</x:v>
      </x:c>
      <x:c r="G12" s="4" t="str">
        <x:v>Compression lid with replaceable compatible seat</x:v>
      </x:c>
      <x:c r="H12" s="4" t="str">
        <x:v>One identified raw ichor or chemical batch</x:v>
      </x:c>
      <x:c r="I12" s="4" t="str">
        <x:v>Liner, seal and contents must all be compatible; filled payload belongs in resource cargo</x:v>
      </x:c>
      <x:c r="J12" s="4" t="str">
        <x:v>Glass draft includes internal canister linings; haul role and item new</x:v>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str">
        <x:v>Primary vessel</x:v>
      </x:c>
      <x:c r="D13" s="4" t="str">
        <x:v>Fired ceramic; proposed glaze; rigid lid</x:v>
      </x:c>
      <x:c r="E13" s="4" t="str">
        <x:v>Alternative storage for selected processing compounds</x:v>
      </x:c>
      <x:c r="F13" s="4" t="str">
        <x:v>Medium</x:v>
      </x:c>
      <x:c r="G13" s="4" t="str">
        <x:v>Fitted rigid lid and compatible seal</x:v>
      </x:c>
      <x:c r="H13" s="4" t="str">
        <x:v>Only compounds qualified for that jar</x:v>
      </x:c>
      <x:c r="I13" s="4" t="str">
        <x:v>Opaque; heavier/bulkier tradeoff proposed; glaze is not universally chemical-resistant</x:v>
      </x:c>
      <x:c r="J13" s="4" t="str">
        <x:v>New ceramic vessel proposal; not a validated recipe/material capability</x:v>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t="str">
        <x:v>proposal.container.vial_case</x:v>
      </x:c>
      <x:c r="B15" s="4" t="str">
        <x:v>Divided vial case</x:v>
      </x:c>
      <x:c r="C15" s="4" t="str">
        <x:v>Protective carrier</x:v>
      </x:c>
      <x:c r="D15" s="4" t="str">
        <x:v>Shell/metal case; shaped mineral seats</x:v>
      </x:c>
      <x:c r="E15" s="4" t="str">
        <x:v>Keep separately sealed specimens organized and supported</x:v>
      </x:c>
      <x:c r="F15" s="4" t="str">
        <x:v>Several small vessels</x:v>
      </x:c>
      <x:c r="G15" s="4" t="str">
        <x:v>Rigid latched case; each vial has its own seal</x:v>
      </x:c>
      <x:c r="H15" s="4" t="str">
        <x:v>Sealed vials only; no direct liquid payload</x:v>
      </x:c>
      <x:c r="I15" s="4" t="str">
        <x:v>Does not create extra inventory capacity; inserts use no assumed wood, cork or cloth</x:v>
      </x:c>
      <x:c r="J15" s="4" t="str">
        <x:v>New case proposal; materials chosen under current no-cloth game rule</x:v>
      </x:c>
      <x:c r="K15" s="4" t="str">
        <x:v>https://github.com/sleepyseamonster/Arc-Dust/blob/f6f98515c005dc3c73cccd9cbc031691745740c6/02-Arc-Dust-Worldbuilding/world/materials/glass.md; https://github.com/sleepyseamonster/Arc-Dust/blob/f6f98515c005dc3c73cccd9cbc031691745740c6/02-Arc-Dust-Worldbuilding/world/materials/chitin.md</x:v>
      </x:c>
    </x:row>
    <x:row r="16" ht="90" customHeight="1">
      <x:c r="A16" s="4" t="str">
        <x:v>proposal.container.sealed_box</x:v>
      </x:c>
      <x:c r="B16" s="4" t="str">
        <x:v>Sealed cargo box</x:v>
      </x:c>
      <x:c r="C16" s="4" t="str">
        <x:v>Protective carrier</x:v>
      </x:c>
      <x:c r="D16" s="4" t="str">
        <x:v>Shell panels or metal; rigid dividers</x:v>
      </x:c>
      <x:c r="E16" s="4" t="str">
        <x:v>Carry containers and dry sample packets together</x:v>
      </x:c>
      <x:c r="F16" s="4" t="str">
        <x:v>Cargo package</x:v>
      </x:c>
      <x:c r="G16" s="4" t="str">
        <x:v>Latched lid with dust-excluding seat proposed</x:v>
      </x:c>
      <x:c r="H16" s="4" t="str">
        <x:v>Separately sealed contents</x:v>
      </x:c>
      <x:c r="I16" s="4" t="str">
        <x:v>Outer dust seal is not liquid or vapor certification; all nested contents still count</x:v>
      </x:c>
      <x:c r="J16" s="4" t="str">
        <x:v>New protective box proposal; not automatic liquid containment</x:v>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t="str">
        <x:v>proposal.container.funnel</x:v>
      </x:c>
      <x:c r="B18" s="4" t="str">
        <x:v>Glass transfer funnel</x:v>
      </x:c>
      <x:c r="C18" s="4" t="str">
        <x:v>Transfer glassware</x:v>
      </x:c>
      <x:c r="D18" s="4" t="str">
        <x:v>Glass bowl and stem</x:v>
      </x:c>
      <x:c r="E18" s="4" t="str">
        <x:v>Assist transfers into a compatible narrow-neck vessel</x:v>
      </x:c>
      <x:c r="F18" s="4" t="str">
        <x:v>Tool-sized</x:v>
      </x:c>
      <x:c r="G18" s="4" t="str">
        <x:v>No closure; never a storage vessel</x:v>
      </x:c>
      <x:c r="H18" s="4" t="str">
        <x:v>Temporary transfer contact only</x:v>
      </x:c>
      <x:c r="I18" s="4" t="str">
        <x:v>Residue/cross-contamination and workshop reconditioning unresolved; no ambient fluid pooling</x:v>
      </x:c>
      <x:c r="J18" s="4" t="str">
        <x:v>New glassworking tool proposal</x:v>
      </x:c>
      <x:c r="K18" s="4" t="str">
        <x:v>https://github.com/sleepyseamonster/Arc-Dust/blob/f6f98515c005dc3c73cccd9cbc031691745740c6/02-Arc-Dust-Worldbuilding/world/materials/glass.md; https://github.com/sleepyseamonster/Arc-Dust/blob/f6f98515c005dc3c73cccd9cbc031691745740c6/02-Arc-Dust-Worldbuilding/world/materials/chitin.md</x:v>
      </x:c>
    </x:row>
    <x:row r="19" ht="90" customHeight="1">
      <x:c r="A19" s="4" t="str">
        <x:v>proposal.container.draw_tube</x:v>
      </x:c>
      <x:c r="B19" s="4" t="str">
        <x:v>Glass draw tube</x:v>
      </x:c>
      <x:c r="C19" s="4" t="str">
        <x:v>Transfer glassware</x:v>
      </x:c>
      <x:c r="D19" s="4" t="str">
        <x:v>Glass tube; proposed mechanical fitting</x:v>
      </x:c>
      <x:c r="E19" s="4" t="str">
        <x:v>Move a small sample through an inspectable transfer path</x:v>
      </x:c>
      <x:c r="F19" s="4" t="str">
        <x:v>Tool-sized</x:v>
      </x:c>
      <x:c r="G19" s="4" t="str">
        <x:v>Closed mechanical interface to design</x:v>
      </x:c>
      <x:c r="H19" s="4" t="str">
        <x:v>Compatible small specimen transfer</x:v>
      </x:c>
      <x:c r="I19" s="4" t="str">
        <x:v>No mouth operation or real extraction procedure; gameplay tool and fittings unapproved</x:v>
      </x:c>
      <x:c r="J19" s="4" t="str">
        <x:v>New mechanical sample-transfer tool proposal</x:v>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str">
        <x:v>Closure component</x:v>
      </x:c>
      <x:c r="D20" s="4" t="str">
        <x:v>Ground glass seat; retaining clip optional</x:v>
      </x:c>
      <x:c r="E20" s="4" t="str">
        <x:v>Close its matching vessel without cork or cloth</x:v>
      </x:c>
      <x:c r="F20" s="4" t="str">
        <x:v>Part-sized</x:v>
      </x:c>
      <x:c r="G20" s="4" t="str">
        <x:v>Matched seat</x:v>
      </x:c>
      <x:c r="H20" s="4" t="str">
        <x:v>Vessel closure, not an independent payload</x:v>
      </x:c>
      <x:c r="I20" s="4" t="str">
        <x:v>Fit and material compatibility matter; no universal stopper or separate durability chore assumed</x:v>
      </x:c>
      <x:c r="J20" s="4" t="str">
        <x:v>New glass closure component proposal</x:v>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t="str">
        <x:v>proposal.container.seal_collar</x:v>
      </x:c>
      <x:c r="B21" s="4" t="str">
        <x:v>Compression seal collar</x:v>
      </x:c>
      <x:c r="C21" s="4" t="str">
        <x:v>Closure component</x:v>
      </x:c>
      <x:c r="D21" s="4" t="str">
        <x:v>Metal/shell collar; compatible mineral/biological seal insert TBD</x:v>
      </x:c>
      <x:c r="E21" s="4" t="str">
        <x:v>Retain and compress a vessel lid/seat</x:v>
      </x:c>
      <x:c r="F21" s="4" t="str">
        <x:v>Part-sized</x:v>
      </x:c>
      <x:c r="G21" s="4" t="str">
        <x:v>Mechanical collar</x:v>
      </x:c>
      <x:c r="H21" s="4" t="str">
        <x:v>Vessel closure, not a liquid container</x:v>
      </x:c>
      <x:c r="I21" s="4" t="str">
        <x:v>Biological membrane is not automatically compatible; no fat/oil/gasket recipe accepted</x:v>
      </x:c>
      <x:c r="J21" s="4" t="str">
        <x:v>New closure assembly proposal; exact seal material unresolved</x:v>
      </x:c>
      <x:c r="K21" s="4" t="str">
        <x:v>https://github.com/sleepyseamonster/Arc-Dust/blob/f6f98515c005dc3c73cccd9cbc031691745740c6/02-Arc-Dust-Worldbuilding/world/materials/glass.md; https://github.com/sleepyseamonster/Arc-Dust/blob/f6f98515c005dc3c73cccd9cbc031691745740c6/02-Arc-Dust-Worldbuilding/world/materials/chitin.md</x:v>
      </x:c>
    </x:row>
  </x:sheetData>
  <x:pageMargins left="0.7" right="0.7" top="0.75" bottom="0.75" header="0.3" footer="0.3"/>
  <x:tableParts count="1">
    <x:tablePart xmlns:r="http://schemas.openxmlformats.org/officeDocument/2006/relationships" r:id="Reea443f4cd564451"/>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t="str">
        <x:v>proposal.gear.mail_shirt</x:v>
      </x:c>
      <x:c r="B6" s="4" t="str">
        <x:v>Chainmail shirt</x:v>
      </x:c>
      <x:c r="C6" s="4" t="str">
        <x:v>Torso layer</x:v>
      </x:c>
      <x:c r="D6" s="4" t="str">
        <x:v>Patched ring sections with conspicuous repairs</x:v>
      </x:c>
      <x:c r="E6" s="4" t="str">
        <x:v>Consistent linked rings and repairable closures</x:v>
      </x:c>
      <x:c r="F6" s="4" t="str">
        <x:v>Closely fitted ringwork, shaped sleeves and deliberate detailing</x:v>
      </x:c>
      <x:c r="G6" s="4" t="str">
        <x:v>Metal rings; attachment/underlayer material undecided</x:v>
      </x:c>
      <x:c r="H6" s="4" t="str">
        <x:v>Everyday metal clothing; protective mechanics TBD</x:v>
      </x:c>
      <x:c r="I6" s="4" t="str">
        <x:v>Layering, weight, noise and underlayer requirements need design; no cloth assumed</x:v>
      </x:c>
      <x:c r="J6" s="4" t="str">
        <x:v>Direct author clarification, October 14, 2026; Docs/WORLD_BASIS.md#material-culture. Ordinary wear: simple wraps, metal chainmail and practical metal-based pieces with minimal fur. Elaborate fashion remains rare/expensive; no cloth.</x:v>
      </x:c>
    </x:row>
    <x:row r="7" ht="100" customHeight="1">
      <x:c r="A7" s="4" t="str">
        <x:v>proposal.gear.metal_armor_set</x:v>
      </x:c>
      <x:c r="B7" s="4" t="str">
        <x:v>Assembled metal armor</x:v>
      </x:c>
      <x:c r="C7" s="4" t="str">
        <x:v>Whole-body assembly candidate</x:v>
      </x:c>
      <x:c r="D7" s="4" t="str">
        <x:v>Mixed scavenged plates on a simple carrier</x:v>
      </x:c>
      <x:c r="E7" s="4" t="str">
        <x:v>Coordinated torso and limb pieces</x:v>
      </x:c>
      <x:c r="F7" s="4" t="str">
        <x:v>Fitted articulated ensemble with matched joints</x:v>
      </x:c>
      <x:c r="G7" s="4" t="str">
        <x:v>Metal plates; hinges/rivets; backing and connectors undecided</x:v>
      </x:c>
      <x:c r="H7" s="4" t="str">
        <x:v>A coordinated armor family from crude to elaborate</x:v>
      </x:c>
      <x:c r="I7" s="4" t="str">
        <x:v>Set versus independently owned pieces unresolved; do not count the same plates as both set and components</x:v>
      </x:c>
      <x:c r="J7"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t="str">
        <x:v>proposal.gear.boots</x:v>
      </x:c>
      <x:c r="B11" s="4" t="str">
        <x:v>Boots</x:v>
      </x:c>
      <x:c r="C11" s="4" t="str">
        <x:v>Feet</x:v>
      </x:c>
      <x:c r="D11" s="4" t="str">
        <x:v>Rigid foot shell with basic closure and replaceable sole pieces</x:v>
      </x:c>
      <x:c r="E11" s="4" t="str">
        <x:v>Fitted boot with articulated ankle and serviceable tread</x:v>
      </x:c>
      <x:c r="F11" s="4" t="str">
        <x:v>Carefully fitted armored boot with replaceable contact surfaces</x:v>
      </x:c>
      <x:c r="G11" s="4" t="str">
        <x:v>Metal/shell structure; sole and flexible insert materials TBD</x:v>
      </x:c>
      <x:c r="H11" s="4" t="str">
        <x:v>Footwear for traversal and exposure</x:v>
      </x:c>
      <x:c r="I11" s="4" t="str">
        <x:v>Grip, sound, grounding and insulation are separate proposals; no leather, rubber or cloth assumed</x:v>
      </x:c>
      <x:c r="J11"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2" ht="100" customHeight="1">
      <x:c r="A12" s="4" t="str">
        <x:v>proposal.gear.gloves</x:v>
      </x:c>
      <x:c r="B12" s="4" t="str">
        <x:v>Gloves</x:v>
      </x:c>
      <x:c r="C12" s="4" t="str">
        <x:v>Hands</x:v>
      </x:c>
      <x:c r="D12" s="4" t="str">
        <x:v>Palm/knuckle guards on a sparse carrier</x:v>
      </x:c>
      <x:c r="E12" s="4" t="str">
        <x:v>Fitted hand protection with usable finger movement</x:v>
      </x:c>
      <x:c r="F12" s="4" t="str">
        <x:v>Articulated plated glove with replaceable fingertips</x:v>
      </x:c>
      <x:c r="G12" s="4" t="str">
        <x:v>Metal/shell guards; flexible insert material TBD</x:v>
      </x:c>
      <x:c r="H12" s="4" t="str">
        <x:v>Hand protection while handling tools and gear</x:v>
      </x:c>
      <x:c r="I12" s="4" t="str">
        <x:v>Dexterity, grip and chemical/electrical compatibility need design; no universal protective effect</x:v>
      </x:c>
      <x:c r="J12"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t="str">
        <x:v>proposal.gear.shield</x:v>
      </x:c>
      <x:c r="B15" s="4" t="str">
        <x:v>Shield</x:v>
      </x:c>
      <x:c r="C15" s="4" t="str">
        <x:v>Held / mounted defensive gear</x:v>
      </x:c>
      <x:c r="D15" s="4" t="str">
        <x:v>Cut salvaged plate with a rigid grip</x:v>
      </x:c>
      <x:c r="E15" s="4" t="str">
        <x:v>Shaped shield with reinforced edge and repairable face</x:v>
      </x:c>
      <x:c r="F15" s="4" t="str">
        <x:v>Fitted layered shield with deliberate sightline and handling geometry</x:v>
      </x:c>
      <x:c r="G15" s="4" t="str">
        <x:v>Metal and/or shell panels; grip and rim materials TBD</x:v>
      </x:c>
      <x:c r="H15" s="4" t="str">
        <x:v>Directional protection candidate</x:v>
      </x:c>
      <x:c r="I15" s="4" t="str">
        <x:v>Hand ownership, tool use, carrying posture and Legger cargo storage need design; no blocking mechanics implemented</x:v>
      </x:c>
      <x:c r="J15"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t="str">
        <x:v>proposal.fashion.hat</x:v>
      </x:c>
      <x:c r="B18" s="4" t="str">
        <x:v>Hat</x:v>
      </x:c>
      <x:c r="C18" s="4" t="str">
        <x:v>Headwear</x:v>
      </x:c>
      <x:c r="D18" s="4" t="str">
        <x:v>Simple form remains rare; construction TBD</x:v>
      </x:c>
      <x:c r="E18" s="4" t="str">
        <x:v>Workmanship and fit TBD</x:v>
      </x:c>
      <x:c r="F18" s="4" t="str">
        <x:v>Fine finish and specialist details TBD</x:v>
      </x:c>
      <x:c r="G18" s="4" t="str">
        <x:v>Husk-fiber/fur/hide options proposed; exact construction TBD</x:v>
      </x:c>
      <x:c r="H18" s="4" t="str">
        <x:v>Rare headwear; fashion variants belong to the very rare expensive fashion economy.</x:v>
      </x:c>
      <x:c r="I18" s="4" t="str">
        <x:v>Hat versus helmet, cloak clearance, shade and decorative function unresolved</x:v>
      </x:c>
      <x:c r="J18"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196eed82406e430e"/>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str">
        <x:v>Equipment</x:v>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str">
        <x:v>Equipment</x:v>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str">
        <x:v>Field supplies</x:v>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3b06221ca0d4d23"/>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row>
    <x:row r="6" ht="45" customHeight="1">
      <x:c r="A6" s="4" t="str">
        <x:v>Category</x:v>
      </x:c>
      <x:c r="B6" s="4" t="str">
        <x:v>Containers</x:v>
      </x:c>
      <x:c r="C6" s="4" t="str">
        <x:v>Broad existing inventory/design grouping. One per master item.</x:v>
      </x:c>
    </x:row>
    <x:row r="7" ht="45" customHeight="1">
      <x:c r="A7" s="4" t="str">
        <x:v>Category</x:v>
      </x:c>
      <x:c r="B7" s="4" t="str">
        <x:v>Crafting components</x:v>
      </x:c>
      <x:c r="C7" s="4" t="str">
        <x:v>Broad existing inventory/design grouping. One per master item.</x:v>
      </x:c>
    </x:row>
    <x:row r="8" ht="45" customHeight="1">
      <x:c r="A8" s="4" t="str">
        <x:v>Category</x:v>
      </x:c>
      <x:c r="B8" s="4" t="str">
        <x:v>Cultural objects</x:v>
      </x:c>
      <x:c r="C8" s="4" t="str">
        <x:v>Broad existing inventory/design grouping. One per master item.</x:v>
      </x:c>
    </x:row>
    <x:row r="9" ht="45" customHeight="1">
      <x:c r="A9" s="4" t="str">
        <x:v>Category</x:v>
      </x:c>
      <x:c r="B9" s="4" t="str">
        <x:v>Currency</x:v>
      </x:c>
      <x:c r="C9" s="4" t="str">
        <x:v>Broad existing inventory/design grouping. One per master item.</x:v>
      </x:c>
    </x:row>
    <x:row r="10" ht="45" customHeight="1">
      <x:c r="A10" s="4" t="str">
        <x:v>Category</x:v>
      </x:c>
      <x:c r="B10" s="4" t="str">
        <x:v>Equipment</x:v>
      </x:c>
      <x:c r="C10" s="4" t="str">
        <x:v>Broad existing inventory/design grouping. One per master item.</x:v>
      </x:c>
    </x:row>
    <x:row r="11" ht="45" customHeight="1">
      <x:c r="A11" s="4" t="str">
        <x:v>Category</x:v>
      </x:c>
      <x:c r="B11" s="4" t="str">
        <x:v>Everyday objects</x:v>
      </x:c>
      <x:c r="C11" s="4" t="str">
        <x:v>Broad existing inventory/design grouping. One per master item.</x:v>
      </x:c>
    </x:row>
    <x:row r="12" ht="45" customHeight="1">
      <x:c r="A12" s="4" t="str">
        <x:v>Category</x:v>
      </x:c>
      <x:c r="B12" s="4" t="str">
        <x:v>Field supplies</x:v>
      </x:c>
      <x:c r="C12" s="4" t="str">
        <x:v>Broad existing inventory/design grouping. One per master item.</x:v>
      </x:c>
    </x:row>
    <x:row r="13" ht="45" customHeight="1">
      <x:c r="A13" s="4" t="str">
        <x:v>Category</x:v>
      </x:c>
      <x:c r="B13" s="4" t="str">
        <x:v>Resources</x:v>
      </x:c>
      <x:c r="C13" s="4" t="str">
        <x:v>Broad existing inventory/design grouping. One per master item.</x:v>
      </x:c>
    </x:row>
    <x:row r="14" ht="45" customHeight="1">
      <x:c r="A14" s="4" t="str">
        <x:v>Category</x:v>
      </x:c>
      <x:c r="B14" s="4" t="str">
        <x:v>Weapons</x:v>
      </x:c>
      <x:c r="C14" s="4" t="str">
        <x:v>Broad existing inventory/design grouping. One per master item.</x:v>
      </x:c>
    </x:row>
    <x:row r="15" ht="45" customHeight="1">
      <x:c r="A15" s="4" t="str">
        <x:v>Item type</x:v>
      </x:c>
      <x:c r="B15" s="4" t="str">
        <x:v>Armor</x:v>
      </x:c>
      <x:c r="C15" s="4" t="str">
        <x:v>What the object is, independent of material, culture and use.</x:v>
      </x:c>
    </x:row>
    <x:row r="16" ht="45" customHeight="1">
      <x:c r="A16" s="4" t="str">
        <x:v>Item type</x:v>
      </x:c>
      <x:c r="B16" s="4" t="str">
        <x:v>Carrier</x:v>
      </x:c>
      <x:c r="C16" s="4" t="str">
        <x:v>What the object is, independent of material, culture and use.</x:v>
      </x:c>
    </x:row>
    <x:row r="17" ht="45" customHeight="1">
      <x:c r="A17" s="4" t="str">
        <x:v>Item type</x:v>
      </x:c>
      <x:c r="B17" s="4" t="str">
        <x:v>Chemical material</x:v>
      </x:c>
      <x:c r="C17" s="4" t="str">
        <x:v>What the object is, independent of material, culture and use.</x:v>
      </x:c>
    </x:row>
    <x:row r="18" ht="45" customHeight="1">
      <x:c r="A18" s="4" t="str">
        <x:v>Item type</x:v>
      </x:c>
      <x:c r="B18" s="4" t="str">
        <x:v>Container</x:v>
      </x:c>
      <x:c r="C18" s="4" t="str">
        <x:v>What the object is, independent of material, culture and use.</x:v>
      </x:c>
    </x:row>
    <x:row r="19" ht="45" customHeight="1">
      <x:c r="A19" s="4" t="str">
        <x:v>Item type</x:v>
      </x:c>
      <x:c r="B19" s="4" t="str">
        <x:v>Container part</x:v>
      </x:c>
      <x:c r="C19" s="4" t="str">
        <x:v>What the object is, independent of material, culture and use.</x:v>
      </x:c>
    </x:row>
    <x:row r="20" ht="45" customHeight="1">
      <x:c r="A20" s="4" t="str">
        <x:v>Item type</x:v>
      </x:c>
      <x:c r="B20" s="4" t="str">
        <x:v>Crafting component</x:v>
      </x:c>
      <x:c r="C20" s="4" t="str">
        <x:v>What the object is, independent of material, culture and use.</x:v>
      </x:c>
    </x:row>
    <x:row r="21" ht="45" customHeight="1">
      <x:c r="A21" s="4" t="str">
        <x:v>Item type</x:v>
      </x:c>
      <x:c r="B21" s="4" t="str">
        <x:v>Cultural object</x:v>
      </x:c>
      <x:c r="C21" s="4" t="str">
        <x:v>What the object is, independent of material, culture and use.</x:v>
      </x:c>
    </x:row>
    <x:row r="22" ht="45" customHeight="1">
      <x:c r="A22" s="4" t="str">
        <x:v>Item type</x:v>
      </x:c>
      <x:c r="B22" s="4" t="str">
        <x:v>Currency</x:v>
      </x:c>
      <x:c r="C22" s="4" t="str">
        <x:v>What the object is, independent of material, culture and use.</x:v>
      </x:c>
    </x:row>
    <x:row r="23" ht="45" customHeight="1">
      <x:c r="A23" s="4" t="str">
        <x:v>Item type</x:v>
      </x:c>
      <x:c r="B23" s="4" t="str">
        <x:v>Document</x:v>
      </x:c>
      <x:c r="C23" s="4" t="str">
        <x:v>What the object is, independent of material, culture and use.</x:v>
      </x:c>
    </x:row>
    <x:row r="24" ht="45" customHeight="1">
      <x:c r="A24" s="4" t="str">
        <x:v>Item type</x:v>
      </x:c>
      <x:c r="B24" s="4" t="str">
        <x:v>Energy storage</x:v>
      </x:c>
      <x:c r="C24" s="4" t="str">
        <x:v>What the object is, independent of material, culture and use.</x:v>
      </x:c>
    </x:row>
    <x:row r="25" ht="45" customHeight="1">
      <x:c r="A25" s="4" t="str">
        <x:v>Item type</x:v>
      </x:c>
      <x:c r="B25" s="4" t="str">
        <x:v>Food material</x:v>
      </x:c>
      <x:c r="C25" s="4" t="str">
        <x:v>What the object is, independent of material, culture and use.</x:v>
      </x:c>
    </x:row>
    <x:row r="26" ht="45" customHeight="1">
      <x:c r="A26" s="4" t="str">
        <x:v>Item type</x:v>
      </x:c>
      <x:c r="B26" s="4" t="str">
        <x:v>Gem material</x:v>
      </x:c>
      <x:c r="C26" s="4" t="str">
        <x:v>What the object is, independent of material, culture and use.</x:v>
      </x:c>
    </x:row>
    <x:row r="27" ht="45" customHeight="1">
      <x:c r="A27" s="4" t="str">
        <x:v>Item type</x:v>
      </x:c>
      <x:c r="B27" s="4" t="str">
        <x:v>Household utensil</x:v>
      </x:c>
      <x:c r="C27" s="4" t="str">
        <x:v>What the object is, independent of material, culture and use.</x:v>
      </x:c>
    </x:row>
    <x:row r="28" ht="45" customHeight="1">
      <x:c r="A28" s="4" t="str">
        <x:v>Item type</x:v>
      </x:c>
      <x:c r="B28" s="4" t="str">
        <x:v>Machine</x:v>
      </x:c>
      <x:c r="C28" s="4" t="str">
        <x:v>What the object is, independent of material, culture and use.</x:v>
      </x:c>
    </x:row>
    <x:row r="29" ht="45" customHeight="1">
      <x:c r="A29" s="4" t="str">
        <x:v>Item type</x:v>
      </x:c>
      <x:c r="B29" s="4" t="str">
        <x:v>Musical instrument</x:v>
      </x:c>
      <x:c r="C29" s="4" t="str">
        <x:v>What the object is, independent of material, culture and use.</x:v>
      </x:c>
    </x:row>
    <x:row r="30" ht="45" customHeight="1">
      <x:c r="A30" s="4" t="str">
        <x:v>Item type</x:v>
      </x:c>
      <x:c r="B30" s="4" t="str">
        <x:v>Processed material</x:v>
      </x:c>
      <x:c r="C30" s="4" t="str">
        <x:v>What the object is, independent of material, culture and use.</x:v>
      </x:c>
    </x:row>
    <x:row r="31" ht="45" customHeight="1">
      <x:c r="A31" s="4" t="str">
        <x:v>Item type</x:v>
      </x:c>
      <x:c r="B31" s="4" t="str">
        <x:v>Raw material</x:v>
      </x:c>
      <x:c r="C31" s="4" t="str">
        <x:v>What the object is, independent of material, culture and use.</x:v>
      </x:c>
    </x:row>
    <x:row r="32" ht="45" customHeight="1">
      <x:c r="A32" s="4" t="str">
        <x:v>Item type</x:v>
      </x:c>
      <x:c r="B32" s="4" t="str">
        <x:v>Service kit</x:v>
      </x:c>
      <x:c r="C32" s="4" t="str">
        <x:v>What the object is, independent of material, culture and use.</x:v>
      </x:c>
    </x:row>
    <x:row r="33" ht="45" customHeight="1">
      <x:c r="A33" s="4" t="str">
        <x:v>Item type</x:v>
      </x:c>
      <x:c r="B33" s="4" t="str">
        <x:v>Shelter kit</x:v>
      </x:c>
      <x:c r="C33" s="4" t="str">
        <x:v>What the object is, independent of material, culture and use.</x:v>
      </x:c>
    </x:row>
    <x:row r="34" ht="45" customHeight="1">
      <x:c r="A34" s="4" t="str">
        <x:v>Item type</x:v>
      </x:c>
      <x:c r="B34" s="4" t="str">
        <x:v>Shield</x:v>
      </x:c>
      <x:c r="C34" s="4" t="str">
        <x:v>What the object is, independent of material, culture and use.</x:v>
      </x:c>
    </x:row>
    <x:row r="35" ht="45" customHeight="1">
      <x:c r="A35" s="4" t="str">
        <x:v>Item type</x:v>
      </x:c>
      <x:c r="B35" s="4" t="str">
        <x:v>Tool</x:v>
      </x:c>
      <x:c r="C35" s="4" t="str">
        <x:v>What the object is, independent of material, culture and use.</x:v>
      </x:c>
    </x:row>
    <x:row r="36" ht="45" customHeight="1">
      <x:c r="A36" s="4" t="str">
        <x:v>Item type</x:v>
      </x:c>
      <x:c r="B36" s="4" t="str">
        <x:v>Traversal device</x:v>
      </x:c>
      <x:c r="C36" s="4" t="str">
        <x:v>What the object is, independent of material, culture and use.</x:v>
      </x:c>
    </x:row>
    <x:row r="37" ht="45" customHeight="1">
      <x:c r="A37" s="4" t="str">
        <x:v>Item type</x:v>
      </x:c>
      <x:c r="B37" s="4" t="str">
        <x:v>Trip hazard</x:v>
      </x:c>
      <x:c r="C37" s="4" t="str">
        <x:v>What the object is, independent of material, culture and use.</x:v>
      </x:c>
    </x:row>
    <x:row r="38" ht="45" customHeight="1">
      <x:c r="A38" s="4" t="str">
        <x:v>Item type</x:v>
      </x:c>
      <x:c r="B38" s="4" t="str">
        <x:v>Wearable</x:v>
      </x:c>
      <x:c r="C38" s="4" t="str">
        <x:v>What the object is, independent of material, culture and use.</x:v>
      </x:c>
    </x:row>
    <x:row r="39" ht="45" customHeight="1">
      <x:c r="A39" s="4" t="str">
        <x:v>Processing stage</x:v>
      </x:c>
      <x:c r="B39" s="4" t="str">
        <x:v>Ancient manufactured</x:v>
      </x:c>
      <x:c r="C39" s="4" t="str">
        <x:v>State of the listed item, not its next recipe. Stage unresolved means raw-versus-processed is undecided.</x:v>
      </x:c>
    </x:row>
    <x:row r="40" ht="45" customHeight="1">
      <x:c r="A40" s="4" t="str">
        <x:v>Processing stage</x:v>
      </x:c>
      <x:c r="B40" s="4" t="str">
        <x:v>Extracted material</x:v>
      </x:c>
      <x:c r="C40" s="4" t="str">
        <x:v>State of the listed item, not its next recipe. Stage unresolved means raw-versus-processed is undecided.</x:v>
      </x:c>
    </x:row>
    <x:row r="41" ht="45" customHeight="1">
      <x:c r="A41" s="4" t="str">
        <x:v>Processing stage</x:v>
      </x:c>
      <x:c r="B41" s="4" t="str">
        <x:v>Finished item</x:v>
      </x:c>
      <x:c r="C41" s="4" t="str">
        <x:v>State of the listed item, not its next recipe. Stage unresolved means raw-versus-processed is undecided.</x:v>
      </x:c>
    </x:row>
    <x:row r="42" ht="45" customHeight="1">
      <x:c r="A42" s="4" t="str">
        <x:v>Processing stage</x:v>
      </x:c>
      <x:c r="B42" s="4" t="str">
        <x:v>Processed intermediate</x:v>
      </x:c>
      <x:c r="C42" s="4" t="str">
        <x:v>State of the listed item, not its next recipe. Stage unresolved means raw-versus-processed is undecided.</x:v>
      </x:c>
    </x:row>
    <x:row r="43" ht="45" customHeight="1">
      <x:c r="A43" s="4" t="str">
        <x:v>Processing stage</x:v>
      </x:c>
      <x:c r="B43" s="4" t="str">
        <x:v>Raw</x:v>
      </x:c>
      <x:c r="C43" s="4" t="str">
        <x:v>State of the listed item, not its next recipe. Stage unresolved means raw-versus-processed is undecided.</x:v>
      </x:c>
    </x:row>
    <x:row r="44" ht="45" customHeight="1">
      <x:c r="A44" s="4" t="str">
        <x:v>Processing stage</x:v>
      </x:c>
      <x:c r="B44" s="4" t="str">
        <x:v>Recovered part</x:v>
      </x:c>
      <x:c r="C44" s="4" t="str">
        <x:v>State of the listed item, not its next recipe. Stage unresolved means raw-versus-processed is undecided.</x:v>
      </x:c>
    </x:row>
    <x:row r="45" ht="45" customHeight="1">
      <x:c r="A45" s="4" t="str">
        <x:v>Processing stage</x:v>
      </x:c>
      <x:c r="B45" s="4" t="str">
        <x:v>Unfired intermediate</x:v>
      </x:c>
      <x:c r="C45" s="4" t="str">
        <x:v>State of the listed item, not its next recipe. Stage unresolved means raw-versus-processed is undecided.</x:v>
      </x:c>
    </x:row>
    <x:row r="46" ht="45" customHeight="1">
      <x:c r="A46" s="4" t="str">
        <x:v>Processing stage</x:v>
      </x:c>
      <x:c r="B46" s="4" t="str">
        <x:v>Unresolved</x:v>
      </x:c>
      <x:c r="C46" s="4" t="str">
        <x:v>State of the listed item, not its next recipe. Stage unresolved means raw-versus-processed is undecided.</x:v>
      </x:c>
    </x:row>
    <x:row r="47" ht="45" customHeight="1">
      <x:c r="A47" s="4" t="str">
        <x:v>Processing stage</x:v>
      </x:c>
      <x:c r="B47" s="4" t="str">
        <x:v>Unworked metal</x:v>
      </x:c>
      <x:c r="C47" s="4" t="str">
        <x:v>State of the listed item, not its next recipe. Stage unresolved means raw-versus-processed is undecided.</x:v>
      </x:c>
    </x:row>
    <x:row r="48" ht="45" customHeight="1">
      <x:c r="A48" s="4" t="str">
        <x:v>Origin family</x:v>
      </x:c>
      <x:c r="B48" s="4" t="str">
        <x:v>Ancient technology</x:v>
      </x:c>
      <x:c r="C48" s="4" t="str">
        <x:v>Broad provenance. Manufactured / unresolved does not identify raw ingredients.</x:v>
      </x:c>
    </x:row>
    <x:row r="49" ht="45" customHeight="1">
      <x:c r="A49" s="4" t="str">
        <x:v>Origin family</x:v>
      </x:c>
      <x:c r="B49" s="4" t="str">
        <x:v>Atmospheric</x:v>
      </x:c>
      <x:c r="C49" s="4" t="str">
        <x:v>Broad provenance. Manufactured / unresolved does not identify raw ingredients.</x:v>
      </x:c>
    </x:row>
    <x:row r="50" ht="45" customHeight="1">
      <x:c r="A50" s="4" t="str">
        <x:v>Origin family</x:v>
      </x:c>
      <x:c r="B50" s="4" t="str">
        <x:v>Fauna</x:v>
      </x:c>
      <x:c r="C50" s="4" t="str">
        <x:v>Broad provenance. Manufactured / unresolved does not identify raw ingredients.</x:v>
      </x:c>
    </x:row>
    <x:row r="51" ht="45" customHeight="1">
      <x:c r="A51" s="4" t="str">
        <x:v>Origin family</x:v>
      </x:c>
      <x:c r="B51" s="4" t="str">
        <x:v>Geological</x:v>
      </x:c>
      <x:c r="C51" s="4" t="str">
        <x:v>Broad provenance. Manufactured / unresolved does not identify raw ingredients.</x:v>
      </x:c>
    </x:row>
    <x:row r="52" ht="45" customHeight="1">
      <x:c r="A52" s="4" t="str">
        <x:v>Origin family</x:v>
      </x:c>
      <x:c r="B52" s="4" t="str">
        <x:v>Living culture</x:v>
      </x:c>
      <x:c r="C52" s="4" t="str">
        <x:v>Broad provenance. Manufactured / unresolved does not identify raw ingredients.</x:v>
      </x:c>
    </x:row>
    <x:row r="53" ht="45" customHeight="1">
      <x:c r="A53" s="4" t="str">
        <x:v>Origin family</x:v>
      </x:c>
      <x:c r="B53" s="4" t="str">
        <x:v>Manufactured / unresolved</x:v>
      </x:c>
      <x:c r="C53" s="4" t="str">
        <x:v>Broad provenance. Manufactured / unresolved does not identify raw ingredients.</x:v>
      </x:c>
    </x:row>
    <x:row r="54" ht="45" customHeight="1">
      <x:c r="A54" s="4" t="str">
        <x:v>Origin family</x:v>
      </x:c>
      <x:c r="B54" s="4" t="str">
        <x:v>Recovered machinery</x:v>
      </x:c>
      <x:c r="C54" s="4" t="str">
        <x:v>Broad provenance. Manufactured / unresolved does not identify raw ingredients.</x:v>
      </x:c>
    </x:row>
    <x:row r="55" ht="45" customHeight="1">
      <x:c r="A55" s="4" t="str">
        <x:v>Origin family</x:v>
      </x:c>
      <x:c r="B55" s="4" t="str">
        <x:v>Unresolved</x:v>
      </x:c>
      <x:c r="C55" s="4" t="str">
        <x:v>Broad provenance. Manufactured / unresolved does not identify raw ingredients.</x:v>
      </x:c>
    </x:row>
    <x:row r="56" ht="45" customHeight="1">
      <x:c r="A56" s="4" t="str">
        <x:v>Primary use</x:v>
      </x:c>
      <x:c r="B56" s="4" t="str">
        <x:v>Area denial</x:v>
      </x:c>
      <x:c r="C56" s="4" t="str">
        <x:v>Main catalog purpose. Item uses lists additional purposes as separate filterable rows.</x:v>
      </x:c>
    </x:row>
    <x:row r="57" ht="45" customHeight="1">
      <x:c r="A57" s="4" t="str">
        <x:v>Primary use</x:v>
      </x:c>
      <x:c r="B57" s="4" t="str">
        <x:v>Atmospheric support</x:v>
      </x:c>
      <x:c r="C57" s="4" t="str">
        <x:v>Main catalog purpose. Item uses lists additional purposes as separate filterable rows.</x:v>
      </x:c>
    </x:row>
    <x:row r="58" ht="45" customHeight="1">
      <x:c r="A58" s="4" t="str">
        <x:v>Primary use</x:v>
      </x:c>
      <x:c r="B58" s="4" t="str">
        <x:v>Binding and construction</x:v>
      </x:c>
      <x:c r="C58" s="4" t="str">
        <x:v>Main catalog purpose. Item uses lists additional purposes as separate filterable rows.</x:v>
      </x:c>
    </x:row>
    <x:row r="59" ht="45" customHeight="1">
      <x:c r="A59" s="4" t="str">
        <x:v>Primary use</x:v>
      </x:c>
      <x:c r="B59" s="4" t="str">
        <x:v>Camp rest</x:v>
      </x:c>
      <x:c r="C59" s="4" t="str">
        <x:v>Main catalog purpose. Item uses lists additional purposes as separate filterable rows.</x:v>
      </x:c>
    </x:row>
    <x:row r="60" ht="45" customHeight="1">
      <x:c r="A60" s="4" t="str">
        <x:v>Primary use</x:v>
      </x:c>
      <x:c r="B60" s="4" t="str">
        <x:v>Cargo organization</x:v>
      </x:c>
      <x:c r="C60" s="4" t="str">
        <x:v>Main catalog purpose. Item uses lists additional purposes as separate filterable rows.</x:v>
      </x:c>
    </x:row>
    <x:row r="61" ht="45" customHeight="1">
      <x:c r="A61" s="4" t="str">
        <x:v>Primary use</x:v>
      </x:c>
      <x:c r="B61" s="4" t="str">
        <x:v>Ceremony</x:v>
      </x:c>
      <x:c r="C61" s="4" t="str">
        <x:v>Main catalog purpose. Item uses lists additional purposes as separate filterable rows.</x:v>
      </x:c>
    </x:row>
    <x:row r="62" ht="45" customHeight="1">
      <x:c r="A62" s="4" t="str">
        <x:v>Primary use</x:v>
      </x:c>
      <x:c r="B62" s="4" t="str">
        <x:v>Chemical processing</x:v>
      </x:c>
      <x:c r="C62" s="4" t="str">
        <x:v>Main catalog purpose. Item uses lists additional purposes as separate filterable rows.</x:v>
      </x:c>
    </x:row>
    <x:row r="63" ht="45" customHeight="1">
      <x:c r="A63" s="4" t="str">
        <x:v>Primary use</x:v>
      </x:c>
      <x:c r="B63" s="4" t="str">
        <x:v>Civic identification</x:v>
      </x:c>
      <x:c r="C63" s="4" t="str">
        <x:v>Main catalog purpose. Item uses lists additional purposes as separate filterable rows.</x:v>
      </x:c>
    </x:row>
    <x:row r="64" ht="45" customHeight="1">
      <x:c r="A64" s="4" t="str">
        <x:v>Primary use</x:v>
      </x:c>
      <x:c r="B64" s="4" t="str">
        <x:v>Civic recognition</x:v>
      </x:c>
      <x:c r="C64" s="4" t="str">
        <x:v>Main catalog purpose. Item uses lists additional purposes as separate filterable rows.</x:v>
      </x:c>
    </x:row>
    <x:row r="65" ht="45" customHeight="1">
      <x:c r="A65" s="4" t="str">
        <x:v>Primary use</x:v>
      </x:c>
      <x:c r="B65" s="4" t="str">
        <x:v>Cleaning</x:v>
      </x:c>
      <x:c r="C65" s="4" t="str">
        <x:v>Main catalog purpose. Item uses lists additional purposes as separate filterable rows.</x:v>
      </x:c>
    </x:row>
    <x:row r="66" ht="45" customHeight="1">
      <x:c r="A66" s="4" t="str">
        <x:v>Primary use</x:v>
      </x:c>
      <x:c r="B66" s="4" t="str">
        <x:v>Clothing</x:v>
      </x:c>
      <x:c r="C66" s="4" t="str">
        <x:v>Main catalog purpose. Item uses lists additional purposes as separate filterable rows.</x:v>
      </x:c>
    </x:row>
    <x:row r="67" ht="45" customHeight="1">
      <x:c r="A67" s="4" t="str">
        <x:v>Primary use</x:v>
      </x:c>
      <x:c r="B67" s="4" t="str">
        <x:v>Clothing fabrication</x:v>
      </x:c>
      <x:c r="C67" s="4" t="str">
        <x:v>Main catalog purpose. Item uses lists additional purposes as separate filterable rows.</x:v>
      </x:c>
    </x:row>
    <x:row r="68" ht="45" customHeight="1">
      <x:c r="A68" s="4" t="str">
        <x:v>Primary use</x:v>
      </x:c>
      <x:c r="B68" s="4" t="str">
        <x:v>Cooking</x:v>
      </x:c>
      <x:c r="C68" s="4" t="str">
        <x:v>Main catalog purpose. Item uses lists additional purposes as separate filterable rows.</x:v>
      </x:c>
    </x:row>
    <x:row r="69" ht="45" customHeight="1">
      <x:c r="A69" s="4" t="str">
        <x:v>Primary use</x:v>
      </x:c>
      <x:c r="B69" s="4" t="str">
        <x:v>Culture support</x:v>
      </x:c>
      <x:c r="C69" s="4" t="str">
        <x:v>Main catalog purpose. Item uses lists additional purposes as separate filterable rows.</x:v>
      </x:c>
    </x:row>
    <x:row r="70" ht="45" customHeight="1">
      <x:c r="A70" s="4" t="str">
        <x:v>Primary use</x:v>
      </x:c>
      <x:c r="B70" s="4" t="str">
        <x:v>Decoration</x:v>
      </x:c>
      <x:c r="C70" s="4" t="str">
        <x:v>Main catalog purpose. Item uses lists additional purposes as separate filterable rows.</x:v>
      </x:c>
    </x:row>
    <x:row r="71" ht="45" customHeight="1">
      <x:c r="A71" s="4" t="str">
        <x:v>Primary use</x:v>
      </x:c>
      <x:c r="B71" s="4" t="str">
        <x:v>Devotion</x:v>
      </x:c>
      <x:c r="C71" s="4" t="str">
        <x:v>Main catalog purpose. Item uses lists additional purposes as separate filterable rows.</x:v>
      </x:c>
    </x:row>
    <x:row r="72" ht="45" customHeight="1">
      <x:c r="A72" s="4" t="str">
        <x:v>Primary use</x:v>
      </x:c>
      <x:c r="B72" s="4" t="str">
        <x:v>Dust exclusion</x:v>
      </x:c>
      <x:c r="C72" s="4" t="str">
        <x:v>Main catalog purpose. Item uses lists additional purposes as separate filterable rows.</x:v>
      </x:c>
    </x:row>
    <x:row r="73" ht="45" customHeight="1">
      <x:c r="A73" s="4" t="str">
        <x:v>Primary use</x:v>
      </x:c>
      <x:c r="B73" s="4" t="str">
        <x:v>Electrical conduction</x:v>
      </x:c>
      <x:c r="C73" s="4" t="str">
        <x:v>Main catalog purpose. Item uses lists additional purposes as separate filterable rows.</x:v>
      </x:c>
    </x:row>
    <x:row r="74" ht="45" customHeight="1">
      <x:c r="A74" s="4" t="str">
        <x:v>Primary use</x:v>
      </x:c>
      <x:c r="B74" s="4" t="str">
        <x:v>Electrical insulation</x:v>
      </x:c>
      <x:c r="C74" s="4" t="str">
        <x:v>Main catalog purpose. Item uses lists additional purposes as separate filterable rows.</x:v>
      </x:c>
    </x:row>
    <x:row r="75" ht="45" customHeight="1">
      <x:c r="A75" s="4" t="str">
        <x:v>Primary use</x:v>
      </x:c>
      <x:c r="B75" s="4" t="str">
        <x:v>Electrical work</x:v>
      </x:c>
      <x:c r="C75" s="4" t="str">
        <x:v>Main catalog purpose. Item uses lists additional purposes as separate filterable rows.</x:v>
      </x:c>
    </x:row>
    <x:row r="76" ht="45" customHeight="1">
      <x:c r="A76" s="4" t="str">
        <x:v>Primary use</x:v>
      </x:c>
      <x:c r="B76" s="4" t="str">
        <x:v>Energy processing</x:v>
      </x:c>
      <x:c r="C76" s="4" t="str">
        <x:v>Main catalog purpose. Item uses lists additional purposes as separate filterable rows.</x:v>
      </x:c>
    </x:row>
    <x:row r="77" ht="45" customHeight="1">
      <x:c r="A77" s="4" t="str">
        <x:v>Primary use</x:v>
      </x:c>
      <x:c r="B77" s="4" t="str">
        <x:v>Energy storage</x:v>
      </x:c>
      <x:c r="C77" s="4" t="str">
        <x:v>Main catalog purpose. Item uses lists additional purposes as separate filterable rows.</x:v>
      </x:c>
    </x:row>
    <x:row r="78" ht="45" customHeight="1">
      <x:c r="A78" s="4" t="str">
        <x:v>Primary use</x:v>
      </x:c>
      <x:c r="B78" s="4" t="str">
        <x:v>Equipment fabrication</x:v>
      </x:c>
      <x:c r="C78" s="4" t="str">
        <x:v>Main catalog purpose. Item uses lists additional purposes as separate filterable rows.</x:v>
      </x:c>
    </x:row>
    <x:row r="79" ht="45" customHeight="1">
      <x:c r="A79" s="4" t="str">
        <x:v>Primary use</x:v>
      </x:c>
      <x:c r="B79" s="4" t="str">
        <x:v>Equipment mounting</x:v>
      </x:c>
      <x:c r="C79" s="4" t="str">
        <x:v>Main catalog purpose. Item uses lists additional purposes as separate filterable rows.</x:v>
      </x:c>
    </x:row>
    <x:row r="80" ht="45" customHeight="1">
      <x:c r="A80" s="4" t="str">
        <x:v>Primary use</x:v>
      </x:c>
      <x:c r="B80" s="4" t="str">
        <x:v>Equipment repair</x:v>
      </x:c>
      <x:c r="C80" s="4" t="str">
        <x:v>Main catalog purpose. Item uses lists additional purposes as separate filterable rows.</x:v>
      </x:c>
    </x:row>
    <x:row r="81" ht="45" customHeight="1">
      <x:c r="A81" s="4" t="str">
        <x:v>Primary use</x:v>
      </x:c>
      <x:c r="B81" s="4" t="str">
        <x:v>Excavation</x:v>
      </x:c>
      <x:c r="C81" s="4" t="str">
        <x:v>Main catalog purpose. Item uses lists additional purposes as separate filterable rows.</x:v>
      </x:c>
    </x:row>
    <x:row r="82" ht="45" customHeight="1">
      <x:c r="A82" s="4" t="str">
        <x:v>Primary use</x:v>
      </x:c>
      <x:c r="B82" s="4" t="str">
        <x:v>Fabrication</x:v>
      </x:c>
      <x:c r="C82" s="4" t="str">
        <x:v>Main catalog purpose. Item uses lists additional purposes as separate filterable rows.</x:v>
      </x:c>
    </x:row>
    <x:row r="83" ht="45" customHeight="1">
      <x:c r="A83" s="4" t="str">
        <x:v>Primary use</x:v>
      </x:c>
      <x:c r="B83" s="4" t="str">
        <x:v>Fashion</x:v>
      </x:c>
      <x:c r="C83" s="4" t="str">
        <x:v>Main catalog purpose. Item uses lists additional purposes as separate filterable rows.</x:v>
      </x:c>
    </x:row>
    <x:row r="84" ht="45" customHeight="1">
      <x:c r="A84" s="4" t="str">
        <x:v>Primary use</x:v>
      </x:c>
      <x:c r="B84" s="4" t="str">
        <x:v>Fauna interaction</x:v>
      </x:c>
      <x:c r="C84" s="4" t="str">
        <x:v>Main catalog purpose. Item uses lists additional purposes as separate filterable rows.</x:v>
      </x:c>
    </x:row>
    <x:row r="85" ht="45" customHeight="1">
      <x:c r="A85" s="4" t="str">
        <x:v>Primary use</x:v>
      </x:c>
      <x:c r="B85" s="4" t="str">
        <x:v>Fiber processing</x:v>
      </x:c>
      <x:c r="C85" s="4" t="str">
        <x:v>Main catalog purpose. Item uses lists additional purposes as separate filterable rows.</x:v>
      </x:c>
    </x:row>
    <x:row r="86" ht="45" customHeight="1">
      <x:c r="A86" s="4" t="str">
        <x:v>Primary use</x:v>
      </x:c>
      <x:c r="B86" s="4" t="str">
        <x:v>Fire management</x:v>
      </x:c>
      <x:c r="C86" s="4" t="str">
        <x:v>Main catalog purpose. Item uses lists additional purposes as separate filterable rows.</x:v>
      </x:c>
    </x:row>
    <x:row r="87" ht="45" customHeight="1">
      <x:c r="A87" s="4" t="str">
        <x:v>Primary use</x:v>
      </x:c>
      <x:c r="B87" s="4" t="str">
        <x:v>Food service</x:v>
      </x:c>
      <x:c r="C87" s="4" t="str">
        <x:v>Main catalog purpose. Item uses lists additional purposes as separate filterable rows.</x:v>
      </x:c>
    </x:row>
    <x:row r="88" ht="45" customHeight="1">
      <x:c r="A88" s="4" t="str">
        <x:v>Primary use</x:v>
      </x:c>
      <x:c r="B88" s="4" t="str">
        <x:v>Fuel</x:v>
      </x:c>
      <x:c r="C88" s="4" t="str">
        <x:v>Main catalog purpose. Item uses lists additional purposes as separate filterable rows.</x:v>
      </x:c>
    </x:row>
    <x:row r="89" ht="45" customHeight="1">
      <x:c r="A89" s="4" t="str">
        <x:v>Primary use</x:v>
      </x:c>
      <x:c r="B89" s="4" t="str">
        <x:v>Glass and ceramics</x:v>
      </x:c>
      <x:c r="C89" s="4" t="str">
        <x:v>Main catalog purpose. Item uses lists additional purposes as separate filterable rows.</x:v>
      </x:c>
    </x:row>
    <x:row r="90" ht="45" customHeight="1">
      <x:c r="A90" s="4" t="str">
        <x:v>Primary use</x:v>
      </x:c>
      <x:c r="B90" s="4" t="str">
        <x:v>Grooming</x:v>
      </x:c>
      <x:c r="C90" s="4" t="str">
        <x:v>Main catalog purpose. Item uses lists additional purposes as separate filterable rows.</x:v>
      </x:c>
    </x:row>
    <x:row r="91" ht="45" customHeight="1">
      <x:c r="A91" s="4" t="str">
        <x:v>Primary use</x:v>
      </x:c>
      <x:c r="B91" s="4" t="str">
        <x:v>Ignition</x:v>
      </x:c>
      <x:c r="C91" s="4" t="str">
        <x:v>Main catalog purpose. Item uses lists additional purposes as separate filterable rows.</x:v>
      </x:c>
    </x:row>
    <x:row r="92" ht="45" customHeight="1">
      <x:c r="A92" s="4" t="str">
        <x:v>Primary use</x:v>
      </x:c>
      <x:c r="B92" s="4" t="str">
        <x:v>Illumination</x:v>
      </x:c>
      <x:c r="C92" s="4" t="str">
        <x:v>Main catalog purpose. Item uses lists additional purposes as separate filterable rows.</x:v>
      </x:c>
    </x:row>
    <x:row r="93" ht="45" customHeight="1">
      <x:c r="A93" s="4" t="str">
        <x:v>Primary use</x:v>
      </x:c>
      <x:c r="B93" s="4" t="str">
        <x:v>Injury treatment</x:v>
      </x:c>
      <x:c r="C93" s="4" t="str">
        <x:v>Main catalog purpose. Item uses lists additional purposes as separate filterable rows.</x:v>
      </x:c>
    </x:row>
    <x:row r="94" ht="45" customHeight="1">
      <x:c r="A94" s="4" t="str">
        <x:v>Primary use</x:v>
      </x:c>
      <x:c r="B94" s="4" t="str">
        <x:v>Inspection</x:v>
      </x:c>
      <x:c r="C94" s="4" t="str">
        <x:v>Main catalog purpose. Item uses lists additional purposes as separate filterable rows.</x:v>
      </x:c>
    </x:row>
    <x:row r="95" ht="45" customHeight="1">
      <x:c r="A95" s="4" t="str">
        <x:v>Primary use</x:v>
      </x:c>
      <x:c r="B95" s="4" t="str">
        <x:v>Keepsake storage</x:v>
      </x:c>
      <x:c r="C95" s="4" t="str">
        <x:v>Main catalog purpose. Item uses lists additional purposes as separate filterable rows.</x:v>
      </x:c>
    </x:row>
    <x:row r="96" ht="45" customHeight="1">
      <x:c r="A96" s="4" t="str">
        <x:v>Primary use</x:v>
      </x:c>
      <x:c r="B96" s="4" t="str">
        <x:v>Liquid and bulk containment</x:v>
      </x:c>
      <x:c r="C96" s="4" t="str">
        <x:v>Main catalog purpose. Item uses lists additional purposes as separate filterable rows.</x:v>
      </x:c>
    </x:row>
    <x:row r="97" ht="45" customHeight="1">
      <x:c r="A97" s="4" t="str">
        <x:v>Primary use</x:v>
      </x:c>
      <x:c r="B97" s="4" t="str">
        <x:v>Lubrication</x:v>
      </x:c>
      <x:c r="C97" s="4" t="str">
        <x:v>Main catalog purpose. Item uses lists additional purposes as separate filterable rows.</x:v>
      </x:c>
    </x:row>
    <x:row r="98" ht="45" customHeight="1">
      <x:c r="A98" s="4" t="str">
        <x:v>Primary use</x:v>
      </x:c>
      <x:c r="B98" s="4" t="str">
        <x:v>Machinery drive</x:v>
      </x:c>
      <x:c r="C98" s="4" t="str">
        <x:v>Main catalog purpose. Item uses lists additional purposes as separate filterable rows.</x:v>
      </x:c>
    </x:row>
    <x:row r="99" ht="45" customHeight="1">
      <x:c r="A99" s="4" t="str">
        <x:v>Primary use</x:v>
      </x:c>
      <x:c r="B99" s="4" t="str">
        <x:v>Machinery repair</x:v>
      </x:c>
      <x:c r="C99" s="4" t="str">
        <x:v>Main catalog purpose. Item uses lists additional purposes as separate filterable rows.</x:v>
      </x:c>
    </x:row>
    <x:row r="100" ht="45" customHeight="1">
      <x:c r="A100" s="4" t="str">
        <x:v>Primary use</x:v>
      </x:c>
      <x:c r="B100" s="4" t="str">
        <x:v>Magnetic tools</x:v>
      </x:c>
      <x:c r="C100" s="4" t="str">
        <x:v>Main catalog purpose. Item uses lists additional purposes as separate filterable rows.</x:v>
      </x:c>
    </x:row>
    <x:row r="101" ht="45" customHeight="1">
      <x:c r="A101" s="4" t="str">
        <x:v>Primary use</x:v>
      </x:c>
      <x:c r="B101" s="4" t="str">
        <x:v>Material exclusion</x:v>
      </x:c>
      <x:c r="C101" s="4" t="str">
        <x:v>Main catalog purpose. Item uses lists additional purposes as separate filterable rows.</x:v>
      </x:c>
    </x:row>
    <x:row r="102" ht="45" customHeight="1">
      <x:c r="A102" s="4" t="str">
        <x:v>Primary use</x:v>
      </x:c>
      <x:c r="B102" s="4" t="str">
        <x:v>Material transfer</x:v>
      </x:c>
      <x:c r="C102" s="4" t="str">
        <x:v>Main catalog purpose. Item uses lists additional purposes as separate filterable rows.</x:v>
      </x:c>
    </x:row>
    <x:row r="103" ht="45" customHeight="1">
      <x:c r="A103" s="4" t="str">
        <x:v>Primary use</x:v>
      </x:c>
      <x:c r="B103" s="4" t="str">
        <x:v>Metal refining</x:v>
      </x:c>
      <x:c r="C103" s="4" t="str">
        <x:v>Main catalog purpose. Item uses lists additional purposes as separate filterable rows.</x:v>
      </x:c>
    </x:row>
    <x:row r="104" ht="45" customHeight="1">
      <x:c r="A104" s="4" t="str">
        <x:v>Primary use</x:v>
      </x:c>
      <x:c r="B104" s="4" t="str">
        <x:v>Music</x:v>
      </x:c>
      <x:c r="C104" s="4" t="str">
        <x:v>Main catalog purpose. Item uses lists additional purposes as separate filterable rows.</x:v>
      </x:c>
    </x:row>
    <x:row r="105" ht="45" customHeight="1">
      <x:c r="A105" s="4" t="str">
        <x:v>Primary use</x:v>
      </x:c>
      <x:c r="B105" s="4" t="str">
        <x:v>Nutrition</x:v>
      </x:c>
      <x:c r="C105" s="4" t="str">
        <x:v>Main catalog purpose. Item uses lists additional purposes as separate filterable rows.</x:v>
      </x:c>
    </x:row>
    <x:row r="106" ht="45" customHeight="1">
      <x:c r="A106" s="4" t="str">
        <x:v>Primary use</x:v>
      </x:c>
      <x:c r="B106" s="4" t="str">
        <x:v>Paper making</x:v>
      </x:c>
      <x:c r="C106" s="4" t="str">
        <x:v>Main catalog purpose. Item uses lists additional purposes as separate filterable rows.</x:v>
      </x:c>
    </x:row>
    <x:row r="107" ht="45" customHeight="1">
      <x:c r="A107" s="4" t="str">
        <x:v>Primary use</x:v>
      </x:c>
      <x:c r="B107" s="4" t="str">
        <x:v>Protection</x:v>
      </x:c>
      <x:c r="C107" s="4" t="str">
        <x:v>Main catalog purpose. Item uses lists additional purposes as separate filterable rows.</x:v>
      </x:c>
    </x:row>
    <x:row r="108" ht="45" customHeight="1">
      <x:c r="A108" s="4" t="str">
        <x:v>Primary use</x:v>
      </x:c>
      <x:c r="B108" s="4" t="str">
        <x:v>Protective fabrication</x:v>
      </x:c>
      <x:c r="C108" s="4" t="str">
        <x:v>Main catalog purpose. Item uses lists additional purposes as separate filterable rows.</x:v>
      </x:c>
    </x:row>
    <x:row r="109" ht="45" customHeight="1">
      <x:c r="A109" s="4" t="str">
        <x:v>Primary use</x:v>
      </x:c>
      <x:c r="B109" s="4" t="str">
        <x:v>Provenance</x:v>
      </x:c>
      <x:c r="C109" s="4" t="str">
        <x:v>Main catalog purpose. Item uses lists additional purposes as separate filterable rows.</x:v>
      </x:c>
    </x:row>
    <x:row r="110" ht="45" customHeight="1">
      <x:c r="A110" s="4" t="str">
        <x:v>Primary use</x:v>
      </x:c>
      <x:c r="B110" s="4" t="str">
        <x:v>Public communication</x:v>
      </x:c>
      <x:c r="C110" s="4" t="str">
        <x:v>Main catalog purpose. Item uses lists additional purposes as separate filterable rows.</x:v>
      </x:c>
    </x:row>
    <x:row r="111" ht="45" customHeight="1">
      <x:c r="A111" s="4" t="str">
        <x:v>Primary use</x:v>
      </x:c>
      <x:c r="B111" s="4" t="str">
        <x:v>Remembrance</x:v>
      </x:c>
      <x:c r="C111" s="4" t="str">
        <x:v>Main catalog purpose. Item uses lists additional purposes as separate filterable rows.</x:v>
      </x:c>
    </x:row>
    <x:row r="112" ht="45" customHeight="1">
      <x:c r="A112" s="4" t="str">
        <x:v>Primary use</x:v>
      </x:c>
      <x:c r="B112" s="4" t="str">
        <x:v>Resource collection</x:v>
      </x:c>
      <x:c r="C112" s="4" t="str">
        <x:v>Main catalog purpose. Item uses lists additional purposes as separate filterable rows.</x:v>
      </x:c>
    </x:row>
    <x:row r="113" ht="45" customHeight="1">
      <x:c r="A113" s="4" t="str">
        <x:v>Primary use</x:v>
      </x:c>
      <x:c r="B113" s="4" t="str">
        <x:v>Sealing</x:v>
      </x:c>
      <x:c r="C113" s="4" t="str">
        <x:v>Main catalog purpose. Item uses lists additional purposes as separate filterable rows.</x:v>
      </x:c>
    </x:row>
    <x:row r="114" ht="45" customHeight="1">
      <x:c r="A114" s="4" t="str">
        <x:v>Primary use</x:v>
      </x:c>
      <x:c r="B114" s="4" t="str">
        <x:v>Specialist samples</x:v>
      </x:c>
      <x:c r="C114" s="4" t="str">
        <x:v>Main catalog purpose. Item uses lists additional purposes as separate filterable rows.</x:v>
      </x:c>
    </x:row>
    <x:row r="115" ht="45" customHeight="1">
      <x:c r="A115" s="4" t="str">
        <x:v>Primary use</x:v>
      </x:c>
      <x:c r="B115" s="4" t="str">
        <x:v>Static management</x:v>
      </x:c>
      <x:c r="C115" s="4" t="str">
        <x:v>Main catalog purpose. Item uses lists additional purposes as separate filterable rows.</x:v>
      </x:c>
    </x:row>
    <x:row r="116" ht="45" customHeight="1">
      <x:c r="A116" s="4" t="str">
        <x:v>Primary use</x:v>
      </x:c>
      <x:c r="B116" s="4" t="str">
        <x:v>Sun shading</x:v>
      </x:c>
      <x:c r="C116" s="4" t="str">
        <x:v>Main catalog purpose. Item uses lists additional purposes as separate filterable rows.</x:v>
      </x:c>
    </x:row>
    <x:row r="117" ht="45" customHeight="1">
      <x:c r="A117" s="4" t="str">
        <x:v>Primary use</x:v>
      </x:c>
      <x:c r="B117" s="4" t="str">
        <x:v>Surface finishing</x:v>
      </x:c>
      <x:c r="C117" s="4" t="str">
        <x:v>Main catalog purpose. Item uses lists additional purposes as separate filterable rows.</x:v>
      </x:c>
    </x:row>
    <x:row r="118" ht="45" customHeight="1">
      <x:c r="A118" s="4" t="str">
        <x:v>Primary use</x:v>
      </x:c>
      <x:c r="B118" s="4" t="str">
        <x:v>Survival provision</x:v>
      </x:c>
      <x:c r="C118" s="4" t="str">
        <x:v>Main catalog purpose. Item uses lists additional purposes as separate filterable rows.</x:v>
      </x:c>
    </x:row>
    <x:row r="119" ht="45" customHeight="1">
      <x:c r="A119" s="4" t="str">
        <x:v>Primary use</x:v>
      </x:c>
      <x:c r="B119" s="4" t="str">
        <x:v>Textile processing</x:v>
      </x:c>
      <x:c r="C119" s="4" t="str">
        <x:v>Main catalog purpose. Item uses lists additional purposes as separate filterable rows.</x:v>
      </x:c>
    </x:row>
    <x:row r="120" ht="45" customHeight="1">
      <x:c r="A120" s="4" t="str">
        <x:v>Primary use</x:v>
      </x:c>
      <x:c r="B120" s="4" t="str">
        <x:v>Tool fabrication</x:v>
      </x:c>
      <x:c r="C120" s="4" t="str">
        <x:v>Main catalog purpose. Item uses lists additional purposes as separate filterable rows.</x:v>
      </x:c>
    </x:row>
    <x:row r="121" ht="45" customHeight="1">
      <x:c r="A121" s="4" t="str">
        <x:v>Primary use</x:v>
      </x:c>
      <x:c r="B121" s="4" t="str">
        <x:v>Trade</x:v>
      </x:c>
      <x:c r="C121" s="4" t="str">
        <x:v>Main catalog purpose. Item uses lists additional purposes as separate filterable rows.</x:v>
      </x:c>
    </x:row>
    <x:row r="122" ht="45" customHeight="1">
      <x:c r="A122" s="4" t="str">
        <x:v>Primary use</x:v>
      </x:c>
      <x:c r="B122" s="4" t="str">
        <x:v>Traversal</x:v>
      </x:c>
      <x:c r="C122" s="4" t="str">
        <x:v>Main catalog purpose. Item uses lists additional purposes as separate filterable rows.</x:v>
      </x:c>
    </x:row>
    <x:row r="123" ht="45" customHeight="1">
      <x:c r="A123" s="4" t="str">
        <x:v>Primary use</x:v>
      </x:c>
      <x:c r="B123" s="4" t="str">
        <x:v>Use unresolved</x:v>
      </x:c>
      <x:c r="C123" s="4" t="str">
        <x:v>Main catalog purpose. Item uses lists additional purposes as separate filterable rows.</x:v>
      </x:c>
    </x:row>
    <x:row r="124" ht="45" customHeight="1">
      <x:c r="A124" s="4" t="str">
        <x:v>Primary use</x:v>
      </x:c>
      <x:c r="B124" s="4" t="str">
        <x:v>Vision</x:v>
      </x:c>
      <x:c r="C124" s="4" t="str">
        <x:v>Main catalog purpose. Item uses lists additional purposes as separate filterable rows.</x:v>
      </x:c>
    </x:row>
    <x:row r="125" ht="45" customHeight="1">
      <x:c r="A125" s="4" t="str">
        <x:v>Primary use</x:v>
      </x:c>
      <x:c r="B125" s="4" t="str">
        <x:v>Wind power</x:v>
      </x:c>
      <x:c r="C125" s="4" t="str">
        <x:v>Main catalog purpose. Item uses lists additional purposes as separate filterable rows.</x:v>
      </x:c>
    </x:row>
    <x:row r="126" ht="45" customHeight="1">
      <x:c r="A126" s="4" t="str">
        <x:v>Primary use</x:v>
      </x:c>
      <x:c r="B126" s="4" t="str">
        <x:v>Wind propulsion</x:v>
      </x:c>
      <x:c r="C126" s="4" t="str">
        <x:v>Main catalog purpose. Item uses lists additional purposes as separate filterable rows.</x:v>
      </x:c>
    </x:row>
    <x:row r="127" ht="45" customHeight="1">
      <x:c r="A127" s="4" t="str">
        <x:v>Primary use</x:v>
      </x:c>
      <x:c r="B127" s="4" t="str">
        <x:v>Work holding</x:v>
      </x:c>
      <x:c r="C127" s="4" t="str">
        <x:v>Main catalog purpose. Item uses lists additional purposes as separate filterable rows.</x:v>
      </x:c>
    </x:row>
    <x:row r="128" ht="45" customHeight="1">
      <x:c r="A128" s="4" t="str">
        <x:v>Primary use</x:v>
      </x:c>
      <x:c r="B128" s="4" t="str">
        <x:v>Writing and records</x:v>
      </x:c>
      <x:c r="C128" s="4" t="str">
        <x:v>Main catalog purpose. Item uses lists additional purposes as separate filterable rows.</x:v>
      </x:c>
    </x:row>
    <x:row r="129" ht="45" customHeight="1">
      <x:c r="A129" s="4" t="str">
        <x:v>Material family</x:v>
      </x:c>
      <x:c r="B129" s="4" t="str">
        <x:v>Ancient composite</x:v>
      </x:c>
      <x:c r="C129" s="4" t="str">
        <x:v>Broad descriptive candidate. Mixed, alternative and unresolved values preserve uncertainty.</x:v>
      </x:c>
    </x:row>
    <x:row r="130" ht="45" customHeight="1">
      <x:c r="A130" s="4" t="str">
        <x:v>Material family</x:v>
      </x:c>
      <x:c r="B130" s="4" t="str">
        <x:v>Biological and mineral mixture</x:v>
      </x:c>
      <x:c r="C130" s="4" t="str">
        <x:v>Broad descriptive candidate. Mixed, alternative and unresolved values preserve uncertainty.</x:v>
      </x:c>
    </x:row>
    <x:row r="131" ht="45" customHeight="1">
      <x:c r="A131" s="4" t="str">
        <x:v>Material family</x:v>
      </x:c>
      <x:c r="B131" s="4" t="str">
        <x:v>Biological chemical</x:v>
      </x:c>
      <x:c r="C131" s="4" t="str">
        <x:v>Broad descriptive candidate. Mixed, alternative and unresolved values preserve uncertainty.</x:v>
      </x:c>
    </x:row>
    <x:row r="132" ht="45" customHeight="1">
      <x:c r="A132" s="4" t="str">
        <x:v>Material family</x:v>
      </x:c>
      <x:c r="B132" s="4" t="str">
        <x:v>Carbonaceous material</x:v>
      </x:c>
      <x:c r="C132" s="4" t="str">
        <x:v>Broad descriptive candidate. Mixed, alternative and unresolved values preserve uncertainty.</x:v>
      </x:c>
    </x:row>
    <x:row r="133" ht="45" customHeight="1">
      <x:c r="A133" s="4" t="str">
        <x:v>Material family</x:v>
      </x:c>
      <x:c r="B133" s="4" t="str">
        <x:v>Ceramic</x:v>
      </x:c>
      <x:c r="C133" s="4" t="str">
        <x:v>Broad descriptive candidate. Mixed, alternative and unresolved values preserve uncertainty.</x:v>
      </x:c>
    </x:row>
    <x:row r="134" ht="45" customHeight="1">
      <x:c r="A134" s="4" t="str">
        <x:v>Material family</x:v>
      </x:c>
      <x:c r="B134" s="4" t="str">
        <x:v>Ceramic and metal</x:v>
      </x:c>
      <x:c r="C134" s="4" t="str">
        <x:v>Broad descriptive candidate. Mixed, alternative and unresolved values preserve uncertainty.</x:v>
      </x:c>
    </x:row>
    <x:row r="135" ht="45" customHeight="1">
      <x:c r="A135" s="4" t="str">
        <x:v>Material family</x:v>
      </x:c>
      <x:c r="B135" s="4" t="str">
        <x:v>Ceramic feed mixture</x:v>
      </x:c>
      <x:c r="C135" s="4" t="str">
        <x:v>Broad descriptive candidate. Mixed, alternative and unresolved values preserve uncertainty.</x:v>
      </x:c>
    </x:row>
    <x:row r="136" ht="45" customHeight="1">
      <x:c r="A136" s="4" t="str">
        <x:v>Material family</x:v>
      </x:c>
      <x:c r="B136" s="4" t="str">
        <x:v>Faunal fiber</x:v>
      </x:c>
      <x:c r="C136" s="4" t="str">
        <x:v>Broad descriptive candidate. Mixed, alternative and unresolved values preserve uncertainty.</x:v>
      </x:c>
    </x:row>
    <x:row r="137" ht="45" customHeight="1">
      <x:c r="A137" s="4" t="str">
        <x:v>Material family</x:v>
      </x:c>
      <x:c r="B137" s="4" t="str">
        <x:v>Faunal fiber and shell</x:v>
      </x:c>
      <x:c r="C137" s="4" t="str">
        <x:v>Broad descriptive candidate. Mixed, alternative and unresolved values preserve uncertainty.</x:v>
      </x:c>
    </x:row>
    <x:row r="138" ht="45" customHeight="1">
      <x:c r="A138" s="4" t="str">
        <x:v>Material family</x:v>
      </x:c>
      <x:c r="B138" s="4" t="str">
        <x:v>Faunal membrane</x:v>
      </x:c>
      <x:c r="C138" s="4" t="str">
        <x:v>Broad descriptive candidate. Mixed, alternative and unresolved values preserve uncertainty.</x:v>
      </x:c>
    </x:row>
    <x:row r="139" ht="45" customHeight="1">
      <x:c r="A139" s="4" t="str">
        <x:v>Material family</x:v>
      </x:c>
      <x:c r="B139" s="4" t="str">
        <x:v>Faunal tissue</x:v>
      </x:c>
      <x:c r="C139" s="4" t="str">
        <x:v>Broad descriptive candidate. Mixed, alternative and unresolved values preserve uncertainty.</x:v>
      </x:c>
    </x:row>
    <x:row r="140" ht="45" customHeight="1">
      <x:c r="A140" s="4" t="str">
        <x:v>Material family</x:v>
      </x:c>
      <x:c r="B140" s="4" t="str">
        <x:v>Fur</x:v>
      </x:c>
      <x:c r="C140" s="4" t="str">
        <x:v>Broad descriptive candidate. Mixed, alternative and unresolved values preserve uncertainty.</x:v>
      </x:c>
    </x:row>
    <x:row r="141" ht="45" customHeight="1">
      <x:c r="A141" s="4" t="str">
        <x:v>Material family</x:v>
      </x:c>
      <x:c r="B141" s="4" t="str">
        <x:v>Gemstone</x:v>
      </x:c>
      <x:c r="C141" s="4" t="str">
        <x:v>Broad descriptive candidate. Mixed, alternative and unresolved values preserve uncertainty.</x:v>
      </x:c>
    </x:row>
    <x:row r="142" ht="45" customHeight="1">
      <x:c r="A142" s="4" t="str">
        <x:v>Material family</x:v>
      </x:c>
      <x:c r="B142" s="4" t="str">
        <x:v>Glass</x:v>
      </x:c>
      <x:c r="C142" s="4" t="str">
        <x:v>Broad descriptive candidate. Mixed, alternative and unresolved values preserve uncertainty.</x:v>
      </x:c>
    </x:row>
    <x:row r="143" ht="45" customHeight="1">
      <x:c r="A143" s="4" t="str">
        <x:v>Material family</x:v>
      </x:c>
      <x:c r="B143" s="4" t="str">
        <x:v>Glass and metal</x:v>
      </x:c>
      <x:c r="C143" s="4" t="str">
        <x:v>Broad descriptive candidate. Mixed, alternative and unresolved values preserve uncertainty.</x:v>
      </x:c>
    </x:row>
    <x:row r="144" ht="45" customHeight="1">
      <x:c r="A144" s="4" t="str">
        <x:v>Material family</x:v>
      </x:c>
      <x:c r="B144" s="4" t="str">
        <x:v>Glass and shell</x:v>
      </x:c>
      <x:c r="C144" s="4" t="str">
        <x:v>Broad descriptive candidate. Mixed, alternative and unresolved values preserve uncertainty.</x:v>
      </x:c>
    </x:row>
    <x:row r="145" ht="45" customHeight="1">
      <x:c r="A145" s="4" t="str">
        <x:v>Material family</x:v>
      </x:c>
      <x:c r="B145" s="4" t="str">
        <x:v>Glass with unresolved casing</x:v>
      </x:c>
      <x:c r="C145" s="4" t="str">
        <x:v>Broad descriptive candidate. Mixed, alternative and unresolved values preserve uncertainty.</x:v>
      </x:c>
    </x:row>
    <x:row r="146" ht="45" customHeight="1">
      <x:c r="A146" s="4" t="str">
        <x:v>Material family</x:v>
      </x:c>
      <x:c r="B146" s="4" t="str">
        <x:v>Hide</x:v>
      </x:c>
      <x:c r="C146" s="4" t="str">
        <x:v>Broad descriptive candidate. Mixed, alternative and unresolved values preserve uncertainty.</x:v>
      </x:c>
    </x:row>
    <x:row r="147" ht="45" customHeight="1">
      <x:c r="A147" s="4" t="str">
        <x:v>Material family</x:v>
      </x:c>
      <x:c r="B147" s="4" t="str">
        <x:v>Husk fiber</x:v>
      </x:c>
      <x:c r="C147" s="4" t="str">
        <x:v>Broad descriptive candidate. Mixed, alternative and unresolved values preserve uncertainty.</x:v>
      </x:c>
    </x:row>
    <x:row r="148" ht="45" customHeight="1">
      <x:c r="A148" s="4" t="str">
        <x:v>Material family</x:v>
      </x:c>
      <x:c r="B148" s="4" t="str">
        <x:v>Husk fiber and shell</x:v>
      </x:c>
      <x:c r="C148" s="4" t="str">
        <x:v>Broad descriptive candidate. Mixed, alternative and unresolved values preserve uncertainty.</x:v>
      </x:c>
    </x:row>
    <x:row r="149" ht="45" customHeight="1">
      <x:c r="A149" s="4" t="str">
        <x:v>Material family</x:v>
      </x:c>
      <x:c r="B149" s="4" t="str">
        <x:v>Metal</x:v>
      </x:c>
      <x:c r="C149" s="4" t="str">
        <x:v>Broad descriptive candidate. Mixed, alternative and unresolved values preserve uncertainty.</x:v>
      </x:c>
    </x:row>
    <x:row r="150" ht="45" customHeight="1">
      <x:c r="A150" s="4" t="str">
        <x:v>Material family</x:v>
      </x:c>
      <x:c r="B150" s="4" t="str">
        <x:v>Metal and shell</x:v>
      </x:c>
      <x:c r="C150" s="4" t="str">
        <x:v>Broad descriptive candidate. Mixed, alternative and unresolved values preserve uncertainty.</x:v>
      </x:c>
    </x:row>
    <x:row r="151" ht="45" customHeight="1">
      <x:c r="A151" s="4" t="str">
        <x:v>Material family</x:v>
      </x:c>
      <x:c r="B151" s="4" t="str">
        <x:v>Metal or shell</x:v>
      </x:c>
      <x:c r="C151" s="4" t="str">
        <x:v>Broad descriptive candidate. Mixed, alternative and unresolved values preserve uncertainty.</x:v>
      </x:c>
    </x:row>
    <x:row r="152" ht="45" customHeight="1">
      <x:c r="A152" s="4" t="str">
        <x:v>Material family</x:v>
      </x:c>
      <x:c r="B152" s="4" t="str">
        <x:v>Mineral</x:v>
      </x:c>
      <x:c r="C152" s="4" t="str">
        <x:v>Broad descriptive candidate. Mixed, alternative and unresolved values preserve uncertainty.</x:v>
      </x:c>
    </x:row>
    <x:row r="153" ht="45" customHeight="1">
      <x:c r="A153" s="4" t="str">
        <x:v>Material family</x:v>
      </x:c>
      <x:c r="B153" s="4" t="str">
        <x:v>Mineral or shell</x:v>
      </x:c>
      <x:c r="C153" s="4" t="str">
        <x:v>Broad descriptive candidate. Mixed, alternative and unresolved values preserve uncertainty.</x:v>
      </x:c>
    </x:row>
    <x:row r="154" ht="45" customHeight="1">
      <x:c r="A154" s="4" t="str">
        <x:v>Material family</x:v>
      </x:c>
      <x:c r="B154" s="4" t="str">
        <x:v>Mixed / unresolved</x:v>
      </x:c>
      <x:c r="C154" s="4" t="str">
        <x:v>Broad descriptive candidate. Mixed, alternative and unresolved values preserve uncertainty.</x:v>
      </x:c>
    </x:row>
    <x:row r="155" ht="45" customHeight="1">
      <x:c r="A155" s="4" t="str">
        <x:v>Material family</x:v>
      </x:c>
      <x:c r="B155" s="4" t="str">
        <x:v>Shell / chitin</x:v>
      </x:c>
      <x:c r="C155" s="4" t="str">
        <x:v>Broad descriptive candidate. Mixed, alternative and unresolved values preserve uncertainty.</x:v>
      </x:c>
    </x:row>
    <x:row r="156" ht="45" customHeight="1">
      <x:c r="A156" s="4" t="str">
        <x:v>Material family</x:v>
      </x:c>
      <x:c r="B156" s="4" t="str">
        <x:v>Shell and mineral</x:v>
      </x:c>
      <x:c r="C156" s="4" t="str">
        <x:v>Broad descriptive candidate. Mixed, alternative and unresolved values preserve uncertainty.</x:v>
      </x:c>
    </x:row>
    <x:row r="157" ht="45" customHeight="1">
      <x:c r="A157" s="4" t="str">
        <x:v>Material family</x:v>
      </x:c>
      <x:c r="B157" s="4" t="str">
        <x:v>Unresolved</x:v>
      </x:c>
      <x:c r="C157" s="4" t="str">
        <x:v>Broad descriptive candidate. Mixed, alternative and unresolved values preserve uncertainty.</x:v>
      </x:c>
    </x:row>
    <x:row r="158" ht="45" customHeight="1">
      <x:c r="A158" s="4" t="str">
        <x:v>Material family</x:v>
      </x:c>
      <x:c r="B158" s="4" t="str">
        <x:v>Wing membrane</x:v>
      </x:c>
      <x:c r="C158" s="4" t="str">
        <x:v>Broad descriptive candidate. Mixed, alternative and unresolved values preserve uncertainty.</x:v>
      </x:c>
    </x:row>
    <x:row r="159" ht="45" customHeight="1">
      <x:c r="A159" s="4" t="str">
        <x:v>Material family</x:v>
      </x:c>
      <x:c r="B159" s="4" t="str">
        <x:v>Wing membrane and frame</x:v>
      </x:c>
      <x:c r="C159" s="4" t="str">
        <x:v>Broad descriptive candidate. Mixed, alternative and unresolved values preserve uncertainty.</x:v>
      </x:c>
    </x:row>
    <x:row r="160" ht="45" customHeight="1">
      <x:c r="A160" s="4" t="str">
        <x:v>Physical form</x:v>
      </x:c>
      <x:c r="B160" s="4" t="str">
        <x:v>Assembly</x:v>
      </x:c>
      <x:c r="C160" s="4" t="str">
        <x:v>Catalog shape/state only; Unresolved avoids inventing a physical or chemical property.</x:v>
      </x:c>
    </x:row>
    <x:row r="161" ht="45" customHeight="1">
      <x:c r="A161" s="4" t="str">
        <x:v>Physical form</x:v>
      </x:c>
      <x:c r="B161" s="4" t="str">
        <x:v>Bundle</x:v>
      </x:c>
      <x:c r="C161" s="4" t="str">
        <x:v>Catalog shape/state only; Unresolved avoids inventing a physical or chemical property.</x:v>
      </x:c>
    </x:row>
    <x:row r="162" ht="45" customHeight="1">
      <x:c r="A162" s="4" t="str">
        <x:v>Physical form</x:v>
      </x:c>
      <x:c r="B162" s="4" t="str">
        <x:v>Cord</x:v>
      </x:c>
      <x:c r="C162" s="4" t="str">
        <x:v>Catalog shape/state only; Unresolved avoids inventing a physical or chemical property.</x:v>
      </x:c>
    </x:row>
    <x:row r="163" ht="45" customHeight="1">
      <x:c r="A163" s="4" t="str">
        <x:v>Physical form</x:v>
      </x:c>
      <x:c r="B163" s="4" t="str">
        <x:v>Fiber</x:v>
      </x:c>
      <x:c r="C163" s="4" t="str">
        <x:v>Catalog shape/state only; Unresolved avoids inventing a physical or chemical property.</x:v>
      </x:c>
    </x:row>
    <x:row r="164" ht="45" customHeight="1">
      <x:c r="A164" s="4" t="str">
        <x:v>Physical form</x:v>
      </x:c>
      <x:c r="B164" s="4" t="str">
        <x:v>Folio</x:v>
      </x:c>
      <x:c r="C164" s="4" t="str">
        <x:v>Catalog shape/state only; Unresolved avoids inventing a physical or chemical property.</x:v>
      </x:c>
    </x:row>
    <x:row r="165" ht="45" customHeight="1">
      <x:c r="A165" s="4" t="str">
        <x:v>Physical form</x:v>
      </x:c>
      <x:c r="B165" s="4" t="str">
        <x:v>Garment</x:v>
      </x:c>
      <x:c r="C165" s="4" t="str">
        <x:v>Catalog shape/state only; Unresolved avoids inventing a physical or chemical property.</x:v>
      </x:c>
    </x:row>
    <x:row r="166" ht="45" customHeight="1">
      <x:c r="A166" s="4" t="str">
        <x:v>Physical form</x:v>
      </x:c>
      <x:c r="B166" s="4" t="str">
        <x:v>Gel</x:v>
      </x:c>
      <x:c r="C166" s="4" t="str">
        <x:v>Catalog shape/state only; Unresolved avoids inventing a physical or chemical property.</x:v>
      </x:c>
    </x:row>
    <x:row r="167" ht="45" customHeight="1">
      <x:c r="A167" s="4" t="str">
        <x:v>Physical form</x:v>
      </x:c>
      <x:c r="B167" s="4" t="str">
        <x:v>Liquid</x:v>
      </x:c>
      <x:c r="C167" s="4" t="str">
        <x:v>Catalog shape/state only; Unresolved avoids inventing a physical or chemical property.</x:v>
      </x:c>
    </x:row>
    <x:row r="168" ht="45" customHeight="1">
      <x:c r="A168" s="4" t="str">
        <x:v>Physical form</x:v>
      </x:c>
      <x:c r="B168" s="4" t="str">
        <x:v>Membrane</x:v>
      </x:c>
      <x:c r="C168" s="4" t="str">
        <x:v>Catalog shape/state only; Unresolved avoids inventing a physical or chemical property.</x:v>
      </x:c>
    </x:row>
    <x:row r="169" ht="45" customHeight="1">
      <x:c r="A169" s="4" t="str">
        <x:v>Physical form</x:v>
      </x:c>
      <x:c r="B169" s="4" t="str">
        <x:v>Panel</x:v>
      </x:c>
      <x:c r="C169" s="4" t="str">
        <x:v>Catalog shape/state only; Unresolved avoids inventing a physical or chemical property.</x:v>
      </x:c>
    </x:row>
    <x:row r="170" ht="45" customHeight="1">
      <x:c r="A170" s="4" t="str">
        <x:v>Physical form</x:v>
      </x:c>
      <x:c r="B170" s="4" t="str">
        <x:v>Particles</x:v>
      </x:c>
      <x:c r="C170" s="4" t="str">
        <x:v>Catalog shape/state only; Unresolved avoids inventing a physical or chemical property.</x:v>
      </x:c>
    </x:row>
    <x:row r="171" ht="45" customHeight="1">
      <x:c r="A171" s="4" t="str">
        <x:v>Physical form</x:v>
      </x:c>
      <x:c r="B171" s="4" t="str">
        <x:v>Paste</x:v>
      </x:c>
      <x:c r="C171" s="4" t="str">
        <x:v>Catalog shape/state only; Unresolved avoids inventing a physical or chemical property.</x:v>
      </x:c>
    </x:row>
    <x:row r="172" ht="45" customHeight="1">
      <x:c r="A172" s="4" t="str">
        <x:v>Physical form</x:v>
      </x:c>
      <x:c r="B172" s="4" t="str">
        <x:v>Patch</x:v>
      </x:c>
      <x:c r="C172" s="4" t="str">
        <x:v>Catalog shape/state only; Unresolved avoids inventing a physical or chemical property.</x:v>
      </x:c>
    </x:row>
    <x:row r="173" ht="45" customHeight="1">
      <x:c r="A173" s="4" t="str">
        <x:v>Physical form</x:v>
      </x:c>
      <x:c r="B173" s="4" t="str">
        <x:v>Rock</x:v>
      </x:c>
      <x:c r="C173" s="4" t="str">
        <x:v>Catalog shape/state only; Unresolved avoids inventing a physical or chemical property.</x:v>
      </x:c>
    </x:row>
    <x:row r="174" ht="45" customHeight="1">
      <x:c r="A174" s="4" t="str">
        <x:v>Physical form</x:v>
      </x:c>
      <x:c r="B174" s="4" t="str">
        <x:v>Sheet</x:v>
      </x:c>
      <x:c r="C174" s="4" t="str">
        <x:v>Catalog shape/state only; Unresolved avoids inventing a physical or chemical property.</x:v>
      </x:c>
    </x:row>
    <x:row r="175" ht="45" customHeight="1">
      <x:c r="A175" s="4" t="str">
        <x:v>Physical form</x:v>
      </x:c>
      <x:c r="B175" s="4" t="str">
        <x:v>Shell plate</x:v>
      </x:c>
      <x:c r="C175" s="4" t="str">
        <x:v>Catalog shape/state only; Unresolved avoids inventing a physical or chemical property.</x:v>
      </x:c>
    </x:row>
    <x:row r="176" ht="45" customHeight="1">
      <x:c r="A176" s="4" t="str">
        <x:v>Physical form</x:v>
      </x:c>
      <x:c r="B176" s="4" t="str">
        <x:v>Solid part</x:v>
      </x:c>
      <x:c r="C176" s="4" t="str">
        <x:v>Catalog shape/state only; Unresolved avoids inventing a physical or chemical property.</x:v>
      </x:c>
    </x:row>
    <x:row r="177" ht="45" customHeight="1">
      <x:c r="A177" s="4" t="str">
        <x:v>Physical form</x:v>
      </x:c>
      <x:c r="B177" s="4" t="str">
        <x:v>Solid piece</x:v>
      </x:c>
      <x:c r="C177" s="4" t="str">
        <x:v>Catalog shape/state only; Unresolved avoids inventing a physical or chemical property.</x:v>
      </x:c>
    </x:row>
    <x:row r="178" ht="45" customHeight="1">
      <x:c r="A178" s="4" t="str">
        <x:v>Physical form</x:v>
      </x:c>
      <x:c r="B178" s="4" t="str">
        <x:v>Strip</x:v>
      </x:c>
      <x:c r="C178" s="4" t="str">
        <x:v>Catalog shape/state only; Unresolved avoids inventing a physical or chemical property.</x:v>
      </x:c>
    </x:row>
    <x:row r="179" ht="45" customHeight="1">
      <x:c r="A179" s="4" t="str">
        <x:v>Physical form</x:v>
      </x:c>
      <x:c r="B179" s="4" t="str">
        <x:v>Unresolved</x:v>
      </x:c>
      <x:c r="C179" s="4" t="str">
        <x:v>Catalog shape/state only; Unresolved avoids inventing a physical or chemical property.</x:v>
      </x:c>
    </x:row>
    <x:row r="180" ht="45" customHeight="1">
      <x:c r="A180" s="4" t="str">
        <x:v>Design status</x:v>
      </x:c>
      <x:c r="B180" s="4" t="str">
        <x:v>Author direction</x:v>
      </x:c>
      <x:c r="C180" s="4" t="str">
        <x:v>Existing definition means serialized data, not proof all intended uses work. Author direction, Proposal and Withheld assumption remain distinct.</x:v>
      </x:c>
    </x:row>
    <x:row r="181" ht="45" customHeight="1">
      <x:c r="A181" s="4" t="str">
        <x:v>Design status</x:v>
      </x:c>
      <x:c r="B181" s="4" t="str">
        <x:v>Existing definition</x:v>
      </x:c>
      <x:c r="C181" s="4" t="str">
        <x:v>Existing definition means serialized data, not proof all intended uses work. Author direction, Proposal and Withheld assumption remain distinct.</x:v>
      </x:c>
    </x:row>
    <x:row r="182" ht="45" customHeight="1">
      <x:c r="A182" s="4" t="str">
        <x:v>Design status</x:v>
      </x:c>
      <x:c r="B182" s="4" t="str">
        <x:v>Proposal</x:v>
      </x:c>
      <x:c r="C182" s="4" t="str">
        <x:v>Existing definition means serialized data, not proof all intended uses work. Author direction, Proposal and Withheld assumption remain distinct.</x:v>
      </x:c>
    </x:row>
    <x:row r="183" ht="45" customHeight="1">
      <x:c r="A183" s="4" t="str">
        <x:v>Design status</x:v>
      </x:c>
      <x:c r="B183" s="4" t="str">
        <x:v>Source proposal</x:v>
      </x:c>
      <x:c r="C183" s="4" t="str">
        <x:v>Existing definition means serialized data, not proof all intended uses work. Author direction, Proposal and Withheld assumption remain distinct.</x:v>
      </x:c>
    </x:row>
    <x:row r="184" ht="45" customHeight="1">
      <x:c r="A184" s="4" t="str">
        <x:v>Design status</x:v>
      </x:c>
      <x:c r="B184" s="4" t="str">
        <x:v>Withheld assumption</x:v>
      </x:c>
      <x:c r="C184" s="4" t="str">
        <x:v>Existing definition means serialized data, not proof all intended uses work. Author direction, Proposal and Withheld assumption remain distinct.</x:v>
      </x:c>
    </x:row>
  </x:sheetData>
  <x:pageMargins left="0.7" right="0.7" top="0.75" bottom="0.75" header="0.3" footer="0.3"/>
  <x:tableParts count="1">
    <x:tablePart xmlns:r="http://schemas.openxmlformats.org/officeDocument/2006/relationships" r:id="R4c83a9a2e5ac4c69"/>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IFERROR(INDEX(Items!$C$6:$C$1005,MATCH(A6,Items!$A$6:$A$1005,0)),"MISSING ITEM ID")</x:f>
        <x:v>Crafting components</x:v>
      </x:c>
      <x:c r="D6" s="4" t="str">
        <x:v>Primary</x:v>
      </x:c>
      <x:c r="E6" s="4" t="str">
        <x:f>IFERROR(INDEX(Items!$Z$6:$Z$1005,MATCH(A6,Items!$A$6:$A$1005,0)),"MISSING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IFERROR(INDEX(Items!$C$6:$C$1005,MATCH(A7,Items!$A$6:$A$1005,0)),"MISSING ITEM ID")</x:f>
        <x:v>Crafting components</x:v>
      </x:c>
      <x:c r="D7" s="4" t="str">
        <x:v>Primary</x:v>
      </x:c>
      <x:c r="E7" s="4" t="str">
        <x:f>IFERROR(INDEX(Items!$Z$6:$Z$1005,MATCH(A7,Items!$A$6:$A$1005,0)),"MISSING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IFERROR(INDEX(Items!$C$6:$C$1005,MATCH(A8,Items!$A$6:$A$1005,0)),"MISSING ITEM ID")</x:f>
        <x:v>Crafting components</x:v>
      </x:c>
      <x:c r="D8" s="4" t="str">
        <x:v>Primary</x:v>
      </x:c>
      <x:c r="E8" s="4" t="str">
        <x:f>IFERROR(INDEX(Items!$Z$6:$Z$1005,MATCH(A8,Items!$A$6:$A$1005,0)),"MISSING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Algae canister</x:v>
      </x:c>
      <x:c r="C9" s="4" t="str">
        <x:f>IFERROR(INDEX(Items!$C$6:$C$1005,MATCH(A9,Items!$A$6:$A$1005,0)),"MISSING ITEM ID")</x:f>
        <x:v>Equipment</x:v>
      </x:c>
      <x:c r="D9" s="4" t="str">
        <x:v>Primary</x:v>
      </x:c>
      <x:c r="E9" s="4" t="str">
        <x:f>IFERROR(INDEX(Items!$Z$6:$Z$1005,MATCH(A9,Items!$A$6:$A$1005,0)),"MISSING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Algae canister</x:v>
      </x:c>
      <x:c r="C10" s="4" t="str">
        <x:f>IFERROR(INDEX(Items!$C$6:$C$1005,MATCH(A10,Items!$A$6:$A$1005,0)),"MISSING ITEM ID")</x:f>
        <x:v>Equipment</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Cloak</x:v>
      </x:c>
      <x:c r="C11" s="4" t="str">
        <x:f>IFERROR(INDEX(Items!$C$6:$C$1005,MATCH(A11,Items!$A$6:$A$1005,0)),"MISSING ITEM ID")</x:f>
        <x:v>Equipment</x:v>
      </x:c>
      <x:c r="D11" s="4" t="str">
        <x:v>Primary</x:v>
      </x:c>
      <x:c r="E11" s="4" t="str">
        <x:f>IFERROR(INDEX(Items!$Z$6:$Z$1005,MATCH(A11,Items!$A$6:$A$1005,0)),"MISSING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Cloak</x:v>
      </x:c>
      <x:c r="C12" s="4" t="str">
        <x:f>IFERROR(INDEX(Items!$C$6:$C$1005,MATCH(A12,Items!$A$6:$A$1005,0)),"MISSING ITEM ID")</x:f>
        <x:v>Equipment</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Digging shovel axe</x:v>
      </x:c>
      <x:c r="C13" s="4" t="str">
        <x:f>IFERROR(INDEX(Items!$C$6:$C$1005,MATCH(A13,Items!$A$6:$A$1005,0)),"MISSING ITEM ID")</x:f>
        <x:v>Equipment</x:v>
      </x:c>
      <x:c r="D13" s="4" t="str">
        <x:v>Primary</x:v>
      </x:c>
      <x:c r="E13" s="4" t="str">
        <x:f>IFERROR(INDEX(Items!$Z$6:$Z$1005,MATCH(A13,Items!$A$6:$A$1005,0)),"MISSING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Dust canister</x:v>
      </x:c>
      <x:c r="C14" s="4" t="str">
        <x:f>IFERROR(INDEX(Items!$C$6:$C$1005,MATCH(A14,Items!$A$6:$A$1005,0)),"MISSING ITEM ID")</x:f>
        <x:v>Equipment</x:v>
      </x:c>
      <x:c r="D14" s="4" t="str">
        <x:v>Primary</x:v>
      </x:c>
      <x:c r="E14" s="4" t="str">
        <x:f>IFERROR(INDEX(Items!$Z$6:$Z$1005,MATCH(A14,Items!$A$6:$A$1005,0)),"MISSING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IFERROR(INDEX(Items!$C$6:$C$1005,MATCH(A15,Items!$A$6:$A$1005,0)),"MISSING ITEM ID")</x:f>
        <x:v>Equipment</x:v>
      </x:c>
      <x:c r="D15" s="4" t="str">
        <x:v>Primary</x:v>
      </x:c>
      <x:c r="E15" s="4" t="str">
        <x:f>IFERROR(INDEX(Items!$Z$6:$Z$1005,MATCH(A15,Items!$A$6:$A$1005,0)),"MISSING ITEM ID")</x:f>
        <x:v>Traversal</x:v>
      </x:c>
      <x:c r="F15" s="4" t="str">
        <x:v>Current item description. Catalog intent, not implemented actions.</x:v>
      </x:c>
    </x:row>
    <x:row r="16" ht="45" customHeight="1">
      <x:c r="A16" s="4" t="str">
        <x:v>equipment.jacket</x:v>
      </x:c>
      <x:c r="B16" s="4" t="str">
        <x:f>IFERROR(INDEX(Items!$B$6:$B$1005,MATCH(A16,Items!$A$6:$A$1005,0)),"MISSING ITEM ID")</x:f>
        <x:v>Jacket</x:v>
      </x:c>
      <x:c r="C16" s="4" t="str">
        <x:f>IFERROR(INDEX(Items!$C$6:$C$1005,MATCH(A16,Items!$A$6:$A$1005,0)),"MISSING ITEM ID")</x:f>
        <x:v>Equipment</x:v>
      </x:c>
      <x:c r="D16" s="4" t="str">
        <x:v>Primary</x:v>
      </x:c>
      <x:c r="E16" s="4" t="str">
        <x:f>IFERROR(INDEX(Items!$Z$6:$Z$1005,MATCH(A16,Items!$A$6:$A$1005,0)),"MISSING ITEM ID")</x:f>
        <x:v>Clothing</x:v>
      </x:c>
      <x:c r="F16" s="4" t="str">
        <x:v>Current item description. Catalog intent, not implemented actions.</x:v>
      </x:c>
    </x:row>
    <x:row r="17" ht="45" customHeight="1">
      <x:c r="A17" s="4" t="str">
        <x:v>equipment.arc_battery_charged</x:v>
      </x:c>
      <x:c r="B17" s="4" t="str">
        <x:f>IFERROR(INDEX(Items!$B$6:$B$1005,MATCH(A17,Items!$A$6:$A$1005,0)),"MISSING ITEM ID")</x:f>
        <x:v>Charged Arc Battery</x:v>
      </x:c>
      <x:c r="C17" s="4" t="str">
        <x:f>IFERROR(INDEX(Items!$C$6:$C$1005,MATCH(A17,Items!$A$6:$A$1005,0)),"MISSING ITEM ID")</x:f>
        <x:v>Field supplies</x:v>
      </x:c>
      <x:c r="D17" s="4" t="str">
        <x:v>Primary</x:v>
      </x:c>
      <x:c r="E17" s="4" t="str">
        <x:f>IFERROR(INDEX(Items!$Z$6:$Z$1005,MATCH(A17,Items!$A$6:$A$1005,0)),"MISSING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IFERROR(INDEX(Items!$C$6:$C$1005,MATCH(A18,Items!$A$6:$A$1005,0)),"MISSING ITEM ID")</x:f>
        <x:v>Field supplies</x:v>
      </x:c>
      <x:c r="D18" s="4" t="str">
        <x:v>Primary</x:v>
      </x:c>
      <x:c r="E18" s="4" t="str">
        <x:f>IFERROR(INDEX(Items!$Z$6:$Z$1005,MATCH(A18,Items!$A$6:$A$1005,0)),"MISSING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IFERROR(INDEX(Items!$C$6:$C$1005,MATCH(A19,Items!$A$6:$A$1005,0)),"MISSING ITEM ID")</x:f>
        <x:v>Field supplies</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IFERROR(INDEX(Items!$C$6:$C$1005,MATCH(A20,Items!$A$6:$A$1005,0)),"MISSING ITEM ID")</x:f>
        <x:v>Field supplies</x:v>
      </x:c>
      <x:c r="D20" s="4" t="str">
        <x:v>Primary</x:v>
      </x:c>
      <x:c r="E20" s="4" t="str">
        <x:f>IFERROR(INDEX(Items!$Z$6:$Z$1005,MATCH(A20,Items!$A$6:$A$1005,0)),"MISSING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IFERROR(INDEX(Items!$C$6:$C$1005,MATCH(A21,Items!$A$6:$A$1005,0)),"MISSING ITEM ID")</x:f>
        <x:v>Field supplies</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Dust</x:v>
      </x:c>
      <x:c r="C22" s="4" t="str">
        <x:f>IFERROR(INDEX(Items!$C$6:$C$1005,MATCH(A22,Items!$A$6:$A$1005,0)),"MISSING ITEM ID")</x:f>
        <x:v>Resources</x:v>
      </x:c>
      <x:c r="D22" s="4" t="str">
        <x:v>Primary</x:v>
      </x:c>
      <x:c r="E22" s="4" t="str">
        <x:f>IFERROR(INDEX(Items!$Z$6:$Z$1005,MATCH(A22,Items!$A$6:$A$1005,0)),"MISSING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Coarse Aggregate</x:v>
      </x:c>
      <x:c r="C23" s="4" t="str">
        <x:f>IFERROR(INDEX(Items!$C$6:$C$1005,MATCH(A23,Items!$A$6:$A$1005,0)),"MISSING ITEM ID")</x:f>
        <x:v>Resources</x:v>
      </x:c>
      <x:c r="D23" s="4" t="str">
        <x:v>Primary</x:v>
      </x:c>
      <x:c r="E23" s="4" t="str">
        <x:f>IFERROR(INDEX(Items!$Z$6:$Z$1005,MATCH(A23,Items!$A$6:$A$1005,0)),"MISSING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Iron-rich Concentrate</x:v>
      </x:c>
      <x:c r="C24" s="4" t="str">
        <x:f>IFERROR(INDEX(Items!$C$6:$C$1005,MATCH(A24,Items!$A$6:$A$1005,0)),"MISSING ITEM ID")</x:f>
        <x:v>Resources</x:v>
      </x:c>
      <x:c r="D24" s="4" t="str">
        <x:v>Primary</x:v>
      </x:c>
      <x:c r="E24" s="4" t="str">
        <x:f>IFERROR(INDEX(Items!$Z$6:$Z$1005,MATCH(A24,Items!$A$6:$A$1005,0)),"MISSING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Ironstone Ore</x:v>
      </x:c>
      <x:c r="C25" s="4" t="str">
        <x:f>IFERROR(INDEX(Items!$C$6:$C$1005,MATCH(A25,Items!$A$6:$A$1005,0)),"MISSING ITEM ID")</x:f>
        <x:v>Resources</x:v>
      </x:c>
      <x:c r="D25" s="4" t="str">
        <x:v>Primary</x:v>
      </x:c>
      <x:c r="E25" s="4" t="str">
        <x:f>IFERROR(INDEX(Items!$Z$6:$Z$1005,MATCH(A25,Items!$A$6:$A$1005,0)),"MISSING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Ironstone Ore</x:v>
      </x:c>
      <x:c r="C26" s="4" t="str">
        <x:f>IFERROR(INDEX(Items!$C$6:$C$1005,MATCH(A26,Items!$A$6:$A$1005,0)),"MISSING ITEM ID")</x:f>
        <x:v>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Mineral Dust</x:v>
      </x:c>
      <x:c r="C27" s="4" t="str">
        <x:f>IFERROR(INDEX(Items!$C$6:$C$1005,MATCH(A27,Items!$A$6:$A$1005,0)),"MISSING ITEM ID")</x:f>
        <x:v>Resources</x:v>
      </x:c>
      <x:c r="D27" s="4" t="str">
        <x:v>Primary</x:v>
      </x:c>
      <x:c r="E27" s="4" t="str">
        <x:f>IFERROR(INDEX(Items!$Z$6:$Z$1005,MATCH(A27,Items!$A$6:$A$1005,0)),"MISSING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Mineral Sand</x:v>
      </x:c>
      <x:c r="C28" s="4" t="str">
        <x:f>IFERROR(INDEX(Items!$C$6:$C$1005,MATCH(A28,Items!$A$6:$A$1005,0)),"MISSING ITEM ID")</x:f>
        <x:v>Resources</x:v>
      </x:c>
      <x:c r="D28" s="4" t="str">
        <x:v>Primary</x:v>
      </x:c>
      <x:c r="E28" s="4" t="str">
        <x:f>IFERROR(INDEX(Items!$Z$6:$Z$1005,MATCH(A28,Items!$A$6:$A$1005,0)),"MISSING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IFERROR(INDEX(Items!$C$6:$C$1005,MATCH(A29,Items!$A$6:$A$1005,0)),"MISSING ITEM ID")</x:f>
        <x:v>Equipment</x:v>
      </x:c>
      <x:c r="D29" s="4" t="str">
        <x:v>Primary</x:v>
      </x:c>
      <x:c r="E29" s="4" t="str">
        <x:f>IFERROR(INDEX(Items!$Z$6:$Z$1005,MATCH(A29,Items!$A$6:$A$1005,0)),"MISSING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IFERROR(INDEX(Items!$C$6:$C$1005,MATCH(A30,Items!$A$6:$A$1005,0)),"MISSING ITEM ID")</x:f>
        <x:v>Equipment</x:v>
      </x:c>
      <x:c r="D30" s="4" t="str">
        <x:v>Secondary</x:v>
      </x:c>
      <x:c r="E30" s="4" t="str">
        <x:v>Work holding</x:v>
      </x:c>
      <x:c r="F30" s="4" t="str">
        <x:v>Current item description. Catalog intent, not implemented actions.</x:v>
      </x:c>
    </x:row>
    <x:row r="31" ht="45" customHeight="1">
      <x:c r="A31" s="4" t="str">
        <x:v>proposal.gear.grounding_kit</x:v>
      </x:c>
      <x:c r="B31" s="4" t="str">
        <x:f>IFERROR(INDEX(Items!$B$6:$B$1005,MATCH(A31,Items!$A$6:$A$1005,0)),"MISSING ITEM ID")</x:f>
        <x:v>Static grounding kit</x:v>
      </x:c>
      <x:c r="C31" s="4" t="str">
        <x:f>IFERROR(INDEX(Items!$C$6:$C$1005,MATCH(A31,Items!$A$6:$A$1005,0)),"MISSING ITEM ID")</x:f>
        <x:v>Equipment</x:v>
      </x:c>
      <x:c r="D31" s="4" t="str">
        <x:v>Primary</x:v>
      </x:c>
      <x:c r="E31" s="4" t="str">
        <x:f>IFERROR(INDEX(Items!$Z$6:$Z$1005,MATCH(A31,Items!$A$6:$A$1005,0)),"MISSING ITEM ID")</x:f>
        <x:v>Static management</x:v>
      </x:c>
      <x:c r="F31" s="4" t="str">
        <x:v>Current item description. Catalog intent, not implemented actions.</x:v>
      </x:c>
    </x:row>
    <x:row r="32" ht="45" customHeight="1">
      <x:c r="A32" s="4" t="str">
        <x:v>proposal.natural.magnetite</x:v>
      </x:c>
      <x:c r="B32" s="4" t="str">
        <x:f>IFERROR(INDEX(Items!$B$6:$B$1005,MATCH(A32,Items!$A$6:$A$1005,0)),"MISSING ITEM ID")</x:f>
        <x:v>Magnetite-rich stone</x:v>
      </x:c>
      <x:c r="C32" s="4" t="str">
        <x:f>IFERROR(INDEX(Items!$C$6:$C$1005,MATCH(A32,Items!$A$6:$A$1005,0)),"MISSING ITEM ID")</x:f>
        <x:v>Resources</x:v>
      </x:c>
      <x:c r="D32" s="4" t="str">
        <x:v>Primary</x:v>
      </x:c>
      <x:c r="E32" s="4" t="str">
        <x:f>IFERROR(INDEX(Items!$Z$6:$Z$1005,MATCH(A32,Items!$A$6:$A$1005,0)),"MISSING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IFERROR(INDEX(Items!$C$6:$C$1005,MATCH(A33,Items!$A$6:$A$1005,0)),"MISSING ITEM ID")</x:f>
        <x:v>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IFERROR(INDEX(Items!$C$6:$C$1005,MATCH(A34,Items!$A$6:$A$1005,0)),"MISSING ITEM ID")</x:f>
        <x:v>Resources</x:v>
      </x:c>
      <x:c r="D34" s="4" t="str">
        <x:v>Primary</x:v>
      </x:c>
      <x:c r="E34" s="4" t="str">
        <x:f>IFERROR(INDEX(Items!$Z$6:$Z$1005,MATCH(A34,Items!$A$6:$A$1005,0)),"MISSING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IFERROR(INDEX(Items!$C$6:$C$1005,MATCH(A35,Items!$A$6:$A$1005,0)),"MISSING ITEM ID")</x:f>
        <x:v>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IFERROR(INDEX(Items!$C$6:$C$1005,MATCH(A36,Items!$A$6:$A$1005,0)),"MISSING ITEM ID")</x:f>
        <x:v>Resources</x:v>
      </x:c>
      <x:c r="D36" s="4" t="str">
        <x:v>Primary</x:v>
      </x:c>
      <x:c r="E36" s="4" t="str">
        <x:f>IFERROR(INDEX(Items!$Z$6:$Z$1005,MATCH(A36,Items!$A$6:$A$1005,0)),"MISSING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IFERROR(INDEX(Items!$C$6:$C$1005,MATCH(A37,Items!$A$6:$A$1005,0)),"MISSING ITEM ID")</x:f>
        <x:v>Resources</x:v>
      </x:c>
      <x:c r="D37" s="4" t="str">
        <x:v>Secondary</x:v>
      </x:c>
      <x:c r="E37" s="4" t="str">
        <x:v>Electrical insulation</x:v>
      </x:c>
      <x:c r="F37" s="4" t="str">
        <x:v>Current item description. Catalog intent, not implemented actions.</x:v>
      </x:c>
    </x:row>
    <x:row r="38" ht="45" customHeight="1">
      <x:c r="A38" s="4" t="str">
        <x:v>proposal.natural.claystone</x:v>
      </x:c>
      <x:c r="B38" s="4" t="str">
        <x:f>IFERROR(INDEX(Items!$B$6:$B$1005,MATCH(A38,Items!$A$6:$A$1005,0)),"MISSING ITEM ID")</x:f>
        <x:v>Claystone</x:v>
      </x:c>
      <x:c r="C38" s="4" t="str">
        <x:f>IFERROR(INDEX(Items!$C$6:$C$1005,MATCH(A38,Items!$A$6:$A$1005,0)),"MISSING ITEM ID")</x:f>
        <x:v>Resources</x:v>
      </x:c>
      <x:c r="D38" s="4" t="str">
        <x:v>Primary</x:v>
      </x:c>
      <x:c r="E38" s="4" t="str">
        <x:f>IFERROR(INDEX(Items!$Z$6:$Z$1005,MATCH(A38,Items!$A$6:$A$1005,0)),"MISSING ITEM ID")</x:f>
        <x:v>Glass and ceramics</x:v>
      </x:c>
      <x:c r="F38" s="4" t="str">
        <x:v>Current item description. Catalog intent, not implemented actions.</x:v>
      </x:c>
    </x:row>
    <x:row r="39" ht="45" customHeight="1">
      <x:c r="A39" s="4" t="str">
        <x:v>proposal.natural.carbonate</x:v>
      </x:c>
      <x:c r="B39" s="4" t="str">
        <x:f>IFERROR(INDEX(Items!$B$6:$B$1005,MATCH(A39,Items!$A$6:$A$1005,0)),"MISSING ITEM ID")</x:f>
        <x:v>Carbonate stone</x:v>
      </x:c>
      <x:c r="C39" s="4" t="str">
        <x:f>IFERROR(INDEX(Items!$C$6:$C$1005,MATCH(A39,Items!$A$6:$A$1005,0)),"MISSING ITEM ID")</x:f>
        <x:v>Resources</x:v>
      </x:c>
      <x:c r="D39" s="4" t="str">
        <x:v>Primary</x:v>
      </x:c>
      <x:c r="E39" s="4" t="str">
        <x:f>IFERROR(INDEX(Items!$Z$6:$Z$1005,MATCH(A39,Items!$A$6:$A$1005,0)),"MISSING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IFERROR(INDEX(Items!$C$6:$C$1005,MATCH(A40,Items!$A$6:$A$1005,0)),"MISSING ITEM ID")</x:f>
        <x:v>Resources</x:v>
      </x:c>
      <x:c r="D40" s="4" t="str">
        <x:v>Primary</x:v>
      </x:c>
      <x:c r="E40" s="4" t="str">
        <x:f>IFERROR(INDEX(Items!$Z$6:$Z$1005,MATCH(A40,Items!$A$6:$A$1005,0)),"MISSING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IFERROR(INDEX(Items!$C$6:$C$1005,MATCH(A41,Items!$A$6:$A$1005,0)),"MISSING ITEM ID")</x:f>
        <x:v>Resources</x:v>
      </x:c>
      <x:c r="D41" s="4" t="str">
        <x:v>Primary</x:v>
      </x:c>
      <x:c r="E41" s="4" t="str">
        <x:f>IFERROR(INDEX(Items!$Z$6:$Z$1005,MATCH(A41,Items!$A$6:$A$1005,0)),"MISSING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IFERROR(INDEX(Items!$C$6:$C$1005,MATCH(A42,Items!$A$6:$A$1005,0)),"MISSING ITEM ID")</x:f>
        <x:v>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IFERROR(INDEX(Items!$C$6:$C$1005,MATCH(A43,Items!$A$6:$A$1005,0)),"MISSING ITEM ID")</x:f>
        <x:v>Resources</x:v>
      </x:c>
      <x:c r="D43" s="4" t="str">
        <x:v>Primary</x:v>
      </x:c>
      <x:c r="E43" s="4" t="str">
        <x:f>IFERROR(INDEX(Items!$Z$6:$Z$1005,MATCH(A43,Items!$A$6:$A$1005,0)),"MISSING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IFERROR(INDEX(Items!$C$6:$C$1005,MATCH(A44,Items!$A$6:$A$1005,0)),"MISSING ITEM ID")</x:f>
        <x:v>Resources</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Iron-rich mineral feed</x:v>
      </x:c>
      <x:c r="C45" s="4" t="str">
        <x:f>IFERROR(INDEX(Items!$C$6:$C$1005,MATCH(A45,Items!$A$6:$A$1005,0)),"MISSING ITEM ID")</x:f>
        <x:v>Resources</x:v>
      </x:c>
      <x:c r="D45" s="4" t="str">
        <x:v>Primary</x:v>
      </x:c>
      <x:c r="E45" s="4" t="str">
        <x:f>IFERROR(INDEX(Items!$Z$6:$Z$1005,MATCH(A45,Items!$A$6:$A$1005,0)),"MISSING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Worked iron stock</x:v>
      </x:c>
      <x:c r="C46" s="4" t="str">
        <x:f>IFERROR(INDEX(Items!$C$6:$C$1005,MATCH(A46,Items!$A$6:$A$1005,0)),"MISSING ITEM ID")</x:f>
        <x:v>Resources</x:v>
      </x:c>
      <x:c r="D46" s="4" t="str">
        <x:v>Primary</x:v>
      </x:c>
      <x:c r="E46" s="4" t="str">
        <x:f>IFERROR(INDEX(Items!$Z$6:$Z$1005,MATCH(A46,Items!$A$6:$A$1005,0)),"MISSING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Worked iron stock</x:v>
      </x:c>
      <x:c r="C47" s="4" t="str">
        <x:f>IFERROR(INDEX(Items!$C$6:$C$1005,MATCH(A47,Items!$A$6:$A$1005,0)),"MISSING ITEM ID")</x:f>
        <x:v>Resources</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abrasive grit</x:v>
      </x:c>
      <x:c r="C48" s="4" t="str">
        <x:f>IFERROR(INDEX(Items!$C$6:$C$1005,MATCH(A48,Items!$A$6:$A$1005,0)),"MISSING ITEM ID")</x:f>
        <x:v>Resources</x:v>
      </x:c>
      <x:c r="D48" s="4" t="str">
        <x:v>Primary</x:v>
      </x:c>
      <x:c r="E48" s="4" t="str">
        <x:f>IFERROR(INDEX(Items!$Z$6:$Z$1005,MATCH(A48,Items!$A$6:$A$1005,0)),"MISSING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Insulating ceramic blanks</x:v>
      </x:c>
      <x:c r="C49" s="4" t="str">
        <x:f>IFERROR(INDEX(Items!$C$6:$C$1005,MATCH(A49,Items!$A$6:$A$1005,0)),"MISSING ITEM ID")</x:f>
        <x:v>Resources</x:v>
      </x:c>
      <x:c r="D49" s="4" t="str">
        <x:v>Primary</x:v>
      </x:c>
      <x:c r="E49" s="4" t="str">
        <x:f>IFERROR(INDEX(Items!$Z$6:$Z$1005,MATCH(A49,Items!$A$6:$A$1005,0)),"MISSING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Insulating ceramic blanks</x:v>
      </x:c>
      <x:c r="C50" s="4" t="str">
        <x:f>IFERROR(INDEX(Items!$C$6:$C$1005,MATCH(A50,Items!$A$6:$A$1005,0)),"MISSING ITEM ID")</x:f>
        <x:v>Resources</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x:v>
      </x:c>
      <x:c r="C51" s="4" t="str">
        <x:f>IFERROR(INDEX(Items!$C$6:$C$1005,MATCH(A51,Items!$A$6:$A$1005,0)),"MISSING ITEM ID")</x:f>
        <x:v>Resources</x:v>
      </x:c>
      <x:c r="D51" s="4" t="str">
        <x:v>Primary</x:v>
      </x:c>
      <x:c r="E51" s="4" t="str">
        <x:f>IFERROR(INDEX(Items!$Z$6:$Z$1005,MATCH(A51,Items!$A$6:$A$1005,0)),"MISSING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flakes</x:v>
      </x:c>
      <x:c r="C52" s="4" t="str">
        <x:f>IFERROR(INDEX(Items!$C$6:$C$1005,MATCH(A52,Items!$A$6:$A$1005,0)),"MISSING ITEM ID")</x:f>
        <x:v>Resources</x:v>
      </x:c>
      <x:c r="D52" s="4" t="str">
        <x:v>Primary</x:v>
      </x:c>
      <x:c r="E52" s="4" t="str">
        <x:f>IFERROR(INDEX(Items!$Z$6:$Z$1005,MATCH(A52,Items!$A$6:$A$1005,0)),"MISSING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flakes</x:v>
      </x:c>
      <x:c r="C53" s="4" t="str">
        <x:f>IFERROR(INDEX(Items!$C$6:$C$1005,MATCH(A53,Items!$A$6:$A$1005,0)),"MISSING ITEM ID")</x:f>
        <x:v>Resources</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IFERROR(INDEX(Items!$C$6:$C$1005,MATCH(A54,Items!$A$6:$A$1005,0)),"MISSING ITEM ID")</x:f>
        <x:v>Resources</x:v>
      </x:c>
      <x:c r="D54" s="4" t="str">
        <x:v>Primary</x:v>
      </x:c>
      <x:c r="E54" s="4" t="str">
        <x:f>IFERROR(INDEX(Items!$Z$6:$Z$1005,MATCH(A54,Items!$A$6:$A$1005,0)),"MISSING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IFERROR(INDEX(Items!$C$6:$C$1005,MATCH(A55,Items!$A$6:$A$1005,0)),"MISSING ITEM ID")</x:f>
        <x:v>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IFERROR(INDEX(Items!$C$6:$C$1005,MATCH(A56,Items!$A$6:$A$1005,0)),"MISSING ITEM ID")</x:f>
        <x:v>Resources</x:v>
      </x:c>
      <x:c r="D56" s="4" t="str">
        <x:v>Primary</x:v>
      </x:c>
      <x:c r="E56" s="4" t="str">
        <x:f>IFERROR(INDEX(Items!$Z$6:$Z$1005,MATCH(A56,Items!$A$6:$A$1005,0)),"MISSING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IFERROR(INDEX(Items!$C$6:$C$1005,MATCH(A57,Items!$A$6:$A$1005,0)),"MISSING ITEM ID")</x:f>
        <x:v>Resources</x:v>
      </x:c>
      <x:c r="D57" s="4" t="str">
        <x:v>Primary</x:v>
      </x:c>
      <x:c r="E57" s="4" t="str">
        <x:f>IFERROR(INDEX(Items!$Z$6:$Z$1005,MATCH(A57,Items!$A$6:$A$1005,0)),"MISSING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IFERROR(INDEX(Items!$C$6:$C$1005,MATCH(A58,Items!$A$6:$A$1005,0)),"MISSING ITEM ID")</x:f>
        <x:v>Resources</x:v>
      </x:c>
      <x:c r="D58" s="4" t="str">
        <x:v>Primary</x:v>
      </x:c>
      <x:c r="E58" s="4" t="str">
        <x:f>IFERROR(INDEX(Items!$Z$6:$Z$1005,MATCH(A58,Items!$A$6:$A$1005,0)),"MISSING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IFERROR(INDEX(Items!$C$6:$C$1005,MATCH(A59,Items!$A$6:$A$1005,0)),"MISSING ITEM ID")</x:f>
        <x:v>Resources</x:v>
      </x:c>
      <x:c r="D59" s="4" t="str">
        <x:v>Primary</x:v>
      </x:c>
      <x:c r="E59" s="4" t="str">
        <x:f>IFERROR(INDEX(Items!$Z$6:$Z$1005,MATCH(A59,Items!$A$6:$A$1005,0)),"MISSING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IFERROR(INDEX(Items!$C$6:$C$1005,MATCH(A60,Items!$A$6:$A$1005,0)),"MISSING ITEM ID")</x:f>
        <x:v>Resources</x:v>
      </x:c>
      <x:c r="D60" s="4" t="str">
        <x:v>Primary</x:v>
      </x:c>
      <x:c r="E60" s="4" t="str">
        <x:f>IFERROR(INDEX(Items!$Z$6:$Z$1005,MATCH(A60,Items!$A$6:$A$1005,0)),"MISSING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IFERROR(INDEX(Items!$C$6:$C$1005,MATCH(A61,Items!$A$6:$A$1005,0)),"MISSING ITEM ID")</x:f>
        <x:v>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fat-like tissue concept</x:v>
      </x:c>
      <x:c r="C62" s="4" t="str">
        <x:f>IFERROR(INDEX(Items!$C$6:$C$1005,MATCH(A62,Items!$A$6:$A$1005,0)),"MISSING ITEM ID")</x:f>
        <x:v>Resources</x:v>
      </x:c>
      <x:c r="D62" s="4" t="str">
        <x:v>Primary</x:v>
      </x:c>
      <x:c r="E62" s="4" t="str">
        <x:f>IFERROR(INDEX(Items!$Z$6:$Z$1005,MATCH(A62,Items!$A$6:$A$1005,0)),"MISSING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IFERROR(INDEX(Items!$C$6:$C$1005,MATCH(A63,Items!$A$6:$A$1005,0)),"MISSING ITEM ID")</x:f>
        <x:v>Resources</x:v>
      </x:c>
      <x:c r="D63" s="4" t="str">
        <x:v>Primary</x:v>
      </x:c>
      <x:c r="E63" s="4" t="str">
        <x:f>IFERROR(INDEX(Items!$Z$6:$Z$1005,MATCH(A63,Items!$A$6:$A$1005,0)),"MISSING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IFERROR(INDEX(Items!$C$6:$C$1005,MATCH(A64,Items!$A$6:$A$1005,0)),"MISSING ITEM ID")</x:f>
        <x:v>Crafting components</x:v>
      </x:c>
      <x:c r="D64" s="4" t="str">
        <x:v>Primary</x:v>
      </x:c>
      <x:c r="E64" s="4" t="str">
        <x:f>IFERROR(INDEX(Items!$Z$6:$Z$1005,MATCH(A64,Items!$A$6:$A$1005,0)),"MISSING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IFERROR(INDEX(Items!$C$6:$C$1005,MATCH(A65,Items!$A$6:$A$1005,0)),"MISSING ITEM ID")</x:f>
        <x:v>Crafting components</x:v>
      </x:c>
      <x:c r="D65" s="4" t="str">
        <x:v>Primary</x:v>
      </x:c>
      <x:c r="E65" s="4" t="str">
        <x:f>IFERROR(INDEX(Items!$Z$6:$Z$1005,MATCH(A65,Items!$A$6:$A$1005,0)),"MISSING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IFERROR(INDEX(Items!$C$6:$C$1005,MATCH(A66,Items!$A$6:$A$1005,0)),"MISSING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IFERROR(INDEX(Items!$C$6:$C$1005,MATCH(A67,Items!$A$6:$A$1005,0)),"MISSING ITEM ID")</x:f>
        <x:v>Crafting components</x:v>
      </x:c>
      <x:c r="D67" s="4" t="str">
        <x:v>Primary</x:v>
      </x:c>
      <x:c r="E67" s="4" t="str">
        <x:f>IFERROR(INDEX(Items!$Z$6:$Z$1005,MATCH(A67,Items!$A$6:$A$1005,0)),"MISSING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material</x:v>
      </x:c>
      <x:c r="C68" s="4" t="str">
        <x:f>IFERROR(INDEX(Items!$C$6:$C$1005,MATCH(A68,Items!$A$6:$A$1005,0)),"MISSING ITEM ID")</x:f>
        <x:v>Crafting components</x:v>
      </x:c>
      <x:c r="D68" s="4" t="str">
        <x:v>Primary</x:v>
      </x:c>
      <x:c r="E68" s="4" t="str">
        <x:f>IFERROR(INDEX(Items!$Z$6:$Z$1005,MATCH(A68,Items!$A$6:$A$1005,0)),"MISSING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IFERROR(INDEX(Items!$C$6:$C$1005,MATCH(A69,Items!$A$6:$A$1005,0)),"MISSING ITEM ID")</x:f>
        <x:v>Crafting components</x:v>
      </x:c>
      <x:c r="D69" s="4" t="str">
        <x:v>Primary</x:v>
      </x:c>
      <x:c r="E69" s="4" t="str">
        <x:f>IFERROR(INDEX(Items!$Z$6:$Z$1005,MATCH(A69,Items!$A$6:$A$1005,0)),"MISSING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IFERROR(INDEX(Items!$C$6:$C$1005,MATCH(A70,Items!$A$6:$A$1005,0)),"MISSING ITEM ID")</x:f>
        <x:v>Crafting components</x:v>
      </x:c>
      <x:c r="D70" s="4" t="str">
        <x:v>Primary</x:v>
      </x:c>
      <x:c r="E70" s="4" t="str">
        <x:f>IFERROR(INDEX(Items!$Z$6:$Z$1005,MATCH(A70,Items!$A$6:$A$1005,0)),"MISSING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IFERROR(INDEX(Items!$C$6:$C$1005,MATCH(A71,Items!$A$6:$A$1005,0)),"MISSING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Solid biological wax</x:v>
      </x:c>
      <x:c r="C72" s="4" t="str">
        <x:f>IFERROR(INDEX(Items!$C$6:$C$1005,MATCH(A72,Items!$A$6:$A$1005,0)),"MISSING ITEM ID")</x:f>
        <x:v>Crafting components</x:v>
      </x:c>
      <x:c r="D72" s="4" t="str">
        <x:v>Primary</x:v>
      </x:c>
      <x:c r="E72" s="4" t="str">
        <x:f>IFERROR(INDEX(Items!$Z$6:$Z$1005,MATCH(A72,Items!$A$6:$A$1005,0)),"MISSING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IFERROR(INDEX(Items!$C$6:$C$1005,MATCH(A73,Items!$A$6:$A$1005,0)),"MISSING ITEM ID")</x:f>
        <x:v>Crafting components</x:v>
      </x:c>
      <x:c r="D73" s="4" t="str">
        <x:v>Primary</x:v>
      </x:c>
      <x:c r="E73" s="4" t="str">
        <x:f>IFERROR(INDEX(Items!$Z$6:$Z$1005,MATCH(A73,Items!$A$6:$A$1005,0)),"MISSING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Charcoal</x:v>
      </x:c>
      <x:c r="C74" s="4" t="str">
        <x:f>IFERROR(INDEX(Items!$C$6:$C$1005,MATCH(A74,Items!$A$6:$A$1005,0)),"MISSING ITEM ID")</x:f>
        <x:v>Resources</x:v>
      </x:c>
      <x:c r="D74" s="4" t="str">
        <x:v>Primary</x:v>
      </x:c>
      <x:c r="E74" s="4" t="str">
        <x:f>IFERROR(INDEX(Items!$Z$6:$Z$1005,MATCH(A74,Items!$A$6:$A$1005,0)),"MISSING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Charcoal</x:v>
      </x:c>
      <x:c r="C75" s="4" t="str">
        <x:f>IFERROR(INDEX(Items!$C$6:$C$1005,MATCH(A75,Items!$A$6:$A$1005,0)),"MISSING ITEM ID")</x:f>
        <x:v>Resources</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IFERROR(INDEX(Items!$C$6:$C$1005,MATCH(A76,Items!$A$6:$A$1005,0)),"MISSING ITEM ID")</x:f>
        <x:v>Resources</x:v>
      </x:c>
      <x:c r="D76" s="4" t="str">
        <x:v>Primary</x:v>
      </x:c>
      <x:c r="E76" s="4" t="str">
        <x:f>IFERROR(INDEX(Items!$Z$6:$Z$1005,MATCH(A76,Items!$A$6:$A$1005,0)),"MISSING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Copper ore</x:v>
      </x:c>
      <x:c r="C77" s="4" t="str">
        <x:f>IFERROR(INDEX(Items!$C$6:$C$1005,MATCH(A77,Items!$A$6:$A$1005,0)),"MISSING ITEM ID")</x:f>
        <x:v>Resources</x:v>
      </x:c>
      <x:c r="D77" s="4" t="str">
        <x:v>Primary</x:v>
      </x:c>
      <x:c r="E77" s="4" t="str">
        <x:f>IFERROR(INDEX(Items!$Z$6:$Z$1005,MATCH(A77,Items!$A$6:$A$1005,0)),"MISSING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Raw copper lump</x:v>
      </x:c>
      <x:c r="C78" s="4" t="str">
        <x:f>IFERROR(INDEX(Items!$C$6:$C$1005,MATCH(A78,Items!$A$6:$A$1005,0)),"MISSING ITEM ID")</x:f>
        <x:v>Resources</x:v>
      </x:c>
      <x:c r="D78" s="4" t="str">
        <x:v>Primary</x:v>
      </x:c>
      <x:c r="E78" s="4" t="str">
        <x:f>IFERROR(INDEX(Items!$Z$6:$Z$1005,MATCH(A78,Items!$A$6:$A$1005,0)),"MISSING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Raw copper lump</x:v>
      </x:c>
      <x:c r="C79" s="4" t="str">
        <x:f>IFERROR(INDEX(Items!$C$6:$C$1005,MATCH(A79,Items!$A$6:$A$1005,0)),"MISSING ITEM ID")</x:f>
        <x:v>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IFERROR(INDEX(Items!$C$6:$C$1005,MATCH(A80,Items!$A$6:$A$1005,0)),"MISSING ITEM ID")</x:f>
        <x:v>Resources</x:v>
      </x:c>
      <x:c r="D80" s="4" t="str">
        <x:v>Primary</x:v>
      </x:c>
      <x:c r="E80" s="4" t="str">
        <x:f>IFERROR(INDEX(Items!$Z$6:$Z$1005,MATCH(A80,Items!$A$6:$A$1005,0)),"MISSING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IFERROR(INDEX(Items!$C$6:$C$1005,MATCH(A81,Items!$A$6:$A$1005,0)),"MISSING ITEM ID")</x:f>
        <x:v>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IFERROR(INDEX(Items!$C$6:$C$1005,MATCH(A82,Items!$A$6:$A$1005,0)),"MISSING ITEM ID")</x:f>
        <x:v>Resources</x:v>
      </x:c>
      <x:c r="D82" s="4" t="str">
        <x:v>Primary</x:v>
      </x:c>
      <x:c r="E82" s="4" t="str">
        <x:f>IFERROR(INDEX(Items!$Z$6:$Z$1005,MATCH(A82,Items!$A$6:$A$1005,0)),"MISSING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Raw magnesium metal</x:v>
      </x:c>
      <x:c r="C83" s="4" t="str">
        <x:f>IFERROR(INDEX(Items!$C$6:$C$1005,MATCH(A83,Items!$A$6:$A$1005,0)),"MISSING ITEM ID")</x:f>
        <x:v>Resources</x:v>
      </x:c>
      <x:c r="D83" s="4" t="str">
        <x:v>Primary</x:v>
      </x:c>
      <x:c r="E83" s="4" t="str">
        <x:f>IFERROR(INDEX(Items!$Z$6:$Z$1005,MATCH(A83,Items!$A$6:$A$1005,0)),"MISSING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IFERROR(INDEX(Items!$C$6:$C$1005,MATCH(A84,Items!$A$6:$A$1005,0)),"MISSING ITEM ID")</x:f>
        <x:v>Resources</x:v>
      </x:c>
      <x:c r="D84" s="4" t="str">
        <x:v>Primary</x:v>
      </x:c>
      <x:c r="E84" s="4" t="str">
        <x:f>IFERROR(INDEX(Items!$Z$6:$Z$1005,MATCH(A84,Items!$A$6:$A$1005,0)),"MISSING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IFERROR(INDEX(Items!$C$6:$C$1005,MATCH(A85,Items!$A$6:$A$1005,0)),"MISSING ITEM ID")</x:f>
        <x:v>Resources</x:v>
      </x:c>
      <x:c r="D85" s="4" t="str">
        <x:v>Primary</x:v>
      </x:c>
      <x:c r="E85" s="4" t="str">
        <x:f>IFERROR(INDEX(Items!$Z$6:$Z$1005,MATCH(A85,Items!$A$6:$A$1005,0)),"MISSING ITEM ID")</x:f>
        <x:v>Chemical processing</x:v>
      </x:c>
      <x:c r="F85" s="4" t="str">
        <x:v>Current item description. Catalog intent, not implemented actions.</x:v>
      </x:c>
    </x:row>
    <x:row r="86" ht="45" customHeight="1">
      <x:c r="A86" s="4" t="str">
        <x:v>proposal.natural.borate</x:v>
      </x:c>
      <x:c r="B86" s="4" t="str">
        <x:f>IFERROR(INDEX(Items!$B$6:$B$1005,MATCH(A86,Items!$A$6:$A$1005,0)),"MISSING ITEM ID")</x:f>
        <x:v>Raw borate minerals</x:v>
      </x:c>
      <x:c r="C86" s="4" t="str">
        <x:f>IFERROR(INDEX(Items!$C$6:$C$1005,MATCH(A86,Items!$A$6:$A$1005,0)),"MISSING ITEM ID")</x:f>
        <x:v>Resources</x:v>
      </x:c>
      <x:c r="D86" s="4" t="str">
        <x:v>Primary</x:v>
      </x:c>
      <x:c r="E86" s="4" t="str">
        <x:f>IFERROR(INDEX(Items!$Z$6:$Z$1005,MATCH(A86,Items!$A$6:$A$1005,0)),"MISSING ITEM ID")</x:f>
        <x:v>Glass and ceramics</x:v>
      </x:c>
      <x:c r="F86" s="4" t="str">
        <x:v>Current item description. Catalog intent, not implemented actions.</x:v>
      </x:c>
    </x:row>
    <x:row r="87" ht="45" customHeight="1">
      <x:c r="A87" s="4" t="str">
        <x:v>proposal.natural.gypsum</x:v>
      </x:c>
      <x:c r="B87" s="4" t="str">
        <x:f>IFERROR(INDEX(Items!$B$6:$B$1005,MATCH(A87,Items!$A$6:$A$1005,0)),"MISSING ITEM ID")</x:f>
        <x:v>Raw gypsum</x:v>
      </x:c>
      <x:c r="C87" s="4" t="str">
        <x:f>IFERROR(INDEX(Items!$C$6:$C$1005,MATCH(A87,Items!$A$6:$A$1005,0)),"MISSING ITEM ID")</x:f>
        <x:v>Resources</x:v>
      </x:c>
      <x:c r="D87" s="4" t="str">
        <x:v>Primary</x:v>
      </x:c>
      <x:c r="E87" s="4" t="str">
        <x:f>IFERROR(INDEX(Items!$Z$6:$Z$1005,MATCH(A87,Items!$A$6:$A$1005,0)),"MISSING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IFERROR(INDEX(Items!$C$6:$C$1005,MATCH(A88,Items!$A$6:$A$1005,0)),"MISSING ITEM ID")</x:f>
        <x:v>Resources</x:v>
      </x:c>
      <x:c r="D88" s="4" t="str">
        <x:v>Primary</x:v>
      </x:c>
      <x:c r="E88" s="4" t="str">
        <x:f>IFERROR(INDEX(Items!$Z$6:$Z$1005,MATCH(A88,Items!$A$6:$A$1005,0)),"MISSING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IFERROR(INDEX(Items!$C$6:$C$1005,MATCH(A89,Items!$A$6:$A$1005,0)),"MISSING ITEM ID")</x:f>
        <x:v>Resources</x:v>
      </x:c>
      <x:c r="D89" s="4" t="str">
        <x:v>Secondary</x:v>
      </x:c>
      <x:c r="E89" s="4" t="str">
        <x:v>Surface finishing</x:v>
      </x:c>
      <x:c r="F89" s="4" t="str">
        <x:v>Current item description. Catalog intent, not implemented actions.</x:v>
      </x:c>
    </x:row>
    <x:row r="90" ht="45" customHeight="1">
      <x:c r="A90" s="4" t="str">
        <x:v>proposal.natural.manganese_ore</x:v>
      </x:c>
      <x:c r="B90" s="4" t="str">
        <x:f>IFERROR(INDEX(Items!$B$6:$B$1005,MATCH(A90,Items!$A$6:$A$1005,0)),"MISSING ITEM ID")</x:f>
        <x:v>Manganese-bearing ore</x:v>
      </x:c>
      <x:c r="C90" s="4" t="str">
        <x:f>IFERROR(INDEX(Items!$C$6:$C$1005,MATCH(A90,Items!$A$6:$A$1005,0)),"MISSING ITEM ID")</x:f>
        <x:v>Resources</x:v>
      </x:c>
      <x:c r="D90" s="4" t="str">
        <x:v>Primary</x:v>
      </x:c>
      <x:c r="E90" s="4" t="str">
        <x:f>IFERROR(INDEX(Items!$Z$6:$Z$1005,MATCH(A90,Items!$A$6:$A$1005,0)),"MISSING ITEM ID")</x:f>
        <x:v>Metal refining</x:v>
      </x:c>
      <x:c r="F90" s="4" t="str">
        <x:v>Current item description. Catalog intent, not implemented actions.</x:v>
      </x:c>
    </x:row>
    <x:row r="91" ht="45" customHeight="1">
      <x:c r="A91" s="4" t="str">
        <x:v>proposal.natural.manganese_ore</x:v>
      </x:c>
      <x:c r="B91" s="4" t="str">
        <x:f>IFERROR(INDEX(Items!$B$6:$B$1005,MATCH(A91,Items!$A$6:$A$1005,0)),"MISSING ITEM ID")</x:f>
        <x:v>Manganese-bearing ore</x:v>
      </x:c>
      <x:c r="C91" s="4" t="str">
        <x:f>IFERROR(INDEX(Items!$C$6:$C$1005,MATCH(A91,Items!$A$6:$A$1005,0)),"MISSING ITEM ID")</x:f>
        <x:v>Resources</x:v>
      </x:c>
      <x:c r="D91" s="4" t="str">
        <x:v>Secondary</x:v>
      </x:c>
      <x:c r="E91" s="4" t="str">
        <x:v>Decoration</x:v>
      </x:c>
      <x:c r="F91" s="4" t="str">
        <x:v>Current item description. Catalog intent, not implemented actions.</x:v>
      </x:c>
    </x:row>
    <x:row r="92" ht="45" customHeight="1">
      <x:c r="A92" s="4" t="str">
        <x:v>proposal.natural.lead_ore</x:v>
      </x:c>
      <x:c r="B92" s="4" t="str">
        <x:f>IFERROR(INDEX(Items!$B$6:$B$1005,MATCH(A92,Items!$A$6:$A$1005,0)),"MISSING ITEM ID")</x:f>
        <x:v>Lead-bearing ore</x:v>
      </x:c>
      <x:c r="C92" s="4" t="str">
        <x:f>IFERROR(INDEX(Items!$C$6:$C$1005,MATCH(A92,Items!$A$6:$A$1005,0)),"MISSING ITEM ID")</x:f>
        <x:v>Resources</x:v>
      </x:c>
      <x:c r="D92" s="4" t="str">
        <x:v>Primary</x:v>
      </x:c>
      <x:c r="E92" s="4" t="str">
        <x:f>IFERROR(INDEX(Items!$Z$6:$Z$1005,MATCH(A92,Items!$A$6:$A$1005,0)),"MISSING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IFERROR(INDEX(Items!$C$6:$C$1005,MATCH(A93,Items!$A$6:$A$1005,0)),"MISSING ITEM ID")</x:f>
        <x:v>Resources</x:v>
      </x:c>
      <x:c r="D93" s="4" t="str">
        <x:v>Primary</x:v>
      </x:c>
      <x:c r="E93" s="4" t="str">
        <x:f>IFERROR(INDEX(Items!$Z$6:$Z$1005,MATCH(A93,Items!$A$6:$A$1005,0)),"MISSING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IFERROR(INDEX(Items!$C$6:$C$1005,MATCH(A94,Items!$A$6:$A$1005,0)),"MISSING ITEM ID")</x:f>
        <x:v>Resources</x:v>
      </x:c>
      <x:c r="D94" s="4" t="str">
        <x:v>Primary</x:v>
      </x:c>
      <x:c r="E94" s="4" t="str">
        <x:f>IFERROR(INDEX(Items!$Z$6:$Z$1005,MATCH(A94,Items!$A$6:$A$1005,0)),"MISSING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IFERROR(INDEX(Items!$C$6:$C$1005,MATCH(A95,Items!$A$6:$A$1005,0)),"MISSING ITEM ID")</x:f>
        <x:v>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IFERROR(INDEX(Items!$C$6:$C$1005,MATCH(A96,Items!$A$6:$A$1005,0)),"MISSING ITEM ID")</x:f>
        <x:v>Resources</x:v>
      </x:c>
      <x:c r="D96" s="4" t="str">
        <x:v>Primary</x:v>
      </x:c>
      <x:c r="E96" s="4" t="str">
        <x:f>IFERROR(INDEX(Items!$Z$6:$Z$1005,MATCH(A96,Items!$A$6:$A$1005,0)),"MISSING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IFERROR(INDEX(Items!$C$6:$C$1005,MATCH(A97,Items!$A$6:$A$1005,0)),"MISSING ITEM ID")</x:f>
        <x:v>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IFERROR(INDEX(Items!$C$6:$C$1005,MATCH(A98,Items!$A$6:$A$1005,0)),"MISSING ITEM ID")</x:f>
        <x:v>Resources</x:v>
      </x:c>
      <x:c r="D98" s="4" t="str">
        <x:v>Primary</x:v>
      </x:c>
      <x:c r="E98" s="4" t="str">
        <x:f>IFERROR(INDEX(Items!$Z$6:$Z$1005,MATCH(A98,Items!$A$6:$A$1005,0)),"MISSING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IFERROR(INDEX(Items!$C$6:$C$1005,MATCH(A99,Items!$A$6:$A$1005,0)),"MISSING ITEM ID")</x:f>
        <x:v>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IFERROR(INDEX(Items!$C$6:$C$1005,MATCH(A100,Items!$A$6:$A$1005,0)),"MISSING ITEM ID")</x:f>
        <x:v>Resources</x:v>
      </x:c>
      <x:c r="D100" s="4" t="str">
        <x:v>Primary</x:v>
      </x:c>
      <x:c r="E100" s="4" t="str">
        <x:f>IFERROR(INDEX(Items!$Z$6:$Z$1005,MATCH(A100,Items!$A$6:$A$1005,0)),"MISSING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IFERROR(INDEX(Items!$C$6:$C$1005,MATCH(A101,Items!$A$6:$A$1005,0)),"MISSING ITEM ID")</x:f>
        <x:v>Resources</x:v>
      </x:c>
      <x:c r="D101" s="4" t="str">
        <x:v>Primary</x:v>
      </x:c>
      <x:c r="E101" s="4" t="str">
        <x:f>IFERROR(INDEX(Items!$Z$6:$Z$1005,MATCH(A101,Items!$A$6:$A$1005,0)),"MISSING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IFERROR(INDEX(Items!$C$6:$C$1005,MATCH(A102,Items!$A$6:$A$1005,0)),"MISSING ITEM ID")</x:f>
        <x:v>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IFERROR(INDEX(Items!$C$6:$C$1005,MATCH(A103,Items!$A$6:$A$1005,0)),"MISSING ITEM ID")</x:f>
        <x:v>Resources</x:v>
      </x:c>
      <x:c r="D103" s="4" t="str">
        <x:v>Primary</x:v>
      </x:c>
      <x:c r="E103" s="4" t="str">
        <x:f>IFERROR(INDEX(Items!$Z$6:$Z$1005,MATCH(A103,Items!$A$6:$A$1005,0)),"MISSING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IFERROR(INDEX(Items!$C$6:$C$1005,MATCH(A104,Items!$A$6:$A$1005,0)),"MISSING ITEM ID")</x:f>
        <x:v>Resources</x:v>
      </x:c>
      <x:c r="D104" s="4" t="str">
        <x:v>Secondary</x:v>
      </x:c>
      <x:c r="E104" s="4" t="str">
        <x:v>Textile processing</x:v>
      </x:c>
      <x:c r="F104" s="4" t="str">
        <x:v>Current item description. Catalog intent, not implemented actions.</x:v>
      </x:c>
    </x:row>
    <x:row r="105" ht="45" customHeight="1">
      <x:c r="A105" s="4" t="str">
        <x:v>proposal.bio.husk_paper</x:v>
      </x:c>
      <x:c r="B105" s="4" t="str">
        <x:f>IFERROR(INDEX(Items!$B$6:$B$1005,MATCH(A105,Items!$A$6:$A$1005,0)),"MISSING ITEM ID")</x:f>
        <x:v>Husk-fiber paper</x:v>
      </x:c>
      <x:c r="C105" s="4" t="str">
        <x:f>IFERROR(INDEX(Items!$C$6:$C$1005,MATCH(A105,Items!$A$6:$A$1005,0)),"MISSING ITEM ID")</x:f>
        <x:v>Crafting components</x:v>
      </x:c>
      <x:c r="D105" s="4" t="str">
        <x:v>Primary</x:v>
      </x:c>
      <x:c r="E105" s="4" t="str">
        <x:f>IFERROR(INDEX(Items!$Z$6:$Z$1005,MATCH(A105,Items!$A$6:$A$1005,0)),"MISSING ITEM ID")</x:f>
        <x:v>Writing and records</x:v>
      </x:c>
      <x:c r="F105" s="4" t="str">
        <x:v>Current item description. Catalog intent, not implemented actions.</x:v>
      </x:c>
    </x:row>
    <x:row r="106" ht="45" customHeight="1">
      <x:c r="A106" s="4" t="str">
        <x:v>proposal.bio.pressed_husk</x:v>
      </x:c>
      <x:c r="B106" s="4" t="str">
        <x:f>IFERROR(INDEX(Items!$B$6:$B$1005,MATCH(A106,Items!$A$6:$A$1005,0)),"MISSING ITEM ID")</x:f>
        <x:v>Pressed husk-fiber textile material</x:v>
      </x:c>
      <x:c r="C106" s="4" t="str">
        <x:f>IFERROR(INDEX(Items!$C$6:$C$1005,MATCH(A106,Items!$A$6:$A$1005,0)),"MISSING ITEM ID")</x:f>
        <x:v>Crafting components</x:v>
      </x:c>
      <x:c r="D106" s="4" t="str">
        <x:v>Primary</x:v>
      </x:c>
      <x:c r="E106" s="4" t="str">
        <x:f>IFERROR(INDEX(Items!$Z$6:$Z$1005,MATCH(A106,Items!$A$6:$A$1005,0)),"MISSING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IFERROR(INDEX(Items!$C$6:$C$1005,MATCH(A107,Items!$A$6:$A$1005,0)),"MISSING ITEM ID")</x:f>
        <x:v>Resources</x:v>
      </x:c>
      <x:c r="D107" s="4" t="str">
        <x:v>Primary</x:v>
      </x:c>
      <x:c r="E107" s="4" t="str">
        <x:f>IFERROR(INDEX(Items!$Z$6:$Z$1005,MATCH(A107,Items!$A$6:$A$1005,0)),"MISSING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Processed hide material</x:v>
      </x:c>
      <x:c r="C108" s="4" t="str">
        <x:f>IFERROR(INDEX(Items!$C$6:$C$1005,MATCH(A108,Items!$A$6:$A$1005,0)),"MISSING ITEM ID")</x:f>
        <x:v>Crafting components</x:v>
      </x:c>
      <x:c r="D108" s="4" t="str">
        <x:v>Primary</x:v>
      </x:c>
      <x:c r="E108" s="4" t="str">
        <x:f>IFERROR(INDEX(Items!$Z$6:$Z$1005,MATCH(A108,Items!$A$6:$A$1005,0)),"MISSING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IFERROR(INDEX(Items!$C$6:$C$1005,MATCH(A109,Items!$A$6:$A$1005,0)),"MISSING ITEM ID")</x:f>
        <x:v>Resources</x:v>
      </x:c>
      <x:c r="D109" s="4" t="str">
        <x:v>Primary</x:v>
      </x:c>
      <x:c r="E109" s="4" t="str">
        <x:f>IFERROR(INDEX(Items!$Z$6:$Z$1005,MATCH(A109,Items!$A$6:$A$1005,0)),"MISSING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IFERROR(INDEX(Items!$C$6:$C$1005,MATCH(A110,Items!$A$6:$A$1005,0)),"MISSING ITEM ID")</x:f>
        <x:v>Resources</x:v>
      </x:c>
      <x:c r="D110" s="4" t="str">
        <x:v>Primary</x:v>
      </x:c>
      <x:c r="E110" s="4" t="str">
        <x:f>IFERROR(INDEX(Items!$Z$6:$Z$1005,MATCH(A110,Items!$A$6:$A$1005,0)),"MISSING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IFERROR(INDEX(Items!$C$6:$C$1005,MATCH(A111,Items!$A$6:$A$1005,0)),"MISSING ITEM ID")</x:f>
        <x:v>Resources</x:v>
      </x:c>
      <x:c r="D111" s="4" t="str">
        <x:v>Primary</x:v>
      </x:c>
      <x:c r="E111" s="4" t="str">
        <x:f>IFERROR(INDEX(Items!$Z$6:$Z$1005,MATCH(A111,Items!$A$6:$A$1005,0)),"MISSING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IFERROR(INDEX(Items!$C$6:$C$1005,MATCH(A112,Items!$A$6:$A$1005,0)),"MISSING ITEM ID")</x:f>
        <x:v>Resources</x:v>
      </x:c>
      <x:c r="D112" s="4" t="str">
        <x:v>Primary</x:v>
      </x:c>
      <x:c r="E112" s="4" t="str">
        <x:f>IFERROR(INDEX(Items!$Z$6:$Z$1005,MATCH(A112,Items!$A$6:$A$1005,0)),"MISSING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IFERROR(INDEX(Items!$C$6:$C$1005,MATCH(A113,Items!$A$6:$A$1005,0)),"MISSING ITEM ID")</x:f>
        <x:v>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IFERROR(INDEX(Items!$C$6:$C$1005,MATCH(A114,Items!$A$6:$A$1005,0)),"MISSING ITEM ID")</x:f>
        <x:v>Resources</x:v>
      </x:c>
      <x:c r="D114" s="4" t="str">
        <x:v>Primary</x:v>
      </x:c>
      <x:c r="E114" s="4" t="str">
        <x:f>IFERROR(INDEX(Items!$Z$6:$Z$1005,MATCH(A114,Items!$A$6:$A$1005,0)),"MISSING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IFERROR(INDEX(Items!$C$6:$C$1005,MATCH(A115,Items!$A$6:$A$1005,0)),"MISSING ITEM ID")</x:f>
        <x:v>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IFERROR(INDEX(Items!$C$6:$C$1005,MATCH(A116,Items!$A$6:$A$1005,0)),"MISSING ITEM ID")</x:f>
        <x:v>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IFERROR(INDEX(Items!$C$6:$C$1005,MATCH(A117,Items!$A$6:$A$1005,0)),"MISSING ITEM ID")</x:f>
        <x:v>Resources</x:v>
      </x:c>
      <x:c r="D117" s="4" t="str">
        <x:v>Primary</x:v>
      </x:c>
      <x:c r="E117" s="4" t="str">
        <x:f>IFERROR(INDEX(Items!$Z$6:$Z$1005,MATCH(A117,Items!$A$6:$A$1005,0)),"MISSING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IFERROR(INDEX(Items!$C$6:$C$1005,MATCH(A118,Items!$A$6:$A$1005,0)),"MISSING ITEM ID")</x:f>
        <x:v>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IFERROR(INDEX(Items!$C$6:$C$1005,MATCH(A119,Items!$A$6:$A$1005,0)),"MISSING ITEM ID")</x:f>
        <x:v>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IFERROR(INDEX(Items!$C$6:$C$1005,MATCH(A120,Items!$A$6:$A$1005,0)),"MISSING ITEM ID")</x:f>
        <x:v>Resources</x:v>
      </x:c>
      <x:c r="D120" s="4" t="str">
        <x:v>Primary</x:v>
      </x:c>
      <x:c r="E120" s="4" t="str">
        <x:f>IFERROR(INDEX(Items!$Z$6:$Z$1005,MATCH(A120,Items!$A$6:$A$1005,0)),"MISSING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IFERROR(INDEX(Items!$C$6:$C$1005,MATCH(A121,Items!$A$6:$A$1005,0)),"MISSING ITEM ID")</x:f>
        <x:v>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IFERROR(INDEX(Items!$C$6:$C$1005,MATCH(A122,Items!$A$6:$A$1005,0)),"MISSING ITEM ID")</x:f>
        <x:v>Resources</x:v>
      </x:c>
      <x:c r="D122" s="4" t="str">
        <x:v>Primary</x:v>
      </x:c>
      <x:c r="E122" s="4" t="str">
        <x:f>IFERROR(INDEX(Items!$Z$6:$Z$1005,MATCH(A122,Items!$A$6:$A$1005,0)),"MISSING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IFERROR(INDEX(Items!$C$6:$C$1005,MATCH(A123,Items!$A$6:$A$1005,0)),"MISSING ITEM ID")</x:f>
        <x:v>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IFERROR(INDEX(Items!$C$6:$C$1005,MATCH(A124,Items!$A$6:$A$1005,0)),"MISSING ITEM ID")</x:f>
        <x:v>Resources</x:v>
      </x:c>
      <x:c r="D124" s="4" t="str">
        <x:v>Primary</x:v>
      </x:c>
      <x:c r="E124" s="4" t="str">
        <x:f>IFERROR(INDEX(Items!$Z$6:$Z$1005,MATCH(A124,Items!$A$6:$A$1005,0)),"MISSING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IFERROR(INDEX(Items!$C$6:$C$1005,MATCH(A125,Items!$A$6:$A$1005,0)),"MISSING ITEM ID")</x:f>
        <x:v>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IFERROR(INDEX(Items!$C$6:$C$1005,MATCH(A126,Items!$A$6:$A$1005,0)),"MISSING ITEM ID")</x:f>
        <x:v>Resources</x:v>
      </x:c>
      <x:c r="D126" s="4" t="str">
        <x:v>Primary</x:v>
      </x:c>
      <x:c r="E126" s="4" t="str">
        <x:f>IFERROR(INDEX(Items!$Z$6:$Z$1005,MATCH(A126,Items!$A$6:$A$1005,0)),"MISSING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IFERROR(INDEX(Items!$C$6:$C$1005,MATCH(A127,Items!$A$6:$A$1005,0)),"MISSING ITEM ID")</x:f>
        <x:v>Resources</x:v>
      </x:c>
      <x:c r="D127" s="4" t="str">
        <x:v>Primary</x:v>
      </x:c>
      <x:c r="E127" s="4" t="str">
        <x:f>IFERROR(INDEX(Items!$Z$6:$Z$1005,MATCH(A127,Items!$A$6:$A$1005,0)),"MISSING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IFERROR(INDEX(Items!$C$6:$C$1005,MATCH(A128,Items!$A$6:$A$1005,0)),"MISSING ITEM ID")</x:f>
        <x:v>Resources</x:v>
      </x:c>
      <x:c r="D128" s="4" t="str">
        <x:v>Primary</x:v>
      </x:c>
      <x:c r="E128" s="4" t="str">
        <x:f>IFERROR(INDEX(Items!$Z$6:$Z$1005,MATCH(A128,Items!$A$6:$A$1005,0)),"MISSING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IFERROR(INDEX(Items!$C$6:$C$1005,MATCH(A129,Items!$A$6:$A$1005,0)),"MISSING ITEM ID")</x:f>
        <x:v>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IFERROR(INDEX(Items!$C$6:$C$1005,MATCH(A130,Items!$A$6:$A$1005,0)),"MISSING ITEM ID")</x:f>
        <x:v>Resources</x:v>
      </x:c>
      <x:c r="D130" s="4" t="str">
        <x:v>Primary</x:v>
      </x:c>
      <x:c r="E130" s="4" t="str">
        <x:f>IFERROR(INDEX(Items!$Z$6:$Z$1005,MATCH(A130,Items!$A$6:$A$1005,0)),"MISSING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IFERROR(INDEX(Items!$C$6:$C$1005,MATCH(A131,Items!$A$6:$A$1005,0)),"MISSING ITEM ID")</x:f>
        <x:v>Resources</x:v>
      </x:c>
      <x:c r="D131" s="4" t="str">
        <x:v>Primary</x:v>
      </x:c>
      <x:c r="E131" s="4" t="str">
        <x:f>IFERROR(INDEX(Items!$Z$6:$Z$1005,MATCH(A131,Items!$A$6:$A$1005,0)),"MISSING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IFERROR(INDEX(Items!$C$6:$C$1005,MATCH(A132,Items!$A$6:$A$1005,0)),"MISSING ITEM ID")</x:f>
        <x:v>Resources</x:v>
      </x:c>
      <x:c r="D132" s="4" t="str">
        <x:v>Primary</x:v>
      </x:c>
      <x:c r="E132" s="4" t="str">
        <x:f>IFERROR(INDEX(Items!$Z$6:$Z$1005,MATCH(A132,Items!$A$6:$A$1005,0)),"MISSING ITEM ID")</x:f>
        <x:v>Fauna interaction</x:v>
      </x:c>
      <x:c r="F132" s="4" t="str">
        <x:v>Current item description. Catalog intent, not implemented actions.</x:v>
      </x:c>
    </x:row>
    <x:row r="133" ht="45" customHeight="1">
      <x:c r="A133" s="4" t="str">
        <x:v>proposal.container.sample_vial</x:v>
      </x:c>
      <x:c r="B133" s="4" t="str">
        <x:f>IFERROR(INDEX(Items!$B$6:$B$1005,MATCH(A133,Items!$A$6:$A$1005,0)),"MISSING ITEM ID")</x:f>
        <x:v>Clear sample vial</x:v>
      </x:c>
      <x:c r="C133" s="4" t="str">
        <x:f>IFERROR(INDEX(Items!$C$6:$C$1005,MATCH(A133,Items!$A$6:$A$1005,0)),"MISSING ITEM ID")</x:f>
        <x:v>Containers</x:v>
      </x:c>
      <x:c r="D133" s="4" t="str">
        <x:v>Primary</x:v>
      </x:c>
      <x:c r="E133" s="4" t="str">
        <x:f>IFERROR(INDEX(Items!$Z$6:$Z$1005,MATCH(A133,Items!$A$6:$A$1005,0)),"MISSING ITEM ID")</x:f>
        <x:v>Liquid and bulk containment</x:v>
      </x:c>
      <x:c r="F133" s="4" t="str">
        <x:v>Current item description. Catalog intent, not implemented actions.</x:v>
      </x:c>
    </x:row>
    <x:row r="134" ht="45" customHeight="1">
      <x:c r="A134" s="4" t="str">
        <x:v>proposal.container.sample_vial</x:v>
      </x:c>
      <x:c r="B134" s="4" t="str">
        <x:f>IFERROR(INDEX(Items!$B$6:$B$1005,MATCH(A134,Items!$A$6:$A$1005,0)),"MISSING ITEM ID")</x:f>
        <x:v>Clear sample vial</x:v>
      </x:c>
      <x:c r="C134" s="4" t="str">
        <x:f>IFERROR(INDEX(Items!$C$6:$C$1005,MATCH(A134,Items!$A$6:$A$1005,0)),"MISSING ITEM ID")</x:f>
        <x:v>Containers</x:v>
      </x:c>
      <x:c r="D134" s="4" t="str">
        <x:v>Secondary</x:v>
      </x:c>
      <x:c r="E134" s="4" t="str">
        <x:v>Inspection</x:v>
      </x:c>
      <x:c r="F134" s="4" t="str">
        <x:v>Current item description. Catalog intent, not implemented actions.</x:v>
      </x:c>
    </x:row>
    <x:row r="135" ht="45" customHeight="1">
      <x:c r="A135" s="4" t="str">
        <x:v>proposal.container.reagent_bottle</x:v>
      </x:c>
      <x:c r="B135" s="4" t="str">
        <x:f>IFERROR(INDEX(Items!$B$6:$B$1005,MATCH(A135,Items!$A$6:$A$1005,0)),"MISSING ITEM ID")</x:f>
        <x:v>Opaque reagent bottle</x:v>
      </x:c>
      <x:c r="C135" s="4" t="str">
        <x:f>IFERROR(INDEX(Items!$C$6:$C$1005,MATCH(A135,Items!$A$6:$A$1005,0)),"MISSING ITEM ID")</x:f>
        <x:v>Containers</x:v>
      </x:c>
      <x:c r="D135" s="4" t="str">
        <x:v>Primary</x:v>
      </x:c>
      <x:c r="E135" s="4" t="str">
        <x:f>IFERROR(INDEX(Items!$Z$6:$Z$1005,MATCH(A135,Items!$A$6:$A$1005,0)),"MISSING ITEM ID")</x:f>
        <x:v>Liquid and bulk containment</x:v>
      </x:c>
      <x:c r="F135" s="4" t="str">
        <x:v>Current item description. Catalog intent, not implemented actions.</x:v>
      </x:c>
    </x:row>
    <x:row r="136" ht="45" customHeight="1">
      <x:c r="A136" s="4" t="str">
        <x:v>proposal.container.wide_jar</x:v>
      </x:c>
      <x:c r="B136" s="4" t="str">
        <x:f>IFERROR(INDEX(Items!$B$6:$B$1005,MATCH(A136,Items!$A$6:$A$1005,0)),"MISSING ITEM ID")</x:f>
        <x:v>Wide-mouth sample jar</x:v>
      </x:c>
      <x:c r="C136" s="4" t="str">
        <x:f>IFERROR(INDEX(Items!$C$6:$C$1005,MATCH(A136,Items!$A$6:$A$1005,0)),"MISSING ITEM ID")</x:f>
        <x:v>Containers</x:v>
      </x:c>
      <x:c r="D136" s="4" t="str">
        <x:v>Primary</x:v>
      </x:c>
      <x:c r="E136" s="4" t="str">
        <x:f>IFERROR(INDEX(Items!$Z$6:$Z$1005,MATCH(A136,Items!$A$6:$A$1005,0)),"MISSING ITEM ID")</x:f>
        <x:v>Liquid and bulk containment</x:v>
      </x:c>
      <x:c r="F136" s="4" t="str">
        <x:v>Current item description. Catalog intent, not implemented actions.</x:v>
      </x:c>
    </x:row>
    <x:row r="137" ht="45" customHeight="1">
      <x:c r="A137" s="4" t="str">
        <x:v>proposal.container.ampoule</x:v>
      </x:c>
      <x:c r="B137" s="4" t="str">
        <x:f>IFERROR(INDEX(Items!$B$6:$B$1005,MATCH(A137,Items!$A$6:$A$1005,0)),"MISSING ITEM ID")</x:f>
        <x:v>Sealed sample ampoule</x:v>
      </x:c>
      <x:c r="C137" s="4" t="str">
        <x:f>IFERROR(INDEX(Items!$C$6:$C$1005,MATCH(A137,Items!$A$6:$A$1005,0)),"MISSING ITEM ID")</x:f>
        <x:v>Containers</x:v>
      </x:c>
      <x:c r="D137" s="4" t="str">
        <x:v>Primary</x:v>
      </x:c>
      <x:c r="E137" s="4" t="str">
        <x:f>IFERROR(INDEX(Items!$Z$6:$Z$1005,MATCH(A137,Items!$A$6:$A$1005,0)),"MISSING ITEM ID")</x:f>
        <x:v>Liquid and bulk containment</x:v>
      </x:c>
      <x:c r="F137" s="4" t="str">
        <x:v>Current item description. Catalog intent, not implemented actions.</x:v>
      </x:c>
    </x:row>
    <x:row r="138" ht="45" customHeight="1">
      <x:c r="A138" s="4" t="str">
        <x:v>proposal.container.marked_flask</x:v>
      </x:c>
      <x:c r="B138" s="4" t="str">
        <x:f>IFERROR(INDEX(Items!$B$6:$B$1005,MATCH(A138,Items!$A$6:$A$1005,0)),"MISSING ITEM ID")</x:f>
        <x:v>Marked glass flask</x:v>
      </x:c>
      <x:c r="C138" s="4" t="str">
        <x:f>IFERROR(INDEX(Items!$C$6:$C$1005,MATCH(A138,Items!$A$6:$A$1005,0)),"MISSING ITEM ID")</x:f>
        <x:v>Containers</x:v>
      </x:c>
      <x:c r="D138" s="4" t="str">
        <x:v>Primary</x:v>
      </x:c>
      <x:c r="E138" s="4" t="str">
        <x:f>IFERROR(INDEX(Items!$Z$6:$Z$1005,MATCH(A138,Items!$A$6:$A$1005,0)),"MISSING ITEM ID")</x:f>
        <x:v>Liquid and bulk containment</x:v>
      </x:c>
      <x:c r="F138" s="4" t="str">
        <x:v>Current item description. Catalog intent, not implemented actions.</x:v>
      </x:c>
    </x:row>
    <x:row r="139" ht="45" customHeight="1">
      <x:c r="A139" s="4" t="str">
        <x:v>proposal.container.marked_flask</x:v>
      </x:c>
      <x:c r="B139" s="4" t="str">
        <x:f>IFERROR(INDEX(Items!$B$6:$B$1005,MATCH(A139,Items!$A$6:$A$1005,0)),"MISSING ITEM ID")</x:f>
        <x:v>Marked glass flask</x:v>
      </x:c>
      <x:c r="C139" s="4" t="str">
        <x:f>IFERROR(INDEX(Items!$C$6:$C$1005,MATCH(A139,Items!$A$6:$A$1005,0)),"MISSING ITEM ID")</x:f>
        <x:v>Containers</x:v>
      </x:c>
      <x:c r="D139" s="4" t="str">
        <x:v>Secondary</x:v>
      </x:c>
      <x:c r="E139" s="4" t="str">
        <x:v>Inspection</x:v>
      </x:c>
      <x:c r="F139" s="4" t="str">
        <x:v>Current item description. Catalog intent, not implemented actions.</x:v>
      </x:c>
    </x:row>
    <x:row r="140" ht="45" customHeight="1">
      <x:c r="A140" s="4" t="str">
        <x:v>proposal.container.shell_cage</x:v>
      </x:c>
      <x:c r="B140" s="4" t="str">
        <x:f>IFERROR(INDEX(Items!$B$6:$B$1005,MATCH(A140,Items!$A$6:$A$1005,0)),"MISSING ITEM ID")</x:f>
        <x:v>Shell-caged glass flask</x:v>
      </x:c>
      <x:c r="C140" s="4" t="str">
        <x:f>IFERROR(INDEX(Items!$C$6:$C$1005,MATCH(A140,Items!$A$6:$A$1005,0)),"MISSING ITEM ID")</x:f>
        <x:v>Containers</x:v>
      </x:c>
      <x:c r="D140" s="4" t="str">
        <x:v>Primary</x:v>
      </x:c>
      <x:c r="E140" s="4" t="str">
        <x:f>IFERROR(INDEX(Items!$Z$6:$Z$1005,MATCH(A140,Items!$A$6:$A$1005,0)),"MISSING ITEM ID")</x:f>
        <x:v>Liquid and bulk containment</x:v>
      </x:c>
      <x:c r="F140" s="4" t="str">
        <x:v>Current item description. Catalog intent, not implemented actions.</x:v>
      </x:c>
    </x:row>
    <x:row r="141" ht="45" customHeight="1">
      <x:c r="A141" s="4" t="str">
        <x:v>proposal.container.lined_canister</x:v>
      </x:c>
      <x:c r="B141" s="4" t="str">
        <x:f>IFERROR(INDEX(Items!$B$6:$B$1005,MATCH(A141,Items!$A$6:$A$1005,0)),"MISSING ITEM ID")</x:f>
        <x:v>Glass-lined haul canister</x:v>
      </x:c>
      <x:c r="C141" s="4" t="str">
        <x:f>IFERROR(INDEX(Items!$C$6:$C$1005,MATCH(A141,Items!$A$6:$A$1005,0)),"MISSING ITEM ID")</x:f>
        <x:v>Containers</x:v>
      </x:c>
      <x:c r="D141" s="4" t="str">
        <x:v>Primary</x:v>
      </x:c>
      <x:c r="E141" s="4" t="str">
        <x:f>IFERROR(INDEX(Items!$Z$6:$Z$1005,MATCH(A141,Items!$A$6:$A$1005,0)),"MISSING ITEM ID")</x:f>
        <x:v>Liquid and bulk containment</x:v>
      </x:c>
      <x:c r="F141" s="4" t="str">
        <x:v>Current item description. Catalog intent, not implemented actions.</x:v>
      </x:c>
    </x:row>
    <x:row r="142" ht="45" customHeight="1">
      <x:c r="A142" s="4" t="str">
        <x:v>proposal.container.ceramic_jar</x:v>
      </x:c>
      <x:c r="B142" s="4" t="str">
        <x:f>IFERROR(INDEX(Items!$B$6:$B$1005,MATCH(A142,Items!$A$6:$A$1005,0)),"MISSING ITEM ID")</x:f>
        <x:v>Glazed ceramic reagent jar</x:v>
      </x:c>
      <x:c r="C142" s="4" t="str">
        <x:f>IFERROR(INDEX(Items!$C$6:$C$1005,MATCH(A142,Items!$A$6:$A$1005,0)),"MISSING ITEM ID")</x:f>
        <x:v>Containers</x:v>
      </x:c>
      <x:c r="D142" s="4" t="str">
        <x:v>Primary</x:v>
      </x:c>
      <x:c r="E142" s="4" t="str">
        <x:f>IFERROR(INDEX(Items!$Z$6:$Z$1005,MATCH(A142,Items!$A$6:$A$1005,0)),"MISSING ITEM ID")</x:f>
        <x:v>Liquid and bulk containment</x:v>
      </x:c>
      <x:c r="F142" s="4" t="str">
        <x:v>Current item description. Catalog intent, not implemented actions.</x:v>
      </x:c>
    </x:row>
    <x:row r="143" ht="45" customHeight="1">
      <x:c r="A143" s="4" t="str">
        <x:v>proposal.container.bulk_ichor</x:v>
      </x:c>
      <x:c r="B143" s="4" t="str">
        <x:f>IFERROR(INDEX(Items!$B$6:$B$1005,MATCH(A143,Items!$A$6:$A$1005,0)),"MISSING ITEM ID")</x:f>
        <x:v>Bulk ichor vessel</x:v>
      </x:c>
      <x:c r="C143" s="4" t="str">
        <x:f>IFERROR(INDEX(Items!$C$6:$C$1005,MATCH(A143,Items!$A$6:$A$1005,0)),"MISSING ITEM ID")</x:f>
        <x:v>Containers</x:v>
      </x:c>
      <x:c r="D143" s="4" t="str">
        <x:v>Primary</x:v>
      </x:c>
      <x:c r="E143" s="4" t="str">
        <x:f>IFERROR(INDEX(Items!$Z$6:$Z$1005,MATCH(A143,Items!$A$6:$A$1005,0)),"MISSING ITEM ID")</x:f>
        <x:v>Liquid and bulk containment</x:v>
      </x:c>
      <x:c r="F143" s="4" t="str">
        <x:v>Current item description. Catalog intent, not implemented actions.</x:v>
      </x:c>
    </x:row>
    <x:row r="144" ht="45" customHeight="1">
      <x:c r="A144" s="4" t="str">
        <x:v>proposal.container.vial_case</x:v>
      </x:c>
      <x:c r="B144" s="4" t="str">
        <x:f>IFERROR(INDEX(Items!$B$6:$B$1005,MATCH(A144,Items!$A$6:$A$1005,0)),"MISSING ITEM ID")</x:f>
        <x:v>Divided vial case</x:v>
      </x:c>
      <x:c r="C144" s="4" t="str">
        <x:f>IFERROR(INDEX(Items!$C$6:$C$1005,MATCH(A144,Items!$A$6:$A$1005,0)),"MISSING ITEM ID")</x:f>
        <x:v>Containers</x:v>
      </x:c>
      <x:c r="D144" s="4" t="str">
        <x:v>Primary</x:v>
      </x:c>
      <x:c r="E144" s="4" t="str">
        <x:f>IFERROR(INDEX(Items!$Z$6:$Z$1005,MATCH(A144,Items!$A$6:$A$1005,0)),"MISSING ITEM ID")</x:f>
        <x:v>Cargo organization</x:v>
      </x:c>
      <x:c r="F144" s="4" t="str">
        <x:v>Current item description. Catalog intent, not implemented actions.</x:v>
      </x:c>
    </x:row>
    <x:row r="145" ht="45" customHeight="1">
      <x:c r="A145" s="4" t="str">
        <x:v>proposal.container.sealed_box</x:v>
      </x:c>
      <x:c r="B145" s="4" t="str">
        <x:f>IFERROR(INDEX(Items!$B$6:$B$1005,MATCH(A145,Items!$A$6:$A$1005,0)),"MISSING ITEM ID")</x:f>
        <x:v>Sealed cargo box</x:v>
      </x:c>
      <x:c r="C145" s="4" t="str">
        <x:f>IFERROR(INDEX(Items!$C$6:$C$1005,MATCH(A145,Items!$A$6:$A$1005,0)),"MISSING ITEM ID")</x:f>
        <x:v>Containers</x:v>
      </x:c>
      <x:c r="D145" s="4" t="str">
        <x:v>Primary</x:v>
      </x:c>
      <x:c r="E145" s="4" t="str">
        <x:f>IFERROR(INDEX(Items!$Z$6:$Z$1005,MATCH(A145,Items!$A$6:$A$1005,0)),"MISSING ITEM ID")</x:f>
        <x:v>Cargo organization</x:v>
      </x:c>
      <x:c r="F145" s="4" t="str">
        <x:v>Current item description. Catalog intent, not implemented actions.</x:v>
      </x:c>
    </x:row>
    <x:row r="146" ht="45" customHeight="1">
      <x:c r="A146" s="4" t="str">
        <x:v>proposal.container.field_chest</x:v>
      </x:c>
      <x:c r="B146" s="4" t="str">
        <x:f>IFERROR(INDEX(Items!$B$6:$B$1005,MATCH(A146,Items!$A$6:$A$1005,0)),"MISSING ITEM ID")</x:f>
        <x:v>Locking field chest</x:v>
      </x:c>
      <x:c r="C146" s="4" t="str">
        <x:f>IFERROR(INDEX(Items!$C$6:$C$1005,MATCH(A146,Items!$A$6:$A$1005,0)),"MISSING ITEM ID")</x:f>
        <x:v>Containers</x:v>
      </x:c>
      <x:c r="D146" s="4" t="str">
        <x:v>Primary</x:v>
      </x:c>
      <x:c r="E146" s="4" t="str">
        <x:f>IFERROR(INDEX(Items!$Z$6:$Z$1005,MATCH(A146,Items!$A$6:$A$1005,0)),"MISSING ITEM ID")</x:f>
        <x:v>Cargo organization</x:v>
      </x:c>
      <x:c r="F146" s="4" t="str">
        <x:v>Current item description. Catalog intent, not implemented actions.</x:v>
      </x:c>
    </x:row>
    <x:row r="147" ht="45" customHeight="1">
      <x:c r="A147" s="4" t="str">
        <x:v>proposal.container.funnel</x:v>
      </x:c>
      <x:c r="B147" s="4" t="str">
        <x:f>IFERROR(INDEX(Items!$B$6:$B$1005,MATCH(A147,Items!$A$6:$A$1005,0)),"MISSING ITEM ID")</x:f>
        <x:v>Glass transfer funnel</x:v>
      </x:c>
      <x:c r="C147" s="4" t="str">
        <x:f>IFERROR(INDEX(Items!$C$6:$C$1005,MATCH(A147,Items!$A$6:$A$1005,0)),"MISSING ITEM ID")</x:f>
        <x:v>Containers</x:v>
      </x:c>
      <x:c r="D147" s="4" t="str">
        <x:v>Primary</x:v>
      </x:c>
      <x:c r="E147" s="4" t="str">
        <x:f>IFERROR(INDEX(Items!$Z$6:$Z$1005,MATCH(A147,Items!$A$6:$A$1005,0)),"MISSING ITEM ID")</x:f>
        <x:v>Material transfer</x:v>
      </x:c>
      <x:c r="F147" s="4" t="str">
        <x:v>Current item description. Catalog intent, not implemented actions.</x:v>
      </x:c>
    </x:row>
    <x:row r="148" ht="45" customHeight="1">
      <x:c r="A148" s="4" t="str">
        <x:v>proposal.container.draw_tube</x:v>
      </x:c>
      <x:c r="B148" s="4" t="str">
        <x:f>IFERROR(INDEX(Items!$B$6:$B$1005,MATCH(A148,Items!$A$6:$A$1005,0)),"MISSING ITEM ID")</x:f>
        <x:v>Glass draw tube</x:v>
      </x:c>
      <x:c r="C148" s="4" t="str">
        <x:f>IFERROR(INDEX(Items!$C$6:$C$1005,MATCH(A148,Items!$A$6:$A$1005,0)),"MISSING ITEM ID")</x:f>
        <x:v>Containers</x:v>
      </x:c>
      <x:c r="D148" s="4" t="str">
        <x:v>Primary</x:v>
      </x:c>
      <x:c r="E148" s="4" t="str">
        <x:f>IFERROR(INDEX(Items!$Z$6:$Z$1005,MATCH(A148,Items!$A$6:$A$1005,0)),"MISSING ITEM ID")</x:f>
        <x:v>Material transfer</x:v>
      </x:c>
      <x:c r="F148" s="4" t="str">
        <x:v>Current item description. Catalog intent, not implemented actions.</x:v>
      </x:c>
    </x:row>
    <x:row r="149" ht="45" customHeight="1">
      <x:c r="A149" s="4" t="str">
        <x:v>proposal.container.glass_stopper</x:v>
      </x:c>
      <x:c r="B149" s="4" t="str">
        <x:f>IFERROR(INDEX(Items!$B$6:$B$1005,MATCH(A149,Items!$A$6:$A$1005,0)),"MISSING ITEM ID")</x:f>
        <x:v>Matched glass stopper</x:v>
      </x:c>
      <x:c r="C149" s="4" t="str">
        <x:f>IFERROR(INDEX(Items!$C$6:$C$1005,MATCH(A149,Items!$A$6:$A$1005,0)),"MISSING ITEM ID")</x:f>
        <x:v>Containers</x:v>
      </x:c>
      <x:c r="D149" s="4" t="str">
        <x:v>Primary</x:v>
      </x:c>
      <x:c r="E149" s="4" t="str">
        <x:f>IFERROR(INDEX(Items!$Z$6:$Z$1005,MATCH(A149,Items!$A$6:$A$1005,0)),"MISSING ITEM ID")</x:f>
        <x:v>Sealing</x:v>
      </x:c>
      <x:c r="F149" s="4" t="str">
        <x:v>Current item description. Catalog intent, not implemented actions.</x:v>
      </x:c>
    </x:row>
    <x:row r="150" ht="45" customHeight="1">
      <x:c r="A150" s="4" t="str">
        <x:v>proposal.container.seal_collar</x:v>
      </x:c>
      <x:c r="B150" s="4" t="str">
        <x:f>IFERROR(INDEX(Items!$B$6:$B$1005,MATCH(A150,Items!$A$6:$A$1005,0)),"MISSING ITEM ID")</x:f>
        <x:v>Compression seal collar</x:v>
      </x:c>
      <x:c r="C150" s="4" t="str">
        <x:f>IFERROR(INDEX(Items!$C$6:$C$1005,MATCH(A150,Items!$A$6:$A$1005,0)),"MISSING ITEM ID")</x:f>
        <x:v>Containers</x:v>
      </x:c>
      <x:c r="D150" s="4" t="str">
        <x:v>Primary</x:v>
      </x:c>
      <x:c r="E150" s="4" t="str">
        <x:f>IFERROR(INDEX(Items!$Z$6:$Z$1005,MATCH(A150,Items!$A$6:$A$1005,0)),"MISSING ITEM ID")</x:f>
        <x:v>Sealing</x:v>
      </x:c>
      <x:c r="F150" s="4" t="str">
        <x:v>Current item description. Catalog intent, not implemented actions.</x:v>
      </x:c>
    </x:row>
    <x:row r="151" ht="45" customHeight="1">
      <x:c r="A151" s="4" t="str">
        <x:v>proposal.gear.mail_shirt</x:v>
      </x:c>
      <x:c r="B151" s="4" t="str">
        <x:f>IFERROR(INDEX(Items!$B$6:$B$1005,MATCH(A151,Items!$A$6:$A$1005,0)),"MISSING ITEM ID")</x:f>
        <x:v>Chainmail shirt</x:v>
      </x:c>
      <x:c r="C151" s="4" t="str">
        <x:f>IFERROR(INDEX(Items!$C$6:$C$1005,MATCH(A151,Items!$A$6:$A$1005,0)),"MISSING ITEM ID")</x:f>
        <x:v>Equipment</x:v>
      </x:c>
      <x:c r="D151" s="4" t="str">
        <x:v>Primary</x:v>
      </x:c>
      <x:c r="E151" s="4" t="str">
        <x:f>IFERROR(INDEX(Items!$Z$6:$Z$1005,MATCH(A151,Items!$A$6:$A$1005,0)),"MISSING ITEM ID")</x:f>
        <x:v>Clothing</x:v>
      </x:c>
      <x:c r="F151" s="4" t="str">
        <x:v>Current item description. Catalog intent, not implemented actions.</x:v>
      </x:c>
    </x:row>
    <x:row r="152" ht="45" customHeight="1">
      <x:c r="A152" s="4" t="str">
        <x:v>proposal.gear.mail_shirt</x:v>
      </x:c>
      <x:c r="B152" s="4" t="str">
        <x:f>IFERROR(INDEX(Items!$B$6:$B$1005,MATCH(A152,Items!$A$6:$A$1005,0)),"MISSING ITEM ID")</x:f>
        <x:v>Chainmail shirt</x:v>
      </x:c>
      <x:c r="C152" s="4" t="str">
        <x:f>IFERROR(INDEX(Items!$C$6:$C$1005,MATCH(A152,Items!$A$6:$A$1005,0)),"MISSING ITEM ID")</x:f>
        <x:v>Equipment</x:v>
      </x:c>
      <x:c r="D152" s="4" t="str">
        <x:v>Secondary</x:v>
      </x:c>
      <x:c r="E152" s="4" t="str">
        <x:v>Protection</x:v>
      </x:c>
      <x:c r="F152" s="4" t="str">
        <x:v>Current item description. Catalog intent, not implemented actions.</x:v>
      </x:c>
    </x:row>
    <x:row r="153" ht="45" customHeight="1">
      <x:c r="A153" s="4" t="str">
        <x:v>proposal.gear.metal_armor_set</x:v>
      </x:c>
      <x:c r="B153" s="4" t="str">
        <x:f>IFERROR(INDEX(Items!$B$6:$B$1005,MATCH(A153,Items!$A$6:$A$1005,0)),"MISSING ITEM ID")</x:f>
        <x:v>Assembled metal armor</x:v>
      </x:c>
      <x:c r="C153" s="4" t="str">
        <x:f>IFERROR(INDEX(Items!$C$6:$C$1005,MATCH(A153,Items!$A$6:$A$1005,0)),"MISSING ITEM ID")</x:f>
        <x:v>Equipment</x:v>
      </x:c>
      <x:c r="D153" s="4" t="str">
        <x:v>Primary</x:v>
      </x:c>
      <x:c r="E153" s="4" t="str">
        <x:f>IFERROR(INDEX(Items!$Z$6:$Z$1005,MATCH(A153,Items!$A$6:$A$1005,0)),"MISSING ITEM ID")</x:f>
        <x:v>Protection</x:v>
      </x:c>
      <x:c r="F153" s="4" t="str">
        <x:v>Current item description. Catalog intent, not implemented actions.</x:v>
      </x:c>
    </x:row>
    <x:row r="154" ht="45" customHeight="1">
      <x:c r="A154" s="4" t="str">
        <x:v>proposal.gear.chest_armor</x:v>
      </x:c>
      <x:c r="B154" s="4" t="str">
        <x:f>IFERROR(INDEX(Items!$B$6:$B$1005,MATCH(A154,Items!$A$6:$A$1005,0)),"MISSING ITEM ID")</x:f>
        <x:v>Chest armor</x:v>
      </x:c>
      <x:c r="C154" s="4" t="str">
        <x:f>IFERROR(INDEX(Items!$C$6:$C$1005,MATCH(A154,Items!$A$6:$A$1005,0)),"MISSING ITEM ID")</x:f>
        <x:v>Equipment</x:v>
      </x:c>
      <x:c r="D154" s="4" t="str">
        <x:v>Primary</x:v>
      </x:c>
      <x:c r="E154" s="4" t="str">
        <x:f>IFERROR(INDEX(Items!$Z$6:$Z$1005,MATCH(A154,Items!$A$6:$A$1005,0)),"MISSING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Helmet</x:v>
      </x:c>
      <x:c r="C155" s="4" t="str">
        <x:f>IFERROR(INDEX(Items!$C$6:$C$1005,MATCH(A155,Items!$A$6:$A$1005,0)),"MISSING ITEM ID")</x:f>
        <x:v>Equipment</x:v>
      </x:c>
      <x:c r="D155" s="4" t="str">
        <x:v>Primary</x:v>
      </x:c>
      <x:c r="E155" s="4" t="str">
        <x:f>IFERROR(INDEX(Items!$Z$6:$Z$1005,MATCH(A155,Items!$A$6:$A$1005,0)),"MISSING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Leg armor</x:v>
      </x:c>
      <x:c r="C156" s="4" t="str">
        <x:f>IFERROR(INDEX(Items!$C$6:$C$1005,MATCH(A156,Items!$A$6:$A$1005,0)),"MISSING ITEM ID")</x:f>
        <x:v>Equipment</x:v>
      </x:c>
      <x:c r="D156" s="4" t="str">
        <x:v>Primary</x:v>
      </x:c>
      <x:c r="E156" s="4" t="str">
        <x:f>IFERROR(INDEX(Items!$Z$6:$Z$1005,MATCH(A156,Items!$A$6:$A$1005,0)),"MISSING ITEM ID")</x:f>
        <x:v>Protection</x:v>
      </x:c>
      <x:c r="F156" s="4" t="str">
        <x:v>Current item description. Catalog intent, not implemented actions.</x:v>
      </x:c>
    </x:row>
    <x:row r="157" ht="45" customHeight="1">
      <x:c r="A157" s="4" t="str">
        <x:v>proposal.gear.boots</x:v>
      </x:c>
      <x:c r="B157" s="4" t="str">
        <x:f>IFERROR(INDEX(Items!$B$6:$B$1005,MATCH(A157,Items!$A$6:$A$1005,0)),"MISSING ITEM ID")</x:f>
        <x:v>Boots</x:v>
      </x:c>
      <x:c r="C157" s="4" t="str">
        <x:f>IFERROR(INDEX(Items!$C$6:$C$1005,MATCH(A157,Items!$A$6:$A$1005,0)),"MISSING ITEM ID")</x:f>
        <x:v>Equipment</x:v>
      </x:c>
      <x:c r="D157" s="4" t="str">
        <x:v>Primary</x:v>
      </x:c>
      <x:c r="E157" s="4" t="str">
        <x:f>IFERROR(INDEX(Items!$Z$6:$Z$1005,MATCH(A157,Items!$A$6:$A$1005,0)),"MISSING ITEM ID")</x:f>
        <x:v>Protection</x:v>
      </x:c>
      <x:c r="F157" s="4" t="str">
        <x:v>Current item description. Catalog intent, not implemented actions.</x:v>
      </x:c>
    </x:row>
    <x:row r="158" ht="45" customHeight="1">
      <x:c r="A158" s="4" t="str">
        <x:v>proposal.gear.boots</x:v>
      </x:c>
      <x:c r="B158" s="4" t="str">
        <x:f>IFERROR(INDEX(Items!$B$6:$B$1005,MATCH(A158,Items!$A$6:$A$1005,0)),"MISSING ITEM ID")</x:f>
        <x:v>Boots</x:v>
      </x:c>
      <x:c r="C158" s="4" t="str">
        <x:f>IFERROR(INDEX(Items!$C$6:$C$1005,MATCH(A158,Items!$A$6:$A$1005,0)),"MISSING ITEM ID")</x:f>
        <x:v>Equipment</x:v>
      </x:c>
      <x:c r="D158" s="4" t="str">
        <x:v>Secondary</x:v>
      </x:c>
      <x:c r="E158" s="4" t="str">
        <x:v>Traversal</x:v>
      </x:c>
      <x:c r="F158" s="4" t="str">
        <x:v>Current item description. Catalog intent, not implemented actions.</x:v>
      </x:c>
    </x:row>
    <x:row r="159" ht="45" customHeight="1">
      <x:c r="A159" s="4" t="str">
        <x:v>proposal.gear.gloves</x:v>
      </x:c>
      <x:c r="B159" s="4" t="str">
        <x:f>IFERROR(INDEX(Items!$B$6:$B$1005,MATCH(A159,Items!$A$6:$A$1005,0)),"MISSING ITEM ID")</x:f>
        <x:v>Gloves</x:v>
      </x:c>
      <x:c r="C159" s="4" t="str">
        <x:f>IFERROR(INDEX(Items!$C$6:$C$1005,MATCH(A159,Items!$A$6:$A$1005,0)),"MISSING ITEM ID")</x:f>
        <x:v>Equipment</x:v>
      </x:c>
      <x:c r="D159" s="4" t="str">
        <x:v>Primary</x:v>
      </x:c>
      <x:c r="E159" s="4" t="str">
        <x:f>IFERROR(INDEX(Items!$Z$6:$Z$1005,MATCH(A159,Items!$A$6:$A$1005,0)),"MISSING ITEM ID")</x:f>
        <x:v>Protection</x:v>
      </x:c>
      <x:c r="F159" s="4" t="str">
        <x:v>Current item description. Catalog intent, not implemented actions.</x:v>
      </x:c>
    </x:row>
    <x:row r="160" ht="45" customHeight="1">
      <x:c r="A160" s="4" t="str">
        <x:v>proposal.gear.backpack</x:v>
      </x:c>
      <x:c r="B160" s="4" t="str">
        <x:f>IFERROR(INDEX(Items!$B$6:$B$1005,MATCH(A160,Items!$A$6:$A$1005,0)),"MISSING ITEM ID")</x:f>
        <x:v>Backpack</x:v>
      </x:c>
      <x:c r="C160" s="4" t="str">
        <x:f>IFERROR(INDEX(Items!$C$6:$C$1005,MATCH(A160,Items!$A$6:$A$1005,0)),"MISSING ITEM ID")</x:f>
        <x:v>Equipment</x:v>
      </x:c>
      <x:c r="D160" s="4" t="str">
        <x:v>Primary</x:v>
      </x:c>
      <x:c r="E160" s="4" t="str">
        <x:f>IFERROR(INDEX(Items!$Z$6:$Z$1005,MATCH(A160,Items!$A$6:$A$1005,0)),"MISSING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Specialized armor plates</x:v>
      </x:c>
      <x:c r="C161" s="4" t="str">
        <x:f>IFERROR(INDEX(Items!$C$6:$C$1005,MATCH(A161,Items!$A$6:$A$1005,0)),"MISSING ITEM ID")</x:f>
        <x:v>Equipment</x:v>
      </x:c>
      <x:c r="D161" s="4" t="str">
        <x:v>Primary</x:v>
      </x:c>
      <x:c r="E161" s="4" t="str">
        <x:f>IFERROR(INDEX(Items!$Z$6:$Z$1005,MATCH(A161,Items!$A$6:$A$1005,0)),"MISSING ITEM ID")</x:f>
        <x:v>Protection</x:v>
      </x:c>
      <x:c r="F161" s="4" t="str">
        <x:v>Current item description. Catalog intent, not implemented actions.</x:v>
      </x:c>
    </x:row>
    <x:row r="162" ht="45" customHeight="1">
      <x:c r="A162" s="4" t="str">
        <x:v>proposal.gear.shield</x:v>
      </x:c>
      <x:c r="B162" s="4" t="str">
        <x:f>IFERROR(INDEX(Items!$B$6:$B$1005,MATCH(A162,Items!$A$6:$A$1005,0)),"MISSING ITEM ID")</x:f>
        <x:v>Shield</x:v>
      </x:c>
      <x:c r="C162" s="4" t="str">
        <x:f>IFERROR(INDEX(Items!$C$6:$C$1005,MATCH(A162,Items!$A$6:$A$1005,0)),"MISSING ITEM ID")</x:f>
        <x:v>Equipment</x:v>
      </x:c>
      <x:c r="D162" s="4" t="str">
        <x:v>Primary</x:v>
      </x:c>
      <x:c r="E162" s="4" t="str">
        <x:f>IFERROR(INDEX(Items!$Z$6:$Z$1005,MATCH(A162,Items!$A$6:$A$1005,0)),"MISSING ITEM ID")</x:f>
        <x:v>Protection</x:v>
      </x:c>
      <x:c r="F162" s="4" t="str">
        <x:v>Current item description. Catalog intent, not implemented actions.</x:v>
      </x:c>
    </x:row>
    <x:row r="163" ht="45" customHeight="1">
      <x:c r="A163" s="4" t="str">
        <x:v>proposal.weapon.caltrops</x:v>
      </x:c>
      <x:c r="B163" s="4" t="str">
        <x:f>IFERROR(INDEX(Items!$B$6:$B$1005,MATCH(A163,Items!$A$6:$A$1005,0)),"MISSING ITEM ID")</x:f>
        <x:v>Caltrops</x:v>
      </x:c>
      <x:c r="C163" s="4" t="str">
        <x:f>IFERROR(INDEX(Items!$C$6:$C$1005,MATCH(A163,Items!$A$6:$A$1005,0)),"MISSING ITEM ID")</x:f>
        <x:v>Weapons</x:v>
      </x:c>
      <x:c r="D163" s="4" t="str">
        <x:v>Primary</x:v>
      </x:c>
      <x:c r="E163" s="4" t="str">
        <x:f>IFERROR(INDEX(Items!$Z$6:$Z$1005,MATCH(A163,Items!$A$6:$A$1005,0)),"MISSING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IFERROR(INDEX(Items!$C$6:$C$1005,MATCH(A164,Items!$A$6:$A$1005,0)),"MISSING ITEM ID")</x:f>
        <x:v>Resources</x:v>
      </x:c>
      <x:c r="D164" s="4" t="str">
        <x:v>Primary</x:v>
      </x:c>
      <x:c r="E164" s="4" t="str">
        <x:f>IFERROR(INDEX(Items!$Z$6:$Z$1005,MATCH(A164,Items!$A$6:$A$1005,0)),"MISSING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IFERROR(INDEX(Items!$C$6:$C$1005,MATCH(A165,Items!$A$6:$A$1005,0)),"MISSING ITEM ID")</x:f>
        <x:v>Resources</x:v>
      </x:c>
      <x:c r="D165" s="4" t="str">
        <x:v>Primary</x:v>
      </x:c>
      <x:c r="E165" s="4" t="str">
        <x:f>IFERROR(INDEX(Items!$Z$6:$Z$1005,MATCH(A165,Items!$A$6:$A$1005,0)),"MISSING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IFERROR(INDEX(Items!$C$6:$C$1005,MATCH(A166,Items!$A$6:$A$1005,0)),"MISSING ITEM ID")</x:f>
        <x:v>Resources</x:v>
      </x:c>
      <x:c r="D166" s="4" t="str">
        <x:v>Primary</x:v>
      </x:c>
      <x:c r="E166" s="4" t="str">
        <x:f>IFERROR(INDEX(Items!$Z$6:$Z$1005,MATCH(A166,Items!$A$6:$A$1005,0)),"MISSING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IFERROR(INDEX(Items!$C$6:$C$1005,MATCH(A167,Items!$A$6:$A$1005,0)),"MISSING ITEM ID")</x:f>
        <x:v>Equipment</x:v>
      </x:c>
      <x:c r="D167" s="4" t="str">
        <x:v>Primary</x:v>
      </x:c>
      <x:c r="E167" s="4" t="str">
        <x:f>IFERROR(INDEX(Items!$Z$6:$Z$1005,MATCH(A167,Items!$A$6:$A$1005,0)),"MISSING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IFERROR(INDEX(Items!$C$6:$C$1005,MATCH(A168,Items!$A$6:$A$1005,0)),"MISSING ITEM ID")</x:f>
        <x:v>Equipment</x:v>
      </x:c>
      <x:c r="D168" s="4" t="str">
        <x:v>Primary</x:v>
      </x:c>
      <x:c r="E168" s="4" t="str">
        <x:f>IFERROR(INDEX(Items!$Z$6:$Z$1005,MATCH(A168,Items!$A$6:$A$1005,0)),"MISSING ITEM ID")</x:f>
        <x:v>Vision</x:v>
      </x:c>
      <x:c r="F168" s="4" t="str">
        <x:v>Current item description. Catalog intent, not implemented actions.</x:v>
      </x:c>
    </x:row>
    <x:row r="169" ht="45" customHeight="1">
      <x:c r="A169" s="4" t="str">
        <x:v>proposal.fashion.hat</x:v>
      </x:c>
      <x:c r="B169" s="4" t="str">
        <x:f>IFERROR(INDEX(Items!$B$6:$B$1005,MATCH(A169,Items!$A$6:$A$1005,0)),"MISSING ITEM ID")</x:f>
        <x:v>Hat</x:v>
      </x:c>
      <x:c r="C169" s="4" t="str">
        <x:f>IFERROR(INDEX(Items!$C$6:$C$1005,MATCH(A169,Items!$A$6:$A$1005,0)),"MISSING ITEM ID")</x:f>
        <x:v>Equipment</x:v>
      </x:c>
      <x:c r="D169" s="4" t="str">
        <x:v>Primary</x:v>
      </x:c>
      <x:c r="E169" s="4" t="str">
        <x:f>IFERROR(INDEX(Items!$Z$6:$Z$1005,MATCH(A169,Items!$A$6:$A$1005,0)),"MISSING ITEM ID")</x:f>
        <x:v>Clothing</x:v>
      </x:c>
      <x:c r="F169" s="4" t="str">
        <x:v>Current item description. Catalog intent, not implemented actions.</x:v>
      </x:c>
    </x:row>
    <x:row r="170" ht="45" customHeight="1">
      <x:c r="A170" s="4" t="str">
        <x:v>proposal.fashion.hat</x:v>
      </x:c>
      <x:c r="B170" s="4" t="str">
        <x:f>IFERROR(INDEX(Items!$B$6:$B$1005,MATCH(A170,Items!$A$6:$A$1005,0)),"MISSING ITEM ID")</x:f>
        <x:v>Hat</x:v>
      </x:c>
      <x:c r="C170" s="4" t="str">
        <x:f>IFERROR(INDEX(Items!$C$6:$C$1005,MATCH(A170,Items!$A$6:$A$1005,0)),"MISSING ITEM ID")</x:f>
        <x:v>Equipment</x:v>
      </x:c>
      <x:c r="D170" s="4" t="str">
        <x:v>Secondary</x:v>
      </x:c>
      <x:c r="E170" s="4" t="str">
        <x:v>Fashion</x:v>
      </x:c>
      <x:c r="F170" s="4" t="str">
        <x:v>Current item description. Catalog intent, not implemented actions.</x:v>
      </x:c>
    </x:row>
    <x:row r="171" ht="45" customHeight="1">
      <x:c r="A171" s="4" t="str">
        <x:v>proposal.fashion.husk_garment</x:v>
      </x:c>
      <x:c r="B171" s="4" t="str">
        <x:f>IFERROR(INDEX(Items!$B$6:$B$1005,MATCH(A171,Items!$A$6:$A$1005,0)),"MISSING ITEM ID")</x:f>
        <x:v>Elaborate husk-fiber wear</x:v>
      </x:c>
      <x:c r="C171" s="4" t="str">
        <x:f>IFERROR(INDEX(Items!$C$6:$C$1005,MATCH(A171,Items!$A$6:$A$1005,0)),"MISSING ITEM ID")</x:f>
        <x:v>Equipment</x:v>
      </x:c>
      <x:c r="D171" s="4" t="str">
        <x:v>Primary</x:v>
      </x:c>
      <x:c r="E171" s="4" t="str">
        <x:f>IFERROR(INDEX(Items!$Z$6:$Z$1005,MATCH(A171,Items!$A$6:$A$1005,0)),"MISSING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Elaborate fur wear</x:v>
      </x:c>
      <x:c r="C172" s="4" t="str">
        <x:f>IFERROR(INDEX(Items!$C$6:$C$1005,MATCH(A172,Items!$A$6:$A$1005,0)),"MISSING ITEM ID")</x:f>
        <x:v>Equipment</x:v>
      </x:c>
      <x:c r="D172" s="4" t="str">
        <x:v>Primary</x:v>
      </x:c>
      <x:c r="E172" s="4" t="str">
        <x:f>IFERROR(INDEX(Items!$Z$6:$Z$1005,MATCH(A172,Items!$A$6:$A$1005,0)),"MISSING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Elaborate hide wear</x:v>
      </x:c>
      <x:c r="C173" s="4" t="str">
        <x:f>IFERROR(INDEX(Items!$C$6:$C$1005,MATCH(A173,Items!$A$6:$A$1005,0)),"MISSING ITEM ID")</x:f>
        <x:v>Equipment</x:v>
      </x:c>
      <x:c r="D173" s="4" t="str">
        <x:v>Primary</x:v>
      </x:c>
      <x:c r="E173" s="4" t="str">
        <x:f>IFERROR(INDEX(Items!$Z$6:$Z$1005,MATCH(A173,Items!$A$6:$A$1005,0)),"MISSING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IFERROR(INDEX(Items!$C$6:$C$1005,MATCH(A174,Items!$A$6:$A$1005,0)),"MISSING ITEM ID")</x:f>
        <x:v>Resources</x:v>
      </x:c>
      <x:c r="D174" s="4" t="str">
        <x:v>Primary</x:v>
      </x:c>
      <x:c r="E174" s="4" t="str">
        <x:f>IFERROR(INDEX(Items!$Z$6:$Z$1005,MATCH(A174,Items!$A$6:$A$1005,0)),"MISSING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IFERROR(INDEX(Items!$C$6:$C$1005,MATCH(A175,Items!$A$6:$A$1005,0)),"MISSING ITEM ID")</x:f>
        <x:v>Resources</x:v>
      </x:c>
      <x:c r="D175" s="4" t="str">
        <x:v>Primary</x:v>
      </x:c>
      <x:c r="E175" s="4" t="str">
        <x:f>IFERROR(INDEX(Items!$Z$6:$Z$1005,MATCH(A175,Items!$A$6:$A$1005,0)),"MISSING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IFERROR(INDEX(Items!$C$6:$C$1005,MATCH(A176,Items!$A$6:$A$1005,0)),"MISSING ITEM ID")</x:f>
        <x:v>Resources</x:v>
      </x:c>
      <x:c r="D176" s="4" t="str">
        <x:v>Primary</x:v>
      </x:c>
      <x:c r="E176" s="4" t="str">
        <x:f>IFERROR(INDEX(Items!$Z$6:$Z$1005,MATCH(A176,Items!$A$6:$A$1005,0)),"MISSING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IFERROR(INDEX(Items!$C$6:$C$1005,MATCH(A177,Items!$A$6:$A$1005,0)),"MISSING ITEM ID")</x:f>
        <x:v>Resources</x:v>
      </x:c>
      <x:c r="D177" s="4" t="str">
        <x:v>Primary</x:v>
      </x:c>
      <x:c r="E177" s="4" t="str">
        <x:f>IFERROR(INDEX(Items!$Z$6:$Z$1005,MATCH(A177,Items!$A$6:$A$1005,0)),"MISSING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IFERROR(INDEX(Items!$C$6:$C$1005,MATCH(A178,Items!$A$6:$A$1005,0)),"MISSING ITEM ID")</x:f>
        <x:v>Resources</x:v>
      </x:c>
      <x:c r="D178" s="4" t="str">
        <x:v>Primary</x:v>
      </x:c>
      <x:c r="E178" s="4" t="str">
        <x:f>IFERROR(INDEX(Items!$Z$6:$Z$1005,MATCH(A178,Items!$A$6:$A$1005,0)),"MISSING ITEM ID")</x:f>
        <x:v>Decoration</x:v>
      </x:c>
      <x:c r="F178" s="4" t="str">
        <x:v>Current item description. Catalog intent, not implemented actions.</x:v>
      </x:c>
    </x:row>
    <x:row r="179" ht="45" customHeight="1">
      <x:c r="A179" s="4" t="str">
        <x:v>proposal.gem.corundum</x:v>
      </x:c>
      <x:c r="B179" s="4" t="str">
        <x:f>IFERROR(INDEX(Items!$B$6:$B$1005,MATCH(A179,Items!$A$6:$A$1005,0)),"MISSING ITEM ID")</x:f>
        <x:v>Ruby / sapphire corundum</x:v>
      </x:c>
      <x:c r="C179" s="4" t="str">
        <x:f>IFERROR(INDEX(Items!$C$6:$C$1005,MATCH(A179,Items!$A$6:$A$1005,0)),"MISSING ITEM ID")</x:f>
        <x:v>Resources</x:v>
      </x:c>
      <x:c r="D179" s="4" t="str">
        <x:v>Primary</x:v>
      </x:c>
      <x:c r="E179" s="4" t="str">
        <x:f>IFERROR(INDEX(Items!$Z$6:$Z$1005,MATCH(A179,Items!$A$6:$A$1005,0)),"MISSING ITEM ID")</x:f>
        <x:v>Decoration</x:v>
      </x:c>
      <x:c r="F179" s="4" t="str">
        <x:v>Current item description. Catalog intent, not implemented actions.</x:v>
      </x:c>
    </x:row>
    <x:row r="180" ht="45" customHeight="1">
      <x:c r="A180" s="4" t="str">
        <x:v>proposal.gem.tourmaline</x:v>
      </x:c>
      <x:c r="B180" s="4" t="str">
        <x:f>IFERROR(INDEX(Items!$B$6:$B$1005,MATCH(A180,Items!$A$6:$A$1005,0)),"MISSING ITEM ID")</x:f>
        <x:v>Tourmaline</x:v>
      </x:c>
      <x:c r="C180" s="4" t="str">
        <x:f>IFERROR(INDEX(Items!$C$6:$C$1005,MATCH(A180,Items!$A$6:$A$1005,0)),"MISSING ITEM ID")</x:f>
        <x:v>Resources</x:v>
      </x:c>
      <x:c r="D180" s="4" t="str">
        <x:v>Primary</x:v>
      </x:c>
      <x:c r="E180" s="4" t="str">
        <x:f>IFERROR(INDEX(Items!$Z$6:$Z$1005,MATCH(A180,Items!$A$6:$A$1005,0)),"MISSING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IFERROR(INDEX(Items!$C$6:$C$1005,MATCH(A181,Items!$A$6:$A$1005,0)),"MISSING ITEM ID")</x:f>
        <x:v>Resources</x:v>
      </x:c>
      <x:c r="D181" s="4" t="str">
        <x:v>Primary</x:v>
      </x:c>
      <x:c r="E181" s="4" t="str">
        <x:f>IFERROR(INDEX(Items!$Z$6:$Z$1005,MATCH(A181,Items!$A$6:$A$1005,0)),"MISSING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Simple everyday wraps</x:v>
      </x:c>
      <x:c r="C182" s="4" t="str">
        <x:f>IFERROR(INDEX(Items!$C$6:$C$1005,MATCH(A182,Items!$A$6:$A$1005,0)),"MISSING ITEM ID")</x:f>
        <x:v>Equipment</x:v>
      </x:c>
      <x:c r="D182" s="4" t="str">
        <x:v>Primary</x:v>
      </x:c>
      <x:c r="E182" s="4" t="str">
        <x:f>IFERROR(INDEX(Items!$Z$6:$Z$1005,MATCH(A182,Items!$A$6:$A$1005,0)),"MISSING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IFERROR(INDEX(Items!$C$6:$C$1005,MATCH(A183,Items!$A$6:$A$1005,0)),"MISSING ITEM ID")</x:f>
        <x:v>Resources</x:v>
      </x:c>
      <x:c r="D183" s="4" t="str">
        <x:v>Primary</x:v>
      </x:c>
      <x:c r="E183" s="4" t="str">
        <x:f>IFERROR(INDEX(Items!$Z$6:$Z$1005,MATCH(A183,Items!$A$6:$A$1005,0)),"MISSING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IFERROR(INDEX(Items!$C$6:$C$1005,MATCH(A184,Items!$A$6:$A$1005,0)),"MISSING ITEM ID")</x:f>
        <x:v>Crafting components</x:v>
      </x:c>
      <x:c r="D184" s="4" t="str">
        <x:v>Primary</x:v>
      </x:c>
      <x:c r="E184" s="4" t="str">
        <x:f>IFERROR(INDEX(Items!$Z$6:$Z$1005,MATCH(A184,Items!$A$6:$A$1005,0)),"MISSING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IFERROR(INDEX(Items!$C$6:$C$1005,MATCH(A185,Items!$A$6:$A$1005,0)),"MISSING ITEM ID")</x:f>
        <x:v>Crafting components</x:v>
      </x:c>
      <x:c r="D185" s="4" t="str">
        <x:v>Primary</x:v>
      </x:c>
      <x:c r="E185" s="4" t="str">
        <x:f>IFERROR(INDEX(Items!$Z$6:$Z$1005,MATCH(A185,Items!$A$6:$A$1005,0)),"MISSING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IFERROR(INDEX(Items!$C$6:$C$1005,MATCH(A186,Items!$A$6:$A$1005,0)),"MISSING ITEM ID")</x:f>
        <x:v>Crafting components</x:v>
      </x:c>
      <x:c r="D186" s="4" t="str">
        <x:v>Primary</x:v>
      </x:c>
      <x:c r="E186" s="4" t="str">
        <x:f>IFERROR(INDEX(Items!$Z$6:$Z$1005,MATCH(A186,Items!$A$6:$A$1005,0)),"MISSING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IFERROR(INDEX(Items!$C$6:$C$1005,MATCH(A187,Items!$A$6:$A$1005,0)),"MISSING ITEM ID")</x:f>
        <x:v>Crafting components</x:v>
      </x:c>
      <x:c r="D187" s="4" t="str">
        <x:v>Primary</x:v>
      </x:c>
      <x:c r="E187" s="4" t="str">
        <x:f>IFERROR(INDEX(Items!$Z$6:$Z$1005,MATCH(A187,Items!$A$6:$A$1005,0)),"MISSING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IFERROR(INDEX(Items!$C$6:$C$1005,MATCH(A188,Items!$A$6:$A$1005,0)),"MISSING ITEM ID")</x:f>
        <x:v>Crafting components</x:v>
      </x:c>
      <x:c r="D188" s="4" t="str">
        <x:v>Primary</x:v>
      </x:c>
      <x:c r="E188" s="4" t="str">
        <x:f>IFERROR(INDEX(Items!$Z$6:$Z$1005,MATCH(A188,Items!$A$6:$A$1005,0)),"MISSING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IFERROR(INDEX(Items!$C$6:$C$1005,MATCH(A189,Items!$A$6:$A$1005,0)),"MISSING ITEM ID")</x:f>
        <x:v>Crafting components</x:v>
      </x:c>
      <x:c r="D189" s="4" t="str">
        <x:v>Primary</x:v>
      </x:c>
      <x:c r="E189" s="4" t="str">
        <x:f>IFERROR(INDEX(Items!$Z$6:$Z$1005,MATCH(A189,Items!$A$6:$A$1005,0)),"MISSING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IFERROR(INDEX(Items!$C$6:$C$1005,MATCH(A190,Items!$A$6:$A$1005,0)),"MISSING ITEM ID")</x:f>
        <x:v>Crafting components</x:v>
      </x:c>
      <x:c r="D190" s="4" t="str">
        <x:v>Primary</x:v>
      </x:c>
      <x:c r="E190" s="4" t="str">
        <x:f>IFERROR(INDEX(Items!$Z$6:$Z$1005,MATCH(A190,Items!$A$6:$A$1005,0)),"MISSING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IFERROR(INDEX(Items!$C$6:$C$1005,MATCH(A191,Items!$A$6:$A$1005,0)),"MISSING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IFERROR(INDEX(Items!$C$6:$C$1005,MATCH(A192,Items!$A$6:$A$1005,0)),"MISSING ITEM ID")</x:f>
        <x:v>Crafting components</x:v>
      </x:c>
      <x:c r="D192" s="4" t="str">
        <x:v>Primary</x:v>
      </x:c>
      <x:c r="E192" s="4" t="str">
        <x:f>IFERROR(INDEX(Items!$Z$6:$Z$1005,MATCH(A192,Items!$A$6:$A$1005,0)),"MISSING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IFERROR(INDEX(Items!$C$6:$C$1005,MATCH(A193,Items!$A$6:$A$1005,0)),"MISSING ITEM ID")</x:f>
        <x:v>Crafting components</x:v>
      </x:c>
      <x:c r="D193" s="4" t="str">
        <x:v>Primary</x:v>
      </x:c>
      <x:c r="E193" s="4" t="str">
        <x:f>IFERROR(INDEX(Items!$Z$6:$Z$1005,MATCH(A193,Items!$A$6:$A$1005,0)),"MISSING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IFERROR(INDEX(Items!$C$6:$C$1005,MATCH(A194,Items!$A$6:$A$1005,0)),"MISSING ITEM ID")</x:f>
        <x:v>Crafting components</x:v>
      </x:c>
      <x:c r="D194" s="4" t="str">
        <x:v>Primary</x:v>
      </x:c>
      <x:c r="E194" s="4" t="str">
        <x:f>IFERROR(INDEX(Items!$Z$6:$Z$1005,MATCH(A194,Items!$A$6:$A$1005,0)),"MISSING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IFERROR(INDEX(Items!$C$6:$C$1005,MATCH(A195,Items!$A$6:$A$1005,0)),"MISSING ITEM ID")</x:f>
        <x:v>Equipment</x:v>
      </x:c>
      <x:c r="D195" s="4" t="str">
        <x:v>Primary</x:v>
      </x:c>
      <x:c r="E195" s="4" t="str">
        <x:f>IFERROR(INDEX(Items!$Z$6:$Z$1005,MATCH(A195,Items!$A$6:$A$1005,0)),"MISSING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IFERROR(INDEX(Items!$C$6:$C$1005,MATCH(A196,Items!$A$6:$A$1005,0)),"MISSING ITEM ID")</x:f>
        <x:v>Equipment</x:v>
      </x:c>
      <x:c r="D196" s="4" t="str">
        <x:v>Primary</x:v>
      </x:c>
      <x:c r="E196" s="4" t="str">
        <x:f>IFERROR(INDEX(Items!$Z$6:$Z$1005,MATCH(A196,Items!$A$6:$A$1005,0)),"MISSING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IFERROR(INDEX(Items!$C$6:$C$1005,MATCH(A197,Items!$A$6:$A$1005,0)),"MISSING ITEM ID")</x:f>
        <x:v>Field supplies</x:v>
      </x:c>
      <x:c r="D197" s="4" t="str">
        <x:v>Primary</x:v>
      </x:c>
      <x:c r="E197" s="4" t="str">
        <x:f>IFERROR(INDEX(Items!$Z$6:$Z$1005,MATCH(A197,Items!$A$6:$A$1005,0)),"MISSING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IFERROR(INDEX(Items!$C$6:$C$1005,MATCH(A198,Items!$A$6:$A$1005,0)),"MISSING ITEM ID")</x:f>
        <x:v>Field supplies</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IFERROR(INDEX(Items!$C$6:$C$1005,MATCH(A199,Items!$A$6:$A$1005,0)),"MISSING ITEM ID")</x:f>
        <x:v>Crafting components</x:v>
      </x:c>
      <x:c r="D199" s="4" t="str">
        <x:v>Primary</x:v>
      </x:c>
      <x:c r="E199" s="4" t="str">
        <x:f>IFERROR(INDEX(Items!$Z$6:$Z$1005,MATCH(A199,Items!$A$6:$A$1005,0)),"MISSING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IFERROR(INDEX(Items!$C$6:$C$1005,MATCH(A200,Items!$A$6:$A$1005,0)),"MISSING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IFERROR(INDEX(Items!$C$6:$C$1005,MATCH(A201,Items!$A$6:$A$1005,0)),"MISSING ITEM ID")</x:f>
        <x:v>Crafting components</x:v>
      </x:c>
      <x:c r="D201" s="4" t="str">
        <x:v>Primary</x:v>
      </x:c>
      <x:c r="E201" s="4" t="str">
        <x:f>IFERROR(INDEX(Items!$Z$6:$Z$1005,MATCH(A201,Items!$A$6:$A$1005,0)),"MISSING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IFERROR(INDEX(Items!$C$6:$C$1005,MATCH(A202,Items!$A$6:$A$1005,0)),"MISSING ITEM ID")</x:f>
        <x:v>Crafting components</x:v>
      </x:c>
      <x:c r="D202" s="4" t="str">
        <x:v>Primary</x:v>
      </x:c>
      <x:c r="E202" s="4" t="str">
        <x:f>IFERROR(INDEX(Items!$Z$6:$Z$1005,MATCH(A202,Items!$A$6:$A$1005,0)),"MISSING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IFERROR(INDEX(Items!$C$6:$C$1005,MATCH(A203,Items!$A$6:$A$1005,0)),"MISSING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IFERROR(INDEX(Items!$C$6:$C$1005,MATCH(A204,Items!$A$6:$A$1005,0)),"MISSING ITEM ID")</x:f>
        <x:v>Cultural objects</x:v>
      </x:c>
      <x:c r="D204" s="4" t="str">
        <x:v>Primary</x:v>
      </x:c>
      <x:c r="E204" s="4" t="str">
        <x:f>IFERROR(INDEX(Items!$Z$6:$Z$1005,MATCH(A204,Items!$A$6:$A$1005,0)),"MISSING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IFERROR(INDEX(Items!$C$6:$C$1005,MATCH(A205,Items!$A$6:$A$1005,0)),"MISSING ITEM ID")</x:f>
        <x:v>Cultural objects</x:v>
      </x:c>
      <x:c r="D205" s="4" t="str">
        <x:v>Primary</x:v>
      </x:c>
      <x:c r="E205" s="4" t="str">
        <x:f>IFERROR(INDEX(Items!$Z$6:$Z$1005,MATCH(A205,Items!$A$6:$A$1005,0)),"MISSING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IFERROR(INDEX(Items!$C$6:$C$1005,MATCH(A206,Items!$A$6:$A$1005,0)),"MISSING ITEM ID")</x:f>
        <x:v>Cultural objects</x:v>
      </x:c>
      <x:c r="D206" s="4" t="str">
        <x:v>Primary</x:v>
      </x:c>
      <x:c r="E206" s="4" t="str">
        <x:f>IFERROR(INDEX(Items!$Z$6:$Z$1005,MATCH(A206,Items!$A$6:$A$1005,0)),"MISSING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IFERROR(INDEX(Items!$C$6:$C$1005,MATCH(A207,Items!$A$6:$A$1005,0)),"MISSING ITEM ID")</x:f>
        <x:v>Cultural objects</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IFERROR(INDEX(Items!$C$6:$C$1005,MATCH(A208,Items!$A$6:$A$1005,0)),"MISSING ITEM ID")</x:f>
        <x:v>Cultural objects</x:v>
      </x:c>
      <x:c r="D208" s="4" t="str">
        <x:v>Primary</x:v>
      </x:c>
      <x:c r="E208" s="4" t="str">
        <x:f>IFERROR(INDEX(Items!$Z$6:$Z$1005,MATCH(A208,Items!$A$6:$A$1005,0)),"MISSING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IFERROR(INDEX(Items!$C$6:$C$1005,MATCH(A209,Items!$A$6:$A$1005,0)),"MISSING ITEM ID")</x:f>
        <x:v>Cultural objects</x:v>
      </x:c>
      <x:c r="D209" s="4" t="str">
        <x:v>Secondary</x:v>
      </x:c>
      <x:c r="E209" s="4" t="str">
        <x:v>Keepsake storage</x:v>
      </x:c>
      <x:c r="F209" s="4" t="str">
        <x:v>Current item description. Catalog intent, not implemented actions.</x:v>
      </x:c>
    </x:row>
    <x:row r="210" ht="45" customHeight="1">
      <x:c r="A210" s="4" t="str">
        <x:v>proposal.culture.prayer_leaf</x:v>
      </x:c>
      <x:c r="B210" s="4" t="str">
        <x:f>IFERROR(INDEX(Items!$B$6:$B$1005,MATCH(A210,Items!$A$6:$A$1005,0)),"MISSING ITEM ID")</x:f>
        <x:v>Husk-paper prayer leaf</x:v>
      </x:c>
      <x:c r="C210" s="4" t="str">
        <x:f>IFERROR(INDEX(Items!$C$6:$C$1005,MATCH(A210,Items!$A$6:$A$1005,0)),"MISSING ITEM ID")</x:f>
        <x:v>Cultural objects</x:v>
      </x:c>
      <x:c r="D210" s="4" t="str">
        <x:v>Primary</x:v>
      </x:c>
      <x:c r="E210" s="4" t="str">
        <x:f>IFERROR(INDEX(Items!$Z$6:$Z$1005,MATCH(A210,Items!$A$6:$A$1005,0)),"MISSING ITEM ID")</x:f>
        <x:v>Devotion</x:v>
      </x:c>
      <x:c r="F210" s="4" t="str">
        <x:v>Current item description. Catalog intent, not implemented actions.</x:v>
      </x:c>
    </x:row>
    <x:row r="211" ht="45" customHeight="1">
      <x:c r="A211" s="4" t="str">
        <x:v>proposal.culture.prayer_leaf</x:v>
      </x:c>
      <x:c r="B211" s="4" t="str">
        <x:f>IFERROR(INDEX(Items!$B$6:$B$1005,MATCH(A211,Items!$A$6:$A$1005,0)),"MISSING ITEM ID")</x:f>
        <x:v>Husk-paper prayer leaf</x:v>
      </x:c>
      <x:c r="C211" s="4" t="str">
        <x:f>IFERROR(INDEX(Items!$C$6:$C$1005,MATCH(A211,Items!$A$6:$A$1005,0)),"MISSING ITEM ID")</x:f>
        <x:v>Cultural objects</x:v>
      </x:c>
      <x:c r="D211" s="4" t="str">
        <x:v>Secondary</x:v>
      </x:c>
      <x:c r="E211" s="4" t="str">
        <x:v>Writing and records</x:v>
      </x:c>
      <x:c r="F211" s="4" t="str">
        <x:v>Current item description. Catalog intent, not implemented actions.</x:v>
      </x:c>
    </x:row>
    <x:row r="212" ht="45" customHeight="1">
      <x:c r="A212" s="4" t="str">
        <x:v>proposal.culture.offering</x:v>
      </x:c>
      <x:c r="B212" s="4" t="str">
        <x:f>IFERROR(INDEX(Items!$B$6:$B$1005,MATCH(A212,Items!$A$6:$A$1005,0)),"MISSING ITEM ID")</x:f>
        <x:v>Votive shell token</x:v>
      </x:c>
      <x:c r="C212" s="4" t="str">
        <x:f>IFERROR(INDEX(Items!$C$6:$C$1005,MATCH(A212,Items!$A$6:$A$1005,0)),"MISSING ITEM ID")</x:f>
        <x:v>Cultural objects</x:v>
      </x:c>
      <x:c r="D212" s="4" t="str">
        <x:v>Primary</x:v>
      </x:c>
      <x:c r="E212" s="4" t="str">
        <x:f>IFERROR(INDEX(Items!$Z$6:$Z$1005,MATCH(A212,Items!$A$6:$A$1005,0)),"MISSING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IFERROR(INDEX(Items!$C$6:$C$1005,MATCH(A213,Items!$A$6:$A$1005,0)),"MISSING ITEM ID")</x:f>
        <x:v>Cultural objects</x:v>
      </x:c>
      <x:c r="D213" s="4" t="str">
        <x:v>Primary</x:v>
      </x:c>
      <x:c r="E213" s="4" t="str">
        <x:f>IFERROR(INDEX(Items!$Z$6:$Z$1005,MATCH(A213,Items!$A$6:$A$1005,0)),"MISSING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IFERROR(INDEX(Items!$C$6:$C$1005,MATCH(A214,Items!$A$6:$A$1005,0)),"MISSING ITEM ID")</x:f>
        <x:v>Cultural objects</x:v>
      </x:c>
      <x:c r="D214" s="4" t="str">
        <x:v>Primary</x:v>
      </x:c>
      <x:c r="E214" s="4" t="str">
        <x:f>IFERROR(INDEX(Items!$Z$6:$Z$1005,MATCH(A214,Items!$A$6:$A$1005,0)),"MISSING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IFERROR(INDEX(Items!$C$6:$C$1005,MATCH(A215,Items!$A$6:$A$1005,0)),"MISSING ITEM ID")</x:f>
        <x:v>Cultural objects</x:v>
      </x:c>
      <x:c r="D215" s="4" t="str">
        <x:v>Secondary</x:v>
      </x:c>
      <x:c r="E215" s="4" t="str">
        <x:v>Civic identification</x:v>
      </x:c>
      <x:c r="F215" s="4" t="str">
        <x:v>Current item description. Catalog intent, not implemented actions.</x:v>
      </x:c>
    </x:row>
    <x:row r="216" ht="45" customHeight="1">
      <x:c r="A216" s="4" t="str">
        <x:v>proposal.culture.register</x:v>
      </x:c>
      <x:c r="B216" s="4" t="str">
        <x:f>IFERROR(INDEX(Items!$B$6:$B$1005,MATCH(A216,Items!$A$6:$A$1005,0)),"MISSING ITEM ID")</x:f>
        <x:v>Civic register folio</x:v>
      </x:c>
      <x:c r="C216" s="4" t="str">
        <x:f>IFERROR(INDEX(Items!$C$6:$C$1005,MATCH(A216,Items!$A$6:$A$1005,0)),"MISSING ITEM ID")</x:f>
        <x:v>Cultural objects</x:v>
      </x:c>
      <x:c r="D216" s="4" t="str">
        <x:v>Primary</x:v>
      </x:c>
      <x:c r="E216" s="4" t="str">
        <x:f>IFERROR(INDEX(Items!$Z$6:$Z$1005,MATCH(A216,Items!$A$6:$A$1005,0)),"MISSING ITEM ID")</x:f>
        <x:v>Writing and records</x:v>
      </x:c>
      <x:c r="F216" s="4" t="str">
        <x:v>Current item description. Catalog intent, not implemented actions.</x:v>
      </x:c>
    </x:row>
    <x:row r="217" ht="45" customHeight="1">
      <x:c r="A217" s="4" t="str">
        <x:v>proposal.culture.register</x:v>
      </x:c>
      <x:c r="B217" s="4" t="str">
        <x:f>IFERROR(INDEX(Items!$B$6:$B$1005,MATCH(A217,Items!$A$6:$A$1005,0)),"MISSING ITEM ID")</x:f>
        <x:v>Civic register folio</x:v>
      </x:c>
      <x:c r="C217" s="4" t="str">
        <x:f>IFERROR(INDEX(Items!$C$6:$C$1005,MATCH(A217,Items!$A$6:$A$1005,0)),"MISSING ITEM ID")</x:f>
        <x:v>Cultural objects</x:v>
      </x:c>
      <x:c r="D217" s="4" t="str">
        <x:v>Secondary</x:v>
      </x:c>
      <x:c r="E217" s="4" t="str">
        <x:v>Civic recognition</x:v>
      </x:c>
      <x:c r="F217" s="4" t="str">
        <x:v>Current item description. Catalog intent, not implemented actions.</x:v>
      </x:c>
    </x:row>
    <x:row r="218" ht="45" customHeight="1">
      <x:c r="A218" s="4" t="str">
        <x:v>proposal.culture.notice</x:v>
      </x:c>
      <x:c r="B218" s="4" t="str">
        <x:f>IFERROR(INDEX(Items!$B$6:$B$1005,MATCH(A218,Items!$A$6:$A$1005,0)),"MISSING ITEM ID")</x:f>
        <x:v>Public notice plate</x:v>
      </x:c>
      <x:c r="C218" s="4" t="str">
        <x:f>IFERROR(INDEX(Items!$C$6:$C$1005,MATCH(A218,Items!$A$6:$A$1005,0)),"MISSING ITEM ID")</x:f>
        <x:v>Cultural objects</x:v>
      </x:c>
      <x:c r="D218" s="4" t="str">
        <x:v>Primary</x:v>
      </x:c>
      <x:c r="E218" s="4" t="str">
        <x:f>IFERROR(INDEX(Items!$Z$6:$Z$1005,MATCH(A218,Items!$A$6:$A$1005,0)),"MISSING ITEM ID")</x:f>
        <x:v>Public communication</x:v>
      </x:c>
      <x:c r="F218" s="4" t="str">
        <x:v>Current item description. Catalog intent, not implemented actions.</x:v>
      </x:c>
    </x:row>
    <x:row r="219" ht="45" customHeight="1">
      <x:c r="A219" s="4" t="str">
        <x:v>proposal.culture.petition</x:v>
      </x:c>
      <x:c r="B219" s="4" t="str">
        <x:f>IFERROR(INDEX(Items!$B$6:$B$1005,MATCH(A219,Items!$A$6:$A$1005,0)),"MISSING ITEM ID")</x:f>
        <x:v>Petition leaf</x:v>
      </x:c>
      <x:c r="C219" s="4" t="str">
        <x:f>IFERROR(INDEX(Items!$C$6:$C$1005,MATCH(A219,Items!$A$6:$A$1005,0)),"MISSING ITEM ID")</x:f>
        <x:v>Cultural objects</x:v>
      </x:c>
      <x:c r="D219" s="4" t="str">
        <x:v>Primary</x:v>
      </x:c>
      <x:c r="E219" s="4" t="str">
        <x:f>IFERROR(INDEX(Items!$Z$6:$Z$1005,MATCH(A219,Items!$A$6:$A$1005,0)),"MISSING ITEM ID")</x:f>
        <x:v>Public communication</x:v>
      </x:c>
      <x:c r="F219" s="4" t="str">
        <x:v>Current item description. Catalog intent, not implemented actions.</x:v>
      </x:c>
    </x:row>
    <x:row r="220" ht="45" customHeight="1">
      <x:c r="A220" s="4" t="str">
        <x:v>proposal.culture.commendation</x:v>
      </x:c>
      <x:c r="B220" s="4" t="str">
        <x:f>IFERROR(INDEX(Items!$B$6:$B$1005,MATCH(A220,Items!$A$6:$A$1005,0)),"MISSING ITEM ID")</x:f>
        <x:v>Community service medallion</x:v>
      </x:c>
      <x:c r="C220" s="4" t="str">
        <x:f>IFERROR(INDEX(Items!$C$6:$C$1005,MATCH(A220,Items!$A$6:$A$1005,0)),"MISSING ITEM ID")</x:f>
        <x:v>Cultural objects</x:v>
      </x:c>
      <x:c r="D220" s="4" t="str">
        <x:v>Primary</x:v>
      </x:c>
      <x:c r="E220" s="4" t="str">
        <x:f>IFERROR(INDEX(Items!$Z$6:$Z$1005,MATCH(A220,Items!$A$6:$A$1005,0)),"MISSING ITEM ID")</x:f>
        <x:v>Civic recognition</x:v>
      </x:c>
      <x:c r="F220" s="4" t="str">
        <x:v>Current item description. Catalog intent, not implemented actions.</x:v>
      </x:c>
    </x:row>
    <x:row r="221" ht="45" customHeight="1">
      <x:c r="A221" s="4" t="str">
        <x:v>proposal.culture.pilgrim_die</x:v>
      </x:c>
      <x:c r="B221" s="4" t="str">
        <x:f>IFERROR(INDEX(Items!$B$6:$B$1005,MATCH(A221,Items!$A$6:$A$1005,0)),"MISSING ITEM ID")</x:f>
        <x:v>Pilgrimage marking die</x:v>
      </x:c>
      <x:c r="C221" s="4" t="str">
        <x:f>IFERROR(INDEX(Items!$C$6:$C$1005,MATCH(A221,Items!$A$6:$A$1005,0)),"MISSING ITEM ID")</x:f>
        <x:v>Cultural objects</x:v>
      </x:c>
      <x:c r="D221" s="4" t="str">
        <x:v>Primary</x:v>
      </x:c>
      <x:c r="E221" s="4" t="str">
        <x:f>IFERROR(INDEX(Items!$Z$6:$Z$1005,MATCH(A221,Items!$A$6:$A$1005,0)),"MISSING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IFERROR(INDEX(Items!$C$6:$C$1005,MATCH(A222,Items!$A$6:$A$1005,0)),"MISSING ITEM ID")</x:f>
        <x:v>Cultural objects</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IFERROR(INDEX(Items!$C$6:$C$1005,MATCH(A223,Items!$A$6:$A$1005,0)),"MISSING ITEM ID")</x:f>
        <x:v>Cultural objects</x:v>
      </x:c>
      <x:c r="D223" s="4" t="str">
        <x:v>Primary</x:v>
      </x:c>
      <x:c r="E223" s="4" t="str">
        <x:f>IFERROR(INDEX(Items!$Z$6:$Z$1005,MATCH(A223,Items!$A$6:$A$1005,0)),"MISSING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IFERROR(INDEX(Items!$C$6:$C$1005,MATCH(A224,Items!$A$6:$A$1005,0)),"MISSING ITEM ID")</x:f>
        <x:v>Cultural objects</x:v>
      </x:c>
      <x:c r="D224" s="4" t="str">
        <x:v>Primary</x:v>
      </x:c>
      <x:c r="E224" s="4" t="str">
        <x:f>IFERROR(INDEX(Items!$Z$6:$Z$1005,MATCH(A224,Items!$A$6:$A$1005,0)),"MISSING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IFERROR(INDEX(Items!$C$6:$C$1005,MATCH(A225,Items!$A$6:$A$1005,0)),"MISSING ITEM ID")</x:f>
        <x:v>Cultural objects</x:v>
      </x:c>
      <x:c r="D225" s="4" t="str">
        <x:v>Primary</x:v>
      </x:c>
      <x:c r="E225" s="4" t="str">
        <x:f>IFERROR(INDEX(Items!$Z$6:$Z$1005,MATCH(A225,Items!$A$6:$A$1005,0)),"MISSING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IFERROR(INDEX(Items!$C$6:$C$1005,MATCH(A226,Items!$A$6:$A$1005,0)),"MISSING ITEM ID")</x:f>
        <x:v>Cultural objects</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IFERROR(INDEX(Items!$C$6:$C$1005,MATCH(A227,Items!$A$6:$A$1005,0)),"MISSING ITEM ID")</x:f>
        <x:v>Cultural objects</x:v>
      </x:c>
      <x:c r="D227" s="4" t="str">
        <x:v>Primary</x:v>
      </x:c>
      <x:c r="E227" s="4" t="str">
        <x:f>IFERROR(INDEX(Items!$Z$6:$Z$1005,MATCH(A227,Items!$A$6:$A$1005,0)),"MISSING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IFERROR(INDEX(Items!$C$6:$C$1005,MATCH(A228,Items!$A$6:$A$1005,0)),"MISSING ITEM ID")</x:f>
        <x:v>Cultural objects</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IFERROR(INDEX(Items!$C$6:$C$1005,MATCH(A229,Items!$A$6:$A$1005,0)),"MISSING ITEM ID")</x:f>
        <x:v>Cultural objects</x:v>
      </x:c>
      <x:c r="D229" s="4" t="str">
        <x:v>Primary</x:v>
      </x:c>
      <x:c r="E229" s="4" t="str">
        <x:f>IFERROR(INDEX(Items!$Z$6:$Z$1005,MATCH(A229,Items!$A$6:$A$1005,0)),"MISSING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IFERROR(INDEX(Items!$C$6:$C$1005,MATCH(A230,Items!$A$6:$A$1005,0)),"MISSING ITEM ID")</x:f>
        <x:v>Cultural objects</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IFERROR(INDEX(Items!$C$6:$C$1005,MATCH(A231,Items!$A$6:$A$1005,0)),"MISSING ITEM ID")</x:f>
        <x:v>Everyday objects</x:v>
      </x:c>
      <x:c r="D231" s="4" t="str">
        <x:v>Primary</x:v>
      </x:c>
      <x:c r="E231" s="4" t="str">
        <x:f>IFERROR(INDEX(Items!$Z$6:$Z$1005,MATCH(A231,Items!$A$6:$A$1005,0)),"MISSING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IFERROR(INDEX(Items!$C$6:$C$1005,MATCH(A232,Items!$A$6:$A$1005,0)),"MISSING ITEM ID")</x:f>
        <x:v>Everyday objects</x:v>
      </x:c>
      <x:c r="D232" s="4" t="str">
        <x:v>Primary</x:v>
      </x:c>
      <x:c r="E232" s="4" t="str">
        <x:f>IFERROR(INDEX(Items!$Z$6:$Z$1005,MATCH(A232,Items!$A$6:$A$1005,0)),"MISSING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IFERROR(INDEX(Items!$C$6:$C$1005,MATCH(A233,Items!$A$6:$A$1005,0)),"MISSING ITEM ID")</x:f>
        <x:v>Everyday objects</x:v>
      </x:c>
      <x:c r="D233" s="4" t="str">
        <x:v>Primary</x:v>
      </x:c>
      <x:c r="E233" s="4" t="str">
        <x:f>IFERROR(INDEX(Items!$Z$6:$Z$1005,MATCH(A233,Items!$A$6:$A$1005,0)),"MISSING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IFERROR(INDEX(Items!$C$6:$C$1005,MATCH(A234,Items!$A$6:$A$1005,0)),"MISSING ITEM ID")</x:f>
        <x:v>Everyday objects</x:v>
      </x:c>
      <x:c r="D234" s="4" t="str">
        <x:v>Primary</x:v>
      </x:c>
      <x:c r="E234" s="4" t="str">
        <x:f>IFERROR(INDEX(Items!$Z$6:$Z$1005,MATCH(A234,Items!$A$6:$A$1005,0)),"MISSING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IFERROR(INDEX(Items!$C$6:$C$1005,MATCH(A235,Items!$A$6:$A$1005,0)),"MISSING ITEM ID")</x:f>
        <x:v>Everyday objects</x:v>
      </x:c>
      <x:c r="D235" s="4" t="str">
        <x:v>Primary</x:v>
      </x:c>
      <x:c r="E235" s="4" t="str">
        <x:f>IFERROR(INDEX(Items!$Z$6:$Z$1005,MATCH(A235,Items!$A$6:$A$1005,0)),"MISSING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IFERROR(INDEX(Items!$C$6:$C$1005,MATCH(A236,Items!$A$6:$A$1005,0)),"MISSING ITEM ID")</x:f>
        <x:v>Everyday objects</x:v>
      </x:c>
      <x:c r="D236" s="4" t="str">
        <x:v>Primary</x:v>
      </x:c>
      <x:c r="E236" s="4" t="str">
        <x:f>IFERROR(INDEX(Items!$Z$6:$Z$1005,MATCH(A236,Items!$A$6:$A$1005,0)),"MISSING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Crushed fired ceramic grit</x:v>
      </x:c>
      <x:c r="C237" s="4" t="str">
        <x:f>IFERROR(INDEX(Items!$C$6:$C$1005,MATCH(A237,Items!$A$6:$A$1005,0)),"MISSING ITEM ID")</x:f>
        <x:v>Resources</x:v>
      </x:c>
      <x:c r="D237" s="4" t="str">
        <x:v>Primary</x:v>
      </x:c>
      <x:c r="E237" s="4" t="str">
        <x:f>IFERROR(INDEX(Items!$Z$6:$Z$1005,MATCH(A237,Items!$A$6:$A$1005,0)),"MISSING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Crushed fired ceramic grit</x:v>
      </x:c>
      <x:c r="C238" s="4" t="str">
        <x:f>IFERROR(INDEX(Items!$C$6:$C$1005,MATCH(A238,Items!$A$6:$A$1005,0)),"MISSING ITEM ID")</x:f>
        <x:v>Resources</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Prepared ceramic body feed</x:v>
      </x:c>
      <x:c r="C239" s="4" t="str">
        <x:f>IFERROR(INDEX(Items!$C$6:$C$1005,MATCH(A239,Items!$A$6:$A$1005,0)),"MISSING ITEM ID")</x:f>
        <x:v>Resources</x:v>
      </x:c>
      <x:c r="D239" s="4" t="str">
        <x:v>Primary</x:v>
      </x:c>
      <x:c r="E239" s="4" t="str">
        <x:f>IFERROR(INDEX(Items!$Z$6:$Z$1005,MATCH(A239,Items!$A$6:$A$1005,0)),"MISSING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Prepared ceramic body feed</x:v>
      </x:c>
      <x:c r="C240" s="4" t="str">
        <x:f>IFERROR(INDEX(Items!$C$6:$C$1005,MATCH(A240,Items!$A$6:$A$1005,0)),"MISSING ITEM ID")</x:f>
        <x:v>Resources</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glaze feed</x:v>
      </x:c>
      <x:c r="C241" s="4" t="str">
        <x:f>IFERROR(INDEX(Items!$C$6:$C$1005,MATCH(A241,Items!$A$6:$A$1005,0)),"MISSING ITEM ID")</x:f>
        <x:v>Resources</x:v>
      </x:c>
      <x:c r="D241" s="4" t="str">
        <x:v>Primary</x:v>
      </x:c>
      <x:c r="E241" s="4" t="str">
        <x:f>IFERROR(INDEX(Items!$Z$6:$Z$1005,MATCH(A241,Items!$A$6:$A$1005,0)),"MISSING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glaze feed</x:v>
      </x:c>
      <x:c r="C242" s="4" t="str">
        <x:f>IFERROR(INDEX(Items!$C$6:$C$1005,MATCH(A242,Items!$A$6:$A$1005,0)),"MISSING ITEM ID")</x:f>
        <x:v>Resources</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IFERROR(INDEX(Items!$C$6:$C$1005,MATCH(A243,Items!$A$6:$A$1005,0)),"MISSING ITEM ID")</x:f>
        <x:v>Crafting components</x:v>
      </x:c>
      <x:c r="D243" s="4" t="str">
        <x:v>Primary</x:v>
      </x:c>
      <x:c r="E243" s="4" t="str">
        <x:f>IFERROR(INDEX(Items!$Z$6:$Z$1005,MATCH(A243,Items!$A$6:$A$1005,0)),"MISSING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IFERROR(INDEX(Items!$C$6:$C$1005,MATCH(A244,Items!$A$6:$A$1005,0)),"MISSING ITEM ID")</x:f>
        <x:v>Everyday objects</x:v>
      </x:c>
      <x:c r="D244" s="4" t="str">
        <x:v>Primary</x:v>
      </x:c>
      <x:c r="E244" s="4" t="str">
        <x:f>IFERROR(INDEX(Items!$Z$6:$Z$1005,MATCH(A244,Items!$A$6:$A$1005,0)),"MISSING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IFERROR(INDEX(Items!$C$6:$C$1005,MATCH(A245,Items!$A$6:$A$1005,0)),"MISSING ITEM ID")</x:f>
        <x:v>Everyday objects</x:v>
      </x:c>
      <x:c r="D245" s="4" t="str">
        <x:v>Primary</x:v>
      </x:c>
      <x:c r="E245" s="4" t="str">
        <x:f>IFERROR(INDEX(Items!$Z$6:$Z$1005,MATCH(A245,Items!$A$6:$A$1005,0)),"MISSING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IFERROR(INDEX(Items!$C$6:$C$1005,MATCH(A246,Items!$A$6:$A$1005,0)),"MISSING ITEM ID")</x:f>
        <x:v>Everyday objects</x:v>
      </x:c>
      <x:c r="D246" s="4" t="str">
        <x:v>Primary</x:v>
      </x:c>
      <x:c r="E246" s="4" t="str">
        <x:f>IFERROR(INDEX(Items!$Z$6:$Z$1005,MATCH(A246,Items!$A$6:$A$1005,0)),"MISSING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IFERROR(INDEX(Items!$C$6:$C$1005,MATCH(A247,Items!$A$6:$A$1005,0)),"MISSING ITEM ID")</x:f>
        <x:v>Containers</x:v>
      </x:c>
      <x:c r="D247" s="4" t="str">
        <x:v>Primary</x:v>
      </x:c>
      <x:c r="E247" s="4" t="str">
        <x:f>IFERROR(INDEX(Items!$Z$6:$Z$1005,MATCH(A247,Items!$A$6:$A$1005,0)),"MISSING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IFERROR(INDEX(Items!$C$6:$C$1005,MATCH(A248,Items!$A$6:$A$1005,0)),"MISSING ITEM ID")</x:f>
        <x:v>Containers</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IFERROR(INDEX(Items!$C$6:$C$1005,MATCH(A249,Items!$A$6:$A$1005,0)),"MISSING ITEM ID")</x:f>
        <x:v>Equipment</x:v>
      </x:c>
      <x:c r="D249" s="4" t="str">
        <x:v>Primary</x:v>
      </x:c>
      <x:c r="E249" s="4" t="str">
        <x:f>IFERROR(INDEX(Items!$Z$6:$Z$1005,MATCH(A249,Items!$A$6:$A$1005,0)),"MISSING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IFERROR(INDEX(Items!$C$6:$C$1005,MATCH(A250,Items!$A$6:$A$1005,0)),"MISSING ITEM ID")</x:f>
        <x:v>Equipment</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IFERROR(INDEX(Items!$C$6:$C$1005,MATCH(A251,Items!$A$6:$A$1005,0)),"MISSING ITEM ID")</x:f>
        <x:v>Equipment</x:v>
      </x:c>
      <x:c r="D251" s="4" t="str">
        <x:v>Primary</x:v>
      </x:c>
      <x:c r="E251" s="4" t="str">
        <x:f>IFERROR(INDEX(Items!$Z$6:$Z$1005,MATCH(A251,Items!$A$6:$A$1005,0)),"MISSING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IFERROR(INDEX(Items!$C$6:$C$1005,MATCH(A252,Items!$A$6:$A$1005,0)),"MISSING ITEM ID")</x:f>
        <x:v>Equipment</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IFERROR(INDEX(Items!$C$6:$C$1005,MATCH(A253,Items!$A$6:$A$1005,0)),"MISSING ITEM ID")</x:f>
        <x:v>Equipment</x:v>
      </x:c>
      <x:c r="D253" s="4" t="str">
        <x:v>Primary</x:v>
      </x:c>
      <x:c r="E253" s="4" t="str">
        <x:f>IFERROR(INDEX(Items!$Z$6:$Z$1005,MATCH(A253,Items!$A$6:$A$1005,0)),"MISSING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IFERROR(INDEX(Items!$C$6:$C$1005,MATCH(A254,Items!$A$6:$A$1005,0)),"MISSING ITEM ID")</x:f>
        <x:v>Equipment</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IFERROR(INDEX(Items!$C$6:$C$1005,MATCH(A255,Items!$A$6:$A$1005,0)),"MISSING ITEM ID")</x:f>
        <x:v>Equipment</x:v>
      </x:c>
      <x:c r="D255" s="4" t="str">
        <x:v>Primary</x:v>
      </x:c>
      <x:c r="E255" s="4" t="str">
        <x:f>IFERROR(INDEX(Items!$Z$6:$Z$1005,MATCH(A255,Items!$A$6:$A$1005,0)),"MISSING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IFERROR(INDEX(Items!$C$6:$C$1005,MATCH(A256,Items!$A$6:$A$1005,0)),"MISSING ITEM ID")</x:f>
        <x:v>Equipment</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IFERROR(INDEX(Items!$C$6:$C$1005,MATCH(A257,Items!$A$6:$A$1005,0)),"MISSING ITEM ID")</x:f>
        <x:v>Equipment</x:v>
      </x:c>
      <x:c r="D257" s="4" t="str">
        <x:v>Primary</x:v>
      </x:c>
      <x:c r="E257" s="4" t="str">
        <x:f>IFERROR(INDEX(Items!$Z$6:$Z$1005,MATCH(A257,Items!$A$6:$A$1005,0)),"MISSING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IFERROR(INDEX(Items!$C$6:$C$1005,MATCH(A258,Items!$A$6:$A$1005,0)),"MISSING ITEM ID")</x:f>
        <x:v>Crafting components</x:v>
      </x:c>
      <x:c r="D258" s="4" t="str">
        <x:v>Primary</x:v>
      </x:c>
      <x:c r="E258" s="4" t="str">
        <x:f>IFERROR(INDEX(Items!$Z$6:$Z$1005,MATCH(A258,Items!$A$6:$A$1005,0)),"MISSING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IFERROR(INDEX(Items!$C$6:$C$1005,MATCH(A259,Items!$A$6:$A$1005,0)),"MISSING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IFERROR(INDEX(Items!$C$6:$C$1005,MATCH(A260,Items!$A$6:$A$1005,0)),"MISSING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IFERROR(INDEX(Items!$C$6:$C$1005,MATCH(A261,Items!$A$6:$A$1005,0)),"MISSING ITEM ID")</x:f>
        <x:v>Crafting components</x:v>
      </x:c>
      <x:c r="D261" s="4" t="str">
        <x:v>Primary</x:v>
      </x:c>
      <x:c r="E261" s="4" t="str">
        <x:f>IFERROR(INDEX(Items!$Z$6:$Z$1005,MATCH(A261,Items!$A$6:$A$1005,0)),"MISSING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IFERROR(INDEX(Items!$C$6:$C$1005,MATCH(A262,Items!$A$6:$A$1005,0)),"MISSING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IFERROR(INDEX(Items!$C$6:$C$1005,MATCH(A263,Items!$A$6:$A$1005,0)),"MISSING ITEM ID")</x:f>
        <x:v>Crafting components</x:v>
      </x:c>
      <x:c r="D263" s="4" t="str">
        <x:v>Primary</x:v>
      </x:c>
      <x:c r="E263" s="4" t="str">
        <x:f>IFERROR(INDEX(Items!$Z$6:$Z$1005,MATCH(A263,Items!$A$6:$A$1005,0)),"MISSING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IFERROR(INDEX(Items!$C$6:$C$1005,MATCH(A264,Items!$A$6:$A$1005,0)),"MISSING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IFERROR(INDEX(Items!$C$6:$C$1005,MATCH(A265,Items!$A$6:$A$1005,0)),"MISSING ITEM ID")</x:f>
        <x:v>Crafting components</x:v>
      </x:c>
      <x:c r="D265" s="4" t="str">
        <x:v>Primary</x:v>
      </x:c>
      <x:c r="E265" s="4" t="str">
        <x:f>IFERROR(INDEX(Items!$Z$6:$Z$1005,MATCH(A265,Items!$A$6:$A$1005,0)),"MISSING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IFERROR(INDEX(Items!$C$6:$C$1005,MATCH(A266,Items!$A$6:$A$1005,0)),"MISSING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IFERROR(INDEX(Items!$C$6:$C$1005,MATCH(A267,Items!$A$6:$A$1005,0)),"MISSING ITEM ID")</x:f>
        <x:v>Crafting components</x:v>
      </x:c>
      <x:c r="D267" s="4" t="str">
        <x:v>Primary</x:v>
      </x:c>
      <x:c r="E267" s="4" t="str">
        <x:f>IFERROR(INDEX(Items!$Z$6:$Z$1005,MATCH(A267,Items!$A$6:$A$1005,0)),"MISSING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IFERROR(INDEX(Items!$C$6:$C$1005,MATCH(A268,Items!$A$6:$A$1005,0)),"MISSING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IFERROR(INDEX(Items!$C$6:$C$1005,MATCH(A269,Items!$A$6:$A$1005,0)),"MISSING ITEM ID")</x:f>
        <x:v>Crafting components</x:v>
      </x:c>
      <x:c r="D269" s="4" t="str">
        <x:v>Primary</x:v>
      </x:c>
      <x:c r="E269" s="4" t="str">
        <x:f>IFERROR(INDEX(Items!$Z$6:$Z$1005,MATCH(A269,Items!$A$6:$A$1005,0)),"MISSING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IFERROR(INDEX(Items!$C$6:$C$1005,MATCH(A270,Items!$A$6:$A$1005,0)),"MISSING ITEM ID")</x:f>
        <x:v>Crafting components</x:v>
      </x:c>
      <x:c r="D270" s="4" t="str">
        <x:v>Primary</x:v>
      </x:c>
      <x:c r="E270" s="4" t="str">
        <x:f>IFERROR(INDEX(Items!$Z$6:$Z$1005,MATCH(A270,Items!$A$6:$A$1005,0)),"MISSING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IFERROR(INDEX(Items!$C$6:$C$1005,MATCH(A271,Items!$A$6:$A$1005,0)),"MISSING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IFERROR(INDEX(Items!$C$6:$C$1005,MATCH(A272,Items!$A$6:$A$1005,0)),"MISSING ITEM ID")</x:f>
        <x:v>Crafting components</x:v>
      </x:c>
      <x:c r="D272" s="4" t="str">
        <x:v>Primary</x:v>
      </x:c>
      <x:c r="E272" s="4" t="str">
        <x:f>IFERROR(INDEX(Items!$Z$6:$Z$1005,MATCH(A272,Items!$A$6:$A$1005,0)),"MISSING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IFERROR(INDEX(Items!$C$6:$C$1005,MATCH(A273,Items!$A$6:$A$1005,0)),"MISSING ITEM ID")</x:f>
        <x:v>Crafting components</x:v>
      </x:c>
      <x:c r="D273" s="4" t="str">
        <x:v>Primary</x:v>
      </x:c>
      <x:c r="E273" s="4" t="str">
        <x:f>IFERROR(INDEX(Items!$Z$6:$Z$1005,MATCH(A273,Items!$A$6:$A$1005,0)),"MISSING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IFERROR(INDEX(Items!$C$6:$C$1005,MATCH(A274,Items!$A$6:$A$1005,0)),"MISSING ITEM ID")</x:f>
        <x:v>Cultural objects</x:v>
      </x:c>
      <x:c r="D274" s="4" t="str">
        <x:v>Primary</x:v>
      </x:c>
      <x:c r="E274" s="4" t="str">
        <x:f>IFERROR(INDEX(Items!$Z$6:$Z$1005,MATCH(A274,Items!$A$6:$A$1005,0)),"MISSING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IFERROR(INDEX(Items!$C$6:$C$1005,MATCH(A275,Items!$A$6:$A$1005,0)),"MISSING ITEM ID")</x:f>
        <x:v>Cultural objects</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IFERROR(INDEX(Items!$C$6:$C$1005,MATCH(A276,Items!$A$6:$A$1005,0)),"MISSING ITEM ID")</x:f>
        <x:v>Cultural objects</x:v>
      </x:c>
      <x:c r="D276" s="4" t="str">
        <x:v>Primary</x:v>
      </x:c>
      <x:c r="E276" s="4" t="str">
        <x:f>IFERROR(INDEX(Items!$Z$6:$Z$1005,MATCH(A276,Items!$A$6:$A$1005,0)),"MISSING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IFERROR(INDEX(Items!$C$6:$C$1005,MATCH(A277,Items!$A$6:$A$1005,0)),"MISSING ITEM ID")</x:f>
        <x:v>Cultural objects</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IFERROR(INDEX(Items!$C$6:$C$1005,MATCH(A278,Items!$A$6:$A$1005,0)),"MISSING ITEM ID")</x:f>
        <x:v>Cultural objects</x:v>
      </x:c>
      <x:c r="D278" s="4" t="str">
        <x:v>Primary</x:v>
      </x:c>
      <x:c r="E278" s="4" t="str">
        <x:f>IFERROR(INDEX(Items!$Z$6:$Z$1005,MATCH(A278,Items!$A$6:$A$1005,0)),"MISSING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IFERROR(INDEX(Items!$C$6:$C$1005,MATCH(A279,Items!$A$6:$A$1005,0)),"MISSING ITEM ID")</x:f>
        <x:v>Cultural objects</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IFERROR(INDEX(Items!$C$6:$C$1005,MATCH(A280,Items!$A$6:$A$1005,0)),"MISSING ITEM ID")</x:f>
        <x:v>Equipment</x:v>
      </x:c>
      <x:c r="D280" s="4" t="str">
        <x:v>Primary</x:v>
      </x:c>
      <x:c r="E280" s="4" t="str">
        <x:f>IFERROR(INDEX(Items!$Z$6:$Z$1005,MATCH(A280,Items!$A$6:$A$1005,0)),"MISSING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IFERROR(INDEX(Items!$C$6:$C$1005,MATCH(A281,Items!$A$6:$A$1005,0)),"MISSING ITEM ID")</x:f>
        <x:v>Crafting components</x:v>
      </x:c>
      <x:c r="D281" s="4" t="str">
        <x:v>Primary</x:v>
      </x:c>
      <x:c r="E281" s="4" t="str">
        <x:f>IFERROR(INDEX(Items!$Z$6:$Z$1005,MATCH(A281,Items!$A$6:$A$1005,0)),"MISSING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IFERROR(INDEX(Items!$C$6:$C$1005,MATCH(A282,Items!$A$6:$A$1005,0)),"MISSING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IFERROR(INDEX(Items!$C$6:$C$1005,MATCH(A283,Items!$A$6:$A$1005,0)),"MISSING ITEM ID")</x:f>
        <x:v>Equipment</x:v>
      </x:c>
      <x:c r="D283" s="4" t="str">
        <x:v>Primary</x:v>
      </x:c>
      <x:c r="E283" s="4" t="str">
        <x:f>IFERROR(INDEX(Items!$Z$6:$Z$1005,MATCH(A283,Items!$A$6:$A$1005,0)),"MISSING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IFERROR(INDEX(Items!$C$6:$C$1005,MATCH(A284,Items!$A$6:$A$1005,0)),"MISSING ITEM ID")</x:f>
        <x:v>Currency</x:v>
      </x:c>
      <x:c r="D284" s="4" t="str">
        <x:v>Primary</x:v>
      </x:c>
      <x:c r="E284" s="4" t="str">
        <x:f>IFERROR(INDEX(Items!$Z$6:$Z$1005,MATCH(A284,Items!$A$6:$A$1005,0)),"MISSING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IFERROR(INDEX(Items!$C$6:$C$1005,MATCH(A285,Items!$A$6:$A$1005,0)),"MISSING ITEM ID")</x:f>
        <x:v>Resources</x:v>
      </x:c>
      <x:c r="D285" s="4" t="str">
        <x:v>Primary</x:v>
      </x:c>
      <x:c r="E285" s="4" t="str">
        <x:f>IFERROR(INDEX(Items!$Z$6:$Z$1005,MATCH(A285,Items!$A$6:$A$1005,0)),"MISSING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IFERROR(INDEX(Items!$C$6:$C$1005,MATCH(A286,Items!$A$6:$A$1005,0)),"MISSING ITEM ID")</x:f>
        <x:v>Resources</x:v>
      </x:c>
      <x:c r="D286" s="4" t="str">
        <x:v>Primary</x:v>
      </x:c>
      <x:c r="E286" s="4" t="str">
        <x:f>IFERROR(INDEX(Items!$Z$6:$Z$1005,MATCH(A286,Items!$A$6:$A$1005,0)),"MISSING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IFERROR(INDEX(Items!$C$6:$C$1005,MATCH(A287,Items!$A$6:$A$1005,0)),"MISSING ITEM ID")</x:f>
        <x:v>Resources</x:v>
      </x:c>
      <x:c r="D287" s="4" t="str">
        <x:v>Primary</x:v>
      </x:c>
      <x:c r="E287" s="4" t="str">
        <x:f>IFERROR(INDEX(Items!$Z$6:$Z$1005,MATCH(A287,Items!$A$6:$A$1005,0)),"MISSING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IFERROR(INDEX(Items!$C$6:$C$1005,MATCH(A288,Items!$A$6:$A$1005,0)),"MISSING ITEM ID")</x:f>
        <x:v>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IFERROR(INDEX(Items!$C$6:$C$1005,MATCH(A289,Items!$A$6:$A$1005,0)),"MISSING ITEM ID")</x:f>
        <x:v>Equipment</x:v>
      </x:c>
      <x:c r="D289" s="4" t="str">
        <x:v>Primary</x:v>
      </x:c>
      <x:c r="E289" s="4" t="str">
        <x:f>IFERROR(INDEX(Items!$Z$6:$Z$1005,MATCH(A289,Items!$A$6:$A$1005,0)),"MISSING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Chitin-char</x:v>
      </x:c>
      <x:c r="C290" s="4" t="str">
        <x:f>IFERROR(INDEX(Items!$C$6:$C$1005,MATCH(A290,Items!$A$6:$A$1005,0)),"MISSING ITEM ID")</x:f>
        <x:v>Resources</x:v>
      </x:c>
      <x:c r="D290" s="4" t="str">
        <x:v>Primary</x:v>
      </x:c>
      <x:c r="E290" s="4" t="str">
        <x:f>IFERROR(INDEX(Items!$Z$6:$Z$1005,MATCH(A290,Items!$A$6:$A$1005,0)),"MISSING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IFERROR(INDEX(Items!$C$6:$C$1005,MATCH(A291,Items!$A$6:$A$1005,0)),"MISSING ITEM ID")</x:f>
        <x:v>Equipment</x:v>
      </x:c>
      <x:c r="D291" s="4" t="str">
        <x:v>Primary</x:v>
      </x:c>
      <x:c r="E291" s="4" t="str">
        <x:f>IFERROR(INDEX(Items!$Z$6:$Z$1005,MATCH(A291,Items!$A$6:$A$1005,0)),"MISSING ITEM ID")</x:f>
        <x:v>Cooking</x:v>
      </x:c>
      <x:c r="F291" s="4" t="str">
        <x:v>Catalog intent. Source/author distinction and fire constraints are recorded in Items.</x:v>
      </x:c>
    </x:row>
    <x:row r="292" ht="65" customHeight="1">
      <x:c r="A292" s="4" t="str">
        <x:v>proposal.fire.cooking_slab</x:v>
      </x:c>
      <x:c r="B292" s="4" t="str">
        <x:f>IFERROR(INDEX(Items!$B$6:$B$1005,MATCH(A292,Items!$A$6:$A$1005,0)),"MISSING ITEM ID")</x:f>
        <x:v>Cooking stone slab</x:v>
      </x:c>
      <x:c r="C292" s="4" t="str">
        <x:f>IFERROR(INDEX(Items!$C$6:$C$1005,MATCH(A292,Items!$A$6:$A$1005,0)),"MISSING ITEM ID")</x:f>
        <x:v>Equipment</x:v>
      </x:c>
      <x:c r="D292" s="4" t="str">
        <x:v>Primary</x:v>
      </x:c>
      <x:c r="E292" s="4" t="str">
        <x:f>IFERROR(INDEX(Items!$Z$6:$Z$1005,MATCH(A292,Items!$A$6:$A$1005,0)),"MISSING ITEM ID")</x:f>
        <x:v>Cooking</x:v>
      </x:c>
      <x:c r="F292" s="4" t="str">
        <x:v>Catalog intent. Source/author distinction and fire constraints are recorded in Items.</x:v>
      </x:c>
    </x:row>
    <x:row r="293" ht="65" customHeight="1">
      <x:c r="A293" s="4" t="str">
        <x:v>proposal.fire.lidded_pan</x:v>
      </x:c>
      <x:c r="B293" s="4" t="str">
        <x:f>IFERROR(INDEX(Items!$B$6:$B$1005,MATCH(A293,Items!$A$6:$A$1005,0)),"MISSING ITEM ID")</x:f>
        <x:v>Lidded cooking pan</x:v>
      </x:c>
      <x:c r="C293" s="4" t="str">
        <x:f>IFERROR(INDEX(Items!$C$6:$C$1005,MATCH(A293,Items!$A$6:$A$1005,0)),"MISSING ITEM ID")</x:f>
        <x:v>Equipment</x:v>
      </x:c>
      <x:c r="D293" s="4" t="str">
        <x:v>Primary</x:v>
      </x:c>
      <x:c r="E293" s="4" t="str">
        <x:f>IFERROR(INDEX(Items!$Z$6:$Z$1005,MATCH(A293,Items!$A$6:$A$1005,0)),"MISSING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IFERROR(INDEX(Items!$C$6:$C$1005,MATCH(A294,Items!$A$6:$A$1005,0)),"MISSING ITEM ID")</x:f>
        <x:v>Equipment</x:v>
      </x:c>
      <x:c r="D294" s="4" t="str">
        <x:v>Primary</x:v>
      </x:c>
      <x:c r="E294" s="4" t="str">
        <x:f>IFERROR(INDEX(Items!$Z$6:$Z$1005,MATCH(A294,Items!$A$6:$A$1005,0)),"MISSING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IFERROR(INDEX(Items!$C$6:$C$1005,MATCH(A295,Items!$A$6:$A$1005,0)),"MISSING ITEM ID")</x:f>
        <x:v>Equipment</x:v>
      </x:c>
      <x:c r="D295" s="4" t="str">
        <x:v>Primary</x:v>
      </x:c>
      <x:c r="E295" s="4" t="str">
        <x:f>IFERROR(INDEX(Items!$Z$6:$Z$1005,MATCH(A295,Items!$A$6:$A$1005,0)),"MISSING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IFERROR(INDEX(Items!$C$6:$C$1005,MATCH(A296,Items!$A$6:$A$1005,0)),"MISSING ITEM ID")</x:f>
        <x:v>Equipment</x:v>
      </x:c>
      <x:c r="D296" s="4" t="str">
        <x:v>Primary</x:v>
      </x:c>
      <x:c r="E296" s="4" t="str">
        <x:f>IFERROR(INDEX(Items!$Z$6:$Z$1005,MATCH(A296,Items!$A$6:$A$1005,0)),"MISSING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Managed cooking firebox</x:v>
      </x:c>
      <x:c r="C297" s="4" t="str">
        <x:f>IFERROR(INDEX(Items!$C$6:$C$1005,MATCH(A297,Items!$A$6:$A$1005,0)),"MISSING ITEM ID")</x:f>
        <x:v>Equipment</x:v>
      </x:c>
      <x:c r="D297" s="4" t="str">
        <x:v>Primary</x:v>
      </x:c>
      <x:c r="E297" s="4" t="str">
        <x:f>IFERROR(INDEX(Items!$Z$6:$Z$1005,MATCH(A297,Items!$A$6:$A$1005,0)),"MISSING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Managed cooking firebox</x:v>
      </x:c>
      <x:c r="C298" s="4" t="str">
        <x:f>IFERROR(INDEX(Items!$C$6:$C$1005,MATCH(A298,Items!$A$6:$A$1005,0)),"MISSING ITEM ID")</x:f>
        <x:v>Equipment</x:v>
      </x:c>
      <x:c r="D298" s="4" t="str">
        <x:v>Secondary</x:v>
      </x:c>
      <x:c r="E298" s="4" t="str">
        <x:v>Fire management</x:v>
      </x:c>
      <x:c r="F298" s="4" t="str">
        <x:v>Catalog intent. Source/author distinction and fire constraints are recorded in Items.</x:v>
      </x:c>
    </x:row>
    <x:row r="299" ht="65" customHeight="1">
      <x:c r="A299" s="4" t="str">
        <x:v>proposal.fire.wind_baffle</x:v>
      </x:c>
      <x:c r="B299" s="4" t="str">
        <x:f>IFERROR(INDEX(Items!$B$6:$B$1005,MATCH(A299,Items!$A$6:$A$1005,0)),"MISSING ITEM ID")</x:f>
        <x:v>Cooking wind baffle</x:v>
      </x:c>
      <x:c r="C299" s="4" t="str">
        <x:f>IFERROR(INDEX(Items!$C$6:$C$1005,MATCH(A299,Items!$A$6:$A$1005,0)),"MISSING ITEM ID")</x:f>
        <x:v>Crafting components</x:v>
      </x:c>
      <x:c r="D299" s="4" t="str">
        <x:v>Primary</x:v>
      </x:c>
      <x:c r="E299" s="4" t="str">
        <x:f>IFERROR(INDEX(Items!$Z$6:$Z$1005,MATCH(A299,Items!$A$6:$A$1005,0)),"MISSING ITEM ID")</x:f>
        <x:v>Fire management</x:v>
      </x:c>
      <x:c r="F299" s="4" t="str">
        <x:v>Catalog intent. Source/author distinction and fire constraints are recorded in Items.</x:v>
      </x:c>
    </x:row>
    <x:row r="300" ht="65" customHeight="1">
      <x:c r="A300" s="4" t="str">
        <x:v>proposal.fire.wind_baffle</x:v>
      </x:c>
      <x:c r="B300" s="4" t="str">
        <x:f>IFERROR(INDEX(Items!$B$6:$B$1005,MATCH(A300,Items!$A$6:$A$1005,0)),"MISSING ITEM ID")</x:f>
        <x:v>Cooking wind baffle</x:v>
      </x:c>
      <x:c r="C300" s="4" t="str">
        <x:f>IFERROR(INDEX(Items!$C$6:$C$1005,MATCH(A300,Items!$A$6:$A$1005,0)),"MISSING ITEM ID")</x:f>
        <x:v>Crafting components</x:v>
      </x:c>
      <x:c r="D300" s="4" t="str">
        <x:v>Secondary</x:v>
      </x:c>
      <x:c r="E300" s="4" t="str">
        <x:v>Cooking</x:v>
      </x:c>
      <x:c r="F300" s="4" t="str">
        <x:v>Catalog intent. Source/author distinction and fire constraints are recorded in Items.</x:v>
      </x:c>
    </x:row>
    <x:row r="301" ht="65" customHeight="1">
      <x:c r="A301" s="4" t="str">
        <x:v>proposal.fire.draft_collar</x:v>
      </x:c>
      <x:c r="B301" s="4" t="str">
        <x:f>IFERROR(INDEX(Items!$B$6:$B$1005,MATCH(A301,Items!$A$6:$A$1005,0)),"MISSING ITEM ID")</x:f>
        <x:v>Cooking draft collar</x:v>
      </x:c>
      <x:c r="C301" s="4" t="str">
        <x:f>IFERROR(INDEX(Items!$C$6:$C$1005,MATCH(A301,Items!$A$6:$A$1005,0)),"MISSING ITEM ID")</x:f>
        <x:v>Crafting components</x:v>
      </x:c>
      <x:c r="D301" s="4" t="str">
        <x:v>Primary</x:v>
      </x:c>
      <x:c r="E301" s="4" t="str">
        <x:f>IFERROR(INDEX(Items!$Z$6:$Z$1005,MATCH(A301,Items!$A$6:$A$1005,0)),"MISSING ITEM ID")</x:f>
        <x:v>Fire management</x:v>
      </x:c>
      <x:c r="F301" s="4" t="str">
        <x:v>Catalog intent. Source/author distinction and fire constraints are recorded in Items.</x:v>
      </x:c>
    </x:row>
    <x:row r="302" ht="65" customHeight="1">
      <x:c r="A302" s="4" t="str">
        <x:v>proposal.fire.draft_collar</x:v>
      </x:c>
      <x:c r="B302" s="4" t="str">
        <x:f>IFERROR(INDEX(Items!$B$6:$B$1005,MATCH(A302,Items!$A$6:$A$1005,0)),"MISSING ITEM ID")</x:f>
        <x:v>Cooking draft collar</x:v>
      </x:c>
      <x:c r="C302" s="4" t="str">
        <x:f>IFERROR(INDEX(Items!$C$6:$C$1005,MATCH(A302,Items!$A$6:$A$1005,0)),"MISSING ITEM ID")</x:f>
        <x:v>Crafting components</x:v>
      </x:c>
      <x:c r="D302" s="4" t="str">
        <x:v>Secondary</x:v>
      </x:c>
      <x:c r="E302" s="4" t="str">
        <x:v>Cooking</x:v>
      </x:c>
      <x:c r="F302" s="4" t="str">
        <x:v>Catalog intent. Source/author distinction and fire constraints are recorded in Items.</x:v>
      </x:c>
    </x:row>
    <x:row r="303" ht="65" customHeight="1">
      <x:c r="A303" s="4" t="str">
        <x:v>proposal.fire.heat_shroud</x:v>
      </x:c>
      <x:c r="B303" s="4" t="str">
        <x:f>IFERROR(INDEX(Items!$B$6:$B$1005,MATCH(A303,Items!$A$6:$A$1005,0)),"MISSING ITEM ID")</x:f>
        <x:v>Cooking heat shroud</x:v>
      </x:c>
      <x:c r="C303" s="4" t="str">
        <x:f>IFERROR(INDEX(Items!$C$6:$C$1005,MATCH(A303,Items!$A$6:$A$1005,0)),"MISSING ITEM ID")</x:f>
        <x:v>Crafting components</x:v>
      </x:c>
      <x:c r="D303" s="4" t="str">
        <x:v>Primary</x:v>
      </x:c>
      <x:c r="E303" s="4" t="str">
        <x:f>IFERROR(INDEX(Items!$Z$6:$Z$1005,MATCH(A303,Items!$A$6:$A$1005,0)),"MISSING ITEM ID")</x:f>
        <x:v>Cooking</x:v>
      </x:c>
      <x:c r="F303" s="4" t="str">
        <x:v>Catalog intent. Source/author distinction and fire constraints are recorded in Items.</x:v>
      </x:c>
    </x:row>
    <x:row r="304" ht="65" customHeight="1">
      <x:c r="A304" s="4" t="str">
        <x:v>proposal.fire.heat_shroud</x:v>
      </x:c>
      <x:c r="B304" s="4" t="str">
        <x:f>IFERROR(INDEX(Items!$B$6:$B$1005,MATCH(A304,Items!$A$6:$A$1005,0)),"MISSING ITEM ID")</x:f>
        <x:v>Cooking heat shroud</x:v>
      </x:c>
      <x:c r="C304" s="4" t="str">
        <x:f>IFERROR(INDEX(Items!$C$6:$C$1005,MATCH(A304,Items!$A$6:$A$1005,0)),"MISSING ITEM ID")</x:f>
        <x:v>Crafting components</x:v>
      </x:c>
      <x:c r="D304" s="4" t="str">
        <x:v>Secondary</x:v>
      </x:c>
      <x:c r="E304" s="4" t="str">
        <x:v>Protective fabrication</x:v>
      </x:c>
      <x:c r="F304" s="4" t="str">
        <x:v>Catalog intent. Source/author distinction and fire constraints are recorded in Items.</x:v>
      </x:c>
    </x:row>
    <x:row r="305" ht="65" customHeight="1">
      <x:c r="A305" s="4" t="str">
        <x:v>proposal.fire.glow_holder</x:v>
      </x:c>
      <x:c r="B305" s="4" t="str">
        <x:f>IFERROR(INDEX(Items!$B$6:$B$1005,MATCH(A305,Items!$A$6:$A$1005,0)),"MISSING ITEM ID")</x:f>
        <x:v>Shuttered glow-stone holder</x:v>
      </x:c>
      <x:c r="C305" s="4" t="str">
        <x:f>IFERROR(INDEX(Items!$C$6:$C$1005,MATCH(A305,Items!$A$6:$A$1005,0)),"MISSING ITEM ID")</x:f>
        <x:v>Equipment</x:v>
      </x:c>
      <x:c r="D305" s="4" t="str">
        <x:v>Primary</x:v>
      </x:c>
      <x:c r="E305" s="4" t="str">
        <x:f>IFERROR(INDEX(Items!$Z$6:$Z$1005,MATCH(A305,Items!$A$6:$A$1005,0)),"MISSING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IFERROR(INDEX(Items!$C$6:$C$1005,MATCH(A306,Items!$A$6:$A$1005,0)),"MISSING ITEM ID")</x:f>
        <x:v>Resources</x:v>
      </x:c>
      <x:c r="D306" s="4" t="str">
        <x:v>Primary</x:v>
      </x:c>
      <x:c r="E306" s="4" t="str">
        <x:f>IFERROR(INDEX(Items!$Z$6:$Z$1005,MATCH(A306,Items!$A$6:$A$1005,0)),"MISSING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IFERROR(INDEX(Items!$C$6:$C$1005,MATCH(A307,Items!$A$6:$A$1005,0)),"MISSING ITEM ID")</x:f>
        <x:v>Resources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IFERROR(INDEX(Items!$C$6:$C$1005,MATCH(A308,Items!$A$6:$A$1005,0)),"MISSING ITEM ID")</x:f>
        <x:v>Resources</x:v>
      </x:c>
      <x:c r="D308" s="4" t="str">
        <x:v>Primary</x:v>
      </x:c>
      <x:c r="E308" s="4" t="str">
        <x:f>IFERROR(INDEX(Items!$Z$6:$Z$1005,MATCH(A308,Items!$A$6:$A$1005,0)),"MISSING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IFERROR(INDEX(Items!$C$6:$C$1005,MATCH(A309,Items!$A$6:$A$1005,0)),"MISSING ITEM ID")</x:f>
        <x:v>Resources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IFERROR(INDEX(Items!$C$6:$C$1005,MATCH(A310,Items!$A$6:$A$1005,0)),"MISSING ITEM ID")</x:f>
        <x:v>Resources</x:v>
      </x:c>
      <x:c r="D310" s="4" t="str">
        <x:v>Primary</x:v>
      </x:c>
      <x:c r="E310" s="4" t="str">
        <x:f>IFERROR(INDEX(Items!$Z$6:$Z$1005,MATCH(A310,Items!$A$6:$A$1005,0)),"MISSING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IFERROR(INDEX(Items!$C$6:$C$1005,MATCH(A311,Items!$A$6:$A$1005,0)),"MISSING ITEM ID")</x:f>
        <x:v>Resources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IFERROR(INDEX(Items!$C$6:$C$1005,MATCH(A312,Items!$A$6:$A$1005,0)),"MISSING ITEM ID")</x:f>
        <x:v>Resources</x:v>
      </x:c>
      <x:c r="D312" s="4" t="str">
        <x:v>Primary</x:v>
      </x:c>
      <x:c r="E312" s="4" t="str">
        <x:f>IFERROR(INDEX(Items!$Z$6:$Z$1005,MATCH(A312,Items!$A$6:$A$1005,0)),"MISSING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IFERROR(INDEX(Items!$C$6:$C$1005,MATCH(A313,Items!$A$6:$A$1005,0)),"MISSING ITEM ID")</x:f>
        <x:v>Resources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IFERROR(INDEX(Items!$C$6:$C$1005,MATCH(A314,Items!$A$6:$A$1005,0)),"MISSING ITEM ID")</x:f>
        <x:v>Resources</x:v>
      </x:c>
      <x:c r="D314" s="4" t="str">
        <x:v>Primary</x:v>
      </x:c>
      <x:c r="E314" s="4" t="str">
        <x:f>IFERROR(INDEX(Items!$Z$6:$Z$1005,MATCH(A314,Items!$A$6:$A$1005,0)),"MISSING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IFERROR(INDEX(Items!$C$6:$C$1005,MATCH(A315,Items!$A$6:$A$1005,0)),"MISSING ITEM ID")</x:f>
        <x:v>Resources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IFERROR(INDEX(Items!$C$6:$C$1005,MATCH(A316,Items!$A$6:$A$1005,0)),"MISSING ITEM ID")</x:f>
        <x:v>Resources</x:v>
      </x:c>
      <x:c r="D316" s="4" t="str">
        <x:v>Primary</x:v>
      </x:c>
      <x:c r="E316" s="4" t="str">
        <x:f>IFERROR(INDEX(Items!$Z$6:$Z$1005,MATCH(A316,Items!$A$6:$A$1005,0)),"MISSING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IFERROR(INDEX(Items!$C$6:$C$1005,MATCH(A317,Items!$A$6:$A$1005,0)),"MISSING ITEM ID")</x:f>
        <x:v>Resources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IFERROR(INDEX(Items!$C$6:$C$1005,MATCH(A318,Items!$A$6:$A$1005,0)),"MISSING ITEM ID")</x:f>
        <x:v>Resources</x:v>
      </x:c>
      <x:c r="D318" s="4" t="str">
        <x:v>Primary</x:v>
      </x:c>
      <x:c r="E318" s="4" t="str">
        <x:f>IFERROR(INDEX(Items!$Z$6:$Z$1005,MATCH(A318,Items!$A$6:$A$1005,0)),"MISSING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IFERROR(INDEX(Items!$C$6:$C$1005,MATCH(A319,Items!$A$6:$A$1005,0)),"MISSING ITEM ID")</x:f>
        <x:v>Resources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IFERROR(INDEX(Items!$C$6:$C$1005,MATCH(A320,Items!$A$6:$A$1005,0)),"MISSING ITEM ID")</x:f>
        <x:v>Resources</x:v>
      </x:c>
      <x:c r="D320" s="4" t="str">
        <x:v>Primary</x:v>
      </x:c>
      <x:c r="E320" s="4" t="str">
        <x:f>IFERROR(INDEX(Items!$Z$6:$Z$1005,MATCH(A320,Items!$A$6:$A$1005,0)),"MISSING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IFERROR(INDEX(Items!$C$6:$C$1005,MATCH(A321,Items!$A$6:$A$1005,0)),"MISSING ITEM ID")</x:f>
        <x:v>Resources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IFERROR(INDEX(Items!$C$6:$C$1005,MATCH(A322,Items!$A$6:$A$1005,0)),"MISSING ITEM ID")</x:f>
        <x:v>Equipment</x:v>
      </x:c>
      <x:c r="D322" s="4" t="str">
        <x:v>Primary</x:v>
      </x:c>
      <x:c r="E322" s="4" t="str">
        <x:f>IFERROR(INDEX(Items!$Z$6:$Z$1005,MATCH(A322,Items!$A$6:$A$1005,0)),"MISSING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IFERROR(INDEX(Items!$C$6:$C$1005,MATCH(A323,Items!$A$6:$A$1005,0)),"MISSING ITEM ID")</x:f>
        <x:v>Equipment</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IFERROR(INDEX(Items!$C$6:$C$1005,MATCH(A324,Items!$A$6:$A$1005,0)),"MISSING ITEM ID")</x:f>
        <x:v>Crafting components</x:v>
      </x:c>
      <x:c r="D324" s="4" t="str">
        <x:v>Primary</x:v>
      </x:c>
      <x:c r="E324" s="4" t="str">
        <x:f>IFERROR(INDEX(Items!$Z$6:$Z$1005,MATCH(A324,Items!$A$6:$A$1005,0)),"MISSING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IFERROR(INDEX(Items!$C$6:$C$1005,MATCH(A325,Items!$A$6:$A$1005,0)),"MISSING ITEM ID")</x:f>
        <x:v>Equipment</x:v>
      </x:c>
      <x:c r="D325" s="4" t="str">
        <x:v>Primary</x:v>
      </x:c>
      <x:c r="E325" s="4" t="str">
        <x:f>IFERROR(INDEX(Items!$Z$6:$Z$1005,MATCH(A325,Items!$A$6:$A$1005,0)),"MISSING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IFERROR(INDEX(Items!$C$6:$C$1005,MATCH(A326,Items!$A$6:$A$1005,0)),"MISSING ITEM ID")</x:f>
        <x:v>Equipment</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IFERROR(INDEX(Items!$C$6:$C$1005,MATCH(A327,Items!$A$6:$A$1005,0)),"MISSING ITEM ID")</x:f>
        <x:v>Equipment</x:v>
      </x:c>
      <x:c r="D327" s="4" t="str">
        <x:v>Primary</x:v>
      </x:c>
      <x:c r="E327" s="4" t="str">
        <x:f>IFERROR(INDEX(Items!$Z$6:$Z$1005,MATCH(A327,Items!$A$6:$A$1005,0)),"MISSING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IFERROR(INDEX(Items!$C$6:$C$1005,MATCH(A328,Items!$A$6:$A$1005,0)),"MISSING ITEM ID")</x:f>
        <x:v>Equipment</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IFERROR(INDEX(Items!$C$6:$C$1005,MATCH(A329,Items!$A$6:$A$1005,0)),"MISSING ITEM ID")</x:f>
        <x:v>Crafting components</x:v>
      </x:c>
      <x:c r="D329" s="4" t="str">
        <x:v>Primary</x:v>
      </x:c>
      <x:c r="E329" s="4" t="str">
        <x:f>IFERROR(INDEX(Items!$Z$6:$Z$1005,MATCH(A329,Items!$A$6:$A$1005,0)),"MISSING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IFERROR(INDEX(Items!$C$6:$C$1005,MATCH(A330,Items!$A$6:$A$1005,0)),"MISSING ITEM ID")</x:f>
        <x:v>Crafting components</x:v>
      </x:c>
      <x:c r="D330" s="4" t="str">
        <x:v>Primary</x:v>
      </x:c>
      <x:c r="E330" s="4" t="str">
        <x:f>IFERROR(INDEX(Items!$Z$6:$Z$1005,MATCH(A330,Items!$A$6:$A$1005,0)),"MISSING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IFERROR(INDEX(Items!$C$6:$C$1005,MATCH(A331,Items!$A$6:$A$1005,0)),"MISSING ITEM ID")</x:f>
        <x:v>Crafting components</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IFERROR(INDEX(Items!$C$6:$C$1005,MATCH(A332,Items!$A$6:$A$1005,0)),"MISSING ITEM ID")</x:f>
        <x:v>Crafting components</x:v>
      </x:c>
      <x:c r="D332" s="4" t="str">
        <x:v>Primary</x:v>
      </x:c>
      <x:c r="E332" s="4" t="str">
        <x:f>IFERROR(INDEX(Items!$Z$6:$Z$1005,MATCH(A332,Items!$A$6:$A$1005,0)),"MISSING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IFERROR(INDEX(Items!$C$6:$C$1005,MATCH(A333,Items!$A$6:$A$1005,0)),"MISSING ITEM ID")</x:f>
        <x:v>Crafting components</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IFERROR(INDEX(Items!$C$6:$C$1005,MATCH(A334,Items!$A$6:$A$1005,0)),"MISSING ITEM ID")</x:f>
        <x:v>Crafting components</x:v>
      </x:c>
      <x:c r="D334" s="4" t="str">
        <x:v>Primary</x:v>
      </x:c>
      <x:c r="E334" s="4" t="str">
        <x:f>IFERROR(INDEX(Items!$Z$6:$Z$1005,MATCH(A334,Items!$A$6:$A$1005,0)),"MISSING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IFERROR(INDEX(Items!$C$6:$C$1005,MATCH(A335,Items!$A$6:$A$1005,0)),"MISSING ITEM ID")</x:f>
        <x:v>Crafting components</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IFERROR(INDEX(Items!$C$6:$C$1005,MATCH(A336,Items!$A$6:$A$1005,0)),"MISSING ITEM ID")</x:f>
        <x:v>Crafting components</x:v>
      </x:c>
      <x:c r="D336" s="4" t="str">
        <x:v>Primary</x:v>
      </x:c>
      <x:c r="E336" s="4" t="str">
        <x:f>IFERROR(INDEX(Items!$Z$6:$Z$1005,MATCH(A336,Items!$A$6:$A$1005,0)),"MISSING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IFERROR(INDEX(Items!$C$6:$C$1005,MATCH(A337,Items!$A$6:$A$1005,0)),"MISSING ITEM ID")</x:f>
        <x:v>Crafting components</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IFERROR(INDEX(Items!$C$6:$C$1005,MATCH(A338,Items!$A$6:$A$1005,0)),"MISSING ITEM ID")</x:f>
        <x:v>Crafting components</x:v>
      </x:c>
      <x:c r="D338" s="4" t="str">
        <x:v>Primary</x:v>
      </x:c>
      <x:c r="E338" s="4" t="str">
        <x:f>IFERROR(INDEX(Items!$Z$6:$Z$1005,MATCH(A338,Items!$A$6:$A$1005,0)),"MISSING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IFERROR(INDEX(Items!$C$6:$C$1005,MATCH(A339,Items!$A$6:$A$1005,0)),"MISSING ITEM ID")</x:f>
        <x:v>Crafting components</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IFERROR(INDEX(Items!$C$6:$C$1005,MATCH(A340,Items!$A$6:$A$1005,0)),"MISSING ITEM ID")</x:f>
        <x:v>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IFERROR(INDEX(Items!$C$6:$C$1005,MATCH(A341,Items!$A$6:$A$1005,0)),"MISSING ITEM ID")</x:f>
        <x:v>Equipment</x:v>
      </x:c>
      <x:c r="D341" s="3" t="str">
        <x:v>Primary</x:v>
      </x:c>
      <x:c r="E341" s="3" t="str">
        <x:f>IFERROR(INDEX(Items!$Z$6:$Z$1005,MATCH(A341,Items!$A$6:$A$1005,0)),"MISSING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IFERROR(INDEX(Items!$C$6:$C$1005,MATCH(A342,Items!$A$6:$A$1005,0)),"MISSING ITEM ID")</x:f>
        <x:v>Equipment</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IFERROR(INDEX(Items!$C$6:$C$1005,MATCH(A343,Items!$A$6:$A$1005,0)),"MISSING ITEM ID")</x:f>
        <x:v>Equipment</x:v>
      </x:c>
      <x:c r="D343" s="3" t="str">
        <x:v>Primary</x:v>
      </x:c>
      <x:c r="E343" s="3" t="str">
        <x:f>IFERROR(INDEX(Items!$Z$6:$Z$1005,MATCH(A343,Items!$A$6:$A$1005,0)),"MISSING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IFERROR(INDEX(Items!$C$6:$C$1005,MATCH(A344,Items!$A$6:$A$1005,0)),"MISSING ITEM ID")</x:f>
        <x:v>Equipment</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IFERROR(INDEX(Items!$C$6:$C$1005,MATCH(A345,Items!$A$6:$A$1005,0)),"MISSING ITEM ID")</x:f>
        <x:v>Crafting components</x:v>
      </x:c>
      <x:c r="D345" s="3" t="str">
        <x:v>Primary</x:v>
      </x:c>
      <x:c r="E345" s="3" t="str">
        <x:f>IFERROR(INDEX(Items!$Z$6:$Z$1005,MATCH(A345,Items!$A$6:$A$1005,0)),"MISSING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IFERROR(INDEX(Items!$C$6:$C$1005,MATCH(A346,Items!$A$6:$A$1005,0)),"MISSING ITEM ID")</x:f>
        <x:v>Crafting components</x:v>
      </x:c>
      <x:c r="D346" s="3" t="str">
        <x:v>Primary</x:v>
      </x:c>
      <x:c r="E346" s="3" t="str">
        <x:f>IFERROR(INDEX(Items!$Z$6:$Z$1005,MATCH(A346,Items!$A$6:$A$1005,0)),"MISSING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IFERROR(INDEX(Items!$C$6:$C$1005,MATCH(A347,Items!$A$6:$A$1005,0)),"MISSING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IFERROR(INDEX(Items!$C$6:$C$1005,MATCH(A348,Items!$A$6:$A$1005,0)),"MISSING ITEM ID")</x:f>
        <x:v>Crafting components</x:v>
      </x:c>
      <x:c r="D348" s="3" t="str">
        <x:v>Primary</x:v>
      </x:c>
      <x:c r="E348" s="3" t="str">
        <x:f>IFERROR(INDEX(Items!$Z$6:$Z$1005,MATCH(A348,Items!$A$6:$A$1005,0)),"MISSING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IFERROR(INDEX(Items!$C$6:$C$1005,MATCH(A349,Items!$A$6:$A$1005,0)),"MISSING ITEM ID")</x:f>
        <x:v>Crafting components</x:v>
      </x:c>
      <x:c r="D349" s="3" t="str">
        <x:v>Primary</x:v>
      </x:c>
      <x:c r="E349" s="3" t="str">
        <x:f>IFERROR(INDEX(Items!$Z$6:$Z$1005,MATCH(A349,Items!$A$6:$A$1005,0)),"MISSING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IFERROR(INDEX(Items!$C$6:$C$1005,MATCH(A350,Items!$A$6:$A$1005,0)),"MISSING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IFERROR(INDEX(Items!$C$6:$C$1005,MATCH(A351,Items!$A$6:$A$1005,0)),"MISSING ITEM ID")</x:f>
        <x:v>Equipment</x:v>
      </x:c>
      <x:c r="D351" s="3" t="str">
        <x:v>Primary</x:v>
      </x:c>
      <x:c r="E351" s="3" t="str">
        <x:f>IFERROR(INDEX(Items!$Z$6:$Z$1005,MATCH(A351,Items!$A$6:$A$1005,0)),"MISSING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IFERROR(INDEX(Items!$C$6:$C$1005,MATCH(A352,Items!$A$6:$A$1005,0)),"MISSING ITEM ID")</x:f>
        <x:v>Equipment</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IFERROR(INDEX(Items!$C$6:$C$1005,MATCH(A353,Items!$A$6:$A$1005,0)),"MISSING ITEM ID")</x:f>
        <x:v>Crafting components</x:v>
      </x:c>
      <x:c r="D353" s="3" t="str">
        <x:v>Primary</x:v>
      </x:c>
      <x:c r="E353" s="3" t="str">
        <x:f>IFERROR(INDEX(Items!$Z$6:$Z$1005,MATCH(A353,Items!$A$6:$A$1005,0)),"MISSING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IFERROR(INDEX(Items!$C$6:$C$1005,MATCH(A354,Items!$A$6:$A$1005,0)),"MISSING ITEM ID")</x:f>
        <x:v>Crafting components</x:v>
      </x:c>
      <x:c r="D354" s="3" t="str">
        <x:v>Primary</x:v>
      </x:c>
      <x:c r="E354" s="3" t="str">
        <x:f>IFERROR(INDEX(Items!$Z$6:$Z$1005,MATCH(A354,Items!$A$6:$A$1005,0)),"MISSING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IFERROR(INDEX(Items!$C$6:$C$1005,MATCH(A355,Items!$A$6:$A$1005,0)),"MISSING ITEM ID")</x:f>
        <x:v>Crafting components</x:v>
      </x:c>
      <x:c r="D355" s="3" t="str">
        <x:v>Primary</x:v>
      </x:c>
      <x:c r="E355" s="3" t="str">
        <x:f>IFERROR(INDEX(Items!$Z$6:$Z$1005,MATCH(A355,Items!$A$6:$A$1005,0)),"MISSING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IFERROR(INDEX(Items!$C$6:$C$1005,MATCH(A356,Items!$A$6:$A$1005,0)),"MISSING ITEM ID")</x:f>
        <x:v>Crafting components</x:v>
      </x:c>
      <x:c r="D356" s="3" t="str">
        <x:v>Primary</x:v>
      </x:c>
      <x:c r="E356" s="3" t="str">
        <x:f>IFERROR(INDEX(Items!$Z$6:$Z$1005,MATCH(A356,Items!$A$6:$A$1005,0)),"MISSING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IFERROR(INDEX(Items!$C$6:$C$1005,MATCH(A357,Items!$A$6:$A$1005,0)),"MISSING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IFERROR(INDEX(Items!$C$6:$C$1005,MATCH(A358,Items!$A$6:$A$1005,0)),"MISSING ITEM ID")</x:f>
        <x:v>Crafting components</x:v>
      </x:c>
      <x:c r="D358" s="3" t="str">
        <x:v>Primary</x:v>
      </x:c>
      <x:c r="E358" s="3" t="str">
        <x:f>IFERROR(INDEX(Items!$Z$6:$Z$1005,MATCH(A358,Items!$A$6:$A$1005,0)),"MISSING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IFERROR(INDEX(Items!$C$6:$C$1005,MATCH(A359,Items!$A$6:$A$1005,0)),"MISSING ITEM ID")</x:f>
        <x:v>Crafting components</x:v>
      </x:c>
      <x:c r="D359" s="3" t="str">
        <x:v>Primary</x:v>
      </x:c>
      <x:c r="E359" s="3" t="str">
        <x:f>IFERROR(INDEX(Items!$Z$6:$Z$1005,MATCH(A359,Items!$A$6:$A$1005,0)),"MISSING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IFERROR(INDEX(Items!$C$6:$C$1005,MATCH(A360,Items!$A$6:$A$1005,0)),"MISSING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IFERROR(INDEX(Items!$C$6:$C$1005,MATCH(A361,Items!$A$6:$A$1005,0)),"MISSING ITEM ID")</x:f>
        <x:v>Crafting components</x:v>
      </x:c>
      <x:c r="D361" s="3" t="str">
        <x:v>Primary</x:v>
      </x:c>
      <x:c r="E361" s="3" t="str">
        <x:f>IFERROR(INDEX(Items!$Z$6:$Z$1005,MATCH(A361,Items!$A$6:$A$1005,0)),"MISSING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IFERROR(INDEX(Items!$C$6:$C$1005,MATCH(A362,Items!$A$6:$A$1005,0)),"MISSING ITEM ID")</x:f>
        <x:v>Crafting components</x:v>
      </x:c>
      <x:c r="D362" s="3" t="str">
        <x:v>Primary</x:v>
      </x:c>
      <x:c r="E362" s="3" t="str">
        <x:f>IFERROR(INDEX(Items!$Z$6:$Z$1005,MATCH(A362,Items!$A$6:$A$1005,0)),"MISSING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IFERROR(INDEX(Items!$C$6:$C$1005,MATCH(A363,Items!$A$6:$A$1005,0)),"MISSING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IFERROR(INDEX(Items!$C$6:$C$1005,MATCH(A364,Items!$A$6:$A$1005,0)),"MISSING ITEM ID")</x:f>
        <x:v>Field supplies</x:v>
      </x:c>
      <x:c r="D364" s="3" t="str">
        <x:v>Primary</x:v>
      </x:c>
      <x:c r="E364" s="3" t="str">
        <x:f>IFERROR(INDEX(Items!$Z$6:$Z$1005,MATCH(A364,Items!$A$6:$A$1005,0)),"MISSING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IFERROR(INDEX(Items!$C$6:$C$1005,MATCH(A365,Items!$A$6:$A$1005,0)),"MISSING ITEM ID")</x:f>
        <x:v>Equipment</x:v>
      </x:c>
      <x:c r="D365" s="3" t="str">
        <x:v>Primary</x:v>
      </x:c>
      <x:c r="E365" s="3" t="str">
        <x:f>IFERROR(INDEX(Items!$Z$6:$Z$1005,MATCH(A365,Items!$A$6:$A$1005,0)),"MISSING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IFERROR(INDEX(Items!$C$6:$C$1005,MATCH(A366,Items!$A$6:$A$1005,0)),"MISSING ITEM ID")</x:f>
        <x:v>Equipment</x:v>
      </x:c>
      <x:c r="D366" s="3" t="str">
        <x:v>Primary</x:v>
      </x:c>
      <x:c r="E366" s="3" t="str">
        <x:f>IFERROR(INDEX(Items!$Z$6:$Z$1005,MATCH(A366,Items!$A$6:$A$1005,0)),"MISSING ITEM ID")</x:f>
        <x:v>Protection</x:v>
      </x:c>
      <x:c r="F366" s="3" t="str">
        <x:v>Legger-specific proposal; intended use is not an implemented companion ability.</x:v>
      </x:c>
    </x:row>
    <x:row r="367" ht="65" customHeight="1">
      <x:c r="A367" s="3" t="str">
        <x:v>proposal.legger.joint_guard</x:v>
      </x:c>
      <x:c r="B367" s="3" t="str">
        <x:f>IFERROR(INDEX(Items!$B$6:$B$1005,MATCH(A367,Items!$A$6:$A$1005,0)),"MISSING ITEM ID")</x:f>
        <x:v>Articulated joint guard</x:v>
      </x:c>
      <x:c r="C367" s="3" t="str">
        <x:f>IFERROR(INDEX(Items!$C$6:$C$1005,MATCH(A367,Items!$A$6:$A$1005,0)),"MISSING ITEM ID")</x:f>
        <x:v>Equipment</x:v>
      </x:c>
      <x:c r="D367" s="3" t="str">
        <x:v>Primary</x:v>
      </x:c>
      <x:c r="E367" s="3" t="str">
        <x:f>IFERROR(INDEX(Items!$Z$6:$Z$1005,MATCH(A367,Items!$A$6:$A$1005,0)),"MISSING ITEM ID")</x:f>
        <x:v>Protection</x:v>
      </x:c>
      <x:c r="F367" s="3" t="str">
        <x:v>Legger-specific proposal; intended use is not an implemented companion ability.</x:v>
      </x:c>
    </x:row>
    <x:row r="368" ht="65" customHeight="1">
      <x:c r="A368" s="3" t="str">
        <x:v>proposal.legger.ceramic_backing</x:v>
      </x:c>
      <x:c r="B368" s="3" t="str">
        <x:f>IFERROR(INDEX(Items!$B$6:$B$1005,MATCH(A368,Items!$A$6:$A$1005,0)),"MISSING ITEM ID")</x:f>
        <x:v>Ceramic armor backing insert</x:v>
      </x:c>
      <x:c r="C368" s="3" t="str">
        <x:f>IFERROR(INDEX(Items!$C$6:$C$1005,MATCH(A368,Items!$A$6:$A$1005,0)),"MISSING ITEM ID")</x:f>
        <x:v>Equipment</x:v>
      </x:c>
      <x:c r="D368" s="3" t="str">
        <x:v>Primary</x:v>
      </x:c>
      <x:c r="E368" s="3" t="str">
        <x:f>IFERROR(INDEX(Items!$Z$6:$Z$1005,MATCH(A368,Items!$A$6:$A$1005,0)),"MISSING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IFERROR(INDEX(Items!$C$6:$C$1005,MATCH(A369,Items!$A$6:$A$1005,0)),"MISSING ITEM ID")</x:f>
        <x:v>Crafting components</x:v>
      </x:c>
      <x:c r="D369" s="3" t="str">
        <x:v>Primary</x:v>
      </x:c>
      <x:c r="E369" s="3" t="str">
        <x:f>IFERROR(INDEX(Items!$Z$6:$Z$1005,MATCH(A369,Items!$A$6:$A$1005,0)),"MISSING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IFERROR(INDEX(Items!$C$6:$C$1005,MATCH(A370,Items!$A$6:$A$1005,0)),"MISSING ITEM ID")</x:f>
        <x:v>Equipment</x:v>
      </x:c>
      <x:c r="D370" s="3" t="str">
        <x:v>Primary</x:v>
      </x:c>
      <x:c r="E370" s="3" t="str">
        <x:f>IFERROR(INDEX(Items!$Z$6:$Z$1005,MATCH(A370,Items!$A$6:$A$1005,0)),"MISSING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IFERROR(INDEX(Items!$C$6:$C$1005,MATCH(A371,Items!$A$6:$A$1005,0)),"MISSING ITEM ID")</x:f>
        <x:v>Crafting components</x:v>
      </x:c>
      <x:c r="D371" s="3" t="str">
        <x:v>Primary</x:v>
      </x:c>
      <x:c r="E371" s="3" t="str">
        <x:f>IFERROR(INDEX(Items!$Z$6:$Z$1005,MATCH(A371,Items!$A$6:$A$1005,0)),"MISSING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IFERROR(INDEX(Items!$C$6:$C$1005,MATCH(A372,Items!$A$6:$A$1005,0)),"MISSING ITEM ID")</x:f>
        <x:v>Equipment</x:v>
      </x:c>
      <x:c r="D372" s="3" t="str">
        <x:v>Primary</x:v>
      </x:c>
      <x:c r="E372" s="3" t="str">
        <x:f>IFERROR(INDEX(Items!$Z$6:$Z$1005,MATCH(A372,Items!$A$6:$A$1005,0)),"MISSING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IFERROR(INDEX(Items!$C$6:$C$1005,MATCH(A373,Items!$A$6:$A$1005,0)),"MISSING ITEM ID")</x:f>
        <x:v>Equipment</x:v>
      </x:c>
      <x:c r="D373" s="3" t="str">
        <x:v>Primary</x:v>
      </x:c>
      <x:c r="E373" s="3" t="str">
        <x:f>IFERROR(INDEX(Items!$Z$6:$Z$1005,MATCH(A373,Items!$A$6:$A$1005,0)),"MISSING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IFERROR(INDEX(Items!$C$6:$C$1005,MATCH(A374,Items!$A$6:$A$1005,0)),"MISSING ITEM ID")</x:f>
        <x:v>Equipment</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IFERROR(INDEX(Items!$C$6:$C$1005,MATCH(A375,Items!$A$6:$A$1005,0)),"MISSING ITEM ID")</x:f>
        <x:v>Equipment</x:v>
      </x:c>
      <x:c r="D375" s="3" t="str">
        <x:v>Primary</x:v>
      </x:c>
      <x:c r="E375" s="3" t="str">
        <x:f>IFERROR(INDEX(Items!$Z$6:$Z$1005,MATCH(A375,Items!$A$6:$A$1005,0)),"MISSING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IFERROR(INDEX(Items!$C$6:$C$1005,MATCH(A376,Items!$A$6:$A$1005,0)),"MISSING ITEM ID")</x:f>
        <x:v>Equipment</x:v>
      </x:c>
      <x:c r="D376" s="3" t="str">
        <x:v>Primary</x:v>
      </x:c>
      <x:c r="E376" s="3" t="str">
        <x:f>IFERROR(INDEX(Items!$Z$6:$Z$1005,MATCH(A376,Items!$A$6:$A$1005,0)),"MISSING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IFERROR(INDEX(Items!$C$6:$C$1005,MATCH(A377,Items!$A$6:$A$1005,0)),"MISSING ITEM ID")</x:f>
        <x:v>Crafting components</x:v>
      </x:c>
      <x:c r="D377" s="3" t="str">
        <x:v>Primary</x:v>
      </x:c>
      <x:c r="E377" s="3" t="str">
        <x:f>IFERROR(INDEX(Items!$Z$6:$Z$1005,MATCH(A377,Items!$A$6:$A$1005,0)),"MISSING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IFERROR(INDEX(Items!$C$6:$C$1005,MATCH(A378,Items!$A$6:$A$1005,0)),"MISSING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t="str">
        <x:v>proposal.legger.release_latch</x:v>
      </x:c>
      <x:c r="B379" s="3" t="str">
        <x:f>IFERROR(INDEX(Items!$B$6:$B$1005,MATCH(A379,Items!$A$6:$A$1005,0)),"MISSING ITEM ID")</x:f>
        <x:v>Cargo quick-release latch</x:v>
      </x:c>
      <x:c r="C379" s="3" t="str">
        <x:f>IFERROR(INDEX(Items!$C$6:$C$1005,MATCH(A379,Items!$A$6:$A$1005,0)),"MISSING ITEM ID")</x:f>
        <x:v>Crafting components</x:v>
      </x:c>
      <x:c r="D379" s="3" t="str">
        <x:v>Primary</x:v>
      </x:c>
      <x:c r="E379" s="3" t="str">
        <x:f>IFERROR(INDEX(Items!$Z$6:$Z$1005,MATCH(A379,Items!$A$6:$A$1005,0)),"MISSING ITEM ID")</x:f>
        <x:v>Equipment mounting</x:v>
      </x:c>
      <x:c r="F379" s="3" t="str">
        <x:v>Legger-specific proposal; intended use is not an implemented companion ability.</x:v>
      </x:c>
    </x:row>
    <x:row r="380" ht="65" customHeight="1">
      <x:c r="A380" s="3" t="str">
        <x:v>proposal.legger.board_bracket</x:v>
      </x:c>
      <x:c r="B380" s="3" t="str">
        <x:f>IFERROR(INDEX(Items!$B$6:$B$1005,MATCH(A380,Items!$A$6:$A$1005,0)),"MISSING ITEM ID")</x:f>
        <x:v>Legger dirtboard carrying bracket</x:v>
      </x:c>
      <x:c r="C380" s="3" t="str">
        <x:f>IFERROR(INDEX(Items!$C$6:$C$1005,MATCH(A380,Items!$A$6:$A$1005,0)),"MISSING ITEM ID")</x:f>
        <x:v>Equipment</x:v>
      </x:c>
      <x:c r="D380" s="3" t="str">
        <x:v>Primary</x:v>
      </x:c>
      <x:c r="E380" s="3" t="str">
        <x:f>IFERROR(INDEX(Items!$Z$6:$Z$1005,MATCH(A380,Items!$A$6:$A$1005,0)),"MISSING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IFERROR(INDEX(Items!$C$6:$C$1005,MATCH(A381,Items!$A$6:$A$1005,0)),"MISSING ITEM ID")</x:f>
        <x:v>Equipment</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IFERROR(INDEX(Items!$C$6:$C$1005,MATCH(A382,Items!$A$6:$A$1005,0)),"MISSING ITEM ID")</x:f>
        <x:v>Crafting components</x:v>
      </x:c>
      <x:c r="D382" s="3" t="str">
        <x:v>Primary</x:v>
      </x:c>
      <x:c r="E382" s="3" t="str">
        <x:f>IFERROR(INDEX(Items!$Z$6:$Z$1005,MATCH(A382,Items!$A$6:$A$1005,0)),"MISSING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IFERROR(INDEX(Items!$C$6:$C$1005,MATCH(A383,Items!$A$6:$A$1005,0)),"MISSING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IFERROR(INDEX(Items!$C$6:$C$1005,MATCH(A384,Items!$A$6:$A$1005,0)),"MISSING ITEM ID")</x:f>
        <x:v>Crafting components</x:v>
      </x:c>
      <x:c r="D384" s="3" t="str">
        <x:v>Primary</x:v>
      </x:c>
      <x:c r="E384" s="3" t="str">
        <x:f>IFERROR(INDEX(Items!$Z$6:$Z$1005,MATCH(A384,Items!$A$6:$A$1005,0)),"MISSING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IFERROR(INDEX(Items!$C$6:$C$1005,MATCH(A385,Items!$A$6:$A$1005,0)),"MISSING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IFERROR(INDEX(Items!$C$6:$C$1005,MATCH(A386,Items!$A$6:$A$1005,0)),"MISSING ITEM ID")</x:f>
        <x:v>Crafting components</x:v>
      </x:c>
      <x:c r="D386" s="3" t="str">
        <x:v>Primary</x:v>
      </x:c>
      <x:c r="E386" s="3" t="str">
        <x:f>IFERROR(INDEX(Items!$Z$6:$Z$1005,MATCH(A386,Items!$A$6:$A$1005,0)),"MISSING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IFERROR(INDEX(Items!$C$6:$C$1005,MATCH(A387,Items!$A$6:$A$1005,0)),"MISSING ITEM ID")</x:f>
        <x:v>Crafting components</x:v>
      </x:c>
      <x:c r="D387" s="3" t="str">
        <x:v>Primary</x:v>
      </x:c>
      <x:c r="E387" s="3" t="str">
        <x:f>IFERROR(INDEX(Items!$Z$6:$Z$1005,MATCH(A387,Items!$A$6:$A$1005,0)),"MISSING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IFERROR(INDEX(Items!$C$6:$C$1005,MATCH(A388,Items!$A$6:$A$1005,0)),"MISSING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IFERROR(INDEX(Items!$C$6:$C$1005,MATCH(A389,Items!$A$6:$A$1005,0)),"MISSING ITEM ID")</x:f>
        <x:v>Crafting components</x:v>
      </x:c>
      <x:c r="D389" s="3" t="str">
        <x:v>Primary</x:v>
      </x:c>
      <x:c r="E389" s="3" t="str">
        <x:f>IFERROR(INDEX(Items!$Z$6:$Z$1005,MATCH(A389,Items!$A$6:$A$1005,0)),"MISSING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IFERROR(INDEX(Items!$C$6:$C$1005,MATCH(A390,Items!$A$6:$A$1005,0)),"MISSING ITEM ID")</x:f>
        <x:v>Crafting components</x:v>
      </x:c>
      <x:c r="D390" s="3" t="str">
        <x:v>Primary</x:v>
      </x:c>
      <x:c r="E390" s="3" t="str">
        <x:f>IFERROR(INDEX(Items!$Z$6:$Z$1005,MATCH(A390,Items!$A$6:$A$1005,0)),"MISSING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IFERROR(INDEX(Items!$C$6:$C$1005,MATCH(A391,Items!$A$6:$A$1005,0)),"MISSING ITEM ID")</x:f>
        <x:v>Crafting components</x:v>
      </x:c>
      <x:c r="D391" s="3" t="str">
        <x:v>Primary</x:v>
      </x:c>
      <x:c r="E391" s="3" t="str">
        <x:f>IFERROR(INDEX(Items!$Z$6:$Z$1005,MATCH(A391,Items!$A$6:$A$1005,0)),"MISSING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IFERROR(INDEX(Items!$C$6:$C$1005,MATCH(A392,Items!$A$6:$A$1005,0)),"MISSING ITEM ID")</x:f>
        <x:v>Crafting components</x:v>
      </x:c>
      <x:c r="D392" s="3" t="str">
        <x:v>Primary</x:v>
      </x:c>
      <x:c r="E392" s="3" t="str">
        <x:f>IFERROR(INDEX(Items!$Z$6:$Z$1005,MATCH(A392,Items!$A$6:$A$1005,0)),"MISSING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IFERROR(INDEX(Items!$C$6:$C$1005,MATCH(A393,Items!$A$6:$A$1005,0)),"MISSING ITEM ID")</x:f>
        <x:v>Crafting components</x:v>
      </x:c>
      <x:c r="D393" s="3" t="str">
        <x:v>Primary</x:v>
      </x:c>
      <x:c r="E393" s="3" t="str">
        <x:f>IFERROR(INDEX(Items!$Z$6:$Z$1005,MATCH(A393,Items!$A$6:$A$1005,0)),"MISSING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IFERROR(INDEX(Items!$C$6:$C$1005,MATCH(A394,Items!$A$6:$A$1005,0)),"MISSING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IFERROR(INDEX(Items!$C$6:$C$1005,MATCH(A395,Items!$A$6:$A$1005,0)),"MISSING ITEM ID")</x:f>
        <x:v>Crafting components</x:v>
      </x:c>
      <x:c r="D395" s="3" t="str">
        <x:v>Primary</x:v>
      </x:c>
      <x:c r="E395" s="3" t="str">
        <x:f>IFERROR(INDEX(Items!$Z$6:$Z$1005,MATCH(A395,Items!$A$6:$A$1005,0)),"MISSING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IFERROR(INDEX(Items!$C$6:$C$1005,MATCH(A396,Items!$A$6:$A$1005,0)),"MISSING ITEM ID")</x:f>
        <x:v>Crafting components</x:v>
      </x:c>
      <x:c r="D396" s="3" t="str">
        <x:v>Primary</x:v>
      </x:c>
      <x:c r="E396" s="3" t="str">
        <x:f>IFERROR(INDEX(Items!$Z$6:$Z$1005,MATCH(A396,Items!$A$6:$A$1005,0)),"MISSING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IFERROR(INDEX(Items!$C$6:$C$1005,MATCH(A397,Items!$A$6:$A$1005,0)),"MISSING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IFERROR(INDEX(Items!$C$6:$C$1005,MATCH(A398,Items!$A$6:$A$1005,0)),"MISSING ITEM ID")</x:f>
        <x:v>Crafting components</x:v>
      </x:c>
      <x:c r="D398" s="3" t="str">
        <x:v>Primary</x:v>
      </x:c>
      <x:c r="E398" s="3" t="str">
        <x:f>IFERROR(INDEX(Items!$Z$6:$Z$1005,MATCH(A398,Items!$A$6:$A$1005,0)),"MISSING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IFERROR(INDEX(Items!$C$6:$C$1005,MATCH(A399,Items!$A$6:$A$1005,0)),"MISSING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IFERROR(INDEX(Items!$C$6:$C$1005,MATCH(A400,Items!$A$6:$A$1005,0)),"MISSING ITEM ID")</x:f>
        <x:v>Equipment</x:v>
      </x:c>
      <x:c r="D400" s="3" t="str">
        <x:v>Primary</x:v>
      </x:c>
      <x:c r="E400" s="3" t="str">
        <x:f>IFERROR(INDEX(Items!$Z$6:$Z$1005,MATCH(A400,Items!$A$6:$A$1005,0)),"MISSING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IFERROR(INDEX(Items!$C$6:$C$1005,MATCH(A401,Items!$A$6:$A$1005,0)),"MISSING ITEM ID")</x:f>
        <x:v>Equipment</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IFERROR(INDEX(Items!$C$6:$C$1005,MATCH(A402,Items!$A$6:$A$1005,0)),"MISSING ITEM ID")</x:f>
        <x:v>Crafting components</x:v>
      </x:c>
      <x:c r="D402" s="3" t="str">
        <x:v>Primary</x:v>
      </x:c>
      <x:c r="E402" s="3" t="str">
        <x:f>IFERROR(INDEX(Items!$Z$6:$Z$1005,MATCH(A402,Items!$A$6:$A$1005,0)),"MISSING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IFERROR(INDEX(Items!$C$6:$C$1005,MATCH(A403,Items!$A$6:$A$1005,0)),"MISSING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IFERROR(INDEX(Items!$C$6:$C$1005,MATCH(A404,Items!$A$6:$A$1005,0)),"MISSING ITEM ID")</x:f>
        <x:v>Equipment</x:v>
      </x:c>
      <x:c r="D404" s="3" t="str">
        <x:v>Primary</x:v>
      </x:c>
      <x:c r="E404" s="3" t="str">
        <x:f>IFERROR(INDEX(Items!$Z$6:$Z$1005,MATCH(A404,Items!$A$6:$A$1005,0)),"MISSING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IFERROR(INDEX(Items!$C$6:$C$1005,MATCH(A405,Items!$A$6:$A$1005,0)),"MISSING ITEM ID")</x:f>
        <x:v>Equipment</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IFERROR(INDEX(Items!$C$6:$C$1005,MATCH(A406,Items!$A$6:$A$1005,0)),"MISSING ITEM ID")</x:f>
        <x:v>Equipment</x:v>
      </x:c>
      <x:c r="D406" s="3" t="str">
        <x:v>Primary</x:v>
      </x:c>
      <x:c r="E406" s="3" t="str">
        <x:f>IFERROR(INDEX(Items!$Z$6:$Z$1005,MATCH(A406,Items!$A$6:$A$1005,0)),"MISSING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IFERROR(INDEX(Items!$C$6:$C$1005,MATCH(A407,Items!$A$6:$A$1005,0)),"MISSING ITEM ID")</x:f>
        <x:v>Equipment</x:v>
      </x:c>
      <x:c r="D407" s="3" t="str">
        <x:v>Primary</x:v>
      </x:c>
      <x:c r="E407" s="3" t="str">
        <x:f>IFERROR(INDEX(Items!$Z$6:$Z$1005,MATCH(A407,Items!$A$6:$A$1005,0)),"MISSING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IFERROR(INDEX(Items!$C$6:$C$1005,MATCH(A408,Items!$A$6:$A$1005,0)),"MISSING ITEM ID")</x:f>
        <x:v>Equipment</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IFERROR(INDEX(Items!$C$6:$C$1005,MATCH(A409,Items!$A$6:$A$1005,0)),"MISSING ITEM ID")</x:f>
        <x:v>Equipment</x:v>
      </x:c>
      <x:c r="D409" s="3" t="str">
        <x:v>Primary</x:v>
      </x:c>
      <x:c r="E409" s="3" t="str">
        <x:f>IFERROR(INDEX(Items!$Z$6:$Z$1005,MATCH(A409,Items!$A$6:$A$1005,0)),"MISSING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IFERROR(INDEX(Items!$C$6:$C$1005,MATCH(A410,Items!$A$6:$A$1005,0)),"MISSING ITEM ID")</x:f>
        <x:v>Equipment</x:v>
      </x:c>
      <x:c r="D410" s="3" t="str">
        <x:v>Primary</x:v>
      </x:c>
      <x:c r="E410" s="3" t="str">
        <x:f>IFERROR(INDEX(Items!$Z$6:$Z$1005,MATCH(A410,Items!$A$6:$A$1005,0)),"MISSING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IFERROR(INDEX(Items!$C$6:$C$1005,MATCH(A411,Items!$A$6:$A$1005,0)),"MISSING ITEM ID")</x:f>
        <x:v>Equipment</x:v>
      </x:c>
      <x:c r="D411" s="3" t="str">
        <x:v>Primary</x:v>
      </x:c>
      <x:c r="E411" s="3" t="str">
        <x:f>IFERROR(INDEX(Items!$Z$6:$Z$1005,MATCH(A411,Items!$A$6:$A$1005,0)),"MISSING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IFERROR(INDEX(Items!$C$6:$C$1005,MATCH(A412,Items!$A$6:$A$1005,0)),"MISSING ITEM ID")</x:f>
        <x:v>Equipment</x:v>
      </x:c>
      <x:c r="D412" s="3" t="str">
        <x:v>Primary</x:v>
      </x:c>
      <x:c r="E412" s="3" t="str">
        <x:f>IFERROR(INDEX(Items!$Z$6:$Z$1005,MATCH(A412,Items!$A$6:$A$1005,0)),"MISSING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IFERROR(INDEX(Items!$C$6:$C$1005,MATCH(A413,Items!$A$6:$A$1005,0)),"MISSING ITEM ID")</x:f>
        <x:v>Equipment</x:v>
      </x:c>
      <x:c r="D413" s="3" t="str">
        <x:v>Primary</x:v>
      </x:c>
      <x:c r="E413" s="3" t="str">
        <x:f>IFERROR(INDEX(Items!$Z$6:$Z$1005,MATCH(A413,Items!$A$6:$A$1005,0)),"MISSING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IFERROR(INDEX(Items!$C$6:$C$1005,MATCH(A414,Items!$A$6:$A$1005,0)),"MISSING ITEM ID")</x:f>
        <x:v>Equipment</x:v>
      </x:c>
      <x:c r="D414" s="3" t="str">
        <x:v>Primary</x:v>
      </x:c>
      <x:c r="E414" s="3" t="str">
        <x:f>IFERROR(INDEX(Items!$Z$6:$Z$1005,MATCH(A414,Items!$A$6:$A$1005,0)),"MISSING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IFERROR(INDEX(Items!$C$6:$C$1005,MATCH(A415,Items!$A$6:$A$1005,0)),"MISSING ITEM ID")</x:f>
        <x:v>Crafting components</x:v>
      </x:c>
      <x:c r="D415" s="3" t="str">
        <x:v>Primary</x:v>
      </x:c>
      <x:c r="E415" s="3" t="str">
        <x:f>IFERROR(INDEX(Items!$Z$6:$Z$1005,MATCH(A415,Items!$A$6:$A$1005,0)),"MISSING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IFERROR(INDEX(Items!$C$6:$C$1005,MATCH(A416,Items!$A$6:$A$1005,0)),"MISSING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IFERROR(INDEX(Items!$C$6:$C$1005,MATCH(A417,Items!$A$6:$A$1005,0)),"MISSING ITEM ID")</x:f>
        <x:v>Crafting components</x:v>
      </x:c>
      <x:c r="D417" s="3" t="str">
        <x:v>Primary</x:v>
      </x:c>
      <x:c r="E417" s="3" t="str">
        <x:f>IFERROR(INDEX(Items!$Z$6:$Z$1005,MATCH(A417,Items!$A$6:$A$1005,0)),"MISSING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IFERROR(INDEX(Items!$C$6:$C$1005,MATCH(A418,Items!$A$6:$A$1005,0)),"MISSING ITEM ID")</x:f>
        <x:v>Crafting components</x:v>
      </x:c>
      <x:c r="D418" s="3" t="str">
        <x:v>Primary</x:v>
      </x:c>
      <x:c r="E418" s="3" t="str">
        <x:f>IFERROR(INDEX(Items!$Z$6:$Z$1005,MATCH(A418,Items!$A$6:$A$1005,0)),"MISSING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IFERROR(INDEX(Items!$C$6:$C$1005,MATCH(A419,Items!$A$6:$A$1005,0)),"MISSING ITEM ID")</x:f>
        <x:v>Crafting components</x:v>
      </x:c>
      <x:c r="D419" s="3" t="str">
        <x:v>Primary</x:v>
      </x:c>
      <x:c r="E419" s="3" t="str">
        <x:f>IFERROR(INDEX(Items!$Z$6:$Z$1005,MATCH(A419,Items!$A$6:$A$1005,0)),"MISSING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IFERROR(INDEX(Items!$C$6:$C$1005,MATCH(A420,Items!$A$6:$A$1005,0)),"MISSING ITEM ID")</x:f>
        <x:v>Crafting components</x:v>
      </x:c>
      <x:c r="D420" s="3" t="str">
        <x:v>Primary</x:v>
      </x:c>
      <x:c r="E420" s="3" t="str">
        <x:f>IFERROR(INDEX(Items!$Z$6:$Z$1005,MATCH(A420,Items!$A$6:$A$1005,0)),"MISSING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IFERROR(INDEX(Items!$C$6:$C$1005,MATCH(A421,Items!$A$6:$A$1005,0)),"MISSING ITEM ID")</x:f>
        <x:v>Equipment</x:v>
      </x:c>
      <x:c r="D421" s="3" t="str">
        <x:v>Primary</x:v>
      </x:c>
      <x:c r="E421" s="3" t="str">
        <x:f>IFERROR(INDEX(Items!$Z$6:$Z$1005,MATCH(A421,Items!$A$6:$A$1005,0)),"MISSING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IFERROR(INDEX(Items!$C$6:$C$1005,MATCH(A422,Items!$A$6:$A$1005,0)),"MISSING ITEM ID")</x:f>
        <x:v>Crafting components</x:v>
      </x:c>
      <x:c r="D422" s="3" t="str">
        <x:v>Primary</x:v>
      </x:c>
      <x:c r="E422" s="3" t="str">
        <x:f>IFERROR(INDEX(Items!$Z$6:$Z$1005,MATCH(A422,Items!$A$6:$A$1005,0)),"MISSING ITEM ID")</x:f>
        <x:v>Equipment mounting</x:v>
      </x:c>
      <x:c r="F422" s="3" t="str">
        <x:v>Legger-specific proposal; intended use is not an implemented companion ability.</x:v>
      </x:c>
    </x:row>
  </x:sheetData>
  <x:dataValidations count="3">
    <x:dataValidation type="list" sqref="A6:A1005">
      <x:formula1>'Items'!$A$6:$A$304</x:formula1>
    </x:dataValidation>
    <x:dataValidation type="list" sqref="D6:D1005">
      <x:formula1>"Primary,Secondary"</x:formula1>
    </x:dataValidation>
    <x:dataValidation type="list" sqref="E6:E1005">
      <x:formula1>'Taxonomy'!$B$56:$B$128</x:formula1>
    </x:dataValidation>
  </x:dataValidations>
  <x:pageMargins left="0.7" right="0.7" top="0.75" bottom="0.75" header="0.3" footer="0.3"/>
  <x:tableParts count="1">
    <x:tablePart xmlns:r="http://schemas.openxmlformats.org/officeDocument/2006/relationships" r:id="R5b4b2846244f42bc"/>
  </x:tableParts>
</x:worksheet>
</file>