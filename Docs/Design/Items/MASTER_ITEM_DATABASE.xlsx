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d5f9db2ac648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s" sheetId="1" r:id="R1070c4c2006347a9"/>
    <x:sheet xmlns:r="http://schemas.openxmlformats.org/officeDocument/2006/relationships" name="Variants" sheetId="2" r:id="R1d47a14dec464e0a"/>
    <x:sheet xmlns:r="http://schemas.openxmlformats.org/officeDocument/2006/relationships" name="Recipes" sheetId="3" r:id="R3813aefb25374697"/>
    <x:sheet xmlns:r="http://schemas.openxmlformats.org/officeDocument/2006/relationships" name="Categories" sheetId="4" r:id="Rffeed6dadb2440e6"/>
    <x:sheet xmlns:r="http://schemas.openxmlformats.org/officeDocument/2006/relationships" name="Guide" sheetId="5" r:id="R83d420ae1c534eb6"/>
    <x:sheet xmlns:r="http://schemas.openxmlformats.org/officeDocument/2006/relationships" name="Resource chains" sheetId="6" r:id="Re14d55c450e142e1"/>
    <x:sheet xmlns:r="http://schemas.openxmlformats.org/officeDocument/2006/relationships" name="Creature concepts" sheetId="7" r:id="R7e45d91ea4854d5f"/>
    <x:sheet xmlns:r="http://schemas.openxmlformats.org/officeDocument/2006/relationships" name="Chemical concepts" sheetId="8" r:id="R20f316522ad94f4d"/>
    <x:sheet xmlns:r="http://schemas.openxmlformats.org/officeDocument/2006/relationships" name="Container concepts" sheetId="9" r:id="R56aa3d68dbaf419b"/>
    <x:sheet xmlns:r="http://schemas.openxmlformats.org/officeDocument/2006/relationships" name="Equipment concepts" sheetId="10" r:id="R76a813cfe5ca43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5">
    <x:font>
      <x:sz val="11"/>
      <x:name val="Carlito"/>
    </x:font>
    <x:font>
      <x:sz val="10"/>
      <x:color rgb="FF252C32"/>
      <x:name val="Arial"/>
    </x:font>
    <x:font>
      <x:b/>
      <x:sz val="14"/>
      <x:color rgb="FF7A3F27"/>
      <x:name val="Arial"/>
    </x:font>
    <x:font>
      <x:b/>
      <x:sz val="10"/>
      <x:color rgb="FFFFFFFF"/>
      <x:name val="Arial"/>
    </x:font>
    <x:font>
      <x:b/>
      <x:sz val="10"/>
      <x:color rgb="FF423B35"/>
      <x:name val="Arial"/>
    </x:font>
  </x:fonts>
  <x:fills count="26">
    <x:fill>
      <x:patternFill patternType="none"/>
    </x:fill>
    <x:fill>
      <x:patternFill patternType="gray125"/>
    </x:fill>
    <x:fill>
      <x:patternFill patternType="solid">
        <x:fgColor rgb="FF423B35"/>
      </x:patternFill>
    </x:fill>
    <x:fill>
      <x:patternFill patternType="solid">
        <x:fgColor rgb="FFF4F0E9"/>
      </x:patternFill>
    </x:fill>
    <x:fill>
      <x:patternFill patternType="solid">
        <x:fgColor rgb="FFFFFFFF"/>
      </x:patternFill>
    </x:fill>
    <x:fill>
      <x:patternFill patternType="solid">
        <x:fgColor rgb="FFFFF5D9"/>
      </x:patternFill>
    </x:fill>
    <x:fill>
      <x:patternFill patternType="solid">
        <x:fgColor rgb="FFFFF5D9"/>
      </x:patternFill>
    </x:fill>
    <x:fill>
      <x:patternFill patternType="solid">
        <x:fgColor rgb="FFFFFFFF"/>
      </x:patternFill>
    </x:fill>
    <x:fill>
      <x:patternFill patternType="solid">
        <x:fgColor rgb="FF423B35"/>
      </x:patternFill>
    </x:fill>
    <x:fill>
      <x:patternFill patternType="solid">
        <x:fgColor rgb="FFFFF5D9"/>
      </x:patternFill>
    </x:fill>
    <x:fill>
      <x:patternFill patternType="solid">
        <x:fgColor rgb="FFFFFFFF"/>
      </x:patternFill>
    </x:fill>
    <x:fill>
      <x:patternFill patternType="solid">
        <x:fgColor rgb="FFFFF5D9"/>
      </x:patternFill>
    </x:fill>
    <x:fill>
      <x:patternFill patternType="solid">
        <x:fgColor rgb="FFFFFFFF"/>
      </x:patternFill>
    </x:fill>
    <x:fill>
      <x:patternFill patternType="solid">
        <x:fgColor rgb="FFFFF5D9"/>
      </x:patternFill>
    </x:fill>
    <x:fill>
      <x:patternFill patternType="solid">
        <x:fgColor rgb="FFFFFFFF"/>
      </x:patternFill>
    </x:fill>
    <x:fill>
      <x:patternFill patternType="solid">
        <x:fgColor rgb="FFFFF5D9"/>
      </x:patternFill>
    </x:fill>
    <x:fill>
      <x:patternFill patternType="solid">
        <x:fgColor rgb="FFFFFFFF"/>
      </x:patternFill>
    </x:fill>
    <x:fill>
      <x:patternFill patternType="solid">
        <x:fgColor rgb="FF423B35"/>
      </x:patternFill>
    </x:fill>
    <x:fill>
      <x:patternFill patternType="solid">
        <x:fgColor rgb="FFFFF5D9"/>
      </x:patternFill>
    </x:fill>
    <x:fill>
      <x:patternFill patternType="solid">
        <x:fgColor rgb="FFFFFFFF"/>
      </x:patternFill>
    </x:fill>
    <x:fill>
      <x:patternFill patternType="solid">
        <x:fgColor rgb="FF423B35"/>
      </x:patternFill>
    </x:fill>
    <x:fill>
      <x:patternFill patternType="solid">
        <x:fgColor rgb="FFFFF5D9"/>
      </x:patternFill>
    </x:fill>
    <x:fill>
      <x:patternFill patternType="solid">
        <x:fgColor rgb="FFFFFFFF"/>
      </x:patternFill>
    </x:fill>
    <x:fill>
      <x:patternFill patternType="solid">
        <x:fgColor rgb="FF423B35"/>
      </x:patternFill>
    </x:fill>
    <x:fill>
      <x:patternFill patternType="solid">
        <x:fgColor rgb="FFF3E9D2"/>
      </x:patternFill>
    </x:fill>
    <x:fill>
      <x:patternFill patternType="solid">
        <x:fgColor rgb="FFF3E9D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200" fontId="1" fillId="3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3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vertical="top" wrapText="1"/>
    </x:xf>
    <x:xf numFmtId="0" fontId="1" fillId="9" borderId="0" xfId="0" applyNumberFormat="1" applyFont="1" applyFill="1" applyBorder="1" applyAlignment="1">
      <x:alignment vertical="top" wrapText="1"/>
    </x:xf>
    <x:xf numFmtId="0" fontId="1" fillId="10" borderId="0" xfId="0" applyNumberFormat="1" applyFont="1" applyFill="1" applyBorder="1" applyAlignment="1">
      <x:alignment vertical="top" wrapText="1"/>
    </x:xf>
    <x:xf numFmtId="0" fontId="1" fillId="11" borderId="0" xfId="0" applyNumberFormat="1" applyFont="1" applyFill="1" applyBorder="1" applyAlignment="1">
      <x:alignment vertical="top" wrapText="1"/>
    </x:xf>
    <x:xf numFmtId="0" fontId="1" fillId="12" borderId="0" xfId="0" applyNumberFormat="1" applyFont="1" applyFill="1" applyBorder="1" applyAlignment="1">
      <x:alignment vertical="top" wrapText="1"/>
    </x:xf>
    <x:xf numFmtId="0" fontId="1" fillId="13" borderId="0" xfId="0" applyNumberFormat="1" applyFont="1" applyFill="1" applyBorder="1" applyAlignment="1">
      <x:alignment vertical="top" wrapText="1"/>
    </x:xf>
    <x:xf numFmtId="0" fontId="1" fillId="14" borderId="0" xfId="0" applyNumberFormat="1" applyFont="1" applyFill="1" applyBorder="1" applyAlignment="1">
      <x:alignment vertical="top" wrapText="1"/>
    </x:xf>
    <x:xf numFmtId="0" fontId="1" fillId="15" borderId="0" xfId="0" applyNumberFormat="1" applyFont="1" applyFill="1" applyBorder="1" applyAlignment="1">
      <x:alignment vertical="top" wrapText="1"/>
    </x:xf>
    <x:xf numFmtId="0" fontId="1" fillId="16" borderId="0" xfId="0" applyNumberFormat="1" applyFont="1" applyFill="1" applyBorder="1" applyAlignment="1">
      <x:alignment vertical="top" wrapText="1"/>
    </x:xf>
    <x:xf numFmtId="0" fontId="1" fillId="17" borderId="0" xfId="0" applyNumberFormat="1" applyFont="1" applyFill="1" applyBorder="1" applyAlignment="1">
      <x:alignment vertical="top" wrapText="1"/>
    </x:xf>
    <x:xf numFmtId="0" fontId="3" fillId="17" borderId="0" xfId="0" applyNumberFormat="1" applyFont="1" applyFill="1" applyBorder="1" applyAlignment="1">
      <x:alignment vertical="top" wrapText="1"/>
    </x:xf>
    <x:xf numFmtId="0" fontId="1" fillId="18" borderId="0" xfId="0" applyNumberFormat="1" applyFont="1" applyFill="1" applyBorder="1" applyAlignment="1">
      <x:alignment vertical="top" wrapText="1"/>
    </x:xf>
    <x:xf numFmtId="0" fontId="1" fillId="19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1" fillId="20" borderId="0" xfId="0" applyNumberFormat="1" applyFont="1" applyFill="1" applyBorder="1" applyAlignment="1">
      <x:alignment vertical="top" wrapText="1"/>
    </x:xf>
    <x:xf numFmtId="0" fontId="3" fillId="2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1" borderId="0" xfId="0" applyNumberFormat="1" applyFont="1" applyFill="1" applyBorder="1" applyAlignment="1">
      <x:alignment vertical="top" wrapText="1"/>
    </x:xf>
    <x:xf numFmtId="0" fontId="1" fillId="22" borderId="0" xfId="0" applyNumberFormat="1" applyFont="1" applyFill="1" applyBorder="1" applyAlignment="1">
      <x:alignment vertical="top" wrapText="1"/>
    </x:xf>
    <x:xf numFmtId="0" fontId="1" fillId="23" borderId="0" xfId="0" applyNumberFormat="1" applyFont="1" applyFill="1" applyBorder="1" applyAlignment="1">
      <x:alignment vertical="top" wrapText="1"/>
    </x:xf>
    <x:xf numFmtId="0" fontId="3" fillId="23" borderId="0" xfId="0" applyNumberFormat="1" applyFont="1" applyFill="1" applyBorder="1" applyAlignment="1">
      <x:alignment vertical="top" wrapText="1"/>
    </x:xf>
    <x:xf numFmtId="0" fontId="1" fillId="24" borderId="0" xfId="0" applyNumberFormat="1" applyFont="1" applyFill="1" applyBorder="1" applyAlignment="1">
      <x:alignment vertical="top" wrapText="1"/>
    </x:xf>
    <x:xf numFmtId="0" fontId="1" fillId="25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color rgb="FF8A5B22"/>
      </x:font>
    </x:dxf>
    <x:dxf>
      <x:font>
        <x:color rgb="FF87521B"/>
      </x:font>
      <x:fill>
        <x:patternFill>
          <x:bgColor rgb="FFFFF0D9"/>
        </x:patternFill>
      </x:fill>
    </x:dxf>
    <x:dxf>
      <x:font>
        <x:color rgb="FF87521B"/>
      </x:font>
      <x:fill>
        <x:patternFill>
          <x:bgColor rgb="FFFFF0D9"/>
        </x:patternFill>
      </x:fill>
    </x:dxf>
    <x:dxf>
      <x:font>
        <x:color rgb="FF87521B"/>
      </x:font>
      <x:fill>
        <x:patternFill>
          <x:bgColor rgb="FFFF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fe50288d6d4a49" /><Relationship Type="http://schemas.openxmlformats.org/officeDocument/2006/relationships/theme" Target="/xl/theme/theme1.xml" Id="R89ede3bf10d544ac" /><Relationship Type="http://schemas.microsoft.com/office/2022/11/relationships/FeaturePropertyBag" Target="/xl/featurePropertyBag/featurePropertyBag.xml" Id="Rd224537b73344ab7" /><Relationship Type="http://schemas.openxmlformats.org/officeDocument/2006/relationships/sharedStrings" Target="/xl/sharedStrings.xml" Id="R0e0712257ba3479e" /><Relationship Type="http://schemas.openxmlformats.org/officeDocument/2006/relationships/worksheet" Target="/xl/worksheets/sheet1.xml" Id="R1070c4c2006347a9" /><Relationship Type="http://schemas.openxmlformats.org/officeDocument/2006/relationships/worksheet" Target="/xl/worksheets/sheet2.xml" Id="R1d47a14dec464e0a" /><Relationship Type="http://schemas.openxmlformats.org/officeDocument/2006/relationships/worksheet" Target="/xl/worksheets/sheet3.xml" Id="R3813aefb25374697" /><Relationship Type="http://schemas.openxmlformats.org/officeDocument/2006/relationships/worksheet" Target="/xl/worksheets/sheet4.xml" Id="Rffeed6dadb2440e6" /><Relationship Type="http://schemas.openxmlformats.org/officeDocument/2006/relationships/worksheet" Target="/xl/worksheets/sheet5.xml" Id="R83d420ae1c534eb6" /><Relationship Type="http://schemas.openxmlformats.org/officeDocument/2006/relationships/worksheet" Target="/xl/worksheets/sheet6.xml" Id="Re14d55c450e142e1" /><Relationship Type="http://schemas.openxmlformats.org/officeDocument/2006/relationships/worksheet" Target="/xl/worksheets/sheet7.xml" Id="R7e45d91ea4854d5f" /><Relationship Type="http://schemas.openxmlformats.org/officeDocument/2006/relationships/worksheet" Target="/xl/worksheets/sheet8.xml" Id="R20f316522ad94f4d" /><Relationship Type="http://schemas.openxmlformats.org/officeDocument/2006/relationships/worksheet" Target="/xl/worksheets/sheet9.xml" Id="R56aa3d68dbaf419b" /><Relationship Type="http://schemas.openxmlformats.org/officeDocument/2006/relationships/worksheet" Target="/xl/worksheets/sheet10.xml" Id="R76a813cfe5ca433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ItemsTable" displayName="ItemsTable" ref="A5:V131" headerRowCount="1" totalsRowCount="0" totalsRowShown="0">
  <x:tableColumns count="22">
    <x:tableColumn id="1" name="Item ID"/>
    <x:tableColumn id="2" name="Item name"/>
    <x:tableColumn id="3" name="Category"/>
    <x:tableColumn id="4" name="Subtype"/>
    <x:tableColumn id="5" name="Implementation scope"/>
    <x:tableColumn id="6" name="Purpose"/>
    <x:tableColumn id="7" name="Equipment slot"/>
    <x:tableColumn id="8" name="Carrier metadata"/>
    <x:tableColumn id="9" name="Stack limit"/>
    <x:tableColumn id="10" name="Mass (game units)"/>
    <x:tableColumn id="11" name="Acquisition"/>
    <x:tableColumn id="12" name="Crafting / processing"/>
    <x:tableColumn id="13" name="Supported behavior"/>
    <x:tableColumn id="14" name="Limitations"/>
    <x:tableColumn id="15" name="Rarity"/>
    <x:tableColumn id="16" name="Trade value"/>
    <x:tableColumn id="17" name="Damage"/>
    <x:tableColumn id="18" name="Protection"/>
    <x:tableColumn id="19" name="Durability"/>
    <x:tableColumn id="20" name="Open design decisions"/>
    <x:tableColumn id="21" name="Column21"/>
    <x:tableColumn id="22" name="Sourc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VariantsTable" displayName="VariantsTable" ref="A5:M25" headerRowCount="1" totalsRowCount="0" totalsRowShown="0">
  <x:tableColumns count="13">
    <x:tableColumn id="1" name="Item ID"/>
    <x:tableColumn id="2" name="Authored name"/>
    <x:tableColumn id="3" name="Definition scope"/>
    <x:tableColumn id="4" name="Unity category"/>
    <x:tableColumn id="5" name="Equipment slot"/>
    <x:tableColumn id="6" name="Field supply"/>
    <x:tableColumn id="7" name="Carrier metadata"/>
    <x:tableColumn id="8" name="Stack limit"/>
    <x:tableColumn id="9" name="Mass (game units)"/>
    <x:tableColumn id="10" name="Packing preference"/>
    <x:tableColumn id="11" name="Authored description"/>
    <x:tableColumn id="12" name="Column12"/>
    <x:tableColumn id="13" name="Source asse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cipesTable" displayName="RecipesTable" ref="A5:I15" headerRowCount="1" totalsRowCount="0" totalsRowShown="0">
  <x:tableColumns count="9">
    <x:tableColumn id="1" name="Recipe / reference key"/>
    <x:tableColumn id="2" name="Station"/>
    <x:tableColumn id="3" name="Direction"/>
    <x:tableColumn id="4" name="Item ID"/>
    <x:tableColumn id="5" name="Quantity"/>
    <x:tableColumn id="6" name="Scope"/>
    <x:tableColumn id="7" name="Rules"/>
    <x:tableColumn id="8" name="Column8"/>
    <x:tableColumn id="9" name="Sour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ategoriesTable" displayName="CategoriesTable" ref="A5:D22" headerRowCount="1" totalsRowCount="0" totalsRowShown="0">
  <x:tableColumns count="4">
    <x:tableColumn id="1" name="Category"/>
    <x:tableColumn id="2" name="Current coverage"/>
    <x:tableColumn id="3" name="Existing basis"/>
    <x:tableColumn id="4" name="Later brainstorming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GuideTable" displayName="GuideTable" ref="A5:B77" headerRowCount="1" totalsRowCount="0" totalsRowShown="0">
  <x:tableColumns count="2">
    <x:tableColumn id="1" name="Topic"/>
    <x:tableColumn id="2" name="Guidan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sourcechainsTable" displayName="ResourcechainsTable" ref="A5:H34" headerRowCount="1" totalsRowCount="0" totalsRowShown="0">
  <x:tableColumns count="8">
    <x:tableColumn id="1" name="Input concept ID"/>
    <x:tableColumn id="2" name="Output concept ID"/>
    <x:tableColumn id="3" name="Processing concept"/>
    <x:tableColumn id="4" name="Potential use"/>
    <x:tableColumn id="5" name="Work location"/>
    <x:tableColumn id="6" name="Open constraint"/>
    <x:tableColumn id="7" name="Status"/>
    <x:tableColumn id="8" name="Basi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reatureconceptsTable" displayName="CreatureconceptsTable" ref="A5:I10" headerRowCount="1" totalsRowCount="0" totalsRowShown="0">
  <x:tableColumns count="9">
    <x:tableColumn id="1" name="Concept ID"/>
    <x:tableColumn id="2" name="Working description"/>
    <x:tableColumn id="3" name="Hybrid anatomy"/>
    <x:tableColumn id="4" name="Ecological role"/>
    <x:tableColumn id="5" name="Expedition decision"/>
    <x:tableColumn id="6" name="Resource concept IDs"/>
    <x:tableColumn id="7" name="Collection alternative"/>
    <x:tableColumn id="8" name="Open design issue"/>
    <x:tableColumn id="9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hemicalConceptsTable" displayName="ChemicalConceptsTable" ref="A5:H17" headerRowCount="1" totalsRowCount="0" totalsRowShown="0">
  <x:tableColumns count="8">
    <x:tableColumn id="1" name="Concept ID"/>
    <x:tableColumn id="2" name="Working label"/>
    <x:tableColumn id="3" name="Biological source / role"/>
    <x:tableColumn id="4" name="Human hazard"/>
    <x:tableColumn id="5" name="Potential material use"/>
    <x:tableColumn id="6" name="Design constraint"/>
    <x:tableColumn id="7" name="Source relationship"/>
    <x:tableColumn id="8" name="Referenc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ontainerConceptsTable" displayName="ContainerConceptsTable" ref="A5:K21" headerRowCount="1" totalsRowCount="0" totalsRowShown="0">
  <x:tableColumns count="11">
    <x:tableColumn id="1" name="Concept ID"/>
    <x:tableColumn id="2" name="Working label"/>
    <x:tableColumn id="3" name="Form"/>
    <x:tableColumn id="4" name="Proposed materials"/>
    <x:tableColumn id="5" name="Purpose"/>
    <x:tableColumn id="6" name="Qualitative size"/>
    <x:tableColumn id="7" name="Closure concept"/>
    <x:tableColumn id="8" name="Contents / contact"/>
    <x:tableColumn id="9" name="Design constraint"/>
    <x:tableColumn id="10" name="Source relationship"/>
    <x:tableColumn id="11" name="Referenc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EquipmentConceptsTable" displayName="EquipmentConceptsTable" ref="A5:J21" headerRowCount="1" totalsRowCount="0" totalsRowShown="0">
  <x:tableColumns count="10">
    <x:tableColumn id="1" name="Concept ID"/>
    <x:tableColumn id="2" name="Item family"/>
    <x:tableColumn id="3" name="Region / form"/>
    <x:tableColumn id="4" name="Crude concept"/>
    <x:tableColumn id="5" name="Serviceable concept"/>
    <x:tableColumn id="6" name="Elaborate concept"/>
    <x:tableColumn id="7" name="Material candidates"/>
    <x:tableColumn id="8" name="Design purpose"/>
    <x:tableColumn id="9" name="Open compatibility / ownership"/>
    <x:tableColumn id="10" name="Status / basi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4f8a4b7cde94fa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05c559bf930427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837b4bf71e5418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e12393954bf41d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e03c748b38b42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5055aeacad044c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09c18e8f8142470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a6bef2bf20fc40d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2cdb2404330e470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927a53fda2424c38" /></Relationships>
</file>

<file path=xl/worksheets/sheet1.xml><?xml version="1.0" encoding="utf-8"?>
<x:worksheet xmlns:x="http://schemas.openxmlformats.org/spreadsheetml/2006/main">
  <x:sheetPr>
    <x:tabColor rgb="FF7A3F27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3" hidden="0" customWidth="1"/>
    <x:col min="2" max="2" width="25" hidden="0" customWidth="1"/>
    <x:col min="3" max="3" width="24" hidden="0" customWidth="1"/>
    <x:col min="4" max="4" width="23" hidden="0" customWidth="1"/>
    <x:col min="5" max="5" width="33" hidden="0" customWidth="1"/>
    <x:col min="6" max="6" width="44" hidden="0" customWidth="1"/>
    <x:col min="7" max="7" width="23" hidden="0" customWidth="1"/>
    <x:col min="8" max="8" width="23" hidden="0" customWidth="1"/>
    <x:col min="9" max="9" width="13" hidden="0" customWidth="1"/>
    <x:col min="10" max="10" width="18" hidden="0" customWidth="1"/>
    <x:col min="11" max="11" width="35" hidden="0" customWidth="1"/>
    <x:col min="12" max="12" width="36" hidden="0" customWidth="1"/>
    <x:col min="13" max="13" width="42" hidden="0" customWidth="1"/>
    <x:col min="14" max="14" width="47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42" hidden="0" customWidth="1"/>
    <x:col min="21" max="21" width="3" hidden="0" customWidth="1"/>
    <x:col min="22" max="22" width="10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</x:row>
    <x:row r="2">
      <x:c r="A2" s="2" t="str">
        <x:v>Master item database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</x:row>
    <x:row r="3">
      <x:c r="A3" s="1" t="str">
        <x:v>Existing items plus user direction and new proposals. Filter Implementation scope before comparing stats.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</x:row>
    <x:row r="5" ht="32" customHeight="1">
      <x:c r="A5" s="8" t="str">
        <x:v>Item ID</x:v>
      </x:c>
      <x:c r="B5" s="8" t="str">
        <x:v>Item name</x:v>
      </x:c>
      <x:c r="C5" s="8" t="str">
        <x:v>Category</x:v>
      </x:c>
      <x:c r="D5" s="8" t="str">
        <x:v>Subtype</x:v>
      </x:c>
      <x:c r="E5" s="8" t="str">
        <x:v>Implementation scope</x:v>
      </x:c>
      <x:c r="F5" s="8" t="str">
        <x:v>Purpose</x:v>
      </x:c>
      <x:c r="G5" s="8" t="str">
        <x:v>Equipment slot</x:v>
      </x:c>
      <x:c r="H5" s="8" t="str">
        <x:v>Carrier metadata</x:v>
      </x:c>
      <x:c r="I5" s="8" t="str">
        <x:v>Stack limit</x:v>
      </x:c>
      <x:c r="J5" s="8" t="str">
        <x:v>Mass (game units)</x:v>
      </x:c>
      <x:c r="K5" s="8" t="str">
        <x:v>Acquisition</x:v>
      </x:c>
      <x:c r="L5" s="8" t="str">
        <x:v>Crafting / processing</x:v>
      </x:c>
      <x:c r="M5" s="8" t="str">
        <x:v>Supported behavior</x:v>
      </x:c>
      <x:c r="N5" s="8" t="str">
        <x:v>Limitations</x:v>
      </x:c>
      <x:c r="O5" s="8" t="str">
        <x:v>Rarity</x:v>
      </x:c>
      <x:c r="P5" s="8" t="str">
        <x:v>Trade value</x:v>
      </x:c>
      <x:c r="Q5" s="8" t="str">
        <x:v>Damage</x:v>
      </x:c>
      <x:c r="R5" s="8" t="str">
        <x:v>Protection</x:v>
      </x:c>
      <x:c r="S5" s="8" t="str">
        <x:v>Durability</x:v>
      </x:c>
      <x:c r="T5" s="8" t="str">
        <x:v>Open design decisions</x:v>
      </x:c>
      <x:c r="U5" s="10"/>
      <x:c r="V5" s="12" t="str">
        <x:v>Sources</x:v>
      </x:c>
    </x:row>
    <x:row r="6" ht="48" customHeight="1">
      <x:c r="A6" s="9" t="str">
        <x:v>lab.salvage.drive_assembly</x:v>
      </x:c>
      <x:c r="B6" s="9" t="str">
        <x:v>Drive Assembly</x:v>
      </x:c>
      <x:c r="C6" s="9" t="str">
        <x:v>Crafting components</x:v>
      </x:c>
      <x:c r="D6" s="9" t="str">
        <x:v>Salvage</x:v>
      </x:c>
      <x:c r="E6" s="9" t="str">
        <x:v>Camp Loop trial</x:v>
      </x:c>
      <x:c r="F6" s="9" t="str">
        <x:v>Drive assembly removed from the dead machine.</x:v>
      </x:c>
      <x:c r="G6" s="9" t="str">
        <x:v>None</x:v>
      </x:c>
      <x:c r="H6" s="9" t="str">
        <x:v>Legger only</x:v>
      </x:c>
      <x:c r="I6" s="13" t="n">
        <x:v>1</x:v>
      </x:c>
      <x:c r="J6" s="15" t="n">
        <x:v>6</x:v>
      </x:c>
      <x:c r="K6" s="9" t="str">
        <x:v>Camp Loop wreck extraction</x:v>
      </x:c>
      <x:c r="L6" s="9" t="str">
        <x:v>No recipe authored</x:v>
      </x:c>
      <x:c r="M6" s="9" t="str">
        <x:v>Finite trial salvage reward</x:v>
      </x:c>
      <x:c r="N6" s="9" t="str">
        <x:v>Provisional salvage part</x:v>
      </x:c>
      <x:c r="O6" s="17"/>
      <x:c r="P6" s="17"/>
      <x:c r="Q6" s="17"/>
      <x:c r="R6" s="17"/>
      <x:c r="S6" s="17"/>
      <x:c r="T6" s="9" t="str">
        <x:v>Recipes, final name and production adoption</x:v>
      </x:c>
      <x:c r="U6" s="11"/>
      <x:c r="V6" s="9" t="str">
        <x:v>Assets/_Project/Settings/Studies/CampLoopSalvage/Part2.asset; Docs/Evidence/Gameplay/CampLoopSalvage20261014/README.md</x:v>
      </x:c>
    </x:row>
    <x:row r="7" ht="48" customHeight="1">
      <x:c r="A7" s="4" t="str">
        <x:v>lab.salvage.metal_plate</x:v>
      </x:c>
      <x:c r="B7" s="4" t="str">
        <x:v>Metal Plate</x:v>
      </x:c>
      <x:c r="C7" s="4" t="str">
        <x:v>Crafting components</x:v>
      </x:c>
      <x:c r="D7" s="4" t="str">
        <x:v>Salvage</x:v>
      </x:c>
      <x:c r="E7" s="4" t="str">
        <x:v>Camp Loop trial</x:v>
      </x:c>
      <x:c r="F7" s="4" t="str">
        <x:v>Plate removed from the dead machine.</x:v>
      </x:c>
      <x:c r="G7" s="4" t="str">
        <x:v>None</x:v>
      </x:c>
      <x:c r="H7" s="4" t="str">
        <x:v>Legger only</x:v>
      </x:c>
      <x:c r="I7" s="14" t="n">
        <x:v>20</x:v>
      </x:c>
      <x:c r="J7" s="16" t="n">
        <x:v>2</x:v>
      </x:c>
      <x:c r="K7" s="4" t="str">
        <x:v>Camp Loop wreck extraction</x:v>
      </x:c>
      <x:c r="L7" s="4" t="str">
        <x:v>No recipe authored</x:v>
      </x:c>
      <x:c r="M7" s="4" t="str">
        <x:v>Finite trial salvage reward</x:v>
      </x:c>
      <x:c r="N7" s="4" t="str">
        <x:v>Provisional salvage part</x:v>
      </x:c>
      <x:c r="O7" s="17"/>
      <x:c r="P7" s="17"/>
      <x:c r="Q7" s="17"/>
      <x:c r="R7" s="17"/>
      <x:c r="S7" s="17"/>
      <x:c r="T7" s="4" t="str">
        <x:v>Recipes, final name and production adoption</x:v>
      </x:c>
      <x:c r="U7" s="11"/>
      <x:c r="V7" s="4" t="str">
        <x:v>Assets/_Project/Settings/Studies/CampLoopSalvage/Part0.asset; Docs/Evidence/Gameplay/CampLoopSalvage20261014/README.md</x:v>
      </x:c>
    </x:row>
    <x:row r="8" ht="48" customHeight="1">
      <x:c r="A8" s="9" t="str">
        <x:v>lab.salvage.wire_bundle</x:v>
      </x:c>
      <x:c r="B8" s="9" t="str">
        <x:v>Wire Bundle</x:v>
      </x:c>
      <x:c r="C8" s="9" t="str">
        <x:v>Crafting components</x:v>
      </x:c>
      <x:c r="D8" s="9" t="str">
        <x:v>Salvage</x:v>
      </x:c>
      <x:c r="E8" s="9" t="str">
        <x:v>Camp Loop trial</x:v>
      </x:c>
      <x:c r="F8" s="9" t="str">
        <x:v>Wire bundle removed from the dead machine.</x:v>
      </x:c>
      <x:c r="G8" s="9" t="str">
        <x:v>None</x:v>
      </x:c>
      <x:c r="H8" s="9" t="str">
        <x:v>Legger only</x:v>
      </x:c>
      <x:c r="I8" s="13" t="n">
        <x:v>10</x:v>
      </x:c>
      <x:c r="J8" s="15" t="n">
        <x:v>0.5</x:v>
      </x:c>
      <x:c r="K8" s="9" t="str">
        <x:v>Camp Loop wreck extraction</x:v>
      </x:c>
      <x:c r="L8" s="9" t="str">
        <x:v>No recipe authored</x:v>
      </x:c>
      <x:c r="M8" s="9" t="str">
        <x:v>Finite trial salvage reward</x:v>
      </x:c>
      <x:c r="N8" s="9" t="str">
        <x:v>Provisional salvage part</x:v>
      </x:c>
      <x:c r="O8" s="17"/>
      <x:c r="P8" s="17"/>
      <x:c r="Q8" s="17"/>
      <x:c r="R8" s="17"/>
      <x:c r="S8" s="17"/>
      <x:c r="T8" s="9" t="str">
        <x:v>Recipes, final name and production adoption</x:v>
      </x:c>
      <x:c r="U8" s="11"/>
      <x:c r="V8" s="9" t="str">
        <x:v>Assets/_Project/Settings/Studies/CampLoopSalvage/Part1.asset; Docs/Evidence/Gameplay/CampLoopSalvage20261014/README.md</x:v>
      </x:c>
    </x:row>
    <x:row r="9" ht="48" customHeight="1">
      <x:c r="A9" s="4" t="str">
        <x:v>equipment.algae_canister</x:v>
      </x:c>
      <x:c r="B9" s="4" t="str">
        <x:v>Algae canister</x:v>
      </x:c>
      <x:c r="C9" s="4" t="str">
        <x:v>Equipment</x:v>
      </x:c>
      <x:c r="D9" s="4" t="str">
        <x:v>Survival</x:v>
      </x:c>
      <x:c r="E9" s="4" t="str">
        <x:v>Camp Loop trial</x:v>
      </x:c>
      <x:c r="F9" s="4" t="str">
        <x:v>Attached reserve for eating, drinking and treating injuries.</x:v>
      </x:c>
      <x:c r="G9" s="4" t="str">
        <x:v>Algae canister</x:v>
      </x:c>
      <x:c r="H9" s="4" t="str">
        <x:v>Booter only</x:v>
      </x:c>
      <x:c r="I9" s="14" t="n">
        <x:v>1</x:v>
      </x:c>
      <x:c r="J9" s="16" t="n">
        <x:v>0.8</x:v>
      </x:c>
      <x:c r="K9" s="4" t="str">
        <x:v>Starter fitted gear</x:v>
      </x:c>
      <x:c r="L9" s="4" t="str">
        <x:v>No recipe authored</x:v>
      </x:c>
      <x:c r="M9" s="4" t="str">
        <x:v>Existing living-algae reserve</x:v>
      </x:c>
      <x:c r="N9" s="4" t="str">
        <x:v>Cannot remove attachment; no sleep/Reserve restoration</x:v>
      </x:c>
      <x:c r="O9" s="17"/>
      <x:c r="P9" s="17"/>
      <x:c r="Q9" s="17"/>
      <x:c r="R9" s="17"/>
      <x:c r="S9" s="17"/>
      <x:c r="T9" s="4" t="str">
        <x:v>Swap/refill design and final balance</x:v>
      </x:c>
      <x:c r="U9" s="11"/>
      <x:c r="V9" s="4" t="str">
        <x:v>Assets/_Project/Settings/Items/CampLoopLoadout/AlgaeCanister.asset; Docs/Evidence/Gameplay/CampLoopLoadout20261014/README.md</x:v>
      </x:c>
    </x:row>
    <x:row r="10" ht="48" customHeight="1">
      <x:c r="A10" s="9" t="str">
        <x:v>equipment.cloak</x:v>
      </x:c>
      <x:c r="B10" s="9" t="str">
        <x:v>Cloak</x:v>
      </x:c>
      <x:c r="C10" s="9" t="str">
        <x:v>Equipment</x:v>
      </x:c>
      <x:c r="D10" s="9" t="str">
        <x:v>Clothing</x:v>
      </x:c>
      <x:c r="E10" s="9" t="str">
        <x:v>Camp Loop trial</x:v>
      </x:c>
      <x:c r="F10" s="9" t="str">
        <x:v>Worn cloak becomes the camp blanket.</x:v>
      </x:c>
      <x:c r="G10" s="9" t="str">
        <x:v>Cloak</x:v>
      </x:c>
      <x:c r="H10" s="9" t="str">
        <x:v>Either carrier</x:v>
      </x:c>
      <x:c r="I10" s="13" t="n">
        <x:v>1</x:v>
      </x:c>
      <x:c r="J10" s="15" t="n">
        <x:v>1</x:v>
      </x:c>
      <x:c r="K10" s="9" t="str">
        <x:v>Starter fitted gear</x:v>
      </x:c>
      <x:c r="L10" s="9" t="str">
        <x:v>No recipe authored</x:v>
      </x:c>
      <x:c r="M10" s="9" t="str">
        <x:v>Worn and blanket presentation share ownership</x:v>
      </x:c>
      <x:c r="N10" s="9" t="str">
        <x:v>Blanket is not a second item; no extra healing bonus</x:v>
      </x:c>
      <x:c r="O10" s="17"/>
      <x:c r="P10" s="17"/>
      <x:c r="Q10" s="17"/>
      <x:c r="R10" s="17"/>
      <x:c r="S10" s="17"/>
      <x:c r="T10" s="9" t="str">
        <x:v>Protection and material progression; material composition unresolved under no-cloth rule</x:v>
      </x:c>
      <x:c r="U10" s="11"/>
      <x:c r="V10" s="9" t="str">
        <x:v>Assets/_Project/Settings/Items/CampLoopLoadout/Cloak.asset; Docs/Evidence/Gameplay/CampLoopLoadout20261014/README.md</x:v>
      </x:c>
    </x:row>
    <x:row r="11" ht="48" customHeight="1">
      <x:c r="A11" s="4" t="str">
        <x:v>equipment.digging_tool</x:v>
      </x:c>
      <x:c r="B11" s="4" t="str">
        <x:v>Digging shovel axe</x:v>
      </x:c>
      <x:c r="C11" s="4" t="str">
        <x:v>Equipment</x:v>
      </x:c>
      <x:c r="D11" s="4" t="str">
        <x:v>Excavation</x:v>
      </x:c>
      <x:c r="E11" s="4" t="str">
        <x:v>Camp Loop trial</x:v>
      </x:c>
      <x:c r="F11" s="4" t="str">
        <x:v>Starter combined shovel and axe.</x:v>
      </x:c>
      <x:c r="G11" s="4" t="str">
        <x:v>Digging tool</x:v>
      </x:c>
      <x:c r="H11" s="4" t="str">
        <x:v>Either carrier</x:v>
      </x:c>
      <x:c r="I11" s="14" t="n">
        <x:v>1</x:v>
      </x:c>
      <x:c r="J11" s="16" t="n">
        <x:v>1.5</x:v>
      </x:c>
      <x:c r="K11" s="4" t="str">
        <x:v>Starter fitted gear</x:v>
      </x:c>
      <x:c r="L11" s="4" t="str">
        <x:v>No recipe authored</x:v>
      </x:c>
      <x:c r="M11" s="4" t="str">
        <x:v>Inventory ownership only</x:v>
      </x:c>
      <x:c r="N11" s="4" t="str">
        <x:v>No new mining prerequisite or combat action</x:v>
      </x:c>
      <x:c r="O11" s="17"/>
      <x:c r="P11" s="17"/>
      <x:c r="Q11" s="17"/>
      <x:c r="R11" s="17"/>
      <x:c r="S11" s="17"/>
      <x:c r="T11" s="4" t="str">
        <x:v>Final name, excavation behavior and progression</x:v>
      </x:c>
      <x:c r="U11" s="11"/>
      <x:c r="V11" s="4" t="str">
        <x:v>Assets/_Project/Settings/Items/CampLoopLoadout/DiggingTool.asset; Docs/Evidence/Gameplay/CampLoopLoadout20261014/README.md</x:v>
      </x:c>
    </x:row>
    <x:row r="12" ht="48" customHeight="1">
      <x:c r="A12" s="9" t="str">
        <x:v>tool.micro_dust_harvester</x:v>
      </x:c>
      <x:c r="B12" s="9" t="str">
        <x:v>Dust canister</x:v>
      </x:c>
      <x:c r="C12" s="9" t="str">
        <x:v>Equipment</x:v>
      </x:c>
      <x:c r="D12" s="9" t="str">
        <x:v>Harvesting</x:v>
      </x:c>
      <x:c r="E12" s="9" t="str">
        <x:v>Shared definition; trial variant/rules</x:v>
      </x:c>
      <x:c r="F12" s="9" t="str">
        <x:v>Deploy a canister to gather airborne dust.</x:v>
      </x:c>
      <x:c r="G12" s="9" t="str">
        <x:v>Dust canister</x:v>
      </x:c>
      <x:c r="H12" s="9" t="str">
        <x:v>Either carrier</x:v>
      </x:c>
      <x:c r="I12" s="13" t="n">
        <x:v>1</x:v>
      </x:c>
      <x:c r="J12" s="15" t="n">
        <x:v>0.8</x:v>
      </x:c>
      <x:c r="K12" s="9" t="str">
        <x:v>Starter dust equipment</x:v>
      </x:c>
      <x:c r="L12" s="9" t="str">
        <x:v>Reusable tool in charging loop</x:v>
      </x:c>
      <x:c r="M12" s="9" t="str">
        <x:v>Camp trial preserves instance and carried dust payload</x:v>
      </x:c>
      <x:c r="N12" s="9" t="str">
        <x:v>Filled recovery goes to cargo; empty may return to equipment slot</x:v>
      </x:c>
      <x:c r="O12" s="17"/>
      <x:c r="P12" s="17"/>
      <x:c r="Q12" s="17"/>
      <x:c r="R12" s="17"/>
      <x:c r="S12" s="17"/>
      <x:c r="T12" s="9" t="str">
        <x:v>Capacity and collection-rate tuning; final naming</x:v>
      </x:c>
      <x:c r="U12" s="11"/>
      <x:c r="V12" s="9" t="str">
        <x:v>Assets/_Project/Settings/Items/CampLoopLoadout/DustCanister.asset; Docs/Evidence/Gameplay/CampWorkstations20261014/README.md</x:v>
      </x:c>
    </x:row>
    <x:row r="13" ht="48" customHeight="1">
      <x:c r="A13" s="4" t="str">
        <x:v>equipment.grappling_hook</x:v>
      </x:c>
      <x:c r="B13" s="4" t="str">
        <x:v>Grappling hook</x:v>
      </x:c>
      <x:c r="C13" s="4" t="str">
        <x:v>Equipment</x:v>
      </x:c>
      <x:c r="D13" s="4" t="str">
        <x:v>Traversal</x:v>
      </x:c>
      <x:c r="E13" s="4" t="str">
        <x:v>Camp Loop trial</x:v>
      </x:c>
      <x:c r="F13" s="4" t="str">
        <x:v>Terrain navigation gear.</x:v>
      </x:c>
      <x:c r="G13" s="4" t="str">
        <x:v>Grappling hook</x:v>
      </x:c>
      <x:c r="H13" s="4" t="str">
        <x:v>Either carrier</x:v>
      </x:c>
      <x:c r="I13" s="14" t="n">
        <x:v>1</x:v>
      </x:c>
      <x:c r="J13" s="16" t="n">
        <x:v>1</x:v>
      </x:c>
      <x:c r="K13" s="4" t="str">
        <x:v>Starter fitted gear</x:v>
      </x:c>
      <x:c r="L13" s="4" t="str">
        <x:v>No recipe authored</x:v>
      </x:c>
      <x:c r="M13" s="4" t="str">
        <x:v>Inventory ownership only</x:v>
      </x:c>
      <x:c r="N13" s="4" t="str">
        <x:v>Grapple traversal is not implemented</x:v>
      </x:c>
      <x:c r="O13" s="17"/>
      <x:c r="P13" s="17"/>
      <x:c r="Q13" s="17"/>
      <x:c r="R13" s="17"/>
      <x:c r="S13" s="17"/>
      <x:c r="T13" s="4" t="str">
        <x:v>Traversal rules and upgrades</x:v>
      </x:c>
      <x:c r="U13" s="11"/>
      <x:c r="V13" s="4" t="str">
        <x:v>Assets/_Project/Settings/Items/CampLoopLoadout/GrapplingHook.asset; Docs/Evidence/Gameplay/CampLoopLoadout20261014/README.md</x:v>
      </x:c>
    </x:row>
    <x:row r="14" ht="48" customHeight="1">
      <x:c r="A14" s="9" t="str">
        <x:v>equipment.jacket</x:v>
      </x:c>
      <x:c r="B14" s="9" t="str">
        <x:v>Jacket</x:v>
      </x:c>
      <x:c r="C14" s="9" t="str">
        <x:v>Equipment</x:v>
      </x:c>
      <x:c r="D14" s="9" t="str">
        <x:v>Clothing</x:v>
      </x:c>
      <x:c r="E14" s="9" t="str">
        <x:v>Camp Loop trial</x:v>
      </x:c>
      <x:c r="F14" s="9" t="str">
        <x:v>Separate jacket equipment.</x:v>
      </x:c>
      <x:c r="G14" s="9" t="str">
        <x:v>Jacket</x:v>
      </x:c>
      <x:c r="H14" s="9" t="str">
        <x:v>Either carrier</x:v>
      </x:c>
      <x:c r="I14" s="13" t="n">
        <x:v>1</x:v>
      </x:c>
      <x:c r="J14" s="15" t="n">
        <x:v>1</x:v>
      </x:c>
      <x:c r="K14" s="9" t="str">
        <x:v>Starter fitted gear</x:v>
      </x:c>
      <x:c r="L14" s="9" t="str">
        <x:v>No recipe authored</x:v>
      </x:c>
      <x:c r="M14" s="9" t="str">
        <x:v>Inventory ownership only</x:v>
      </x:c>
      <x:c r="N14" s="9" t="str">
        <x:v>No protection or durability effects enabled</x:v>
      </x:c>
      <x:c r="O14" s="17"/>
      <x:c r="P14" s="17"/>
      <x:c r="Q14" s="17"/>
      <x:c r="R14" s="17"/>
      <x:c r="S14" s="17"/>
      <x:c r="T14" s="9" t="str">
        <x:v>Protection, exposure rules and progression; material composition unresolved under no-cloth rule</x:v>
      </x:c>
      <x:c r="U14" s="11"/>
      <x:c r="V14" s="9" t="str">
        <x:v>Assets/_Project/Settings/Items/CampLoopLoadout/Jacket.asset; Docs/Evidence/Gameplay/CampLoopLoadout20261014/README.md</x:v>
      </x:c>
    </x:row>
    <x:row r="15" ht="48" customHeight="1">
      <x:c r="A15" s="4" t="str">
        <x:v>equipment.arc_battery_charged</x:v>
      </x:c>
      <x:c r="B15" s="4" t="str">
        <x:v>Charged Arc Battery</x:v>
      </x:c>
      <x:c r="C15" s="4" t="str">
        <x:v>Field supplies</x:v>
      </x:c>
      <x:c r="D15" s="4" t="str">
        <x:v>Energy container</x:v>
      </x:c>
      <x:c r="E15" s="4" t="str">
        <x:v>Camp Loop trial</x:v>
      </x:c>
      <x:c r="F15" s="4" t="str">
        <x:v>Battery containing refined Arc Energy.</x:v>
      </x:c>
      <x:c r="G15" s="4" t="str">
        <x:v>None</x:v>
      </x:c>
      <x:c r="H15" s="4" t="str">
        <x:v>Either carrier</x:v>
      </x:c>
      <x:c r="I15" s="14" t="n">
        <x:v>1</x:v>
      </x:c>
      <x:c r="J15" s="16" t="n">
        <x:v>0.8</x:v>
      </x:c>
      <x:c r="K15" s="4" t="str">
        <x:v>Refinery: empty battery plus 10 canister dust</x:v>
      </x:c>
      <x:c r="L15" s="4" t="str">
        <x:v>Charging output</x:v>
      </x:c>
      <x:c r="M15" s="4" t="str">
        <x:v>Charged battery state</x:v>
      </x:c>
      <x:c r="N15" s="4" t="str">
        <x:v>No downstream energy consumer catalogued</x:v>
      </x:c>
      <x:c r="O15" s="17"/>
      <x:c r="P15" s="17"/>
      <x:c r="Q15" s="17"/>
      <x:c r="R15" s="17"/>
      <x:c r="S15" s="17"/>
      <x:c r="T15" s="4" t="str">
        <x:v>Discharge, reuse and powered equipment</x:v>
      </x:c>
      <x:c r="U15" s="11"/>
      <x:c r="V15" s="4" t="str">
        <x:v>Assets/_Project/Settings/Items/CampLoop/ChargedArcBattery.asset; Docs/Evidence/Gameplay/CampWorkstations20261014/README.md</x:v>
      </x:c>
    </x:row>
    <x:row r="16" ht="48" customHeight="1">
      <x:c r="A16" s="9" t="str">
        <x:v>equipment.arc_battery_empty</x:v>
      </x:c>
      <x:c r="B16" s="9" t="str">
        <x:v>Empty Arc Battery</x:v>
      </x:c>
      <x:c r="C16" s="9" t="str">
        <x:v>Field supplies</x:v>
      </x:c>
      <x:c r="D16" s="9" t="str">
        <x:v>Energy container</x:v>
      </x:c>
      <x:c r="E16" s="9" t="str">
        <x:v>Camp Loop trial</x:v>
      </x:c>
      <x:c r="F16" s="9" t="str">
        <x:v>Empty battery for dust refinery.</x:v>
      </x:c>
      <x:c r="G16" s="9" t="str">
        <x:v>None</x:v>
      </x:c>
      <x:c r="H16" s="9" t="str">
        <x:v>Either carrier</x:v>
      </x:c>
      <x:c r="I16" s="13" t="n">
        <x:v>1</x:v>
      </x:c>
      <x:c r="J16" s="15" t="n">
        <x:v>0.8</x:v>
      </x:c>
      <x:c r="K16" s="9" t="str">
        <x:v>Workbench: 4 Ironstone Ore</x:v>
      </x:c>
      <x:c r="L16" s="9" t="str">
        <x:v>Charging input</x:v>
      </x:c>
      <x:c r="M16" s="9" t="str">
        <x:v>Refinery accepts empty battery</x:v>
      </x:c>
      <x:c r="N16" s="9" t="str">
        <x:v>ID prefix equipment does not mean fitted equipment</x:v>
      </x:c>
      <x:c r="O16" s="17"/>
      <x:c r="P16" s="17"/>
      <x:c r="Q16" s="17"/>
      <x:c r="R16" s="17"/>
      <x:c r="S16" s="17"/>
      <x:c r="T16" s="9" t="str">
        <x:v>Final capacity, reuse and downstream uses</x:v>
      </x:c>
      <x:c r="U16" s="11"/>
      <x:c r="V16" s="9" t="str">
        <x:v>Assets/_Project/Settings/Items/CampLoop/EmptyArcBattery.asset; Docs/Evidence/Gameplay/CampWorkstations20261014/README.md</x:v>
      </x:c>
    </x:row>
    <x:row r="17" ht="48" customHeight="1">
      <x:c r="A17" s="4" t="str">
        <x:v>tool.popup_camp</x:v>
      </x:c>
      <x:c r="B17" s="4" t="str">
        <x:v>Pop-up camp</x:v>
      </x:c>
      <x:c r="C17" s="4" t="str">
        <x:v>Field supplies</x:v>
      </x:c>
      <x:c r="D17" s="4" t="str">
        <x:v>Camp bundle</x:v>
      </x:c>
      <x:c r="E17" s="4" t="str">
        <x:v>Shared definition; trial variant/rules</x:v>
      </x:c>
      <x:c r="F17" s="4" t="str">
        <x:v>Deploy reusable shade to rest or sleep.</x:v>
      </x:c>
      <x:c r="G17" s="4" t="str">
        <x:v>None</x:v>
      </x:c>
      <x:c r="H17" s="4" t="str">
        <x:v>Either carrier</x:v>
      </x:c>
      <x:c r="I17" s="14" t="n">
        <x:v>1</x:v>
      </x:c>
      <x:c r="J17" s="16" t="n">
        <x:v>2.5</x:v>
      </x:c>
      <x:c r="K17" s="4" t="str">
        <x:v>Starter supply bundle</x:v>
      </x:c>
      <x:c r="L17" s="4" t="str">
        <x:v>No recipe authored</x:v>
      </x:c>
      <x:c r="M17" s="4" t="str">
        <x:v>Existing camp rest/sleep actions</x:v>
      </x:c>
      <x:c r="N17" s="4" t="str">
        <x:v>One trial supply pocket; shared production definition is not a field supply</x:v>
      </x:c>
      <x:c r="O17" s="17"/>
      <x:c r="P17" s="17"/>
      <x:c r="Q17" s="17"/>
      <x:c r="R17" s="17"/>
      <x:c r="S17" s="17"/>
      <x:c r="T17" s="4" t="str">
        <x:v>Final camp kit and upgrade design</x:v>
      </x:c>
      <x:c r="U17" s="11"/>
      <x:c r="V17" s="4" t="str">
        <x:v>Assets/_Project/Settings/Items/CampLoopLoadout/PopupCamp.asset; Docs/Evidence/Gameplay/CampLoopLoadout20261014/README.md</x:v>
      </x:c>
    </x:row>
    <x:row r="18" ht="48" customHeight="1">
      <x:c r="A18" s="9" t="str">
        <x:v>resource.airborne_dust</x:v>
      </x:c>
      <x:c r="B18" s="9" t="str">
        <x:v>Airborne Dust</x:v>
      </x:c>
      <x:c r="C18" s="9" t="str">
        <x:v>Resources</x:v>
      </x:c>
      <x:c r="D18" s="9" t="str">
        <x:v>Airborne resource</x:v>
      </x:c>
      <x:c r="E18" s="9" t="str">
        <x:v>Shared definition; trial variant/rules</x:v>
      </x:c>
      <x:c r="F18" s="9" t="str">
        <x:v>Collect with the dust canister.</x:v>
      </x:c>
      <x:c r="G18" s="9" t="str">
        <x:v>None</x:v>
      </x:c>
      <x:c r="H18" s="9" t="str">
        <x:v>Legger only</x:v>
      </x:c>
      <x:c r="I18" s="13" t="n">
        <x:v>100</x:v>
      </x:c>
      <x:c r="J18" s="15" t="n">
        <x:v>0.05</x:v>
      </x:c>
      <x:c r="K18" s="9" t="str">
        <x:v>Deployed canister collection</x:v>
      </x:c>
      <x:c r="L18" s="9" t="str">
        <x:v>10 canister dust per charged battery</x:v>
      </x:c>
      <x:c r="M18" s="9" t="str">
        <x:v>Camp refinery input</x:v>
      </x:c>
      <x:c r="N18" s="9" t="str">
        <x:v>Mineral Dust is a different item and cannot substitute</x:v>
      </x:c>
      <x:c r="O18" s="17"/>
      <x:c r="P18" s="17"/>
      <x:c r="Q18" s="17"/>
      <x:c r="R18" s="17"/>
      <x:c r="S18" s="17"/>
      <x:c r="T18" s="9" t="str">
        <x:v>Final Arc Dust/Airborne Dust terminology</x:v>
      </x:c>
      <x:c r="U18" s="11"/>
      <x:c r="V18" s="9" t="str">
        <x:v>Assets/_Project/Settings/Items/Item_AirborneDust.asset; Docs/Evidence/Gameplay/CampWorkstations20261014/README.md</x:v>
      </x:c>
    </x:row>
    <x:row r="19" ht="48" customHeight="1">
      <x:c r="A19" s="4" t="str">
        <x:v>lab.ironstone.aggregate</x:v>
      </x:c>
      <x:c r="B19" s="4" t="str">
        <x:v>Coarse Aggregate</x:v>
      </x:c>
      <x:c r="C19" s="4" t="str">
        <x:v>Resources</x:v>
      </x:c>
      <x:c r="D19" s="4" t="str">
        <x:v>Processed mineral</x:v>
      </x:c>
      <x:c r="E19" s="4" t="str">
        <x:v>Camp Loop trial</x:v>
      </x:c>
      <x:c r="F19" s="4" t="str">
        <x:v>Coarse dry-sorting product.</x:v>
      </x:c>
      <x:c r="G19" s="4" t="str">
        <x:v>None</x:v>
      </x:c>
      <x:c r="H19" s="4" t="str">
        <x:v>Legger only</x:v>
      </x:c>
      <x:c r="I19" s="14" t="n">
        <x:v>99</x:v>
      </x:c>
      <x:c r="J19" s="16" t="n">
        <x:v>0.75</x:v>
      </x:c>
      <x:c r="K19" s="4" t="str">
        <x:v>Dry sorting: 2 per batch</x:v>
      </x:c>
      <x:c r="L19" s="4" t="str">
        <x:v>Dry sorting output</x:v>
      </x:c>
      <x:c r="M19" s="4" t="str">
        <x:v>Provisional processing material</x:v>
      </x:c>
      <x:c r="N19" s="4" t="str">
        <x:v>No downstream recipe authored</x:v>
      </x:c>
      <x:c r="O19" s="17"/>
      <x:c r="P19" s="17"/>
      <x:c r="Q19" s="17"/>
      <x:c r="R19" s="17"/>
      <x:c r="S19" s="17"/>
      <x:c r="T19" s="4" t="str">
        <x:v>Uses and final name/yield</x:v>
      </x:c>
      <x:c r="U19" s="11"/>
      <x:c r="V19" s="4" t="str">
        <x:v>Assets/_Project/Settings/Items/CampLoopIronstone/0-CoarseAggregate.asset; Docs/Evidence/Gameplay/CampIronstone20261014/README.md</x:v>
      </x:c>
    </x:row>
    <x:row r="20" ht="48" customHeight="1">
      <x:c r="A20" s="9" t="str">
        <x:v>lab.ironstone.concentrate</x:v>
      </x:c>
      <x:c r="B20" s="9" t="str">
        <x:v>Iron-rich Concentrate</x:v>
      </x:c>
      <x:c r="C20" s="9" t="str">
        <x:v>Resources</x:v>
      </x:c>
      <x:c r="D20" s="9" t="str">
        <x:v>Processed mineral</x:v>
      </x:c>
      <x:c r="E20" s="9" t="str">
        <x:v>Camp Loop trial</x:v>
      </x:c>
      <x:c r="F20" s="9" t="str">
        <x:v>Iron-rich dry-sorting product.</x:v>
      </x:c>
      <x:c r="G20" s="9" t="str">
        <x:v>None</x:v>
      </x:c>
      <x:c r="H20" s="9" t="str">
        <x:v>Legger only</x:v>
      </x:c>
      <x:c r="I20" s="13" t="n">
        <x:v>99</x:v>
      </x:c>
      <x:c r="J20" s="15" t="n">
        <x:v>2</x:v>
      </x:c>
      <x:c r="K20" s="9" t="str">
        <x:v>Dry sorting: 1 per batch</x:v>
      </x:c>
      <x:c r="L20" s="9" t="str">
        <x:v>Dry sorting output</x:v>
      </x:c>
      <x:c r="M20" s="9" t="str">
        <x:v>Provisional processing material</x:v>
      </x:c>
      <x:c r="N20" s="9" t="str">
        <x:v>Powered metal production is deferred</x:v>
      </x:c>
      <x:c r="O20" s="17"/>
      <x:c r="P20" s="17"/>
      <x:c r="Q20" s="17"/>
      <x:c r="R20" s="17"/>
      <x:c r="S20" s="17"/>
      <x:c r="T20" s="9" t="str">
        <x:v>Uses and final name/yield</x:v>
      </x:c>
      <x:c r="U20" s="11"/>
      <x:c r="V20" s="9" t="str">
        <x:v>Assets/_Project/Settings/Items/CampLoopIronstone/1-Iron-richConcentrate.asset; Docs/Evidence/Gameplay/CampIronstone20261014/README.md</x:v>
      </x:c>
    </x:row>
    <x:row r="21" ht="48" customHeight="1">
      <x:c r="A21" s="4" t="str">
        <x:v>resource.ironstone_ore</x:v>
      </x:c>
      <x:c r="B21" s="4" t="str">
        <x:v>Ironstone Ore</x:v>
      </x:c>
      <x:c r="C21" s="4" t="str">
        <x:v>Resources</x:v>
      </x:c>
      <x:c r="D21" s="4" t="str">
        <x:v>Raw mineral</x:v>
      </x:c>
      <x:c r="E21" s="4" t="str">
        <x:v>Shared definition; trial variant/rules</x:v>
      </x:c>
      <x:c r="F21" s="4" t="str">
        <x:v>Gather exposed Ironstone deposits.</x:v>
      </x:c>
      <x:c r="G21" s="4" t="str">
        <x:v>None</x:v>
      </x:c>
      <x:c r="H21" s="4" t="str">
        <x:v>Legger only</x:v>
      </x:c>
      <x:c r="I21" s="14" t="n">
        <x:v>99</x:v>
      </x:c>
      <x:c r="J21" s="16" t="n">
        <x:v>1.25</x:v>
      </x:c>
      <x:c r="K21" s="4" t="str">
        <x:v>Ironstone gathering</x:v>
      </x:c>
      <x:c r="L21" s="4" t="str">
        <x:v>Input to empty battery and dry sorting</x:v>
      </x:c>
      <x:c r="M21" s="4" t="str">
        <x:v>Bulk resource</x:v>
      </x:c>
      <x:c r="N21" s="4" t="str">
        <x:v>Legger-only carrying; local storage also depends on owner policy</x:v>
      </x:c>
      <x:c r="O21" s="17"/>
      <x:c r="P21" s="17"/>
      <x:c r="Q21" s="17"/>
      <x:c r="R21" s="17"/>
      <x:c r="S21" s="17"/>
      <x:c r="T21" s="4" t="str">
        <x:v>Author wording: unprocessed iron-rich stones. Existing Ironstone Ore is the generic candidate; decide whether hematite/magnetite deserve separate resources.</x:v>
      </x:c>
      <x:c r="U21" s="11"/>
      <x:c r="V21" s="4" t="str">
        <x:v>Assets/_Project/Settings/Items/Item_IronstoneOre.asset; Docs/Evidence/Gameplay/CampIronstone20261014/README.md</x:v>
      </x:c>
    </x:row>
    <x:row r="22" ht="48" customHeight="1">
      <x:c r="A22" s="9" t="str">
        <x:v>lab.ironstone.mineral_dust</x:v>
      </x:c>
      <x:c r="B22" s="9" t="str">
        <x:v>Mineral Dust</x:v>
      </x:c>
      <x:c r="C22" s="9" t="str">
        <x:v>Resources</x:v>
      </x:c>
      <x:c r="D22" s="9" t="str">
        <x:v>Processed mineral</x:v>
      </x:c>
      <x:c r="E22" s="9" t="str">
        <x:v>Camp Loop trial</x:v>
      </x:c>
      <x:c r="F22" s="9" t="str">
        <x:v>Mineral fines from dry sorting.</x:v>
      </x:c>
      <x:c r="G22" s="9" t="str">
        <x:v>None</x:v>
      </x:c>
      <x:c r="H22" s="9" t="str">
        <x:v>Legger only</x:v>
      </x:c>
      <x:c r="I22" s="13" t="n">
        <x:v>99</x:v>
      </x:c>
      <x:c r="J22" s="15" t="n">
        <x:v>0.25</x:v>
      </x:c>
      <x:c r="K22" s="9" t="str">
        <x:v>Dry sorting: 2 per batch</x:v>
      </x:c>
      <x:c r="L22" s="9" t="str">
        <x:v>Dry sorting output</x:v>
      </x:c>
      <x:c r="M22" s="9" t="str">
        <x:v>Provisional processing material</x:v>
      </x:c>
      <x:c r="N22" s="9" t="str">
        <x:v>Cannot substitute for Arc/Airborne Dust</x:v>
      </x:c>
      <x:c r="O22" s="17"/>
      <x:c r="P22" s="17"/>
      <x:c r="Q22" s="17"/>
      <x:c r="R22" s="17"/>
      <x:c r="S22" s="17"/>
      <x:c r="T22" s="9" t="str">
        <x:v>Uses and final name/yield</x:v>
      </x:c>
      <x:c r="U22" s="11"/>
      <x:c r="V22" s="9" t="str">
        <x:v>Assets/_Project/Settings/Items/CampLoopIronstone/3-MineralDust.asset; Docs/Evidence/Gameplay/CampIronstone20261014/README.md</x:v>
      </x:c>
    </x:row>
    <x:row r="23" ht="48" customHeight="1">
      <x:c r="A23" s="4" t="str">
        <x:v>lab.ironstone.sand</x:v>
      </x:c>
      <x:c r="B23" s="4" t="str">
        <x:v>Mineral Sand</x:v>
      </x:c>
      <x:c r="C23" s="4" t="str">
        <x:v>Resources</x:v>
      </x:c>
      <x:c r="D23" s="4" t="str">
        <x:v>Processed mineral</x:v>
      </x:c>
      <x:c r="E23" s="4" t="str">
        <x:v>Camp Loop trial</x:v>
      </x:c>
      <x:c r="F23" s="4" t="str">
        <x:v>Fine dry-sorting product.</x:v>
      </x:c>
      <x:c r="G23" s="4" t="str">
        <x:v>None</x:v>
      </x:c>
      <x:c r="H23" s="4" t="str">
        <x:v>Legger only</x:v>
      </x:c>
      <x:c r="I23" s="14" t="n">
        <x:v>99</x:v>
      </x:c>
      <x:c r="J23" s="16" t="n">
        <x:v>1</x:v>
      </x:c>
      <x:c r="K23" s="4" t="str">
        <x:v>Dry sorting: 1 per batch</x:v>
      </x:c>
      <x:c r="L23" s="4" t="str">
        <x:v>Dry sorting output</x:v>
      </x:c>
      <x:c r="M23" s="4" t="str">
        <x:v>Provisional processing material</x:v>
      </x:c>
      <x:c r="N23" s="4" t="str">
        <x:v>No downstream recipe authored</x:v>
      </x:c>
      <x:c r="O23" s="17"/>
      <x:c r="P23" s="17"/>
      <x:c r="Q23" s="17"/>
      <x:c r="R23" s="17"/>
      <x:c r="S23" s="17"/>
      <x:c r="T23" s="4" t="str">
        <x:v>Uses and final name/yield</x:v>
      </x:c>
      <x:c r="U23" s="11"/>
      <x:c r="V23" s="4" t="str">
        <x:v>Assets/_Project/Settings/Items/CampLoopIronstone/2-MineralSand.asset; Docs/Evidence/Gameplay/CampIronstone20261014/README.md</x:v>
      </x:c>
    </x:row>
    <x:row r="24" ht="66" customHeight="1">
      <x:c r="A24" s="9" t="str">
        <x:v>proposal.gear.magnets</x:v>
      </x:c>
      <x:c r="B24" s="9" t="str">
        <x:v>Field magnets</x:v>
      </x:c>
      <x:c r="C24" s="9" t="str">
        <x:v>Equipment</x:v>
      </x:c>
      <x:c r="D24" s="9" t="str">
        <x:v>Magnetic recovery</x:v>
      </x:c>
      <x:c r="E24" s="9" t="str">
        <x:v>User direction; not implemented</x:v>
      </x:c>
      <x:c r="F24" s="9" t="str">
        <x:v>Carry magnets for field work. Proposed uses: recover ferrous fragments and hold small workpieces.</x:v>
      </x:c>
      <x:c r="G24" s="9" t="str">
        <x:v>Unassigned; no new slot approved</x:v>
      </x:c>
      <x:c r="H24" s="9" t="str">
        <x:v>Booter intended; storage TBD</x:v>
      </x:c>
      <x:c r="I24" s="13"/>
      <x:c r="J24" s="15"/>
      <x:c r="K24" s="9" t="str">
        <x:v>Booter-carried equipment requested by author</x:v>
      </x:c>
      <x:c r="L24" s="9" t="str">
        <x:v>Links to magnetite/iron and salvage chains</x:v>
      </x:c>
      <x:c r="M24" s="9" t="str">
        <x:v>Not implemented</x:v>
      </x:c>
      <x:c r="N24" s="9" t="str">
        <x:v>Magnet use, strength and mounting are proposals; not all materials are magnetic.</x:v>
      </x:c>
      <x:c r="O24" s="22"/>
      <x:c r="P24" s="22"/>
      <x:c r="Q24" s="22"/>
      <x:c r="R24" s="22"/>
      <x:c r="S24" s="22"/>
      <x:c r="T24" s="9" t="str">
        <x:v>Permanent versus powered; handling controls; carry location</x:v>
      </x:c>
      <x:c r="U24" s="23"/>
      <x:c r="V24" s="9" t="str">
        <x:v>User design direction, October 14, 2026; local brainstorming. New proposal unless explicitly marked User direction.</x:v>
      </x:c>
    </x:row>
    <x:row r="25" ht="66" customHeight="1">
      <x:c r="A25" s="9" t="str">
        <x:v>proposal.gear.grounding_kit</x:v>
      </x:c>
      <x:c r="B25" s="9" t="str">
        <x:v>Static grounding kit</x:v>
      </x:c>
      <x:c r="C25" s="9" t="str">
        <x:v>Equipment</x:v>
      </x:c>
      <x:c r="D25" s="9" t="str">
        <x:v>Charge management</x:v>
      </x:c>
      <x:c r="E25" s="9" t="str">
        <x:v>User direction; not implemented</x:v>
      </x:c>
      <x:c r="F25" s="9" t="str">
        <x:v>Ground Booter against atmospheric static. Proposed kit: body contact, controlled discharge lead and ground contact.</x:v>
      </x:c>
      <x:c r="G25" s="9" t="str">
        <x:v>Unassigned; no new slot approved</x:v>
      </x:c>
      <x:c r="H25" s="9" t="str">
        <x:v>Booter intended; storage TBD</x:v>
      </x:c>
      <x:c r="I25" s="13"/>
      <x:c r="J25" s="15"/>
      <x:c r="K25" s="9" t="str">
        <x:v>Booter-carried equipment requested by author</x:v>
      </x:c>
      <x:c r="L25" s="9" t="str">
        <x:v>Potential conductive braid, graphite and insulating ceramic components</x:v>
      </x:c>
      <x:c r="M25" s="9" t="str">
        <x:v>Not implemented</x:v>
      </x:c>
      <x:c r="N25" s="9" t="str">
        <x:v>Fictional game mechanic to design; contact quality matters; no immunity to lightning assumed.</x:v>
      </x:c>
      <x:c r="O25" s="22"/>
      <x:c r="P25" s="22"/>
      <x:c r="Q25" s="22"/>
      <x:c r="R25" s="22"/>
      <x:c r="S25" s="22"/>
      <x:c r="T25" s="9" t="str">
        <x:v>Ground-contact suitability; deployment; feedback; relation to storms; carry location</x:v>
      </x:c>
      <x:c r="U25" s="23"/>
      <x:c r="V25" s="9" t="str">
        <x:v>User design direction, October 14, 2026; local brainstorming. New proposal unless explicitly marked User direction.</x:v>
      </x:c>
    </x:row>
    <x:row r="26" ht="66" customHeight="1">
      <x:c r="A26" s="9" t="str">
        <x:v>proposal.natural.magnetite</x:v>
      </x:c>
      <x:c r="B26" s="9" t="str">
        <x:v>Magnetite-rich stone</x:v>
      </x:c>
      <x:c r="C26" s="9" t="str">
        <x:v>Resources</x:v>
      </x:c>
      <x:c r="D26" s="9" t="str">
        <x:v>Raw mineral</x:v>
      </x:c>
      <x:c r="E26" s="9" t="str">
        <x:v>New proposal</x:v>
      </x:c>
      <x:c r="F26" s="9" t="str">
        <x:v>Iron feed and magnetic tool research</x:v>
      </x:c>
      <x:c r="G26" s="9" t="str">
        <x:v>None</x:v>
      </x:c>
      <x:c r="H26" s="9" t="str">
        <x:v>Legger / local storage proposed</x:v>
      </x:c>
      <x:c r="I26" s="13"/>
      <x:c r="J26" s="15"/>
      <x:c r="K26" s="9" t="str">
        <x:v>Magnetic mineral seams and dense dark nodules</x:v>
      </x:c>
      <x:c r="L26" s="9" t="str">
        <x:v>Dry crush and magnetic separation</x:v>
      </x:c>
      <x:c r="M26" s="9" t="str">
        <x:v>Not implemented</x:v>
      </x:c>
      <x:c r="N26" s="9" t="str">
        <x:v>New deposit and processing design; no free natural liquid water.</x:v>
      </x:c>
      <x:c r="O26" s="22"/>
      <x:c r="P26" s="22"/>
      <x:c r="Q26" s="22"/>
      <x:c r="R26" s="22"/>
      <x:c r="S26" s="22"/>
      <x:c r="T26" s="9" t="str">
        <x:v>Distribution, collection tool, processing constraints and balance</x:v>
      </x:c>
      <x:c r="U26" s="23"/>
      <x:c r="V26" s="9" t="str">
        <x:v>User design direction, October 14, 2026; local brainstorming. New proposal unless explicitly marked User direction.</x:v>
      </x:c>
    </x:row>
    <x:row r="27" ht="66" customHeight="1">
      <x:c r="A27" s="9" t="str">
        <x:v>proposal.natural.silica</x:v>
      </x:c>
      <x:c r="B27" s="9" t="str">
        <x:v>Silica-rich grit</x:v>
      </x:c>
      <x:c r="C27" s="9" t="str">
        <x:v>Resources</x:v>
      </x:c>
      <x:c r="D27" s="9" t="str">
        <x:v>Raw mineral</x:v>
      </x:c>
      <x:c r="E27" s="9" t="str">
        <x:v>New proposal</x:v>
      </x:c>
      <x:c r="F27" s="9" t="str">
        <x:v>Sharpening, finishing and repair</x:v>
      </x:c>
      <x:c r="G27" s="9" t="str">
        <x:v>None</x:v>
      </x:c>
      <x:c r="H27" s="9" t="str">
        <x:v>Legger / local storage proposed</x:v>
      </x:c>
      <x:c r="I27" s="13"/>
      <x:c r="J27" s="15"/>
      <x:c r="K27" s="9" t="str">
        <x:v>Dry canyon scree and exposed mineral beds</x:v>
      </x:c>
      <x:c r="L27" s="9" t="str">
        <x:v>Grade into abrasive; high-heat glass route left open</x:v>
      </x:c>
      <x:c r="M27" s="9" t="str">
        <x:v>Not implemented</x:v>
      </x:c>
      <x:c r="N27" s="9" t="str">
        <x:v>New deposit and processing design; no free natural liquid water.</x:v>
      </x:c>
      <x:c r="O27" s="22"/>
      <x:c r="P27" s="22"/>
      <x:c r="Q27" s="22"/>
      <x:c r="R27" s="22"/>
      <x:c r="S27" s="22"/>
      <x:c r="T27" s="9" t="str">
        <x:v>Distribution, collection tool, processing constraints and balance</x:v>
      </x:c>
      <x:c r="U27" s="23"/>
      <x:c r="V27" s="9" t="str">
        <x:v>User design direction, October 14, 2026; local brainstorming. New proposal unless explicitly marked User direction.</x:v>
      </x:c>
    </x:row>
    <x:row r="28" ht="66" customHeight="1">
      <x:c r="A28" s="9" t="str">
        <x:v>proposal.natural.alumina</x:v>
      </x:c>
      <x:c r="B28" s="9" t="str">
        <x:v>Alumina-rich rock</x:v>
      </x:c>
      <x:c r="C28" s="9" t="str">
        <x:v>Resources</x:v>
      </x:c>
      <x:c r="D28" s="9" t="str">
        <x:v>Raw mineral</x:v>
      </x:c>
      <x:c r="E28" s="9" t="str">
        <x:v>New proposal</x:v>
      </x:c>
      <x:c r="F28" s="9" t="str">
        <x:v>Hard ceramic and electrical separation parts</x:v>
      </x:c>
      <x:c r="G28" s="9" t="str">
        <x:v>None</x:v>
      </x:c>
      <x:c r="H28" s="9" t="str">
        <x:v>Legger / local storage proposed</x:v>
      </x:c>
      <x:c r="I28" s="13"/>
      <x:c r="J28" s="15"/>
      <x:c r="K28" s="9" t="str">
        <x:v>Authored mineral outcrops</x:v>
      </x:c>
      <x:c r="L28" s="9" t="str">
        <x:v>Crush, grade and fire with suitable binder</x:v>
      </x:c>
      <x:c r="M28" s="9" t="str">
        <x:v>Not implemented</x:v>
      </x:c>
      <x:c r="N28" s="9" t="str">
        <x:v>New deposit and processing design; no free natural liquid water.</x:v>
      </x:c>
      <x:c r="O28" s="22"/>
      <x:c r="P28" s="22"/>
      <x:c r="Q28" s="22"/>
      <x:c r="R28" s="22"/>
      <x:c r="S28" s="22"/>
      <x:c r="T28" s="9" t="str">
        <x:v>Distribution, collection tool, processing constraints and balance</x:v>
      </x:c>
      <x:c r="U28" s="23"/>
      <x:c r="V28" s="9" t="str">
        <x:v>User design direction, October 14, 2026; local brainstorming. New proposal unless explicitly marked User direction.</x:v>
      </x:c>
    </x:row>
    <x:row r="29" ht="66" customHeight="1">
      <x:c r="A29" s="9" t="str">
        <x:v>proposal.natural.claystone</x:v>
      </x:c>
      <x:c r="B29" s="9" t="str">
        <x:v>Claystone</x:v>
      </x:c>
      <x:c r="C29" s="9" t="str">
        <x:v>Resources</x:v>
      </x:c>
      <x:c r="D29" s="9" t="str">
        <x:v>Raw mineral</x:v>
      </x:c>
      <x:c r="E29" s="9" t="str">
        <x:v>New proposal</x:v>
      </x:c>
      <x:c r="F29" s="9" t="str">
        <x:v>Ceramic bodies and refractory parts</x:v>
      </x:c>
      <x:c r="G29" s="9" t="str">
        <x:v>None</x:v>
      </x:c>
      <x:c r="H29" s="9" t="str">
        <x:v>Legger / local storage proposed</x:v>
      </x:c>
      <x:c r="I29" s="13"/>
      <x:c r="J29" s="15"/>
      <x:c r="K29" s="9" t="str">
        <x:v>Ancient dry sediment beds</x:v>
      </x:c>
      <x:c r="L29" s="9" t="str">
        <x:v>Dry mill for ceramic feed; binder method unresolved</x:v>
      </x:c>
      <x:c r="M29" s="9" t="str">
        <x:v>Not implemented</x:v>
      </x:c>
      <x:c r="N29" s="9" t="str">
        <x:v>New deposit and processing design; no free natural liquid water.</x:v>
      </x:c>
      <x:c r="O29" s="22"/>
      <x:c r="P29" s="22"/>
      <x:c r="Q29" s="22"/>
      <x:c r="R29" s="22"/>
      <x:c r="S29" s="22"/>
      <x:c r="T29" s="9" t="str">
        <x:v>Distribution, collection tool, processing constraints and balance</x:v>
      </x:c>
      <x:c r="U29" s="23"/>
      <x:c r="V29" s="9" t="str">
        <x:v>User design direction, October 14, 2026; local brainstorming. New proposal unless explicitly marked User direction.</x:v>
      </x:c>
    </x:row>
    <x:row r="30" ht="66" customHeight="1">
      <x:c r="A30" s="9" t="str">
        <x:v>proposal.natural.carbonate</x:v>
      </x:c>
      <x:c r="B30" s="9" t="str">
        <x:v>Carbonate stone</x:v>
      </x:c>
      <x:c r="C30" s="9" t="str">
        <x:v>Resources</x:v>
      </x:c>
      <x:c r="D30" s="9" t="str">
        <x:v>Raw mineral</x:v>
      </x:c>
      <x:c r="E30" s="9" t="str">
        <x:v>New proposal</x:v>
      </x:c>
      <x:c r="F30" s="9" t="str">
        <x:v>Mineral binder and construction research</x:v>
      </x:c>
      <x:c r="G30" s="9" t="str">
        <x:v>None</x:v>
      </x:c>
      <x:c r="H30" s="9" t="str">
        <x:v>Legger / local storage proposed</x:v>
      </x:c>
      <x:c r="I30" s="13"/>
      <x:c r="J30" s="15"/>
      <x:c r="K30" s="9" t="str">
        <x:v>Ancient exposed deposits</x:v>
      </x:c>
      <x:c r="L30" s="9" t="str">
        <x:v>Heat to lime; use dry aggregate formulation</x:v>
      </x:c>
      <x:c r="M30" s="9" t="str">
        <x:v>Not implemented</x:v>
      </x:c>
      <x:c r="N30" s="9" t="str">
        <x:v>New deposit and processing design; no free natural liquid water.</x:v>
      </x:c>
      <x:c r="O30" s="22"/>
      <x:c r="P30" s="22"/>
      <x:c r="Q30" s="22"/>
      <x:c r="R30" s="22"/>
      <x:c r="S30" s="22"/>
      <x:c r="T30" s="9" t="str">
        <x:v>Distribution, collection tool, processing constraints and balance</x:v>
      </x:c>
      <x:c r="U30" s="23"/>
      <x:c r="V30" s="9" t="str">
        <x:v>User design direction, October 14, 2026; local brainstorming. New proposal unless explicitly marked User direction.</x:v>
      </x:c>
    </x:row>
    <x:row r="31" ht="66" customHeight="1">
      <x:c r="A31" s="9" t="str">
        <x:v>proposal.natural.salts</x:v>
      </x:c>
      <x:c r="B31" s="9" t="str">
        <x:v>Dry mineral salts</x:v>
      </x:c>
      <x:c r="C31" s="9" t="str">
        <x:v>Resources</x:v>
      </x:c>
      <x:c r="D31" s="9" t="str">
        <x:v>Raw mineral</x:v>
      </x:c>
      <x:c r="E31" s="9" t="str">
        <x:v>New proposal</x:v>
      </x:c>
      <x:c r="F31" s="9" t="str">
        <x:v>Algae culture mineral inputs, subject to biology design</x:v>
      </x:c>
      <x:c r="G31" s="9" t="str">
        <x:v>None</x:v>
      </x:c>
      <x:c r="H31" s="9" t="str">
        <x:v>Legger / local storage proposed</x:v>
      </x:c>
      <x:c r="I31" s="13"/>
      <x:c r="J31" s="15"/>
      <x:c r="K31" s="9" t="str">
        <x:v>Ancient evaporite seams; no current water required</x:v>
      </x:c>
      <x:c r="L31" s="9" t="str">
        <x:v>Sort and grade dry crystals</x:v>
      </x:c>
      <x:c r="M31" s="9" t="str">
        <x:v>Not implemented</x:v>
      </x:c>
      <x:c r="N31" s="9" t="str">
        <x:v>New deposit and processing design; no free natural liquid water.</x:v>
      </x:c>
      <x:c r="O31" s="22"/>
      <x:c r="P31" s="22"/>
      <x:c r="Q31" s="22"/>
      <x:c r="R31" s="22"/>
      <x:c r="S31" s="22"/>
      <x:c r="T31" s="9" t="str">
        <x:v>Distribution, collection tool, processing constraints and balance</x:v>
      </x:c>
      <x:c r="U31" s="23"/>
      <x:c r="V31" s="9" t="str">
        <x:v>User design direction, October 14, 2026; local brainstorming. New proposal unless explicitly marked User direction.</x:v>
      </x:c>
    </x:row>
    <x:row r="32" ht="66" customHeight="1">
      <x:c r="A32" s="9" t="str">
        <x:v>proposal.natural.graphite</x:v>
      </x:c>
      <x:c r="B32" s="9" t="str">
        <x:v>Graphite-bearing stone</x:v>
      </x:c>
      <x:c r="C32" s="9" t="str">
        <x:v>Resources</x:v>
      </x:c>
      <x:c r="D32" s="9" t="str">
        <x:v>Raw mineral</x:v>
      </x:c>
      <x:c r="E32" s="9" t="str">
        <x:v>New proposal</x:v>
      </x:c>
      <x:c r="F32" s="9" t="str">
        <x:v>Dry lubrication and conductive composites</x:v>
      </x:c>
      <x:c r="G32" s="9" t="str">
        <x:v>None</x:v>
      </x:c>
      <x:c r="H32" s="9" t="str">
        <x:v>Legger / local storage proposed</x:v>
      </x:c>
      <x:c r="I32" s="13"/>
      <x:c r="J32" s="15"/>
      <x:c r="K32" s="9" t="str">
        <x:v>Sparse mineral seams</x:v>
      </x:c>
      <x:c r="L32" s="9" t="str">
        <x:v>Separate and grade carbon flakes</x:v>
      </x:c>
      <x:c r="M32" s="9" t="str">
        <x:v>Not implemented</x:v>
      </x:c>
      <x:c r="N32" s="9" t="str">
        <x:v>New deposit and processing design; no free natural liquid water.</x:v>
      </x:c>
      <x:c r="O32" s="22"/>
      <x:c r="P32" s="22"/>
      <x:c r="Q32" s="22"/>
      <x:c r="R32" s="22"/>
      <x:c r="S32" s="22"/>
      <x:c r="T32" s="9" t="str">
        <x:v>Distribution, collection tool, processing constraints and balance</x:v>
      </x:c>
      <x:c r="U32" s="23"/>
      <x:c r="V32" s="9" t="str">
        <x:v>User design direction, October 14, 2026; local brainstorming. New proposal unless explicitly marked User direction.</x:v>
      </x:c>
    </x:row>
    <x:row r="33" ht="66" customHeight="1">
      <x:c r="A33" s="9" t="str">
        <x:v>proposal.natural.mica</x:v>
      </x:c>
      <x:c r="B33" s="9" t="str">
        <x:v>Mica sheets</x:v>
      </x:c>
      <x:c r="C33" s="9" t="str">
        <x:v>Resources</x:v>
      </x:c>
      <x:c r="D33" s="9" t="str">
        <x:v>Raw mineral</x:v>
      </x:c>
      <x:c r="E33" s="9" t="str">
        <x:v>New proposal</x:v>
      </x:c>
      <x:c r="F33" s="9" t="str">
        <x:v>Insulating separators and heat shields</x:v>
      </x:c>
      <x:c r="G33" s="9" t="str">
        <x:v>None</x:v>
      </x:c>
      <x:c r="H33" s="9" t="str">
        <x:v>Legger / local storage proposed</x:v>
      </x:c>
      <x:c r="I33" s="13"/>
      <x:c r="J33" s="15"/>
      <x:c r="K33" s="9" t="str">
        <x:v>Layered mineral outcrops</x:v>
      </x:c>
      <x:c r="L33" s="9" t="str">
        <x:v>Split and trim plates</x:v>
      </x:c>
      <x:c r="M33" s="9" t="str">
        <x:v>Not implemented</x:v>
      </x:c>
      <x:c r="N33" s="9" t="str">
        <x:v>New deposit and processing design; no free natural liquid water.</x:v>
      </x:c>
      <x:c r="O33" s="22"/>
      <x:c r="P33" s="22"/>
      <x:c r="Q33" s="22"/>
      <x:c r="R33" s="22"/>
      <x:c r="S33" s="22"/>
      <x:c r="T33" s="9" t="str">
        <x:v>Distribution, collection tool, processing constraints and balance</x:v>
      </x:c>
      <x:c r="U33" s="23"/>
      <x:c r="V33" s="9" t="str">
        <x:v>User design direction, October 14, 2026; local brainstorming. New proposal unless explicitly marked User direction.</x:v>
      </x:c>
    </x:row>
    <x:row r="34" ht="66" customHeight="1">
      <x:c r="A34" s="9" t="str">
        <x:v>proposal.natural.iron_feed</x:v>
      </x:c>
      <x:c r="B34" s="9" t="str">
        <x:v>Iron-rich mineral feed</x:v>
      </x:c>
      <x:c r="C34" s="9" t="str">
        <x:v>Resources</x:v>
      </x:c>
      <x:c r="D34" s="9" t="str">
        <x:v>Processed mineral</x:v>
      </x:c>
      <x:c r="E34" s="9" t="str">
        <x:v>New proposal</x:v>
      </x:c>
      <x:c r="F34" s="9" t="str">
        <x:v>Intermediate feed for an eventual furnace</x:v>
      </x:c>
      <x:c r="G34" s="9" t="str">
        <x:v>None</x:v>
      </x:c>
      <x:c r="H34" s="9" t="str">
        <x:v>Legger / local storage proposed</x:v>
      </x:c>
      <x:c r="I34" s="13"/>
      <x:c r="J34" s="15"/>
      <x:c r="K34" s="9" t="str">
        <x:v>Process magnetite</x:v>
      </x:c>
      <x:c r="L34" s="9" t="str">
        <x:v>Dry crush and magnetic separation</x:v>
      </x:c>
      <x:c r="M34" s="9" t="str">
        <x:v>Not implemented</x:v>
      </x:c>
      <x:c r="N34" s="9" t="str">
        <x:v>Distinct proposal from existing Iron-rich Concentrate; decide whether to merge them.</x:v>
      </x:c>
      <x:c r="O34" s="22"/>
      <x:c r="P34" s="22"/>
      <x:c r="Q34" s="22"/>
      <x:c r="R34" s="22"/>
      <x:c r="S34" s="22"/>
      <x:c r="T34" s="9" t="str">
        <x:v>Choose production chain and possible reuse of existing item definitions</x:v>
      </x:c>
      <x:c r="U34" s="23"/>
      <x:c r="V34" s="9" t="str">
        <x:v>User design direction, October 14, 2026; local brainstorming. New proposal unless explicitly marked User direction.</x:v>
      </x:c>
    </x:row>
    <x:row r="35" ht="66" customHeight="1">
      <x:c r="A35" s="9" t="str">
        <x:v>proposal.natural.iron_stock</x:v>
      </x:c>
      <x:c r="B35" s="9" t="str">
        <x:v>Worked iron stock</x:v>
      </x:c>
      <x:c r="C35" s="9" t="str">
        <x:v>Resources</x:v>
      </x:c>
      <x:c r="D35" s="9" t="str">
        <x:v>Processed mineral</x:v>
      </x:c>
      <x:c r="E35" s="9" t="str">
        <x:v>New proposal</x:v>
      </x:c>
      <x:c r="F35" s="9" t="str">
        <x:v>Repair stock, fasteners and structural tool parts</x:v>
      </x:c>
      <x:c r="G35" s="9" t="str">
        <x:v>None</x:v>
      </x:c>
      <x:c r="H35" s="9" t="str">
        <x:v>Legger / local storage proposed</x:v>
      </x:c>
      <x:c r="I35" s="13"/>
      <x:c r="J35" s="15"/>
      <x:c r="K35" s="9" t="str">
        <x:v>Process iron_feed</x:v>
      </x:c>
      <x:c r="L35" s="9" t="str">
        <x:v>Smelt, forge and finish at a stationary facility</x:v>
      </x:c>
      <x:c r="M35" s="9" t="str">
        <x:v>Not implemented</x:v>
      </x:c>
      <x:c r="N35" s="9" t="str">
        <x:v>Fuel, furnace, alloy and process choices unresolved; no Legger crafting platform.</x:v>
      </x:c>
      <x:c r="O35" s="22"/>
      <x:c r="P35" s="22"/>
      <x:c r="Q35" s="22"/>
      <x:c r="R35" s="22"/>
      <x:c r="S35" s="22"/>
      <x:c r="T35" s="9" t="str">
        <x:v>Choose production chain and possible reuse of existing item definitions</x:v>
      </x:c>
      <x:c r="U35" s="23"/>
      <x:c r="V35" s="9" t="str">
        <x:v>User design direction, October 14, 2026; local brainstorming. New proposal unless explicitly marked User direction.</x:v>
      </x:c>
    </x:row>
    <x:row r="36" ht="66" customHeight="1">
      <x:c r="A36" s="9" t="str">
        <x:v>proposal.natural.abrasive</x:v>
      </x:c>
      <x:c r="B36" s="9" t="str">
        <x:v>Graded abrasive grit</x:v>
      </x:c>
      <x:c r="C36" s="9" t="str">
        <x:v>Resources</x:v>
      </x:c>
      <x:c r="D36" s="9" t="str">
        <x:v>Processed mineral</x:v>
      </x:c>
      <x:c r="E36" s="9" t="str">
        <x:v>New proposal</x:v>
      </x:c>
      <x:c r="F36" s="9" t="str">
        <x:v>Tool sharpening and surface preparation</x:v>
      </x:c>
      <x:c r="G36" s="9" t="str">
        <x:v>None</x:v>
      </x:c>
      <x:c r="H36" s="9" t="str">
        <x:v>Legger / local storage proposed</x:v>
      </x:c>
      <x:c r="I36" s="13"/>
      <x:c r="J36" s="15"/>
      <x:c r="K36" s="9" t="str">
        <x:v>Process silica</x:v>
      </x:c>
      <x:c r="L36" s="9" t="str">
        <x:v>Dry sieve and grade</x:v>
      </x:c>
      <x:c r="M36" s="9" t="str">
        <x:v>Not implemented</x:v>
      </x:c>
      <x:c r="N36" s="9" t="str">
        <x:v>Could reuse existing Mineral Sand instead; resolve before implementation.</x:v>
      </x:c>
      <x:c r="O36" s="22"/>
      <x:c r="P36" s="22"/>
      <x:c r="Q36" s="22"/>
      <x:c r="R36" s="22"/>
      <x:c r="S36" s="22"/>
      <x:c r="T36" s="9" t="str">
        <x:v>Choose production chain and possible reuse of existing item definitions</x:v>
      </x:c>
      <x:c r="U36" s="23"/>
      <x:c r="V36" s="9" t="str">
        <x:v>User design direction, October 14, 2026; local brainstorming. New proposal unless explicitly marked User direction.</x:v>
      </x:c>
    </x:row>
    <x:row r="37" ht="66" customHeight="1">
      <x:c r="A37" s="9" t="str">
        <x:v>proposal.natural.ceramic</x:v>
      </x:c>
      <x:c r="B37" s="9" t="str">
        <x:v>Insulating ceramic blanks</x:v>
      </x:c>
      <x:c r="C37" s="9" t="str">
        <x:v>Resources</x:v>
      </x:c>
      <x:c r="D37" s="9" t="str">
        <x:v>Processed mineral</x:v>
      </x:c>
      <x:c r="E37" s="9" t="str">
        <x:v>New proposal</x:v>
      </x:c>
      <x:c r="F37" s="9" t="str">
        <x:v>Grounding-kit spacers and heat-resistant fixtures</x:v>
      </x:c>
      <x:c r="G37" s="9" t="str">
        <x:v>None</x:v>
      </x:c>
      <x:c r="H37" s="9" t="str">
        <x:v>Legger / local storage proposed</x:v>
      </x:c>
      <x:c r="I37" s="13"/>
      <x:c r="J37" s="15"/>
      <x:c r="K37" s="9" t="str">
        <x:v>Process alumina</x:v>
      </x:c>
      <x:c r="L37" s="9" t="str">
        <x:v>Dry feed preparation, forming and firing</x:v>
      </x:c>
      <x:c r="M37" s="9" t="str">
        <x:v>Not implemented</x:v>
      </x:c>
      <x:c r="N37" s="9" t="str">
        <x:v>Claystone may be a co-input; forming binder/energy not settled.</x:v>
      </x:c>
      <x:c r="O37" s="22"/>
      <x:c r="P37" s="22"/>
      <x:c r="Q37" s="22"/>
      <x:c r="R37" s="22"/>
      <x:c r="S37" s="22"/>
      <x:c r="T37" s="9" t="str">
        <x:v>Choose production chain and possible reuse of existing item definitions</x:v>
      </x:c>
      <x:c r="U37" s="23"/>
      <x:c r="V37" s="9" t="str">
        <x:v>User design direction, October 14, 2026; local brainstorming. New proposal unless explicitly marked User direction.</x:v>
      </x:c>
    </x:row>
    <x:row r="38" ht="66" customHeight="1">
      <x:c r="A38" s="9" t="str">
        <x:v>proposal.natural.lime</x:v>
      </x:c>
      <x:c r="B38" s="9" t="str">
        <x:v>Calcined mineral binder</x:v>
      </x:c>
      <x:c r="C38" s="9" t="str">
        <x:v>Resources</x:v>
      </x:c>
      <x:c r="D38" s="9" t="str">
        <x:v>Processed mineral</x:v>
      </x:c>
      <x:c r="E38" s="9" t="str">
        <x:v>New proposal</x:v>
      </x:c>
      <x:c r="F38" s="9" t="str">
        <x:v>Dry composite repair and construction</x:v>
      </x:c>
      <x:c r="G38" s="9" t="str">
        <x:v>None</x:v>
      </x:c>
      <x:c r="H38" s="9" t="str">
        <x:v>Legger / local storage proposed</x:v>
      </x:c>
      <x:c r="I38" s="13"/>
      <x:c r="J38" s="15"/>
      <x:c r="K38" s="9" t="str">
        <x:v>Process carbonate</x:v>
      </x:c>
      <x:c r="L38" s="9" t="str">
        <x:v>Heat mineral feed; retain dry product</x:v>
      </x:c>
      <x:c r="M38" s="9" t="str">
        <x:v>Not implemented</x:v>
      </x:c>
      <x:c r="N38" s="9" t="str">
        <x:v>No conventional water-based cement recipe assumed.</x:v>
      </x:c>
      <x:c r="O38" s="22"/>
      <x:c r="P38" s="22"/>
      <x:c r="Q38" s="22"/>
      <x:c r="R38" s="22"/>
      <x:c r="S38" s="22"/>
      <x:c r="T38" s="9" t="str">
        <x:v>Choose production chain and possible reuse of existing item definitions</x:v>
      </x:c>
      <x:c r="U38" s="23"/>
      <x:c r="V38" s="9" t="str">
        <x:v>User design direction, October 14, 2026; local brainstorming. New proposal unless explicitly marked User direction.</x:v>
      </x:c>
    </x:row>
    <x:row r="39" ht="66" customHeight="1">
      <x:c r="A39" s="9" t="str">
        <x:v>proposal.natural.carbon</x:v>
      </x:c>
      <x:c r="B39" s="9" t="str">
        <x:v>Graded graphite flakes</x:v>
      </x:c>
      <x:c r="C39" s="9" t="str">
        <x:v>Resources</x:v>
      </x:c>
      <x:c r="D39" s="9" t="str">
        <x:v>Processed mineral</x:v>
      </x:c>
      <x:c r="E39" s="9" t="str">
        <x:v>New proposal</x:v>
      </x:c>
      <x:c r="F39" s="9" t="str">
        <x:v>Dry lubricant; conductive composite ingredient</x:v>
      </x:c>
      <x:c r="G39" s="9" t="str">
        <x:v>None</x:v>
      </x:c>
      <x:c r="H39" s="9" t="str">
        <x:v>Legger / local storage proposed</x:v>
      </x:c>
      <x:c r="I39" s="13"/>
      <x:c r="J39" s="15"/>
      <x:c r="K39" s="9" t="str">
        <x:v>Process graphite</x:v>
      </x:c>
      <x:c r="L39" s="9" t="str">
        <x:v>Crush and dry grade</x:v>
      </x:c>
      <x:c r="M39" s="9" t="str">
        <x:v>Not implemented</x:v>
      </x:c>
      <x:c r="N39" s="9" t="str">
        <x:v>Not a power source; graphite behavior and recipe details remain provisional.</x:v>
      </x:c>
      <x:c r="O39" s="22"/>
      <x:c r="P39" s="22"/>
      <x:c r="Q39" s="22"/>
      <x:c r="R39" s="22"/>
      <x:c r="S39" s="22"/>
      <x:c r="T39" s="9" t="str">
        <x:v>Choose production chain and possible reuse of existing item definitions</x:v>
      </x:c>
      <x:c r="U39" s="23"/>
      <x:c r="V39" s="9" t="str">
        <x:v>User design direction, October 14, 2026; local brainstorming. New proposal unless explicitly marked User direction.</x:v>
      </x:c>
    </x:row>
    <x:row r="40" ht="66" customHeight="1">
      <x:c r="A40" s="9" t="str">
        <x:v>proposal.bio.shell</x:v>
      </x:c>
      <x:c r="B40" s="9" t="str">
        <x:v>Shell husks / shed plates</x:v>
      </x:c>
      <x:c r="C40" s="9" t="str">
        <x:v>Resources</x:v>
      </x:c>
      <x:c r="D40" s="9" t="str">
        <x:v>Molted exoskeleton</x:v>
      </x:c>
      <x:c r="E40" s="9" t="str">
        <x:v>New proposal</x:v>
      </x:c>
      <x:c r="F40" s="9" t="str">
        <x:v>Source of abundant scraped chitin and icore fibers; possible structural plate uses.</x:v>
      </x:c>
      <x:c r="G40" s="9" t="str">
        <x:v>None</x:v>
      </x:c>
      <x:c r="H40" s="9" t="str">
        <x:v>Legger / local storage proposed</x:v>
      </x:c>
      <x:c r="I40" s="13"/>
      <x:c r="J40" s="15"/>
      <x:c r="K40" s="9" t="str">
        <x:v>Discarded shell husks; creature-specific collection remains proposed</x:v>
      </x:c>
      <x:c r="L40" s="9" t="str">
        <x:v>Scrape fibers for paper and difficult pressed textile processing</x:v>
      </x:c>
      <x:c r="M40" s="9" t="str">
        <x:v>Not implemented</x:v>
      </x:c>
      <x:c r="N40" s="9" t="str">
        <x:v>Raw fiber abundance does not imply easy finished textile production; no cloth.</x:v>
      </x:c>
      <x:c r="O40" s="22"/>
      <x:c r="P40" s="22"/>
      <x:c r="Q40" s="22"/>
      <x:c r="R40" s="22"/>
      <x:c r="S40" s="22"/>
      <x:c r="T40" s="9" t="str">
        <x:v>Species-specific shell properties and structural uses remain proposals</x:v>
      </x:c>
      <x:c r="U40" s="23"/>
      <x:c r="V40" s="9" t="str">
        <x:v>Docs/WORLD_BASIS.md#material-culture; author direction October 14, 2026. Process details and specific product forms remain unimplemented.</x:v>
      </x:c>
    </x:row>
    <x:row r="41" ht="66" customHeight="1">
      <x:c r="A41" s="9" t="str">
        <x:v>proposal.bio.tendon</x:v>
      </x:c>
      <x:c r="B41" s="9" t="str">
        <x:v>Dried tendon bundles</x:v>
      </x:c>
      <x:c r="C41" s="9" t="str">
        <x:v>Resources</x:v>
      </x:c>
      <x:c r="D41" s="9" t="str">
        <x:v>Connective tissue</x:v>
      </x:c>
      <x:c r="E41" s="9" t="str">
        <x:v>New proposal</x:v>
      </x:c>
      <x:c r="F41" s="9" t="str">
        <x:v>Cordage and flexible bindings</x:v>
      </x:c>
      <x:c r="G41" s="9" t="str">
        <x:v>None</x:v>
      </x:c>
      <x:c r="H41" s="9" t="str">
        <x:v>Legger / local storage proposed</x:v>
      </x:c>
      <x:c r="I41" s="13"/>
      <x:c r="J41" s="15"/>
      <x:c r="K41" s="9" t="str">
        <x:v>Carcass joints and limb anchors</x:v>
      </x:c>
      <x:c r="L41" s="9" t="str">
        <x:v>See Resource chains</x:v>
      </x:c>
      <x:c r="M41" s="9" t="str">
        <x:v>Not implemented</x:v>
      </x:c>
      <x:c r="N41" s="9" t="str">
        <x:v>No yield numbers. Internal chemistry is mostly toxic to humans; faunal chemicals/liquids can be materials. Anatomy and containment remain unresolved.</x:v>
      </x:c>
      <x:c r="O41" s="22"/>
      <x:c r="P41" s="22"/>
      <x:c r="Q41" s="22"/>
      <x:c r="R41" s="22"/>
      <x:c r="S41" s="22"/>
      <x:c r="T41" s="9" t="str">
        <x:v>Ecology, tissue preservation, safe fiction, processing and final naming</x:v>
      </x:c>
      <x:c r="U41" s="23"/>
      <x:c r="V41" s="9" t="str">
        <x:v>User design direction, October 14, 2026; local brainstorming. New proposal unless explicitly marked User direction.</x:v>
      </x:c>
    </x:row>
    <x:row r="42" ht="66" customHeight="1">
      <x:c r="A42" s="9" t="str">
        <x:v>proposal.bio.bristles</x:v>
      </x:c>
      <x:c r="B42" s="9" t="str">
        <x:v>Coarse sensory bristles</x:v>
      </x:c>
      <x:c r="C42" s="9" t="str">
        <x:v>Resources</x:v>
      </x:c>
      <x:c r="D42" s="9" t="str">
        <x:v>Dry fibers</x:v>
      </x:c>
      <x:c r="E42" s="9" t="str">
        <x:v>New proposal</x:v>
      </x:c>
      <x:c r="F42" s="9" t="str">
        <x:v>Dust seals, brushes and filter research</x:v>
      </x:c>
      <x:c r="G42" s="9" t="str">
        <x:v>None</x:v>
      </x:c>
      <x:c r="H42" s="9" t="str">
        <x:v>Legger / local storage proposed</x:v>
      </x:c>
      <x:c r="I42" s="13"/>
      <x:c r="J42" s="15"/>
      <x:c r="K42" s="9" t="str">
        <x:v>Shed bristles and carcass brushes</x:v>
      </x:c>
      <x:c r="L42" s="9" t="str">
        <x:v>See Resource chains</x:v>
      </x:c>
      <x:c r="M42" s="9" t="str">
        <x:v>Not implemented</x:v>
      </x:c>
      <x:c r="N42" s="9" t="str">
        <x:v>No yield numbers. Internal chemistry is mostly toxic to humans; faunal chemicals/liquids can be materials. Anatomy and containment remain unresolved.</x:v>
      </x:c>
      <x:c r="O42" s="22"/>
      <x:c r="P42" s="22"/>
      <x:c r="Q42" s="22"/>
      <x:c r="R42" s="22"/>
      <x:c r="S42" s="22"/>
      <x:c r="T42" s="9" t="str">
        <x:v>Ecology, tissue preservation, safe fiction, processing and final naming</x:v>
      </x:c>
      <x:c r="U42" s="23"/>
      <x:c r="V42" s="9" t="str">
        <x:v>User design direction, October 14, 2026; local brainstorming. New proposal unless explicitly marked User direction.</x:v>
      </x:c>
    </x:row>
    <x:row r="43" ht="66" customHeight="1">
      <x:c r="A43" s="9" t="str">
        <x:v>proposal.bio.underfur</x:v>
      </x:c>
      <x:c r="B43" s="9" t="str">
        <x:v>Shed underfur</x:v>
      </x:c>
      <x:c r="C43" s="9" t="str">
        <x:v>Resources</x:v>
      </x:c>
      <x:c r="D43" s="9" t="str">
        <x:v>Dry fibers</x:v>
      </x:c>
      <x:c r="E43" s="9" t="str">
        <x:v>New proposal</x:v>
      </x:c>
      <x:c r="F43" s="9" t="str">
        <x:v>Raw fur for extremely low-yield material processing.</x:v>
      </x:c>
      <x:c r="G43" s="9" t="str">
        <x:v>None</x:v>
      </x:c>
      <x:c r="H43" s="9" t="str">
        <x:v>Legger / local storage proposed</x:v>
      </x:c>
      <x:c r="I43" s="13"/>
      <x:c r="J43" s="15"/>
      <x:c r="K43" s="9" t="str">
        <x:v>Abandoned resting hollows and natural shedding</x:v>
      </x:c>
      <x:c r="L43" s="9" t="str">
        <x:v>Extremely low usable yield for textile/material processing</x:v>
      </x:c>
      <x:c r="M43" s="9" t="str">
        <x:v>Not implemented</x:v>
      </x:c>
      <x:c r="N43" s="9" t="str">
        <x:v>No cloth. Raw collection amount does not establish processed yield.</x:v>
      </x:c>
      <x:c r="O43" s="22"/>
      <x:c r="P43" s="22"/>
      <x:c r="Q43" s="22"/>
      <x:c r="R43" s="22"/>
      <x:c r="S43" s="22"/>
      <x:c r="T43" s="9" t="str">
        <x:v>Specific fur types and outputs remain proposals; no numeric yield; fashion-crafting input: high sale-value intent; large material/time demand; exact prices and quantities TBD</x:v>
      </x:c>
      <x:c r="U43" s="23"/>
      <x:c r="V43" s="9" t="str">
        <x:v>Docs/WORLD_BASIS.md#material-culture; author direction October 14, 2026. Process details and specific product forms remain unimplemented.</x:v>
      </x:c>
    </x:row>
    <x:row r="44" ht="66" customHeight="1">
      <x:c r="A44" s="9" t="str">
        <x:v>proposal.bio.jaw</x:v>
      </x:c>
      <x:c r="B44" s="9" t="str">
        <x:v>Dense jaw plates</x:v>
      </x:c>
      <x:c r="C44" s="9" t="str">
        <x:v>Resources</x:v>
      </x:c>
      <x:c r="D44" s="9" t="str">
        <x:v>Hard tissue</x:v>
      </x:c>
      <x:c r="E44" s="9" t="str">
        <x:v>New proposal</x:v>
      </x:c>
      <x:c r="F44" s="9" t="str">
        <x:v>Tool edges and wear inserts</x:v>
      </x:c>
      <x:c r="G44" s="9" t="str">
        <x:v>None</x:v>
      </x:c>
      <x:c r="H44" s="9" t="str">
        <x:v>Legger / local storage proposed</x:v>
      </x:c>
      <x:c r="I44" s="13"/>
      <x:c r="J44" s="15"/>
      <x:c r="K44" s="9" t="str">
        <x:v>Carcass chewing and digging mouthparts</x:v>
      </x:c>
      <x:c r="L44" s="9" t="str">
        <x:v>See Resource chains</x:v>
      </x:c>
      <x:c r="M44" s="9" t="str">
        <x:v>Not implemented</x:v>
      </x:c>
      <x:c r="N44" s="9" t="str">
        <x:v>No yield numbers. Internal chemistry is mostly toxic to humans; faunal chemicals/liquids can be materials. Anatomy and containment remain unresolved.</x:v>
      </x:c>
      <x:c r="O44" s="22"/>
      <x:c r="P44" s="22"/>
      <x:c r="Q44" s="22"/>
      <x:c r="R44" s="22"/>
      <x:c r="S44" s="22"/>
      <x:c r="T44" s="9" t="str">
        <x:v>Ecology, tissue preservation, safe fiction, processing and final naming</x:v>
      </x:c>
      <x:c r="U44" s="23"/>
      <x:c r="V44" s="9" t="str">
        <x:v>User design direction, October 14, 2026; local brainstorming. New proposal unless explicitly marked User direction.</x:v>
      </x:c>
    </x:row>
    <x:row r="45" ht="66" customHeight="1">
      <x:c r="A45" s="9" t="str">
        <x:v>proposal.bio.membrane</x:v>
      </x:c>
      <x:c r="B45" s="9" t="str">
        <x:v>Dried joint membrane</x:v>
      </x:c>
      <x:c r="C45" s="9" t="str">
        <x:v>Resources</x:v>
      </x:c>
      <x:c r="D45" s="9" t="str">
        <x:v>Flexible tissue</x:v>
      </x:c>
      <x:c r="E45" s="9" t="str">
        <x:v>New proposal</x:v>
      </x:c>
      <x:c r="F45" s="9" t="str">
        <x:v>Flexible seals and patch material</x:v>
      </x:c>
      <x:c r="G45" s="9" t="str">
        <x:v>None</x:v>
      </x:c>
      <x:c r="H45" s="9" t="str">
        <x:v>Legger / local storage proposed</x:v>
      </x:c>
      <x:c r="I45" s="13"/>
      <x:c r="J45" s="15"/>
      <x:c r="K45" s="9" t="str">
        <x:v>Carcass limb joints and body folds</x:v>
      </x:c>
      <x:c r="L45" s="9" t="str">
        <x:v>See Resource chains</x:v>
      </x:c>
      <x:c r="M45" s="9" t="str">
        <x:v>Not implemented</x:v>
      </x:c>
      <x:c r="N45" s="9" t="str">
        <x:v>Flexible tissue proposal; does not establish cloth. Processing and preservation remain open.</x:v>
      </x:c>
      <x:c r="O45" s="22"/>
      <x:c r="P45" s="22"/>
      <x:c r="Q45" s="22"/>
      <x:c r="R45" s="22"/>
      <x:c r="S45" s="22"/>
      <x:c r="T45" s="9" t="str">
        <x:v>Ecology, tissue preservation, safe fiction, processing and final naming</x:v>
      </x:c>
      <x:c r="U45" s="23"/>
      <x:c r="V45" s="9" t="str">
        <x:v>User design direction, October 14, 2026; local brainstorming. New proposal unless explicitly marked User direction.</x:v>
      </x:c>
    </x:row>
    <x:row r="46" ht="66" customHeight="1">
      <x:c r="A46" s="9" t="str">
        <x:v>proposal.bio.fat</x:v>
      </x:c>
      <x:c r="B46" s="9" t="str">
        <x:v>Unverified fat-like tissue concept</x:v>
      </x:c>
      <x:c r="C46" s="9" t="str">
        <x:v>Resources</x:v>
      </x:c>
      <x:c r="D46" s="9" t="str">
        <x:v>Perishable tissue</x:v>
      </x:c>
      <x:c r="E46" s="9" t="str">
        <x:v>Needs lore anatomy review</x:v>
      </x:c>
      <x:c r="F46" s="9" t="str">
        <x:v>Earlier conventional-fat assumption withheld pending Burden Beasts anatomy review.</x:v>
      </x:c>
      <x:c r="G46" s="9" t="str">
        <x:v>None</x:v>
      </x:c>
      <x:c r="H46" s="9" t="str">
        <x:v>Legger / local storage proposed</x:v>
      </x:c>
      <x:c r="I46" s="13"/>
      <x:c r="J46" s="15"/>
      <x:c r="K46" s="9" t="str">
        <x:v>No validated species or anatomy source</x:v>
      </x:c>
      <x:c r="L46" s="9" t="str">
        <x:v>Prior wax/lubricant route is a conditional proposal only</x:v>
      </x:c>
      <x:c r="M46" s="9" t="str">
        <x:v>Not implemented</x:v>
      </x:c>
      <x:c r="N46" s="9" t="str">
        <x:v>Most fauna lacks traditional flesh; conventional mammalian fat cannot be assumed. Not an established food.</x:v>
      </x:c>
      <x:c r="O46" s="22"/>
      <x:c r="P46" s="22"/>
      <x:c r="Q46" s="22"/>
      <x:c r="R46" s="22"/>
      <x:c r="S46" s="22"/>
      <x:c r="T46" s="9" t="str">
        <x:v>Review actual Burden Beasts anatomy before assigning tissue properties</x:v>
      </x:c>
      <x:c r="U46" s="23"/>
      <x:c r="V46" s="9" t="str">
        <x:v>Docs/WORLD_BASIS.md#faunal-biology-and-material-use; direct author direction October 14, 2026. Related source anatomy proposals now accessible at f6f98515; this item awaits reconciliation; identities and processing remain undefined.</x:v>
      </x:c>
    </x:row>
    <x:row r="47" ht="66" customHeight="1">
      <x:c r="A47" s="9" t="str">
        <x:v>proposal.bio.organ</x:v>
      </x:c>
      <x:c r="B47" s="9" t="str">
        <x:v>Charge-organ tissue</x:v>
      </x:c>
      <x:c r="C47" s="9" t="str">
        <x:v>Resources</x:v>
      </x:c>
      <x:c r="D47" s="9" t="str">
        <x:v>Specialized tissue</x:v>
      </x:c>
      <x:c r="E47" s="9" t="str">
        <x:v>New proposal</x:v>
      </x:c>
      <x:c r="F47" s="9" t="str">
        <x:v>Dry electrode scaffold research, not bottled electricity</x:v>
      </x:c>
      <x:c r="G47" s="9" t="str">
        <x:v>None</x:v>
      </x:c>
      <x:c r="H47" s="9" t="str">
        <x:v>Legger / local storage proposed</x:v>
      </x:c>
      <x:c r="I47" s="13"/>
      <x:c r="J47" s="15"/>
      <x:c r="K47" s="9" t="str">
        <x:v>Rare storm-adapted fauna; anatomy provisional</x:v>
      </x:c>
      <x:c r="L47" s="9" t="str">
        <x:v>See Resource chains</x:v>
      </x:c>
      <x:c r="M47" s="9" t="str">
        <x:v>Not implemented</x:v>
      </x:c>
      <x:c r="N47" s="9" t="str">
        <x:v>No yield numbers. Internal chemistry is mostly toxic to humans; faunal chemicals/liquids can be materials. Anatomy and containment remain unresolved.</x:v>
      </x:c>
      <x:c r="O47" s="22"/>
      <x:c r="P47" s="22"/>
      <x:c r="Q47" s="22"/>
      <x:c r="R47" s="22"/>
      <x:c r="S47" s="22"/>
      <x:c r="T47" s="9" t="str">
        <x:v>Ecology, tissue preservation, safe fiction, processing and final naming</x:v>
      </x:c>
      <x:c r="U47" s="23"/>
      <x:c r="V47" s="9" t="str">
        <x:v>User design direction, October 14, 2026; local brainstorming. New proposal unless explicitly marked User direction.</x:v>
      </x:c>
    </x:row>
    <x:row r="48" ht="66" customHeight="1">
      <x:c r="A48" s="9" t="str">
        <x:v>proposal.bio.laminate</x:v>
      </x:c>
      <x:c r="B48" s="9" t="str">
        <x:v>Shell laminate</x:v>
      </x:c>
      <x:c r="C48" s="9" t="str">
        <x:v>Crafting components</x:v>
      </x:c>
      <x:c r="D48" s="9" t="str">
        <x:v>Processed biological</x:v>
      </x:c>
      <x:c r="E48" s="9" t="str">
        <x:v>New proposal</x:v>
      </x:c>
      <x:c r="F48" s="9" t="str">
        <x:v>Light armor panels and impact guards</x:v>
      </x:c>
      <x:c r="G48" s="9" t="str">
        <x:v>None</x:v>
      </x:c>
      <x:c r="H48" s="9" t="str">
        <x:v>Legger / local storage proposed</x:v>
      </x:c>
      <x:c r="I48" s="13"/>
      <x:c r="J48" s="15"/>
      <x:c r="K48" s="9" t="str">
        <x:v>Process shell</x:v>
      </x:c>
      <x:c r="L48" s="9" t="str">
        <x:v>Trim, layer and bind dry plates</x:v>
      </x:c>
      <x:c r="M48" s="9" t="str">
        <x:v>Not implemented</x:v>
      </x:c>
      <x:c r="N48" s="9" t="str">
        <x:v>Speculative material capability; no effects or real processing instructions established.</x:v>
      </x:c>
      <x:c r="O48" s="22"/>
      <x:c r="P48" s="22"/>
      <x:c r="Q48" s="22"/>
      <x:c r="R48" s="22"/>
      <x:c r="S48" s="22"/>
      <x:c r="T48" s="9" t="str">
        <x:v>Material properties, additives, station, balance and world-rule compatibility</x:v>
      </x:c>
      <x:c r="U48" s="23"/>
      <x:c r="V48" s="9" t="str">
        <x:v>User design direction, October 14, 2026; local brainstorming. New proposal unless explicitly marked User direction.</x:v>
      </x:c>
    </x:row>
    <x:row r="49" ht="66" customHeight="1">
      <x:c r="A49" s="9" t="str">
        <x:v>proposal.bio.cord</x:v>
      </x:c>
      <x:c r="B49" s="9" t="str">
        <x:v>Tendon cord</x:v>
      </x:c>
      <x:c r="C49" s="9" t="str">
        <x:v>Crafting components</x:v>
      </x:c>
      <x:c r="D49" s="9" t="str">
        <x:v>Processed biological</x:v>
      </x:c>
      <x:c r="E49" s="9" t="str">
        <x:v>New proposal</x:v>
      </x:c>
      <x:c r="F49" s="9" t="str">
        <x:v>Tool lashings and field repairs</x:v>
      </x:c>
      <x:c r="G49" s="9" t="str">
        <x:v>None</x:v>
      </x:c>
      <x:c r="H49" s="9" t="str">
        <x:v>Legger / local storage proposed</x:v>
      </x:c>
      <x:c r="I49" s="13"/>
      <x:c r="J49" s="15"/>
      <x:c r="K49" s="9" t="str">
        <x:v>Process tendon</x:v>
      </x:c>
      <x:c r="L49" s="9" t="str">
        <x:v>Dry, split, twist and bind</x:v>
      </x:c>
      <x:c r="M49" s="9" t="str">
        <x:v>Not implemented</x:v>
      </x:c>
      <x:c r="N49" s="9" t="str">
        <x:v>Speculative material capability; no effects or real processing instructions established.</x:v>
      </x:c>
      <x:c r="O49" s="22"/>
      <x:c r="P49" s="22"/>
      <x:c r="Q49" s="22"/>
      <x:c r="R49" s="22"/>
      <x:c r="S49" s="22"/>
      <x:c r="T49" s="9" t="str">
        <x:v>Material properties, additives, station, balance and world-rule compatibility</x:v>
      </x:c>
      <x:c r="U49" s="23"/>
      <x:c r="V49" s="9" t="str">
        <x:v>User design direction, October 14, 2026; local brainstorming. New proposal unless explicitly marked User direction.</x:v>
      </x:c>
    </x:row>
    <x:row r="50" ht="66" customHeight="1">
      <x:c r="A50" s="9" t="str">
        <x:v>proposal.bio.brush</x:v>
      </x:c>
      <x:c r="B50" s="9" t="str">
        <x:v>Bristle brush strips</x:v>
      </x:c>
      <x:c r="C50" s="9" t="str">
        <x:v>Crafting components</x:v>
      </x:c>
      <x:c r="D50" s="9" t="str">
        <x:v>Processed biological</x:v>
      </x:c>
      <x:c r="E50" s="9" t="str">
        <x:v>New proposal</x:v>
      </x:c>
      <x:c r="F50" s="9" t="str">
        <x:v>Dust exclusion at joints and equipment closures</x:v>
      </x:c>
      <x:c r="G50" s="9" t="str">
        <x:v>None</x:v>
      </x:c>
      <x:c r="H50" s="9" t="str">
        <x:v>Legger / local storage proposed</x:v>
      </x:c>
      <x:c r="I50" s="13"/>
      <x:c r="J50" s="15"/>
      <x:c r="K50" s="9" t="str">
        <x:v>Process bristles</x:v>
      </x:c>
      <x:c r="L50" s="9" t="str">
        <x:v>Sort fibers and bind into a backing</x:v>
      </x:c>
      <x:c r="M50" s="9" t="str">
        <x:v>Not implemented</x:v>
      </x:c>
      <x:c r="N50" s="9" t="str">
        <x:v>Speculative material capability; no effects or real processing instructions established.</x:v>
      </x:c>
      <x:c r="O50" s="22"/>
      <x:c r="P50" s="22"/>
      <x:c r="Q50" s="22"/>
      <x:c r="R50" s="22"/>
      <x:c r="S50" s="22"/>
      <x:c r="T50" s="9" t="str">
        <x:v>Material properties, additives, station, balance and world-rule compatibility</x:v>
      </x:c>
      <x:c r="U50" s="23"/>
      <x:c r="V50" s="9" t="str">
        <x:v>User design direction, October 14, 2026; local brainstorming. New proposal unless explicitly marked User direction.</x:v>
      </x:c>
    </x:row>
    <x:row r="51" ht="66" customHeight="1">
      <x:c r="A51" s="9" t="str">
        <x:v>proposal.bio.liner</x:v>
      </x:c>
      <x:c r="B51" s="9" t="str">
        <x:v>Pressed fur-fiber material</x:v>
      </x:c>
      <x:c r="C51" s="9" t="str">
        <x:v>Crafting components</x:v>
      </x:c>
      <x:c r="D51" s="9" t="str">
        <x:v>Processed biological</x:v>
      </x:c>
      <x:c r="E51" s="9" t="str">
        <x:v>New proposal</x:v>
      </x:c>
      <x:c r="F51" s="9" t="str">
        <x:v>Candidate scarce pressed material; former liner proposal requires reassessment.</x:v>
      </x:c>
      <x:c r="G51" s="9" t="str">
        <x:v>None</x:v>
      </x:c>
      <x:c r="H51" s="9" t="str">
        <x:v>Legger / local storage proposed</x:v>
      </x:c>
      <x:c r="I51" s="13"/>
      <x:c r="J51" s="15"/>
      <x:c r="K51" s="9" t="str">
        <x:v>Process underfur</x:v>
      </x:c>
      <x:c r="L51" s="9" t="str">
        <x:v>Very low-yield fur processing; pressing/finish details unapproved</x:v>
      </x:c>
      <x:c r="M51" s="9" t="str">
        <x:v>Not implemented</x:v>
      </x:c>
      <x:c r="N51" s="9" t="str">
        <x:v>Extremely low usable yield. No cloth or routine clothing-liner supply implied.</x:v>
      </x:c>
      <x:c r="O51" s="22"/>
      <x:c r="P51" s="22"/>
      <x:c r="Q51" s="22"/>
      <x:c r="R51" s="22"/>
      <x:c r="S51" s="22"/>
      <x:c r="T51" s="9" t="str">
        <x:v>Product form and garment use remain proposals; old felted-liner assumption superseded; fashion-crafting input: high sale-value intent; large material/time demand; exact prices and quantities TBD</x:v>
      </x:c>
      <x:c r="U51" s="23"/>
      <x:c r="V51" s="9" t="str">
        <x:v>Docs/WORLD_BASIS.md#material-culture; author direction October 14, 2026. Process details and specific product forms remain unimplemented.</x:v>
      </x:c>
    </x:row>
    <x:row r="52" ht="66" customHeight="1">
      <x:c r="A52" s="9" t="str">
        <x:v>proposal.bio.insert</x:v>
      </x:c>
      <x:c r="B52" s="9" t="str">
        <x:v>Jaw cutting insert</x:v>
      </x:c>
      <x:c r="C52" s="9" t="str">
        <x:v>Crafting components</x:v>
      </x:c>
      <x:c r="D52" s="9" t="str">
        <x:v>Processed biological</x:v>
      </x:c>
      <x:c r="E52" s="9" t="str">
        <x:v>New proposal</x:v>
      </x:c>
      <x:c r="F52" s="9" t="str">
        <x:v>Replaceable excavation-tool wear part</x:v>
      </x:c>
      <x:c r="G52" s="9" t="str">
        <x:v>None</x:v>
      </x:c>
      <x:c r="H52" s="9" t="str">
        <x:v>Legger / local storage proposed</x:v>
      </x:c>
      <x:c r="I52" s="13"/>
      <x:c r="J52" s="15"/>
      <x:c r="K52" s="9" t="str">
        <x:v>Process jaw</x:v>
      </x:c>
      <x:c r="L52" s="9" t="str">
        <x:v>Cut and grind dense tissue</x:v>
      </x:c>
      <x:c r="M52" s="9" t="str">
        <x:v>Not implemented</x:v>
      </x:c>
      <x:c r="N52" s="9" t="str">
        <x:v>Speculative material capability; no effects or real processing instructions established.</x:v>
      </x:c>
      <x:c r="O52" s="22"/>
      <x:c r="P52" s="22"/>
      <x:c r="Q52" s="22"/>
      <x:c r="R52" s="22"/>
      <x:c r="S52" s="22"/>
      <x:c r="T52" s="9" t="str">
        <x:v>Material properties, additives, station, balance and world-rule compatibility</x:v>
      </x:c>
      <x:c r="U52" s="23"/>
      <x:c r="V52" s="9" t="str">
        <x:v>User design direction, October 14, 2026; local brainstorming. New proposal unless explicitly marked User direction.</x:v>
      </x:c>
    </x:row>
    <x:row r="53" ht="66" customHeight="1">
      <x:c r="A53" s="9" t="str">
        <x:v>proposal.bio.seal</x:v>
      </x:c>
      <x:c r="B53" s="9" t="str">
        <x:v>Membrane seal patches</x:v>
      </x:c>
      <x:c r="C53" s="9" t="str">
        <x:v>Crafting components</x:v>
      </x:c>
      <x:c r="D53" s="9" t="str">
        <x:v>Processed biological</x:v>
      </x:c>
      <x:c r="E53" s="9" t="str">
        <x:v>New proposal</x:v>
      </x:c>
      <x:c r="F53" s="9" t="str">
        <x:v>Flexible equipment repairs</x:v>
      </x:c>
      <x:c r="G53" s="9" t="str">
        <x:v>None</x:v>
      </x:c>
      <x:c r="H53" s="9" t="str">
        <x:v>Legger / local storage proposed</x:v>
      </x:c>
      <x:c r="I53" s="13"/>
      <x:c r="J53" s="15"/>
      <x:c r="K53" s="9" t="str">
        <x:v>Process membrane</x:v>
      </x:c>
      <x:c r="L53" s="9" t="str">
        <x:v>Dry preserve, cut and laminate</x:v>
      </x:c>
      <x:c r="M53" s="9" t="str">
        <x:v>Not implemented</x:v>
      </x:c>
      <x:c r="N53" s="9" t="str">
        <x:v>Speculative material capability; no effects or real processing instructions established.</x:v>
      </x:c>
      <x:c r="O53" s="22"/>
      <x:c r="P53" s="22"/>
      <x:c r="Q53" s="22"/>
      <x:c r="R53" s="22"/>
      <x:c r="S53" s="22"/>
      <x:c r="T53" s="9" t="str">
        <x:v>Material properties, additives, station, balance and world-rule compatibility</x:v>
      </x:c>
      <x:c r="U53" s="23"/>
      <x:c r="V53" s="9" t="str">
        <x:v>User design direction, October 14, 2026; local brainstorming. New proposal unless explicitly marked User direction.</x:v>
      </x:c>
    </x:row>
    <x:row r="54" ht="66" customHeight="1">
      <x:c r="A54" s="9" t="str">
        <x:v>proposal.bio.wax</x:v>
      </x:c>
      <x:c r="B54" s="9" t="str">
        <x:v>Solid biological wax</x:v>
      </x:c>
      <x:c r="C54" s="9" t="str">
        <x:v>Crafting components</x:v>
      </x:c>
      <x:c r="D54" s="9" t="str">
        <x:v>Processed biological</x:v>
      </x:c>
      <x:c r="E54" s="9" t="str">
        <x:v>Needs lore anatomy review</x:v>
      </x:c>
      <x:c r="F54" s="9" t="str">
        <x:v>Conditional solid biological product; the earlier fat precursor is unverified.</x:v>
      </x:c>
      <x:c r="G54" s="9" t="str">
        <x:v>None</x:v>
      </x:c>
      <x:c r="H54" s="9" t="str">
        <x:v>Legger / local storage proposed</x:v>
      </x:c>
      <x:c r="I54" s="13"/>
      <x:c r="J54" s="15"/>
      <x:c r="K54" s="9" t="str">
        <x:v>Precursor and conversion await anatomy review</x:v>
      </x:c>
      <x:c r="L54" s="9" t="str">
        <x:v>Potential sealing/lubricant use remains a proposal</x:v>
      </x:c>
      <x:c r="M54" s="9" t="str">
        <x:v>Not implemented</x:v>
      </x:c>
      <x:c r="N54" s="9" t="str">
        <x:v>No approved fat source, chemical identity or conversion. Not an established material property.</x:v>
      </x:c>
      <x:c r="O54" s="22"/>
      <x:c r="P54" s="22"/>
      <x:c r="Q54" s="22"/>
      <x:c r="R54" s="22"/>
      <x:c r="S54" s="22"/>
      <x:c r="T54" s="9" t="str">
        <x:v>Review precursor and chemistry against Burden Beasts anatomy</x:v>
      </x:c>
      <x:c r="U54" s="23"/>
      <x:c r="V54" s="9" t="str">
        <x:v>Docs/WORLD_BASIS.md#faunal-biology-and-material-use; direct author direction October 14, 2026. Related source anatomy proposals now accessible at f6f98515; this item awaits reconciliation; identities and processing remain undefined.</x:v>
      </x:c>
    </x:row>
    <x:row r="55" ht="66" customHeight="1">
      <x:c r="A55" s="9" t="str">
        <x:v>proposal.bio.electrode</x:v>
      </x:c>
      <x:c r="B55" s="9" t="str">
        <x:v>Dry organ electrode scaffold</x:v>
      </x:c>
      <x:c r="C55" s="9" t="str">
        <x:v>Crafting components</x:v>
      </x:c>
      <x:c r="D55" s="9" t="str">
        <x:v>Processed biological</x:v>
      </x:c>
      <x:c r="E55" s="9" t="str">
        <x:v>New proposal</x:v>
      </x:c>
      <x:c r="F55" s="9" t="str">
        <x:v>Possible charged-battery component research</x:v>
      </x:c>
      <x:c r="G55" s="9" t="str">
        <x:v>None</x:v>
      </x:c>
      <x:c r="H55" s="9" t="str">
        <x:v>Legger / local storage proposed</x:v>
      </x:c>
      <x:c r="I55" s="13"/>
      <x:c r="J55" s="15"/>
      <x:c r="K55" s="9" t="str">
        <x:v>Process organ</x:v>
      </x:c>
      <x:c r="L55" s="9" t="str">
        <x:v>Dry preserve and stabilize structure</x:v>
      </x:c>
      <x:c r="M55" s="9" t="str">
        <x:v>Not implemented</x:v>
      </x:c>
      <x:c r="N55" s="9" t="str">
        <x:v>Speculative material capability; no effects or real processing instructions established.</x:v>
      </x:c>
      <x:c r="O55" s="22"/>
      <x:c r="P55" s="22"/>
      <x:c r="Q55" s="22"/>
      <x:c r="R55" s="22"/>
      <x:c r="S55" s="22"/>
      <x:c r="T55" s="9" t="str">
        <x:v>Material properties, additives, station, balance and world-rule compatibility</x:v>
      </x:c>
      <x:c r="U55" s="23"/>
      <x:c r="V55" s="9" t="str">
        <x:v>User design direction, October 14, 2026; local brainstorming. New proposal unless explicitly marked User direction.</x:v>
      </x:c>
    </x:row>
    <x:row r="56" ht="75" customHeight="1">
      <x:c r="A56" s="9" t="str">
        <x:v>proposal.natural.charcoal</x:v>
      </x:c>
      <x:c r="B56" s="9" t="str">
        <x:v>Charcoal</x:v>
      </x:c>
      <x:c r="C56" s="9" t="str">
        <x:v>Resources</x:v>
      </x:c>
      <x:c r="D56" s="9" t="str">
        <x:v>Processed fuel</x:v>
      </x:c>
      <x:c r="E56" s="9" t="str">
        <x:v>User direction; not implemented</x:v>
      </x:c>
      <x:c r="F56" s="9" t="str">
        <x:v>Solid carbon fuel and possible metallurgical feedstock</x:v>
      </x:c>
      <x:c r="G56" s="9" t="str">
        <x:v>None</x:v>
      </x:c>
      <x:c r="H56" s="9" t="str">
        <x:v>Legger / local storage proposed</x:v>
      </x:c>
      <x:c r="I56" s="13"/>
      <x:c r="J56" s="15"/>
      <x:c r="K56" s="9" t="str">
        <x:v>Carbonize biological feedstock or recover old fuel; source undecided</x:v>
      </x:c>
      <x:c r="L56" s="9" t="str">
        <x:v>Fuel and reduction research</x:v>
      </x:c>
      <x:c r="M56" s="9" t="str">
        <x:v>Not implemented</x:v>
      </x:c>
      <x:c r="N56" s="9" t="str">
        <x:v>Requested item; not a naturally mined metal. No wood/forest source introduced.</x:v>
      </x:c>
      <x:c r="O56" s="26"/>
      <x:c r="P56" s="26"/>
      <x:c r="Q56" s="26"/>
      <x:c r="R56" s="26"/>
      <x:c r="S56" s="26"/>
      <x:c r="T56" s="9" t="str">
        <x:v>Biological feedstock, scarcity and survival-versus-fuel tradeoff</x:v>
      </x:c>
      <x:c r="U56" s="27"/>
      <x:c r="V56" s="9" t="str">
        <x:v>User brainstorming, October 14, 2026; game uses proposed. Reference: https://www.nps.gov/deva/learn/historyculture/charcoalkilns.htm</x:v>
      </x:c>
    </x:row>
    <x:row r="57" ht="75" customHeight="1">
      <x:c r="A57" s="9" t="str">
        <x:v>proposal.natural.copper_stone</x:v>
      </x:c>
      <x:c r="B57" s="9" t="str">
        <x:v>Unprocessed copper-rich stone</x:v>
      </x:c>
      <x:c r="C57" s="9" t="str">
        <x:v>Resources</x:v>
      </x:c>
      <x:c r="D57" s="9" t="str">
        <x:v>Raw mineral</x:v>
      </x:c>
      <x:c r="E57" s="9" t="str">
        <x:v>User direction; not implemented</x:v>
      </x:c>
      <x:c r="F57" s="9" t="str">
        <x:v>Bulk copper-bearing rock before sorting</x:v>
      </x:c>
      <x:c r="G57" s="9" t="str">
        <x:v>None</x:v>
      </x:c>
      <x:c r="H57" s="9" t="str">
        <x:v>Legger / local storage proposed</x:v>
      </x:c>
      <x:c r="I57" s="13"/>
      <x:c r="J57" s="15"/>
      <x:c r="K57" s="9" t="str">
        <x:v>Authored copper-bearing outcrop proposal</x:v>
      </x:c>
      <x:c r="L57" s="9" t="str">
        <x:v>Sort into richer copper ore</x:v>
      </x:c>
      <x:c r="M57" s="9" t="str">
        <x:v>Not implemented</x:v>
      </x:c>
      <x:c r="N57" s="9" t="str">
        <x:v>Requested copper-rich feed represented separately from sorted ore provisionally.</x:v>
      </x:c>
      <x:c r="O57" s="26"/>
      <x:c r="P57" s="26"/>
      <x:c r="Q57" s="26"/>
      <x:c r="R57" s="26"/>
      <x:c r="S57" s="26"/>
      <x:c r="T57" s="9" t="str">
        <x:v>Merge with copper ore if the extra stage adds no useful choice</x:v>
      </x:c>
      <x:c r="U57" s="27"/>
      <x:c r="V57" s="9" t="str">
        <x:v>User brainstorming, October 14, 2026; game uses proposed. Reference: https://www.nps.gov/deva/learn/nature/mining-in-death-valley.htm</x:v>
      </x:c>
    </x:row>
    <x:row r="58" ht="75" customHeight="1">
      <x:c r="A58" s="9" t="str">
        <x:v>proposal.natural.copper_ore</x:v>
      </x:c>
      <x:c r="B58" s="9" t="str">
        <x:v>Copper ore</x:v>
      </x:c>
      <x:c r="C58" s="9" t="str">
        <x:v>Resources</x:v>
      </x:c>
      <x:c r="D58" s="9" t="str">
        <x:v>Sorted ore</x:v>
      </x:c>
      <x:c r="E58" s="9" t="str">
        <x:v>User direction; not implemented</x:v>
      </x:c>
      <x:c r="F58" s="9" t="str">
        <x:v>Copper-bearing mineral feed for refining</x:v>
      </x:c>
      <x:c r="G58" s="9" t="str">
        <x:v>None</x:v>
      </x:c>
      <x:c r="H58" s="9" t="str">
        <x:v>Legger / local storage proposed</x:v>
      </x:c>
      <x:c r="I58" s="13"/>
      <x:c r="J58" s="15"/>
      <x:c r="K58" s="9" t="str">
        <x:v>Sort copper-rich stone; exact mineral species open</x:v>
      </x:c>
      <x:c r="L58" s="9" t="str">
        <x:v>Refine into unworked copper</x:v>
      </x:c>
      <x:c r="M58" s="9" t="str">
        <x:v>Not implemented</x:v>
      </x:c>
      <x:c r="N58" s="9" t="str">
        <x:v>Ore is still mineral-bearing material, not metallic copper.</x:v>
      </x:c>
      <x:c r="O58" s="26"/>
      <x:c r="P58" s="26"/>
      <x:c r="Q58" s="26"/>
      <x:c r="R58" s="26"/>
      <x:c r="S58" s="26"/>
      <x:c r="T58" s="9" t="str">
        <x:v>Ore species, grade, impurities and refining method</x:v>
      </x:c>
      <x:c r="U58" s="27"/>
      <x:c r="V58" s="9" t="str">
        <x:v>User brainstorming, October 14, 2026; game uses proposed. Reference: https://www.nps.gov/deva/learn/nature/mining-in-death-valley.htm</x:v>
      </x:c>
    </x:row>
    <x:row r="59" ht="75" customHeight="1">
      <x:c r="A59" s="9" t="str">
        <x:v>proposal.natural.raw_copper</x:v>
      </x:c>
      <x:c r="B59" s="9" t="str">
        <x:v>Raw copper lump</x:v>
      </x:c>
      <x:c r="C59" s="9" t="str">
        <x:v>Resources</x:v>
      </x:c>
      <x:c r="D59" s="9" t="str">
        <x:v>Unworked metal</x:v>
      </x:c>
      <x:c r="E59" s="9" t="str">
        <x:v>User direction; not implemented</x:v>
      </x:c>
      <x:c r="F59" s="9" t="str">
        <x:v>Unworked copper metal for conductors and small fittings</x:v>
      </x:c>
      <x:c r="G59" s="9" t="str">
        <x:v>None</x:v>
      </x:c>
      <x:c r="H59" s="9" t="str">
        <x:v>Legger / local storage proposed</x:v>
      </x:c>
      <x:c r="I59" s="13"/>
      <x:c r="J59" s="15"/>
      <x:c r="K59" s="9" t="str">
        <x:v>Refine ore or recover unworked metal from salvage</x:v>
      </x:c>
      <x:c r="L59" s="9" t="str">
        <x:v>Potential wire, contacts and grounding-kit parts</x:v>
      </x:c>
      <x:c r="M59" s="9" t="str">
        <x:v>Not implemented</x:v>
      </x:c>
      <x:c r="N59" s="9" t="str">
        <x:v>Raw means unworked metal here; native copper occurrence is not established by the cited regional mining list.</x:v>
      </x:c>
      <x:c r="O59" s="26"/>
      <x:c r="P59" s="26"/>
      <x:c r="Q59" s="26"/>
      <x:c r="R59" s="26"/>
      <x:c r="S59" s="26"/>
      <x:c r="T59" s="9" t="str">
        <x:v>Decide whether native copper is also available; define manufacturing steps</x:v>
      </x:c>
      <x:c r="U59" s="27"/>
      <x:c r="V59" s="9" t="str">
        <x:v>User brainstorming, October 14, 2026; game uses proposed. Reference: https://www.nps.gov/deva/learn/nature/mining-in-death-valley.htm</x:v>
      </x:c>
    </x:row>
    <x:row r="60" ht="75" customHeight="1">
      <x:c r="A60" s="9" t="str">
        <x:v>proposal.natural.tungsten_ore</x:v>
      </x:c>
      <x:c r="B60" s="9" t="str">
        <x:v>Tungsten-bearing ore</x:v>
      </x:c>
      <x:c r="C60" s="9" t="str">
        <x:v>Resources</x:v>
      </x:c>
      <x:c r="D60" s="9" t="str">
        <x:v>Raw mineral</x:v>
      </x:c>
      <x:c r="E60" s="9" t="str">
        <x:v>User direction; not implemented</x:v>
      </x:c>
      <x:c r="F60" s="9" t="str">
        <x:v>Dense mineral feed for advanced wear-resistant material research</x:v>
      </x:c>
      <x:c r="G60" s="9" t="str">
        <x:v>None</x:v>
      </x:c>
      <x:c r="H60" s="9" t="str">
        <x:v>Legger / local storage proposed</x:v>
      </x:c>
      <x:c r="I60" s="13"/>
      <x:c r="J60" s="15"/>
      <x:c r="K60" s="9" t="str">
        <x:v>Authored mineral vein proposal</x:v>
      </x:c>
      <x:c r="L60" s="9" t="str">
        <x:v>Advanced tool/alloy ingredient research</x:v>
      </x:c>
      <x:c r="M60" s="9" t="str">
        <x:v>Not implemented</x:v>
      </x:c>
      <x:c r="N60" s="9" t="str">
        <x:v>Tungsten ore is separate from copper ore; mineral choice unapproved. Scheelite/wolframite are general reference candidates.</x:v>
      </x:c>
      <x:c r="O60" s="26"/>
      <x:c r="P60" s="26"/>
      <x:c r="Q60" s="26"/>
      <x:c r="R60" s="26"/>
      <x:c r="S60" s="26"/>
      <x:c r="T60" s="9" t="str">
        <x:v>Deposit mineral, processing tier and worthwhile uses</x:v>
      </x:c>
      <x:c r="U60" s="27"/>
      <x:c r="V60" s="9" t="str">
        <x:v>User brainstorming, October 14, 2026; game uses proposed. Reference: https://www.nps.gov/deva/learn/nature/mining-in-death-valley.htm; https://www.usgs.gov/data/tungsten-deposits-united-states</x:v>
      </x:c>
    </x:row>
    <x:row r="61" ht="75" customHeight="1">
      <x:c r="A61" s="9" t="str">
        <x:v>proposal.natural.magnesium_rock</x:v>
      </x:c>
      <x:c r="B61" s="9" t="str">
        <x:v>Magnesium-bearing rock</x:v>
      </x:c>
      <x:c r="C61" s="9" t="str">
        <x:v>Resources</x:v>
      </x:c>
      <x:c r="D61" s="9" t="str">
        <x:v>Raw mineral</x:v>
      </x:c>
      <x:c r="E61" s="9" t="str">
        <x:v>User direction; not implemented</x:v>
      </x:c>
      <x:c r="F61" s="9" t="str">
        <x:v>Mineral feed containing magnesium compounds</x:v>
      </x:c>
      <x:c r="G61" s="9" t="str">
        <x:v>None</x:v>
      </x:c>
      <x:c r="H61" s="9" t="str">
        <x:v>Legger / local storage proposed</x:v>
      </x:c>
      <x:c r="I61" s="13"/>
      <x:c r="J61" s="15"/>
      <x:c r="K61" s="9" t="str">
        <x:v>Magnesium-bearing mineral/salt deposit proposal</x:v>
      </x:c>
      <x:c r="L61" s="9" t="str">
        <x:v>Refining research; possible refractory route</x:v>
      </x:c>
      <x:c r="M61" s="9" t="str">
        <x:v>Not implemented</x:v>
      </x:c>
      <x:c r="N61" s="9" t="str">
        <x:v>Death Valley Mg-bearing evaporites are documented; they do not establish loose native magnesium metal.</x:v>
      </x:c>
      <x:c r="O61" s="26"/>
      <x:c r="P61" s="26"/>
      <x:c r="Q61" s="26"/>
      <x:c r="R61" s="26"/>
      <x:c r="S61" s="26"/>
      <x:c r="T61" s="9" t="str">
        <x:v>Choose mineral, dry-world adaptation and refining route</x:v>
      </x:c>
      <x:c r="U61" s="27"/>
      <x:c r="V61" s="9" t="str">
        <x:v>User brainstorming, October 14, 2026; game uses proposed. Reference: https://pubs.usgs.gov/publication/70018701</x:v>
      </x:c>
    </x:row>
    <x:row r="62" ht="75" customHeight="1">
      <x:c r="A62" s="9" t="str">
        <x:v>proposal.natural.raw_magnesium</x:v>
      </x:c>
      <x:c r="B62" s="9" t="str">
        <x:v>Raw magnesium metal</x:v>
      </x:c>
      <x:c r="C62" s="9" t="str">
        <x:v>Resources</x:v>
      </x:c>
      <x:c r="D62" s="9" t="str">
        <x:v>Unworked metal</x:v>
      </x:c>
      <x:c r="E62" s="9" t="str">
        <x:v>User direction; not implemented</x:v>
      </x:c>
      <x:c r="F62" s="9" t="str">
        <x:v>Unworked manufactured magnesium metal</x:v>
      </x:c>
      <x:c r="G62" s="9" t="str">
        <x:v>None</x:v>
      </x:c>
      <x:c r="H62" s="9" t="str">
        <x:v>Legger / local storage proposed</x:v>
      </x:c>
      <x:c r="I62" s="13"/>
      <x:c r="J62" s="15"/>
      <x:c r="K62" s="9" t="str">
        <x:v>Specialist refining or industrial salvage proposal</x:v>
      </x:c>
      <x:c r="L62" s="9" t="str">
        <x:v>Lightweight alloy research</x:v>
      </x:c>
      <x:c r="M62" s="9" t="str">
        <x:v>Not implemented</x:v>
      </x:c>
      <x:c r="N62" s="9" t="str">
        <x:v>Not presented as a common native metal picked up from the ground.</x:v>
      </x:c>
      <x:c r="O62" s="26"/>
      <x:c r="P62" s="26"/>
      <x:c r="Q62" s="26"/>
      <x:c r="R62" s="26"/>
      <x:c r="S62" s="26"/>
      <x:c r="T62" s="9" t="str">
        <x:v>Processing burden, alloy uses and whether a separate item is useful</x:v>
      </x:c>
      <x:c r="U62" s="27"/>
      <x:c r="V62" s="9" t="str">
        <x:v>User brainstorming, October 14, 2026; game uses proposed. Reference: https://pubs.usgs.gov/publication/70018701</x:v>
      </x:c>
    </x:row>
    <x:row r="63" ht="75" customHeight="1">
      <x:c r="A63" s="9" t="str">
        <x:v>proposal.natural.hematite</x:v>
      </x:c>
      <x:c r="B63" s="9" t="str">
        <x:v>Raw hematite</x:v>
      </x:c>
      <x:c r="C63" s="9" t="str">
        <x:v>Resources</x:v>
      </x:c>
      <x:c r="D63" s="9" t="str">
        <x:v>Iron oxide mineral</x:v>
      </x:c>
      <x:c r="E63" s="9" t="str">
        <x:v>User direction; not implemented</x:v>
      </x:c>
      <x:c r="F63" s="9" t="str">
        <x:v>Specific iron-rich mineral feed distinct from generic field stone</x:v>
      </x:c>
      <x:c r="G63" s="9" t="str">
        <x:v>None</x:v>
      </x:c>
      <x:c r="H63" s="9" t="str">
        <x:v>Legger / local storage proposed</x:v>
      </x:c>
      <x:c r="I63" s="13"/>
      <x:c r="J63" s="15"/>
      <x:c r="K63" s="9" t="str">
        <x:v>User-requested outcrop candidate</x:v>
      </x:c>
      <x:c r="L63" s="9" t="str">
        <x:v>Possible iron-feed input</x:v>
      </x:c>
      <x:c r="M63" s="9" t="str">
        <x:v>Not implemented</x:v>
      </x:c>
      <x:c r="N63" s="9" t="str">
        <x:v>Requested game candidate; specific Death Valley occurrence not verified in this research pass.</x:v>
      </x:c>
      <x:c r="O63" s="26"/>
      <x:c r="P63" s="26"/>
      <x:c r="Q63" s="26"/>
      <x:c r="R63" s="26"/>
      <x:c r="S63" s="26"/>
      <x:c r="T63" s="9" t="str">
        <x:v>Overlap with Ironstone Ore and magnetite; retain only useful distinctions</x:v>
      </x:c>
      <x:c r="U63" s="27"/>
      <x:c r="V63" s="9" t="str">
        <x:v>User brainstorming, October 14, 2026; game uses proposed. Reference: User direction, October 14, 2026; specific local geology unverified</x:v>
      </x:c>
    </x:row>
    <x:row r="64" ht="75" customHeight="1">
      <x:c r="A64" s="9" t="str">
        <x:v>proposal.natural.sulfur</x:v>
      </x:c>
      <x:c r="B64" s="9" t="str">
        <x:v>Raw sulfur</x:v>
      </x:c>
      <x:c r="C64" s="9" t="str">
        <x:v>Resources</x:v>
      </x:c>
      <x:c r="D64" s="9" t="str">
        <x:v>Native nonmetal</x:v>
      </x:c>
      <x:c r="E64" s="9" t="str">
        <x:v>User direction; not implemented</x:v>
      </x:c>
      <x:c r="F64" s="9" t="str">
        <x:v>Nonmetallic mineral feed for specialist crafting research</x:v>
      </x:c>
      <x:c r="G64" s="9" t="str">
        <x:v>None</x:v>
      </x:c>
      <x:c r="H64" s="9" t="str">
        <x:v>Legger / local storage proposed</x:v>
      </x:c>
      <x:c r="I64" s="13"/>
      <x:c r="J64" s="15"/>
      <x:c r="K64" s="9" t="str">
        <x:v>Authored sulfur deposit proposal</x:v>
      </x:c>
      <x:c r="L64" s="9" t="str">
        <x:v>Industrial reagent research; recipes open</x:v>
      </x:c>
      <x:c r="M64" s="9" t="str">
        <x:v>Not implemented</x:v>
      </x:c>
      <x:c r="N64" s="9" t="str">
        <x:v>Regional sulfur mining documented; no chemical or explosive recipe approved.</x:v>
      </x:c>
      <x:c r="O64" s="26"/>
      <x:c r="P64" s="26"/>
      <x:c r="Q64" s="26"/>
      <x:c r="R64" s="26"/>
      <x:c r="S64" s="26"/>
      <x:c r="T64" s="9" t="str">
        <x:v>Uses, gathering presentation and storage requirements</x:v>
      </x:c>
      <x:c r="U64" s="27"/>
      <x:c r="V64" s="9" t="str">
        <x:v>User brainstorming, October 14, 2026; game uses proposed. Reference: https://www.nps.gov/deva/learn/nature/mining-in-death-valley.htm</x:v>
      </x:c>
    </x:row>
    <x:row r="65" ht="75" customHeight="1">
      <x:c r="A65" s="9" t="str">
        <x:v>proposal.natural.borate</x:v>
      </x:c>
      <x:c r="B65" s="9" t="str">
        <x:v>Raw borate minerals</x:v>
      </x:c>
      <x:c r="C65" s="9" t="str">
        <x:v>Resources</x:v>
      </x:c>
      <x:c r="D65" s="9" t="str">
        <x:v>Evaporite mineral</x:v>
      </x:c>
      <x:c r="E65" s="9" t="str">
        <x:v>New proposal</x:v>
      </x:c>
      <x:c r="F65" s="9" t="str">
        <x:v>Borate-rich feed for proposed glass/ceramic processing</x:v>
      </x:c>
      <x:c r="G65" s="9" t="str">
        <x:v>None</x:v>
      </x:c>
      <x:c r="H65" s="9" t="str">
        <x:v>Legger / local storage proposed</x:v>
      </x:c>
      <x:c r="I65" s="13"/>
      <x:c r="J65" s="15"/>
      <x:c r="K65" s="9" t="str">
        <x:v>Ancient dry mineral deposits</x:v>
      </x:c>
      <x:c r="L65" s="9" t="str">
        <x:v>Flux and glass/ceramic research</x:v>
      </x:c>
      <x:c r="M65" s="9" t="str">
        <x:v>Not implemented</x:v>
      </x:c>
      <x:c r="N65" s="9" t="str">
        <x:v>Borate minerals are not elemental boron. No current water cycle is required for ancient deposits.</x:v>
      </x:c>
      <x:c r="O65" s="26"/>
      <x:c r="P65" s="26"/>
      <x:c r="Q65" s="26"/>
      <x:c r="R65" s="26"/>
      <x:c r="S65" s="26"/>
      <x:c r="T65" s="9" t="str">
        <x:v>Select borax/colemanite/ulexite versus one simplified item</x:v>
      </x:c>
      <x:c r="U65" s="27"/>
      <x:c r="V65" s="9" t="str">
        <x:v>User brainstorming, October 14, 2026; game uses proposed. Reference: https://www.nps.gov/deva/learn/nature/mining-in-death-valley.htm</x:v>
      </x:c>
    </x:row>
    <x:row r="66" ht="75" customHeight="1">
      <x:c r="A66" s="9" t="str">
        <x:v>proposal.natural.gypsum</x:v>
      </x:c>
      <x:c r="B66" s="9" t="str">
        <x:v>Raw gypsum</x:v>
      </x:c>
      <x:c r="C66" s="9" t="str">
        <x:v>Resources</x:v>
      </x:c>
      <x:c r="D66" s="9" t="str">
        <x:v>Sulfate mineral</x:v>
      </x:c>
      <x:c r="E66" s="9" t="str">
        <x:v>New proposal</x:v>
      </x:c>
      <x:c r="F66" s="9" t="str">
        <x:v>Soft mineral feed for molds and mineral products</x:v>
      </x:c>
      <x:c r="G66" s="9" t="str">
        <x:v>None</x:v>
      </x:c>
      <x:c r="H66" s="9" t="str">
        <x:v>Legger / local storage proposed</x:v>
      </x:c>
      <x:c r="I66" s="13"/>
      <x:c r="J66" s="15"/>
      <x:c r="K66" s="9" t="str">
        <x:v>Ancient evaporite beds</x:v>
      </x:c>
      <x:c r="L66" s="9" t="str">
        <x:v>Mold/binder research</x:v>
      </x:c>
      <x:c r="M66" s="9" t="str">
        <x:v>Not implemented</x:v>
      </x:c>
      <x:c r="N66" s="9" t="str">
        <x:v>Water bound in a mineral is not a free-liquid supply; no hydration mechanic proposed.</x:v>
      </x:c>
      <x:c r="O66" s="26"/>
      <x:c r="P66" s="26"/>
      <x:c r="Q66" s="26"/>
      <x:c r="R66" s="26"/>
      <x:c r="S66" s="26"/>
      <x:c r="T66" s="9" t="str">
        <x:v>Dry-world processing and overlap with existing binders</x:v>
      </x:c>
      <x:c r="U66" s="27"/>
      <x:c r="V66" s="9" t="str">
        <x:v>User brainstorming, October 14, 2026; game uses proposed. Reference: https://pubs.usgs.gov/publication/70018701</x:v>
      </x:c>
    </x:row>
    <x:row r="67" ht="75" customHeight="1">
      <x:c r="A67" s="9" t="str">
        <x:v>proposal.natural.talc</x:v>
      </x:c>
      <x:c r="B67" s="9" t="str">
        <x:v>Raw talc</x:v>
      </x:c>
      <x:c r="C67" s="9" t="str">
        <x:v>Resources</x:v>
      </x:c>
      <x:c r="D67" s="9" t="str">
        <x:v>Industrial mineral</x:v>
      </x:c>
      <x:c r="E67" s="9" t="str">
        <x:v>New proposal</x:v>
      </x:c>
      <x:c r="F67" s="9" t="str">
        <x:v>Soft mineral feed for proposed dry powders and ceramics</x:v>
      </x:c>
      <x:c r="G67" s="9" t="str">
        <x:v>None</x:v>
      </x:c>
      <x:c r="H67" s="9" t="str">
        <x:v>Legger / local storage proposed</x:v>
      </x:c>
      <x:c r="I67" s="13"/>
      <x:c r="J67" s="15"/>
      <x:c r="K67" s="9" t="str">
        <x:v>Authored mineral seam proposal</x:v>
      </x:c>
      <x:c r="L67" s="9" t="str">
        <x:v>Dry lubricant/filler research</x:v>
      </x:c>
      <x:c r="M67" s="9" t="str">
        <x:v>Not implemented</x:v>
      </x:c>
      <x:c r="N67" s="9" t="str">
        <x:v>Regional talc mining is reference evidence, not an implemented deposit.</x:v>
      </x:c>
      <x:c r="O67" s="26"/>
      <x:c r="P67" s="26"/>
      <x:c r="Q67" s="26"/>
      <x:c r="R67" s="26"/>
      <x:c r="S67" s="26"/>
      <x:c r="T67" s="9" t="str">
        <x:v>Useful difference from graphite and existing dust materials</x:v>
      </x:c>
      <x:c r="U67" s="27"/>
      <x:c r="V67" s="9" t="str">
        <x:v>User brainstorming, October 14, 2026; game uses proposed. Reference: https://www.nps.gov/deva/learn/nature/mining-in-death-valley.htm</x:v>
      </x:c>
    </x:row>
    <x:row r="68" ht="75" customHeight="1">
      <x:c r="A68" s="9" t="str">
        <x:v>proposal.natural.manganese_ore</x:v>
      </x:c>
      <x:c r="B68" s="9" t="str">
        <x:v>Manganese-bearing ore</x:v>
      </x:c>
      <x:c r="C68" s="9" t="str">
        <x:v>Resources</x:v>
      </x:c>
      <x:c r="D68" s="9" t="str">
        <x:v>Raw mineral</x:v>
      </x:c>
      <x:c r="E68" s="9" t="str">
        <x:v>New proposal</x:v>
      </x:c>
      <x:c r="F68" s="9" t="str">
        <x:v>Mineral feed for alloy and pigment research</x:v>
      </x:c>
      <x:c r="G68" s="9" t="str">
        <x:v>None</x:v>
      </x:c>
      <x:c r="H68" s="9" t="str">
        <x:v>Legger / local storage proposed</x:v>
      </x:c>
      <x:c r="I68" s="13"/>
      <x:c r="J68" s="15"/>
      <x:c r="K68" s="9" t="str">
        <x:v>Authored mineral deposit proposal</x:v>
      </x:c>
      <x:c r="L68" s="9" t="str">
        <x:v>Advanced metallurgy research</x:v>
      </x:c>
      <x:c r="M68" s="9" t="str">
        <x:v>Not implemented</x:v>
      </x:c>
      <x:c r="N68" s="9" t="str">
        <x:v>Regional commodity listed by NPS; exact ore mineral remains unselected.</x:v>
      </x:c>
      <x:c r="O68" s="26"/>
      <x:c r="P68" s="26"/>
      <x:c r="Q68" s="26"/>
      <x:c r="R68" s="26"/>
      <x:c r="S68" s="26"/>
      <x:c r="T68" s="9" t="str">
        <x:v>Mineral species, steelmaking role and processing tier</x:v>
      </x:c>
      <x:c r="U68" s="27"/>
      <x:c r="V68" s="9" t="str">
        <x:v>User brainstorming, October 14, 2026; game uses proposed. Reference: https://home.nps.gov/deva/faqs.htm</x:v>
      </x:c>
    </x:row>
    <x:row r="69" ht="75" customHeight="1">
      <x:c r="A69" s="9" t="str">
        <x:v>proposal.natural.lead_ore</x:v>
      </x:c>
      <x:c r="B69" s="9" t="str">
        <x:v>Lead-bearing ore</x:v>
      </x:c>
      <x:c r="C69" s="9" t="str">
        <x:v>Resources</x:v>
      </x:c>
      <x:c r="D69" s="9" t="str">
        <x:v>Raw mineral</x:v>
      </x:c>
      <x:c r="E69" s="9" t="str">
        <x:v>New proposal</x:v>
      </x:c>
      <x:c r="F69" s="9" t="str">
        <x:v>Heavy mineral feed for specialized industrial material</x:v>
      </x:c>
      <x:c r="G69" s="9" t="str">
        <x:v>None</x:v>
      </x:c>
      <x:c r="H69" s="9" t="str">
        <x:v>Legger / local storage proposed</x:v>
      </x:c>
      <x:c r="I69" s="13"/>
      <x:c r="J69" s="15"/>
      <x:c r="K69" s="9" t="str">
        <x:v>Authored mineral deposit proposal</x:v>
      </x:c>
      <x:c r="L69" s="9" t="str">
        <x:v>Specialist refining and dense-component research</x:v>
      </x:c>
      <x:c r="M69" s="9" t="str">
        <x:v>Not implemented</x:v>
      </x:c>
      <x:c r="N69" s="9" t="str">
        <x:v>Regional lead mining documented; item does not establish easy field refining.</x:v>
      </x:c>
      <x:c r="O69" s="26"/>
      <x:c r="P69" s="26"/>
      <x:c r="Q69" s="26"/>
      <x:c r="R69" s="26"/>
      <x:c r="S69" s="26"/>
      <x:c r="T69" s="9" t="str">
        <x:v>Whether its mass and uses create a worthwhile haul</x:v>
      </x:c>
      <x:c r="U69" s="27"/>
      <x:c r="V69" s="9" t="str">
        <x:v>User brainstorming, October 14, 2026; game uses proposed. Reference: https://www.nps.gov/deva/learn/nature/mining-in-death-valley.htm</x:v>
      </x:c>
    </x:row>
    <x:row r="70" ht="75" customHeight="1">
      <x:c r="A70" s="9" t="str">
        <x:v>proposal.natural.zinc_ore</x:v>
      </x:c>
      <x:c r="B70" s="9" t="str">
        <x:v>Zinc-bearing ore</x:v>
      </x:c>
      <x:c r="C70" s="9" t="str">
        <x:v>Resources</x:v>
      </x:c>
      <x:c r="D70" s="9" t="str">
        <x:v>Raw mineral</x:v>
      </x:c>
      <x:c r="E70" s="9" t="str">
        <x:v>New proposal</x:v>
      </x:c>
      <x:c r="F70" s="9" t="str">
        <x:v>Mineral feed for alloy and protective-coating research</x:v>
      </x:c>
      <x:c r="G70" s="9" t="str">
        <x:v>None</x:v>
      </x:c>
      <x:c r="H70" s="9" t="str">
        <x:v>Legger / local storage proposed</x:v>
      </x:c>
      <x:c r="I70" s="13"/>
      <x:c r="J70" s="15"/>
      <x:c r="K70" s="9" t="str">
        <x:v>Authored mineral deposit proposal</x:v>
      </x:c>
      <x:c r="L70" s="9" t="str">
        <x:v>Brass/coating research with copper</x:v>
      </x:c>
      <x:c r="M70" s="9" t="str">
        <x:v>Not implemented</x:v>
      </x:c>
      <x:c r="N70" s="9" t="str">
        <x:v>Regional zinc commodity documented; no alloy recipe approved.</x:v>
      </x:c>
      <x:c r="O70" s="26"/>
      <x:c r="P70" s="26"/>
      <x:c r="Q70" s="26"/>
      <x:c r="R70" s="26"/>
      <x:c r="S70" s="26"/>
      <x:c r="T70" s="9" t="str">
        <x:v>Mineral, processing and final equipment uses</x:v>
      </x:c>
      <x:c r="U70" s="27"/>
      <x:c r="V70" s="9" t="str">
        <x:v>User brainstorming, October 14, 2026; game uses proposed. Reference: https://www.nps.gov/deva/learn/nature/mining-in-death-valley.htm</x:v>
      </x:c>
    </x:row>
    <x:row r="71" ht="75" customHeight="1">
      <x:c r="A71" s="9" t="str">
        <x:v>proposal.natural.silver_ore</x:v>
      </x:c>
      <x:c r="B71" s="9" t="str">
        <x:v>Silver-bearing ore</x:v>
      </x:c>
      <x:c r="C71" s="9" t="str">
        <x:v>Resources</x:v>
      </x:c>
      <x:c r="D71" s="9" t="str">
        <x:v>Raw mineral</x:v>
      </x:c>
      <x:c r="E71" s="9" t="str">
        <x:v>New proposal</x:v>
      </x:c>
      <x:c r="F71" s="9" t="str">
        <x:v>Mineral feed for trade and specialist contact research</x:v>
      </x:c>
      <x:c r="G71" s="9" t="str">
        <x:v>None</x:v>
      </x:c>
      <x:c r="H71" s="9" t="str">
        <x:v>Legger / local storage proposed</x:v>
      </x:c>
      <x:c r="I71" s="13"/>
      <x:c r="J71" s="15"/>
      <x:c r="K71" s="9" t="str">
        <x:v>Authored high-grade seam proposal</x:v>
      </x:c>
      <x:c r="L71" s="9" t="str">
        <x:v>Refining and trade research</x:v>
      </x:c>
      <x:c r="M71" s="9" t="str">
        <x:v>Not implemented</x:v>
      </x:c>
      <x:c r="N71" s="9" t="str">
        <x:v>Regional silver mining documented; value is undecided.</x:v>
      </x:c>
      <x:c r="O71" s="26"/>
      <x:c r="P71" s="26"/>
      <x:c r="Q71" s="26"/>
      <x:c r="R71" s="26"/>
      <x:c r="S71" s="26"/>
      <x:c r="T71" s="9" t="str">
        <x:v>Use beyond trade and relation to copper conductors</x:v>
      </x:c>
      <x:c r="U71" s="27"/>
      <x:c r="V71" s="9" t="str">
        <x:v>User brainstorming, October 14, 2026; game uses proposed. Reference: https://www.nps.gov/deva/learn/nature/mining-in-death-valley.htm</x:v>
      </x:c>
    </x:row>
    <x:row r="72" ht="75" customHeight="1">
      <x:c r="A72" s="9" t="str">
        <x:v>proposal.natural.gold_rock</x:v>
      </x:c>
      <x:c r="B72" s="9" t="str">
        <x:v>Gold-bearing rock</x:v>
      </x:c>
      <x:c r="C72" s="9" t="str">
        <x:v>Resources</x:v>
      </x:c>
      <x:c r="D72" s="9" t="str">
        <x:v>Raw mineral</x:v>
      </x:c>
      <x:c r="E72" s="9" t="str">
        <x:v>New proposal</x:v>
      </x:c>
      <x:c r="F72" s="9" t="str">
        <x:v>Scarce mineral feed for trade and specialist components</x:v>
      </x:c>
      <x:c r="G72" s="9" t="str">
        <x:v>None</x:v>
      </x:c>
      <x:c r="H72" s="9" t="str">
        <x:v>Legger / local storage proposed</x:v>
      </x:c>
      <x:c r="I72" s="13"/>
      <x:c r="J72" s="15"/>
      <x:c r="K72" s="9" t="str">
        <x:v>Authored mineral deposit proposal</x:v>
      </x:c>
      <x:c r="L72" s="9" t="str">
        <x:v>Separation/refining and trade research</x:v>
      </x:c>
      <x:c r="M72" s="9" t="str">
        <x:v>Not implemented</x:v>
      </x:c>
      <x:c r="N72" s="9" t="str">
        <x:v>Regional gold mining documented; no currency or rarity value set.</x:v>
      </x:c>
      <x:c r="O72" s="26"/>
      <x:c r="P72" s="26"/>
      <x:c r="Q72" s="26"/>
      <x:c r="R72" s="26"/>
      <x:c r="S72" s="26"/>
      <x:c r="T72" s="9" t="str">
        <x:v>Whether gold has a meaningful survival-economy role</x:v>
      </x:c>
      <x:c r="U72" s="27"/>
      <x:c r="V72" s="9" t="str">
        <x:v>User brainstorming, October 14, 2026; game uses proposed. Reference: https://www.nps.gov/deva/learn/nature/mining-in-death-valley.htm</x:v>
      </x:c>
    </x:row>
    <x:row r="73" ht="75" customHeight="1">
      <x:c r="A73" s="9" t="str">
        <x:v>proposal.natural.fluorite</x:v>
      </x:c>
      <x:c r="B73" s="9" t="str">
        <x:v>Raw fluorite</x:v>
      </x:c>
      <x:c r="C73" s="9" t="str">
        <x:v>Resources</x:v>
      </x:c>
      <x:c r="D73" s="9" t="str">
        <x:v>Industrial mineral</x:v>
      </x:c>
      <x:c r="E73" s="9" t="str">
        <x:v>New proposal</x:v>
      </x:c>
      <x:c r="F73" s="9" t="str">
        <x:v>Mineral feed for specialist ceramic/metallurgical research</x:v>
      </x:c>
      <x:c r="G73" s="9" t="str">
        <x:v>None</x:v>
      </x:c>
      <x:c r="H73" s="9" t="str">
        <x:v>Legger / local storage proposed</x:v>
      </x:c>
      <x:c r="I73" s="13"/>
      <x:c r="J73" s="15"/>
      <x:c r="K73" s="9" t="str">
        <x:v>Authored mineral deposit proposal</x:v>
      </x:c>
      <x:c r="L73" s="9" t="str">
        <x:v>Flux/optical-material research</x:v>
      </x:c>
      <x:c r="M73" s="9" t="str">
        <x:v>Not implemented</x:v>
      </x:c>
      <x:c r="N73" s="9" t="str">
        <x:v>NPS lists fluorspar; proposed manufacturing uses need their own design.</x:v>
      </x:c>
      <x:c r="O73" s="26"/>
      <x:c r="P73" s="26"/>
      <x:c r="Q73" s="26"/>
      <x:c r="R73" s="26"/>
      <x:c r="S73" s="26"/>
      <x:c r="T73" s="9" t="str">
        <x:v>Distinct use, processing and game naming</x:v>
      </x:c>
      <x:c r="U73" s="27"/>
      <x:c r="V73" s="9" t="str">
        <x:v>User brainstorming, October 14, 2026; game uses proposed. Reference: https://home.nps.gov/deva/faqs.htm</x:v>
      </x:c>
    </x:row>
    <x:row r="74" ht="75" customHeight="1">
      <x:c r="A74" s="9" t="str">
        <x:v>proposal.natural.antimony_ore</x:v>
      </x:c>
      <x:c r="B74" s="9" t="str">
        <x:v>Antimony-bearing ore</x:v>
      </x:c>
      <x:c r="C74" s="9" t="str">
        <x:v>Resources</x:v>
      </x:c>
      <x:c r="D74" s="9" t="str">
        <x:v>Raw mineral</x:v>
      </x:c>
      <x:c r="E74" s="9" t="str">
        <x:v>New proposal</x:v>
      </x:c>
      <x:c r="F74" s="9" t="str">
        <x:v>Mineral feed for specialist alloy research</x:v>
      </x:c>
      <x:c r="G74" s="9" t="str">
        <x:v>None</x:v>
      </x:c>
      <x:c r="H74" s="9" t="str">
        <x:v>Legger / local storage proposed</x:v>
      </x:c>
      <x:c r="I74" s="13"/>
      <x:c r="J74" s="15"/>
      <x:c r="K74" s="9" t="str">
        <x:v>Authored mineral deposit proposal</x:v>
      </x:c>
      <x:c r="L74" s="9" t="str">
        <x:v>Advanced alloy research</x:v>
      </x:c>
      <x:c r="M74" s="9" t="str">
        <x:v>Not implemented</x:v>
      </x:c>
      <x:c r="N74" s="9" t="str">
        <x:v>Regional antimony commodity documented; no final ore species or recipe selected.</x:v>
      </x:c>
      <x:c r="O74" s="26"/>
      <x:c r="P74" s="26"/>
      <x:c r="Q74" s="26"/>
      <x:c r="R74" s="26"/>
      <x:c r="S74" s="26"/>
      <x:c r="T74" s="9" t="str">
        <x:v>Keep only if advanced crafting needs this separate material</x:v>
      </x:c>
      <x:c r="U74" s="27"/>
      <x:c r="V74" s="9" t="str">
        <x:v>User brainstorming, October 14, 2026; game uses proposed. Reference: https://www.nps.gov/deva/learn/nature/mining-in-death-valley.htm</x:v>
      </x:c>
    </x:row>
    <x:row r="75" ht="75" customHeight="1">
      <x:c r="A75" s="9" t="str">
        <x:v>proposal.bio.chitin_fibers</x:v>
      </x:c>
      <x:c r="B75" s="9" t="str">
        <x:v>Scraped chitin fibers</x:v>
      </x:c>
      <x:c r="C75" s="9" t="str">
        <x:v>Resources</x:v>
      </x:c>
      <x:c r="D75" s="9" t="str">
        <x:v>Raw husk fiber</x:v>
      </x:c>
      <x:c r="E75" s="9" t="str">
        <x:v>User direction; not implemented</x:v>
      </x:c>
      <x:c r="F75" s="9" t="str">
        <x:v>Abundant husk fiber feed for paper and difficult pressed textiles.</x:v>
      </x:c>
      <x:c r="G75" s="9" t="str">
        <x:v>None</x:v>
      </x:c>
      <x:c r="H75" s="9" t="str">
        <x:v>Legger / local storage proposed</x:v>
      </x:c>
      <x:c r="I75" s="13"/>
      <x:c r="J75" s="15"/>
      <x:c r="K75" s="9" t="str">
        <x:v>Scrape shell husks</x:v>
      </x:c>
      <x:c r="L75" s="9" t="str">
        <x:v>Main paper feedstock; textile conversion very difficult</x:v>
      </x:c>
      <x:c r="M75" s="9" t="str">
        <x:v>Not implemented</x:v>
      </x:c>
      <x:c r="N75" s="9" t="str">
        <x:v>Abundance applies to raw fibers; no numeric output yield approved.</x:v>
      </x:c>
      <x:c r="O75" s="28"/>
      <x:c r="P75" s="28"/>
      <x:c r="Q75" s="28"/>
      <x:c r="R75" s="28"/>
      <x:c r="S75" s="28"/>
      <x:c r="T75" s="9" t="str">
        <x:v>Distinction from icore and exact processing; fashion-crafting input: high sale-value intent; large material/time demand; exact prices and quantities TBD</x:v>
      </x:c>
      <x:c r="U75" s="29"/>
      <x:c r="V75" s="9" t="str">
        <x:v>Docs/WORLD_BASIS.md#material-culture; author direction October 14, 2026. Process details and specific product forms remain unimplemented.</x:v>
      </x:c>
    </x:row>
    <x:row r="76" ht="75" customHeight="1">
      <x:c r="A76" s="9" t="str">
        <x:v>proposal.bio.icore_fibers</x:v>
      </x:c>
      <x:c r="B76" s="9" t="str">
        <x:v>Scraped icore fibers</x:v>
      </x:c>
      <x:c r="C76" s="9" t="str">
        <x:v>Resources</x:v>
      </x:c>
      <x:c r="D76" s="9" t="str">
        <x:v>Raw husk fiber</x:v>
      </x:c>
      <x:c r="E76" s="9" t="str">
        <x:v>User direction; not implemented</x:v>
      </x:c>
      <x:c r="F76" s="9" t="str">
        <x:v>Abundant fibers scraped from shell husks.</x:v>
      </x:c>
      <x:c r="G76" s="9" t="str">
        <x:v>None</x:v>
      </x:c>
      <x:c r="H76" s="9" t="str">
        <x:v>Legger / local storage proposed</x:v>
      </x:c>
      <x:c r="I76" s="13"/>
      <x:c r="J76" s="15"/>
      <x:c r="K76" s="9" t="str">
        <x:v>Scrape shell husks</x:v>
      </x:c>
      <x:c r="L76" s="9" t="str">
        <x:v>Paper feedstock and difficult pressed-textile material</x:v>
      </x:c>
      <x:c r="M76" s="9" t="str">
        <x:v>Not implemented</x:v>
      </x:c>
      <x:c r="N76" s="9" t="str">
        <x:v>Author spelling retained; no composition, fluid identity or special property invented.</x:v>
      </x:c>
      <x:c r="O76" s="28"/>
      <x:c r="P76" s="28"/>
      <x:c r="Q76" s="28"/>
      <x:c r="R76" s="28"/>
      <x:c r="S76" s="28"/>
      <x:c r="T76" s="9" t="str">
        <x:v>Define icore and whether paper uses one or both fiber types; fashion-crafting input: high sale-value intent; large material/time demand; exact prices and quantities TBD</x:v>
      </x:c>
      <x:c r="U76" s="29"/>
      <x:c r="V76" s="9" t="str">
        <x:v>Docs/WORLD_BASIS.md#material-culture; author direction October 14, 2026. Process details and specific product forms remain unimplemented.</x:v>
      </x:c>
    </x:row>
    <x:row r="77" ht="75" customHeight="1">
      <x:c r="A77" s="9" t="str">
        <x:v>proposal.bio.husk_paper</x:v>
      </x:c>
      <x:c r="B77" s="9" t="str">
        <x:v>Husk-fiber paper</x:v>
      </x:c>
      <x:c r="C77" s="9" t="str">
        <x:v>Crafting components</x:v>
      </x:c>
      <x:c r="D77" s="9" t="str">
        <x:v>Paper</x:v>
      </x:c>
      <x:c r="E77" s="9" t="str">
        <x:v>User direction; not implemented</x:v>
      </x:c>
      <x:c r="F77" s="9" t="str">
        <x:v>The main paper material comes from scraped shell-husk fibers.</x:v>
      </x:c>
      <x:c r="G77" s="9" t="str">
        <x:v>None</x:v>
      </x:c>
      <x:c r="H77" s="9" t="str">
        <x:v>Legger / local storage proposed</x:v>
      </x:c>
      <x:c r="I77" s="13"/>
      <x:c r="J77" s="15"/>
      <x:c r="K77" s="9" t="str">
        <x:v>Process scraped husk fibers</x:v>
      </x:c>
      <x:c r="L77" s="9" t="str">
        <x:v>Paper sheets; end uses remain open</x:v>
      </x:c>
      <x:c r="M77" s="9" t="str">
        <x:v>Not implemented</x:v>
      </x:c>
      <x:c r="N77" s="9" t="str">
        <x:v>Main source established; paper recipe, difficulty and yield not yet specified.</x:v>
      </x:c>
      <x:c r="O77" s="28"/>
      <x:c r="P77" s="28"/>
      <x:c r="Q77" s="28"/>
      <x:c r="R77" s="28"/>
      <x:c r="S77" s="28"/>
      <x:c r="T77" s="9" t="str">
        <x:v>Sheet sizes, paper properties and production method</x:v>
      </x:c>
      <x:c r="U77" s="29"/>
      <x:c r="V77" s="9" t="str">
        <x:v>Docs/WORLD_BASIS.md#material-culture; author direction October 14, 2026. Process details and specific product forms remain unimplemented.</x:v>
      </x:c>
    </x:row>
    <x:row r="78" ht="75" customHeight="1">
      <x:c r="A78" s="9" t="str">
        <x:v>proposal.bio.pressed_husk</x:v>
      </x:c>
      <x:c r="B78" s="9" t="str">
        <x:v>Pressed husk-fiber textile material</x:v>
      </x:c>
      <x:c r="C78" s="9" t="str">
        <x:v>Crafting components</x:v>
      </x:c>
      <x:c r="D78" s="9" t="str">
        <x:v>Pressed textile material</x:v>
      </x:c>
      <x:c r="E78" s="9" t="str">
        <x:v>User direction; not implemented</x:v>
      </x:c>
      <x:c r="F78" s="9" t="str">
        <x:v>Difficult processed/pressed husk-fiber material.</x:v>
      </x:c>
      <x:c r="G78" s="9" t="str">
        <x:v>None</x:v>
      </x:c>
      <x:c r="H78" s="9" t="str">
        <x:v>Legger / local storage proposed</x:v>
      </x:c>
      <x:c r="I78" s="13"/>
      <x:c r="J78" s="15"/>
      <x:c r="K78" s="9" t="str">
        <x:v>Very difficult processing and pressing of husk fibers</x:v>
      </x:c>
      <x:c r="L78" s="9" t="str">
        <x:v>Textile-material use under the no-cloth rule</x:v>
      </x:c>
      <x:c r="M78" s="9" t="str">
        <x:v>Not implemented</x:v>
      </x:c>
      <x:c r="N78" s="9" t="str">
        <x:v>No cloth of any kind; exact product form, flexibility and uses are unapproved.</x:v>
      </x:c>
      <x:c r="O78" s="28"/>
      <x:c r="P78" s="28"/>
      <x:c r="Q78" s="28"/>
      <x:c r="R78" s="28"/>
      <x:c r="S78" s="28"/>
      <x:c r="T78" s="9" t="str">
        <x:v>Binder, equipment, work and finished properties; fashion-crafting input: high sale-value intent; large material/time demand; exact prices and quantities TBD</x:v>
      </x:c>
      <x:c r="U78" s="29"/>
      <x:c r="V78" s="9" t="str">
        <x:v>Docs/WORLD_BASIS.md#material-culture; author direction October 14, 2026. Process details and specific product forms remain unimplemented.</x:v>
      </x:c>
    </x:row>
    <x:row r="79" ht="75" customHeight="1">
      <x:c r="A79" s="9" t="str">
        <x:v>proposal.bio.hide</x:v>
      </x:c>
      <x:c r="B79" s="9" t="str">
        <x:v>Raw hide</x:v>
      </x:c>
      <x:c r="C79" s="9" t="str">
        <x:v>Resources</x:v>
      </x:c>
      <x:c r="D79" s="9" t="str">
        <x:v>Animal hide</x:v>
      </x:c>
      <x:c r="E79" s="9" t="str">
        <x:v>User direction; not implemented</x:v>
      </x:c>
      <x:c r="F79" s="9" t="str">
        <x:v>Hide feedstock for extremely low-yield material processing.</x:v>
      </x:c>
      <x:c r="G79" s="9" t="str">
        <x:v>None</x:v>
      </x:c>
      <x:c r="H79" s="9" t="str">
        <x:v>Legger / local storage proposed</x:v>
      </x:c>
      <x:c r="I79" s="13"/>
      <x:c r="J79" s="15"/>
      <x:c r="K79" s="9" t="str">
        <x:v>Creature hide collection; species and method unapproved</x:v>
      </x:c>
      <x:c r="L79" s="9" t="str">
        <x:v>Textile and other material processing with extremely low yield</x:v>
      </x:c>
      <x:c r="M79" s="9" t="str">
        <x:v>Not implemented</x:v>
      </x:c>
      <x:c r="N79" s="9" t="str">
        <x:v>Low yield concerns conversion into usable material; does not define carcass yield.</x:v>
      </x:c>
      <x:c r="O79" s="28"/>
      <x:c r="P79" s="28"/>
      <x:c r="Q79" s="28"/>
      <x:c r="R79" s="28"/>
      <x:c r="S79" s="28"/>
      <x:c r="T79" s="9" t="str">
        <x:v>Species, preservation and workable output forms; fashion-crafting input: high sale-value intent; large material/time demand; exact prices and quantities TBD</x:v>
      </x:c>
      <x:c r="U79" s="29"/>
      <x:c r="V79" s="9" t="str">
        <x:v>Docs/WORLD_BASIS.md#material-culture; author direction October 14, 2026. Process details and specific product forms remain unimplemented.</x:v>
      </x:c>
    </x:row>
    <x:row r="80" ht="75" customHeight="1">
      <x:c r="A80" s="9" t="str">
        <x:v>proposal.bio.hide_material</x:v>
      </x:c>
      <x:c r="B80" s="9" t="str">
        <x:v>Processed hide material</x:v>
      </x:c>
      <x:c r="C80" s="9" t="str">
        <x:v>Crafting components</x:v>
      </x:c>
      <x:c r="D80" s="9" t="str">
        <x:v>Processed biological</x:v>
      </x:c>
      <x:c r="E80" s="9" t="str">
        <x:v>User direction; not implemented</x:v>
      </x:c>
      <x:c r="F80" s="9" t="str">
        <x:v>Scarce usable material obtained from hide processing.</x:v>
      </x:c>
      <x:c r="G80" s="9" t="str">
        <x:v>None</x:v>
      </x:c>
      <x:c r="H80" s="9" t="str">
        <x:v>Legger / local storage proposed</x:v>
      </x:c>
      <x:c r="I80" s="13"/>
      <x:c r="J80" s="15"/>
      <x:c r="K80" s="9" t="str">
        <x:v>Process raw hide</x:v>
      </x:c>
      <x:c r="L80" s="9" t="str">
        <x:v>Candidate material for later product design</x:v>
      </x:c>
      <x:c r="M80" s="9" t="str">
        <x:v>Not implemented</x:v>
      </x:c>
      <x:c r="N80" s="9" t="str">
        <x:v>Extremely low usable yield. No cloth; output form and properties remain proposals.</x:v>
      </x:c>
      <x:c r="O80" s="28"/>
      <x:c r="P80" s="28"/>
      <x:c r="Q80" s="28"/>
      <x:c r="R80" s="28"/>
      <x:c r="S80" s="28"/>
      <x:c r="T80" s="9" t="str">
        <x:v>Processing method, intended products and balance; fashion-crafting input: high sale-value intent; large material/time demand; exact prices and quantities TBD</x:v>
      </x:c>
      <x:c r="U80" s="29"/>
      <x:c r="V80" s="9" t="str">
        <x:v>Docs/WORLD_BASIS.md#material-culture; author direction October 14, 2026. Process details and specific product forms remain unimplemented.</x:v>
      </x:c>
    </x:row>
    <x:row r="81" ht="80" customHeight="1">
      <x:c r="A81" s="9" t="str">
        <x:v>proposal.bio.edible_fraction</x:v>
      </x:c>
      <x:c r="B81" s="9" t="str">
        <x:v>Edible fauna fraction (species TBD)</x:v>
      </x:c>
      <x:c r="C81" s="9" t="str">
        <x:v>Resources</x:v>
      </x:c>
      <x:c r="D81" s="9" t="str">
        <x:v>Food candidate</x:v>
      </x:c>
      <x:c r="E81" s="9" t="str">
        <x:v>User direction; not implemented</x:v>
      </x:c>
      <x:c r="F81" s="9" t="str">
        <x:v>Some fauna can be eaten, but provides poor nutrition.</x:v>
      </x:c>
      <x:c r="G81" s="9" t="str">
        <x:v>None</x:v>
      </x:c>
      <x:c r="H81" s="9" t="str">
        <x:v>Legger / local storage proposed</x:v>
      </x:c>
      <x:c r="I81" s="13"/>
      <x:c r="J81" s="15"/>
      <x:c r="K81" s="9" t="str">
        <x:v>Only explicitly edible species/parts; preparation undefined</x:v>
      </x:c>
      <x:c r="L81" s="9" t="str">
        <x:v>Potential supplementary food; does not replace algae</x:v>
      </x:c>
      <x:c r="M81" s="9" t="str">
        <x:v>Not implemented</x:v>
      </x:c>
      <x:c r="N81" s="9" t="str">
        <x:v>Most fauna lacks traditional flesh; no meat model, calorie values or safe preparation assigned.</x:v>
      </x:c>
      <x:c r="O81" s="30"/>
      <x:c r="P81" s="30"/>
      <x:c r="Q81" s="30"/>
      <x:c r="R81" s="30"/>
      <x:c r="S81" s="30"/>
      <x:c r="T81" s="9" t="str">
        <x:v>Identify species/parts from Burden Beasts anatomy; carrier/use rules not implemented</x:v>
      </x:c>
      <x:c r="U81" s="31"/>
      <x:c r="V81" s="9" t="str">
        <x:v>Docs/WORLD_BASIS.md#faunal-biology-and-material-use; direct author direction October 14, 2026. Related source anatomy proposals now accessible at f6f98515; this item awaits reconciliation; identities and processing remain undefined.</x:v>
      </x:c>
    </x:row>
    <x:row r="82" ht="80" customHeight="1">
      <x:c r="A82" s="9" t="str">
        <x:v>proposal.bio.chemical_material</x:v>
      </x:c>
      <x:c r="B82" s="9" t="str">
        <x:v>Faunal chemical material (unspecified)</x:v>
      </x:c>
      <x:c r="C82" s="9" t="str">
        <x:v>Resources</x:v>
      </x:c>
      <x:c r="D82" s="9" t="str">
        <x:v>Chemical material</x:v>
      </x:c>
      <x:c r="E82" s="9" t="str">
        <x:v>User direction; not implemented</x:v>
      </x:c>
      <x:c r="F82" s="9" t="str">
        <x:v>Internal faunal chemicals can be used as materials despite toxicity to humans.</x:v>
      </x:c>
      <x:c r="G82" s="9" t="str">
        <x:v>None</x:v>
      </x:c>
      <x:c r="H82" s="9" t="str">
        <x:v>Legger / local storage proposed</x:v>
      </x:c>
      <x:c r="I82" s="13"/>
      <x:c r="J82" s="15"/>
      <x:c r="K82" s="9" t="str">
        <x:v>Species-specific extraction remains undefined</x:v>
      </x:c>
      <x:c r="L82" s="9" t="str">
        <x:v>Material processing uses to be established</x:v>
      </x:c>
      <x:c r="M82" s="9" t="str">
        <x:v>Not implemented</x:v>
      </x:c>
      <x:c r="N82" s="9" t="str">
        <x:v>Most internal chemistry is toxic. No named reagent, solvent, fuel or recipe established.</x:v>
      </x:c>
      <x:c r="O82" s="30"/>
      <x:c r="P82" s="30"/>
      <x:c r="Q82" s="30"/>
      <x:c r="R82" s="30"/>
      <x:c r="S82" s="30"/>
      <x:c r="T82" s="9" t="str">
        <x:v>Chemical identities, useful properties, extraction and containment</x:v>
      </x:c>
      <x:c r="U82" s="31"/>
      <x:c r="V82" s="9" t="str">
        <x:v>Docs/WORLD_BASIS.md#faunal-biology-and-material-use; direct author direction October 14, 2026. Related source anatomy proposals now accessible at f6f98515; this item awaits reconciliation; identities and processing remain undefined.</x:v>
      </x:c>
    </x:row>
    <x:row r="83" ht="80" customHeight="1">
      <x:c r="A83" s="9" t="str">
        <x:v>proposal.bio.liquid_material</x:v>
      </x:c>
      <x:c r="B83" s="9" t="str">
        <x:v>Faunal liquid material (unspecified)</x:v>
      </x:c>
      <x:c r="C83" s="9" t="str">
        <x:v>Resources</x:v>
      </x:c>
      <x:c r="D83" s="9" t="str">
        <x:v>Biological liquid material</x:v>
      </x:c>
      <x:c r="E83" s="9" t="str">
        <x:v>User direction; not implemented</x:v>
      </x:c>
      <x:c r="F83" s="9" t="str">
        <x:v>Biological liquids may be extracted for use as materials.</x:v>
      </x:c>
      <x:c r="G83" s="9" t="str">
        <x:v>None</x:v>
      </x:c>
      <x:c r="H83" s="9" t="str">
        <x:v>Legger / local storage proposed</x:v>
      </x:c>
      <x:c r="I83" s="13"/>
      <x:c r="J83" s="15"/>
      <x:c r="K83" s="9" t="str">
        <x:v>Faunal interiors; species-specific extraction undefined</x:v>
      </x:c>
      <x:c r="L83" s="9" t="str">
        <x:v>Material use; not presumed drinkable</x:v>
      </x:c>
      <x:c r="M83" s="9" t="str">
        <x:v>Not implemented</x:v>
      </x:c>
      <x:c r="N83" s="9" t="str">
        <x:v>No natural free water or edible-liquid assumption. Storage, stability and specific uses unresolved.</x:v>
      </x:c>
      <x:c r="O83" s="30"/>
      <x:c r="P83" s="30"/>
      <x:c r="Q83" s="30"/>
      <x:c r="R83" s="30"/>
      <x:c r="S83" s="30"/>
      <x:c r="T83" s="9" t="str">
        <x:v>Liquid identities, containers, extraction conditions and processing</x:v>
      </x:c>
      <x:c r="U83" s="31"/>
      <x:c r="V83" s="9" t="str">
        <x:v>Docs/WORLD_BASIS.md#faunal-biology-and-material-use; direct author direction October 14, 2026. Related source anatomy proposals now accessible at f6f98515; this item awaits reconciliation; identities and processing remain undefined.</x:v>
      </x:c>
    </x:row>
    <x:row r="84" ht="80" customHeight="1">
      <x:c r="A84" s="9" t="str">
        <x:v>proposal.chemical.digestive_etchant</x:v>
      </x:c>
      <x:c r="B84" s="9" t="str">
        <x:v>Digestive etchant</x:v>
      </x:c>
      <x:c r="C84" s="9" t="str">
        <x:v>Resources</x:v>
      </x:c>
      <x:c r="D84" s="9" t="str">
        <x:v>Faunal chemical concept</x:v>
      </x:c>
      <x:c r="E84" s="9" t="str">
        <x:v>New proposal</x:v>
      </x:c>
      <x:c r="F84" s="9" t="str">
        <x:v>Mineral separation and metal surface preparation</x:v>
      </x:c>
      <x:c r="G84" s="9" t="str">
        <x:v>None</x:v>
      </x:c>
      <x:c r="H84" s="9" t="str">
        <x:v>Contained Legger/local storage proposed</x:v>
      </x:c>
      <x:c r="I84" s="13"/>
      <x:c r="J84" s="15"/>
      <x:c r="K84" s="9" t="str">
        <x:v>Contained digestive liquor in geological feeders; exposes useful mineral compounds</x:v>
      </x:c>
      <x:c r="L84" s="9" t="str">
        <x:v>Qualitative material concept; no recipe authored</x:v>
      </x:c>
      <x:c r="M84" s="9" t="str">
        <x:v>Not implemented</x:v>
      </x:c>
      <x:c r="N84" s="9" t="str">
        <x:v>Corrosive tissue injury; inedible; Could damage containers and useful shell; reusable containment and selectivity need design</x:v>
      </x:c>
      <x:c r="O84" s="32"/>
      <x:c r="P84" s="32"/>
      <x:c r="Q84" s="32"/>
      <x:c r="R84" s="32"/>
      <x:c r="S84" s="32"/>
      <x:c r="T84" s="9" t="str">
        <x:v>Source draft describes digestive acids/catalysts; this harvestable agent and uses are new proposals</x:v>
      </x:c>
      <x:c r="U84" s="33"/>
      <x:c r="V84" s="9" t="str">
        <x:v>New game brainstorm, October 14, 2026; source records are proposals. https://github.com/sleepyseamonster/Arc-Dust/blob/f6f98515c005dc3c73cccd9cbc031691745740c6/02-Arc-Dust-Worldbuilding/world/native-fauna-biology.md; https://github.com/sleepyseamonster/Arc-Dust/blob/f6f98515c005dc3c73cccd9cbc031691745740c6/02-Arc-Dust-Worldbuilding/world/materials/chemical-processing-agents.md</x:v>
      </x:c>
    </x:row>
    <x:row r="85" ht="80" customHeight="1">
      <x:c r="A85" s="9" t="str">
        <x:v>proposal.chemical.husk_enzyme</x:v>
      </x:c>
      <x:c r="B85" s="9" t="str">
        <x:v>Husk-separation enzyme</x:v>
      </x:c>
      <x:c r="C85" s="9" t="str">
        <x:v>Resources</x:v>
      </x:c>
      <x:c r="D85" s="9" t="str">
        <x:v>Faunal chemical concept</x:v>
      </x:c>
      <x:c r="E85" s="9" t="str">
        <x:v>New proposal</x:v>
      </x:c>
      <x:c r="F85" s="9" t="str">
        <x:v>Help release chitin/icore fibers for paper and difficult pressed materials</x:v>
      </x:c>
      <x:c r="G85" s="9" t="str">
        <x:v>None</x:v>
      </x:c>
      <x:c r="H85" s="9" t="str">
        <x:v>Contained Legger/local storage proposed</x:v>
      </x:c>
      <x:c r="I85" s="13"/>
      <x:c r="J85" s="15"/>
      <x:c r="K85" s="9" t="str">
        <x:v>Proposed catalytic fraction associated with shell renewal or digestion</x:v>
      </x:c>
      <x:c r="L85" s="9" t="str">
        <x:v>Qualitative material concept; no recipe authored</x:v>
      </x:c>
      <x:c r="M85" s="9" t="str">
        <x:v>Not implemented</x:v>
      </x:c>
      <x:c r="N85" s="9" t="str">
        <x:v>Biologically active irritant; effects species-dependent; Slow specialist processing still required; must not turn abundant husks into easy cloth</x:v>
      </x:c>
      <x:c r="O85" s="32"/>
      <x:c r="P85" s="32"/>
      <x:c r="Q85" s="32"/>
      <x:c r="R85" s="32"/>
      <x:c r="S85" s="32"/>
      <x:c r="T85" s="9" t="str">
        <x:v>Source draft includes industrial enzymes, but fauna origin and this fiber application are new proposals</x:v>
      </x:c>
      <x:c r="U85" s="33"/>
      <x:c r="V85" s="9" t="str">
        <x:v>New game brainstorm, October 14, 2026; source records are proposals. https://github.com/sleepyseamonster/Arc-Dust/blob/f6f98515c005dc3c73cccd9cbc031691745740c6/02-Arc-Dust-Worldbuilding/world/materials/chemical-processing-agents.md</x:v>
      </x:c>
    </x:row>
    <x:row r="86" ht="80" customHeight="1">
      <x:c r="A86" s="9" t="str">
        <x:v>proposal.chemical.shell_binder</x:v>
      </x:c>
      <x:c r="B86" s="9" t="str">
        <x:v>Shell-binding secretion</x:v>
      </x:c>
      <x:c r="C86" s="9" t="str">
        <x:v>Resources</x:v>
      </x:c>
      <x:c r="D86" s="9" t="str">
        <x:v>Faunal chemical concept</x:v>
      </x:c>
      <x:c r="E86" s="9" t="str">
        <x:v>New proposal</x:v>
      </x:c>
      <x:c r="F86" s="9" t="str">
        <x:v>Bind mineral aggregate, shell laminates and pressed fiber materials</x:v>
      </x:c>
      <x:c r="G86" s="9" t="str">
        <x:v>None</x:v>
      </x:c>
      <x:c r="H86" s="9" t="str">
        <x:v>Contained Legger/local storage proposed</x:v>
      </x:c>
      <x:c r="I86" s="13"/>
      <x:c r="J86" s="15"/>
      <x:c r="K86" s="9" t="str">
        <x:v>Proposed armor-building secretion that binds deposited minerals</x:v>
      </x:c>
      <x:c r="L86" s="9" t="str">
        <x:v>Qualitative material concept; no recipe authored</x:v>
      </x:c>
      <x:c r="M86" s="9" t="str">
        <x:v>Not implemented</x:v>
      </x:c>
      <x:c r="N86" s="9" t="str">
        <x:v>Adheres to exposed surfaces; contaminated residue may be toxic; Durable bonding is a proposal; curing conditions and unwanted adhesion remain unresolved</x:v>
      </x:c>
      <x:c r="O86" s="32"/>
      <x:c r="P86" s="32"/>
      <x:c r="Q86" s="32"/>
      <x:c r="R86" s="32"/>
      <x:c r="S86" s="32"/>
      <x:c r="T86" s="9" t="str">
        <x:v>Armor-building organs and chitin-derived binders are source-draft seeds; secretion/product is new</x:v>
      </x:c>
      <x:c r="U86" s="33"/>
      <x:c r="V86" s="9" t="str">
        <x:v>New game brainstorm, October 14, 2026; source records are proposals. https://github.com/sleepyseamonster/Arc-Dust/blob/f6f98515c005dc3c73cccd9cbc031691745740c6/02-Arc-Dust-Worldbuilding/world/native-fauna-biology.md; https://github.com/sleepyseamonster/Arc-Dust/blob/f6f98515c005dc3c73cccd9cbc031691745740c6/02-Arc-Dust-Worldbuilding/world/materials/chemical-processing-agents.md</x:v>
      </x:c>
    </x:row>
    <x:row r="87" ht="80" customHeight="1">
      <x:c r="A87" s="9" t="str">
        <x:v>proposal.chemical.clotting_compound</x:v>
      </x:c>
      <x:c r="B87" s="9" t="str">
        <x:v>Mineral clotting compound</x:v>
      </x:c>
      <x:c r="C87" s="9" t="str">
        <x:v>Resources</x:v>
      </x:c>
      <x:c r="D87" s="9" t="str">
        <x:v>Faunal chemical concept</x:v>
      </x:c>
      <x:c r="E87" s="9" t="str">
        <x:v>New proposal</x:v>
      </x:c>
      <x:c r="F87" s="9" t="str">
        <x:v>Quick hard-setting equipment patches and temporary container seals</x:v>
      </x:c>
      <x:c r="G87" s="9" t="str">
        <x:v>None</x:v>
      </x:c>
      <x:c r="H87" s="9" t="str">
        <x:v>Contained Legger/local storage proposed</x:v>
      </x:c>
      <x:c r="I87" s="13"/>
      <x:c r="J87" s="15"/>
      <x:c r="K87" s="9" t="str">
        <x:v>Ichor wound response; suspended minerals harden into a protective clot</x:v>
      </x:c>
      <x:c r="L87" s="9" t="str">
        <x:v>Qualitative material concept; no recipe authored</x:v>
      </x:c>
      <x:c r="M87" s="9" t="str">
        <x:v>Not implemented</x:v>
      </x:c>
      <x:c r="N87" s="9" t="str">
        <x:v>Not human-compatible medicine; contact/ingestion toxicity unresolved; Brittleness and shelf stability can distinguish it from a permanent binder</x:v>
      </x:c>
      <x:c r="O87" s="32"/>
      <x:c r="P87" s="32"/>
      <x:c r="Q87" s="32"/>
      <x:c r="R87" s="32"/>
      <x:c r="S87" s="32"/>
      <x:c r="T87" s="9" t="str">
        <x:v>Source draft describes mineral-hardened clots; repair-material use is new</x:v>
      </x:c>
      <x:c r="U87" s="33"/>
      <x:c r="V87" s="9" t="str">
        <x:v>New game brainstorm, October 14, 2026; source records are proposals. https://github.com/sleepyseamonster/Arc-Dust/blob/f6f98515c005dc3c73cccd9cbc031691745740c6/02-Arc-Dust-Worldbuilding/world/native-fauna-biology.md</x:v>
      </x:c>
    </x:row>
    <x:row r="88" ht="80" customHeight="1">
      <x:c r="A88" s="9" t="str">
        <x:v>proposal.chemical.mineral_ichor</x:v>
      </x:c>
      <x:c r="B88" s="9" t="str">
        <x:v>Mineral-rich ichor</x:v>
      </x:c>
      <x:c r="C88" s="9" t="str">
        <x:v>Resources</x:v>
      </x:c>
      <x:c r="D88" s="9" t="str">
        <x:v>Faunal chemical concept</x:v>
      </x:c>
      <x:c r="E88" s="9" t="str">
        <x:v>New proposal</x:v>
      </x:c>
      <x:c r="F88" s="9" t="str">
        <x:v>Potential feed for pigments, recovered mineral fractions and binder research</x:v>
      </x:c>
      <x:c r="G88" s="9" t="str">
        <x:v>None</x:v>
      </x:c>
      <x:c r="H88" s="9" t="str">
        <x:v>Contained Legger/local storage proposed</x:v>
      </x:c>
      <x:c r="I88" s="13"/>
      <x:c r="J88" s="15"/>
      <x:c r="K88" s="9" t="str">
        <x:v>Circulatory fluid carrying minerals, energy compounds and metabolic wastes</x:v>
      </x:c>
      <x:c r="L88" s="9" t="str">
        <x:v>Qualitative material concept; no recipe authored</x:v>
      </x:c>
      <x:c r="M88" s="9" t="str">
        <x:v>Not implemented</x:v>
      </x:c>
      <x:c r="N88" s="9" t="str">
        <x:v>Species-dependent toxicity and mineral contamination; not drinkable by default; Mixed contents vary by diet; do not assume a universal reagent or battery electrolyte</x:v>
      </x:c>
      <x:c r="O88" s="32"/>
      <x:c r="P88" s="32"/>
      <x:c r="Q88" s="32"/>
      <x:c r="R88" s="32"/>
      <x:c r="S88" s="32"/>
      <x:c r="T88" s="9" t="str">
        <x:v>Ichor contents are source-draft biology; separated material uses are new proposals</x:v>
      </x:c>
      <x:c r="U88" s="33"/>
      <x:c r="V88" s="9" t="str">
        <x:v>New game brainstorm, October 14, 2026; source records are proposals. https://github.com/sleepyseamonster/Arc-Dust/blob/f6f98515c005dc3c73cccd9cbc031691745740c6/02-Arc-Dust-Worldbuilding/world/native-fauna-biology.md</x:v>
      </x:c>
    </x:row>
    <x:row r="89" ht="80" customHeight="1">
      <x:c r="A89" s="9" t="str">
        <x:v>proposal.chemical.joint_lubricant</x:v>
      </x:c>
      <x:c r="B89" s="9" t="str">
        <x:v>Joint-lubricating secretion</x:v>
      </x:c>
      <x:c r="C89" s="9" t="str">
        <x:v>Resources</x:v>
      </x:c>
      <x:c r="D89" s="9" t="str">
        <x:v>Faunal chemical concept</x:v>
      </x:c>
      <x:c r="E89" s="9" t="str">
        <x:v>New proposal</x:v>
      </x:c>
      <x:c r="F89" s="9" t="str">
        <x:v>Dust-resistant equipment lubrication and flexible-seal conditioning</x:v>
      </x:c>
      <x:c r="G89" s="9" t="str">
        <x:v>None</x:v>
      </x:c>
      <x:c r="H89" s="9" t="str">
        <x:v>Contained Legger/local storage proposed</x:v>
      </x:c>
      <x:c r="I89" s="13"/>
      <x:c r="J89" s="15"/>
      <x:c r="K89" s="9" t="str">
        <x:v>Proposed secretion that protects sliding plate/joint surfaces</x:v>
      </x:c>
      <x:c r="L89" s="9" t="str">
        <x:v>Qualitative material concept; no recipe authored</x:v>
      </x:c>
      <x:c r="M89" s="9" t="str">
        <x:v>Not implemented</x:v>
      </x:c>
      <x:c r="N89" s="9" t="str">
        <x:v>Toxic if ingested; skin compatibility unapproved; Dust capture versus useful lubrication needs design; does not restore conventional fat anatomy</x:v>
      </x:c>
      <x:c r="O89" s="32"/>
      <x:c r="P89" s="32"/>
      <x:c r="Q89" s="32"/>
      <x:c r="R89" s="32"/>
      <x:c r="S89" s="32"/>
      <x:c r="T89" s="9" t="str">
        <x:v>New proposed secretion; source processing draft discusses biological oils without validating this anatomy</x:v>
      </x:c>
      <x:c r="U89" s="33"/>
      <x:c r="V89" s="9" t="str">
        <x:v>New game brainstorm, October 14, 2026; source records are proposals. https://github.com/sleepyseamonster/Arc-Dust/blob/f6f98515c005dc3c73cccd9cbc031691745740c6/02-Arc-Dust-Worldbuilding/world/materials/chemical-processing-agents.md</x:v>
      </x:c>
    </x:row>
    <x:row r="90" ht="80" customHeight="1">
      <x:c r="A90" s="9" t="str">
        <x:v>proposal.chemical.insulating_secretion</x:v>
      </x:c>
      <x:c r="B90" s="9" t="str">
        <x:v>Insulating secretion</x:v>
      </x:c>
      <x:c r="C90" s="9" t="str">
        <x:v>Resources</x:v>
      </x:c>
      <x:c r="D90" s="9" t="str">
        <x:v>Faunal chemical concept</x:v>
      </x:c>
      <x:c r="E90" s="9" t="str">
        <x:v>New proposal</x:v>
      </x:c>
      <x:c r="F90" s="9" t="str">
        <x:v>Candidate electrical separators and equipment coating</x:v>
      </x:c>
      <x:c r="G90" s="9" t="str">
        <x:v>None</x:v>
      </x:c>
      <x:c r="H90" s="9" t="str">
        <x:v>Contained Legger/local storage proposed</x:v>
      </x:c>
      <x:c r="I90" s="13"/>
      <x:c r="J90" s="15"/>
      <x:c r="K90" s="9" t="str">
        <x:v>Proposed barrier layer that helps fauna manage electrical exposure</x:v>
      </x:c>
      <x:c r="L90" s="9" t="str">
        <x:v>Qualitative material concept; no recipe authored</x:v>
      </x:c>
      <x:c r="M90" s="9" t="str">
        <x:v>Not implemented</x:v>
      </x:c>
      <x:c r="N90" s="9" t="str">
        <x:v>Irritating/toxic residue; no human-contact assumption; Electrical behavior and wear are unproven; never blanket lightning immunity</x:v>
      </x:c>
      <x:c r="O90" s="32"/>
      <x:c r="P90" s="32"/>
      <x:c r="Q90" s="32"/>
      <x:c r="R90" s="32"/>
      <x:c r="S90" s="32"/>
      <x:c r="T90" s="9" t="str">
        <x:v>Source draft includes insulation/charge shedding; this material capability is a new proposal</x:v>
      </x:c>
      <x:c r="U90" s="33"/>
      <x:c r="V90" s="9" t="str">
        <x:v>New game brainstorm, October 14, 2026; source records are proposals. https://github.com/sleepyseamonster/Arc-Dust/blob/f6f98515c005dc3c73cccd9cbc031691745740c6/02-Arc-Dust-Worldbuilding/world/native-fauna-biology.md</x:v>
      </x:c>
    </x:row>
    <x:row r="91" ht="80" customHeight="1">
      <x:c r="A91" s="9" t="str">
        <x:v>proposal.chemical.conductive_gel</x:v>
      </x:c>
      <x:c r="B91" s="9" t="str">
        <x:v>Charge-conducting gel</x:v>
      </x:c>
      <x:c r="C91" s="9" t="str">
        <x:v>Resources</x:v>
      </x:c>
      <x:c r="D91" s="9" t="str">
        <x:v>Faunal chemical concept</x:v>
      </x:c>
      <x:c r="E91" s="9" t="str">
        <x:v>New proposal</x:v>
      </x:c>
      <x:c r="F91" s="9" t="str">
        <x:v>Candidate contained equipment contacts and sensing components</x:v>
      </x:c>
      <x:c r="G91" s="9" t="str">
        <x:v>None</x:v>
      </x:c>
      <x:c r="H91" s="9" t="str">
        <x:v>Contained Legger/local storage proposed</x:v>
      </x:c>
      <x:c r="I91" s="13"/>
      <x:c r="J91" s="15"/>
      <x:c r="K91" s="9" t="str">
        <x:v>Proposed contained medium supporting electroactive tissue</x:v>
      </x:c>
      <x:c r="L91" s="9" t="str">
        <x:v>Qualitative material concept; no recipe authored</x:v>
      </x:c>
      <x:c r="M91" s="9" t="str">
        <x:v>Not implemented</x:v>
      </x:c>
      <x:c r="N91" s="9" t="str">
        <x:v>Contact could create an unwanted charge path; chemically toxic; Can worsen charge exposure; no direct body application or power generation assumed</x:v>
      </x:c>
      <x:c r="O91" s="32"/>
      <x:c r="P91" s="32"/>
      <x:c r="Q91" s="32"/>
      <x:c r="R91" s="32"/>
      <x:c r="S91" s="32"/>
      <x:c r="T91" s="9" t="str">
        <x:v>Source draft has electroactive fibers and conductive tissue; gel and applications are new proposals</x:v>
      </x:c>
      <x:c r="U91" s="33"/>
      <x:c r="V91" s="9" t="str">
        <x:v>New game brainstorm, October 14, 2026; source records are proposals. https://github.com/sleepyseamonster/Arc-Dust/blob/f6f98515c005dc3c73cccd9cbc031691745740c6/02-Arc-Dust-Worldbuilding/world/native-fauna-biology.md</x:v>
      </x:c>
    </x:row>
    <x:row r="92" ht="80" customHeight="1">
      <x:c r="A92" s="9" t="str">
        <x:v>proposal.chemical.molt_release</x:v>
      </x:c>
      <x:c r="B92" s="9" t="str">
        <x:v>Molt-release compound</x:v>
      </x:c>
      <x:c r="C92" s="9" t="str">
        <x:v>Resources</x:v>
      </x:c>
      <x:c r="D92" s="9" t="str">
        <x:v>Faunal chemical concept</x:v>
      </x:c>
      <x:c r="E92" s="9" t="str">
        <x:v>New proposal</x:v>
      </x:c>
      <x:c r="F92" s="9" t="str">
        <x:v>Controlled plate-layer release and husk surface preparation</x:v>
      </x:c>
      <x:c r="G92" s="9" t="str">
        <x:v>None</x:v>
      </x:c>
      <x:c r="H92" s="9" t="str">
        <x:v>Contained Legger/local storage proposed</x:v>
      </x:c>
      <x:c r="I92" s="13"/>
      <x:c r="J92" s="15"/>
      <x:c r="K92" s="9" t="str">
        <x:v>Proposed agent that separates old outer husk layers during renewal</x:v>
      </x:c>
      <x:c r="L92" s="9" t="str">
        <x:v>Qualitative material concept; no recipe authored</x:v>
      </x:c>
      <x:c r="M92" s="9" t="str">
        <x:v>Not implemented</x:v>
      </x:c>
      <x:c r="N92" s="9" t="str">
        <x:v>Tissue/surface damage on contact; species-dependent; May spoil recovered fibers or structural plate; usefulness must differ from enzyme fraction</x:v>
      </x:c>
      <x:c r="O92" s="32"/>
      <x:c r="P92" s="32"/>
      <x:c r="Q92" s="32"/>
      <x:c r="R92" s="32"/>
      <x:c r="S92" s="32"/>
      <x:c r="T92" s="9" t="str">
        <x:v>New biological/material proposal; no specific molt chemistry established</x:v>
      </x:c>
      <x:c r="U92" s="33"/>
      <x:c r="V92" s="9" t="str">
        <x:v>New game brainstorm, October 14, 2026; source records are proposals. https://github.com/sleepyseamonster/Arc-Dust/blob/f6f98515c005dc3c73cccd9cbc031691745740c6/02-Arc-Dust-Worldbuilding/world/native-fauna-biology.md</x:v>
      </x:c>
    </x:row>
    <x:row r="93" ht="80" customHeight="1">
      <x:c r="A93" s="9" t="str">
        <x:v>proposal.chemical.defensive_irritant</x:v>
      </x:c>
      <x:c r="B93" s="9" t="str">
        <x:v>Defensive irritant secretion</x:v>
      </x:c>
      <x:c r="C93" s="9" t="str">
        <x:v>Resources</x:v>
      </x:c>
      <x:c r="D93" s="9" t="str">
        <x:v>Faunal chemical concept</x:v>
      </x:c>
      <x:c r="E93" s="9" t="str">
        <x:v>New proposal</x:v>
      </x:c>
      <x:c r="F93" s="9" t="str">
        <x:v>Candidate exclusion coatings around equipment or stored materials</x:v>
      </x:c>
      <x:c r="G93" s="9" t="str">
        <x:v>None</x:v>
      </x:c>
      <x:c r="H93" s="9" t="str">
        <x:v>Contained Legger/local storage proposed</x:v>
      </x:c>
      <x:c r="I93" s="13"/>
      <x:c r="J93" s="15"/>
      <x:c r="K93" s="9" t="str">
        <x:v>Proposed deterrent gland output in defensive species</x:v>
      </x:c>
      <x:c r="L93" s="9" t="str">
        <x:v>Qualitative material concept; no recipe authored</x:v>
      </x:c>
      <x:c r="M93" s="9" t="str">
        <x:v>Not implemented</x:v>
      </x:c>
      <x:c r="N93" s="9" t="str">
        <x:v>Painful surface irritation and temporary sensory disruption; Repellent target response is unproven; deliberate containment only, no ambient liquid pools</x:v>
      </x:c>
      <x:c r="O93" s="32"/>
      <x:c r="P93" s="32"/>
      <x:c r="Q93" s="32"/>
      <x:c r="R93" s="32"/>
      <x:c r="S93" s="32"/>
      <x:c r="T93" s="9" t="str">
        <x:v>New toxin and application proposal; not assigned to any existing species</x:v>
      </x:c>
      <x:c r="U93" s="33"/>
      <x:c r="V93" s="9" t="str">
        <x:v>New game brainstorm, October 14, 2026; source records are proposals. https://github.com/sleepyseamonster/Arc-Dust/blob/f6f98515c005dc3c73cccd9cbc031691745740c6/02-Arc-Dust-Worldbuilding/world/native-fauna-biology.md</x:v>
      </x:c>
    </x:row>
    <x:row r="94" ht="80" customHeight="1">
      <x:c r="A94" s="9" t="str">
        <x:v>proposal.chemical.disabling_venom</x:v>
      </x:c>
      <x:c r="B94" s="9" t="str">
        <x:v>Disabling venom fraction</x:v>
      </x:c>
      <x:c r="C94" s="9" t="str">
        <x:v>Resources</x:v>
      </x:c>
      <x:c r="D94" s="9" t="str">
        <x:v>Faunal chemical concept</x:v>
      </x:c>
      <x:c r="E94" s="9" t="str">
        <x:v>New proposal</x:v>
      </x:c>
      <x:c r="F94" s="9" t="str">
        <x:v>Candidate specialist trade/sample material for later design</x:v>
      </x:c>
      <x:c r="G94" s="9" t="str">
        <x:v>None</x:v>
      </x:c>
      <x:c r="H94" s="9" t="str">
        <x:v>Contained Legger/local storage proposed</x:v>
      </x:c>
      <x:c r="I94" s="13"/>
      <x:c r="J94" s="15"/>
      <x:c r="K94" s="9" t="str">
        <x:v>Proposed specialized predator secretion for subduing native prey</x:v>
      </x:c>
      <x:c r="L94" s="9" t="str">
        <x:v>Qualitative material concept; no recipe authored</x:v>
      </x:c>
      <x:c r="M94" s="9" t="str">
        <x:v>Not implemented</x:v>
      </x:c>
      <x:c r="N94" s="9" t="str">
        <x:v>Neurological disruption; human severity undefined; No human/animal potency equivalence, cure, delivery method or combat system established</x:v>
      </x:c>
      <x:c r="O94" s="32"/>
      <x:c r="P94" s="32"/>
      <x:c r="Q94" s="32"/>
      <x:c r="R94" s="32"/>
      <x:c r="S94" s="32"/>
      <x:c r="T94" s="9" t="str">
        <x:v>New proposal; source predation does not establish a specific venom</x:v>
      </x:c>
      <x:c r="U94" s="33"/>
      <x:c r="V94" s="9" t="str">
        <x:v>New game brainstorm, October 14, 2026; source records are proposals. https://github.com/sleepyseamonster/Arc-Dust/blob/f6f98515c005dc3c73cccd9cbc031691745740c6/02-Arc-Dust-Worldbuilding/world/native-fauna-biology.md</x:v>
      </x:c>
    </x:row>
    <x:row r="95" ht="80" customHeight="1">
      <x:c r="A95" s="9" t="str">
        <x:v>proposal.chemical.scent_marker</x:v>
      </x:c>
      <x:c r="B95" s="9" t="str">
        <x:v>Chemical scent marker</x:v>
      </x:c>
      <x:c r="C95" s="9" t="str">
        <x:v>Resources</x:v>
      </x:c>
      <x:c r="D95" s="9" t="str">
        <x:v>Faunal chemical concept</x:v>
      </x:c>
      <x:c r="E95" s="9" t="str">
        <x:v>New proposal</x:v>
      </x:c>
      <x:c r="F95" s="9" t="str">
        <x:v>Possible lure, trail concealment or animal-avoidance research</x:v>
      </x:c>
      <x:c r="G95" s="9" t="str">
        <x:v>None</x:v>
      </x:c>
      <x:c r="H95" s="9" t="str">
        <x:v>Contained Legger/local storage proposed</x:v>
      </x:c>
      <x:c r="I95" s="13"/>
      <x:c r="J95" s="15"/>
      <x:c r="K95" s="9" t="str">
        <x:v>Proposed territorial or social signal secretion</x:v>
      </x:c>
      <x:c r="L95" s="9" t="str">
        <x:v>Qualitative material concept; no recipe authored</x:v>
      </x:c>
      <x:c r="M95" s="9" t="str">
        <x:v>Not implemented</x:v>
      </x:c>
      <x:c r="N95" s="9" t="str">
        <x:v>Irritant or toxic to humans despite its signaling role; Species-specific response; a signal may attract unwanted animals rather than repel them</x:v>
      </x:c>
      <x:c r="O95" s="32"/>
      <x:c r="P95" s="32"/>
      <x:c r="Q95" s="32"/>
      <x:c r="R95" s="32"/>
      <x:c r="S95" s="32"/>
      <x:c r="T95" s="9" t="str">
        <x:v>New proposal; no accepted behavioral response or universal bait chemistry</x:v>
      </x:c>
      <x:c r="U95" s="33"/>
      <x:c r="V95" s="9" t="str">
        <x:v>New game brainstorm, October 14, 2026; source records are proposals. https://github.com/sleepyseamonster/Arc-Dust/blob/f6f98515c005dc3c73cccd9cbc031691745740c6/02-Arc-Dust-Worldbuilding/world/native-fauna-biology.md</x:v>
      </x:c>
    </x:row>
    <x:row r="96" ht="100" customHeight="1">
      <x:c r="A96" s="9" t="str">
        <x:v>proposal.container.sample_vial</x:v>
      </x:c>
      <x:c r="B96" s="9" t="str">
        <x:v>Clear sample vial</x:v>
      </x:c>
      <x:c r="C96" s="9" t="str">
        <x:v>Containers</x:v>
      </x:c>
      <x:c r="D96" s="9" t="str">
        <x:v>Primary vessel</x:v>
      </x:c>
      <x:c r="E96" s="9" t="str">
        <x:v>New proposal</x:v>
      </x:c>
      <x:c r="F96" s="9" t="str">
        <x:v>Inspect a small ichor or chemical sample without opening it</x:v>
      </x:c>
      <x:c r="G96" s="9" t="str">
        <x:v>None</x:v>
      </x:c>
      <x:c r="H96" s="9" t="str">
        <x:v>Filled raw-resource vessel: Legger/local owner; other carrier eligibility TBD</x:v>
      </x:c>
      <x:c r="I96" s="13"/>
      <x:c r="J96" s="15"/>
      <x:c r="K96" s="9" t="str">
        <x:v>Glassworker/fabricator or salvage candidate; no recipe authored</x:v>
      </x:c>
      <x:c r="L96" s="9" t="str">
        <x:v>Materials: Scarce clear glass</x:v>
      </x:c>
      <x:c r="M96" s="9" t="str">
        <x:v>Not implemented</x:v>
      </x:c>
      <x:c r="N96" s="9" t="str">
        <x:v>Clear glass cost; liquid compatibility and fill limit unapproved</x:v>
      </x:c>
      <x:c r="O96" s="36"/>
      <x:c r="P96" s="36"/>
      <x:c r="Q96" s="36"/>
      <x:c r="R96" s="36"/>
      <x:c r="S96" s="36"/>
      <x:c r="T96" s="9" t="str">
        <x:v>Qualitative size: Small sample. Closure: Matched stopper with retained cover proposed. Contents: Species-tagged ichor; compatible chemical samples</x:v>
      </x:c>
      <x:c r="U96" s="37"/>
      <x:c r="V96" s="9" t="str">
        <x:v>New game proposal, October 14, 2026. Glass draft supports costly transparent material; this vessel is a new proposal. Source records are proposals: https://github.com/sleepyseamonster/Arc-Dust/blob/f6f98515c005dc3c73cccd9cbc031691745740c6/02-Arc-Dust-Worldbuilding/world/materials/glass.md; https://github.com/sleepyseamonster/Arc-Dust/blob/f6f98515c005dc3c73cccd9cbc031691745740c6/02-Arc-Dust-Worldbuilding/world/materials/chitin.md</x:v>
      </x:c>
    </x:row>
    <x:row r="97" ht="100" customHeight="1">
      <x:c r="A97" s="9" t="str">
        <x:v>proposal.container.reagent_bottle</x:v>
      </x:c>
      <x:c r="B97" s="9" t="str">
        <x:v>Opaque reagent bottle</x:v>
      </x:c>
      <x:c r="C97" s="9" t="str">
        <x:v>Containers</x:v>
      </x:c>
      <x:c r="D97" s="9" t="str">
        <x:v>Primary vessel</x:v>
      </x:c>
      <x:c r="E97" s="9" t="str">
        <x:v>New proposal</x:v>
      </x:c>
      <x:c r="F97" s="9" t="str">
        <x:v>Everyday transport of one known material</x:v>
      </x:c>
      <x:c r="G97" s="9" t="str">
        <x:v>None</x:v>
      </x:c>
      <x:c r="H97" s="9" t="str">
        <x:v>Filled raw-resource vessel: Legger/local owner; other carrier eligibility TBD</x:v>
      </x:c>
      <x:c r="I97" s="13"/>
      <x:c r="J97" s="15"/>
      <x:c r="K97" s="9" t="str">
        <x:v>Glassworker/fabricator or salvage candidate; no recipe authored</x:v>
      </x:c>
      <x:c r="L97" s="9" t="str">
        <x:v>Materials: Opaque mineral glass; shell/metal cap</x:v>
      </x:c>
      <x:c r="M97" s="9" t="str">
        <x:v>Not implemented</x:v>
      </x:c>
      <x:c r="N97" s="9" t="str">
        <x:v>Cannot inspect contents through the wall; external identity label matters</x:v>
      </x:c>
      <x:c r="O97" s="36"/>
      <x:c r="P97" s="36"/>
      <x:c r="Q97" s="36"/>
      <x:c r="R97" s="36"/>
      <x:c r="S97" s="36"/>
      <x:c r="T97" s="9" t="str">
        <x:v>Qualitative size: Hand-sized. Closure: Compression cap and compatible seat proposed. Contents: One identified ichor or reagent batch</x:v>
      </x:c>
      <x:c r="U97" s="37"/>
      <x:c r="V97" s="9" t="str">
        <x:v>New game proposal, October 14, 2026. Standard opaque glass vessels have a source-draft basis; exact item new. Source records are proposals: https://github.com/sleepyseamonster/Arc-Dust/blob/f6f98515c005dc3c73cccd9cbc031691745740c6/02-Arc-Dust-Worldbuilding/world/materials/glass.md; https://github.com/sleepyseamonster/Arc-Dust/blob/f6f98515c005dc3c73cccd9cbc031691745740c6/02-Arc-Dust-Worldbuilding/world/materials/chitin.md</x:v>
      </x:c>
    </x:row>
    <x:row r="98" ht="100" customHeight="1">
      <x:c r="A98" s="9" t="str">
        <x:v>proposal.container.wide_jar</x:v>
      </x:c>
      <x:c r="B98" s="9" t="str">
        <x:v>Wide-mouth sample jar</x:v>
      </x:c>
      <x:c r="C98" s="9" t="str">
        <x:v>Containers</x:v>
      </x:c>
      <x:c r="D98" s="9" t="str">
        <x:v>Primary vessel</x:v>
      </x:c>
      <x:c r="E98" s="9" t="str">
        <x:v>New proposal</x:v>
      </x:c>
      <x:c r="F98" s="9" t="str">
        <x:v>Carry thick gels, clot samples and mineral-rich slurry</x:v>
      </x:c>
      <x:c r="G98" s="9" t="str">
        <x:v>None</x:v>
      </x:c>
      <x:c r="H98" s="9" t="str">
        <x:v>Filled raw-resource vessel: Legger/local owner; other carrier eligibility TBD</x:v>
      </x:c>
      <x:c r="I98" s="13"/>
      <x:c r="J98" s="15"/>
      <x:c r="K98" s="9" t="str">
        <x:v>Glassworker/fabricator or salvage candidate; no recipe authored</x:v>
      </x:c>
      <x:c r="L98" s="9" t="str">
        <x:v>Materials: Glass body; rigid broad lid</x:v>
      </x:c>
      <x:c r="M98" s="9" t="str">
        <x:v>Not implemented</x:v>
      </x:c>
      <x:c r="N98" s="9" t="str">
        <x:v>Wide opening aids access but makes transfers less controlled; no scoop rules set</x:v>
      </x:c>
      <x:c r="O98" s="36"/>
      <x:c r="P98" s="36"/>
      <x:c r="Q98" s="36"/>
      <x:c r="R98" s="36"/>
      <x:c r="S98" s="36"/>
      <x:c r="T98" s="9" t="str">
        <x:v>Qualitative size: Small to medium. Closure: Broad fitted lid with compatible sealing seat. Contents: Viscous material or solid/liquid sample</x:v>
      </x:c>
      <x:c r="U98" s="37"/>
      <x:c r="V98" s="9" t="str">
        <x:v>New game proposal, October 14, 2026. Glass vessel basis; wide-mouth item and uses proposed. Source records are proposals: https://github.com/sleepyseamonster/Arc-Dust/blob/f6f98515c005dc3c73cccd9cbc031691745740c6/02-Arc-Dust-Worldbuilding/world/materials/glass.md; https://github.com/sleepyseamonster/Arc-Dust/blob/f6f98515c005dc3c73cccd9cbc031691745740c6/02-Arc-Dust-Worldbuilding/world/materials/chitin.md</x:v>
      </x:c>
    </x:row>
    <x:row r="99" ht="100" customHeight="1">
      <x:c r="A99" s="9" t="str">
        <x:v>proposal.container.ampoule</x:v>
      </x:c>
      <x:c r="B99" s="9" t="str">
        <x:v>Sealed sample ampoule</x:v>
      </x:c>
      <x:c r="C99" s="9" t="str">
        <x:v>Containers</x:v>
      </x:c>
      <x:c r="D99" s="9" t="str">
        <x:v>Primary vessel</x:v>
      </x:c>
      <x:c r="E99" s="9" t="str">
        <x:v>New proposal</x:v>
      </x:c>
      <x:c r="F99" s="9" t="str">
        <x:v>Preserve an isolated small specimen for later analysis or trade</x:v>
      </x:c>
      <x:c r="G99" s="9" t="str">
        <x:v>None</x:v>
      </x:c>
      <x:c r="H99" s="9" t="str">
        <x:v>Filled raw-resource vessel: Legger/local owner; other carrier eligibility TBD</x:v>
      </x:c>
      <x:c r="I99" s="13"/>
      <x:c r="J99" s="15"/>
      <x:c r="K99" s="9" t="str">
        <x:v>Glassworker/fabricator or salvage candidate; no recipe authored</x:v>
      </x:c>
      <x:c r="L99" s="9" t="str">
        <x:v>Materials: Sealed clear glass</x:v>
      </x:c>
      <x:c r="M99" s="9" t="str">
        <x:v>Not implemented</x:v>
      </x:c>
      <x:c r="N99" s="9" t="str">
        <x:v>Opening and reuse undecided; no mandatory single-use depletion rule approved</x:v>
      </x:c>
      <x:c r="O99" s="36"/>
      <x:c r="P99" s="36"/>
      <x:c r="Q99" s="36"/>
      <x:c r="R99" s="36"/>
      <x:c r="S99" s="36"/>
      <x:c r="T99" s="9" t="str">
        <x:v>Qualitative size: Very small. Closure: Factory/workshop sealed. Contents: One specimen; chemistry compatibility unresolved</x:v>
      </x:c>
      <x:c r="U99" s="37"/>
      <x:c r="V99" s="9" t="str">
        <x:v>New game proposal, October 14, 2026. New sealed-glass form inspired by source glasswork. Source records are proposals: https://github.com/sleepyseamonster/Arc-Dust/blob/f6f98515c005dc3c73cccd9cbc031691745740c6/02-Arc-Dust-Worldbuilding/world/materials/glass.md; https://github.com/sleepyseamonster/Arc-Dust/blob/f6f98515c005dc3c73cccd9cbc031691745740c6/02-Arc-Dust-Worldbuilding/world/materials/chitin.md</x:v>
      </x:c>
    </x:row>
    <x:row r="100" ht="100" customHeight="1">
      <x:c r="A100" s="9" t="str">
        <x:v>proposal.container.marked_flask</x:v>
      </x:c>
      <x:c r="B100" s="9" t="str">
        <x:v>Marked glass flask</x:v>
      </x:c>
      <x:c r="C100" s="9" t="str">
        <x:v>Containers</x:v>
      </x:c>
      <x:c r="D100" s="9" t="str">
        <x:v>Primary vessel</x:v>
      </x:c>
      <x:c r="E100" s="9" t="str">
        <x:v>New proposal</x:v>
      </x:c>
      <x:c r="F100" s="9" t="str">
        <x:v>Read fill and compare a specimen before transfer</x:v>
      </x:c>
      <x:c r="G100" s="9" t="str">
        <x:v>None</x:v>
      </x:c>
      <x:c r="H100" s="9" t="str">
        <x:v>Filled raw-resource vessel: Legger/local owner; other carrier eligibility TBD</x:v>
      </x:c>
      <x:c r="I100" s="13"/>
      <x:c r="J100" s="15"/>
      <x:c r="K100" s="9" t="str">
        <x:v>Glassworker/fabricator or salvage candidate; no recipe authored</x:v>
      </x:c>
      <x:c r="L100" s="9" t="str">
        <x:v>Materials: Clear glass with etched marks</x:v>
      </x:c>
      <x:c r="M100" s="9" t="str">
        <x:v>Not implemented</x:v>
      </x:c>
      <x:c r="N100" s="9" t="str">
        <x:v>Marks do not establish numeric volume, chemistry analysis or automatic quality grading</x:v>
      </x:c>
      <x:c r="O100" s="36"/>
      <x:c r="P100" s="36"/>
      <x:c r="Q100" s="36"/>
      <x:c r="R100" s="36"/>
      <x:c r="S100" s="36"/>
      <x:c r="T100" s="9" t="str">
        <x:v>Qualitative size: Small sample / workshop. Closure: Matched stopper proposed. Contents: Compatible samples and liquids</x:v>
      </x:c>
      <x:c r="U100" s="37"/>
      <x:c r="V100" s="9" t="str">
        <x:v>New game proposal, October 14, 2026. New measuring/inspection use; no authored volume system. Source records are proposals: https://github.com/sleepyseamonster/Arc-Dust/blob/f6f98515c005dc3c73cccd9cbc031691745740c6/02-Arc-Dust-Worldbuilding/world/materials/glass.md; https://github.com/sleepyseamonster/Arc-Dust/blob/f6f98515c005dc3c73cccd9cbc031691745740c6/02-Arc-Dust-Worldbuilding/world/materials/chitin.md</x:v>
      </x:c>
    </x:row>
    <x:row r="101" ht="100" customHeight="1">
      <x:c r="A101" s="9" t="str">
        <x:v>proposal.container.shell_cage</x:v>
      </x:c>
      <x:c r="B101" s="9" t="str">
        <x:v>Shell-caged glass flask</x:v>
      </x:c>
      <x:c r="C101" s="9" t="str">
        <x:v>Containers</x:v>
      </x:c>
      <x:c r="D101" s="9" t="str">
        <x:v>Protected vessel assembly</x:v>
      </x:c>
      <x:c r="E101" s="9" t="str">
        <x:v>New proposal</x:v>
      </x:c>
      <x:c r="F101" s="9" t="str">
        <x:v>Protect a carried specimen while keeping a viewing opening</x:v>
      </x:c>
      <x:c r="G101" s="9" t="str">
        <x:v>None</x:v>
      </x:c>
      <x:c r="H101" s="9" t="str">
        <x:v>Filled raw-resource vessel: Legger/local owner; other carrier eligibility TBD</x:v>
      </x:c>
      <x:c r="I101" s="13"/>
      <x:c r="J101" s="15"/>
      <x:c r="K101" s="9" t="str">
        <x:v>Glassworker/fabricator or salvage candidate; no recipe authored</x:v>
      </x:c>
      <x:c r="L101" s="9" t="str">
        <x:v>Materials: Glass inner vessel; slotted shell outer cage</x:v>
      </x:c>
      <x:c r="M101" s="9" t="str">
        <x:v>Not implemented</x:v>
      </x:c>
      <x:c r="N101" s="9" t="str">
        <x:v>One assembled container, not two copies of storage; protection behavior undecided</x:v>
      </x:c>
      <x:c r="O101" s="36"/>
      <x:c r="P101" s="36"/>
      <x:c r="Q101" s="36"/>
      <x:c r="R101" s="36"/>
      <x:c r="S101" s="36"/>
      <x:c r="T101" s="9" t="str">
        <x:v>Qualitative size: Medium. Closure: Retained cap and inspectable seat proposed. Contents: One compatible liquid payload</x:v>
      </x:c>
      <x:c r="U101" s="37"/>
      <x:c r="V101" s="9" t="str">
        <x:v>New game proposal, October 14, 2026. Chitin plate/curved vessel and glass drafts inspire assembly; item new. Source records are proposals: https://github.com/sleepyseamonster/Arc-Dust/blob/f6f98515c005dc3c73cccd9cbc031691745740c6/02-Arc-Dust-Worldbuilding/world/materials/glass.md; https://github.com/sleepyseamonster/Arc-Dust/blob/f6f98515c005dc3c73cccd9cbc031691745740c6/02-Arc-Dust-Worldbuilding/world/materials/chitin.md</x:v>
      </x:c>
    </x:row>
    <x:row r="102" ht="100" customHeight="1">
      <x:c r="A102" s="9" t="str">
        <x:v>proposal.container.lined_canister</x:v>
      </x:c>
      <x:c r="B102" s="9" t="str">
        <x:v>Glass-lined haul canister</x:v>
      </x:c>
      <x:c r="C102" s="9" t="str">
        <x:v>Containers</x:v>
      </x:c>
      <x:c r="D102" s="9" t="str">
        <x:v>Protected vessel assembly</x:v>
      </x:c>
      <x:c r="E102" s="9" t="str">
        <x:v>New proposal</x:v>
      </x:c>
      <x:c r="F102" s="9" t="str">
        <x:v>Transport larger quantities to a processing workshop</x:v>
      </x:c>
      <x:c r="G102" s="9" t="str">
        <x:v>None</x:v>
      </x:c>
      <x:c r="H102" s="9" t="str">
        <x:v>Filled raw-resource vessel: Legger/local owner; other carrier eligibility TBD</x:v>
      </x:c>
      <x:c r="I102" s="13"/>
      <x:c r="J102" s="15"/>
      <x:c r="K102" s="9" t="str">
        <x:v>Glassworker/fabricator or salvage candidate; no recipe authored</x:v>
      </x:c>
      <x:c r="L102" s="9" t="str">
        <x:v>Materials: Metal/shell outer body; replaceable glass liner</x:v>
      </x:c>
      <x:c r="M102" s="9" t="str">
        <x:v>Not implemented</x:v>
      </x:c>
      <x:c r="N102" s="9" t="str">
        <x:v>Liner, seal and contents must all be compatible; filled payload belongs in resource cargo</x:v>
      </x:c>
      <x:c r="O102" s="36"/>
      <x:c r="P102" s="36"/>
      <x:c r="Q102" s="36"/>
      <x:c r="R102" s="36"/>
      <x:c r="S102" s="36"/>
      <x:c r="T102" s="9" t="str">
        <x:v>Qualitative size: Medium haul. Closure: Compression lid with replaceable compatible seat. Contents: One identified raw ichor or chemical batch</x:v>
      </x:c>
      <x:c r="U102" s="37"/>
      <x:c r="V102" s="9" t="str">
        <x:v>New game proposal, October 14, 2026. Glass draft includes internal canister linings; haul role and item new. Source records are proposals: https://github.com/sleepyseamonster/Arc-Dust/blob/f6f98515c005dc3c73cccd9cbc031691745740c6/02-Arc-Dust-Worldbuilding/world/materials/glass.md; https://github.com/sleepyseamonster/Arc-Dust/blob/f6f98515c005dc3c73cccd9cbc031691745740c6/02-Arc-Dust-Worldbuilding/world/materials/chitin.md</x:v>
      </x:c>
    </x:row>
    <x:row r="103" ht="100" customHeight="1">
      <x:c r="A103" s="9" t="str">
        <x:v>proposal.container.ceramic_jar</x:v>
      </x:c>
      <x:c r="B103" s="9" t="str">
        <x:v>Glazed ceramic reagent jar</x:v>
      </x:c>
      <x:c r="C103" s="9" t="str">
        <x:v>Containers</x:v>
      </x:c>
      <x:c r="D103" s="9" t="str">
        <x:v>Primary vessel</x:v>
      </x:c>
      <x:c r="E103" s="9" t="str">
        <x:v>New proposal</x:v>
      </x:c>
      <x:c r="F103" s="9" t="str">
        <x:v>Alternative storage for selected processing compounds</x:v>
      </x:c>
      <x:c r="G103" s="9" t="str">
        <x:v>None</x:v>
      </x:c>
      <x:c r="H103" s="9" t="str">
        <x:v>Filled raw-resource vessel: Legger/local owner; other carrier eligibility TBD</x:v>
      </x:c>
      <x:c r="I103" s="13"/>
      <x:c r="J103" s="15"/>
      <x:c r="K103" s="9" t="str">
        <x:v>Glassworker/fabricator or salvage candidate; no recipe authored</x:v>
      </x:c>
      <x:c r="L103" s="9" t="str">
        <x:v>Materials: Fired ceramic; proposed glaze; rigid lid</x:v>
      </x:c>
      <x:c r="M103" s="9" t="str">
        <x:v>Not implemented</x:v>
      </x:c>
      <x:c r="N103" s="9" t="str">
        <x:v>Opaque; heavier/bulkier tradeoff proposed; glaze is not universally chemical-resistant</x:v>
      </x:c>
      <x:c r="O103" s="36"/>
      <x:c r="P103" s="36"/>
      <x:c r="Q103" s="36"/>
      <x:c r="R103" s="36"/>
      <x:c r="S103" s="36"/>
      <x:c r="T103" s="9" t="str">
        <x:v>Qualitative size: Medium. Closure: Fitted rigid lid and compatible seal. Contents: Only compounds qualified for that jar</x:v>
      </x:c>
      <x:c r="U103" s="37"/>
      <x:c r="V103" s="9" t="str">
        <x:v>New game proposal, October 14, 2026. New ceramic vessel proposal; not a validated recipe/material capability. Source records are proposals: https://github.com/sleepyseamonster/Arc-Dust/blob/f6f98515c005dc3c73cccd9cbc031691745740c6/02-Arc-Dust-Worldbuilding/world/materials/glass.md; https://github.com/sleepyseamonster/Arc-Dust/blob/f6f98515c005dc3c73cccd9cbc031691745740c6/02-Arc-Dust-Worldbuilding/world/materials/chitin.md</x:v>
      </x:c>
    </x:row>
    <x:row r="104" ht="100" customHeight="1">
      <x:c r="A104" s="9" t="str">
        <x:v>proposal.container.bulk_ichor</x:v>
      </x:c>
      <x:c r="B104" s="9" t="str">
        <x:v>Bulk ichor vessel</x:v>
      </x:c>
      <x:c r="C104" s="9" t="str">
        <x:v>Containers</x:v>
      </x:c>
      <x:c r="D104" s="9" t="str">
        <x:v>Primary vessel</x:v>
      </x:c>
      <x:c r="E104" s="9" t="str">
        <x:v>New proposal</x:v>
      </x:c>
      <x:c r="F104" s="9" t="str">
        <x:v>Make a large harvest an expedition haul decision</x:v>
      </x:c>
      <x:c r="G104" s="9" t="str">
        <x:v>None</x:v>
      </x:c>
      <x:c r="H104" s="9" t="str">
        <x:v>Filled raw-resource vessel: Legger/local owner; other carrier eligibility TBD</x:v>
      </x:c>
      <x:c r="I104" s="13"/>
      <x:c r="J104" s="15"/>
      <x:c r="K104" s="9" t="str">
        <x:v>Glassworker/fabricator or salvage candidate; no recipe authored</x:v>
      </x:c>
      <x:c r="L104" s="9" t="str">
        <x:v>Materials: Reinforced outer body; qualified inner lining TBD</x:v>
      </x:c>
      <x:c r="M104" s="9" t="str">
        <x:v>Not implemented</x:v>
      </x:c>
      <x:c r="N104" s="9" t="str">
        <x:v>Finite Legger cargo and contents mass; no backpack resource exception or free capacity</x:v>
      </x:c>
      <x:c r="O104" s="36"/>
      <x:c r="P104" s="36"/>
      <x:c r="Q104" s="36"/>
      <x:c r="R104" s="36"/>
      <x:c r="S104" s="36"/>
      <x:c r="T104" s="9" t="str">
        <x:v>Qualitative size: Bulk cargo. Closure: Service lid and separate transfer fitting proposed. Contents: One species/batch of gathered ichor</x:v>
      </x:c>
      <x:c r="U104" s="37"/>
      <x:c r="V104" s="9" t="str">
        <x:v>New game proposal, October 14, 2026. New bulk vessel proposal; no liter capacity, hose or extraction mechanic approved. Source records are proposals: https://github.com/sleepyseamonster/Arc-Dust/blob/f6f98515c005dc3c73cccd9cbc031691745740c6/02-Arc-Dust-Worldbuilding/world/materials/glass.md; https://github.com/sleepyseamonster/Arc-Dust/blob/f6f98515c005dc3c73cccd9cbc031691745740c6/02-Arc-Dust-Worldbuilding/world/materials/chitin.md</x:v>
      </x:c>
    </x:row>
    <x:row r="105" ht="100" customHeight="1">
      <x:c r="A105" s="9" t="str">
        <x:v>proposal.container.vial_case</x:v>
      </x:c>
      <x:c r="B105" s="9" t="str">
        <x:v>Divided vial case</x:v>
      </x:c>
      <x:c r="C105" s="9" t="str">
        <x:v>Containers</x:v>
      </x:c>
      <x:c r="D105" s="9" t="str">
        <x:v>Protective carrier</x:v>
      </x:c>
      <x:c r="E105" s="9" t="str">
        <x:v>New proposal</x:v>
      </x:c>
      <x:c r="F105" s="9" t="str">
        <x:v>Keep separately sealed specimens organized and supported</x:v>
      </x:c>
      <x:c r="G105" s="9" t="str">
        <x:v>None</x:v>
      </x:c>
      <x:c r="H105" s="9" t="str">
        <x:v>Filled raw-resource vessel: Legger/local owner; other carrier eligibility TBD</x:v>
      </x:c>
      <x:c r="I105" s="13"/>
      <x:c r="J105" s="15"/>
      <x:c r="K105" s="9" t="str">
        <x:v>Glassworker/fabricator or salvage candidate; no recipe authored</x:v>
      </x:c>
      <x:c r="L105" s="9" t="str">
        <x:v>Materials: Shell/metal case; shaped mineral seats</x:v>
      </x:c>
      <x:c r="M105" s="9" t="str">
        <x:v>Not implemented</x:v>
      </x:c>
      <x:c r="N105" s="9" t="str">
        <x:v>Does not create extra inventory capacity; inserts use no assumed wood, cork or cloth</x:v>
      </x:c>
      <x:c r="O105" s="36"/>
      <x:c r="P105" s="36"/>
      <x:c r="Q105" s="36"/>
      <x:c r="R105" s="36"/>
      <x:c r="S105" s="36"/>
      <x:c r="T105" s="9" t="str">
        <x:v>Qualitative size: Several small vessels. Closure: Rigid latched case; each vial has its own seal. Contents: Sealed vials only; no direct liquid payload</x:v>
      </x:c>
      <x:c r="U105" s="37"/>
      <x:c r="V105" s="9" t="str">
        <x:v>New game proposal, October 14, 2026. New case proposal; materials chosen under current no-cloth game rule. Source records are proposals: https://github.com/sleepyseamonster/Arc-Dust/blob/f6f98515c005dc3c73cccd9cbc031691745740c6/02-Arc-Dust-Worldbuilding/world/materials/glass.md; https://github.com/sleepyseamonster/Arc-Dust/blob/f6f98515c005dc3c73cccd9cbc031691745740c6/02-Arc-Dust-Worldbuilding/world/materials/chitin.md</x:v>
      </x:c>
    </x:row>
    <x:row r="106" ht="100" customHeight="1">
      <x:c r="A106" s="9" t="str">
        <x:v>proposal.container.sealed_box</x:v>
      </x:c>
      <x:c r="B106" s="9" t="str">
        <x:v>Sealed cargo box</x:v>
      </x:c>
      <x:c r="C106" s="9" t="str">
        <x:v>Containers</x:v>
      </x:c>
      <x:c r="D106" s="9" t="str">
        <x:v>Protective carrier</x:v>
      </x:c>
      <x:c r="E106" s="9" t="str">
        <x:v>New proposal</x:v>
      </x:c>
      <x:c r="F106" s="9" t="str">
        <x:v>Carry containers and dry sample packets together</x:v>
      </x:c>
      <x:c r="G106" s="9" t="str">
        <x:v>None</x:v>
      </x:c>
      <x:c r="H106" s="9" t="str">
        <x:v>Filled raw-resource vessel: Legger/local owner; other carrier eligibility TBD</x:v>
      </x:c>
      <x:c r="I106" s="13"/>
      <x:c r="J106" s="15"/>
      <x:c r="K106" s="9" t="str">
        <x:v>Glassworker/fabricator or salvage candidate; no recipe authored</x:v>
      </x:c>
      <x:c r="L106" s="9" t="str">
        <x:v>Materials: Shell panels or metal; rigid dividers</x:v>
      </x:c>
      <x:c r="M106" s="9" t="str">
        <x:v>Not implemented</x:v>
      </x:c>
      <x:c r="N106" s="9" t="str">
        <x:v>Outer dust seal is not liquid or vapor certification; all nested contents still count</x:v>
      </x:c>
      <x:c r="O106" s="36"/>
      <x:c r="P106" s="36"/>
      <x:c r="Q106" s="36"/>
      <x:c r="R106" s="36"/>
      <x:c r="S106" s="36"/>
      <x:c r="T106" s="9" t="str">
        <x:v>Qualitative size: Cargo package. Closure: Latched lid with dust-excluding seat proposed. Contents: Separately sealed contents</x:v>
      </x:c>
      <x:c r="U106" s="37"/>
      <x:c r="V106" s="9" t="str">
        <x:v>New game proposal, October 14, 2026. New protective box proposal; not automatic liquid containment. Source records are proposals: https://github.com/sleepyseamonster/Arc-Dust/blob/f6f98515c005dc3c73cccd9cbc031691745740c6/02-Arc-Dust-Worldbuilding/world/materials/glass.md; https://github.com/sleepyseamonster/Arc-Dust/blob/f6f98515c005dc3c73cccd9cbc031691745740c6/02-Arc-Dust-Worldbuilding/world/materials/chitin.md</x:v>
      </x:c>
    </x:row>
    <x:row r="107" ht="100" customHeight="1">
      <x:c r="A107" s="9" t="str">
        <x:v>proposal.container.field_chest</x:v>
      </x:c>
      <x:c r="B107" s="9" t="str">
        <x:v>Locking field chest</x:v>
      </x:c>
      <x:c r="C107" s="9" t="str">
        <x:v>Containers</x:v>
      </x:c>
      <x:c r="D107" s="9" t="str">
        <x:v>Storage object candidate</x:v>
      </x:c>
      <x:c r="E107" s="9" t="str">
        <x:v>New proposal</x:v>
      </x:c>
      <x:c r="F107" s="9" t="str">
        <x:v>Secure expedition samples at a physical camp/worksite</x:v>
      </x:c>
      <x:c r="G107" s="9" t="str">
        <x:v>None</x:v>
      </x:c>
      <x:c r="H107" s="9" t="str">
        <x:v>Filled raw-resource vessel: Legger/local owner; other carrier eligibility TBD</x:v>
      </x:c>
      <x:c r="I107" s="13"/>
      <x:c r="J107" s="15"/>
      <x:c r="K107" s="9" t="str">
        <x:v>Glassworker/fabricator or salvage candidate; no recipe authored</x:v>
      </x:c>
      <x:c r="L107" s="9" t="str">
        <x:v>Materials: Metal/shell chest; rigid compartment tray</x:v>
      </x:c>
      <x:c r="M107" s="9" t="str">
        <x:v>Not implemented</x:v>
      </x:c>
      <x:c r="N107" s="9" t="str">
        <x:v>Physical local owner; no global stockpile. Portable versus fixed identity undecided</x:v>
      </x:c>
      <x:c r="O107" s="36"/>
      <x:c r="P107" s="36"/>
      <x:c r="Q107" s="36"/>
      <x:c r="R107" s="36"/>
      <x:c r="S107" s="36"/>
      <x:c r="T107" s="9" t="str">
        <x:v>Qualitative size: Local storage. Closure: Mechanical lock and rigid lid proposed. Contents: Sealed vessels and dry material</x:v>
      </x:c>
      <x:c r="U107" s="37"/>
      <x:c r="V107" s="9" t="str">
        <x:v>New game proposal, October 14, 2026. New storage-object candidate; not another implemented camp chest. Source records are proposals: https://github.com/sleepyseamonster/Arc-Dust/blob/f6f98515c005dc3c73cccd9cbc031691745740c6/02-Arc-Dust-Worldbuilding/world/materials/glass.md; https://github.com/sleepyseamonster/Arc-Dust/blob/f6f98515c005dc3c73cccd9cbc031691745740c6/02-Arc-Dust-Worldbuilding/world/materials/chitin.md</x:v>
      </x:c>
    </x:row>
    <x:row r="108" ht="100" customHeight="1">
      <x:c r="A108" s="9" t="str">
        <x:v>proposal.container.funnel</x:v>
      </x:c>
      <x:c r="B108" s="9" t="str">
        <x:v>Glass transfer funnel</x:v>
      </x:c>
      <x:c r="C108" s="9" t="str">
        <x:v>Containers</x:v>
      </x:c>
      <x:c r="D108" s="9" t="str">
        <x:v>Transfer glassware</x:v>
      </x:c>
      <x:c r="E108" s="9" t="str">
        <x:v>New proposal</x:v>
      </x:c>
      <x:c r="F108" s="9" t="str">
        <x:v>Assist transfers into a compatible narrow-neck vessel</x:v>
      </x:c>
      <x:c r="G108" s="9" t="str">
        <x:v>None</x:v>
      </x:c>
      <x:c r="H108" s="9" t="str">
        <x:v>Filled raw-resource vessel: Legger/local owner; other carrier eligibility TBD</x:v>
      </x:c>
      <x:c r="I108" s="13"/>
      <x:c r="J108" s="15"/>
      <x:c r="K108" s="9" t="str">
        <x:v>Glassworker/fabricator or salvage candidate; no recipe authored</x:v>
      </x:c>
      <x:c r="L108" s="9" t="str">
        <x:v>Materials: Glass bowl and stem</x:v>
      </x:c>
      <x:c r="M108" s="9" t="str">
        <x:v>Not implemented</x:v>
      </x:c>
      <x:c r="N108" s="9" t="str">
        <x:v>Residue/cross-contamination and workshop reconditioning unresolved; no ambient fluid pooling</x:v>
      </x:c>
      <x:c r="O108" s="36"/>
      <x:c r="P108" s="36"/>
      <x:c r="Q108" s="36"/>
      <x:c r="R108" s="36"/>
      <x:c r="S108" s="36"/>
      <x:c r="T108" s="9" t="str">
        <x:v>Qualitative size: Tool-sized. Closure: No closure; never a storage vessel. Contents: Temporary transfer contact only</x:v>
      </x:c>
      <x:c r="U108" s="37"/>
      <x:c r="V108" s="9" t="str">
        <x:v>New game proposal, October 14, 2026. New glassworking tool proposal. Source records are proposals: https://github.com/sleepyseamonster/Arc-Dust/blob/f6f98515c005dc3c73cccd9cbc031691745740c6/02-Arc-Dust-Worldbuilding/world/materials/glass.md; https://github.com/sleepyseamonster/Arc-Dust/blob/f6f98515c005dc3c73cccd9cbc031691745740c6/02-Arc-Dust-Worldbuilding/world/materials/chitin.md</x:v>
      </x:c>
    </x:row>
    <x:row r="109" ht="100" customHeight="1">
      <x:c r="A109" s="9" t="str">
        <x:v>proposal.container.draw_tube</x:v>
      </x:c>
      <x:c r="B109" s="9" t="str">
        <x:v>Glass draw tube</x:v>
      </x:c>
      <x:c r="C109" s="9" t="str">
        <x:v>Containers</x:v>
      </x:c>
      <x:c r="D109" s="9" t="str">
        <x:v>Transfer glassware</x:v>
      </x:c>
      <x:c r="E109" s="9" t="str">
        <x:v>New proposal</x:v>
      </x:c>
      <x:c r="F109" s="9" t="str">
        <x:v>Move a small sample through an inspectable transfer path</x:v>
      </x:c>
      <x:c r="G109" s="9" t="str">
        <x:v>None</x:v>
      </x:c>
      <x:c r="H109" s="9" t="str">
        <x:v>Filled raw-resource vessel: Legger/local owner; other carrier eligibility TBD</x:v>
      </x:c>
      <x:c r="I109" s="13"/>
      <x:c r="J109" s="15"/>
      <x:c r="K109" s="9" t="str">
        <x:v>Glassworker/fabricator or salvage candidate; no recipe authored</x:v>
      </x:c>
      <x:c r="L109" s="9" t="str">
        <x:v>Materials: Glass tube; proposed mechanical fitting</x:v>
      </x:c>
      <x:c r="M109" s="9" t="str">
        <x:v>Not implemented</x:v>
      </x:c>
      <x:c r="N109" s="9" t="str">
        <x:v>No mouth operation or real extraction procedure; gameplay tool and fittings unapproved</x:v>
      </x:c>
      <x:c r="O109" s="36"/>
      <x:c r="P109" s="36"/>
      <x:c r="Q109" s="36"/>
      <x:c r="R109" s="36"/>
      <x:c r="S109" s="36"/>
      <x:c r="T109" s="9" t="str">
        <x:v>Qualitative size: Tool-sized. Closure: Closed mechanical interface to design. Contents: Compatible small specimen transfer</x:v>
      </x:c>
      <x:c r="U109" s="37"/>
      <x:c r="V109" s="9" t="str">
        <x:v>New game proposal, October 14, 2026. New mechanical sample-transfer tool proposal. Source records are proposals: https://github.com/sleepyseamonster/Arc-Dust/blob/f6f98515c005dc3c73cccd9cbc031691745740c6/02-Arc-Dust-Worldbuilding/world/materials/glass.md; https://github.com/sleepyseamonster/Arc-Dust/blob/f6f98515c005dc3c73cccd9cbc031691745740c6/02-Arc-Dust-Worldbuilding/world/materials/chitin.md</x:v>
      </x:c>
    </x:row>
    <x:row r="110" ht="100" customHeight="1">
      <x:c r="A110" s="9" t="str">
        <x:v>proposal.container.glass_stopper</x:v>
      </x:c>
      <x:c r="B110" s="9" t="str">
        <x:v>Matched glass stopper</x:v>
      </x:c>
      <x:c r="C110" s="9" t="str">
        <x:v>Containers</x:v>
      </x:c>
      <x:c r="D110" s="9" t="str">
        <x:v>Closure component</x:v>
      </x:c>
      <x:c r="E110" s="9" t="str">
        <x:v>New proposal</x:v>
      </x:c>
      <x:c r="F110" s="9" t="str">
        <x:v>Close its matching vessel without cork or cloth</x:v>
      </x:c>
      <x:c r="G110" s="9" t="str">
        <x:v>None</x:v>
      </x:c>
      <x:c r="H110" s="9" t="str">
        <x:v>Filled raw-resource vessel: Legger/local owner; other carrier eligibility TBD</x:v>
      </x:c>
      <x:c r="I110" s="13"/>
      <x:c r="J110" s="15"/>
      <x:c r="K110" s="9" t="str">
        <x:v>Glassworker/fabricator or salvage candidate; no recipe authored</x:v>
      </x:c>
      <x:c r="L110" s="9" t="str">
        <x:v>Materials: Ground glass seat; retaining clip optional</x:v>
      </x:c>
      <x:c r="M110" s="9" t="str">
        <x:v>Not implemented</x:v>
      </x:c>
      <x:c r="N110" s="9" t="str">
        <x:v>Fit and material compatibility matter; no universal stopper or separate durability chore assumed</x:v>
      </x:c>
      <x:c r="O110" s="36"/>
      <x:c r="P110" s="36"/>
      <x:c r="Q110" s="36"/>
      <x:c r="R110" s="36"/>
      <x:c r="S110" s="36"/>
      <x:c r="T110" s="9" t="str">
        <x:v>Qualitative size: Part-sized. Closure: Matched seat. Contents: Vessel closure, not an independent payload</x:v>
      </x:c>
      <x:c r="U110" s="37"/>
      <x:c r="V110" s="9" t="str">
        <x:v>New game proposal, October 14, 2026. New glass closure component proposal. Source records are proposals: https://github.com/sleepyseamonster/Arc-Dust/blob/f6f98515c005dc3c73cccd9cbc031691745740c6/02-Arc-Dust-Worldbuilding/world/materials/glass.md; https://github.com/sleepyseamonster/Arc-Dust/blob/f6f98515c005dc3c73cccd9cbc031691745740c6/02-Arc-Dust-Worldbuilding/world/materials/chitin.md</x:v>
      </x:c>
    </x:row>
    <x:row r="111" ht="100" customHeight="1">
      <x:c r="A111" s="9" t="str">
        <x:v>proposal.container.seal_collar</x:v>
      </x:c>
      <x:c r="B111" s="9" t="str">
        <x:v>Compression seal collar</x:v>
      </x:c>
      <x:c r="C111" s="9" t="str">
        <x:v>Containers</x:v>
      </x:c>
      <x:c r="D111" s="9" t="str">
        <x:v>Closure component</x:v>
      </x:c>
      <x:c r="E111" s="9" t="str">
        <x:v>New proposal</x:v>
      </x:c>
      <x:c r="F111" s="9" t="str">
        <x:v>Retain and compress a vessel lid/seat</x:v>
      </x:c>
      <x:c r="G111" s="9" t="str">
        <x:v>None</x:v>
      </x:c>
      <x:c r="H111" s="9" t="str">
        <x:v>Filled raw-resource vessel: Legger/local owner; other carrier eligibility TBD</x:v>
      </x:c>
      <x:c r="I111" s="13"/>
      <x:c r="J111" s="15"/>
      <x:c r="K111" s="9" t="str">
        <x:v>Glassworker/fabricator or salvage candidate; no recipe authored</x:v>
      </x:c>
      <x:c r="L111" s="9" t="str">
        <x:v>Materials: Metal/shell collar; compatible mineral/biological seal insert TBD</x:v>
      </x:c>
      <x:c r="M111" s="9" t="str">
        <x:v>Not implemented</x:v>
      </x:c>
      <x:c r="N111" s="9" t="str">
        <x:v>Biological membrane is not automatically compatible; no fat/oil/gasket recipe accepted</x:v>
      </x:c>
      <x:c r="O111" s="36"/>
      <x:c r="P111" s="36"/>
      <x:c r="Q111" s="36"/>
      <x:c r="R111" s="36"/>
      <x:c r="S111" s="36"/>
      <x:c r="T111" s="9" t="str">
        <x:v>Qualitative size: Part-sized. Closure: Mechanical collar. Contents: Vessel closure, not a liquid container</x:v>
      </x:c>
      <x:c r="U111" s="37"/>
      <x:c r="V111" s="9" t="str">
        <x:v>New game proposal, October 14, 2026. New closure assembly proposal; exact seal material unresolved. Source records are proposals: https://github.com/sleepyseamonster/Arc-Dust/blob/f6f98515c005dc3c73cccd9cbc031691745740c6/02-Arc-Dust-Worldbuilding/world/materials/glass.md; https://github.com/sleepyseamonster/Arc-Dust/blob/f6f98515c005dc3c73cccd9cbc031691745740c6/02-Arc-Dust-Worldbuilding/world/materials/chitin.md</x:v>
      </x:c>
    </x:row>
    <x:row r="112" ht="105" customHeight="1">
      <x:c r="A112" s="9" t="str">
        <x:v>proposal.gear.mail_shirt</x:v>
      </x:c>
      <x:c r="B112" s="9" t="str">
        <x:v>Chainmail shirt</x:v>
      </x:c>
      <x:c r="C112" s="9" t="str">
        <x:v>Equipment</x:v>
      </x:c>
      <x:c r="D112" s="9" t="str">
        <x:v>Torso layer</x:v>
      </x:c>
      <x:c r="E112" s="9" t="str">
        <x:v>User direction; not implemented</x:v>
      </x:c>
      <x:c r="F112" s="9" t="str">
        <x:v>Flexible linked protection candidate</x:v>
      </x:c>
      <x:c r="G112" s="9" t="str">
        <x:v>Unassigned; loadout extension TBD</x:v>
      </x:c>
      <x:c r="H112" s="9" t="str">
        <x:v>Booter-worn/held concept; permitted spares in Legger cargo TBD</x:v>
      </x:c>
      <x:c r="I112" s="13"/>
      <x:c r="J112" s="15"/>
      <x:c r="K112" s="9" t="str">
        <x:v>Fabrication, trade or salvage candidate; no recipe authored</x:v>
      </x:c>
      <x:c r="L112" s="9" t="str">
        <x:v>Proposed materials: Metal rings; attachment/underlayer material undecided</x:v>
      </x:c>
      <x:c r="M112" s="9" t="str">
        <x:v>Not implemented</x:v>
      </x:c>
      <x:c r="N112" s="9" t="str">
        <x:v>Layering, weight, noise and underlayer requirements need design; no cloth assumed</x:v>
      </x:c>
      <x:c r="O112" s="42"/>
      <x:c r="P112" s="42"/>
      <x:c r="Q112" s="42"/>
      <x:c r="R112" s="42"/>
      <x:c r="S112" s="42"/>
      <x:c r="T112" s="9" t="str">
        <x:v>Crude: Patched ring sections with conspicuous repairs. Serviceable: Consistent linked rings and repairable closures. Elaborate: Closely fitted ringwork, shaped sleeves and deliberate detailing</x:v>
      </x:c>
      <x:c r="U112" s="43"/>
      <x:c r="V112" s="9" t="str">
        <x:v>Author item-family direction, October 14, 2026. Crude/serviceable/elaborate constructions, materials and effects are new proposals. Docs/WORLD_BASIS.md#material-culture; current runtime slot contract: Assets/_Project/Scripts/Runtime/TopDown3D/Inventory/TopDown3DLoadoutLayout.cs</x:v>
      </x:c>
    </x:row>
    <x:row r="113" ht="105" customHeight="1">
      <x:c r="A113" s="9" t="str">
        <x:v>proposal.gear.metal_armor_set</x:v>
      </x:c>
      <x:c r="B113" s="9" t="str">
        <x:v>Assembled metal armor</x:v>
      </x:c>
      <x:c r="C113" s="9" t="str">
        <x:v>Equipment</x:v>
      </x:c>
      <x:c r="D113" s="9" t="str">
        <x:v>Whole-body assembly candidate</x:v>
      </x:c>
      <x:c r="E113" s="9" t="str">
        <x:v>User direction; not implemented</x:v>
      </x:c>
      <x:c r="F113" s="9" t="str">
        <x:v>A coordinated armor family from crude to elaborate</x:v>
      </x:c>
      <x:c r="G113" s="9" t="str">
        <x:v>Unassigned; loadout extension TBD</x:v>
      </x:c>
      <x:c r="H113" s="9" t="str">
        <x:v>Booter-worn/held concept; permitted spares in Legger cargo TBD</x:v>
      </x:c>
      <x:c r="I113" s="13"/>
      <x:c r="J113" s="15"/>
      <x:c r="K113" s="9" t="str">
        <x:v>Fabrication, trade or salvage candidate; no recipe authored</x:v>
      </x:c>
      <x:c r="L113" s="9" t="str">
        <x:v>Proposed materials: Metal plates; hinges/rivets; backing and connectors undecided</x:v>
      </x:c>
      <x:c r="M113" s="9" t="str">
        <x:v>Not implemented</x:v>
      </x:c>
      <x:c r="N113" s="9" t="str">
        <x:v>Set versus independently owned pieces unresolved; do not count the same plates as both set and components</x:v>
      </x:c>
      <x:c r="O113" s="42"/>
      <x:c r="P113" s="42"/>
      <x:c r="Q113" s="42"/>
      <x:c r="R113" s="42"/>
      <x:c r="S113" s="42"/>
      <x:c r="T113" s="9" t="str">
        <x:v>Crude: Mixed scavenged plates on a simple carrier. Serviceable: Coordinated torso and limb pieces. Elaborate: Fitted articulated ensemble with matched joints</x:v>
      </x:c>
      <x:c r="U113" s="43"/>
      <x:c r="V113" s="9" t="str">
        <x:v>Author item-family direction, October 14, 2026. Crude/serviceable/elaborate constructions, materials and effects are new proposals. Docs/WORLD_BASIS.md#material-culture; current runtime slot contract: Assets/_Project/Scripts/Runtime/TopDown3D/Inventory/TopDown3DLoadoutLayout.cs</x:v>
      </x:c>
    </x:row>
    <x:row r="114" ht="105" customHeight="1">
      <x:c r="A114" s="9" t="str">
        <x:v>proposal.gear.chest_armor</x:v>
      </x:c>
      <x:c r="B114" s="9" t="str">
        <x:v>Chest armor</x:v>
      </x:c>
      <x:c r="C114" s="9" t="str">
        <x:v>Equipment</x:v>
      </x:c>
      <x:c r="D114" s="9" t="str">
        <x:v>Torso plate</x:v>
      </x:c>
      <x:c r="E114" s="9" t="str">
        <x:v>User direction; not implemented</x:v>
      </x:c>
      <x:c r="F114" s="9" t="str">
        <x:v>Torso protection candidate</x:v>
      </x:c>
      <x:c r="G114" s="9" t="str">
        <x:v>Unassigned; loadout extension TBD</x:v>
      </x:c>
      <x:c r="H114" s="9" t="str">
        <x:v>Booter-worn/held concept; permitted spares in Legger cargo TBD</x:v>
      </x:c>
      <x:c r="I114" s="13"/>
      <x:c r="J114" s="15"/>
      <x:c r="K114" s="9" t="str">
        <x:v>Fabrication, trade or salvage candidate; no recipe authored</x:v>
      </x:c>
      <x:c r="L114" s="9" t="str">
        <x:v>Proposed materials: Worked metal; optional shell/mineral-backed design</x:v>
      </x:c>
      <x:c r="M114" s="9" t="str">
        <x:v>Not implemented</x:v>
      </x:c>
      <x:c r="N114" s="9" t="str">
        <x:v>Relationship to chainmail, jacket, cloak and canisters unresolved; no automatic Jacket-slot compatibility</x:v>
      </x:c>
      <x:c r="O114" s="42"/>
      <x:c r="P114" s="42"/>
      <x:c r="Q114" s="42"/>
      <x:c r="R114" s="42"/>
      <x:c r="S114" s="42"/>
      <x:c r="T114" s="9" t="str">
        <x:v>Crude: Single repaired plate and simple retaining hardware. Serviceable: Shaped front/back panels with accessible closures. Elaborate: Fitted articulated chest assembly with replaceable panels</x:v>
      </x:c>
      <x:c r="U114" s="43"/>
      <x:c r="V114" s="9" t="str">
        <x:v>Author item-family direction, October 14, 2026. Crude/serviceable/elaborate constructions, materials and effects are new proposals. Docs/WORLD_BASIS.md#material-culture; current runtime slot contract: Assets/_Project/Scripts/Runtime/TopDown3D/Inventory/TopDown3DLoadoutLayout.cs</x:v>
      </x:c>
    </x:row>
    <x:row r="115" ht="105" customHeight="1">
      <x:c r="A115" s="9" t="str">
        <x:v>proposal.gear.helmet</x:v>
      </x:c>
      <x:c r="B115" s="9" t="str">
        <x:v>Helmet</x:v>
      </x:c>
      <x:c r="C115" s="9" t="str">
        <x:v>Equipment</x:v>
      </x:c>
      <x:c r="D115" s="9" t="str">
        <x:v>Head</x:v>
      </x:c>
      <x:c r="E115" s="9" t="str">
        <x:v>User direction; not implemented</x:v>
      </x:c>
      <x:c r="F115" s="9" t="str">
        <x:v>Head protection with readable sight/hearing tradeoffs</x:v>
      </x:c>
      <x:c r="G115" s="9" t="str">
        <x:v>Unassigned; loadout extension TBD</x:v>
      </x:c>
      <x:c r="H115" s="9" t="str">
        <x:v>Booter-worn/held concept; permitted spares in Legger cargo TBD</x:v>
      </x:c>
      <x:c r="I115" s="13"/>
      <x:c r="J115" s="15"/>
      <x:c r="K115" s="9" t="str">
        <x:v>Fabrication, trade or salvage candidate; no recipe authored</x:v>
      </x:c>
      <x:c r="L115" s="9" t="str">
        <x:v>Proposed materials: Metal; optional shell panels; liner material undecided</x:v>
      </x:c>
      <x:c r="M115" s="9" t="str">
        <x:v>Not implemented</x:v>
      </x:c>
      <x:c r="N115" s="9" t="str">
        <x:v>Visibility, hearing, breathing and worn canister interaction need design; no sealed respiratory protection implied</x:v>
      </x:c>
      <x:c r="O115" s="42"/>
      <x:c r="P115" s="42"/>
      <x:c r="Q115" s="42"/>
      <x:c r="R115" s="42"/>
      <x:c r="S115" s="42"/>
      <x:c r="T115" s="9" t="str">
        <x:v>Crude: Simple open bowl or salvaged cap. Serviceable: Fitted shell with cheek/neck coverage options. Elaborate: Articulated protective helmet with carefully framed sightlines</x:v>
      </x:c>
      <x:c r="U115" s="43"/>
      <x:c r="V115" s="9" t="str">
        <x:v>Author item-family direction, October 14, 2026. Crude/serviceable/elaborate constructions, materials and effects are new proposals. Docs/WORLD_BASIS.md#material-culture; current runtime slot contract: Assets/_Project/Scripts/Runtime/TopDown3D/Inventory/TopDown3DLoadoutLayout.cs</x:v>
      </x:c>
    </x:row>
    <x:row r="116" ht="105" customHeight="1">
      <x:c r="A116" s="9" t="str">
        <x:v>proposal.gear.leg_armor</x:v>
      </x:c>
      <x:c r="B116" s="9" t="str">
        <x:v>Leg armor</x:v>
      </x:c>
      <x:c r="C116" s="9" t="str">
        <x:v>Equipment</x:v>
      </x:c>
      <x:c r="D116" s="9" t="str">
        <x:v>Lower limbs</x:v>
      </x:c>
      <x:c r="E116" s="9" t="str">
        <x:v>User direction; not implemented</x:v>
      </x:c>
      <x:c r="F116" s="9" t="str">
        <x:v>Lower-limb protection candidate</x:v>
      </x:c>
      <x:c r="G116" s="9" t="str">
        <x:v>Unassigned; loadout extension TBD</x:v>
      </x:c>
      <x:c r="H116" s="9" t="str">
        <x:v>Booter-worn/held concept; permitted spares in Legger cargo TBD</x:v>
      </x:c>
      <x:c r="I116" s="13"/>
      <x:c r="J116" s="15"/>
      <x:c r="K116" s="9" t="str">
        <x:v>Fabrication, trade or salvage candidate; no recipe authored</x:v>
      </x:c>
      <x:c r="L116" s="9" t="str">
        <x:v>Proposed materials: Metal plate segments; mechanical/flexible joints TBD</x:v>
      </x:c>
      <x:c r="M116" s="9" t="str">
        <x:v>Not implemented</x:v>
      </x:c>
      <x:c r="N116" s="9" t="str">
        <x:v>Crouch, climb, gait and boots must remain compatible; no movement penalties fixed</x:v>
      </x:c>
      <x:c r="O116" s="42"/>
      <x:c r="P116" s="42"/>
      <x:c r="Q116" s="42"/>
      <x:c r="R116" s="42"/>
      <x:c r="S116" s="42"/>
      <x:c r="T116" s="9" t="str">
        <x:v>Crude: Separate shin plates and exposed joints. Serviceable: Matched shin/knee protection. Elaborate: Articulated thigh/knee/shin assembly</x:v>
      </x:c>
      <x:c r="U116" s="43"/>
      <x:c r="V116" s="9" t="str">
        <x:v>Author item-family direction, October 14, 2026. Crude/serviceable/elaborate constructions, materials and effects are new proposals. Docs/WORLD_BASIS.md#material-culture; current runtime slot contract: Assets/_Project/Scripts/Runtime/TopDown3D/Inventory/TopDown3DLoadoutLayout.cs</x:v>
      </x:c>
    </x:row>
    <x:row r="117" ht="105" customHeight="1">
      <x:c r="A117" s="9" t="str">
        <x:v>proposal.gear.boots</x:v>
      </x:c>
      <x:c r="B117" s="9" t="str">
        <x:v>Boots</x:v>
      </x:c>
      <x:c r="C117" s="9" t="str">
        <x:v>Equipment</x:v>
      </x:c>
      <x:c r="D117" s="9" t="str">
        <x:v>Feet</x:v>
      </x:c>
      <x:c r="E117" s="9" t="str">
        <x:v>User direction; not implemented</x:v>
      </x:c>
      <x:c r="F117" s="9" t="str">
        <x:v>Footwear for traversal and exposure</x:v>
      </x:c>
      <x:c r="G117" s="9" t="str">
        <x:v>Unassigned; loadout extension TBD</x:v>
      </x:c>
      <x:c r="H117" s="9" t="str">
        <x:v>Booter-worn/held concept; permitted spares in Legger cargo TBD</x:v>
      </x:c>
      <x:c r="I117" s="13"/>
      <x:c r="J117" s="15"/>
      <x:c r="K117" s="9" t="str">
        <x:v>Fabrication, trade or salvage candidate; no recipe authored</x:v>
      </x:c>
      <x:c r="L117" s="9" t="str">
        <x:v>Proposed materials: Metal/shell structure; sole and flexible insert materials TBD</x:v>
      </x:c>
      <x:c r="M117" s="9" t="str">
        <x:v>Not implemented</x:v>
      </x:c>
      <x:c r="N117" s="9" t="str">
        <x:v>Grip, sound, grounding and insulation are separate proposals; no leather, rubber or cloth assumed</x:v>
      </x:c>
      <x:c r="O117" s="42"/>
      <x:c r="P117" s="42"/>
      <x:c r="Q117" s="42"/>
      <x:c r="R117" s="42"/>
      <x:c r="S117" s="42"/>
      <x:c r="T117" s="9" t="str">
        <x:v>Crude: Rigid foot shell with basic closure and replaceable sole pieces. Serviceable: Fitted boot with articulated ankle and serviceable tread. Elaborate: Carefully fitted armored boot with replaceable contact surfaces</x:v>
      </x:c>
      <x:c r="U117" s="43"/>
      <x:c r="V117" s="9" t="str">
        <x:v>Author item-family direction, October 14, 2026. Crude/serviceable/elaborate constructions, materials and effects are new proposals. Docs/WORLD_BASIS.md#material-culture; current runtime slot contract: Assets/_Project/Scripts/Runtime/TopDown3D/Inventory/TopDown3DLoadoutLayout.cs</x:v>
      </x:c>
    </x:row>
    <x:row r="118" ht="105" customHeight="1">
      <x:c r="A118" s="9" t="str">
        <x:v>proposal.gear.gloves</x:v>
      </x:c>
      <x:c r="B118" s="9" t="str">
        <x:v>Gloves</x:v>
      </x:c>
      <x:c r="C118" s="9" t="str">
        <x:v>Equipment</x:v>
      </x:c>
      <x:c r="D118" s="9" t="str">
        <x:v>Hands</x:v>
      </x:c>
      <x:c r="E118" s="9" t="str">
        <x:v>User direction; not implemented</x:v>
      </x:c>
      <x:c r="F118" s="9" t="str">
        <x:v>Hand protection while handling tools and gear</x:v>
      </x:c>
      <x:c r="G118" s="9" t="str">
        <x:v>Unassigned; loadout extension TBD</x:v>
      </x:c>
      <x:c r="H118" s="9" t="str">
        <x:v>Booter-worn/held concept; permitted spares in Legger cargo TBD</x:v>
      </x:c>
      <x:c r="I118" s="13"/>
      <x:c r="J118" s="15"/>
      <x:c r="K118" s="9" t="str">
        <x:v>Fabrication, trade or salvage candidate; no recipe authored</x:v>
      </x:c>
      <x:c r="L118" s="9" t="str">
        <x:v>Proposed materials: Metal/shell guards; flexible insert material TBD</x:v>
      </x:c>
      <x:c r="M118" s="9" t="str">
        <x:v>Not implemented</x:v>
      </x:c>
      <x:c r="N118" s="9" t="str">
        <x:v>Dexterity, grip and chemical/electrical compatibility need design; no universal protective effect</x:v>
      </x:c>
      <x:c r="O118" s="42"/>
      <x:c r="P118" s="42"/>
      <x:c r="Q118" s="42"/>
      <x:c r="R118" s="42"/>
      <x:c r="S118" s="42"/>
      <x:c r="T118" s="9" t="str">
        <x:v>Crude: Palm/knuckle guards on a sparse carrier. Serviceable: Fitted hand protection with usable finger movement. Elaborate: Articulated plated glove with replaceable fingertips</x:v>
      </x:c>
      <x:c r="U118" s="43"/>
      <x:c r="V118" s="9" t="str">
        <x:v>Author item-family direction, October 14, 2026. Crude/serviceable/elaborate constructions, materials and effects are new proposals. Docs/WORLD_BASIS.md#material-culture; current runtime slot contract: Assets/_Project/Scripts/Runtime/TopDown3D/Inventory/TopDown3DLoadoutLayout.cs</x:v>
      </x:c>
    </x:row>
    <x:row r="119" ht="105" customHeight="1">
      <x:c r="A119" s="9" t="str">
        <x:v>proposal.gear.backpack</x:v>
      </x:c>
      <x:c r="B119" s="9" t="str">
        <x:v>Backpack</x:v>
      </x:c>
      <x:c r="C119" s="9" t="str">
        <x:v>Equipment</x:v>
      </x:c>
      <x:c r="D119" s="9" t="str">
        <x:v>Back-mounted carrier</x:v>
      </x:c>
      <x:c r="E119" s="9" t="str">
        <x:v>User direction; not implemented</x:v>
      </x:c>
      <x:c r="F119" s="9" t="str">
        <x:v>Booter-carried supplies/tool carrier candidate</x:v>
      </x:c>
      <x:c r="G119" s="9" t="str">
        <x:v>Unassigned; loadout extension TBD</x:v>
      </x:c>
      <x:c r="H119" s="9" t="str">
        <x:v>Booter-worn/held concept; permitted spares in Legger cargo TBD</x:v>
      </x:c>
      <x:c r="I119" s="13"/>
      <x:c r="J119" s="15"/>
      <x:c r="K119" s="9" t="str">
        <x:v>Fabrication, trade or salvage candidate; no recipe authored</x:v>
      </x:c>
      <x:c r="L119" s="9" t="str">
        <x:v>Proposed materials: Shell panels, metal frame, hinges; harness material unresolved</x:v>
      </x:c>
      <x:c r="M119" s="9" t="str">
        <x:v>Not implemented</x:v>
      </x:c>
      <x:c r="N119" s="9" t="str">
        <x:v>No raw-resource carrying exception. Capacity, equipment spares, cloak clearance and mounts remain open</x:v>
      </x:c>
      <x:c r="O119" s="42"/>
      <x:c r="P119" s="42"/>
      <x:c r="Q119" s="42"/>
      <x:c r="R119" s="42"/>
      <x:c r="S119" s="42"/>
      <x:c r="T119" s="9" t="str">
        <x:v>Crude: Rigid back basket or simple carrying frame. Serviceable: Compartmented shell/metal case on a fitted frame. Elaborate: Tailored frame with modular tool mounts and access panels</x:v>
      </x:c>
      <x:c r="U119" s="43"/>
      <x:c r="V119" s="9" t="str">
        <x:v>Author item-family direction, October 14, 2026. Crude/serviceable/elaborate constructions, materials and effects are new proposals. Docs/WORLD_BASIS.md#material-culture; current runtime slot contract: Assets/_Project/Scripts/Runtime/TopDown3D/Inventory/TopDown3DLoadoutLayout.cs</x:v>
      </x:c>
    </x:row>
    <x:row r="120" ht="105" customHeight="1">
      <x:c r="A120" s="9" t="str">
        <x:v>proposal.gear.special_plates</x:v>
      </x:c>
      <x:c r="B120" s="9" t="str">
        <x:v>Specialized armor plates</x:v>
      </x:c>
      <x:c r="C120" s="9" t="str">
        <x:v>Equipment</x:v>
      </x:c>
      <x:c r="D120" s="9" t="str">
        <x:v>Modular protection</x:v>
      </x:c>
      <x:c r="E120" s="9" t="str">
        <x:v>User direction; not implemented</x:v>
      </x:c>
      <x:c r="F120" s="9" t="str">
        <x:v>Purpose-specific protection modules</x:v>
      </x:c>
      <x:c r="G120" s="9" t="str">
        <x:v>Unassigned; loadout extension TBD</x:v>
      </x:c>
      <x:c r="H120" s="9" t="str">
        <x:v>Booter-worn/held concept; permitted spares in Legger cargo TBD</x:v>
      </x:c>
      <x:c r="I120" s="13"/>
      <x:c r="J120" s="15"/>
      <x:c r="K120" s="9" t="str">
        <x:v>Fabrication, trade or salvage candidate; no recipe authored</x:v>
      </x:c>
      <x:c r="L120" s="9" t="str">
        <x:v>Proposed materials: Metal, shell and optional mineral/ceramic layers; recipes TBD</x:v>
      </x:c>
      <x:c r="M120" s="9" t="str">
        <x:v>Not implemented</x:v>
      </x:c>
      <x:c r="N120" s="9" t="str">
        <x:v>Candidate functions: impact distribution, abrasion protection, joint coverage and electrical separation; all effects unapproved</x:v>
      </x:c>
      <x:c r="O120" s="42"/>
      <x:c r="P120" s="42"/>
      <x:c r="Q120" s="42"/>
      <x:c r="R120" s="42"/>
      <x:c r="S120" s="42"/>
      <x:c r="T120" s="9" t="str">
        <x:v>Crude: Replaceable abrasion plate or bolted reinforcement. Serviceable: Purpose-shaped joint cover or impact-spreading module. Elaborate: Integrated interchangeable plate system for specific tasks</x:v>
      </x:c>
      <x:c r="U120" s="43"/>
      <x:c r="V120" s="9" t="str">
        <x:v>Author item-family direction, October 14, 2026. Crude/serviceable/elaborate constructions, materials and effects are new proposals. Docs/WORLD_BASIS.md#material-culture; current runtime slot contract: Assets/_Project/Scripts/Runtime/TopDown3D/Inventory/TopDown3DLoadoutLayout.cs</x:v>
      </x:c>
    </x:row>
    <x:row r="121" ht="105" customHeight="1">
      <x:c r="A121" s="9" t="str">
        <x:v>proposal.gear.shield</x:v>
      </x:c>
      <x:c r="B121" s="9" t="str">
        <x:v>Shield</x:v>
      </x:c>
      <x:c r="C121" s="9" t="str">
        <x:v>Equipment</x:v>
      </x:c>
      <x:c r="D121" s="9" t="str">
        <x:v>Held / mounted defensive gear</x:v>
      </x:c>
      <x:c r="E121" s="9" t="str">
        <x:v>User direction; not implemented</x:v>
      </x:c>
      <x:c r="F121" s="9" t="str">
        <x:v>Directional protection candidate</x:v>
      </x:c>
      <x:c r="G121" s="9" t="str">
        <x:v>Unassigned; loadout extension TBD</x:v>
      </x:c>
      <x:c r="H121" s="9" t="str">
        <x:v>Booter-worn/held concept; permitted spares in Legger cargo TBD</x:v>
      </x:c>
      <x:c r="I121" s="13"/>
      <x:c r="J121" s="15"/>
      <x:c r="K121" s="9" t="str">
        <x:v>Fabrication, trade or salvage candidate; no recipe authored</x:v>
      </x:c>
      <x:c r="L121" s="9" t="str">
        <x:v>Proposed materials: Metal and/or shell panels; grip and rim materials TBD</x:v>
      </x:c>
      <x:c r="M121" s="9" t="str">
        <x:v>Not implemented</x:v>
      </x:c>
      <x:c r="N121" s="9" t="str">
        <x:v>Hand ownership, tool use, carrying posture and Legger cargo storage need design; no blocking mechanics implemented</x:v>
      </x:c>
      <x:c r="O121" s="42"/>
      <x:c r="P121" s="42"/>
      <x:c r="Q121" s="42"/>
      <x:c r="R121" s="42"/>
      <x:c r="S121" s="42"/>
      <x:c r="T121" s="9" t="str">
        <x:v>Crude: Cut salvaged plate with a rigid grip. Serviceable: Shaped shield with reinforced edge and repairable face. Elaborate: Fitted layered shield with deliberate sightline and handling geometry</x:v>
      </x:c>
      <x:c r="U121" s="43"/>
      <x:c r="V121" s="9" t="str">
        <x:v>Author item-family direction, October 14, 2026. Crude/serviceable/elaborate constructions, materials and effects are new proposals. Docs/WORLD_BASIS.md#material-culture; current runtime slot contract: Assets/_Project/Scripts/Runtime/TopDown3D/Inventory/TopDown3DLoadoutLayout.cs</x:v>
      </x:c>
    </x:row>
    <x:row r="122" ht="85" customHeight="1">
      <x:c r="A122" s="9" t="str">
        <x:v>proposal.weapon.caltrops</x:v>
      </x:c>
      <x:c r="B122" s="9" t="str">
        <x:v>Caltrops</x:v>
      </x:c>
      <x:c r="C122" s="9" t="str">
        <x:v>Weapons</x:v>
      </x:c>
      <x:c r="D122" s="9" t="str">
        <x:v>Trip-ups</x:v>
      </x:c>
      <x:c r="E122" s="9" t="str">
        <x:v>User direction; not implemented</x:v>
      </x:c>
      <x:c r="F122" s="9" t="str">
        <x:v>First named candidate for specialized, purpose-specific weapon brainstorming.</x:v>
      </x:c>
      <x:c r="G122" s="9" t="str">
        <x:v>Unassigned; future design</x:v>
      </x:c>
      <x:c r="H122" s="9" t="str">
        <x:v>Carrier and quantity policy TBD</x:v>
      </x:c>
      <x:c r="I122" s="13"/>
      <x:c r="J122" s="15"/>
      <x:c r="K122" s="9" t="str">
        <x:v>Acquisition and manufacture deferred</x:v>
      </x:c>
      <x:c r="L122" s="9" t="str">
        <x:v>No recipe authored</x:v>
      </x:c>
      <x:c r="M122" s="9" t="str">
        <x:v>Not implemented</x:v>
      </x:c>
      <x:c r="N122" s="9" t="str">
        <x:v>Weapon mechanics, damage, targets and deployment are deferred.</x:v>
      </x:c>
      <x:c r="O122" s="17"/>
      <x:c r="P122" s="17"/>
      <x:c r="Q122" s="17"/>
      <x:c r="R122" s="17"/>
      <x:c r="S122" s="17"/>
      <x:c r="T122" s="9" t="str">
        <x:v>Future weapon lanes: offensive weapons, defensive weapons, traps and trip-ups. No additional weapon roster proposed.</x:v>
      </x:c>
      <x:c r="U122" s="11"/>
      <x:c r="V122" s="9" t="str">
        <x:v>Direct author direction, October 14, 2026. Detailed brainstorming explicitly deferred.</x:v>
      </x:c>
    </x:row>
    <x:row r="123" ht="80" customHeight="1">
      <x:c r="A123" s="9" t="str">
        <x:v>proposal.ancient.carbon_composite</x:v>
      </x:c>
      <x:c r="B123" s="9" t="str">
        <x:v>Ancient carbon composite</x:v>
      </x:c>
      <x:c r="C123" s="9" t="str">
        <x:v>Resources</x:v>
      </x:c>
      <x:c r="D123" s="9" t="str">
        <x:v>Ancient manufactured material</x:v>
      </x:c>
      <x:c r="E123" s="9" t="str">
        <x:v>User direction; not implemented</x:v>
      </x:c>
      <x:c r="F123" s="9" t="str">
        <x:v>Ancient material comparable to carbon-fiber composites.</x:v>
      </x:c>
      <x:c r="G123" s="9" t="str">
        <x:v>None</x:v>
      </x:c>
      <x:c r="H123" s="9" t="str">
        <x:v>Recovered material: Legger / physical local storage</x:v>
      </x:c>
      <x:c r="I123" s="13"/>
      <x:c r="J123" s="15"/>
      <x:c r="K123" s="9" t="str">
        <x:v>Ancient-tech recovery source; specific sites and forms undecided</x:v>
      </x:c>
      <x:c r="L123" s="9" t="str">
        <x:v>Recovery/reuse only as a design candidate; no manufacturing recipe established</x:v>
      </x:c>
      <x:c r="M123" s="9" t="str">
        <x:v>Not implemented</x:v>
      </x:c>
      <x:c r="N123" s="9" t="str">
        <x:v>Recovery form, composition and usable properties need design. No carbon-fabric or cloth item assumed.</x:v>
      </x:c>
      <x:c r="O123" s="46" t="str">
        <x:v>Extremely rare</x:v>
      </x:c>
      <x:c r="P123" s="17"/>
      <x:c r="Q123" s="17"/>
      <x:c r="R123" s="17"/>
      <x:c r="S123" s="17"/>
      <x:c r="T123" s="9" t="str">
        <x:v>Extremely rare by author direction. Fragment versus intact component, testing, trade and fabrication possibilities remain open.</x:v>
      </x:c>
      <x:c r="U123" s="11"/>
      <x:c r="V123" s="9" t="str">
        <x:v>Direct author direction October 14, 2026; Docs/WORLD_BASIS.md#material-culture. Related source is a proposal: https://github.com/sleepyseamonster/Arc-Dust/blob/f6f98515c005dc3c73cccd9cbc031691745740c6/02-Arc-Dust-Worldbuilding/world/materials/ancient-synthetics.md</x:v>
      </x:c>
    </x:row>
    <x:row r="124" ht="80" customHeight="1">
      <x:c r="A124" s="9" t="str">
        <x:v>proposal.ancient.nanocarbon</x:v>
      </x:c>
      <x:c r="B124" s="9" t="str">
        <x:v>Ancient nanocarbon material</x:v>
      </x:c>
      <x:c r="C124" s="9" t="str">
        <x:v>Resources</x:v>
      </x:c>
      <x:c r="D124" s="9" t="str">
        <x:v>Ancient manufactured material</x:v>
      </x:c>
      <x:c r="E124" s="9" t="str">
        <x:v>User direction; not implemented</x:v>
      </x:c>
      <x:c r="F124" s="9" t="str">
        <x:v>Ancient material comparable to advanced nanocarbon substances.</x:v>
      </x:c>
      <x:c r="G124" s="9" t="str">
        <x:v>None</x:v>
      </x:c>
      <x:c r="H124" s="9" t="str">
        <x:v>Recovered material: Legger / physical local storage</x:v>
      </x:c>
      <x:c r="I124" s="13"/>
      <x:c r="J124" s="15"/>
      <x:c r="K124" s="9" t="str">
        <x:v>Ancient-tech recovery source; specific sites and forms undecided</x:v>
      </x:c>
      <x:c r="L124" s="9" t="str">
        <x:v>Recovery/reuse only as a design candidate; no manufacturing recipe established</x:v>
      </x:c>
      <x:c r="M124" s="9" t="str">
        <x:v>Not implemented</x:v>
      </x:c>
      <x:c r="N124" s="9" t="str">
        <x:v>No self-repair, active nanomachines or extraordinary conductivity inferred from its name.</x:v>
      </x:c>
      <x:c r="O124" s="46" t="str">
        <x:v>Extremely rare</x:v>
      </x:c>
      <x:c r="P124" s="17"/>
      <x:c r="Q124" s="17"/>
      <x:c r="R124" s="17"/>
      <x:c r="S124" s="17"/>
      <x:c r="T124" s="9" t="str">
        <x:v>Extremely rare by author direction. Fragment versus intact component, testing, trade and fabrication possibilities remain open.</x:v>
      </x:c>
      <x:c r="U124" s="11"/>
      <x:c r="V124" s="9" t="str">
        <x:v>Direct author direction October 14, 2026; Docs/WORLD_BASIS.md#material-culture. Related source is a proposal: https://github.com/sleepyseamonster/Arc-Dust/blob/f6f98515c005dc3c73cccd9cbc031691745740c6/02-Arc-Dust-Worldbuilding/world/materials/ancient-synthetics.md</x:v>
      </x:c>
    </x:row>
    <x:row r="125" ht="80" customHeight="1">
      <x:c r="A125" s="9" t="str">
        <x:v>proposal.ancient.plasteel</x:v>
      </x:c>
      <x:c r="B125" s="9" t="str">
        <x:v>Ancient plasteel material</x:v>
      </x:c>
      <x:c r="C125" s="9" t="str">
        <x:v>Resources</x:v>
      </x:c>
      <x:c r="D125" s="9" t="str">
        <x:v>Ancient manufactured material</x:v>
      </x:c>
      <x:c r="E125" s="9" t="str">
        <x:v>User direction; not implemented</x:v>
      </x:c>
      <x:c r="F125" s="9" t="str">
        <x:v>Ancient manufactured material comparable to plasteel.</x:v>
      </x:c>
      <x:c r="G125" s="9" t="str">
        <x:v>None</x:v>
      </x:c>
      <x:c r="H125" s="9" t="str">
        <x:v>Recovered material: Legger / physical local storage</x:v>
      </x:c>
      <x:c r="I125" s="13"/>
      <x:c r="J125" s="15"/>
      <x:c r="K125" s="9" t="str">
        <x:v>Ancient-tech recovery source; specific sites and forms undecided</x:v>
      </x:c>
      <x:c r="L125" s="9" t="str">
        <x:v>Recovery/reuse only as a design candidate; no manufacturing recipe established</x:v>
      </x:c>
      <x:c r="M125" s="9" t="str">
        <x:v>Not implemented</x:v>
      </x:c>
      <x:c r="N125" s="9" t="str">
        <x:v>Exact formulation and properties undefined; not an ordinary iron/steel ore or alloy recipe.</x:v>
      </x:c>
      <x:c r="O125" s="46" t="str">
        <x:v>Extremely rare</x:v>
      </x:c>
      <x:c r="P125" s="17"/>
      <x:c r="Q125" s="17"/>
      <x:c r="R125" s="17"/>
      <x:c r="S125" s="17"/>
      <x:c r="T125" s="9" t="str">
        <x:v>Extremely rare by author direction. Fragment versus intact component, testing, trade and fabrication possibilities remain open.</x:v>
      </x:c>
      <x:c r="U125" s="11"/>
      <x:c r="V125" s="9" t="str">
        <x:v>Direct author direction October 14, 2026; Docs/WORLD_BASIS.md#material-culture. Related source is a proposal: https://github.com/sleepyseamonster/Arc-Dust/blob/f6f98515c005dc3c73cccd9cbc031691745740c6/02-Arc-Dust-Worldbuilding/world/materials/ancient-synthetics.md</x:v>
      </x:c>
    </x:row>
    <x:row r="126" ht="90" customHeight="1">
      <x:c r="A126" s="9" t="str">
        <x:v>proposal.fashion.special_spectacles</x:v>
      </x:c>
      <x:c r="B126" s="9" t="str">
        <x:v>Specialized spectacles</x:v>
      </x:c>
      <x:c r="C126" s="9" t="str">
        <x:v>Equipment</x:v>
      </x:c>
      <x:c r="D126" s="9" t="str">
        <x:v>Specialist eyewear</x:v>
      </x:c>
      <x:c r="E126" s="9" t="str">
        <x:v>User direction; not implemented</x:v>
      </x:c>
      <x:c r="F126" s="9" t="str">
        <x:v>Rare specialized eyewear; precise purpose and optical effect to define.</x:v>
      </x:c>
      <x:c r="G126" s="9" t="str">
        <x:v>Unassigned; fit/layering TBD</x:v>
      </x:c>
      <x:c r="H126" s="9" t="str">
        <x:v>Booter-worn concept; spare/transfer policy TBD</x:v>
      </x:c>
      <x:c r="I126" s="13"/>
      <x:c r="J126" s="15"/>
      <x:c r="K126" s="9" t="str">
        <x:v>Specialist crafting/trade candidate; exact acquisition TBD</x:v>
      </x:c>
      <x:c r="L126" s="9" t="str">
        <x:v>Material family: Lens and frame materials/requirements TBD</x:v>
      </x:c>
      <x:c r="M126" s="9" t="str">
        <x:v>Not implemented</x:v>
      </x:c>
      <x:c r="N126" s="9" t="str">
        <x:v>Specific purpose, lens manufacture, face fit and equipment compatibility remain open</x:v>
      </x:c>
      <x:c r="O126" s="47" t="str">
        <x:v>Rare</x:v>
      </x:c>
      <x:c r="P126" s="17"/>
      <x:c r="Q126" s="17"/>
      <x:c r="R126" s="17"/>
      <x:c r="S126" s="17"/>
      <x:c r="T126" s="9" t="str">
        <x:v>Rare by author direction; fashion versions very rare and expensive. Crafting inputs intended high-value trade goods; no numeric price/time/yield assigned.</x:v>
      </x:c>
      <x:c r="U126" s="11"/>
      <x:c r="V126" s="9" t="str">
        <x:v>Direct author direction, October 14, 2026; Docs/WORLD_BASIS.md#material-culture. Clothing exists without cloth; fashion is very rare/expensive and qualifying crafting inputs have high sale-value intent.</x:v>
      </x:c>
    </x:row>
    <x:row r="127" ht="90" customHeight="1">
      <x:c r="A127" s="9" t="str">
        <x:v>proposal.fashion.eyeglasses</x:v>
      </x:c>
      <x:c r="B127" s="9" t="str">
        <x:v>Eyeglasses</x:v>
      </x:c>
      <x:c r="C127" s="9" t="str">
        <x:v>Equipment</x:v>
      </x:c>
      <x:c r="D127" s="9" t="str">
        <x:v>Eyewear</x:v>
      </x:c>
      <x:c r="E127" s="9" t="str">
        <x:v>User direction; not implemented</x:v>
      </x:c>
      <x:c r="F127" s="9" t="str">
        <x:v>Rare eyeglasses; lens function, frame and fitting need design.</x:v>
      </x:c>
      <x:c r="G127" s="9" t="str">
        <x:v>Unassigned; fit/layering TBD</x:v>
      </x:c>
      <x:c r="H127" s="9" t="str">
        <x:v>Booter-worn concept; spare/transfer policy TBD</x:v>
      </x:c>
      <x:c r="I127" s="13"/>
      <x:c r="J127" s="15"/>
      <x:c r="K127" s="9" t="str">
        <x:v>Specialist crafting/trade candidate; exact acquisition TBD</x:v>
      </x:c>
      <x:c r="L127" s="9" t="str">
        <x:v>Material family: Lens and frame materials/requirements TBD</x:v>
      </x:c>
      <x:c r="M127" s="9" t="str">
        <x:v>Not implemented</x:v>
      </x:c>
      <x:c r="N127" s="9" t="str">
        <x:v>Distinction from specialized spectacles and actual vision effects remain open</x:v>
      </x:c>
      <x:c r="O127" s="47" t="str">
        <x:v>Rare</x:v>
      </x:c>
      <x:c r="P127" s="17"/>
      <x:c r="Q127" s="17"/>
      <x:c r="R127" s="17"/>
      <x:c r="S127" s="17"/>
      <x:c r="T127" s="9" t="str">
        <x:v>Rare by author direction; fashion versions very rare and expensive. Crafting inputs intended high-value trade goods; no numeric price/time/yield assigned.</x:v>
      </x:c>
      <x:c r="U127" s="11"/>
      <x:c r="V127" s="9" t="str">
        <x:v>Direct author direction, October 14, 2026; Docs/WORLD_BASIS.md#material-culture. Clothing exists without cloth; fashion is very rare/expensive and qualifying crafting inputs have high sale-value intent.</x:v>
      </x:c>
    </x:row>
    <x:row r="128" ht="90" customHeight="1">
      <x:c r="A128" s="9" t="str">
        <x:v>proposal.fashion.hat</x:v>
      </x:c>
      <x:c r="B128" s="9" t="str">
        <x:v>Hat</x:v>
      </x:c>
      <x:c r="C128" s="9" t="str">
        <x:v>Equipment</x:v>
      </x:c>
      <x:c r="D128" s="9" t="str">
        <x:v>Headwear</x:v>
      </x:c>
      <x:c r="E128" s="9" t="str">
        <x:v>User direction; not implemented</x:v>
      </x:c>
      <x:c r="F128" s="9" t="str">
        <x:v>Rare headwear; fashion variants belong to the very rare expensive fashion economy.</x:v>
      </x:c>
      <x:c r="G128" s="9" t="str">
        <x:v>Unassigned; fit/layering TBD</x:v>
      </x:c>
      <x:c r="H128" s="9" t="str">
        <x:v>Booter-worn concept; spare/transfer policy TBD</x:v>
      </x:c>
      <x:c r="I128" s="13"/>
      <x:c r="J128" s="15"/>
      <x:c r="K128" s="9" t="str">
        <x:v>Specialist crafting/trade candidate; exact acquisition TBD</x:v>
      </x:c>
      <x:c r="L128" s="9" t="str">
        <x:v>Material family: Husk-fiber/fur/hide options proposed; exact construction TBD</x:v>
      </x:c>
      <x:c r="M128" s="9" t="str">
        <x:v>Not implemented</x:v>
      </x:c>
      <x:c r="N128" s="9" t="str">
        <x:v>Hat versus helmet, cloak clearance, shade and decorative function unresolved</x:v>
      </x:c>
      <x:c r="O128" s="47" t="str">
        <x:v>Rare</x:v>
      </x:c>
      <x:c r="P128" s="17"/>
      <x:c r="Q128" s="17"/>
      <x:c r="R128" s="17"/>
      <x:c r="S128" s="17"/>
      <x:c r="T128" s="9" t="str">
        <x:v>Rare by author direction; fashion versions very rare and expensive. Crafting inputs intended high-value trade goods; no numeric price/time/yield assigned.</x:v>
      </x:c>
      <x:c r="U128" s="11"/>
      <x:c r="V128" s="9" t="str">
        <x:v>Direct author direction, October 14, 2026; Docs/WORLD_BASIS.md#material-culture. Clothing exists without cloth; fashion is very rare/expensive and qualifying crafting inputs have high sale-value intent.</x:v>
      </x:c>
    </x:row>
    <x:row r="129" ht="90" customHeight="1">
      <x:c r="A129" s="9" t="str">
        <x:v>proposal.fashion.husk_garment</x:v>
      </x:c>
      <x:c r="B129" s="9" t="str">
        <x:v>Husk-fiber clothing</x:v>
      </x:c>
      <x:c r="C129" s="9" t="str">
        <x:v>Equipment</x:v>
      </x:c>
      <x:c r="D129" s="9" t="str">
        <x:v>Fashion garment</x:v>
      </x:c>
      <x:c r="E129" s="9" t="str">
        <x:v>User direction; not implemented</x:v>
      </x:c>
      <x:c r="F129" s="9" t="str">
        <x:v>Expensive clothing made from processed husk fibers.</x:v>
      </x:c>
      <x:c r="G129" s="9" t="str">
        <x:v>Unassigned; fit/layering TBD</x:v>
      </x:c>
      <x:c r="H129" s="9" t="str">
        <x:v>Booter-worn concept; spare/transfer policy TBD</x:v>
      </x:c>
      <x:c r="I129" s="13"/>
      <x:c r="J129" s="15"/>
      <x:c r="K129" s="9" t="str">
        <x:v>Specialist crafting/trade candidate; exact acquisition TBD</x:v>
      </x:c>
      <x:c r="L129" s="9" t="str">
        <x:v>Material family: Husk-fiber material; no cloth</x:v>
      </x:c>
      <x:c r="M129" s="9" t="str">
        <x:v>Not implemented</x:v>
      </x:c>
      <x:c r="N129" s="9" t="str">
        <x:v>Very large material demand and processing/craft time; garment form and construction open</x:v>
      </x:c>
      <x:c r="O129" s="47" t="str">
        <x:v>Very rare</x:v>
      </x:c>
      <x:c r="P129" s="17"/>
      <x:c r="Q129" s="17"/>
      <x:c r="R129" s="17"/>
      <x:c r="S129" s="17"/>
      <x:c r="T129" s="9" t="str">
        <x:v>Rare by author direction; fashion versions very rare and expensive. Crafting inputs intended high-value trade goods; no numeric price/time/yield assigned.</x:v>
      </x:c>
      <x:c r="U129" s="11"/>
      <x:c r="V129" s="9" t="str">
        <x:v>Direct author direction, October 14, 2026; Docs/WORLD_BASIS.md#material-culture. Clothing exists without cloth; fashion is very rare/expensive and qualifying crafting inputs have high sale-value intent.</x:v>
      </x:c>
    </x:row>
    <x:row r="130" ht="90" customHeight="1">
      <x:c r="A130" s="9" t="str">
        <x:v>proposal.fashion.fur_garment</x:v>
      </x:c>
      <x:c r="B130" s="9" t="str">
        <x:v>Fur clothing</x:v>
      </x:c>
      <x:c r="C130" s="9" t="str">
        <x:v>Equipment</x:v>
      </x:c>
      <x:c r="D130" s="9" t="str">
        <x:v>Fashion garment</x:v>
      </x:c>
      <x:c r="E130" s="9" t="str">
        <x:v>User direction; not implemented</x:v>
      </x:c>
      <x:c r="F130" s="9" t="str">
        <x:v>Expensive clothing made using processed animal fur.</x:v>
      </x:c>
      <x:c r="G130" s="9" t="str">
        <x:v>Unassigned; fit/layering TBD</x:v>
      </x:c>
      <x:c r="H130" s="9" t="str">
        <x:v>Booter-worn concept; spare/transfer policy TBD</x:v>
      </x:c>
      <x:c r="I130" s="13"/>
      <x:c r="J130" s="15"/>
      <x:c r="K130" s="9" t="str">
        <x:v>Specialist crafting/trade candidate; exact acquisition TBD</x:v>
      </x:c>
      <x:c r="L130" s="9" t="str">
        <x:v>Material family: Animal fur; supporting material TBD; no cloth</x:v>
      </x:c>
      <x:c r="M130" s="9" t="str">
        <x:v>Not implemented</x:v>
      </x:c>
      <x:c r="N130" s="9" t="str">
        <x:v>Extremely low usable processing yield; very large material/time demand; no cheap/common liner chain</x:v>
      </x:c>
      <x:c r="O130" s="47" t="str">
        <x:v>Very rare</x:v>
      </x:c>
      <x:c r="P130" s="17"/>
      <x:c r="Q130" s="17"/>
      <x:c r="R130" s="17"/>
      <x:c r="S130" s="17"/>
      <x:c r="T130" s="9" t="str">
        <x:v>Rare by author direction; fashion versions very rare and expensive. Crafting inputs intended high-value trade goods; no numeric price/time/yield assigned.</x:v>
      </x:c>
      <x:c r="U130" s="11"/>
      <x:c r="V130" s="9" t="str">
        <x:v>Direct author direction, October 14, 2026; Docs/WORLD_BASIS.md#material-culture. Clothing exists without cloth; fashion is very rare/expensive and qualifying crafting inputs have high sale-value intent.</x:v>
      </x:c>
    </x:row>
    <x:row r="131" ht="90" customHeight="1">
      <x:c r="A131" s="9" t="str">
        <x:v>proposal.fashion.hide_garment</x:v>
      </x:c>
      <x:c r="B131" s="9" t="str">
        <x:v>Hide clothing</x:v>
      </x:c>
      <x:c r="C131" s="9" t="str">
        <x:v>Equipment</x:v>
      </x:c>
      <x:c r="D131" s="9" t="str">
        <x:v>Fashion garment</x:v>
      </x:c>
      <x:c r="E131" s="9" t="str">
        <x:v>User direction; not implemented</x:v>
      </x:c>
      <x:c r="F131" s="9" t="str">
        <x:v>Expensive clothing made using processed hides.</x:v>
      </x:c>
      <x:c r="G131" s="9" t="str">
        <x:v>Unassigned; fit/layering TBD</x:v>
      </x:c>
      <x:c r="H131" s="9" t="str">
        <x:v>Booter-worn concept; spare/transfer policy TBD</x:v>
      </x:c>
      <x:c r="I131" s="13"/>
      <x:c r="J131" s="15"/>
      <x:c r="K131" s="9" t="str">
        <x:v>Specialist crafting/trade candidate; exact acquisition TBD</x:v>
      </x:c>
      <x:c r="L131" s="9" t="str">
        <x:v>Material family: Processed hide; supporting material TBD; no cloth</x:v>
      </x:c>
      <x:c r="M131" s="9" t="str">
        <x:v>Not implemented</x:v>
      </x:c>
      <x:c r="N131" s="9" t="str">
        <x:v>Extremely low usable processing yield; very large material/time demand; no common leather supply assumed</x:v>
      </x:c>
      <x:c r="O131" s="47" t="str">
        <x:v>Very rare</x:v>
      </x:c>
      <x:c r="P131" s="17"/>
      <x:c r="Q131" s="17"/>
      <x:c r="R131" s="17"/>
      <x:c r="S131" s="17"/>
      <x:c r="T131" s="9" t="str">
        <x:v>Rare by author direction; fashion versions very rare and expensive. Crafting inputs intended high-value trade goods; no numeric price/time/yield assigned.</x:v>
      </x:c>
      <x:c r="U131" s="11"/>
      <x:c r="V131" s="9" t="str">
        <x:v>Direct author direction, October 14, 2026; Docs/WORLD_BASIS.md#material-culture. Clothing exists without cloth; fashion is very rare/expensive and qualifying crafting inputs have high sale-value intent.</x:v>
      </x:c>
    </x:row>
  </x:sheetData>
  <x:conditionalFormatting sqref="E6:E23">
    <x:cfRule type="containsText" dxfId="0" priority="1" operator="containsText" text="trial"/>
  </x:conditionalFormatting>
  <x:conditionalFormatting sqref="E24:E55">
    <x:cfRule type="containsText" dxfId="1" priority="2" operator="containsText" text="proposal"/>
  </x:conditionalFormatting>
  <x:conditionalFormatting sqref="E56:E74">
    <x:cfRule type="containsText" dxfId="2" priority="3" operator="containsText" text="proposal"/>
  </x:conditionalFormatting>
  <x:conditionalFormatting sqref="E84:E95">
    <x:cfRule type="containsText" dxfId="3" priority="4" operator="containsText" text="proposal"/>
  </x:conditionalFormatting>
  <x:dataValidations count="2">
    <x:dataValidation type="list" sqref="C6:C23">
      <x:formula1>"Equipment,Field supplies,Resources,Crafting components,Weapons,Ammunition,Quest items,Trade goods"</x:formula1>
    </x:dataValidation>
    <x:dataValidation type="list" sqref="C96:C111">
      <x:formula1>"Equipment,Field supplies,Resources,Crafting components,Containers,Weapons,Ammunition,Quest items,Trade goods"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4f8a4b7cde94fa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3" hidden="0" customWidth="1"/>
    <x:col min="2" max="2" width="25" hidden="0" customWidth="1"/>
    <x:col min="3" max="3" width="25" hidden="0" customWidth="1"/>
    <x:col min="4" max="4" width="20" hidden="0" customWidth="1"/>
    <x:col min="5" max="5" width="23" hidden="0" customWidth="1"/>
    <x:col min="6" max="6" width="16" hidden="0" customWidth="1"/>
    <x:col min="7" max="7" width="23" hidden="0" customWidth="1"/>
    <x:col min="8" max="8" width="14" hidden="0" customWidth="1"/>
    <x:col min="9" max="9" width="18" hidden="0" customWidth="1"/>
    <x:col min="10" max="10" width="23" hidden="0" customWidth="1"/>
    <x:col min="11" max="11" width="90" hidden="0" customWidth="1"/>
    <x:col min="12" max="12" width="3" hidden="0" customWidth="1"/>
    <x:col min="13" max="13" width="10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>
      <x:c r="A2" s="2" t="str">
        <x:v>Serialized item definitions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32" customHeight="1">
      <x:c r="A5" s="8" t="str">
        <x:v>Item ID</x:v>
      </x:c>
      <x:c r="B5" s="8" t="str">
        <x:v>Authored name</x:v>
      </x:c>
      <x:c r="C5" s="8" t="str">
        <x:v>Definition scope</x:v>
      </x:c>
      <x:c r="D5" s="8" t="str">
        <x:v>Unity category</x:v>
      </x:c>
      <x:c r="E5" s="8" t="str">
        <x:v>Equipment slot</x:v>
      </x:c>
      <x:c r="F5" s="8" t="str">
        <x:v>Field supply</x:v>
      </x:c>
      <x:c r="G5" s="8" t="str">
        <x:v>Carrier metadata</x:v>
      </x:c>
      <x:c r="H5" s="8" t="str">
        <x:v>Stack limit</x:v>
      </x:c>
      <x:c r="I5" s="8" t="str">
        <x:v>Mass (game units)</x:v>
      </x:c>
      <x:c r="J5" s="8" t="str">
        <x:v>Packing preference</x:v>
      </x:c>
      <x:c r="K5" s="8" t="str">
        <x:v>Authored description</x:v>
      </x:c>
      <x:c r="L5" s="10" t="str"/>
      <x:c r="M5" s="12" t="str">
        <x:v>Source asset</x:v>
      </x:c>
    </x:row>
    <x:row r="6" ht="48" customHeight="1">
      <x:c r="A6" s="9" t="str">
        <x:v>equipment.algae_canister</x:v>
      </x:c>
      <x:c r="B6" s="9" t="str">
        <x:v>Algae canister</x:v>
      </x:c>
      <x:c r="C6" s="9" t="str">
        <x:v>Camp Loop trial</x:v>
      </x:c>
      <x:c r="D6" s="9" t="str">
        <x:v>Equipment</x:v>
      </x:c>
      <x:c r="E6" s="9" t="str">
        <x:v>Algae canister</x:v>
      </x:c>
      <x:c r="F6" s="21" t="b">
        <x:v>0</x:v>
      </x:c>
      <x:c r="G6" s="9" t="str">
        <x:v>Booter only</x:v>
      </x:c>
      <x:c r="H6" s="9" t="n">
        <x:v>1</x:v>
      </x:c>
      <x:c r="I6" s="9" t="n">
        <x:v>0.8</x:v>
      </x:c>
      <x:c r="J6" s="9" t="str">
        <x:v>Quick access</x:v>
      </x:c>
      <x:c r="K6" s="9" t="str">
        <x:v>Attached personal living-algae reserve for Eat, Drink and Treat. Does not restore Reserve.</x:v>
      </x:c>
      <x:c r="L6" s="11"/>
      <x:c r="M6" s="9" t="str">
        <x:v>Assets/_Project/Settings/Items/CampLoopLoadout/AlgaeCanister.asset</x:v>
      </x:c>
    </x:row>
    <x:row r="7" ht="48" customHeight="1">
      <x:c r="A7" s="4" t="str">
        <x:v>equipment.arc_battery_charged</x:v>
      </x:c>
      <x:c r="B7" s="4" t="str">
        <x:v>Charged Arc Battery</x:v>
      </x:c>
      <x:c r="C7" s="4" t="str">
        <x:v>Camp Loop trial</x:v>
      </x:c>
      <x:c r="D7" s="4" t="str">
        <x:v>Supply</x:v>
      </x:c>
      <x:c r="E7" s="4" t="str">
        <x:v>None</x:v>
      </x:c>
      <x:c r="F7" s="20" t="b">
        <x:v>1</x:v>
      </x:c>
      <x:c r="G7" s="4" t="str">
        <x:v>Either carrier</x:v>
      </x:c>
      <x:c r="H7" s="4" t="n">
        <x:v>1</x:v>
      </x:c>
      <x:c r="I7" s="4" t="n">
        <x:v>0.8</x:v>
      </x:c>
      <x:c r="J7" s="4" t="str">
        <x:v>Normal</x:v>
      </x:c>
      <x:c r="K7" s="4" t="str">
        <x:v>Arc Energy held in a refined battery.</x:v>
      </x:c>
      <x:c r="L7" s="11"/>
      <x:c r="M7" s="4" t="str">
        <x:v>Assets/_Project/Settings/Items/CampLoop/ChargedArcBattery.asset</x:v>
      </x:c>
    </x:row>
    <x:row r="8" ht="48" customHeight="1">
      <x:c r="A8" s="9" t="str">
        <x:v>equipment.arc_battery_empty</x:v>
      </x:c>
      <x:c r="B8" s="9" t="str">
        <x:v>Empty Arc Battery</x:v>
      </x:c>
      <x:c r="C8" s="9" t="str">
        <x:v>Camp Loop trial</x:v>
      </x:c>
      <x:c r="D8" s="9" t="str">
        <x:v>Supply</x:v>
      </x:c>
      <x:c r="E8" s="9" t="str">
        <x:v>None</x:v>
      </x:c>
      <x:c r="F8" s="21" t="b">
        <x:v>1</x:v>
      </x:c>
      <x:c r="G8" s="9" t="str">
        <x:v>Either carrier</x:v>
      </x:c>
      <x:c r="H8" s="9" t="n">
        <x:v>1</x:v>
      </x:c>
      <x:c r="I8" s="9" t="n">
        <x:v>0.8</x:v>
      </x:c>
      <x:c r="J8" s="9" t="str">
        <x:v>Normal</x:v>
      </x:c>
      <x:c r="K8" s="9" t="str">
        <x:v>An empty battery ready for the camp dust refinery.</x:v>
      </x:c>
      <x:c r="L8" s="11"/>
      <x:c r="M8" s="9" t="str">
        <x:v>Assets/_Project/Settings/Items/CampLoop/EmptyArcBattery.asset</x:v>
      </x:c>
    </x:row>
    <x:row r="9" ht="48" customHeight="1">
      <x:c r="A9" s="4" t="str">
        <x:v>equipment.cloak</x:v>
      </x:c>
      <x:c r="B9" s="4" t="str">
        <x:v>Cloak</x:v>
      </x:c>
      <x:c r="C9" s="4" t="str">
        <x:v>Camp Loop trial</x:v>
      </x:c>
      <x:c r="D9" s="4" t="str">
        <x:v>Equipment</x:v>
      </x:c>
      <x:c r="E9" s="4" t="str">
        <x:v>Cloak</x:v>
      </x:c>
      <x:c r="F9" s="20" t="b">
        <x:v>0</x:v>
      </x:c>
      <x:c r="G9" s="4" t="str">
        <x:v>Either carrier</x:v>
      </x:c>
      <x:c r="H9" s="4" t="n">
        <x:v>1</x:v>
      </x:c>
      <x:c r="I9" s="4" t="n">
        <x:v>1</x:v>
      </x:c>
      <x:c r="J9" s="4" t="str">
        <x:v>Quick access</x:v>
      </x:c>
      <x:c r="K9" s="4" t="str">
        <x:v>Personal cloak with the existing worn and camp blanket presentation.</x:v>
      </x:c>
      <x:c r="L9" s="11"/>
      <x:c r="M9" s="4" t="str">
        <x:v>Assets/_Project/Settings/Items/CampLoopLoadout/Cloak.asset</x:v>
      </x:c>
    </x:row>
    <x:row r="10" ht="48" customHeight="1">
      <x:c r="A10" s="9" t="str">
        <x:v>equipment.digging_tool</x:v>
      </x:c>
      <x:c r="B10" s="9" t="str">
        <x:v>Digging shovel axe</x:v>
      </x:c>
      <x:c r="C10" s="9" t="str">
        <x:v>Camp Loop trial</x:v>
      </x:c>
      <x:c r="D10" s="9" t="str">
        <x:v>Equipment</x:v>
      </x:c>
      <x:c r="E10" s="9" t="str">
        <x:v>Digging tool</x:v>
      </x:c>
      <x:c r="F10" s="21" t="b">
        <x:v>0</x:v>
      </x:c>
      <x:c r="G10" s="9" t="str">
        <x:v>Either carrier</x:v>
      </x:c>
      <x:c r="H10" s="9" t="n">
        <x:v>1</x:v>
      </x:c>
      <x:c r="I10" s="9" t="n">
        <x:v>1.5</x:v>
      </x:c>
      <x:c r="J10" s="9" t="str">
        <x:v>Quick access</x:v>
      </x:c>
      <x:c r="K10" s="9" t="str">
        <x:v>Starter combined shovel and axe. No new mining prerequisite or combat action is enabled.</x:v>
      </x:c>
      <x:c r="L10" s="11"/>
      <x:c r="M10" s="9" t="str">
        <x:v>Assets/_Project/Settings/Items/CampLoopLoadout/DiggingTool.asset</x:v>
      </x:c>
    </x:row>
    <x:row r="11" ht="48" customHeight="1">
      <x:c r="A11" s="4" t="str">
        <x:v>equipment.grappling_hook</x:v>
      </x:c>
      <x:c r="B11" s="4" t="str">
        <x:v>Grappling hook</x:v>
      </x:c>
      <x:c r="C11" s="4" t="str">
        <x:v>Camp Loop trial</x:v>
      </x:c>
      <x:c r="D11" s="4" t="str">
        <x:v>Equipment</x:v>
      </x:c>
      <x:c r="E11" s="4" t="str">
        <x:v>Grappling hook</x:v>
      </x:c>
      <x:c r="F11" s="20" t="b">
        <x:v>0</x:v>
      </x:c>
      <x:c r="G11" s="4" t="str">
        <x:v>Either carrier</x:v>
      </x:c>
      <x:c r="H11" s="4" t="n">
        <x:v>1</x:v>
      </x:c>
      <x:c r="I11" s="4" t="n">
        <x:v>1</x:v>
      </x:c>
      <x:c r="J11" s="4" t="str">
        <x:v>Quick access</x:v>
      </x:c>
      <x:c r="K11" s="4" t="str">
        <x:v>Terrain navigation equipment. Grapple traversal is not implemented in this inventory slice.</x:v>
      </x:c>
      <x:c r="L11" s="11"/>
      <x:c r="M11" s="4" t="str">
        <x:v>Assets/_Project/Settings/Items/CampLoopLoadout/GrapplingHook.asset</x:v>
      </x:c>
    </x:row>
    <x:row r="12" ht="48" customHeight="1">
      <x:c r="A12" s="9" t="str">
        <x:v>equipment.jacket</x:v>
      </x:c>
      <x:c r="B12" s="9" t="str">
        <x:v>Jacket</x:v>
      </x:c>
      <x:c r="C12" s="9" t="str">
        <x:v>Camp Loop trial</x:v>
      </x:c>
      <x:c r="D12" s="9" t="str">
        <x:v>Equipment</x:v>
      </x:c>
      <x:c r="E12" s="9" t="str">
        <x:v>Jacket</x:v>
      </x:c>
      <x:c r="F12" s="21" t="b">
        <x:v>0</x:v>
      </x:c>
      <x:c r="G12" s="9" t="str">
        <x:v>Either carrier</x:v>
      </x:c>
      <x:c r="H12" s="9" t="n">
        <x:v>1</x:v>
      </x:c>
      <x:c r="I12" s="9" t="n">
        <x:v>1</x:v>
      </x:c>
      <x:c r="J12" s="9" t="str">
        <x:v>Quick access</x:v>
      </x:c>
      <x:c r="K12" s="9" t="str">
        <x:v>Separate jacket equipment. No new protection or durability effect is enabled.</x:v>
      </x:c>
      <x:c r="L12" s="11"/>
      <x:c r="M12" s="9" t="str">
        <x:v>Assets/_Project/Settings/Items/CampLoopLoadout/Jacket.asset</x:v>
      </x:c>
    </x:row>
    <x:row r="13" ht="48" customHeight="1">
      <x:c r="A13" s="4" t="str">
        <x:v>lab.ironstone.aggregate</x:v>
      </x:c>
      <x:c r="B13" s="4" t="str">
        <x:v>Coarse Aggregate</x:v>
      </x:c>
      <x:c r="C13" s="4" t="str">
        <x:v>Camp Loop trial</x:v>
      </x:c>
      <x:c r="D13" s="4" t="str">
        <x:v>Resource</x:v>
      </x:c>
      <x:c r="E13" s="4" t="str">
        <x:v>None</x:v>
      </x:c>
      <x:c r="F13" s="20" t="b">
        <x:v>0</x:v>
      </x:c>
      <x:c r="G13" s="4" t="str">
        <x:v>Legger only</x:v>
      </x:c>
      <x:c r="H13" s="4" t="n">
        <x:v>99</x:v>
      </x:c>
      <x:c r="I13" s="4" t="n">
        <x:v>0.75</x:v>
      </x:c>
      <x:c r="J13" s="4" t="str">
        <x:v>Normal</x:v>
      </x:c>
      <x:c r="K13" s="4" t="str">
        <x:v>Dry Ironstone sorting product. Camp Loop trial material.</x:v>
      </x:c>
      <x:c r="L13" s="11"/>
      <x:c r="M13" s="4" t="str">
        <x:v>Assets/_Project/Settings/Items/CampLoopIronstone/0-CoarseAggregate.asset</x:v>
      </x:c>
    </x:row>
    <x:row r="14" ht="48" customHeight="1">
      <x:c r="A14" s="9" t="str">
        <x:v>lab.ironstone.concentrate</x:v>
      </x:c>
      <x:c r="B14" s="9" t="str">
        <x:v>Iron-rich Concentrate</x:v>
      </x:c>
      <x:c r="C14" s="9" t="str">
        <x:v>Camp Loop trial</x:v>
      </x:c>
      <x:c r="D14" s="9" t="str">
        <x:v>Resource</x:v>
      </x:c>
      <x:c r="E14" s="9" t="str">
        <x:v>None</x:v>
      </x:c>
      <x:c r="F14" s="21" t="b">
        <x:v>0</x:v>
      </x:c>
      <x:c r="G14" s="9" t="str">
        <x:v>Legger only</x:v>
      </x:c>
      <x:c r="H14" s="9" t="n">
        <x:v>99</x:v>
      </x:c>
      <x:c r="I14" s="9" t="n">
        <x:v>2</x:v>
      </x:c>
      <x:c r="J14" s="9" t="str">
        <x:v>Normal</x:v>
      </x:c>
      <x:c r="K14" s="9" t="str">
        <x:v>Dry Ironstone sorting product. Camp Loop trial material.</x:v>
      </x:c>
      <x:c r="L14" s="11"/>
      <x:c r="M14" s="9" t="str">
        <x:v>Assets/_Project/Settings/Items/CampLoopIronstone/1-Iron-richConcentrate.asset</x:v>
      </x:c>
    </x:row>
    <x:row r="15" ht="48" customHeight="1">
      <x:c r="A15" s="4" t="str">
        <x:v>lab.ironstone.mineral_dust</x:v>
      </x:c>
      <x:c r="B15" s="4" t="str">
        <x:v>Mineral Dust</x:v>
      </x:c>
      <x:c r="C15" s="4" t="str">
        <x:v>Camp Loop trial</x:v>
      </x:c>
      <x:c r="D15" s="4" t="str">
        <x:v>Resource</x:v>
      </x:c>
      <x:c r="E15" s="4" t="str">
        <x:v>None</x:v>
      </x:c>
      <x:c r="F15" s="20" t="b">
        <x:v>0</x:v>
      </x:c>
      <x:c r="G15" s="4" t="str">
        <x:v>Legger only</x:v>
      </x:c>
      <x:c r="H15" s="4" t="n">
        <x:v>99</x:v>
      </x:c>
      <x:c r="I15" s="4" t="n">
        <x:v>0.25</x:v>
      </x:c>
      <x:c r="J15" s="4" t="str">
        <x:v>Normal</x:v>
      </x:c>
      <x:c r="K15" s="4" t="str">
        <x:v>Dry Ironstone sorting product. Camp Loop trial material.</x:v>
      </x:c>
      <x:c r="L15" s="11"/>
      <x:c r="M15" s="4" t="str">
        <x:v>Assets/_Project/Settings/Items/CampLoopIronstone/3-MineralDust.asset</x:v>
      </x:c>
    </x:row>
    <x:row r="16" ht="48" customHeight="1">
      <x:c r="A16" s="9" t="str">
        <x:v>lab.ironstone.sand</x:v>
      </x:c>
      <x:c r="B16" s="9" t="str">
        <x:v>Mineral Sand</x:v>
      </x:c>
      <x:c r="C16" s="9" t="str">
        <x:v>Camp Loop trial</x:v>
      </x:c>
      <x:c r="D16" s="9" t="str">
        <x:v>Resource</x:v>
      </x:c>
      <x:c r="E16" s="9" t="str">
        <x:v>None</x:v>
      </x:c>
      <x:c r="F16" s="21" t="b">
        <x:v>0</x:v>
      </x:c>
      <x:c r="G16" s="9" t="str">
        <x:v>Legger only</x:v>
      </x:c>
      <x:c r="H16" s="9" t="n">
        <x:v>99</x:v>
      </x:c>
      <x:c r="I16" s="9" t="n">
        <x:v>1</x:v>
      </x:c>
      <x:c r="J16" s="9" t="str">
        <x:v>Normal</x:v>
      </x:c>
      <x:c r="K16" s="9" t="str">
        <x:v>Dry Ironstone sorting product. Camp Loop trial material.</x:v>
      </x:c>
      <x:c r="L16" s="11"/>
      <x:c r="M16" s="9" t="str">
        <x:v>Assets/_Project/Settings/Items/CampLoopIronstone/2-MineralSand.asset</x:v>
      </x:c>
    </x:row>
    <x:row r="17" ht="48" customHeight="1">
      <x:c r="A17" s="4" t="str">
        <x:v>lab.salvage.drive_assembly</x:v>
      </x:c>
      <x:c r="B17" s="4" t="str">
        <x:v>Drive Assembly</x:v>
      </x:c>
      <x:c r="C17" s="4" t="str">
        <x:v>Camp Loop trial</x:v>
      </x:c>
      <x:c r="D17" s="4" t="str">
        <x:v>Resource</x:v>
      </x:c>
      <x:c r="E17" s="4" t="str">
        <x:v>None</x:v>
      </x:c>
      <x:c r="F17" s="20" t="b">
        <x:v>0</x:v>
      </x:c>
      <x:c r="G17" s="4" t="str">
        <x:v>Legger only</x:v>
      </x:c>
      <x:c r="H17" s="4" t="n">
        <x:v>1</x:v>
      </x:c>
      <x:c r="I17" s="4" t="n">
        <x:v>6</x:v>
      </x:c>
      <x:c r="J17" s="4" t="str">
        <x:v>Normal</x:v>
      </x:c>
      <x:c r="K17" s="4" t="str">
        <x:v>Trial salvage from the dead camp-loop machine.</x:v>
      </x:c>
      <x:c r="L17" s="11"/>
      <x:c r="M17" s="4" t="str">
        <x:v>Assets/_Project/Settings/Studies/CampLoopSalvage/Part2.asset</x:v>
      </x:c>
    </x:row>
    <x:row r="18" ht="48" customHeight="1">
      <x:c r="A18" s="9" t="str">
        <x:v>lab.salvage.metal_plate</x:v>
      </x:c>
      <x:c r="B18" s="9" t="str">
        <x:v>Metal Plate</x:v>
      </x:c>
      <x:c r="C18" s="9" t="str">
        <x:v>Camp Loop trial</x:v>
      </x:c>
      <x:c r="D18" s="9" t="str">
        <x:v>Resource</x:v>
      </x:c>
      <x:c r="E18" s="9" t="str">
        <x:v>None</x:v>
      </x:c>
      <x:c r="F18" s="21" t="b">
        <x:v>0</x:v>
      </x:c>
      <x:c r="G18" s="9" t="str">
        <x:v>Legger only</x:v>
      </x:c>
      <x:c r="H18" s="9" t="n">
        <x:v>20</x:v>
      </x:c>
      <x:c r="I18" s="9" t="n">
        <x:v>2</x:v>
      </x:c>
      <x:c r="J18" s="9" t="str">
        <x:v>Normal</x:v>
      </x:c>
      <x:c r="K18" s="9" t="str">
        <x:v>Trial salvage from the dead camp-loop machine.</x:v>
      </x:c>
      <x:c r="L18" s="11"/>
      <x:c r="M18" s="9" t="str">
        <x:v>Assets/_Project/Settings/Studies/CampLoopSalvage/Part0.asset</x:v>
      </x:c>
    </x:row>
    <x:row r="19" ht="48" customHeight="1">
      <x:c r="A19" s="4" t="str">
        <x:v>lab.salvage.wire_bundle</x:v>
      </x:c>
      <x:c r="B19" s="4" t="str">
        <x:v>Wire Bundle</x:v>
      </x:c>
      <x:c r="C19" s="4" t="str">
        <x:v>Camp Loop trial</x:v>
      </x:c>
      <x:c r="D19" s="4" t="str">
        <x:v>Resource</x:v>
      </x:c>
      <x:c r="E19" s="4" t="str">
        <x:v>None</x:v>
      </x:c>
      <x:c r="F19" s="20" t="b">
        <x:v>0</x:v>
      </x:c>
      <x:c r="G19" s="4" t="str">
        <x:v>Legger only</x:v>
      </x:c>
      <x:c r="H19" s="4" t="n">
        <x:v>10</x:v>
      </x:c>
      <x:c r="I19" s="4" t="n">
        <x:v>0.5</x:v>
      </x:c>
      <x:c r="J19" s="4" t="str">
        <x:v>Normal</x:v>
      </x:c>
      <x:c r="K19" s="4" t="str">
        <x:v>Trial salvage from the dead camp-loop machine.</x:v>
      </x:c>
      <x:c r="L19" s="11"/>
      <x:c r="M19" s="4" t="str">
        <x:v>Assets/_Project/Settings/Studies/CampLoopSalvage/Part1.asset</x:v>
      </x:c>
    </x:row>
    <x:row r="20" ht="48" customHeight="1">
      <x:c r="A20" s="9" t="str">
        <x:v>resource.airborne_dust</x:v>
      </x:c>
      <x:c r="B20" s="9" t="str">
        <x:v>Airborne Dust</x:v>
      </x:c>
      <x:c r="C20" s="9" t="str">
        <x:v>Shared definition</x:v>
      </x:c>
      <x:c r="D20" s="9" t="str">
        <x:v>Resource</x:v>
      </x:c>
      <x:c r="E20" s="9" t="str">
        <x:v>None</x:v>
      </x:c>
      <x:c r="F20" s="21" t="b">
        <x:v>0</x:v>
      </x:c>
      <x:c r="G20" s="9" t="str">
        <x:v>Legger only</x:v>
      </x:c>
      <x:c r="H20" s="9" t="n">
        <x:v>100</x:v>
      </x:c>
      <x:c r="I20" s="9" t="n">
        <x:v>0.05</x:v>
      </x:c>
      <x:c r="J20" s="9" t="str">
        <x:v>Normal</x:v>
      </x:c>
      <x:c r="K20" s="9" t="str">
        <x:v>Fine sand collected from the air by a micro dust harvester.</x:v>
      </x:c>
      <x:c r="L20" s="11"/>
      <x:c r="M20" s="9" t="str">
        <x:v>Assets/_Project/Settings/Items/Item_AirborneDust.asset</x:v>
      </x:c>
    </x:row>
    <x:row r="21" ht="48" customHeight="1">
      <x:c r="A21" s="4" t="str">
        <x:v>resource.ironstone_ore</x:v>
      </x:c>
      <x:c r="B21" s="4" t="str">
        <x:v>Ironstone Ore</x:v>
      </x:c>
      <x:c r="C21" s="4" t="str">
        <x:v>Shared definition</x:v>
      </x:c>
      <x:c r="D21" s="4" t="str">
        <x:v>Resource</x:v>
      </x:c>
      <x:c r="E21" s="4" t="str">
        <x:v>None</x:v>
      </x:c>
      <x:c r="F21" s="20" t="b">
        <x:v>0</x:v>
      </x:c>
      <x:c r="G21" s="4" t="str">
        <x:v>Legger only</x:v>
      </x:c>
      <x:c r="H21" s="4" t="n">
        <x:v>99</x:v>
      </x:c>
      <x:c r="I21" s="4" t="n">
        <x:v>1.25</x:v>
      </x:c>
      <x:c r="J21" s="4" t="str">
        <x:v>Normal</x:v>
      </x:c>
      <x:c r="K21" s="4" t="str">
        <x:v>Dense, rust-veined ore gathered from exposed ironstone deposits.</x:v>
      </x:c>
      <x:c r="L21" s="11"/>
      <x:c r="M21" s="4" t="str">
        <x:v>Assets/_Project/Settings/Items/Item_IronstoneOre.asset</x:v>
      </x:c>
    </x:row>
    <x:row r="22" ht="48" customHeight="1">
      <x:c r="A22" s="9" t="str">
        <x:v>tool.micro_dust_harvester</x:v>
      </x:c>
      <x:c r="B22" s="9" t="str">
        <x:v>Dust canister</x:v>
      </x:c>
      <x:c r="C22" s="9" t="str">
        <x:v>Camp Loop trial</x:v>
      </x:c>
      <x:c r="D22" s="9" t="str">
        <x:v>Equipment</x:v>
      </x:c>
      <x:c r="E22" s="9" t="str">
        <x:v>Dust canister</x:v>
      </x:c>
      <x:c r="F22" s="21" t="b">
        <x:v>0</x:v>
      </x:c>
      <x:c r="G22" s="9" t="str">
        <x:v>Either carrier</x:v>
      </x:c>
      <x:c r="H22" s="9" t="n">
        <x:v>1</x:v>
      </x:c>
      <x:c r="I22" s="9" t="n">
        <x:v>0.8</x:v>
      </x:c>
      <x:c r="J22" s="9" t="str">
        <x:v>Quick access</x:v>
      </x:c>
      <x:c r="K22" s="9" t="str">
        <x:v>Deploy to collect dust. Recovery delivers dust to physically accessible Legger cargo.</x:v>
      </x:c>
      <x:c r="L22" s="11"/>
      <x:c r="M22" s="9" t="str">
        <x:v>Assets/_Project/Settings/Items/CampLoopLoadout/DustCanister.asset</x:v>
      </x:c>
    </x:row>
    <x:row r="23" ht="48" customHeight="1">
      <x:c r="A23" s="4" t="str">
        <x:v>tool.micro_dust_harvester</x:v>
      </x:c>
      <x:c r="B23" s="4" t="str">
        <x:v>Micro Dust Harvester</x:v>
      </x:c>
      <x:c r="C23" s="4" t="str">
        <x:v>Shared definition</x:v>
      </x:c>
      <x:c r="D23" s="4" t="str">
        <x:v>Tool</x:v>
      </x:c>
      <x:c r="E23" s="4" t="str">
        <x:v>None</x:v>
      </x:c>
      <x:c r="F23" s="20" t="b">
        <x:v>0</x:v>
      </x:c>
      <x:c r="G23" s="4" t="str">
        <x:v>Either carrier</x:v>
      </x:c>
      <x:c r="H23" s="4" t="n">
        <x:v>4</x:v>
      </x:c>
      <x:c r="I23" s="4" t="n">
        <x:v>0.8</x:v>
      </x:c>
      <x:c r="J23" s="4" t="str">
        <x:v>Quick access</x:v>
      </x:c>
      <x:c r="K23" s="4" t="str">
        <x:v>A compact electromagnetic canister that draws suspended sand from the air when deployed.</x:v>
      </x:c>
      <x:c r="L23" s="11"/>
      <x:c r="M23" s="4" t="str">
        <x:v>Assets/_Project/Settings/Items/Item_MicroDustHarvester.asset</x:v>
      </x:c>
    </x:row>
    <x:row r="24" ht="48" customHeight="1">
      <x:c r="A24" s="9" t="str">
        <x:v>tool.popup_camp</x:v>
      </x:c>
      <x:c r="B24" s="9" t="str">
        <x:v>Pop-up camp</x:v>
      </x:c>
      <x:c r="C24" s="9" t="str">
        <x:v>Camp Loop trial</x:v>
      </x:c>
      <x:c r="D24" s="9" t="str">
        <x:v>Camp</x:v>
      </x:c>
      <x:c r="E24" s="9" t="str">
        <x:v>None</x:v>
      </x:c>
      <x:c r="F24" s="21" t="b">
        <x:v>1</x:v>
      </x:c>
      <x:c r="G24" s="9" t="str">
        <x:v>Either carrier</x:v>
      </x:c>
      <x:c r="H24" s="9" t="n">
        <x:v>1</x:v>
      </x:c>
      <x:c r="I24" s="9" t="n">
        <x:v>2.5</x:v>
      </x:c>
      <x:c r="J24" s="9" t="str">
        <x:v>Quick access</x:v>
      </x:c>
      <x:c r="K24" s="9" t="str">
        <x:v>Reusable packed camp bundle. Uses one field-supply pocket.</x:v>
      </x:c>
      <x:c r="L24" s="11"/>
      <x:c r="M24" s="9" t="str">
        <x:v>Assets/_Project/Settings/Items/CampLoopLoadout/PopupCamp.asset</x:v>
      </x:c>
    </x:row>
    <x:row r="25" ht="48" customHeight="1">
      <x:c r="A25" s="4" t="str">
        <x:v>tool.popup_camp</x:v>
      </x:c>
      <x:c r="B25" s="4" t="str">
        <x:v>Pop-up camp</x:v>
      </x:c>
      <x:c r="C25" s="4" t="str">
        <x:v>Shared definition</x:v>
      </x:c>
      <x:c r="D25" s="4" t="str">
        <x:v>Camp</x:v>
      </x:c>
      <x:c r="E25" s="4" t="str">
        <x:v>None</x:v>
      </x:c>
      <x:c r="F25" s="20" t="b">
        <x:v>0</x:v>
      </x:c>
      <x:c r="G25" s="4" t="str">
        <x:v>Either carrier</x:v>
      </x:c>
      <x:c r="H25" s="4" t="n">
        <x:v>1</x:v>
      </x:c>
      <x:c r="I25" s="4" t="n">
        <x:v>2.5</x:v>
      </x:c>
      <x:c r="J25" s="4" t="str">
        <x:v>Quick access</x:v>
      </x:c>
      <x:c r="K25" s="4" t="str">
        <x:v>Reusable vertical twilight shade. Deploy locally to rest or sleep.</x:v>
      </x:c>
      <x:c r="L25" s="11"/>
      <x:c r="M25" s="4" t="str">
        <x:v>Assets/_Project/Settings/Items/Item_PopupCamp.asset</x:v>
      </x:c>
    </x:row>
  </x:sheetData>
  <x:pageMargins left="0.7" right="0.7" top="0.75" bottom="0.75" header="0.3" footer="0.3"/>
  <x:tableParts count="1">
    <x:tablePart xmlns:r="http://schemas.openxmlformats.org/officeDocument/2006/relationships" r:id="R705c559bf930427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3" hidden="0" customWidth="1"/>
    <x:col min="2" max="2" width="30" hidden="0" customWidth="1"/>
    <x:col min="3" max="3" width="24" hidden="0" customWidth="1"/>
    <x:col min="4" max="4" width="35" hidden="0" customWidth="1"/>
    <x:col min="5" max="5" width="14" hidden="0" customWidth="1"/>
    <x:col min="6" max="6" width="25" hidden="0" customWidth="1"/>
    <x:col min="7" max="7" width="78" hidden="0" customWidth="1"/>
    <x:col min="8" max="8" width="3" hidden="0" customWidth="1"/>
    <x:col min="9" max="9" width="10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</x:row>
    <x:row r="2">
      <x:c r="A2" s="2" t="str">
        <x:v>Crafting and processing relationships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</x:row>
    <x:row r="5" ht="32" customHeight="1">
      <x:c r="A5" s="8" t="str">
        <x:v>Recipe / reference key</x:v>
      </x:c>
      <x:c r="B5" s="8" t="str">
        <x:v>Station</x:v>
      </x:c>
      <x:c r="C5" s="8" t="str">
        <x:v>Direction</x:v>
      </x:c>
      <x:c r="D5" s="8" t="str">
        <x:v>Item ID</x:v>
      </x:c>
      <x:c r="E5" s="8" t="str">
        <x:v>Quantity</x:v>
      </x:c>
      <x:c r="F5" s="8" t="str">
        <x:v>Scope</x:v>
      </x:c>
      <x:c r="G5" s="8" t="str">
        <x:v>Rules</x:v>
      </x:c>
      <x:c r="H5" s="10" t="str"/>
      <x:c r="I5" s="12" t="str">
        <x:v>Source</x:v>
      </x:c>
    </x:row>
    <x:row r="6" ht="48" customHeight="1">
      <x:c r="A6" s="9" t="str">
        <x:v>camp.empty-arc-battery.v1</x:v>
      </x:c>
      <x:c r="B6" s="9" t="str">
        <x:v>Workbench</x:v>
      </x:c>
      <x:c r="C6" s="9" t="str">
        <x:v>Input</x:v>
      </x:c>
      <x:c r="D6" s="9" t="str">
        <x:v>resource.ironstone_ore</x:v>
      </x:c>
      <x:c r="E6" s="9" t="n">
        <x:v>4</x:v>
      </x:c>
      <x:c r="F6" s="9" t="str">
        <x:v>Camp Loop trial</x:v>
      </x:c>
      <x:c r="G6" s="9" t="str">
        <x:v>Authored recipe version 1</x:v>
      </x:c>
      <x:c r="H6" s="11"/>
      <x:c r="I6" s="9" t="str">
        <x:v>Assets/_Project/Settings/Items/CampLoop/EmptyArcBatteryRecipe.asset</x:v>
      </x:c>
    </x:row>
    <x:row r="7" ht="48" customHeight="1">
      <x:c r="A7" s="4" t="str">
        <x:v>camp.empty-arc-battery.v1</x:v>
      </x:c>
      <x:c r="B7" s="4" t="str">
        <x:v>Workbench</x:v>
      </x:c>
      <x:c r="C7" s="4" t="str">
        <x:v>Output</x:v>
      </x:c>
      <x:c r="D7" s="4" t="str">
        <x:v>equipment.arc_battery_empty</x:v>
      </x:c>
      <x:c r="E7" s="4" t="n">
        <x:v>1</x:v>
      </x:c>
      <x:c r="F7" s="4" t="str">
        <x:v>Camp Loop trial</x:v>
      </x:c>
      <x:c r="G7" s="4" t="str">
        <x:v>Output to legal supply pocket</x:v>
      </x:c>
      <x:c r="H7" s="11"/>
      <x:c r="I7" s="4" t="str">
        <x:v>Assets/_Project/Settings/Items/CampLoop/EmptyArcBatteryRecipe.asset</x:v>
      </x:c>
    </x:row>
    <x:row r="8" ht="48" customHeight="1">
      <x:c r="A8" s="9" t="str">
        <x:v>lab.ironstone.dry-sort</x:v>
      </x:c>
      <x:c r="B8" s="9" t="str">
        <x:v>Manual Ironstone sorter</x:v>
      </x:c>
      <x:c r="C8" s="9" t="str">
        <x:v>Input</x:v>
      </x:c>
      <x:c r="D8" s="9" t="str">
        <x:v>resource.ironstone_ore</x:v>
      </x:c>
      <x:c r="E8" s="9" t="n">
        <x:v>4</x:v>
      </x:c>
      <x:c r="F8" s="9" t="str">
        <x:v>Camp Loop trial</x:v>
      </x:c>
      <x:c r="G8" s="9" t="str">
        <x:v>Authored recipe version 1</x:v>
      </x:c>
      <x:c r="H8" s="11"/>
      <x:c r="I8" s="9" t="str">
        <x:v>Assets/_Project/Settings/Items/CampLoopIronstone/DrySortingRecipe.asset</x:v>
      </x:c>
    </x:row>
    <x:row r="9" ht="48" customHeight="1">
      <x:c r="A9" s="4" t="str">
        <x:v>lab.ironstone.dry-sort</x:v>
      </x:c>
      <x:c r="B9" s="4" t="str">
        <x:v>Manual Ironstone sorter</x:v>
      </x:c>
      <x:c r="C9" s="4" t="str">
        <x:v>Output</x:v>
      </x:c>
      <x:c r="D9" s="4" t="str">
        <x:v>lab.ironstone.aggregate</x:v>
      </x:c>
      <x:c r="E9" s="4" t="n">
        <x:v>2</x:v>
      </x:c>
      <x:c r="F9" s="4" t="str">
        <x:v>Camp Loop trial</x:v>
      </x:c>
      <x:c r="G9" s="4" t="str">
        <x:v>Output tray; batch mass conserved</x:v>
      </x:c>
      <x:c r="H9" s="11"/>
      <x:c r="I9" s="4" t="str">
        <x:v>Assets/_Project/Settings/Items/CampLoopIronstone/DrySortingRecipe.asset</x:v>
      </x:c>
    </x:row>
    <x:row r="10" ht="48" customHeight="1">
      <x:c r="A10" s="9" t="str">
        <x:v>lab.ironstone.dry-sort</x:v>
      </x:c>
      <x:c r="B10" s="9" t="str">
        <x:v>Manual Ironstone sorter</x:v>
      </x:c>
      <x:c r="C10" s="9" t="str">
        <x:v>Output</x:v>
      </x:c>
      <x:c r="D10" s="9" t="str">
        <x:v>lab.ironstone.concentrate</x:v>
      </x:c>
      <x:c r="E10" s="9" t="n">
        <x:v>1</x:v>
      </x:c>
      <x:c r="F10" s="9" t="str">
        <x:v>Camp Loop trial</x:v>
      </x:c>
      <x:c r="G10" s="9" t="str">
        <x:v>Output tray; batch mass conserved</x:v>
      </x:c>
      <x:c r="H10" s="11"/>
      <x:c r="I10" s="9" t="str">
        <x:v>Assets/_Project/Settings/Items/CampLoopIronstone/DrySortingRecipe.asset</x:v>
      </x:c>
    </x:row>
    <x:row r="11" ht="48" customHeight="1">
      <x:c r="A11" s="4" t="str">
        <x:v>lab.ironstone.dry-sort</x:v>
      </x:c>
      <x:c r="B11" s="4" t="str">
        <x:v>Manual Ironstone sorter</x:v>
      </x:c>
      <x:c r="C11" s="4" t="str">
        <x:v>Output</x:v>
      </x:c>
      <x:c r="D11" s="4" t="str">
        <x:v>lab.ironstone.sand</x:v>
      </x:c>
      <x:c r="E11" s="4" t="n">
        <x:v>1</x:v>
      </x:c>
      <x:c r="F11" s="4" t="str">
        <x:v>Camp Loop trial</x:v>
      </x:c>
      <x:c r="G11" s="4" t="str">
        <x:v>Output tray; batch mass conserved</x:v>
      </x:c>
      <x:c r="H11" s="11"/>
      <x:c r="I11" s="4" t="str">
        <x:v>Assets/_Project/Settings/Items/CampLoopIronstone/DrySortingRecipe.asset</x:v>
      </x:c>
    </x:row>
    <x:row r="12" ht="48" customHeight="1">
      <x:c r="A12" s="9" t="str">
        <x:v>lab.ironstone.dry-sort</x:v>
      </x:c>
      <x:c r="B12" s="9" t="str">
        <x:v>Manual Ironstone sorter</x:v>
      </x:c>
      <x:c r="C12" s="9" t="str">
        <x:v>Output</x:v>
      </x:c>
      <x:c r="D12" s="9" t="str">
        <x:v>lab.ironstone.mineral_dust</x:v>
      </x:c>
      <x:c r="E12" s="9" t="n">
        <x:v>2</x:v>
      </x:c>
      <x:c r="F12" s="9" t="str">
        <x:v>Camp Loop trial</x:v>
      </x:c>
      <x:c r="G12" s="9" t="str">
        <x:v>Output tray; batch mass conserved</x:v>
      </x:c>
      <x:c r="H12" s="11"/>
      <x:c r="I12" s="9" t="str">
        <x:v>Assets/_Project/Settings/Items/CampLoopIronstone/DrySortingRecipe.asset</x:v>
      </x:c>
    </x:row>
    <x:row r="13" ht="48" customHeight="1">
      <x:c r="A13" s="4" t="str">
        <x:v>reference.refinery-charge</x:v>
      </x:c>
      <x:c r="B13" s="4" t="str">
        <x:v>Dust refinery</x:v>
      </x:c>
      <x:c r="C13" s="4" t="str">
        <x:v>Input</x:v>
      </x:c>
      <x:c r="D13" s="4" t="str">
        <x:v>equipment.arc_battery_empty</x:v>
      </x:c>
      <x:c r="E13" s="4" t="n">
        <x:v>1</x:v>
      </x:c>
      <x:c r="F13" s="4" t="str">
        <x:v>Camp Loop trial</x:v>
      </x:c>
      <x:c r="G13" s="4" t="str">
        <x:v>Workbook reference key; not an authored recipe ID</x:v>
      </x:c>
      <x:c r="H13" s="11"/>
      <x:c r="I13" s="4" t="str">
        <x:v>Docs/Evidence/Gameplay/CampWorkstations20261014/README.md</x:v>
      </x:c>
    </x:row>
    <x:row r="14" ht="48" customHeight="1">
      <x:c r="A14" s="9" t="str">
        <x:v>reference.refinery-charge</x:v>
      </x:c>
      <x:c r="B14" s="9" t="str">
        <x:v>Dust refinery</x:v>
      </x:c>
      <x:c r="C14" s="9" t="str">
        <x:v>Contents consumed</x:v>
      </x:c>
      <x:c r="D14" s="9" t="str">
        <x:v>resource.airborne_dust</x:v>
      </x:c>
      <x:c r="E14" s="9" t="n">
        <x:v>10</x:v>
      </x:c>
      <x:c r="F14" s="9" t="str">
        <x:v>Camp Loop trial</x:v>
      </x:c>
      <x:c r="G14" s="9" t="str">
        <x:v>Dust must be in docked canister; not a loose-stack recipe</x:v>
      </x:c>
      <x:c r="H14" s="11"/>
      <x:c r="I14" s="9" t="str">
        <x:v>Docs/Evidence/Gameplay/CampWorkstations20261014/README.md</x:v>
      </x:c>
    </x:row>
    <x:row r="15" ht="48" customHeight="1">
      <x:c r="A15" s="4" t="str">
        <x:v>reference.refinery-charge</x:v>
      </x:c>
      <x:c r="B15" s="4" t="str">
        <x:v>Dust refinery</x:v>
      </x:c>
      <x:c r="C15" s="4" t="str">
        <x:v>Output</x:v>
      </x:c>
      <x:c r="D15" s="4" t="str">
        <x:v>equipment.arc_battery_charged</x:v>
      </x:c>
      <x:c r="E15" s="4" t="n">
        <x:v>1</x:v>
      </x:c>
      <x:c r="F15" s="4" t="str">
        <x:v>Camp Loop trial</x:v>
      </x:c>
      <x:c r="G15" s="4" t="str">
        <x:v>Canister and leftover contents retained</x:v>
      </x:c>
      <x:c r="H15" s="11"/>
      <x:c r="I15" s="4" t="str">
        <x:v>Docs/Evidence/Gameplay/CampWorkstations20261014/README.md</x:v>
      </x:c>
    </x:row>
  </x:sheetData>
  <x:pageMargins left="0.7" right="0.7" top="0.75" bottom="0.75" header="0.3" footer="0.3"/>
  <x:tableParts count="1">
    <x:tablePart xmlns:r="http://schemas.openxmlformats.org/officeDocument/2006/relationships" r:id="Rc837b4bf71e5418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30" hidden="0" customWidth="1"/>
    <x:col min="3" max="3" width="70" hidden="0" customWidth="1"/>
    <x:col min="4" max="4" width="85" hidden="0" customWidth="1"/>
  </x:cols>
  <x:sheetData>
    <x:row r="1">
      <x:c r="A1" s="1"/>
      <x:c r="B1" s="1"/>
      <x:c r="C1" s="1"/>
      <x:c r="D1" s="1"/>
    </x:row>
    <x:row r="2">
      <x:c r="A2" s="2" t="str">
        <x:v>Item categories and roster gaps</x:v>
      </x:c>
      <x:c r="B2" s="1"/>
      <x:c r="C2" s="1"/>
      <x:c r="D2" s="1"/>
    </x:row>
    <x:row r="3">
      <x:c r="A3" s="1"/>
      <x:c r="B3" s="1"/>
      <x:c r="C3" s="1"/>
      <x:c r="D3" s="1"/>
    </x:row>
    <x:row r="4">
      <x:c r="A4" s="1"/>
      <x:c r="B4" s="1"/>
      <x:c r="C4" s="1"/>
      <x:c r="D4" s="1"/>
    </x:row>
    <x:row r="5" ht="32" customHeight="1">
      <x:c r="A5" s="8" t="str">
        <x:v>Category</x:v>
      </x:c>
      <x:c r="B5" s="8" t="str">
        <x:v>Current coverage</x:v>
      </x:c>
      <x:c r="C5" s="8" t="str">
        <x:v>Existing basis</x:v>
      </x:c>
      <x:c r="D5" s="8" t="str">
        <x:v>Later brainstorming</x:v>
      </x:c>
    </x:row>
    <x:row r="6" ht="48" customHeight="1">
      <x:c r="A6" s="9" t="str">
        <x:v>Equipment</x:v>
      </x:c>
      <x:c r="B6" s="9" t="n">
        <x:f>COUNTIF(Items!$C$6:$C$1005,A6)</x:f>
        <x:v>24</x:v>
      </x:c>
      <x:c r="C6" s="9" t="str">
        <x:v>Existing gear plus armor, carriers, rare eyewear/headwear and very rare fashion families</x:v>
      </x:c>
      <x:c r="D6" s="9" t="str">
        <x:v>New equipment concepts have no implemented slots, effects or layering rules</x:v>
      </x:c>
    </x:row>
    <x:row r="7" ht="48" customHeight="1">
      <x:c r="A7" s="4" t="str">
        <x:v>Field supplies</x:v>
      </x:c>
      <x:c r="B7" s="4" t="n">
        <x:f>COUNTIF(Items!$C$6:$C$1005,A7)</x:f>
        <x:v>3</x:v>
      </x:c>
      <x:c r="C7" s="4" t="str">
        <x:v>Pop-up camp and two battery states</x:v>
      </x:c>
      <x:c r="D7" s="4" t="str">
        <x:v>Additional supplies await later design</x:v>
      </x:c>
    </x:row>
    <x:row r="8" ht="48" customHeight="1">
      <x:c r="A8" s="9" t="str">
        <x:v>Resources</x:v>
      </x:c>
      <x:c r="B8" s="9" t="n">
        <x:f>COUNTIF(Items!$C$6:$C$1005,A8)</x:f>
        <x:v>68</x:v>
      </x:c>
      <x:c r="C8" s="9" t="str">
        <x:v>Minerals, biological resources, generic chemistry placeholders and twelve new chemical concepts</x:v>
      </x:c>
      <x:c r="D8" s="9" t="str">
        <x:v>Some concepts may merge: etchant/enzyme/molt agent, or binder/clot compound. No new canon.</x:v>
      </x:c>
    </x:row>
    <x:row r="9" ht="48" customHeight="1">
      <x:c r="A9" s="4" t="str">
        <x:v>Crafting components</x:v>
      </x:c>
      <x:c r="B9" s="4" t="n">
        <x:f>COUNTIF(Items!$C$6:$C$1005,A9)</x:f>
        <x:v>14</x:v>
      </x:c>
      <x:c r="C9" s="4" t="str">
        <x:v>Existing salvage and proposed materials, including husk-fiber paper and difficult pressed textiles</x:v>
      </x:c>
      <x:c r="D9" s="4" t="str">
        <x:v>No cloth. Hide/fur conversion yields extremely little usable material.</x:v>
      </x:c>
    </x:row>
    <x:row r="10" ht="48" customHeight="1">
      <x:c r="A10" s="9" t="str">
        <x:v>Survival contents</x:v>
      </x:c>
      <x:c r="B10" s="9" t="str">
        <x:v>Not discrete items</x:v>
      </x:c>
      <x:c r="C10" s="9" t="str">
        <x:v>Living algae in its attached personal canister</x:v>
      </x:c>
      <x:c r="D10" s="9" t="str">
        <x:v>Do not create a duplicate algae stack</x:v>
      </x:c>
    </x:row>
    <x:row r="11" ht="48" customHeight="1">
      <x:c r="A11" s="4" t="str">
        <x:v>Energy</x:v>
      </x:c>
      <x:c r="B11" s="4" t="str">
        <x:v>Not discrete items</x:v>
      </x:c>
      <x:c r="C11" s="4" t="str">
        <x:v>Arc Energy contained by charged batteries</x:v>
      </x:c>
      <x:c r="D11" s="4" t="str">
        <x:v>No separate energy inventory definition</x:v>
      </x:c>
    </x:row>
    <x:row r="12" ht="48" customHeight="1">
      <x:c r="A12" s="9" t="str">
        <x:v>Weapons and ammunition</x:v>
      </x:c>
      <x:c r="B12" s="9" t="str">
        <x:v>1 named candidate; design deferred</x:v>
      </x:c>
      <x:c r="C12" s="9" t="str">
        <x:v>Caltrops; four future specialized-purpose weapon lanes</x:v>
      </x:c>
      <x:c r="D12" s="9" t="str">
        <x:v>Offensive weapons, defensive weapons, traps and trip-ups. No ammunition roster defined.</x:v>
      </x:c>
    </x:row>
    <x:row r="13" ht="48" customHeight="1">
      <x:c r="A13" s="4" t="str">
        <x:v>Workstations and storage</x:v>
      </x:c>
      <x:c r="B13" s="4" t="str">
        <x:v>World objects</x:v>
      </x:c>
      <x:c r="C13" s="4" t="str">
        <x:v>Workbench, dust refinery, Ironstone sorter, camp chest</x:v>
      </x:c>
      <x:c r="D13" s="4" t="str">
        <x:v>Not portable inventory items or recipes for crafting stations</x:v>
      </x:c>
    </x:row>
    <x:row r="14" ht="48" customHeight="1">
      <x:c r="A14" s="9" t="str">
        <x:v>Companion gear and upgrades</x:v>
      </x:c>
      <x:c r="B14" s="9" t="str">
        <x:v>No current item definitions</x:v>
      </x:c>
      <x:c r="C14" s="9" t="str">
        <x:v>Legger has finite cargo; upgrades are a core-loop direction</x:v>
      </x:c>
      <x:c r="D14" s="9" t="str">
        <x:v>Legger is a companion, not an inventory item or crafting platform</x:v>
      </x:c>
    </x:row>
    <x:row r="15" ht="48" customHeight="1">
      <x:c r="A15" s="4" t="str">
        <x:v>Trade and quest items</x:v>
      </x:c>
      <x:c r="B15" s="4" t="str">
        <x:v>No current item definitions</x:v>
      </x:c>
      <x:c r="C15" s="4" t="str">
        <x:v>Settlement trade is part of the core loop</x:v>
      </x:c>
      <x:c r="D15" s="4" t="str">
        <x:v>Currency, prices, quest-item roster and rarity remain open</x:v>
      </x:c>
    </x:row>
    <x:row r="16" ht="70" customHeight="1">
      <x:c r="A16" s="41" t="str">
        <x:v>Containers</x:v>
      </x:c>
      <x:c r="B16" s="41" t="n">
        <x:f>COUNTIF(Items!$C$6:$C$1005,A16)</x:f>
        <x:v>16</x:v>
      </x:c>
      <x:c r="C16" s="41" t="str">
        <x:v>Primary vessels, protective carriers, transfer glassware and closures</x:v>
      </x:c>
      <x:c r="D16" s="41" t="str">
        <x:v>16 proposals; form distinguishes actual vessels from boxes, tools and the possible fixed chest</x:v>
      </x:c>
    </x:row>
    <x:row r="17" ht="60" customHeight="1">
      <x:c r="A17" s="4" t="str">
        <x:v>Offensive weapons</x:v>
      </x:c>
      <x:c r="B17" s="4" t="n">
        <x:f>COUNTIFS(Items!$C$6:$C$1005,"Weapons",Items!$D$6:$D$1005,A17)</x:f>
        <x:v>0</x:v>
      </x:c>
      <x:c r="C17" s="4" t="str">
        <x:v>Reserved category; no named item added</x:v>
      </x:c>
      <x:c r="D17" s="4" t="str">
        <x:v>Specialized purpose and detailed brainstorming deferred</x:v>
      </x:c>
    </x:row>
    <x:row r="18" ht="60" customHeight="1">
      <x:c r="A18" s="4" t="str">
        <x:v>Defensive weapons</x:v>
      </x:c>
      <x:c r="B18" s="4" t="n">
        <x:f>COUNTIFS(Items!$C$6:$C$1005,"Weapons",Items!$D$6:$D$1005,A18)</x:f>
        <x:v>0</x:v>
      </x:c>
      <x:c r="C18" s="4" t="str">
        <x:v>Reserved category; existing shield concept remains in Equipment</x:v>
      </x:c>
      <x:c r="D18" s="4" t="str">
        <x:v>No duplicate shield item or new defensive weapon added</x:v>
      </x:c>
    </x:row>
    <x:row r="19" ht="60" customHeight="1">
      <x:c r="A19" s="4" t="str">
        <x:v>Traps</x:v>
      </x:c>
      <x:c r="B19" s="4" t="n">
        <x:f>COUNTIFS(Items!$C$6:$C$1005,"Weapons",Items!$D$6:$D$1005,A19)</x:f>
        <x:v>0</x:v>
      </x:c>
      <x:c r="C19" s="4" t="str">
        <x:v>Reserved category; no named trap added</x:v>
      </x:c>
      <x:c r="D19" s="4" t="str">
        <x:v>Targets, trigger, recovery and mechanics deferred</x:v>
      </x:c>
    </x:row>
    <x:row r="20" ht="60" customHeight="1">
      <x:c r="A20" s="4" t="str">
        <x:v>Trip-ups</x:v>
      </x:c>
      <x:c r="B20" s="4" t="n">
        <x:f>COUNTIFS(Items!$C$6:$C$1005,"Weapons",Items!$D$6:$D$1005,A20)</x:f>
        <x:v>1</x:v>
      </x:c>
      <x:c r="C20" s="4" t="str">
        <x:v>Caltrops is the first named candidate</x:v>
      </x:c>
      <x:c r="D20" s="4" t="str">
        <x:v>No damage, recipe, deployment or target compatibility established</x:v>
      </x:c>
    </x:row>
    <x:row r="21" ht="65" customHeight="1">
      <x:c r="A21" s="4" t="str">
        <x:v>Ancient technology materials</x:v>
      </x:c>
      <x:c r="B21" s="4" t="n">
        <x:f>COUNTIFS(Items!$C$6:$C$1005,"Resources",Items!$D$6:$D$1005,"Ancient manufactured material")</x:f>
        <x:v>3</x:v>
      </x:c>
      <x:c r="C21" s="4" t="str">
        <x:v>Carbon composites, nanocarbon materials, plasteels and related futuristic substances</x:v>
      </x:c>
      <x:c r="D21" s="4" t="str">
        <x:v>Extremely rare; source of material does not establish repeatable manufacture</x:v>
      </x:c>
    </x:row>
    <x:row r="22" ht="75" customHeight="1">
      <x:c r="A22" s="4" t="str">
        <x:v>Fashion, hats and eyewear</x:v>
      </x:c>
      <x:c r="B22" s="4" t="n">
        <x:f>COUNTIF(Items!$D$6:$D$1005,"Specialist eyewear")+COUNTIF(Items!$D$6:$D$1005,"Eyewear")+COUNTIF(Items!$D$6:$D$1005,"Headwear")+COUNTIF(Items!$D$6:$D$1005,"Fashion garment")</x:f>
        <x:v>6</x:v>
      </x:c>
      <x:c r="C22" s="4" t="str">
        <x:v>Six families: specialized spectacles, eyeglasses, hats, husk-fiber clothing, fur clothing and hide clothing</x:v>
      </x:c>
      <x:c r="D22" s="4" t="str">
        <x:v>Rare eyewear/hats; very rare expensive fashion. High-value crafting inputs support resource gathering.</x:v>
      </x:c>
    </x:row>
  </x:sheetData>
  <x:pageMargins left="0.7" right="0.7" top="0.75" bottom="0.75" header="0.3" footer="0.3"/>
  <x:tableParts count="1">
    <x:tablePart xmlns:r="http://schemas.openxmlformats.org/officeDocument/2006/relationships" r:id="R9e12393954bf41d5"/>
  </x:tableParts>
</x:worksheet>
</file>

<file path=xl/worksheets/sheet5.xml><?xml version="1.0" encoding="utf-8"?>
<x:worksheet xmlns:x="http://schemas.openxmlformats.org/spreadsheetml/2006/main">
  <x:sheetPr>
    <x:tabColor rgb="FF9D958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125" hidden="0" customWidth="1"/>
  </x:cols>
  <x:sheetData>
    <x:row r="1">
      <x:c r="A1" s="1"/>
      <x:c r="B1" s="1"/>
    </x:row>
    <x:row r="2">
      <x:c r="A2" s="2" t="str">
        <x:v>Using the item database</x:v>
      </x:c>
      <x:c r="B2" s="1"/>
    </x:row>
    <x:row r="3">
      <x:c r="A3" s="1"/>
      <x:c r="B3" s="1"/>
    </x:row>
    <x:row r="4">
      <x:c r="A4" s="1"/>
      <x:c r="B4" s="1"/>
    </x:row>
    <x:row r="5" ht="32" customHeight="1">
      <x:c r="A5" s="8" t="str">
        <x:v>Topic</x:v>
      </x:c>
      <x:c r="B5" s="8" t="str">
        <x:v>Guidance</x:v>
      </x:c>
    </x:row>
    <x:row r="6" ht="38" customHeight="1">
      <x:c r="A6" s="9" t="str">
        <x:v>Purpose</x:v>
      </x:c>
      <x:c r="B6" s="9" t="str">
        <x:v>Initial item database for the designer and future brainstorming; snapshot October 14, 2026.</x:v>
      </x:c>
    </x:row>
    <x:row r="7" ht="38" customHeight="1">
      <x:c r="A7" s="4" t="str">
        <x:v>Authority</x:v>
      </x:c>
      <x:c r="B7" s="4" t="str">
        <x:v>Design register only. Editing this workbook does not change Unity assets or approve canon.</x:v>
      </x:c>
    </x:row>
    <x:row r="8" ht="38" customHeight="1">
      <x:c r="A8" s="9" t="str">
        <x:v>Items</x:v>
      </x:c>
      <x:c r="B8" s="9" t="str">
        <x:v>126 design entries: 18 existing item IDs and 108 design concepts. Six rare eyewear/headwear/fashion families added; prices, quantities, crafting times and effects remain undecided.</x:v>
      </x:c>
    </x:row>
    <x:row r="9" ht="38" customHeight="1">
      <x:c r="A9" s="4" t="str">
        <x:v>Variants</x:v>
      </x:c>
      <x:c r="B9" s="4" t="str">
        <x:v>All 20 definitions retained. Dust canister and popup camp each have shared/trial variants.</x:v>
      </x:c>
    </x:row>
    <x:row r="10" ht="38" customHeight="1">
      <x:c r="A10" s="9" t="str">
        <x:v>Chosen values</x:v>
      </x:c>
      <x:c r="B10" s="9" t="str">
        <x:v>Items uses the Camp Loop override where available. Variants retains shared-production values.</x:v>
      </x:c>
    </x:row>
    <x:row r="11" ht="38" customHeight="1">
      <x:c r="A11" s="4" t="str">
        <x:v>Scope</x:v>
      </x:c>
      <x:c r="B11" s="4" t="str">
        <x:v>Shared catalog has four entries. Additional definitions are private Camp Loop trials, not proof of production availability.</x:v>
      </x:c>
    </x:row>
    <x:row r="12" ht="38" customHeight="1">
      <x:c r="A12" s="9" t="str">
        <x:v>Numbers</x:v>
      </x:c>
      <x:c r="B12" s="9" t="str">
        <x:v>Mass is the authored game mass value; no physical unit is asserted. Stack and mass are prototype values, not final balance.</x:v>
      </x:c>
    </x:row>
    <x:row r="13" ht="38" customHeight="1">
      <x:c r="A13" s="4" t="str">
        <x:v>Blank fields</x:v>
      </x:c>
      <x:c r="B13" s="4" t="str">
        <x:v>Blank rarity, trade value, damage, protection and durability mean undecided/not authored, never zero.</x:v>
      </x:c>
    </x:row>
    <x:row r="14" ht="38" customHeight="1">
      <x:c r="A14" s="9" t="str">
        <x:v>Effects</x:v>
      </x:c>
      <x:c r="B14" s="9" t="str">
        <x:v>Ownership/presentation does not establish grapple movement, jacket protection or tool combat.</x:v>
      </x:c>
    </x:row>
    <x:row r="15" ht="38" customHeight="1">
      <x:c r="A15" s="4" t="str">
        <x:v>Dust naming</x:v>
      </x:c>
      <x:c r="B15" s="4" t="str">
        <x:v>Airborne Dust/Arc Dust in the charging loop is distinct from the Mineral Dust sorting product.</x:v>
      </x:c>
    </x:row>
    <x:row r="16" ht="38" customHeight="1">
      <x:c r="A16" s="9" t="str">
        <x:v>Algae</x:v>
      </x:c>
      <x:c r="B16" s="9" t="str">
        <x:v>Algae remains the survival backbone. Some fauna is edible but poorly nutritious; this does not make other fauna/parts edible or establish an alternate hydration supply.</x:v>
      </x:c>
    </x:row>
    <x:row r="17" ht="38" customHeight="1">
      <x:c r="A17" s="4" t="str">
        <x:v>World concepts</x:v>
      </x:c>
      <x:c r="B17" s="4" t="str">
        <x:v>Scrap, iron and biological resources are broad canonical concepts. Specific entries await design.</x:v>
      </x:c>
    </x:row>
    <x:row r="18" ht="38" customHeight="1">
      <x:c r="A18" s="9" t="str">
        <x:v>Storage</x:v>
      </x:c>
      <x:c r="B18" s="9" t="str">
        <x:v>Booter carries equipment/supplies, never resources. Physical cargo/cache access and owner policy still apply.</x:v>
      </x:c>
    </x:row>
    <x:row r="19" ht="38" customHeight="1">
      <x:c r="A19" s="4" t="str">
        <x:v>Recipes</x:v>
      </x:c>
      <x:c r="B19" s="4" t="str">
        <x:v>One row per input/output. Charging is runtime behavior; its reference key is workbook-only. No new recipe is proposed.</x:v>
      </x:c>
    </x:row>
    <x:row r="20" ht="38" customHeight="1">
      <x:c r="A20" s="9" t="str">
        <x:v>Sources</x:v>
      </x:c>
      <x:c r="B20" s="9" t="str">
        <x:v>Repository-relative source paths sit beside input rows after a blank spacer. Variants is the raw definition inventory.</x:v>
      </x:c>
    </x:row>
    <x:row r="21" ht="38" customHeight="1">
      <x:c r="A21" s="4" t="str">
        <x:v>Later ideas</x:v>
      </x:c>
      <x:c r="B21" s="4" t="str">
        <x:v>Add proposed rows with unique proposal.* IDs and scope New proposal. Preserve existing runtime IDs.</x:v>
      </x:c>
    </x:row>
    <x:row r="22" ht="38" customHeight="1">
      <x:c r="A22" s="9" t="str">
        <x:v>Updating</x:v>
      </x:c>
      <x:c r="B22" s="9" t="str">
        <x:v>Edit the workbook as the design register; recheck source assets before claiming an implementation change. No automatic Unity synchronization.</x:v>
      </x:c>
    </x:row>
    <x:row r="23" ht="38" customHeight="1">
      <x:c r="A23" s="4" t="str">
        <x:v>World identity</x:v>
      </x:c>
      <x:c r="B23" s="4" t="str">
        <x:v>Documentation only: no changes to world IDs, fixed resident terrain, generated-object identity or saved deltas.</x:v>
      </x:c>
    </x:row>
    <x:row r="24" ht="38" customHeight="1">
      <x:c r="A24" s="9" t="str">
        <x:v>External lore</x:v>
      </x:c>
      <x:c r="B24" s="9" t="str">
        <x:v>Read-only source access restored October 14: github.com/sleepyseamonster/Arc-Dust, master at f6f98515. No external item roster imported.</x:v>
      </x:c>
    </x:row>
    <x:row r="25" ht="38" customHeight="1">
      <x:c r="A25" s="4" t="str">
        <x:v>Source boundary</x:v>
      </x:c>
      <x:c r="B25" s="4" t="str">
        <x:v>Active Assets/_Project and local game design/canon reviewed. Frozen engine/Unreal/historical Unity catalogs are excluded.</x:v>
      </x:c>
    </x:row>
    <x:row r="26" ht="52" customHeight="1">
      <x:c r="A26" s="3" t="str">
        <x:v>Design scope</x:v>
      </x:c>
      <x:c r="B26" s="3" t="str">
        <x:v>User direction includes carried magnets/grounding gear, hybrid fauna, and requested charcoal, copper, tungsten, magnesium, hematite and sulfur materials. Specific species, geology and processing remain proposals.</x:v>
      </x:c>
    </x:row>
    <x:row r="27" ht="52" customHeight="1">
      <x:c r="A27" s="3" t="str">
        <x:v>Proposal IDs</x:v>
      </x:c>
      <x:c r="B27" s="3" t="str">
        <x:v>proposal.* keys exist only in this workbook. They are not Unity IDs and do not reserve new equipment slots.</x:v>
      </x:c>
    </x:row>
    <x:row r="28" ht="52" customHeight="1">
      <x:c r="A28" s="3" t="str">
        <x:v>Resource chains</x:v>
      </x:c>
      <x:c r="B28" s="3" t="str">
        <x:v>Qualitative relationships only: no quantities, chemistry recipes or balance values are approved.</x:v>
      </x:c>
    </x:row>
    <x:row r="29" ht="52" customHeight="1">
      <x:c r="A29" s="3" t="str">
        <x:v>Fauna ecology</x:v>
      </x:c>
      <x:c r="B29" s="3" t="str">
        <x:v>No plant food chain assumed. Metabolism, primary energy and reproduction need a later ecology decision.</x:v>
      </x:c>
    </x:row>
    <x:row r="30" ht="52" customHeight="1">
      <x:c r="A30" s="3" t="str">
        <x:v>Electrical design</x:v>
      </x:c>
      <x:c r="B30" s="3" t="str">
        <x:v>Static discharge and electrical-storm danger need distinct game rules. Proposed gear does not imply real lightning protection.</x:v>
      </x:c>
    </x:row>
    <x:row r="31" ht="58" customHeight="1">
      <x:c r="A31" s="4" t="str">
        <x:v>Mineral naming</x:v>
      </x:c>
      <x:c r="B31" s="4" t="str">
        <x:v>Copper-rich stone, sorted copper ore and unworked copper are provisional stages. Copper and tungsten were interpreted as separate requested resources.</x:v>
      </x:c>
    </x:row>
    <x:row r="32" ht="58" customHeight="1">
      <x:c r="A32" s="4" t="str">
        <x:v>Raw magnesium</x:v>
      </x:c>
      <x:c r="B32" s="4" t="str">
        <x:v>Magnesium-bearing rock is separate from unworked manufactured magnesium metal; native metal deposits are not assumed.</x:v>
      </x:c>
    </x:row>
    <x:row r="33" ht="58" customHeight="1">
      <x:c r="A33" s="4" t="str">
        <x:v>Charcoal source</x:v>
      </x:c>
      <x:c r="B33" s="4" t="str">
        <x:v>Charcoal is a processed carbon material. Biological offcuts or recovered fuel are options; no wood or living plants added to the world.</x:v>
      </x:c>
    </x:row>
    <x:row r="34" ht="58" customHeight="1">
      <x:c r="A34" s="4" t="str">
        <x:v>Regional evidence</x:v>
      </x:c>
      <x:c r="B34" s="4" t="str">
        <x:v>NPS/USGS URLs support reference geology/history only. Game deposits, locations, yields and uses remain unimplemented; hematite locality was not verified.</x:v>
      </x:c>
    </x:row>
    <x:row r="35" ht="58" customHeight="1">
      <x:c r="A35" s="4" t="str">
        <x:v>Generic iron alias</x:v>
      </x:c>
      <x:c r="B35" s="4" t="str">
        <x:v>Unprocessed iron-rich stones maps to the existing Ironstone Ore candidate. Specific hematite/magnetite distinctions remain open rather than creating another duplicate generic item.</x:v>
      </x:c>
    </x:row>
    <x:row r="36" ht="60" customHeight="1">
      <x:c r="A36" s="4" t="str">
        <x:v>No cloth</x:v>
      </x:c>
      <x:c r="B36" s="4" t="str">
        <x:v>No cloth of any kind. Pressed textile/material processing does not establish cloth items or an easy fabric economy.</x:v>
      </x:c>
    </x:row>
    <x:row r="37" ht="60" customHeight="1">
      <x:c r="A37" s="4" t="str">
        <x:v>Husk fibers and paper</x:v>
      </x:c>
      <x:c r="B37" s="4" t="str">
        <x:v>Shell husks supply abundant chitin/icore fibers. Scraped husk fibers supply the main paper. Textile processing/pressing is very difficult.</x:v>
      </x:c>
    </x:row>
    <x:row r="38" ht="60" customHeight="1">
      <x:c r="A38" s="4" t="str">
        <x:v>Hide and fur yield</x:v>
      </x:c>
      <x:c r="B38" s="4" t="str">
        <x:v>Extremely low usable yield from hide/fur processing. No numeric ratio, easy liner production or finished garment recipe approved.</x:v>
      </x:c>
    </x:row>
    <x:row r="39" ht="60" customHeight="1">
      <x:c r="A39" s="4" t="str">
        <x:v>Icore</x:v>
      </x:c>
      <x:c r="B39" s="4" t="str">
        <x:v>Author spelling preserved exactly. Composition and differences from chitin remain undefined.</x:v>
      </x:c>
    </x:row>
    <x:row r="40" ht="60" customHeight="1">
      <x:c r="A40" s="4" t="str">
        <x:v>Prior garment proposals</x:v>
      </x:c>
      <x:c r="B40" s="4" t="str">
        <x:v>The previous felted underfur liner is now a candidate pressed fur material requiring reassessment. Cloak/shade prototype appearance does not establish cloth composition.</x:v>
      </x:c>
    </x:row>
    <x:row r="41" ht="60" customHeight="1">
      <x:c r="A41" s="4" t="str">
        <x:v>Fauna edibility</x:v>
      </x:c>
      <x:c r="B41" s="4" t="str">
        <x:v>Some fauna can be eaten but is not nutritious. No universal meat resource, edible species list or preparation method is established.</x:v>
      </x:c>
    </x:row>
    <x:row r="42" ht="60" customHeight="1">
      <x:c r="A42" s="4" t="str">
        <x:v>Fauna anatomy</x:v>
      </x:c>
      <x:c r="B42" s="4" t="str">
        <x:v>Most fauna lacks flesh in the traditional sense. Earlier mammalian fat/muscle assumptions await source review.</x:v>
      </x:c>
    </x:row>
    <x:row r="43" ht="60" customHeight="1">
      <x:c r="A43" s="4" t="str">
        <x:v>Chemical materials</x:v>
      </x:c>
      <x:c r="B43" s="4" t="str">
        <x:v>Most internal fauna chemistry is toxic to humans; chemicals and liquids can nevertheless be material resources. Specific properties and processing remain undefined.</x:v>
      </x:c>
    </x:row>
    <x:row r="44" ht="60" customHeight="1">
      <x:c r="A44" s="4" t="str">
        <x:v>Liquid rule clarification</x:v>
      </x:c>
      <x:c r="B44" s="4" t="str">
        <x:v>Extracted faunal liquids can be materials. This supersedes earlier blanket doubts about out-of-body liquids while preserving no natural free water.</x:v>
      </x:c>
    </x:row>
    <x:row r="45" ht="60" customHeight="1">
      <x:c r="A45" s="4" t="str">
        <x:v>Burden Beasts reference</x:v>
      </x:c>
      <x:c r="B45" s="4" t="str">
        <x:v>The author corrected the anatomy reference to Burden Beasts. Authenticated source Git access restored October 14 at f6f98515. Related fauna records are proposals; exact Burden Beasts owning record not identified.</x:v>
      </x:c>
    </x:row>
    <x:row r="46" ht="65" customHeight="1">
      <x:c r="A46" s="4" t="str">
        <x:v>Source reconnection</x:v>
      </x:c>
      <x:c r="B46" s="4" t="str">
        <x:v>Read-only Git access verified to sleepyseamonster/Arc-Dust, master at f6f98515c005dc3c73cccd9cbc031691745740c6. No source content was edited.</x:v>
      </x:c>
    </x:row>
    <x:row r="47" ht="65" customHeight="1">
      <x:c r="A47" s="4" t="str">
        <x:v>Source reconciliation</x:v>
      </x:c>
      <x:c r="B47" s="4" t="str">
        <x:v>Native biology, domestic burden beetle and chitin/Phagia material records are proposals. Their woven textile assumptions conflict with newer game no-cloth direction. No source species or recipes adopted.</x:v>
      </x:c>
    </x:row>
    <x:row r="48" ht="65" customHeight="1">
      <x:c r="A48" s="4" t="str">
        <x:v>Chemical concepts</x:v>
      </x:c>
      <x:c r="B48" s="4" t="str">
        <x:v>Twelve descriptive working labels explore biology, human hazard and possible material use. No new species, chemical identities, numerical effects or recipes are accepted.</x:v>
      </x:c>
    </x:row>
    <x:row r="49" ht="65" customHeight="1">
      <x:c r="A49" s="4" t="str">
        <x:v>Draft versus invention</x:v>
      </x:c>
      <x:c r="B49" s="4" t="str">
        <x:v>Reference column identifies source-draft biology and processing seeds. The Source relationship column states which abilities or uses were invented for this brainstorm.</x:v>
      </x:c>
    </x:row>
    <x:row r="50" ht="65" customHeight="1">
      <x:c r="A50" s="4" t="str">
        <x:v>Useful does not mean edible</x:v>
      </x:c>
      <x:c r="B50" s="4" t="str">
        <x:v>Toxicity, nutrition and industrial usefulness remain separate. No candidate replaces algae or becomes a drink/medicine by default.</x:v>
      </x:c>
    </x:row>
    <x:row r="51" ht="65" customHeight="1">
      <x:c r="A51" s="4" t="str">
        <x:v>Scarce workshop skill</x:v>
      </x:c>
      <x:c r="B51" s="4" t="str">
        <x:v>Husk-fiber processing remains very difficult and hide/fur output extremely low. Enzyme/binder concepts do not create cloth or bypass processing costs.</x:v>
      </x:c>
    </x:row>
    <x:row r="52" ht="65" customHeight="1">
      <x:c r="A52" s="4" t="str">
        <x:v>Contained chemicals</x:v>
      </x:c>
      <x:c r="B52" s="4" t="str">
        <x:v>Liquid candidates require deliberate containment. Native liquid landscapes, real synthesis procedures and harvesting/weapon delivery rules are not introduced.</x:v>
      </x:c>
    </x:row>
    <x:row r="53" ht="70" customHeight="1">
      <x:c r="A53" s="4" t="str">
        <x:v>Container ownership</x:v>
      </x:c>
      <x:c r="B53" s="4" t="str">
        <x:v>Proposed filled vessel = one container instance with one contained payload. Transfer preserves vessel identity, content identity/quantity and ownership; no duplicate empty/full item stacks.</x:v>
      </x:c>
    </x:row>
    <x:row r="54" ht="70" customHeight="1">
      <x:c r="A54" s="4" t="str">
        <x:v>Cargo and packaging</x:v>
      </x:c>
      <x:c r="B54" s="4" t="str">
        <x:v>Gathered ichor and raw chemicals remain Legger/local resources. Boxes, cases and nested vessels grant no extra inventory capacity. All material and contents mass must be counted.</x:v>
      </x:c>
    </x:row>
    <x:row r="55" ht="70" customHeight="1">
      <x:c r="A55" s="4" t="str">
        <x:v>Capacity and compatibility</x:v>
      </x:c>
      <x:c r="B55" s="4" t="str">
        <x:v>Sizes are qualitative. Capacity, seal, liner and material compatibility are undecided per vessel/content pair. Glass is not assumed universally acid-proof or electrically insulating.</x:v>
      </x:c>
    </x:row>
    <x:row r="56" ht="70" customHeight="1">
      <x:c r="A56" s="4" t="str">
        <x:v>No cloth packing</x:v>
      </x:c>
      <x:c r="B56" s="4" t="str">
        <x:v>No cork, wood crates or cloth padding assumed. Proposed outer protection uses shell cages, metal partitions and shaped mineral supports.</x:v>
      </x:c>
    </x:row>
    <x:row r="57" ht="70" customHeight="1">
      <x:c r="A57" s="4" t="str">
        <x:v>Workshop and reuse</x:v>
      </x:c>
      <x:c r="B57" s="4" t="str">
        <x:v>Glassworks is a stationary craft/trade source proposal, not an inventory item or Legger platform. Returning empty vessels and workshop reconditioning could form a useful loop; methods/costs remain open.</x:v>
      </x:c>
    </x:row>
    <x:row r="58" ht="70" customHeight="1">
      <x:c r="A58" s="4" t="str">
        <x:v>Container costs</x:v>
      </x:c>
      <x:c r="B58" s="4" t="str">
        <x:v>No random breakage, leakage penalties, item durability chores or mandatory nested packing are introduced. Protective forms describe design options, not implemented mechanics.</x:v>
      </x:c>
    </x:row>
    <x:row r="59" ht="70" customHeight="1">
      <x:c r="A59" s="4" t="str">
        <x:v>World and save boundary</x:v>
      </x:c>
      <x:c r="B59" s="4" t="str">
        <x:v>Documentation only. No terrain, spawn, streaming or persistence changes. Future container ownership needs stable instances and versioned payloads; prototype canister code does not implement these new vessels.</x:v>
      </x:c>
    </x:row>
    <x:row r="60" ht="70" customHeight="1">
      <x:c r="A60" s="4" t="str">
        <x:v>Armor families</x:v>
      </x:c>
      <x:c r="B60" s="4" t="str">
        <x:v>User direction: chainmail shirts, crude-to-elaborate metal armor, chest armor, helmets, leg armor, boots, gloves, backpacks, specialized plates and shields.</x:v>
      </x:c>
    </x:row>
    <x:row r="61" ht="70" customHeight="1">
      <x:c r="A61" s="4" t="str">
        <x:v>Construction variants</x:v>
      </x:c>
      <x:c r="B61" s="4" t="str">
        <x:v>Crude, serviceable and elaborate are descriptive design bands, not rarity or numerical power tiers. Fit, articulation, replaceability and craft detail can differ.</x:v>
      </x:c>
    </x:row>
    <x:row r="62" ht="70" customHeight="1">
      <x:c r="A62" s="4" t="str">
        <x:v>Loadout extension</x:v>
      </x:c>
      <x:c r="B62" s="4" t="str">
        <x:v>The six current trial slots remain dust/algae canister, grapple, digging tool, cloak and jacket. New worn regions, layering and held-shield ownership need their own approved implementation.</x:v>
      </x:c>
    </x:row>
    <x:row r="63" ht="70" customHeight="1">
      <x:c r="A63" s="4" t="str">
        <x:v>Armor materials</x:v>
      </x:c>
      <x:c r="B63" s="4" t="str">
        <x:v>No cloth, cork, plant fiber, common leather or rubber assumed. Scarce hide/fur and difficult pressed husk materials remain possible only under established processing constraints.</x:v>
      </x:c>
    </x:row>
    <x:row r="64" ht="70" customHeight="1">
      <x:c r="A64" s="4" t="str">
        <x:v>Backpack policy</x:v>
      </x:c>
      <x:c r="B64" s="4" t="str">
        <x:v>A backpack concept does not permit Booter to carry raw resources. Supply capacity, spare equipment, harness, cloak/canister clearance and ground-kit placement remain unresolved.</x:v>
      </x:c>
    </x:row>
    <x:row r="65" ht="70" customHeight="1">
      <x:c r="A65" s="4" t="str">
        <x:v>Assembly ownership</x:v>
      </x:c>
      <x:c r="B65" s="4" t="str">
        <x:v>The assembled armor entry is a grouping candidate until set-versus-piece ownership is designed. Do not duplicate plates between a set, a module and separately equipped pieces.</x:v>
      </x:c>
    </x:row>
    <x:row r="66" ht="70" customHeight="1">
      <x:c r="A66" s="4" t="str">
        <x:v>Armor effects</x:v>
      </x:c>
      <x:c r="B66" s="4" t="str">
        <x:v>Damage mitigation, mass, durability, movement, electrical behavior, chemical protection and trade values are undecided. Visual metal or elaborate craft alone grants no implemented effect.</x:v>
      </x:c>
    </x:row>
    <x:row r="67" ht="70" customHeight="1">
      <x:c r="A67" s="4" t="str">
        <x:v>Specialized weapon direction</x:v>
      </x:c>
      <x:c r="B67" s="4" t="str">
        <x:v>Reserve offensive weapons, defensive weapons, traps and trip-ups. Caltrops is the first named candidate. Detailed weapon brainstorming is deferred at the author's request.</x:v>
      </x:c>
    </x:row>
    <x:row r="68" ht="70" customHeight="1">
      <x:c r="A68" s="4" t="str">
        <x:v>Weapon taxonomy</x:v>
      </x:c>
      <x:c r="B68" s="4" t="str">
        <x:v>Weapon lanes describe intended purpose, not new equipment slots or combat systems. Caltrops is provisionally under Trip-ups; future overlap with traps can be settled later. Existing shield equipment is not duplicated.</x:v>
      </x:c>
    </x:row>
    <x:row r="69" ht="65" customHeight="1">
      <x:c r="A69" s="4" t="str">
        <x:v>Ancient materials</x:v>
      </x:c>
      <x:c r="B69" s="4" t="str">
        <x:v>Extremely rare manufactured materials analogous to carbon-fiber composites, nanocarbons, plasteels and similar futuristic substances. Three named family entries; other futuristic types remain undefined.</x:v>
      </x:c>
    </x:row>
    <x:row r="70" ht="65" customHeight="1">
      <x:c r="A70" s="4" t="str">
        <x:v>Scarcity and manufacture</x:v>
      </x:c>
      <x:c r="B70" s="4" t="str">
        <x:v>Rarity is explicit author direction. No drop rate, quantity, price or ordinary production recipe is assigned. Recovery does not grant manufacturing capability.</x:v>
      </x:c>
    </x:row>
    <x:row r="71" ht="65" customHeight="1">
      <x:c r="A71" s="4" t="str">
        <x:v>Material distinctions</x:v>
      </x:c>
      <x:c r="B71" s="4" t="str">
        <x:v>Ordinary graphite/charcoal does not become ancient nanocarbon through an assumed recipe. Plasteel is not an ordinary raw metal. Advanced fibers do not establish a cloth exception.</x:v>
      </x:c>
    </x:row>
    <x:row r="72" ht="70" customHeight="1">
      <x:c r="A72" s="4" t="str">
        <x:v>Clothing without cloth</x:v>
      </x:c>
      <x:c r="B72" s="4" t="str">
        <x:v>Clothing can be made from husk fibers, animal fur, hides and related processed materials. No-cloth does not mean no clothing.</x:v>
      </x:c>
    </x:row>
    <x:row r="73" ht="70" customHeight="1">
      <x:c r="A73" s="4" t="str">
        <x:v>Fashion scarcity</x:v>
      </x:c>
      <x:c r="B73" s="4" t="str">
        <x:v>Fashion items are very rare and expensive because production consumes very large quantities of material and very large amounts of time; hide/fur conversion remains extremely low yield.</x:v>
      </x:c>
    </x:row>
    <x:row r="74" ht="70" customHeight="1">
      <x:c r="A74" s="4" t="str">
        <x:v>Eyewear and hats</x:v>
      </x:c>
      <x:c r="B74" s="4" t="str">
        <x:v>Specialized spectacles, eyeglasses and hats are rare. Exact optical purposes, lens/frame materials, forms, fit and effects remain unresolved.</x:v>
      </x:c>
    </x:row>
    <x:row r="75" ht="70" customHeight="1">
      <x:c r="A75" s="4" t="str">
        <x:v>Fashion input economy</x:v>
      </x:c>
      <x:c r="B75" s="4" t="str">
        <x:v>All inputs used in this expensive fashion economy have high sale-value intent. Seven directly relevant fiber/fur/hide material entries carry that note; membership for other inputs awaits recipes.</x:v>
      </x:c>
    </x:row>
    <x:row r="76" ht="70" customHeight="1">
      <x:c r="A76" s="4" t="str">
        <x:v>Abundance and value</x:v>
      </x:c>
      <x:c r="B76" s="4" t="str">
        <x:v>Abundant raw husk fiber is compatible with costly fashion production: total input demand, processing loss and skilled labor are separate design factors. Numerical ratios/prices remain open.</x:v>
      </x:c>
    </x:row>
    <x:row r="77" ht="70" customHeight="1">
      <x:c r="A77" s="4" t="str">
        <x:v>Utility versus fashion</x:v>
      </x:c>
      <x:c r="B77" s="4" t="str">
        <x:v>Existing starter cloak/jacket, functional armor and containers are not automatically reclassified as luxury fashion. Fashion variants can be defined later.</x:v>
      </x:c>
    </x:row>
  </x:sheetData>
  <x:pageMargins left="0.7" right="0.7" top="0.75" bottom="0.75" header="0.3" footer="0.3"/>
  <x:tableParts count="1">
    <x:tablePart xmlns:r="http://schemas.openxmlformats.org/officeDocument/2006/relationships" r:id="R8e03c748b38b4210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6" hidden="0" customWidth="1"/>
    <x:col min="2" max="2" width="38" hidden="0" customWidth="1"/>
    <x:col min="3" max="3" width="52" hidden="0" customWidth="1"/>
    <x:col min="4" max="4" width="52" hidden="0" customWidth="1"/>
    <x:col min="5" max="5" width="40" hidden="0" customWidth="1"/>
    <x:col min="6" max="6" width="70" hidden="0" customWidth="1"/>
    <x:col min="7" max="7" width="20" hidden="0" customWidth="1"/>
    <x:col min="8" max="8" width="6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2" t="str">
        <x:v>Proposed resource processing chains</x:v>
      </x:c>
      <x:c r="B2" s="1"/>
      <x:c r="C2" s="1"/>
      <x:c r="D2" s="1"/>
      <x:c r="E2" s="1"/>
      <x:c r="F2" s="1"/>
      <x:c r="G2" s="1"/>
      <x:c r="H2" s="1"/>
    </x:row>
    <x:row r="3">
      <x:c r="A3" s="1"/>
      <x:c r="B3" s="1"/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 ht="35" customHeight="1">
      <x:c r="A5" s="25" t="str">
        <x:v>Input concept ID</x:v>
      </x:c>
      <x:c r="B5" s="25" t="str">
        <x:v>Output concept ID</x:v>
      </x:c>
      <x:c r="C5" s="25" t="str">
        <x:v>Processing concept</x:v>
      </x:c>
      <x:c r="D5" s="25" t="str">
        <x:v>Potential use</x:v>
      </x:c>
      <x:c r="E5" s="25" t="str">
        <x:v>Work location</x:v>
      </x:c>
      <x:c r="F5" s="25" t="str">
        <x:v>Open constraint</x:v>
      </x:c>
      <x:c r="G5" s="25" t="str">
        <x:v>Status</x:v>
      </x:c>
      <x:c r="H5" s="25" t="str">
        <x:v>Basis</x:v>
      </x:c>
    </x:row>
    <x:row r="6" ht="85" customHeight="1">
      <x:c r="A6" s="4" t="str">
        <x:v>proposal.natural.magnetite</x:v>
      </x:c>
      <x:c r="B6" s="4" t="str">
        <x:v>proposal.natural.iron_feed</x:v>
      </x:c>
      <x:c r="C6" s="4" t="str">
        <x:v>Dry crush and magnetic separation</x:v>
      </x:c>
      <x:c r="D6" s="4" t="str">
        <x:v>Intermediate feed for an eventual furnace</x:v>
      </x:c>
      <x:c r="E6" s="4" t="str">
        <x:v>Stationary camp/settlement processing proposed</x:v>
      </x:c>
      <x:c r="F6" s="4" t="str">
        <x:v>Distinct proposal from existing Iron-rich Concentrate; decide whether to merge them.</x:v>
      </x:c>
      <x:c r="G6" s="4" t="str">
        <x:v>New proposal</x:v>
      </x:c>
      <x:c r="H6" s="4" t="str">
        <x:v>User design direction, October 14, 2026; local brainstorming. New proposal unless explicitly marked User direction.</x:v>
      </x:c>
    </x:row>
    <x:row r="7" ht="85" customHeight="1">
      <x:c r="A7" s="4" t="str">
        <x:v>proposal.natural.iron_feed</x:v>
      </x:c>
      <x:c r="B7" s="4" t="str">
        <x:v>proposal.natural.iron_stock</x:v>
      </x:c>
      <x:c r="C7" s="4" t="str">
        <x:v>Smelt, forge and finish at a stationary facility</x:v>
      </x:c>
      <x:c r="D7" s="4" t="str">
        <x:v>Repair stock, fasteners and structural tool parts</x:v>
      </x:c>
      <x:c r="E7" s="4" t="str">
        <x:v>Stationary camp/settlement processing proposed</x:v>
      </x:c>
      <x:c r="F7" s="4" t="str">
        <x:v>Fuel, furnace, alloy and process choices unresolved; no Legger crafting platform.</x:v>
      </x:c>
      <x:c r="G7" s="4" t="str">
        <x:v>New proposal</x:v>
      </x:c>
      <x:c r="H7" s="4" t="str">
        <x:v>User design direction, October 14, 2026; local brainstorming. New proposal unless explicitly marked User direction.</x:v>
      </x:c>
    </x:row>
    <x:row r="8" ht="85" customHeight="1">
      <x:c r="A8" s="4" t="str">
        <x:v>proposal.natural.silica</x:v>
      </x:c>
      <x:c r="B8" s="4" t="str">
        <x:v>proposal.natural.abrasive</x:v>
      </x:c>
      <x:c r="C8" s="4" t="str">
        <x:v>Dry sieve and grade</x:v>
      </x:c>
      <x:c r="D8" s="4" t="str">
        <x:v>Tool sharpening and surface preparation</x:v>
      </x:c>
      <x:c r="E8" s="4" t="str">
        <x:v>Stationary camp/settlement processing proposed</x:v>
      </x:c>
      <x:c r="F8" s="4" t="str">
        <x:v>Could reuse existing Mineral Sand instead; resolve before implementation.</x:v>
      </x:c>
      <x:c r="G8" s="4" t="str">
        <x:v>New proposal</x:v>
      </x:c>
      <x:c r="H8" s="4" t="str">
        <x:v>User design direction, October 14, 2026; local brainstorming. New proposal unless explicitly marked User direction.</x:v>
      </x:c>
    </x:row>
    <x:row r="9" ht="85" customHeight="1">
      <x:c r="A9" s="4" t="str">
        <x:v>proposal.natural.alumina</x:v>
      </x:c>
      <x:c r="B9" s="4" t="str">
        <x:v>proposal.natural.ceramic</x:v>
      </x:c>
      <x:c r="C9" s="4" t="str">
        <x:v>Dry feed preparation, forming and firing</x:v>
      </x:c>
      <x:c r="D9" s="4" t="str">
        <x:v>Grounding-kit spacers and heat-resistant fixtures</x:v>
      </x:c>
      <x:c r="E9" s="4" t="str">
        <x:v>Stationary camp/settlement processing proposed</x:v>
      </x:c>
      <x:c r="F9" s="4" t="str">
        <x:v>Claystone may be a co-input; forming binder/energy not settled.</x:v>
      </x:c>
      <x:c r="G9" s="4" t="str">
        <x:v>New proposal</x:v>
      </x:c>
      <x:c r="H9" s="4" t="str">
        <x:v>User design direction, October 14, 2026; local brainstorming. New proposal unless explicitly marked User direction.</x:v>
      </x:c>
    </x:row>
    <x:row r="10" ht="85" customHeight="1">
      <x:c r="A10" s="4" t="str">
        <x:v>proposal.natural.carbonate</x:v>
      </x:c>
      <x:c r="B10" s="4" t="str">
        <x:v>proposal.natural.lime</x:v>
      </x:c>
      <x:c r="C10" s="4" t="str">
        <x:v>Heat mineral feed; retain dry product</x:v>
      </x:c>
      <x:c r="D10" s="4" t="str">
        <x:v>Dry composite repair and construction</x:v>
      </x:c>
      <x:c r="E10" s="4" t="str">
        <x:v>Stationary camp/settlement processing proposed</x:v>
      </x:c>
      <x:c r="F10" s="4" t="str">
        <x:v>No conventional water-based cement recipe assumed.</x:v>
      </x:c>
      <x:c r="G10" s="4" t="str">
        <x:v>New proposal</x:v>
      </x:c>
      <x:c r="H10" s="4" t="str">
        <x:v>User design direction, October 14, 2026; local brainstorming. New proposal unless explicitly marked User direction.</x:v>
      </x:c>
    </x:row>
    <x:row r="11" ht="85" customHeight="1">
      <x:c r="A11" s="4" t="str">
        <x:v>proposal.natural.graphite</x:v>
      </x:c>
      <x:c r="B11" s="4" t="str">
        <x:v>proposal.natural.carbon</x:v>
      </x:c>
      <x:c r="C11" s="4" t="str">
        <x:v>Crush and dry grade</x:v>
      </x:c>
      <x:c r="D11" s="4" t="str">
        <x:v>Dry lubricant; conductive composite ingredient</x:v>
      </x:c>
      <x:c r="E11" s="4" t="str">
        <x:v>Stationary camp/settlement processing proposed</x:v>
      </x:c>
      <x:c r="F11" s="4" t="str">
        <x:v>Not a power source; graphite behavior and recipe details remain provisional.</x:v>
      </x:c>
      <x:c r="G11" s="4" t="str">
        <x:v>New proposal</x:v>
      </x:c>
      <x:c r="H11" s="4" t="str">
        <x:v>User design direction, October 14, 2026; local brainstorming. New proposal unless explicitly marked User direction.</x:v>
      </x:c>
    </x:row>
    <x:row r="12" ht="85" customHeight="1">
      <x:c r="A12" s="4" t="str">
        <x:v>proposal.bio.shell</x:v>
      </x:c>
      <x:c r="B12" s="4" t="str">
        <x:v>proposal.bio.laminate</x:v>
      </x:c>
      <x:c r="C12" s="4" t="str">
        <x:v>Trim, layer and bind dry plates</x:v>
      </x:c>
      <x:c r="D12" s="4" t="str">
        <x:v>Light armor panels and impact guards</x:v>
      </x:c>
      <x:c r="E12" s="4" t="str">
        <x:v>Stationary preservation/workbench proposed</x:v>
      </x:c>
      <x:c r="F12" s="4" t="str">
        <x:v>This dry-product route has no approved yield/recipe. Faunal liquids are separately valid material candidates.</x:v>
      </x:c>
      <x:c r="G12" s="4" t="str">
        <x:v>New proposal</x:v>
      </x:c>
      <x:c r="H12" s="4" t="str">
        <x:v>User design direction, October 14, 2026; local brainstorming. New proposal unless explicitly marked User direction.</x:v>
      </x:c>
    </x:row>
    <x:row r="13" ht="85" customHeight="1">
      <x:c r="A13" s="4" t="str">
        <x:v>proposal.bio.tendon</x:v>
      </x:c>
      <x:c r="B13" s="4" t="str">
        <x:v>proposal.bio.cord</x:v>
      </x:c>
      <x:c r="C13" s="4" t="str">
        <x:v>Dry, split, twist and bind</x:v>
      </x:c>
      <x:c r="D13" s="4" t="str">
        <x:v>Tool lashings and field repairs</x:v>
      </x:c>
      <x:c r="E13" s="4" t="str">
        <x:v>Stationary preservation/workbench proposed</x:v>
      </x:c>
      <x:c r="F13" s="4" t="str">
        <x:v>This dry-product route has no approved yield/recipe. Faunal liquids are separately valid material candidates.</x:v>
      </x:c>
      <x:c r="G13" s="4" t="str">
        <x:v>New proposal</x:v>
      </x:c>
      <x:c r="H13" s="4" t="str">
        <x:v>User design direction, October 14, 2026; local brainstorming. New proposal unless explicitly marked User direction.</x:v>
      </x:c>
    </x:row>
    <x:row r="14" ht="85" customHeight="1">
      <x:c r="A14" s="4" t="str">
        <x:v>proposal.bio.bristles</x:v>
      </x:c>
      <x:c r="B14" s="4" t="str">
        <x:v>proposal.bio.brush</x:v>
      </x:c>
      <x:c r="C14" s="4" t="str">
        <x:v>Sort fibers and bind into a backing</x:v>
      </x:c>
      <x:c r="D14" s="4" t="str">
        <x:v>Dust exclusion at joints and equipment closures</x:v>
      </x:c>
      <x:c r="E14" s="4" t="str">
        <x:v>Stationary preservation/workbench proposed</x:v>
      </x:c>
      <x:c r="F14" s="4" t="str">
        <x:v>This dry-product route has no approved yield/recipe. Faunal liquids are separately valid material candidates.</x:v>
      </x:c>
      <x:c r="G14" s="4" t="str">
        <x:v>New proposal</x:v>
      </x:c>
      <x:c r="H14" s="4" t="str">
        <x:v>User design direction, October 14, 2026; local brainstorming. New proposal unless explicitly marked User direction.</x:v>
      </x:c>
    </x:row>
    <x:row r="15" ht="85" customHeight="1">
      <x:c r="A15" s="4" t="str">
        <x:v>proposal.bio.underfur</x:v>
      </x:c>
      <x:c r="B15" s="4" t="str">
        <x:v>proposal.bio.liner</x:v>
      </x:c>
      <x:c r="C15" s="4" t="str">
        <x:v>Process fur into a candidate pressed material</x:v>
      </x:c>
      <x:c r="D15" s="4" t="str">
        <x:v>Scarce usable material; garment application undecided</x:v>
      </x:c>
      <x:c r="E15" s="4" t="str">
        <x:v>Specialist stationary processing proposed</x:v>
      </x:c>
      <x:c r="F15" s="4" t="str">
        <x:v>Extremely low usable yield; no cloth; previous routine liner/felting assumption superseded</x:v>
      </x:c>
      <x:c r="G15" s="4" t="str">
        <x:v>User constraint; product form proposed</x:v>
      </x:c>
      <x:c r="H15" s="4" t="str">
        <x:v>Docs/WORLD_BASIS.md#material-culture; author direction October 14, 2026. Process details and specific product forms remain unimplemented.</x:v>
      </x:c>
    </x:row>
    <x:row r="16" ht="85" customHeight="1">
      <x:c r="A16" s="4" t="str">
        <x:v>proposal.bio.jaw</x:v>
      </x:c>
      <x:c r="B16" s="4" t="str">
        <x:v>proposal.bio.insert</x:v>
      </x:c>
      <x:c r="C16" s="4" t="str">
        <x:v>Cut and grind dense tissue</x:v>
      </x:c>
      <x:c r="D16" s="4" t="str">
        <x:v>Replaceable excavation-tool wear part</x:v>
      </x:c>
      <x:c r="E16" s="4" t="str">
        <x:v>Stationary preservation/workbench proposed</x:v>
      </x:c>
      <x:c r="F16" s="4" t="str">
        <x:v>This dry-product route has no approved yield/recipe. Faunal liquids are separately valid material candidates.</x:v>
      </x:c>
      <x:c r="G16" s="4" t="str">
        <x:v>New proposal</x:v>
      </x:c>
      <x:c r="H16" s="4" t="str">
        <x:v>User design direction, October 14, 2026; local brainstorming. New proposal unless explicitly marked User direction.</x:v>
      </x:c>
    </x:row>
    <x:row r="17" ht="85" customHeight="1">
      <x:c r="A17" s="4" t="str">
        <x:v>proposal.bio.membrane</x:v>
      </x:c>
      <x:c r="B17" s="4" t="str">
        <x:v>proposal.bio.seal</x:v>
      </x:c>
      <x:c r="C17" s="4" t="str">
        <x:v>Dry preserve, cut and laminate</x:v>
      </x:c>
      <x:c r="D17" s="4" t="str">
        <x:v>Flexible equipment repairs</x:v>
      </x:c>
      <x:c r="E17" s="4" t="str">
        <x:v>Stationary preservation/workbench proposed</x:v>
      </x:c>
      <x:c r="F17" s="4" t="str">
        <x:v>This dry-product route has no approved yield/recipe. Faunal liquids are separately valid material candidates.</x:v>
      </x:c>
      <x:c r="G17" s="4" t="str">
        <x:v>New proposal</x:v>
      </x:c>
      <x:c r="H17" s="4" t="str">
        <x:v>User design direction, October 14, 2026; local brainstorming. New proposal unless explicitly marked User direction.</x:v>
      </x:c>
    </x:row>
    <x:row r="18" ht="85" customHeight="1">
      <x:c r="A18" s="4" t="str">
        <x:v>proposal.bio.fat</x:v>
      </x:c>
      <x:c r="B18" s="4" t="str">
        <x:v>proposal.bio.wax</x:v>
      </x:c>
      <x:c r="C18" s="4" t="str">
        <x:v>Unverified conversion; await actual anatomy</x:v>
      </x:c>
      <x:c r="D18" s="4" t="str">
        <x:v>Conditional solid product only</x:v>
      </x:c>
      <x:c r="E18" s="4" t="str">
        <x:v>Processing undefined</x:v>
      </x:c>
      <x:c r="F18" s="4" t="str">
        <x:v>Conventional fat precursor not established; Burden Beasts source must be reviewed</x:v>
      </x:c>
      <x:c r="G18" s="4" t="str">
        <x:v>Needs lore anatomy review</x:v>
      </x:c>
      <x:c r="H18" s="4" t="str">
        <x:v>Docs/WORLD_BASIS.md#faunal-biology-and-material-use; direct author direction October 14, 2026. Related source anatomy proposals now accessible at f6f98515; this item awaits reconciliation; identities and processing remain undefined.</x:v>
      </x:c>
    </x:row>
    <x:row r="19" ht="85" customHeight="1">
      <x:c r="A19" s="4" t="str">
        <x:v>proposal.bio.organ</x:v>
      </x:c>
      <x:c r="B19" s="4" t="str">
        <x:v>proposal.bio.electrode</x:v>
      </x:c>
      <x:c r="C19" s="4" t="str">
        <x:v>Dry preserve and stabilize structure</x:v>
      </x:c>
      <x:c r="D19" s="4" t="str">
        <x:v>Possible charged-battery component research</x:v>
      </x:c>
      <x:c r="E19" s="4" t="str">
        <x:v>Stationary preservation/workbench proposed</x:v>
      </x:c>
      <x:c r="F19" s="4" t="str">
        <x:v>This dry-product route has no approved yield/recipe. Faunal liquids are separately valid material candidates.</x:v>
      </x:c>
      <x:c r="G19" s="4" t="str">
        <x:v>New proposal</x:v>
      </x:c>
      <x:c r="H19" s="4" t="str">
        <x:v>User design direction, October 14, 2026; local brainstorming. New proposal unless explicitly marked User direction.</x:v>
      </x:c>
    </x:row>
    <x:row r="20" ht="85" customHeight="1">
      <x:c r="A20" s="4" t="str">
        <x:v>proposal.natural.mica</x:v>
      </x:c>
      <x:c r="B20" s="4" t="str">
        <x:v>proposal.gear.grounding_kit</x:v>
      </x:c>
      <x:c r="C20" s="4" t="str">
        <x:v>Trim insulating separator</x:v>
      </x:c>
      <x:c r="D20" s="4" t="str">
        <x:v>Separates selected contact surfaces; not the discharge path</x:v>
      </x:c>
      <x:c r="E20" s="4" t="str">
        <x:v>Field fitting proposed</x:v>
      </x:c>
      <x:c r="F20" s="4" t="str">
        <x:v>Kit also needs an authored conductive path and game-valid ground contact</x:v>
      </x:c>
      <x:c r="G20" s="4" t="str">
        <x:v>New proposal</x:v>
      </x:c>
      <x:c r="H20" s="4" t="str">
        <x:v>User design direction, October 14, 2026; local brainstorming. New proposal unless explicitly marked User direction.</x:v>
      </x:c>
    </x:row>
    <x:row r="21" ht="85" customHeight="1">
      <x:c r="A21" s="4" t="str">
        <x:v>proposal.natural.carbon</x:v>
      </x:c>
      <x:c r="B21" s="4" t="str">
        <x:v>proposal.gear.grounding_kit</x:v>
      </x:c>
      <x:c r="C21" s="4" t="str">
        <x:v>Potential conductive composite ingredient</x:v>
      </x:c>
      <x:c r="D21" s="4" t="str">
        <x:v>Charge-control kit component research</x:v>
      </x:c>
      <x:c r="E21" s="4" t="str">
        <x:v>Workbench proposed</x:v>
      </x:c>
      <x:c r="F21" s="4" t="str">
        <x:v>Does not establish a complete working kit or physical safety claim</x:v>
      </x:c>
      <x:c r="G21" s="4" t="str">
        <x:v>New proposal</x:v>
      </x:c>
      <x:c r="H21" s="4" t="str">
        <x:v>User design direction, October 14, 2026; local brainstorming. New proposal unless explicitly marked User direction.</x:v>
      </x:c>
    </x:row>
    <x:row r="22" ht="85" customHeight="1">
      <x:c r="A22" s="4" t="str">
        <x:v>proposal.natural.copper_stone</x:v>
      </x:c>
      <x:c r="B22" s="4" t="str">
        <x:v>proposal.natural.copper_ore</x:v>
      </x:c>
      <x:c r="C22" s="4" t="str">
        <x:v>Dry sort / concentrate; method to design</x:v>
      </x:c>
      <x:c r="D22" s="4" t="str">
        <x:v>Higher-grade copper feed</x:v>
      </x:c>
      <x:c r="E22" s="4" t="str">
        <x:v>Stationary processing proposed</x:v>
      </x:c>
      <x:c r="F22" s="4" t="str">
        <x:v>Optional extra stage; merge these entries if sorting is busywork</x:v>
      </x:c>
      <x:c r="G22" s="4" t="str">
        <x:v>New proposal</x:v>
      </x:c>
      <x:c r="H22" s="4" t="str">
        <x:v>https://www.nps.gov/deva/learn/nature/mining-in-death-valley.htm</x:v>
      </x:c>
    </x:row>
    <x:row r="23" ht="85" customHeight="1">
      <x:c r="A23" s="4" t="str">
        <x:v>proposal.natural.copper_ore</x:v>
      </x:c>
      <x:c r="B23" s="4" t="str">
        <x:v>proposal.natural.raw_copper</x:v>
      </x:c>
      <x:c r="C23" s="4" t="str">
        <x:v>Refine; process and energy unresolved</x:v>
      </x:c>
      <x:c r="D23" s="4" t="str">
        <x:v>Unworked copper for manufacturing</x:v>
      </x:c>
      <x:c r="E23" s="4" t="str">
        <x:v>Stationary specialist facility proposed</x:v>
      </x:c>
      <x:c r="F23" s="4" t="str">
        <x:v>No direct conversion rate or field-smelting recipe approved</x:v>
      </x:c>
      <x:c r="G23" s="4" t="str">
        <x:v>New proposal</x:v>
      </x:c>
      <x:c r="H23" s="4" t="str">
        <x:v>https://www.nps.gov/deva/learn/nature/mining-in-death-valley.htm</x:v>
      </x:c>
    </x:row>
    <x:row r="24" ht="85" customHeight="1">
      <x:c r="A24" s="4" t="str">
        <x:v>proposal.natural.magnesium_rock</x:v>
      </x:c>
      <x:c r="B24" s="4" t="str">
        <x:v>proposal.natural.raw_magnesium</x:v>
      </x:c>
      <x:c r="C24" s="4" t="str">
        <x:v>Specialist extraction; method unresolved</x:v>
      </x:c>
      <x:c r="D24" s="4" t="str">
        <x:v>Unworked metal for alloy research</x:v>
      </x:c>
      <x:c r="E24" s="4" t="str">
        <x:v>Settlement-scale facility or salvage proposed</x:v>
      </x:c>
      <x:c r="F24" s="4" t="str">
        <x:v>Mineral occurrence does not establish native magnesium metal</x:v>
      </x:c>
      <x:c r="G24" s="4" t="str">
        <x:v>New proposal</x:v>
      </x:c>
      <x:c r="H24" s="4" t="str">
        <x:v>https://pubs.usgs.gov/publication/70018701</x:v>
      </x:c>
    </x:row>
    <x:row r="25" ht="85" customHeight="1">
      <x:c r="A25" s="4" t="str">
        <x:v>proposal.natural.hematite</x:v>
      </x:c>
      <x:c r="B25" s="4" t="str">
        <x:v>proposal.natural.iron_feed</x:v>
      </x:c>
      <x:c r="C25" s="4" t="str">
        <x:v>Sort and prepare iron-bearing feed</x:v>
      </x:c>
      <x:c r="D25" s="4" t="str">
        <x:v>Common iron-refining intermediate candidate</x:v>
      </x:c>
      <x:c r="E25" s="4" t="str">
        <x:v>Stationary processing proposed</x:v>
      </x:c>
      <x:c r="F25" s="4" t="str">
        <x:v>Hematite game entry user-requested; local occurrence not verified here</x:v>
      </x:c>
      <x:c r="G25" s="4" t="str">
        <x:v>New proposal</x:v>
      </x:c>
      <x:c r="H25" s="4" t="str">
        <x:v>User direction, October 14, 2026</x:v>
      </x:c>
    </x:row>
    <x:row r="26" ht="85" customHeight="1">
      <x:c r="A26" s="4" t="str">
        <x:v>proposal.bio.tendon</x:v>
      </x:c>
      <x:c r="B26" s="4" t="str">
        <x:v>proposal.natural.charcoal</x:v>
      </x:c>
      <x:c r="C26" s="4" t="str">
        <x:v>Possible carbonization of dried biological offcuts</x:v>
      </x:c>
      <x:c r="D26" s="4" t="str">
        <x:v>Fuel from non-wood biological material</x:v>
      </x:c>
      <x:c r="E26" s="4" t="str">
        <x:v>Stationary retort proposed</x:v>
      </x:c>
      <x:c r="F26" s="4" t="str">
        <x:v>Illustrative pathway only; consumes valuable biomass; source/yield and ecology unapproved</x:v>
      </x:c>
      <x:c r="G26" s="4" t="str">
        <x:v>New proposal</x:v>
      </x:c>
      <x:c r="H26" s="4" t="str">
        <x:v>https://www.nps.gov/deva/learn/historyculture/charcoalkilns.htm; game feedstock is a new proposal</x:v>
      </x:c>
    </x:row>
    <x:row r="27" ht="85" customHeight="1">
      <x:c r="A27" s="4" t="str">
        <x:v>proposal.natural.raw_copper</x:v>
      </x:c>
      <x:c r="B27" s="4" t="str">
        <x:v>proposal.gear.grounding_kit</x:v>
      </x:c>
      <x:c r="C27" s="4" t="str">
        <x:v>Manufacture conductive parts; kit design unresolved</x:v>
      </x:c>
      <x:c r="D27" s="4" t="str">
        <x:v>Charge-management gear</x:v>
      </x:c>
      <x:c r="E27" s="4" t="str">
        <x:v>Workbench proposed</x:v>
      </x:c>
      <x:c r="F27" s="4" t="str">
        <x:v>Material link only; not a complete electrical design</x:v>
      </x:c>
      <x:c r="G27" s="4" t="str">
        <x:v>New proposal</x:v>
      </x:c>
      <x:c r="H27" s="4" t="str">
        <x:v>User direction; proposed crafting relationship</x:v>
      </x:c>
    </x:row>
    <x:row r="28" ht="90" customHeight="1">
      <x:c r="A28" s="4" t="str">
        <x:v>proposal.bio.shell</x:v>
      </x:c>
      <x:c r="B28" s="4" t="str">
        <x:v>proposal.bio.chitin_fibers</x:v>
      </x:c>
      <x:c r="C28" s="4" t="str">
        <x:v>Scrape fibers from shell husks</x:v>
      </x:c>
      <x:c r="D28" s="4" t="str">
        <x:v>Abundant raw chitin fiber feed</x:v>
      </x:c>
      <x:c r="E28" s="4" t="str">
        <x:v>Work location not yet defined</x:v>
      </x:c>
      <x:c r="F28" s="4" t="str">
        <x:v>Scraping rate, tools and actual collectible yield unapproved</x:v>
      </x:c>
      <x:c r="G28" s="4" t="str">
        <x:v>User direction; not implemented</x:v>
      </x:c>
      <x:c r="H28" s="4" t="str">
        <x:v>Docs/WORLD_BASIS.md#material-culture; author direction October 14, 2026. Process details and specific product forms remain unimplemented.</x:v>
      </x:c>
    </x:row>
    <x:row r="29" ht="90" customHeight="1">
      <x:c r="A29" s="4" t="str">
        <x:v>proposal.bio.shell</x:v>
      </x:c>
      <x:c r="B29" s="4" t="str">
        <x:v>proposal.bio.icore_fibers</x:v>
      </x:c>
      <x:c r="C29" s="4" t="str">
        <x:v>Scrape fibers from shell husks</x:v>
      </x:c>
      <x:c r="D29" s="4" t="str">
        <x:v>Abundant raw icore fiber feed</x:v>
      </x:c>
      <x:c r="E29" s="4" t="str">
        <x:v>Work location not yet defined</x:v>
      </x:c>
      <x:c r="F29" s="4" t="str">
        <x:v>Icore composition undefined; no invented special properties</x:v>
      </x:c>
      <x:c r="G29" s="4" t="str">
        <x:v>User direction; not implemented</x:v>
      </x:c>
      <x:c r="H29" s="4" t="str">
        <x:v>Docs/WORLD_BASIS.md#material-culture; author direction October 14, 2026. Process details and specific product forms remain unimplemented.</x:v>
      </x:c>
    </x:row>
    <x:row r="30" ht="90" customHeight="1">
      <x:c r="A30" s="4" t="str">
        <x:v>proposal.bio.chitin_fibers</x:v>
      </x:c>
      <x:c r="B30" s="4" t="str">
        <x:v>proposal.bio.husk_paper</x:v>
      </x:c>
      <x:c r="C30" s="4" t="str">
        <x:v>Process scraped husk fibers into paper</x:v>
      </x:c>
      <x:c r="D30" s="4" t="str">
        <x:v>Main paper material</x:v>
      </x:c>
      <x:c r="E30" s="4" t="str">
        <x:v>Paper-processing station not yet defined</x:v>
      </x:c>
      <x:c r="F30" s="4" t="str">
        <x:v>No numeric yield, paper recipe or processing difficulty approved</x:v>
      </x:c>
      <x:c r="G30" s="4" t="str">
        <x:v>User direction; not implemented</x:v>
      </x:c>
      <x:c r="H30" s="4" t="str">
        <x:v>Docs/WORLD_BASIS.md#material-culture; author direction October 14, 2026. Process details and specific product forms remain unimplemented.</x:v>
      </x:c>
    </x:row>
    <x:row r="31" ht="90" customHeight="1">
      <x:c r="A31" s="4" t="str">
        <x:v>proposal.bio.icore_fibers</x:v>
      </x:c>
      <x:c r="B31" s="4" t="str">
        <x:v>proposal.bio.husk_paper</x:v>
      </x:c>
      <x:c r="C31" s="4" t="str">
        <x:v>Use scraped husk fibers for paper</x:v>
      </x:c>
      <x:c r="D31" s="4" t="str">
        <x:v>Main paper material</x:v>
      </x:c>
      <x:c r="E31" s="4" t="str">
        <x:v>Paper-processing station not yet defined</x:v>
      </x:c>
      <x:c r="F31" s="4" t="str">
        <x:v>Two fiber inputs shown as alternatives/options; mixing requirement not settled</x:v>
      </x:c>
      <x:c r="G31" s="4" t="str">
        <x:v>User direction; not implemented</x:v>
      </x:c>
      <x:c r="H31" s="4" t="str">
        <x:v>Docs/WORLD_BASIS.md#material-culture; author direction October 14, 2026. Process details and specific product forms remain unimplemented.</x:v>
      </x:c>
    </x:row>
    <x:row r="32" ht="90" customHeight="1">
      <x:c r="A32" s="4" t="str">
        <x:v>proposal.bio.chitin_fibers</x:v>
      </x:c>
      <x:c r="B32" s="4" t="str">
        <x:v>proposal.bio.pressed_husk</x:v>
      </x:c>
      <x:c r="C32" s="4" t="str">
        <x:v>Difficult processing and pressing</x:v>
      </x:c>
      <x:c r="D32" s="4" t="str">
        <x:v>Pressed textile material</x:v>
      </x:c>
      <x:c r="E32" s="4" t="str">
        <x:v>Specialist processing proposed</x:v>
      </x:c>
      <x:c r="F32" s="4" t="str">
        <x:v>Very difficult; no cloth; exact recipe and product properties unresolved</x:v>
      </x:c>
      <x:c r="G32" s="4" t="str">
        <x:v>User direction; not implemented</x:v>
      </x:c>
      <x:c r="H32" s="4" t="str">
        <x:v>Docs/WORLD_BASIS.md#material-culture; author direction October 14, 2026. Process details and specific product forms remain unimplemented.</x:v>
      </x:c>
    </x:row>
    <x:row r="33" ht="90" customHeight="1">
      <x:c r="A33" s="4" t="str">
        <x:v>proposal.bio.icore_fibers</x:v>
      </x:c>
      <x:c r="B33" s="4" t="str">
        <x:v>proposal.bio.pressed_husk</x:v>
      </x:c>
      <x:c r="C33" s="4" t="str">
        <x:v>Difficult processing and pressing</x:v>
      </x:c>
      <x:c r="D33" s="4" t="str">
        <x:v>Pressed textile material</x:v>
      </x:c>
      <x:c r="E33" s="4" t="str">
        <x:v>Specialist processing proposed</x:v>
      </x:c>
      <x:c r="F33" s="4" t="str">
        <x:v>Fiber combination unresolved; this is not a two-input recipe specification</x:v>
      </x:c>
      <x:c r="G33" s="4" t="str">
        <x:v>User direction; not implemented</x:v>
      </x:c>
      <x:c r="H33" s="4" t="str">
        <x:v>Docs/WORLD_BASIS.md#material-culture; author direction October 14, 2026. Process details and specific product forms remain unimplemented.</x:v>
      </x:c>
    </x:row>
    <x:row r="34" ht="90" customHeight="1">
      <x:c r="A34" s="4" t="str">
        <x:v>proposal.bio.hide</x:v>
      </x:c>
      <x:c r="B34" s="4" t="str">
        <x:v>proposal.bio.hide_material</x:v>
      </x:c>
      <x:c r="C34" s="4" t="str">
        <x:v>Process hide into usable material</x:v>
      </x:c>
      <x:c r="D34" s="4" t="str">
        <x:v>Scarce material output</x:v>
      </x:c>
      <x:c r="E34" s="4" t="str">
        <x:v>Specialist processing proposed</x:v>
      </x:c>
      <x:c r="F34" s="4" t="str">
        <x:v>Extremely low yield; no cloth; no numeric ratio specified</x:v>
      </x:c>
      <x:c r="G34" s="4" t="str">
        <x:v>User direction; not implemented</x:v>
      </x:c>
      <x:c r="H34" s="4" t="str">
        <x:v>Docs/WORLD_BASIS.md#material-culture; author direction October 14, 2026. Process details and specific product forms remain unimplemented.</x:v>
      </x:c>
    </x:row>
  </x:sheetData>
  <x:pageMargins left="0.7" right="0.7" top="0.75" bottom="0.75" header="0.3" footer="0.3"/>
  <x:tableParts count="1">
    <x:tablePart xmlns:r="http://schemas.openxmlformats.org/officeDocument/2006/relationships" r:id="Ra5055aeacad044ce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0" hidden="0" customWidth="1"/>
    <x:col min="2" max="2" width="29" hidden="0" customWidth="1"/>
    <x:col min="3" max="3" width="62" hidden="0" customWidth="1"/>
    <x:col min="4" max="4" width="58" hidden="0" customWidth="1"/>
    <x:col min="5" max="5" width="58" hidden="0" customWidth="1"/>
    <x:col min="6" max="6" width="70" hidden="0" customWidth="1"/>
    <x:col min="7" max="7" width="62" hidden="0" customWidth="1"/>
    <x:col min="8" max="8" width="72" hidden="0" customWidth="1"/>
    <x:col min="9" max="9" width="2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</x:row>
    <x:row r="2">
      <x:c r="A2" s="2" t="str">
        <x:v>Megafauna concepts and material sources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</x:row>
    <x:row r="5" ht="35" customHeight="1">
      <x:c r="A5" s="25" t="str">
        <x:v>Concept ID</x:v>
      </x:c>
      <x:c r="B5" s="25" t="str">
        <x:v>Working description</x:v>
      </x:c>
      <x:c r="C5" s="25" t="str">
        <x:v>Hybrid anatomy</x:v>
      </x:c>
      <x:c r="D5" s="25" t="str">
        <x:v>Ecological role</x:v>
      </x:c>
      <x:c r="E5" s="25" t="str">
        <x:v>Expedition decision</x:v>
      </x:c>
      <x:c r="F5" s="25" t="str">
        <x:v>Resource concept IDs</x:v>
      </x:c>
      <x:c r="G5" s="25" t="str">
        <x:v>Collection alternative</x:v>
      </x:c>
      <x:c r="H5" s="25" t="str">
        <x:v>Open design issue</x:v>
      </x:c>
      <x:c r="I5" s="25" t="str">
        <x:v>Status</x:v>
      </x:c>
    </x:row>
    <x:row r="6" ht="115" customHeight="1">
      <x:c r="A6" s="4" t="str">
        <x:v>fauna.plate_grazer</x:v>
      </x:c>
      <x:c r="B6" s="4" t="str">
        <x:v>Plate-backed grazer</x:v>
      </x:c>
      <x:c r="C6" s="4" t="str">
        <x:v>Broad low body; overlapping crustacean plates, six load-bearing legs, furred joint recesses</x:v>
      </x:c>
      <x:c r="D6" s="4" t="str">
        <x:v>Slow herd browser of proposed dry microbial/mineral crusts</x:v>
      </x:c>
      <x:c r="E6" s="4" t="str">
        <x:v>Quiet feedstock supply via abandoned molts; hunt only when worthwhile</x:v>
      </x:c>
      <x:c r="F6" s="4" t="str">
        <x:v>proposal.bio.shell; proposal.bio.underfur; proposal.bio.tendon; proposal.bio.chitin_fibers; proposal.bio.icore_fibers</x:v>
      </x:c>
      <x:c r="G6" s="4" t="str">
        <x:v>Molts and bedding can supply modest materials without a kill</x:v>
      </x:c>
      <x:c r="H6" s="4" t="str">
        <x:v>Primary productivity and crust biology unresolved; no plant grazing; fiber supply follows husk rule, but species-specific yields remain unapproved; fur conversion has extremely low usable yield; no cloth; Burden Beasts anatomy unreviewed; no species-specific edibility or chemistry assigned</x:v>
      </x:c>
      <x:c r="I6" s="4" t="str">
        <x:v>New proposal</x:v>
      </x:c>
    </x:row>
    <x:row r="7" ht="115" customHeight="1">
      <x:c r="A7" s="4" t="str">
        <x:v>fauna.burrower</x:v>
      </x:c>
      <x:c r="B7" s="4" t="str">
        <x:v>Canyon burrower</x:v>
      </x:c>
      <x:c r="C7" s="4" t="str">
        <x:v>Wedge-shaped armored head, mole-like digging posture, shovel forelimbs, mandibular cutters</x:v>
      </x:c>
      <x:c r="D7" s="4" t="str">
        <x:v>Excavates old scree fans; diet and nutrient sources unresolved</x:v>
      </x:c>
      <x:c r="E7" s="4" t="str">
        <x:v>Excavation competes with access to mineral seams</x:v>
      </x:c>
      <x:c r="F7" s="4" t="str">
        <x:v>proposal.bio.jaw; proposal.bio.bristles; proposal.bio.membrane</x:v>
      </x:c>
      <x:c r="G7" s="4" t="str">
        <x:v>Old bristle-lined burrows provide low-yield scavenging opportunities</x:v>
      </x:c>
      <x:c r="H7" s="4" t="str">
        <x:v>Burrows and collapse rules must respect fixed terrain; no terrain system authorized; Burden Beasts anatomy unreviewed; no species-specific edibility or chemistry assigned</x:v>
      </x:c>
      <x:c r="I7" s="4" t="str">
        <x:v>New proposal</x:v>
      </x:c>
    </x:row>
    <x:row r="8" ht="115" customHeight="1">
      <x:c r="A8" s="4" t="str">
        <x:v>fauna.storm_migrant</x:v>
      </x:c>
      <x:c r="B8" s="4" t="str">
        <x:v>Storm-following giant</x:v>
      </x:c>
      <x:c r="C8" s="4" t="str">
        <x:v>Tall segmented body, shell ridges, furred underside, many broad feet</x:v>
      </x:c>
      <x:c r="D8" s="4" t="str">
        <x:v>Fictional charge-sensitive migration near storms; diet unresolved</x:v>
      </x:c>
      <x:c r="E8" s="4" t="str">
        <x:v>Storm timing creates a dangerous optional expedition target</x:v>
      </x:c>
      <x:c r="F8" s="4" t="str">
        <x:v>proposal.bio.organ; proposal.bio.shell; proposal.bio.tendon; proposal.bio.chitin_fibers; proposal.bio.icore_fibers</x:v>
      </x:c>
      <x:c r="G8" s="4" t="str">
        <x:v>Abandoned molts available after migrations; rare tissue requires a carcass</x:v>
      </x:c>
      <x:c r="H8" s="4" t="str">
        <x:v>Charge sensing/storage biology and electrical behavior are speculative; fiber supply follows husk rule, but species-specific yields remain unapproved; Burden Beasts anatomy unreviewed; no species-specific edibility or chemistry assigned</x:v>
      </x:c>
      <x:c r="I8" s="4" t="str">
        <x:v>New proposal</x:v>
      </x:c>
    </x:row>
    <x:row r="9" ht="115" customHeight="1">
      <x:c r="A9" s="4" t="str">
        <x:v>fauna.carrion_crusher</x:v>
      </x:c>
      <x:c r="B9" s="4" t="str">
        <x:v>Carrion crusher</x:v>
      </x:c>
      <x:c r="C9" s="4" t="str">
        <x:v>Heavy crab-like claws, mandibular mouth and a bulky trunk; internal structure unverified</x:v>
      </x:c>
      <x:c r="D9" s="4" t="str">
        <x:v>Scavenges large carcasses; competes with Booter for remains</x:v>
      </x:c>
      <x:c r="E9" s="4" t="str">
        <x:v>Carcass harvesting attracts competition and encourages selective removal</x:v>
      </x:c>
      <x:c r="F9" s="4" t="str">
        <x:v>proposal.bio.jaw; proposal.bio.shell; proposal.bio.chitin_fibers; proposal.bio.icore_fibers</x:v>
      </x:c>
      <x:c r="G9" s="4" t="str">
        <x:v>Track feeding sites for discarded dry fragments</x:v>
      </x:c>
      <x:c r="H9" s="4" t="str">
        <x:v>Population depends on a viable food web; no established species or combat kit; fiber supply follows husk rule, but species-specific yields remain unapproved; Burden Beasts anatomy unreviewed; no species-specific edibility or chemistry assigned</x:v>
      </x:c>
      <x:c r="I9" s="4" t="str">
        <x:v>New proposal</x:v>
      </x:c>
    </x:row>
    <x:row r="10" ht="115" customHeight="1">
      <x:c r="A10" s="4" t="str">
        <x:v>fauna.shelf_climber</x:v>
      </x:c>
      <x:c r="B10" s="4" t="str">
        <x:v>Shelf-climbing browser</x:v>
      </x:c>
      <x:c r="C10" s="4" t="str">
        <x:v>Compact furred torso, hooked insectoid feet, flexible shell bands and springing limbs</x:v>
      </x:c>
      <x:c r="D10" s="4" t="str">
        <x:v>Uses narrow canyon ledges; diet unresolved</x:v>
      </x:c>
      <x:c r="E10" s="4" t="str">
        <x:v>Source of flexible materials where bulk hauling is awkward</x:v>
      </x:c>
      <x:c r="F10" s="4" t="str">
        <x:v>proposal.bio.membrane; proposal.bio.underfur; proposal.bio.tendon</x:v>
      </x:c>
      <x:c r="G10" s="4" t="str">
        <x:v>Shed fur and abandoned rests provide a low-impact collection option</x:v>
      </x:c>
      <x:c r="H10" s="4" t="str">
        <x:v>Movement, size, ecology and hunt behavior need design; fur conversion has extremely low usable yield; no cloth; Burden Beasts anatomy unreviewed; no species-specific edibility or chemistry assigned</x:v>
      </x:c>
      <x:c r="I10" s="4" t="str">
        <x:v>New proposal</x:v>
      </x:c>
    </x:row>
  </x:sheetData>
  <x:pageMargins left="0.7" right="0.7" top="0.75" bottom="0.75" header="0.3" footer="0.3"/>
  <x:tableParts count="1">
    <x:tablePart xmlns:r="http://schemas.openxmlformats.org/officeDocument/2006/relationships" r:id="R09c18e8f8142470b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8" hidden="0" customWidth="1"/>
    <x:col min="2" max="2" width="30" hidden="0" customWidth="1"/>
    <x:col min="3" max="3" width="55" hidden="0" customWidth="1"/>
    <x:col min="4" max="4" width="46" hidden="0" customWidth="1"/>
    <x:col min="5" max="5" width="55" hidden="0" customWidth="1"/>
    <x:col min="6" max="6" width="62" hidden="0" customWidth="1"/>
    <x:col min="7" max="7" width="72" hidden="0" customWidth="1"/>
    <x:col min="8" max="8" width="11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2" t="str">
        <x:v>Faunal chemicals and toxins</x:v>
      </x:c>
      <x:c r="B2" s="1"/>
      <x:c r="C2" s="1"/>
      <x:c r="D2" s="1"/>
      <x:c r="E2" s="1"/>
      <x:c r="F2" s="1"/>
      <x:c r="G2" s="1"/>
      <x:c r="H2" s="1"/>
    </x:row>
    <x:row r="3">
      <x:c r="A3" s="1" t="str">
        <x:v>New game proposals. Descriptive labels; no accepted chemical identities, species assignments, recipes or numeric effects.</x:v>
      </x:c>
      <x:c r="B3" s="1"/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 ht="35" customHeight="1">
      <x:c r="A5" s="35" t="str">
        <x:v>Concept ID</x:v>
      </x:c>
      <x:c r="B5" s="35" t="str">
        <x:v>Working label</x:v>
      </x:c>
      <x:c r="C5" s="35" t="str">
        <x:v>Biological source / role</x:v>
      </x:c>
      <x:c r="D5" s="35" t="str">
        <x:v>Human hazard</x:v>
      </x:c>
      <x:c r="E5" s="35" t="str">
        <x:v>Potential material use</x:v>
      </x:c>
      <x:c r="F5" s="35" t="str">
        <x:v>Design constraint</x:v>
      </x:c>
      <x:c r="G5" s="35" t="str">
        <x:v>Source relationship</x:v>
      </x:c>
      <x:c r="H5" s="35" t="str">
        <x:v>Reference</x:v>
      </x:c>
    </x:row>
    <x:row r="6" ht="75" customHeight="1">
      <x:c r="A6" s="4" t="str">
        <x:v>proposal.chemical.digestive_etchant</x:v>
      </x:c>
      <x:c r="B6" s="4" t="str">
        <x:v>Digestive etchant</x:v>
      </x:c>
      <x:c r="C6" s="4" t="str">
        <x:v>Contained digestive liquor in geological feeders; exposes useful mineral compounds</x:v>
      </x:c>
      <x:c r="D6" s="4" t="str">
        <x:v>Corrosive tissue injury; inedible</x:v>
      </x:c>
      <x:c r="E6" s="4" t="str">
        <x:v>Mineral separation and metal surface preparation</x:v>
      </x:c>
      <x:c r="F6" s="4" t="str">
        <x:v>Could damage containers and useful shell; reusable containment and selectivity need design</x:v>
      </x:c>
      <x:c r="G6" s="4" t="str">
        <x:v>Source draft describes digestive acids/catalysts; this harvestable agent and uses are new proposals</x:v>
      </x:c>
      <x:c r="H6" s="4" t="str">
        <x:v>https://github.com/sleepyseamonster/Arc-Dust/blob/f6f98515c005dc3c73cccd9cbc031691745740c6/02-Arc-Dust-Worldbuilding/world/native-fauna-biology.md; https://github.com/sleepyseamonster/Arc-Dust/blob/f6f98515c005dc3c73cccd9cbc031691745740c6/02-Arc-Dust-Worldbuilding/world/materials/chemical-processing-agents.md</x:v>
      </x:c>
    </x:row>
    <x:row r="7" ht="75" customHeight="1">
      <x:c r="A7" s="4" t="str">
        <x:v>proposal.chemical.husk_enzyme</x:v>
      </x:c>
      <x:c r="B7" s="4" t="str">
        <x:v>Husk-separation enzyme</x:v>
      </x:c>
      <x:c r="C7" s="4" t="str">
        <x:v>Proposed catalytic fraction associated with shell renewal or digestion</x:v>
      </x:c>
      <x:c r="D7" s="4" t="str">
        <x:v>Biologically active irritant; effects species-dependent</x:v>
      </x:c>
      <x:c r="E7" s="4" t="str">
        <x:v>Help release chitin/icore fibers for paper and difficult pressed materials</x:v>
      </x:c>
      <x:c r="F7" s="4" t="str">
        <x:v>Slow specialist processing still required; must not turn abundant husks into easy cloth</x:v>
      </x:c>
      <x:c r="G7" s="4" t="str">
        <x:v>Source draft includes industrial enzymes, but fauna origin and this fiber application are new proposals</x:v>
      </x:c>
      <x:c r="H7" s="4" t="str">
        <x:v>https://github.com/sleepyseamonster/Arc-Dust/blob/f6f98515c005dc3c73cccd9cbc031691745740c6/02-Arc-Dust-Worldbuilding/world/materials/chemical-processing-agents.md</x:v>
      </x:c>
    </x:row>
    <x:row r="8" ht="75" customHeight="1">
      <x:c r="A8" s="4" t="str">
        <x:v>proposal.chemical.shell_binder</x:v>
      </x:c>
      <x:c r="B8" s="4" t="str">
        <x:v>Shell-binding secretion</x:v>
      </x:c>
      <x:c r="C8" s="4" t="str">
        <x:v>Proposed armor-building secretion that binds deposited minerals</x:v>
      </x:c>
      <x:c r="D8" s="4" t="str">
        <x:v>Adheres to exposed surfaces; contaminated residue may be toxic</x:v>
      </x:c>
      <x:c r="E8" s="4" t="str">
        <x:v>Bind mineral aggregate, shell laminates and pressed fiber materials</x:v>
      </x:c>
      <x:c r="F8" s="4" t="str">
        <x:v>Durable bonding is a proposal; curing conditions and unwanted adhesion remain unresolved</x:v>
      </x:c>
      <x:c r="G8" s="4" t="str">
        <x:v>Armor-building organs and chitin-derived binders are source-draft seeds; secretion/product is new</x:v>
      </x:c>
      <x:c r="H8" s="4" t="str">
        <x:v>https://github.com/sleepyseamonster/Arc-Dust/blob/f6f98515c005dc3c73cccd9cbc031691745740c6/02-Arc-Dust-Worldbuilding/world/native-fauna-biology.md; https://github.com/sleepyseamonster/Arc-Dust/blob/f6f98515c005dc3c73cccd9cbc031691745740c6/02-Arc-Dust-Worldbuilding/world/materials/chemical-processing-agents.md</x:v>
      </x:c>
    </x:row>
    <x:row r="9" ht="75" customHeight="1">
      <x:c r="A9" s="4" t="str">
        <x:v>proposal.chemical.clotting_compound</x:v>
      </x:c>
      <x:c r="B9" s="4" t="str">
        <x:v>Mineral clotting compound</x:v>
      </x:c>
      <x:c r="C9" s="4" t="str">
        <x:v>Ichor wound response; suspended minerals harden into a protective clot</x:v>
      </x:c>
      <x:c r="D9" s="4" t="str">
        <x:v>Not human-compatible medicine; contact/ingestion toxicity unresolved</x:v>
      </x:c>
      <x:c r="E9" s="4" t="str">
        <x:v>Quick hard-setting equipment patches and temporary container seals</x:v>
      </x:c>
      <x:c r="F9" s="4" t="str">
        <x:v>Brittleness and shelf stability can distinguish it from a permanent binder</x:v>
      </x:c>
      <x:c r="G9" s="4" t="str">
        <x:v>Source draft describes mineral-hardened clots; repair-material use is new</x:v>
      </x:c>
      <x:c r="H9" s="4" t="str">
        <x:v>https://github.com/sleepyseamonster/Arc-Dust/blob/f6f98515c005dc3c73cccd9cbc031691745740c6/02-Arc-Dust-Worldbuilding/world/native-fauna-biology.md</x:v>
      </x:c>
    </x:row>
    <x:row r="10" ht="75" customHeight="1">
      <x:c r="A10" s="4" t="str">
        <x:v>proposal.chemical.mineral_ichor</x:v>
      </x:c>
      <x:c r="B10" s="4" t="str">
        <x:v>Mineral-rich ichor</x:v>
      </x:c>
      <x:c r="C10" s="4" t="str">
        <x:v>Circulatory fluid carrying minerals, energy compounds and metabolic wastes</x:v>
      </x:c>
      <x:c r="D10" s="4" t="str">
        <x:v>Species-dependent toxicity and mineral contamination; not drinkable by default</x:v>
      </x:c>
      <x:c r="E10" s="4" t="str">
        <x:v>Potential feed for pigments, recovered mineral fractions and binder research</x:v>
      </x:c>
      <x:c r="F10" s="4" t="str">
        <x:v>Mixed contents vary by diet; do not assume a universal reagent or battery electrolyte</x:v>
      </x:c>
      <x:c r="G10" s="4" t="str">
        <x:v>Ichor contents are source-draft biology; separated material uses are new proposals</x:v>
      </x:c>
      <x:c r="H10" s="4" t="str">
        <x:v>https://github.com/sleepyseamonster/Arc-Dust/blob/f6f98515c005dc3c73cccd9cbc031691745740c6/02-Arc-Dust-Worldbuilding/world/native-fauna-biology.md</x:v>
      </x:c>
    </x:row>
    <x:row r="11" ht="75" customHeight="1">
      <x:c r="A11" s="4" t="str">
        <x:v>proposal.chemical.joint_lubricant</x:v>
      </x:c>
      <x:c r="B11" s="4" t="str">
        <x:v>Joint-lubricating secretion</x:v>
      </x:c>
      <x:c r="C11" s="4" t="str">
        <x:v>Proposed secretion that protects sliding plate/joint surfaces</x:v>
      </x:c>
      <x:c r="D11" s="4" t="str">
        <x:v>Toxic if ingested; skin compatibility unapproved</x:v>
      </x:c>
      <x:c r="E11" s="4" t="str">
        <x:v>Dust-resistant equipment lubrication and flexible-seal conditioning</x:v>
      </x:c>
      <x:c r="F11" s="4" t="str">
        <x:v>Dust capture versus useful lubrication needs design; does not restore conventional fat anatomy</x:v>
      </x:c>
      <x:c r="G11" s="4" t="str">
        <x:v>New proposed secretion; source processing draft discusses biological oils without validating this anatomy</x:v>
      </x:c>
      <x:c r="H11" s="4" t="str">
        <x:v>https://github.com/sleepyseamonster/Arc-Dust/blob/f6f98515c005dc3c73cccd9cbc031691745740c6/02-Arc-Dust-Worldbuilding/world/materials/chemical-processing-agents.md</x:v>
      </x:c>
    </x:row>
    <x:row r="12" ht="75" customHeight="1">
      <x:c r="A12" s="4" t="str">
        <x:v>proposal.chemical.insulating_secretion</x:v>
      </x:c>
      <x:c r="B12" s="4" t="str">
        <x:v>Insulating secretion</x:v>
      </x:c>
      <x:c r="C12" s="4" t="str">
        <x:v>Proposed barrier layer that helps fauna manage electrical exposure</x:v>
      </x:c>
      <x:c r="D12" s="4" t="str">
        <x:v>Irritating/toxic residue; no human-contact assumption</x:v>
      </x:c>
      <x:c r="E12" s="4" t="str">
        <x:v>Candidate electrical separators and equipment coating</x:v>
      </x:c>
      <x:c r="F12" s="4" t="str">
        <x:v>Electrical behavior and wear are unproven; never blanket lightning immunity</x:v>
      </x:c>
      <x:c r="G12" s="4" t="str">
        <x:v>Source draft includes insulation/charge shedding; this material capability is a new proposal</x:v>
      </x:c>
      <x:c r="H12" s="4" t="str">
        <x:v>https://github.com/sleepyseamonster/Arc-Dust/blob/f6f98515c005dc3c73cccd9cbc031691745740c6/02-Arc-Dust-Worldbuilding/world/native-fauna-biology.md</x:v>
      </x:c>
    </x:row>
    <x:row r="13" ht="75" customHeight="1">
      <x:c r="A13" s="4" t="str">
        <x:v>proposal.chemical.conductive_gel</x:v>
      </x:c>
      <x:c r="B13" s="4" t="str">
        <x:v>Charge-conducting gel</x:v>
      </x:c>
      <x:c r="C13" s="4" t="str">
        <x:v>Proposed contained medium supporting electroactive tissue</x:v>
      </x:c>
      <x:c r="D13" s="4" t="str">
        <x:v>Contact could create an unwanted charge path; chemically toxic</x:v>
      </x:c>
      <x:c r="E13" s="4" t="str">
        <x:v>Candidate contained equipment contacts and sensing components</x:v>
      </x:c>
      <x:c r="F13" s="4" t="str">
        <x:v>Can worsen charge exposure; no direct body application or power generation assumed</x:v>
      </x:c>
      <x:c r="G13" s="4" t="str">
        <x:v>Source draft has electroactive fibers and conductive tissue; gel and applications are new proposals</x:v>
      </x:c>
      <x:c r="H13" s="4" t="str">
        <x:v>https://github.com/sleepyseamonster/Arc-Dust/blob/f6f98515c005dc3c73cccd9cbc031691745740c6/02-Arc-Dust-Worldbuilding/world/native-fauna-biology.md</x:v>
      </x:c>
    </x:row>
    <x:row r="14" ht="75" customHeight="1">
      <x:c r="A14" s="4" t="str">
        <x:v>proposal.chemical.molt_release</x:v>
      </x:c>
      <x:c r="B14" s="4" t="str">
        <x:v>Molt-release compound</x:v>
      </x:c>
      <x:c r="C14" s="4" t="str">
        <x:v>Proposed agent that separates old outer husk layers during renewal</x:v>
      </x:c>
      <x:c r="D14" s="4" t="str">
        <x:v>Tissue/surface damage on contact; species-dependent</x:v>
      </x:c>
      <x:c r="E14" s="4" t="str">
        <x:v>Controlled plate-layer release and husk surface preparation</x:v>
      </x:c>
      <x:c r="F14" s="4" t="str">
        <x:v>May spoil recovered fibers or structural plate; usefulness must differ from enzyme fraction</x:v>
      </x:c>
      <x:c r="G14" s="4" t="str">
        <x:v>New biological/material proposal; no specific molt chemistry established</x:v>
      </x:c>
      <x:c r="H14" s="4" t="str">
        <x:v>https://github.com/sleepyseamonster/Arc-Dust/blob/f6f98515c005dc3c73cccd9cbc031691745740c6/02-Arc-Dust-Worldbuilding/world/native-fauna-biology.md</x:v>
      </x:c>
    </x:row>
    <x:row r="15" ht="75" customHeight="1">
      <x:c r="A15" s="4" t="str">
        <x:v>proposal.chemical.defensive_irritant</x:v>
      </x:c>
      <x:c r="B15" s="4" t="str">
        <x:v>Defensive irritant secretion</x:v>
      </x:c>
      <x:c r="C15" s="4" t="str">
        <x:v>Proposed deterrent gland output in defensive species</x:v>
      </x:c>
      <x:c r="D15" s="4" t="str">
        <x:v>Painful surface irritation and temporary sensory disruption</x:v>
      </x:c>
      <x:c r="E15" s="4" t="str">
        <x:v>Candidate exclusion coatings around equipment or stored materials</x:v>
      </x:c>
      <x:c r="F15" s="4" t="str">
        <x:v>Repellent target response is unproven; deliberate containment only, no ambient liquid pools</x:v>
      </x:c>
      <x:c r="G15" s="4" t="str">
        <x:v>New toxin and application proposal; not assigned to any existing species</x:v>
      </x:c>
      <x:c r="H15" s="4" t="str">
        <x:v>https://github.com/sleepyseamonster/Arc-Dust/blob/f6f98515c005dc3c73cccd9cbc031691745740c6/02-Arc-Dust-Worldbuilding/world/native-fauna-biology.md</x:v>
      </x:c>
    </x:row>
    <x:row r="16" ht="75" customHeight="1">
      <x:c r="A16" s="4" t="str">
        <x:v>proposal.chemical.disabling_venom</x:v>
      </x:c>
      <x:c r="B16" s="4" t="str">
        <x:v>Disabling venom fraction</x:v>
      </x:c>
      <x:c r="C16" s="4" t="str">
        <x:v>Proposed specialized predator secretion for subduing native prey</x:v>
      </x:c>
      <x:c r="D16" s="4" t="str">
        <x:v>Neurological disruption; human severity undefined</x:v>
      </x:c>
      <x:c r="E16" s="4" t="str">
        <x:v>Candidate specialist trade/sample material for later design</x:v>
      </x:c>
      <x:c r="F16" s="4" t="str">
        <x:v>No human/animal potency equivalence, cure, delivery method or combat system established</x:v>
      </x:c>
      <x:c r="G16" s="4" t="str">
        <x:v>New proposal; source predation does not establish a specific venom</x:v>
      </x:c>
      <x:c r="H16" s="4" t="str">
        <x:v>https://github.com/sleepyseamonster/Arc-Dust/blob/f6f98515c005dc3c73cccd9cbc031691745740c6/02-Arc-Dust-Worldbuilding/world/native-fauna-biology.md</x:v>
      </x:c>
    </x:row>
    <x:row r="17" ht="75" customHeight="1">
      <x:c r="A17" s="4" t="str">
        <x:v>proposal.chemical.scent_marker</x:v>
      </x:c>
      <x:c r="B17" s="4" t="str">
        <x:v>Chemical scent marker</x:v>
      </x:c>
      <x:c r="C17" s="4" t="str">
        <x:v>Proposed territorial or social signal secretion</x:v>
      </x:c>
      <x:c r="D17" s="4" t="str">
        <x:v>Irritant or toxic to humans despite its signaling role</x:v>
      </x:c>
      <x:c r="E17" s="4" t="str">
        <x:v>Possible lure, trail concealment or animal-avoidance research</x:v>
      </x:c>
      <x:c r="F17" s="4" t="str">
        <x:v>Species-specific response; a signal may attract unwanted animals rather than repel them</x:v>
      </x:c>
      <x:c r="G17" s="4" t="str">
        <x:v>New proposal; no accepted behavioral response or universal bait chemistry</x:v>
      </x:c>
      <x:c r="H17" s="4" t="str">
        <x:v>https://github.com/sleepyseamonster/Arc-Dust/blob/f6f98515c005dc3c73cccd9cbc031691745740c6/02-Arc-Dust-Worldbuilding/world/native-fauna-biology.md</x:v>
      </x:c>
    </x:row>
  </x:sheetData>
  <x:pageMargins left="0.7" right="0.7" top="0.75" bottom="0.75" header="0.3" footer="0.3"/>
  <x:tableParts count="1">
    <x:tablePart xmlns:r="http://schemas.openxmlformats.org/officeDocument/2006/relationships" r:id="Ra6bef2bf20fc40d9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8" hidden="0" customWidth="1"/>
    <x:col min="2" max="2" width="29" hidden="0" customWidth="1"/>
    <x:col min="3" max="3" width="30" hidden="0" customWidth="1"/>
    <x:col min="4" max="4" width="50" hidden="0" customWidth="1"/>
    <x:col min="5" max="5" width="55" hidden="0" customWidth="1"/>
    <x:col min="6" max="6" width="24" hidden="0" customWidth="1"/>
    <x:col min="7" max="7" width="50" hidden="0" customWidth="1"/>
    <x:col min="8" max="8" width="50" hidden="0" customWidth="1"/>
    <x:col min="9" max="9" width="70" hidden="0" customWidth="1"/>
    <x:col min="10" max="10" width="78" hidden="0" customWidth="1"/>
    <x:col min="11" max="11" width="11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2" t="str">
        <x:v>Liquid vessels, protective carriers and glasswork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1" t="str">
        <x:v>All new proposals. Sizes are qualitative; filled resource vessels use finite Legger/local storage.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35" customHeight="1">
      <x:c r="A5" s="40" t="str">
        <x:v>Concept ID</x:v>
      </x:c>
      <x:c r="B5" s="40" t="str">
        <x:v>Working label</x:v>
      </x:c>
      <x:c r="C5" s="40" t="str">
        <x:v>Form</x:v>
      </x:c>
      <x:c r="D5" s="40" t="str">
        <x:v>Proposed materials</x:v>
      </x:c>
      <x:c r="E5" s="40" t="str">
        <x:v>Purpose</x:v>
      </x:c>
      <x:c r="F5" s="40" t="str">
        <x:v>Qualitative size</x:v>
      </x:c>
      <x:c r="G5" s="40" t="str">
        <x:v>Closure concept</x:v>
      </x:c>
      <x:c r="H5" s="40" t="str">
        <x:v>Contents / contact</x:v>
      </x:c>
      <x:c r="I5" s="40" t="str">
        <x:v>Design constraint</x:v>
      </x:c>
      <x:c r="J5" s="40" t="str">
        <x:v>Source relationship</x:v>
      </x:c>
      <x:c r="K5" s="40" t="str">
        <x:v>References</x:v>
      </x:c>
    </x:row>
    <x:row r="6" ht="90" customHeight="1">
      <x:c r="A6" s="4" t="str">
        <x:v>proposal.container.sample_vial</x:v>
      </x:c>
      <x:c r="B6" s="4" t="str">
        <x:v>Clear sample vial</x:v>
      </x:c>
      <x:c r="C6" s="4" t="str">
        <x:v>Primary vessel</x:v>
      </x:c>
      <x:c r="D6" s="4" t="str">
        <x:v>Scarce clear glass</x:v>
      </x:c>
      <x:c r="E6" s="4" t="str">
        <x:v>Inspect a small ichor or chemical sample without opening it</x:v>
      </x:c>
      <x:c r="F6" s="4" t="str">
        <x:v>Small sample</x:v>
      </x:c>
      <x:c r="G6" s="4" t="str">
        <x:v>Matched stopper with retained cover proposed</x:v>
      </x:c>
      <x:c r="H6" s="4" t="str">
        <x:v>Species-tagged ichor; compatible chemical samples</x:v>
      </x:c>
      <x:c r="I6" s="4" t="str">
        <x:v>Clear glass cost; liquid compatibility and fill limit unapproved</x:v>
      </x:c>
      <x:c r="J6" s="4" t="str">
        <x:v>Glass draft supports costly transparent material; this vessel is a new proposal</x:v>
      </x:c>
      <x:c r="K6" s="4" t="str">
        <x:v>https://github.com/sleepyseamonster/Arc-Dust/blob/f6f98515c005dc3c73cccd9cbc031691745740c6/02-Arc-Dust-Worldbuilding/world/materials/glass.md; https://github.com/sleepyseamonster/Arc-Dust/blob/f6f98515c005dc3c73cccd9cbc031691745740c6/02-Arc-Dust-Worldbuilding/world/materials/chitin.md</x:v>
      </x:c>
    </x:row>
    <x:row r="7" ht="90" customHeight="1">
      <x:c r="A7" s="4" t="str">
        <x:v>proposal.container.reagent_bottle</x:v>
      </x:c>
      <x:c r="B7" s="4" t="str">
        <x:v>Opaque reagent bottle</x:v>
      </x:c>
      <x:c r="C7" s="4" t="str">
        <x:v>Primary vessel</x:v>
      </x:c>
      <x:c r="D7" s="4" t="str">
        <x:v>Opaque mineral glass; shell/metal cap</x:v>
      </x:c>
      <x:c r="E7" s="4" t="str">
        <x:v>Everyday transport of one known material</x:v>
      </x:c>
      <x:c r="F7" s="4" t="str">
        <x:v>Hand-sized</x:v>
      </x:c>
      <x:c r="G7" s="4" t="str">
        <x:v>Compression cap and compatible seat proposed</x:v>
      </x:c>
      <x:c r="H7" s="4" t="str">
        <x:v>One identified ichor or reagent batch</x:v>
      </x:c>
      <x:c r="I7" s="4" t="str">
        <x:v>Cannot inspect contents through the wall; external identity label matters</x:v>
      </x:c>
      <x:c r="J7" s="4" t="str">
        <x:v>Standard opaque glass vessels have a source-draft basis; exact item new</x:v>
      </x:c>
      <x:c r="K7" s="4" t="str">
        <x:v>https://github.com/sleepyseamonster/Arc-Dust/blob/f6f98515c005dc3c73cccd9cbc031691745740c6/02-Arc-Dust-Worldbuilding/world/materials/glass.md; https://github.com/sleepyseamonster/Arc-Dust/blob/f6f98515c005dc3c73cccd9cbc031691745740c6/02-Arc-Dust-Worldbuilding/world/materials/chitin.md</x:v>
      </x:c>
    </x:row>
    <x:row r="8" ht="90" customHeight="1">
      <x:c r="A8" s="4" t="str">
        <x:v>proposal.container.wide_jar</x:v>
      </x:c>
      <x:c r="B8" s="4" t="str">
        <x:v>Wide-mouth sample jar</x:v>
      </x:c>
      <x:c r="C8" s="4" t="str">
        <x:v>Primary vessel</x:v>
      </x:c>
      <x:c r="D8" s="4" t="str">
        <x:v>Glass body; rigid broad lid</x:v>
      </x:c>
      <x:c r="E8" s="4" t="str">
        <x:v>Carry thick gels, clot samples and mineral-rich slurry</x:v>
      </x:c>
      <x:c r="F8" s="4" t="str">
        <x:v>Small to medium</x:v>
      </x:c>
      <x:c r="G8" s="4" t="str">
        <x:v>Broad fitted lid with compatible sealing seat</x:v>
      </x:c>
      <x:c r="H8" s="4" t="str">
        <x:v>Viscous material or solid/liquid sample</x:v>
      </x:c>
      <x:c r="I8" s="4" t="str">
        <x:v>Wide opening aids access but makes transfers less controlled; no scoop rules set</x:v>
      </x:c>
      <x:c r="J8" s="4" t="str">
        <x:v>Glass vessel basis; wide-mouth item and uses proposed</x:v>
      </x:c>
      <x:c r="K8" s="4" t="str">
        <x:v>https://github.com/sleepyseamonster/Arc-Dust/blob/f6f98515c005dc3c73cccd9cbc031691745740c6/02-Arc-Dust-Worldbuilding/world/materials/glass.md; https://github.com/sleepyseamonster/Arc-Dust/blob/f6f98515c005dc3c73cccd9cbc031691745740c6/02-Arc-Dust-Worldbuilding/world/materials/chitin.md</x:v>
      </x:c>
    </x:row>
    <x:row r="9" ht="90" customHeight="1">
      <x:c r="A9" s="4" t="str">
        <x:v>proposal.container.ampoule</x:v>
      </x:c>
      <x:c r="B9" s="4" t="str">
        <x:v>Sealed sample ampoule</x:v>
      </x:c>
      <x:c r="C9" s="4" t="str">
        <x:v>Primary vessel</x:v>
      </x:c>
      <x:c r="D9" s="4" t="str">
        <x:v>Sealed clear glass</x:v>
      </x:c>
      <x:c r="E9" s="4" t="str">
        <x:v>Preserve an isolated small specimen for later analysis or trade</x:v>
      </x:c>
      <x:c r="F9" s="4" t="str">
        <x:v>Very small</x:v>
      </x:c>
      <x:c r="G9" s="4" t="str">
        <x:v>Factory/workshop sealed</x:v>
      </x:c>
      <x:c r="H9" s="4" t="str">
        <x:v>One specimen; chemistry compatibility unresolved</x:v>
      </x:c>
      <x:c r="I9" s="4" t="str">
        <x:v>Opening and reuse undecided; no mandatory single-use depletion rule approved</x:v>
      </x:c>
      <x:c r="J9" s="4" t="str">
        <x:v>New sealed-glass form inspired by source glasswork</x:v>
      </x:c>
      <x:c r="K9" s="4" t="str">
        <x:v>https://github.com/sleepyseamonster/Arc-Dust/blob/f6f98515c005dc3c73cccd9cbc031691745740c6/02-Arc-Dust-Worldbuilding/world/materials/glass.md; https://github.com/sleepyseamonster/Arc-Dust/blob/f6f98515c005dc3c73cccd9cbc031691745740c6/02-Arc-Dust-Worldbuilding/world/materials/chitin.md</x:v>
      </x:c>
    </x:row>
    <x:row r="10" ht="90" customHeight="1">
      <x:c r="A10" s="4" t="str">
        <x:v>proposal.container.marked_flask</x:v>
      </x:c>
      <x:c r="B10" s="4" t="str">
        <x:v>Marked glass flask</x:v>
      </x:c>
      <x:c r="C10" s="4" t="str">
        <x:v>Primary vessel</x:v>
      </x:c>
      <x:c r="D10" s="4" t="str">
        <x:v>Clear glass with etched marks</x:v>
      </x:c>
      <x:c r="E10" s="4" t="str">
        <x:v>Read fill and compare a specimen before transfer</x:v>
      </x:c>
      <x:c r="F10" s="4" t="str">
        <x:v>Small sample / workshop</x:v>
      </x:c>
      <x:c r="G10" s="4" t="str">
        <x:v>Matched stopper proposed</x:v>
      </x:c>
      <x:c r="H10" s="4" t="str">
        <x:v>Compatible samples and liquids</x:v>
      </x:c>
      <x:c r="I10" s="4" t="str">
        <x:v>Marks do not establish numeric volume, chemistry analysis or automatic quality grading</x:v>
      </x:c>
      <x:c r="J10" s="4" t="str">
        <x:v>New measuring/inspection use; no authored volume system</x:v>
      </x:c>
      <x:c r="K10" s="4" t="str">
        <x:v>https://github.com/sleepyseamonster/Arc-Dust/blob/f6f98515c005dc3c73cccd9cbc031691745740c6/02-Arc-Dust-Worldbuilding/world/materials/glass.md; https://github.com/sleepyseamonster/Arc-Dust/blob/f6f98515c005dc3c73cccd9cbc031691745740c6/02-Arc-Dust-Worldbuilding/world/materials/chitin.md</x:v>
      </x:c>
    </x:row>
    <x:row r="11" ht="90" customHeight="1">
      <x:c r="A11" s="4" t="str">
        <x:v>proposal.container.shell_cage</x:v>
      </x:c>
      <x:c r="B11" s="4" t="str">
        <x:v>Shell-caged glass flask</x:v>
      </x:c>
      <x:c r="C11" s="4" t="str">
        <x:v>Protected vessel assembly</x:v>
      </x:c>
      <x:c r="D11" s="4" t="str">
        <x:v>Glass inner vessel; slotted shell outer cage</x:v>
      </x:c>
      <x:c r="E11" s="4" t="str">
        <x:v>Protect a carried specimen while keeping a viewing opening</x:v>
      </x:c>
      <x:c r="F11" s="4" t="str">
        <x:v>Medium</x:v>
      </x:c>
      <x:c r="G11" s="4" t="str">
        <x:v>Retained cap and inspectable seat proposed</x:v>
      </x:c>
      <x:c r="H11" s="4" t="str">
        <x:v>One compatible liquid payload</x:v>
      </x:c>
      <x:c r="I11" s="4" t="str">
        <x:v>One assembled container, not two copies of storage; protection behavior undecided</x:v>
      </x:c>
      <x:c r="J11" s="4" t="str">
        <x:v>Chitin plate/curved vessel and glass drafts inspire assembly; item new</x:v>
      </x:c>
      <x:c r="K11" s="4" t="str">
        <x:v>https://github.com/sleepyseamonster/Arc-Dust/blob/f6f98515c005dc3c73cccd9cbc031691745740c6/02-Arc-Dust-Worldbuilding/world/materials/glass.md; https://github.com/sleepyseamonster/Arc-Dust/blob/f6f98515c005dc3c73cccd9cbc031691745740c6/02-Arc-Dust-Worldbuilding/world/materials/chitin.md</x:v>
      </x:c>
    </x:row>
    <x:row r="12" ht="90" customHeight="1">
      <x:c r="A12" s="4" t="str">
        <x:v>proposal.container.lined_canister</x:v>
      </x:c>
      <x:c r="B12" s="4" t="str">
        <x:v>Glass-lined haul canister</x:v>
      </x:c>
      <x:c r="C12" s="4" t="str">
        <x:v>Protected vessel assembly</x:v>
      </x:c>
      <x:c r="D12" s="4" t="str">
        <x:v>Metal/shell outer body; replaceable glass liner</x:v>
      </x:c>
      <x:c r="E12" s="4" t="str">
        <x:v>Transport larger quantities to a processing workshop</x:v>
      </x:c>
      <x:c r="F12" s="4" t="str">
        <x:v>Medium haul</x:v>
      </x:c>
      <x:c r="G12" s="4" t="str">
        <x:v>Compression lid with replaceable compatible seat</x:v>
      </x:c>
      <x:c r="H12" s="4" t="str">
        <x:v>One identified raw ichor or chemical batch</x:v>
      </x:c>
      <x:c r="I12" s="4" t="str">
        <x:v>Liner, seal and contents must all be compatible; filled payload belongs in resource cargo</x:v>
      </x:c>
      <x:c r="J12" s="4" t="str">
        <x:v>Glass draft includes internal canister linings; haul role and item new</x:v>
      </x:c>
      <x:c r="K12" s="4" t="str">
        <x:v>https://github.com/sleepyseamonster/Arc-Dust/blob/f6f98515c005dc3c73cccd9cbc031691745740c6/02-Arc-Dust-Worldbuilding/world/materials/glass.md; https://github.com/sleepyseamonster/Arc-Dust/blob/f6f98515c005dc3c73cccd9cbc031691745740c6/02-Arc-Dust-Worldbuilding/world/materials/chitin.md</x:v>
      </x:c>
    </x:row>
    <x:row r="13" ht="90" customHeight="1">
      <x:c r="A13" s="4" t="str">
        <x:v>proposal.container.ceramic_jar</x:v>
      </x:c>
      <x:c r="B13" s="4" t="str">
        <x:v>Glazed ceramic reagent jar</x:v>
      </x:c>
      <x:c r="C13" s="4" t="str">
        <x:v>Primary vessel</x:v>
      </x:c>
      <x:c r="D13" s="4" t="str">
        <x:v>Fired ceramic; proposed glaze; rigid lid</x:v>
      </x:c>
      <x:c r="E13" s="4" t="str">
        <x:v>Alternative storage for selected processing compounds</x:v>
      </x:c>
      <x:c r="F13" s="4" t="str">
        <x:v>Medium</x:v>
      </x:c>
      <x:c r="G13" s="4" t="str">
        <x:v>Fitted rigid lid and compatible seal</x:v>
      </x:c>
      <x:c r="H13" s="4" t="str">
        <x:v>Only compounds qualified for that jar</x:v>
      </x:c>
      <x:c r="I13" s="4" t="str">
        <x:v>Opaque; heavier/bulkier tradeoff proposed; glaze is not universally chemical-resistant</x:v>
      </x:c>
      <x:c r="J13" s="4" t="str">
        <x:v>New ceramic vessel proposal; not a validated recipe/material capability</x:v>
      </x:c>
      <x:c r="K13" s="4" t="str">
        <x:v>https://github.com/sleepyseamonster/Arc-Dust/blob/f6f98515c005dc3c73cccd9cbc031691745740c6/02-Arc-Dust-Worldbuilding/world/materials/glass.md; https://github.com/sleepyseamonster/Arc-Dust/blob/f6f98515c005dc3c73cccd9cbc031691745740c6/02-Arc-Dust-Worldbuilding/world/materials/chitin.md</x:v>
      </x:c>
    </x:row>
    <x:row r="14" ht="90" customHeight="1">
      <x:c r="A14" s="4" t="str">
        <x:v>proposal.container.bulk_ichor</x:v>
      </x:c>
      <x:c r="B14" s="4" t="str">
        <x:v>Bulk ichor vessel</x:v>
      </x:c>
      <x:c r="C14" s="4" t="str">
        <x:v>Primary vessel</x:v>
      </x:c>
      <x:c r="D14" s="4" t="str">
        <x:v>Reinforced outer body; qualified inner lining TBD</x:v>
      </x:c>
      <x:c r="E14" s="4" t="str">
        <x:v>Make a large harvest an expedition haul decision</x:v>
      </x:c>
      <x:c r="F14" s="4" t="str">
        <x:v>Bulk cargo</x:v>
      </x:c>
      <x:c r="G14" s="4" t="str">
        <x:v>Service lid and separate transfer fitting proposed</x:v>
      </x:c>
      <x:c r="H14" s="4" t="str">
        <x:v>One species/batch of gathered ichor</x:v>
      </x:c>
      <x:c r="I14" s="4" t="str">
        <x:v>Finite Legger cargo and contents mass; no backpack resource exception or free capacity</x:v>
      </x:c>
      <x:c r="J14" s="4" t="str">
        <x:v>New bulk vessel proposal; no liter capacity, hose or extraction mechanic approved</x:v>
      </x:c>
      <x:c r="K14" s="4" t="str">
        <x:v>https://github.com/sleepyseamonster/Arc-Dust/blob/f6f98515c005dc3c73cccd9cbc031691745740c6/02-Arc-Dust-Worldbuilding/world/materials/glass.md; https://github.com/sleepyseamonster/Arc-Dust/blob/f6f98515c005dc3c73cccd9cbc031691745740c6/02-Arc-Dust-Worldbuilding/world/materials/chitin.md</x:v>
      </x:c>
    </x:row>
    <x:row r="15" ht="90" customHeight="1">
      <x:c r="A15" s="4" t="str">
        <x:v>proposal.container.vial_case</x:v>
      </x:c>
      <x:c r="B15" s="4" t="str">
        <x:v>Divided vial case</x:v>
      </x:c>
      <x:c r="C15" s="4" t="str">
        <x:v>Protective carrier</x:v>
      </x:c>
      <x:c r="D15" s="4" t="str">
        <x:v>Shell/metal case; shaped mineral seats</x:v>
      </x:c>
      <x:c r="E15" s="4" t="str">
        <x:v>Keep separately sealed specimens organized and supported</x:v>
      </x:c>
      <x:c r="F15" s="4" t="str">
        <x:v>Several small vessels</x:v>
      </x:c>
      <x:c r="G15" s="4" t="str">
        <x:v>Rigid latched case; each vial has its own seal</x:v>
      </x:c>
      <x:c r="H15" s="4" t="str">
        <x:v>Sealed vials only; no direct liquid payload</x:v>
      </x:c>
      <x:c r="I15" s="4" t="str">
        <x:v>Does not create extra inventory capacity; inserts use no assumed wood, cork or cloth</x:v>
      </x:c>
      <x:c r="J15" s="4" t="str">
        <x:v>New case proposal; materials chosen under current no-cloth game rule</x:v>
      </x:c>
      <x:c r="K15" s="4" t="str">
        <x:v>https://github.com/sleepyseamonster/Arc-Dust/blob/f6f98515c005dc3c73cccd9cbc031691745740c6/02-Arc-Dust-Worldbuilding/world/materials/glass.md; https://github.com/sleepyseamonster/Arc-Dust/blob/f6f98515c005dc3c73cccd9cbc031691745740c6/02-Arc-Dust-Worldbuilding/world/materials/chitin.md</x:v>
      </x:c>
    </x:row>
    <x:row r="16" ht="90" customHeight="1">
      <x:c r="A16" s="4" t="str">
        <x:v>proposal.container.sealed_box</x:v>
      </x:c>
      <x:c r="B16" s="4" t="str">
        <x:v>Sealed cargo box</x:v>
      </x:c>
      <x:c r="C16" s="4" t="str">
        <x:v>Protective carrier</x:v>
      </x:c>
      <x:c r="D16" s="4" t="str">
        <x:v>Shell panels or metal; rigid dividers</x:v>
      </x:c>
      <x:c r="E16" s="4" t="str">
        <x:v>Carry containers and dry sample packets together</x:v>
      </x:c>
      <x:c r="F16" s="4" t="str">
        <x:v>Cargo package</x:v>
      </x:c>
      <x:c r="G16" s="4" t="str">
        <x:v>Latched lid with dust-excluding seat proposed</x:v>
      </x:c>
      <x:c r="H16" s="4" t="str">
        <x:v>Separately sealed contents</x:v>
      </x:c>
      <x:c r="I16" s="4" t="str">
        <x:v>Outer dust seal is not liquid or vapor certification; all nested contents still count</x:v>
      </x:c>
      <x:c r="J16" s="4" t="str">
        <x:v>New protective box proposal; not automatic liquid containment</x:v>
      </x:c>
      <x:c r="K16" s="4" t="str">
        <x:v>https://github.com/sleepyseamonster/Arc-Dust/blob/f6f98515c005dc3c73cccd9cbc031691745740c6/02-Arc-Dust-Worldbuilding/world/materials/glass.md; https://github.com/sleepyseamonster/Arc-Dust/blob/f6f98515c005dc3c73cccd9cbc031691745740c6/02-Arc-Dust-Worldbuilding/world/materials/chitin.md</x:v>
      </x:c>
    </x:row>
    <x:row r="17" ht="90" customHeight="1">
      <x:c r="A17" s="4" t="str">
        <x:v>proposal.container.field_chest</x:v>
      </x:c>
      <x:c r="B17" s="4" t="str">
        <x:v>Locking field chest</x:v>
      </x:c>
      <x:c r="C17" s="4" t="str">
        <x:v>Storage object candidate</x:v>
      </x:c>
      <x:c r="D17" s="4" t="str">
        <x:v>Metal/shell chest; rigid compartment tray</x:v>
      </x:c>
      <x:c r="E17" s="4" t="str">
        <x:v>Secure expedition samples at a physical camp/worksite</x:v>
      </x:c>
      <x:c r="F17" s="4" t="str">
        <x:v>Local storage</x:v>
      </x:c>
      <x:c r="G17" s="4" t="str">
        <x:v>Mechanical lock and rigid lid proposed</x:v>
      </x:c>
      <x:c r="H17" s="4" t="str">
        <x:v>Sealed vessels and dry material</x:v>
      </x:c>
      <x:c r="I17" s="4" t="str">
        <x:v>Physical local owner; no global stockpile. Portable versus fixed identity undecided</x:v>
      </x:c>
      <x:c r="J17" s="4" t="str">
        <x:v>New storage-object candidate; not another implemented camp chest</x:v>
      </x:c>
      <x:c r="K17" s="4" t="str">
        <x:v>https://github.com/sleepyseamonster/Arc-Dust/blob/f6f98515c005dc3c73cccd9cbc031691745740c6/02-Arc-Dust-Worldbuilding/world/materials/glass.md; https://github.com/sleepyseamonster/Arc-Dust/blob/f6f98515c005dc3c73cccd9cbc031691745740c6/02-Arc-Dust-Worldbuilding/world/materials/chitin.md</x:v>
      </x:c>
    </x:row>
    <x:row r="18" ht="90" customHeight="1">
      <x:c r="A18" s="4" t="str">
        <x:v>proposal.container.funnel</x:v>
      </x:c>
      <x:c r="B18" s="4" t="str">
        <x:v>Glass transfer funnel</x:v>
      </x:c>
      <x:c r="C18" s="4" t="str">
        <x:v>Transfer glassware</x:v>
      </x:c>
      <x:c r="D18" s="4" t="str">
        <x:v>Glass bowl and stem</x:v>
      </x:c>
      <x:c r="E18" s="4" t="str">
        <x:v>Assist transfers into a compatible narrow-neck vessel</x:v>
      </x:c>
      <x:c r="F18" s="4" t="str">
        <x:v>Tool-sized</x:v>
      </x:c>
      <x:c r="G18" s="4" t="str">
        <x:v>No closure; never a storage vessel</x:v>
      </x:c>
      <x:c r="H18" s="4" t="str">
        <x:v>Temporary transfer contact only</x:v>
      </x:c>
      <x:c r="I18" s="4" t="str">
        <x:v>Residue/cross-contamination and workshop reconditioning unresolved; no ambient fluid pooling</x:v>
      </x:c>
      <x:c r="J18" s="4" t="str">
        <x:v>New glassworking tool proposal</x:v>
      </x:c>
      <x:c r="K18" s="4" t="str">
        <x:v>https://github.com/sleepyseamonster/Arc-Dust/blob/f6f98515c005dc3c73cccd9cbc031691745740c6/02-Arc-Dust-Worldbuilding/world/materials/glass.md; https://github.com/sleepyseamonster/Arc-Dust/blob/f6f98515c005dc3c73cccd9cbc031691745740c6/02-Arc-Dust-Worldbuilding/world/materials/chitin.md</x:v>
      </x:c>
    </x:row>
    <x:row r="19" ht="90" customHeight="1">
      <x:c r="A19" s="4" t="str">
        <x:v>proposal.container.draw_tube</x:v>
      </x:c>
      <x:c r="B19" s="4" t="str">
        <x:v>Glass draw tube</x:v>
      </x:c>
      <x:c r="C19" s="4" t="str">
        <x:v>Transfer glassware</x:v>
      </x:c>
      <x:c r="D19" s="4" t="str">
        <x:v>Glass tube; proposed mechanical fitting</x:v>
      </x:c>
      <x:c r="E19" s="4" t="str">
        <x:v>Move a small sample through an inspectable transfer path</x:v>
      </x:c>
      <x:c r="F19" s="4" t="str">
        <x:v>Tool-sized</x:v>
      </x:c>
      <x:c r="G19" s="4" t="str">
        <x:v>Closed mechanical interface to design</x:v>
      </x:c>
      <x:c r="H19" s="4" t="str">
        <x:v>Compatible small specimen transfer</x:v>
      </x:c>
      <x:c r="I19" s="4" t="str">
        <x:v>No mouth operation or real extraction procedure; gameplay tool and fittings unapproved</x:v>
      </x:c>
      <x:c r="J19" s="4" t="str">
        <x:v>New mechanical sample-transfer tool proposal</x:v>
      </x:c>
      <x:c r="K19" s="4" t="str">
        <x:v>https://github.com/sleepyseamonster/Arc-Dust/blob/f6f98515c005dc3c73cccd9cbc031691745740c6/02-Arc-Dust-Worldbuilding/world/materials/glass.md; https://github.com/sleepyseamonster/Arc-Dust/blob/f6f98515c005dc3c73cccd9cbc031691745740c6/02-Arc-Dust-Worldbuilding/world/materials/chitin.md</x:v>
      </x:c>
    </x:row>
    <x:row r="20" ht="90" customHeight="1">
      <x:c r="A20" s="4" t="str">
        <x:v>proposal.container.glass_stopper</x:v>
      </x:c>
      <x:c r="B20" s="4" t="str">
        <x:v>Matched glass stopper</x:v>
      </x:c>
      <x:c r="C20" s="4" t="str">
        <x:v>Closure component</x:v>
      </x:c>
      <x:c r="D20" s="4" t="str">
        <x:v>Ground glass seat; retaining clip optional</x:v>
      </x:c>
      <x:c r="E20" s="4" t="str">
        <x:v>Close its matching vessel without cork or cloth</x:v>
      </x:c>
      <x:c r="F20" s="4" t="str">
        <x:v>Part-sized</x:v>
      </x:c>
      <x:c r="G20" s="4" t="str">
        <x:v>Matched seat</x:v>
      </x:c>
      <x:c r="H20" s="4" t="str">
        <x:v>Vessel closure, not an independent payload</x:v>
      </x:c>
      <x:c r="I20" s="4" t="str">
        <x:v>Fit and material compatibility matter; no universal stopper or separate durability chore assumed</x:v>
      </x:c>
      <x:c r="J20" s="4" t="str">
        <x:v>New glass closure component proposal</x:v>
      </x:c>
      <x:c r="K20" s="4" t="str">
        <x:v>https://github.com/sleepyseamonster/Arc-Dust/blob/f6f98515c005dc3c73cccd9cbc031691745740c6/02-Arc-Dust-Worldbuilding/world/materials/glass.md; https://github.com/sleepyseamonster/Arc-Dust/blob/f6f98515c005dc3c73cccd9cbc031691745740c6/02-Arc-Dust-Worldbuilding/world/materials/chitin.md</x:v>
      </x:c>
    </x:row>
    <x:row r="21" ht="90" customHeight="1">
      <x:c r="A21" s="4" t="str">
        <x:v>proposal.container.seal_collar</x:v>
      </x:c>
      <x:c r="B21" s="4" t="str">
        <x:v>Compression seal collar</x:v>
      </x:c>
      <x:c r="C21" s="4" t="str">
        <x:v>Closure component</x:v>
      </x:c>
      <x:c r="D21" s="4" t="str">
        <x:v>Metal/shell collar; compatible mineral/biological seal insert TBD</x:v>
      </x:c>
      <x:c r="E21" s="4" t="str">
        <x:v>Retain and compress a vessel lid/seat</x:v>
      </x:c>
      <x:c r="F21" s="4" t="str">
        <x:v>Part-sized</x:v>
      </x:c>
      <x:c r="G21" s="4" t="str">
        <x:v>Mechanical collar</x:v>
      </x:c>
      <x:c r="H21" s="4" t="str">
        <x:v>Vessel closure, not a liquid container</x:v>
      </x:c>
      <x:c r="I21" s="4" t="str">
        <x:v>Biological membrane is not automatically compatible; no fat/oil/gasket recipe accepted</x:v>
      </x:c>
      <x:c r="J21" s="4" t="str">
        <x:v>New closure assembly proposal; exact seal material unresolved</x:v>
      </x:c>
      <x:c r="K21" s="4" t="str">
        <x:v>https://github.com/sleepyseamonster/Arc-Dust/blob/f6f98515c005dc3c73cccd9cbc031691745740c6/02-Arc-Dust-Worldbuilding/world/materials/glass.md; https://github.com/sleepyseamonster/Arc-Dust/blob/f6f98515c005dc3c73cccd9cbc031691745740c6/02-Arc-Dust-Worldbuilding/world/materials/chitin.md</x:v>
      </x:c>
    </x:row>
  </x:sheetData>
  <x:pageMargins left="0.7" right="0.7" top="0.75" bottom="0.75" header="0.3" footer="0.3"/>
  <x:tableParts count="1">
    <x:tablePart xmlns:r="http://schemas.openxmlformats.org/officeDocument/2006/relationships" r:id="R2cdb2404330e4700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4" hidden="0" customWidth="1"/>
    <x:col min="2" max="2" width="28" hidden="0" customWidth="1"/>
    <x:col min="3" max="3" width="28" hidden="0" customWidth="1"/>
    <x:col min="4" max="4" width="52" hidden="0" customWidth="1"/>
    <x:col min="5" max="5" width="52" hidden="0" customWidth="1"/>
    <x:col min="6" max="6" width="58" hidden="0" customWidth="1"/>
    <x:col min="7" max="7" width="62" hidden="0" customWidth="1"/>
    <x:col min="8" max="8" width="52" hidden="0" customWidth="1"/>
    <x:col min="9" max="9" width="78" hidden="0" customWidth="1"/>
    <x:col min="10" max="10" width="11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2" t="str">
        <x:v>Armor, shields and backpacks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1" t="str">
        <x:v>Requested families. Construction bands are proposals; slots, layering, capacity and effects remain undecided.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36" customHeight="1">
      <x:c r="A5" s="45" t="str">
        <x:v>Concept ID</x:v>
      </x:c>
      <x:c r="B5" s="45" t="str">
        <x:v>Item family</x:v>
      </x:c>
      <x:c r="C5" s="45" t="str">
        <x:v>Region / form</x:v>
      </x:c>
      <x:c r="D5" s="45" t="str">
        <x:v>Crude concept</x:v>
      </x:c>
      <x:c r="E5" s="45" t="str">
        <x:v>Serviceable concept</x:v>
      </x:c>
      <x:c r="F5" s="45" t="str">
        <x:v>Elaborate concept</x:v>
      </x:c>
      <x:c r="G5" s="45" t="str">
        <x:v>Material candidates</x:v>
      </x:c>
      <x:c r="H5" s="45" t="str">
        <x:v>Design purpose</x:v>
      </x:c>
      <x:c r="I5" s="45" t="str">
        <x:v>Open compatibility / ownership</x:v>
      </x:c>
      <x:c r="J5" s="45" t="str">
        <x:v>Status / basis</x:v>
      </x:c>
    </x:row>
    <x:row r="6" ht="100" customHeight="1">
      <x:c r="A6" s="4" t="str">
        <x:v>proposal.gear.mail_shirt</x:v>
      </x:c>
      <x:c r="B6" s="4" t="str">
        <x:v>Chainmail shirt</x:v>
      </x:c>
      <x:c r="C6" s="4" t="str">
        <x:v>Torso layer</x:v>
      </x:c>
      <x:c r="D6" s="4" t="str">
        <x:v>Patched ring sections with conspicuous repairs</x:v>
      </x:c>
      <x:c r="E6" s="4" t="str">
        <x:v>Consistent linked rings and repairable closures</x:v>
      </x:c>
      <x:c r="F6" s="4" t="str">
        <x:v>Closely fitted ringwork, shaped sleeves and deliberate detailing</x:v>
      </x:c>
      <x:c r="G6" s="4" t="str">
        <x:v>Metal rings; attachment/underlayer material undecided</x:v>
      </x:c>
      <x:c r="H6" s="4" t="str">
        <x:v>Flexible linked protection candidate</x:v>
      </x:c>
      <x:c r="I6" s="4" t="str">
        <x:v>Layering, weight, noise and underlayer requirements need design; no cloth assumed</x:v>
      </x:c>
      <x:c r="J6" s="4" t="str">
        <x:v>Family requested by author; construction/material details proposed. Author item-family direction, October 14, 2026. Crude/serviceable/elaborate constructions, materials and effects are new proposals. Docs/WORLD_BASIS.md#material-culture; current runtime slot contract: Assets/_Project/Scripts/Runtime/TopDown3D/Inventory/TopDown3DLoadoutLayout.cs</x:v>
      </x:c>
    </x:row>
    <x:row r="7" ht="100" customHeight="1">
      <x:c r="A7" s="4" t="str">
        <x:v>proposal.gear.metal_armor_set</x:v>
      </x:c>
      <x:c r="B7" s="4" t="str">
        <x:v>Assembled metal armor</x:v>
      </x:c>
      <x:c r="C7" s="4" t="str">
        <x:v>Whole-body assembly candidate</x:v>
      </x:c>
      <x:c r="D7" s="4" t="str">
        <x:v>Mixed scavenged plates on a simple carrier</x:v>
      </x:c>
      <x:c r="E7" s="4" t="str">
        <x:v>Coordinated torso and limb pieces</x:v>
      </x:c>
      <x:c r="F7" s="4" t="str">
        <x:v>Fitted articulated ensemble with matched joints</x:v>
      </x:c>
      <x:c r="G7" s="4" t="str">
        <x:v>Metal plates; hinges/rivets; backing and connectors undecided</x:v>
      </x:c>
      <x:c r="H7" s="4" t="str">
        <x:v>A coordinated armor family from crude to elaborate</x:v>
      </x:c>
      <x:c r="I7" s="4" t="str">
        <x:v>Set versus independently owned pieces unresolved; do not count the same plates as both set and components</x:v>
      </x:c>
      <x:c r="J7" s="4" t="str">
        <x:v>Family requested by author; construction/material details proposed. Author item-family direction, October 14, 2026. Crude/serviceable/elaborate constructions, materials and effects are new proposals. Docs/WORLD_BASIS.md#material-culture; current runtime slot contract: Assets/_Project/Scripts/Runtime/TopDown3D/Inventory/TopDown3DLoadoutLayout.cs</x:v>
      </x:c>
    </x:row>
    <x:row r="8" ht="100" customHeight="1">
      <x:c r="A8" s="4" t="str">
        <x:v>proposal.gear.chest_armor</x:v>
      </x:c>
      <x:c r="B8" s="4" t="str">
        <x:v>Chest armor</x:v>
      </x:c>
      <x:c r="C8" s="4" t="str">
        <x:v>Torso plate</x:v>
      </x:c>
      <x:c r="D8" s="4" t="str">
        <x:v>Single repaired plate and simple retaining hardware</x:v>
      </x:c>
      <x:c r="E8" s="4" t="str">
        <x:v>Shaped front/back panels with accessible closures</x:v>
      </x:c>
      <x:c r="F8" s="4" t="str">
        <x:v>Fitted articulated chest assembly with replaceable panels</x:v>
      </x:c>
      <x:c r="G8" s="4" t="str">
        <x:v>Worked metal; optional shell/mineral-backed design</x:v>
      </x:c>
      <x:c r="H8" s="4" t="str">
        <x:v>Torso protection candidate</x:v>
      </x:c>
      <x:c r="I8" s="4" t="str">
        <x:v>Relationship to chainmail, jacket, cloak and canisters unresolved; no automatic Jacket-slot compatibility</x:v>
      </x:c>
      <x:c r="J8" s="4" t="str">
        <x:v>Family requested by author; construction/material details proposed. Author item-family direction, October 14, 2026. Crude/serviceable/elaborate constructions, materials and effects are new proposals. Docs/WORLD_BASIS.md#material-culture; current runtime slot contract: Assets/_Project/Scripts/Runtime/TopDown3D/Inventory/TopDown3DLoadoutLayout.cs</x:v>
      </x:c>
    </x:row>
    <x:row r="9" ht="100" customHeight="1">
      <x:c r="A9" s="4" t="str">
        <x:v>proposal.gear.helmet</x:v>
      </x:c>
      <x:c r="B9" s="4" t="str">
        <x:v>Helmet</x:v>
      </x:c>
      <x:c r="C9" s="4" t="str">
        <x:v>Head</x:v>
      </x:c>
      <x:c r="D9" s="4" t="str">
        <x:v>Simple open bowl or salvaged cap</x:v>
      </x:c>
      <x:c r="E9" s="4" t="str">
        <x:v>Fitted shell with cheek/neck coverage options</x:v>
      </x:c>
      <x:c r="F9" s="4" t="str">
        <x:v>Articulated protective helmet with carefully framed sightlines</x:v>
      </x:c>
      <x:c r="G9" s="4" t="str">
        <x:v>Metal; optional shell panels; liner material undecided</x:v>
      </x:c>
      <x:c r="H9" s="4" t="str">
        <x:v>Head protection with readable sight/hearing tradeoffs</x:v>
      </x:c>
      <x:c r="I9" s="4" t="str">
        <x:v>Visibility, hearing, breathing and worn canister interaction need design; no sealed respiratory protection implied</x:v>
      </x:c>
      <x:c r="J9" s="4" t="str">
        <x:v>Family requested by author; construction/material details proposed. Author item-family direction, October 14, 2026. Crude/serviceable/elaborate constructions, materials and effects are new proposals. Docs/WORLD_BASIS.md#material-culture; current runtime slot contract: Assets/_Project/Scripts/Runtime/TopDown3D/Inventory/TopDown3DLoadoutLayout.cs</x:v>
      </x:c>
    </x:row>
    <x:row r="10" ht="100" customHeight="1">
      <x:c r="A10" s="4" t="str">
        <x:v>proposal.gear.leg_armor</x:v>
      </x:c>
      <x:c r="B10" s="4" t="str">
        <x:v>Leg armor</x:v>
      </x:c>
      <x:c r="C10" s="4" t="str">
        <x:v>Lower limbs</x:v>
      </x:c>
      <x:c r="D10" s="4" t="str">
        <x:v>Separate shin plates and exposed joints</x:v>
      </x:c>
      <x:c r="E10" s="4" t="str">
        <x:v>Matched shin/knee protection</x:v>
      </x:c>
      <x:c r="F10" s="4" t="str">
        <x:v>Articulated thigh/knee/shin assembly</x:v>
      </x:c>
      <x:c r="G10" s="4" t="str">
        <x:v>Metal plate segments; mechanical/flexible joints TBD</x:v>
      </x:c>
      <x:c r="H10" s="4" t="str">
        <x:v>Lower-limb protection candidate</x:v>
      </x:c>
      <x:c r="I10" s="4" t="str">
        <x:v>Crouch, climb, gait and boots must remain compatible; no movement penalties fixed</x:v>
      </x:c>
      <x:c r="J10" s="4" t="str">
        <x:v>Family requested by author; construction/material details proposed. Author item-family direction, October 14, 2026. Crude/serviceable/elaborate constructions, materials and effects are new proposals. Docs/WORLD_BASIS.md#material-culture; current runtime slot contract: Assets/_Project/Scripts/Runtime/TopDown3D/Inventory/TopDown3DLoadoutLayout.cs</x:v>
      </x:c>
    </x:row>
    <x:row r="11" ht="100" customHeight="1">
      <x:c r="A11" s="4" t="str">
        <x:v>proposal.gear.boots</x:v>
      </x:c>
      <x:c r="B11" s="4" t="str">
        <x:v>Boots</x:v>
      </x:c>
      <x:c r="C11" s="4" t="str">
        <x:v>Feet</x:v>
      </x:c>
      <x:c r="D11" s="4" t="str">
        <x:v>Rigid foot shell with basic closure and replaceable sole pieces</x:v>
      </x:c>
      <x:c r="E11" s="4" t="str">
        <x:v>Fitted boot with articulated ankle and serviceable tread</x:v>
      </x:c>
      <x:c r="F11" s="4" t="str">
        <x:v>Carefully fitted armored boot with replaceable contact surfaces</x:v>
      </x:c>
      <x:c r="G11" s="4" t="str">
        <x:v>Metal/shell structure; sole and flexible insert materials TBD</x:v>
      </x:c>
      <x:c r="H11" s="4" t="str">
        <x:v>Footwear for traversal and exposure</x:v>
      </x:c>
      <x:c r="I11" s="4" t="str">
        <x:v>Grip, sound, grounding and insulation are separate proposals; no leather, rubber or cloth assumed</x:v>
      </x:c>
      <x:c r="J11" s="4" t="str">
        <x:v>Family requested by author; construction/material details proposed. Author item-family direction, October 14, 2026. Crude/serviceable/elaborate constructions, materials and effects are new proposals. Docs/WORLD_BASIS.md#material-culture; current runtime slot contract: Assets/_Project/Scripts/Runtime/TopDown3D/Inventory/TopDown3DLoadoutLayout.cs</x:v>
      </x:c>
    </x:row>
    <x:row r="12" ht="100" customHeight="1">
      <x:c r="A12" s="4" t="str">
        <x:v>proposal.gear.gloves</x:v>
      </x:c>
      <x:c r="B12" s="4" t="str">
        <x:v>Gloves</x:v>
      </x:c>
      <x:c r="C12" s="4" t="str">
        <x:v>Hands</x:v>
      </x:c>
      <x:c r="D12" s="4" t="str">
        <x:v>Palm/knuckle guards on a sparse carrier</x:v>
      </x:c>
      <x:c r="E12" s="4" t="str">
        <x:v>Fitted hand protection with usable finger movement</x:v>
      </x:c>
      <x:c r="F12" s="4" t="str">
        <x:v>Articulated plated glove with replaceable fingertips</x:v>
      </x:c>
      <x:c r="G12" s="4" t="str">
        <x:v>Metal/shell guards; flexible insert material TBD</x:v>
      </x:c>
      <x:c r="H12" s="4" t="str">
        <x:v>Hand protection while handling tools and gear</x:v>
      </x:c>
      <x:c r="I12" s="4" t="str">
        <x:v>Dexterity, grip and chemical/electrical compatibility need design; no universal protective effect</x:v>
      </x:c>
      <x:c r="J12" s="4" t="str">
        <x:v>Family requested by author; construction/material details proposed. Author item-family direction, October 14, 2026. Crude/serviceable/elaborate constructions, materials and effects are new proposals. Docs/WORLD_BASIS.md#material-culture; current runtime slot contract: Assets/_Project/Scripts/Runtime/TopDown3D/Inventory/TopDown3DLoadoutLayout.cs</x:v>
      </x:c>
    </x:row>
    <x:row r="13" ht="100" customHeight="1">
      <x:c r="A13" s="4" t="str">
        <x:v>proposal.gear.backpack</x:v>
      </x:c>
      <x:c r="B13" s="4" t="str">
        <x:v>Backpack</x:v>
      </x:c>
      <x:c r="C13" s="4" t="str">
        <x:v>Back-mounted carrier</x:v>
      </x:c>
      <x:c r="D13" s="4" t="str">
        <x:v>Rigid back basket or simple carrying frame</x:v>
      </x:c>
      <x:c r="E13" s="4" t="str">
        <x:v>Compartmented shell/metal case on a fitted frame</x:v>
      </x:c>
      <x:c r="F13" s="4" t="str">
        <x:v>Tailored frame with modular tool mounts and access panels</x:v>
      </x:c>
      <x:c r="G13" s="4" t="str">
        <x:v>Shell panels, metal frame, hinges; harness material unresolved</x:v>
      </x:c>
      <x:c r="H13" s="4" t="str">
        <x:v>Booter-carried supplies/tool carrier candidate</x:v>
      </x:c>
      <x:c r="I13" s="4" t="str">
        <x:v>No raw-resource carrying exception. Capacity, equipment spares, cloak clearance and mounts remain open</x:v>
      </x:c>
      <x:c r="J13" s="4" t="str">
        <x:v>Family requested by author; construction/material details proposed. Author item-family direction, October 14, 2026. Crude/serviceable/elaborate constructions, materials and effects are new proposals. Docs/WORLD_BASIS.md#material-culture; current runtime slot contract: Assets/_Project/Scripts/Runtime/TopDown3D/Inventory/TopDown3DLoadoutLayout.cs</x:v>
      </x:c>
    </x:row>
    <x:row r="14" ht="100" customHeight="1">
      <x:c r="A14" s="4" t="str">
        <x:v>proposal.gear.special_plates</x:v>
      </x:c>
      <x:c r="B14" s="4" t="str">
        <x:v>Specialized armor plates</x:v>
      </x:c>
      <x:c r="C14" s="4" t="str">
        <x:v>Modular protection</x:v>
      </x:c>
      <x:c r="D14" s="4" t="str">
        <x:v>Replaceable abrasion plate or bolted reinforcement</x:v>
      </x:c>
      <x:c r="E14" s="4" t="str">
        <x:v>Purpose-shaped joint cover or impact-spreading module</x:v>
      </x:c>
      <x:c r="F14" s="4" t="str">
        <x:v>Integrated interchangeable plate system for specific tasks</x:v>
      </x:c>
      <x:c r="G14" s="4" t="str">
        <x:v>Metal, shell and optional mineral/ceramic layers; recipes TBD</x:v>
      </x:c>
      <x:c r="H14" s="4" t="str">
        <x:v>Purpose-specific protection modules</x:v>
      </x:c>
      <x:c r="I14" s="4" t="str">
        <x:v>Candidate functions: impact distribution, abrasion protection, joint coverage and electrical separation; all effects unapproved</x:v>
      </x:c>
      <x:c r="J14" s="4" t="str">
        <x:v>Family requested by author; construction/material details proposed. Author item-family direction, October 14, 2026. Crude/serviceable/elaborate constructions, materials and effects are new proposals. Docs/WORLD_BASIS.md#material-culture; current runtime slot contract: Assets/_Project/Scripts/Runtime/TopDown3D/Inventory/TopDown3DLoadoutLayout.cs</x:v>
      </x:c>
    </x:row>
    <x:row r="15" ht="100" customHeight="1">
      <x:c r="A15" s="4" t="str">
        <x:v>proposal.gear.shield</x:v>
      </x:c>
      <x:c r="B15" s="4" t="str">
        <x:v>Shield</x:v>
      </x:c>
      <x:c r="C15" s="4" t="str">
        <x:v>Held / mounted defensive gear</x:v>
      </x:c>
      <x:c r="D15" s="4" t="str">
        <x:v>Cut salvaged plate with a rigid grip</x:v>
      </x:c>
      <x:c r="E15" s="4" t="str">
        <x:v>Shaped shield with reinforced edge and repairable face</x:v>
      </x:c>
      <x:c r="F15" s="4" t="str">
        <x:v>Fitted layered shield with deliberate sightline and handling geometry</x:v>
      </x:c>
      <x:c r="G15" s="4" t="str">
        <x:v>Metal and/or shell panels; grip and rim materials TBD</x:v>
      </x:c>
      <x:c r="H15" s="4" t="str">
        <x:v>Directional protection candidate</x:v>
      </x:c>
      <x:c r="I15" s="4" t="str">
        <x:v>Hand ownership, tool use, carrying posture and Legger cargo storage need design; no blocking mechanics implemented</x:v>
      </x:c>
      <x:c r="J15" s="4" t="str">
        <x:v>Family requested by author; construction/material details proposed. Author item-family direction, October 14, 2026. Crude/serviceable/elaborate constructions, materials and effects are new proposals. Docs/WORLD_BASIS.md#material-culture; current runtime slot contract: Assets/_Project/Scripts/Runtime/TopDown3D/Inventory/TopDown3DLoadoutLayout.cs</x:v>
      </x:c>
    </x:row>
    <x:row r="16" ht="100" customHeight="1">
      <x:c r="A16" s="4" t="str">
        <x:v>proposal.fashion.special_spectacles</x:v>
      </x:c>
      <x:c r="B16" s="4" t="str">
        <x:v>Specialized spectacles</x:v>
      </x:c>
      <x:c r="C16" s="4" t="str">
        <x:v>Specialist eyewear</x:v>
      </x:c>
      <x:c r="D16" s="4" t="str">
        <x:v>Simple form remains rare; construction TBD</x:v>
      </x:c>
      <x:c r="E16" s="4" t="str">
        <x:v>Workmanship and fit TBD</x:v>
      </x:c>
      <x:c r="F16" s="4" t="str">
        <x:v>Fine finish and specialist details TBD</x:v>
      </x:c>
      <x:c r="G16" s="4" t="str">
        <x:v>Lens and frame materials/requirements TBD</x:v>
      </x:c>
      <x:c r="H16" s="4" t="str">
        <x:v>Rare specialized eyewear; precise purpose and optical effect to define.</x:v>
      </x:c>
      <x:c r="I16" s="4" t="str">
        <x:v>Specific purpose, lens manufacture, face fit and equipment compatibility remain open</x:v>
      </x:c>
      <x:c r="J16" s="4" t="str">
        <x:v>Family/rarity requested by author. Specific forms, mechanics and craft bands remain proposals. Direct author direction, October 14, 2026; Docs/WORLD_BASIS.md#material-culture. Clothing exists without cloth; fashion is very rare/expensive and qualifying crafting inputs have high sale-value intent.</x:v>
      </x:c>
    </x:row>
    <x:row r="17" ht="100" customHeight="1">
      <x:c r="A17" s="4" t="str">
        <x:v>proposal.fashion.eyeglasses</x:v>
      </x:c>
      <x:c r="B17" s="4" t="str">
        <x:v>Eyeglasses</x:v>
      </x:c>
      <x:c r="C17" s="4" t="str">
        <x:v>Eyewear</x:v>
      </x:c>
      <x:c r="D17" s="4" t="str">
        <x:v>Simple form remains rare; construction TBD</x:v>
      </x:c>
      <x:c r="E17" s="4" t="str">
        <x:v>Workmanship and fit TBD</x:v>
      </x:c>
      <x:c r="F17" s="4" t="str">
        <x:v>Fine finish and specialist details TBD</x:v>
      </x:c>
      <x:c r="G17" s="4" t="str">
        <x:v>Lens and frame materials/requirements TBD</x:v>
      </x:c>
      <x:c r="H17" s="4" t="str">
        <x:v>Rare eyeglasses; lens function, frame and fitting need design.</x:v>
      </x:c>
      <x:c r="I17" s="4" t="str">
        <x:v>Distinction from specialized spectacles and actual vision effects remain open</x:v>
      </x:c>
      <x:c r="J17" s="4" t="str">
        <x:v>Family/rarity requested by author. Specific forms, mechanics and craft bands remain proposals. Direct author direction, October 14, 2026; Docs/WORLD_BASIS.md#material-culture. Clothing exists without cloth; fashion is very rare/expensive and qualifying crafting inputs have high sale-value intent.</x:v>
      </x:c>
    </x:row>
    <x:row r="18" ht="100" customHeight="1">
      <x:c r="A18" s="4" t="str">
        <x:v>proposal.fashion.hat</x:v>
      </x:c>
      <x:c r="B18" s="4" t="str">
        <x:v>Hat</x:v>
      </x:c>
      <x:c r="C18" s="4" t="str">
        <x:v>Headwear</x:v>
      </x:c>
      <x:c r="D18" s="4" t="str">
        <x:v>Simple form remains rare; construction TBD</x:v>
      </x:c>
      <x:c r="E18" s="4" t="str">
        <x:v>Workmanship and fit TBD</x:v>
      </x:c>
      <x:c r="F18" s="4" t="str">
        <x:v>Fine finish and specialist details TBD</x:v>
      </x:c>
      <x:c r="G18" s="4" t="str">
        <x:v>Husk-fiber/fur/hide options proposed; exact construction TBD</x:v>
      </x:c>
      <x:c r="H18" s="4" t="str">
        <x:v>Rare headwear; fashion variants belong to the very rare expensive fashion economy.</x:v>
      </x:c>
      <x:c r="I18" s="4" t="str">
        <x:v>Hat versus helmet, cloak clearance, shade and decorative function unresolved</x:v>
      </x:c>
      <x:c r="J18" s="4" t="str">
        <x:v>Family/rarity requested by author. Specific forms, mechanics and craft bands remain proposals. Direct author direction, October 14, 2026; Docs/WORLD_BASIS.md#material-culture. Clothing exists without cloth; fashion is very rare/expensive and qualifying crafting inputs have high sale-value intent.</x:v>
      </x:c>
    </x:row>
    <x:row r="19" ht="100" customHeight="1">
      <x:c r="A19" s="4" t="str">
        <x:v>proposal.fashion.husk_garment</x:v>
      </x:c>
      <x:c r="B19" s="4" t="str">
        <x:v>Husk-fiber clothing</x:v>
      </x:c>
      <x:c r="C19" s="4" t="str">
        <x:v>Fashion garment</x:v>
      </x:c>
      <x:c r="D19" s="4" t="str">
        <x:v>Simple form remains rare; construction TBD</x:v>
      </x:c>
      <x:c r="E19" s="4" t="str">
        <x:v>Workmanship and fit TBD</x:v>
      </x:c>
      <x:c r="F19" s="4" t="str">
        <x:v>Fine finish and specialist details TBD</x:v>
      </x:c>
      <x:c r="G19" s="4" t="str">
        <x:v>Husk-fiber material; no cloth</x:v>
      </x:c>
      <x:c r="H19" s="4" t="str">
        <x:v>Expensive clothing made from processed husk fibers.</x:v>
      </x:c>
      <x:c r="I19" s="4" t="str">
        <x:v>Very large material demand and processing/craft time; garment form and construction open</x:v>
      </x:c>
      <x:c r="J19" s="4" t="str">
        <x:v>Family/rarity requested by author. Specific forms, mechanics and craft bands remain proposals. Direct author direction, October 14, 2026; Docs/WORLD_BASIS.md#material-culture. Clothing exists without cloth; fashion is very rare/expensive and qualifying crafting inputs have high sale-value intent.</x:v>
      </x:c>
    </x:row>
    <x:row r="20" ht="100" customHeight="1">
      <x:c r="A20" s="4" t="str">
        <x:v>proposal.fashion.fur_garment</x:v>
      </x:c>
      <x:c r="B20" s="4" t="str">
        <x:v>Fur clothing</x:v>
      </x:c>
      <x:c r="C20" s="4" t="str">
        <x:v>Fashion garment</x:v>
      </x:c>
      <x:c r="D20" s="4" t="str">
        <x:v>Simple form remains rare; construction TBD</x:v>
      </x:c>
      <x:c r="E20" s="4" t="str">
        <x:v>Workmanship and fit TBD</x:v>
      </x:c>
      <x:c r="F20" s="4" t="str">
        <x:v>Fine finish and specialist details TBD</x:v>
      </x:c>
      <x:c r="G20" s="4" t="str">
        <x:v>Animal fur; supporting material TBD; no cloth</x:v>
      </x:c>
      <x:c r="H20" s="4" t="str">
        <x:v>Expensive clothing made using processed animal fur.</x:v>
      </x:c>
      <x:c r="I20" s="4" t="str">
        <x:v>Extremely low usable processing yield; very large material/time demand; no cheap/common liner chain</x:v>
      </x:c>
      <x:c r="J20" s="4" t="str">
        <x:v>Family/rarity requested by author. Specific forms, mechanics and craft bands remain proposals. Direct author direction, October 14, 2026; Docs/WORLD_BASIS.md#material-culture. Clothing exists without cloth; fashion is very rare/expensive and qualifying crafting inputs have high sale-value intent.</x:v>
      </x:c>
    </x:row>
    <x:row r="21" ht="100" customHeight="1">
      <x:c r="A21" s="4" t="str">
        <x:v>proposal.fashion.hide_garment</x:v>
      </x:c>
      <x:c r="B21" s="4" t="str">
        <x:v>Hide clothing</x:v>
      </x:c>
      <x:c r="C21" s="4" t="str">
        <x:v>Fashion garment</x:v>
      </x:c>
      <x:c r="D21" s="4" t="str">
        <x:v>Simple form remains rare; construction TBD</x:v>
      </x:c>
      <x:c r="E21" s="4" t="str">
        <x:v>Workmanship and fit TBD</x:v>
      </x:c>
      <x:c r="F21" s="4" t="str">
        <x:v>Fine finish and specialist details TBD</x:v>
      </x:c>
      <x:c r="G21" s="4" t="str">
        <x:v>Processed hide; supporting material TBD; no cloth</x:v>
      </x:c>
      <x:c r="H21" s="4" t="str">
        <x:v>Expensive clothing made using processed hides.</x:v>
      </x:c>
      <x:c r="I21" s="4" t="str">
        <x:v>Extremely low usable processing yield; very large material/time demand; no common leather supply assumed</x:v>
      </x:c>
      <x:c r="J21" s="4" t="str">
        <x:v>Family/rarity requested by author. Specific forms, mechanics and craft bands remain proposals. Direct author direction, October 14, 2026; Docs/WORLD_BASIS.md#material-culture. Clothing exists without cloth; fashion is very rare/expensive and qualifying crafting inputs have high sale-value intent.</x:v>
      </x:c>
    </x:row>
  </x:sheetData>
  <x:pageMargins left="0.7" right="0.7" top="0.75" bottom="0.75" header="0.3" footer="0.3"/>
  <x:tableParts count="1">
    <x:tablePart xmlns:r="http://schemas.openxmlformats.org/officeDocument/2006/relationships" r:id="R927a53fda2424c38"/>
  </x:tableParts>
</x:worksheet>
</file>