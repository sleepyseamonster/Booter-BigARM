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8bb18848f64d81" /></Relationships>
</file>

<file path=xl/workbook.xml><?xml version="1.0" encoding="utf-8"?>
<x:workbook xmlns:x="http://schemas.openxmlformats.org/spreadsheetml/2006/main">
  <x:sheets>
    <x:sheet xmlns:r="http://schemas.openxmlformats.org/officeDocument/2006/relationships" name="Items" sheetId="1" r:id="R80cdcadc40a14f86"/>
    <x:sheet xmlns:r="http://schemas.openxmlformats.org/officeDocument/2006/relationships" name="Variants" sheetId="2" r:id="R1bc8d263a5e74174"/>
    <x:sheet xmlns:r="http://schemas.openxmlformats.org/officeDocument/2006/relationships" name="Recipes" sheetId="3" r:id="R6cdda8ae732e467c"/>
    <x:sheet xmlns:r="http://schemas.openxmlformats.org/officeDocument/2006/relationships" name="Categories" sheetId="4" r:id="R28cd79317b4e4d8d"/>
    <x:sheet xmlns:r="http://schemas.openxmlformats.org/officeDocument/2006/relationships" name="Guide" sheetId="5" r:id="R8ad288ed421f46c0"/>
    <x:sheet xmlns:r="http://schemas.openxmlformats.org/officeDocument/2006/relationships" name="Resource chains" sheetId="6" r:id="R64c02c5fa04d435f"/>
    <x:sheet xmlns:r="http://schemas.openxmlformats.org/officeDocument/2006/relationships" name="Creature concepts" sheetId="7" r:id="R8fd7a3d5255248ab"/>
    <x:sheet xmlns:r="http://schemas.openxmlformats.org/officeDocument/2006/relationships" name="Chemical concepts" sheetId="8" r:id="Rb68a3b26a1674707"/>
    <x:sheet xmlns:r="http://schemas.openxmlformats.org/officeDocument/2006/relationships" name="Container concepts" sheetId="9" r:id="R25f58af716644364"/>
    <x:sheet xmlns:r="http://schemas.openxmlformats.org/officeDocument/2006/relationships" name="Equipment concepts" sheetId="10" r:id="Rd9470dc3461b4c86"/>
    <x:sheet xmlns:r="http://schemas.openxmlformats.org/officeDocument/2006/relationships" name="Canister concepts" sheetId="11" r:id="Ra7ed39c55ae14839"/>
    <x:sheet xmlns:r="http://schemas.openxmlformats.org/officeDocument/2006/relationships" name="Taxonomy" sheetId="12" r:id="Rb79a412679b6440c"/>
    <x:sheet xmlns:r="http://schemas.openxmlformats.org/officeDocument/2006/relationships" name="Item uses" sheetId="13" r:id="R5056ded923e64f74"/>
    <x:sheet xmlns:r="http://schemas.openxmlformats.org/officeDocument/2006/relationships" name="Material routes" sheetId="14" r:id="Rd60bf5a2bfee457e"/>
    <x:sheet xmlns:r="http://schemas.openxmlformats.org/officeDocument/2006/relationships" name="Regional demand" sheetId="15" r:id="R12424ed76ab24a99"/>
    <x:sheet xmlns:r="http://schemas.openxmlformats.org/officeDocument/2006/relationships" name="Crafting recipes" sheetId="16" r:id="R7d28710d425548e3"/>
    <x:sheet xmlns:r="http://schemas.openxmlformats.org/officeDocument/2006/relationships" name="Crafting browser" sheetId="17" r:id="Re2379c7cf8794783"/>
    <x:sheet xmlns:r="http://schemas.openxmlformats.org/officeDocument/2006/relationships" name="Material branches" sheetId="18" r:id="R98bdad72bb3e4bc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6">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70">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00da546fffb4a41" /><Relationship Type="http://schemas.openxmlformats.org/officeDocument/2006/relationships/theme" Target="/xl/theme/theme1.xml" Id="R958028f098f24859" /><Relationship Type="http://schemas.microsoft.com/office/2022/11/relationships/FeaturePropertyBag" Target="/xl/featurePropertyBag/featurePropertyBag.xml" Id="Rdea36b1a05aa4688" /><Relationship Type="http://schemas.openxmlformats.org/officeDocument/2006/relationships/sharedStrings" Target="/xl/sharedStrings.xml" Id="R6f67dbd492094ed3" /><Relationship Type="http://schemas.openxmlformats.org/officeDocument/2006/relationships/worksheet" Target="/xl/worksheets/sheet1.xml" Id="R80cdcadc40a14f86" /><Relationship Type="http://schemas.openxmlformats.org/officeDocument/2006/relationships/worksheet" Target="/xl/worksheets/sheet2.xml" Id="R1bc8d263a5e74174" /><Relationship Type="http://schemas.openxmlformats.org/officeDocument/2006/relationships/worksheet" Target="/xl/worksheets/sheet3.xml" Id="R6cdda8ae732e467c" /><Relationship Type="http://schemas.openxmlformats.org/officeDocument/2006/relationships/worksheet" Target="/xl/worksheets/sheet4.xml" Id="R28cd79317b4e4d8d" /><Relationship Type="http://schemas.openxmlformats.org/officeDocument/2006/relationships/worksheet" Target="/xl/worksheets/sheet5.xml" Id="R8ad288ed421f46c0" /><Relationship Type="http://schemas.openxmlformats.org/officeDocument/2006/relationships/worksheet" Target="/xl/worksheets/sheet6.xml" Id="R64c02c5fa04d435f" /><Relationship Type="http://schemas.openxmlformats.org/officeDocument/2006/relationships/worksheet" Target="/xl/worksheets/sheet7.xml" Id="R8fd7a3d5255248ab" /><Relationship Type="http://schemas.openxmlformats.org/officeDocument/2006/relationships/worksheet" Target="/xl/worksheets/sheet8.xml" Id="Rb68a3b26a1674707" /><Relationship Type="http://schemas.openxmlformats.org/officeDocument/2006/relationships/worksheet" Target="/xl/worksheets/sheet9.xml" Id="R25f58af716644364" /><Relationship Type="http://schemas.openxmlformats.org/officeDocument/2006/relationships/worksheet" Target="/xl/worksheets/sheet10.xml" Id="Rd9470dc3461b4c86" /><Relationship Type="http://schemas.openxmlformats.org/officeDocument/2006/relationships/worksheet" Target="/xl/worksheets/sheet11.xml" Id="Ra7ed39c55ae14839" /><Relationship Type="http://schemas.openxmlformats.org/officeDocument/2006/relationships/worksheet" Target="/xl/worksheets/sheet12.xml" Id="Rb79a412679b6440c" /><Relationship Type="http://schemas.openxmlformats.org/officeDocument/2006/relationships/worksheet" Target="/xl/worksheets/sheet13.xml" Id="R5056ded923e64f74" /><Relationship Type="http://schemas.openxmlformats.org/officeDocument/2006/relationships/worksheet" Target="/xl/worksheets/sheet14.xml" Id="Rd60bf5a2bfee457e" /><Relationship Type="http://schemas.openxmlformats.org/officeDocument/2006/relationships/worksheet" Target="/xl/worksheets/sheet15.xml" Id="R12424ed76ab24a99" /><Relationship Type="http://schemas.openxmlformats.org/officeDocument/2006/relationships/worksheet" Target="/xl/worksheets/sheet16.xml" Id="R7d28710d425548e3" /><Relationship Type="http://schemas.openxmlformats.org/officeDocument/2006/relationships/worksheet" Target="/xl/worksheets/sheet17.xml" Id="Re2379c7cf8794783" /><Relationship Type="http://schemas.openxmlformats.org/officeDocument/2006/relationships/worksheet" Target="/xl/worksheets/sheet18.xml" Id="R98bdad72bb3e4bc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447" headerRowCount="1" totalsRowCount="0" totalsRowShown="0">
  <x:autoFilter ref="A5:AN447"/>
  <x:tableColumns count="40">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7" headerRowCount="1" totalsRowCount="0" totalsRowShown="0">
  <x:autoFilter ref="A5:E4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05" headerRowCount="1" totalsRowCount="0" totalsRowShown="0">
  <x:autoFilter ref="A5:B205"/>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13" headerRowCount="1" totalsRowCount="0" totalsRowShown="0">
  <x:autoFilter ref="A5:C21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606" headerRowCount="1" totalsRowCount="0" totalsRowShown="0">
  <x:autoFilter ref="A5:F60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86" headerRowCount="1" totalsRowCount="0" totalsRowShown="0">
  <x:autoFilter ref="A5:Q28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118" headerRowCount="1" totalsRowCount="0" totalsRowShown="0">
  <x:autoFilter ref="A5:M118"/>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73" headerRowCount="1" totalsRowCount="0" totalsRowShown="0">
  <x:autoFilter ref="A5:V173"/>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16" headerRowCount="1" totalsRowCount="0" totalsRowShown="0">
  <x:autoFilter ref="A5:H16"/>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37c931249c24114" /></Relationships>
</file>

<file path=xl/worksheets/_rels/sheet2.xml.rels>&#65279;<?xml version="1.0" encoding="utf-8"?><Relationships xmlns="http://schemas.openxmlformats.org/package/2006/relationships"><Relationship Type="http://schemas.openxmlformats.org/officeDocument/2006/relationships/table" Target="/xl/tables/table2.xml" Id="R0f54774a1111438b" /></Relationships>
</file>

<file path=xl/worksheets/_rels/sheet3.xml.rels>&#65279;<?xml version="1.0" encoding="utf-8"?><Relationships xmlns="http://schemas.openxmlformats.org/package/2006/relationships"><Relationship Type="http://schemas.openxmlformats.org/officeDocument/2006/relationships/table" Target="/xl/tables/table3.xml" Id="R7912599e3ea74136" /></Relationships>
</file>

<file path=xl/worksheets/_rels/sheet4.xml.rels>&#65279;<?xml version="1.0" encoding="utf-8"?><Relationships xmlns="http://schemas.openxmlformats.org/package/2006/relationships"><Relationship Type="http://schemas.openxmlformats.org/officeDocument/2006/relationships/table" Target="/xl/tables/table4.xml" Id="Rbf6507cbecac4b61" /></Relationships>
</file>

<file path=xl/worksheets/_rels/sheet5.xml.rels>&#65279;<?xml version="1.0" encoding="utf-8"?><Relationships xmlns="http://schemas.openxmlformats.org/package/2006/relationships"><Relationship Type="http://schemas.openxmlformats.org/officeDocument/2006/relationships/table" Target="/xl/tables/table5.xml" Id="R76793f6de485467d" /></Relationships>
</file>

<file path=xl/worksheets/_rels/sheet6.xml.rels>&#65279;<?xml version="1.0" encoding="utf-8"?><Relationships xmlns="http://schemas.openxmlformats.org/package/2006/relationships"><Relationship Type="http://schemas.openxmlformats.org/officeDocument/2006/relationships/table" Target="/xl/tables/table6.xml" Id="Rf8da695018cc4e27" /></Relationships>
</file>

<file path=xl/worksheets/_rels/sheet7.xml.rels>&#65279;<?xml version="1.0" encoding="utf-8"?><Relationships xmlns="http://schemas.openxmlformats.org/package/2006/relationships"><Relationship Type="http://schemas.openxmlformats.org/officeDocument/2006/relationships/table" Target="/xl/tables/table7.xml" Id="Rabd003496cca419a" /></Relationships>
</file>

<file path=xl/worksheets/_rels/sheet8.xml.rels>&#65279;<?xml version="1.0" encoding="utf-8"?><Relationships xmlns="http://schemas.openxmlformats.org/package/2006/relationships"><Relationship Type="http://schemas.openxmlformats.org/officeDocument/2006/relationships/table" Target="/xl/tables/table8.xml" Id="R3a97aacdf2b344e1" /></Relationships>
</file>

<file path=xl/worksheets/_rels/sheet9.xml.rels>&#65279;<?xml version="1.0" encoding="utf-8"?><Relationships xmlns="http://schemas.openxmlformats.org/package/2006/relationships"><Relationship Type="http://schemas.openxmlformats.org/officeDocument/2006/relationships/table" Target="/xl/tables/table9.xml" Id="Rfe2cc7c159654314" /></Relationships>
</file>

<file path=xl/worksheets/_rels/sheet10.xml.rels>&#65279;<?xml version="1.0" encoding="utf-8"?><Relationships xmlns="http://schemas.openxmlformats.org/package/2006/relationships"><Relationship Type="http://schemas.openxmlformats.org/officeDocument/2006/relationships/table" Target="/xl/tables/table10.xml" Id="Ra7bb22362d554764" /></Relationships>
</file>

<file path=xl/worksheets/_rels/sheet11.xml.rels>&#65279;<?xml version="1.0" encoding="utf-8"?><Relationships xmlns="http://schemas.openxmlformats.org/package/2006/relationships"><Relationship Type="http://schemas.openxmlformats.org/officeDocument/2006/relationships/table" Target="/xl/tables/table11.xml" Id="Rb6bdf2c76c994962" /></Relationships>
</file>

<file path=xl/worksheets/_rels/sheet12.xml.rels>&#65279;<?xml version="1.0" encoding="utf-8"?><Relationships xmlns="http://schemas.openxmlformats.org/package/2006/relationships"><Relationship Type="http://schemas.openxmlformats.org/officeDocument/2006/relationships/table" Target="/xl/tables/table12.xml" Id="R62c4c67cb19945e3" /></Relationships>
</file>

<file path=xl/worksheets/_rels/sheet13.xml.rels>&#65279;<?xml version="1.0" encoding="utf-8"?><Relationships xmlns="http://schemas.openxmlformats.org/package/2006/relationships"><Relationship Type="http://schemas.openxmlformats.org/officeDocument/2006/relationships/table" Target="/xl/tables/table13.xml" Id="Rcf4030e34c8544cd" /></Relationships>
</file>

<file path=xl/worksheets/_rels/sheet14.xml.rels>&#65279;<?xml version="1.0" encoding="utf-8"?><Relationships xmlns="http://schemas.openxmlformats.org/package/2006/relationships"><Relationship Type="http://schemas.openxmlformats.org/officeDocument/2006/relationships/table" Target="/xl/tables/table14.xml" Id="Rda4d593131784a1c" /></Relationships>
</file>

<file path=xl/worksheets/_rels/sheet15.xml.rels>&#65279;<?xml version="1.0" encoding="utf-8"?><Relationships xmlns="http://schemas.openxmlformats.org/package/2006/relationships"><Relationship Type="http://schemas.openxmlformats.org/officeDocument/2006/relationships/table" Target="/xl/tables/table15.xml" Id="R0a09be0d2ae040f7" /></Relationships>
</file>

<file path=xl/worksheets/_rels/sheet16.xml.rels>&#65279;<?xml version="1.0" encoding="utf-8"?><Relationships xmlns="http://schemas.openxmlformats.org/package/2006/relationships"><Relationship Type="http://schemas.openxmlformats.org/officeDocument/2006/relationships/table" Target="/xl/tables/table16.xml" Id="R84fc72cb06ec40ec" /></Relationships>
</file>

<file path=xl/worksheets/_rels/sheet17.xml.rels>&#65279;<?xml version="1.0" encoding="utf-8"?><Relationships xmlns="http://schemas.openxmlformats.org/package/2006/relationships"><Relationship Type="http://schemas.openxmlformats.org/officeDocument/2006/relationships/table" Target="/xl/tables/table17.xml" Id="Rd8ade68a3c7741b6" /></Relationships>
</file>

<file path=xl/worksheets/_rels/sheet18.xml.rels>&#65279;<?xml version="1.0" encoding="utf-8"?><Relationships xmlns="http://schemas.openxmlformats.org/package/2006/relationships"><Relationship Type="http://schemas.openxmlformats.org/officeDocument/2006/relationships/table" Target="/xl/tables/table18.xml" Id="R28dbd23c0cff4b53"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"&amp;U6&amp;"; "&amp;AF6&amp;"; "&amp;AH6&amp;"; "&amp;AI6)</x:f>
        <x:v>lab.salvage.drive_assembly; drive assembly; crafting components; salvage; crafting component; recovered part; recovered machinery; machinery repair; mixed / unresolved; assembly; existing definition; ; unassigned; not applicable; component</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status/completeness",IF(AF6="T0","Raw entry feed; no production route","No production route listed"))</x:f>
        <x:v>No production route listed</x:v>
      </x:c>
      <x:c r="AN6" s="14" t="n">
        <x:f>IF(AF6="T0",0,IF(AF6="T1",1,IF(AF6="T2",2,IF(AF6="T3",3,IF(AF6="T4",4,IF(AF6="Unassigned",98,99))))))</x:f>
        <x:v>98</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"&amp;U7&amp;"; "&amp;AF7&amp;"; "&amp;AH7&amp;"; "&amp;AI7)</x:f>
        <x:v>lab.salvage.metal_plate; metal plate; crafting components; salvage; crafting component; recovered part; recovered machinery; fabrication; metal; solid part; existing definition; ; unassigned; not applicable; component</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status/completeness",IF(AF7="T0","Raw entry feed; no production route","No production route listed"))</x:f>
        <x:v>No production route listed</x:v>
      </x:c>
      <x:c r="AN7" s="14" t="n">
        <x:f>IF(AF7="T0",0,IF(AF7="T1",1,IF(AF7="T2",2,IF(AF7="T3",3,IF(AF7="T4",4,IF(AF7="Unassigned",98,99))))))</x:f>
        <x:v>98</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"&amp;U8&amp;"; "&amp;AF8&amp;"; "&amp;AH8&amp;"; "&amp;AI8)</x:f>
        <x:v>lab.salvage.wire_bundle; wire bundle; crafting components; salvage; crafting component; recovered part; recovered machinery; electrical work; metal; bundle; existing definition; ; unassigned; not applicable; component</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status/completeness",IF(AF8="T0","Raw entry feed; no production route","No production route listed"))</x:f>
        <x:v>No production route listed</x:v>
      </x:c>
      <x:c r="AN8" s="14" t="n">
        <x:f>IF(AF8="T0",0,IF(AF8="T1",1,IF(AF8="T2",2,IF(AF8="T3",3,IF(AF8="T4",4,IF(AF8="Unassigned",98,99))))))</x:f>
        <x:v>98</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"&amp;U9&amp;"; "&amp;AF9&amp;"; "&amp;AH9&amp;"; "&amp;AI9)</x:f>
        <x:v>equipment.algae_canister; algae canister; equipment; survival; container; finished item; living culture; survival provision; mixed / unresolved; assembly; existing definition; injury treatment; not applicable; unassigned; finished item</x:v>
      </x:c>
      <x:c r="AE9" s="4" t="str">
        <x:v>From current item description. Proposed uses retain their existing approval status.</x:v>
      </x:c>
      <x:c r="AF9" s="4" t="str">
        <x:v>Not applicable</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status/completeness",IF(AF9="T0","Raw entry feed; no production route","No production route listed"))</x:f>
        <x:v>No production route listed</x:v>
      </x:c>
      <x:c r="AN9" s="14" t="n">
        <x:f>IF(AF9="T0",0,IF(AF9="T1",1,IF(AF9="T2",2,IF(AF9="T3",3,IF(AF9="T4",4,IF(AF9="Unassigned",98,99))))))</x:f>
        <x:v>99</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"&amp;U10&amp;"; "&amp;AF10&amp;"; "&amp;AH10&amp;"; "&amp;AI10)</x:f>
        <x:v>equipment.cloak; cloak; equipment; clothing; wearable; finished item; unresolved; clothing; unresolved; garment; existing definition; camp rest; not applicable; unassigned; finished item</x:v>
      </x:c>
      <x:c r="AE10" s="4" t="str">
        <x:v>From current item description. Proposed uses retain their existing approval status.</x:v>
      </x:c>
      <x:c r="AF10" s="4" t="str">
        <x:v>Not applicable</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status/completeness",IF(AF10="T0","Raw entry feed; no production route","No production route listed"))</x:f>
        <x:v>No production route listed</x:v>
      </x:c>
      <x:c r="AN10" s="14" t="n">
        <x:f>IF(AF10="T0",0,IF(AF10="T1",1,IF(AF10="T2",2,IF(AF10="T3",3,IF(AF10="T4",4,IF(AF10="Unassigned",98,99))))))</x:f>
        <x:v>99</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"&amp;U11&amp;"; "&amp;AF11&amp;"; "&amp;AH11&amp;"; "&amp;AI11)</x:f>
        <x:v>equipment.digging_tool; digging shovel axe; equipment; excavation; tool; finished item; unresolved; excavation; mixed / unresolved; assembly; existing definition; ; not applicable; unassigned; finished item</x:v>
      </x:c>
      <x:c r="AE11" s="4" t="str">
        <x:v>From current item description. Proposed uses retain their existing approval status.</x:v>
      </x:c>
      <x:c r="AF11" s="4" t="str">
        <x:v>Not applicable</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status/completeness",IF(AF11="T0","Raw entry feed; no production route","No production route listed"))</x:f>
        <x:v>No production route listed</x:v>
      </x:c>
      <x:c r="AN11" s="14" t="n">
        <x:f>IF(AF11="T0",0,IF(AF11="T1",1,IF(AF11="T2",2,IF(AF11="T3",3,IF(AF11="T4",4,IF(AF11="Unassigned",98,99))))))</x:f>
        <x:v>99</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"&amp;U12&amp;"; "&amp;AF12&amp;"; "&amp;AH12&amp;"; "&amp;AI12)</x:f>
        <x:v>tool.micro_dust_harvester; dust canister; equipment; harvesting; tool; finished item; unresolved; resource collection; mixed / unresolved; assembly; existing definition; ; not applicable; unassigned; finished item</x:v>
      </x:c>
      <x:c r="AE12" s="4" t="str">
        <x:v>From current item description. Proposed uses retain their existing approval status.</x:v>
      </x:c>
      <x:c r="AF12" s="4" t="str">
        <x:v>Not applicable</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status/completeness",IF(AF12="T0","Raw entry feed; no production route","No production route listed"))</x:f>
        <x:v>No production route listed</x:v>
      </x:c>
      <x:c r="AN12" s="14" t="n">
        <x:f>IF(AF12="T0",0,IF(AF12="T1",1,IF(AF12="T2",2,IF(AF12="T3",3,IF(AF12="T4",4,IF(AF12="Unassigned",98,99))))))</x:f>
        <x:v>99</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"&amp;U13&amp;"; "&amp;AF13&amp;"; "&amp;AH13&amp;"; "&amp;AI13)</x:f>
        <x:v>equipment.grappling_hook; grappling hook; equipment; traversal; tool; finished item; unresolved; traversal; mixed / unresolved; assembly; existing definition; ; not applicable; unassigned; finished item</x:v>
      </x:c>
      <x:c r="AE13" s="4" t="str">
        <x:v>From current item description. Proposed uses retain their existing approval status.</x:v>
      </x:c>
      <x:c r="AF13" s="4" t="str">
        <x:v>Not applicable</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status/completeness",IF(AF13="T0","Raw entry feed; no production route","No production route listed"))</x:f>
        <x:v>No production route listed</x:v>
      </x:c>
      <x:c r="AN13" s="14" t="n">
        <x:f>IF(AF13="T0",0,IF(AF13="T1",1,IF(AF13="T2",2,IF(AF13="T3",3,IF(AF13="T4",4,IF(AF13="Unassigned",98,99))))))</x:f>
        <x:v>99</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"&amp;U14&amp;"; "&amp;AF14&amp;"; "&amp;AH14&amp;"; "&amp;AI14)</x:f>
        <x:v>equipment.jacket; jacket; equipment; clothing; wearable; finished item; unresolved; clothing; unresolved; garment; existing definition; ; not applicable; unassigned; finished item</x:v>
      </x:c>
      <x:c r="AE14" s="4" t="str">
        <x:v>From current item description. Proposed uses retain their existing approval status.</x:v>
      </x:c>
      <x:c r="AF14" s="4" t="str">
        <x:v>Not applicable</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status/completeness",IF(AF14="T0","Raw entry feed; no production route","No production route listed"))</x:f>
        <x:v>No production route listed</x:v>
      </x:c>
      <x:c r="AN14" s="14" t="n">
        <x:f>IF(AF14="T0",0,IF(AF14="T1",1,IF(AF14="T2",2,IF(AF14="T3",3,IF(AF14="T4",4,IF(AF14="Unassigned",98,99))))))</x:f>
        <x:v>99</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"&amp;U15&amp;"; "&amp;AF15&amp;"; "&amp;AH15&amp;"; "&amp;AI15)</x:f>
        <x:v>equipment.arc_battery_charged; charged arc battery; field supplies; energy container; energy storage; finished item; manufactured / unresolved; energy storage; mixed / unresolved; assembly; existing definition; ; not applicable; unassigned; finished item</x:v>
      </x:c>
      <x:c r="AE15" s="4" t="str">
        <x:v>From current item description. Proposed uses retain their existing approval status.</x:v>
      </x:c>
      <x:c r="AF15" s="4" t="str">
        <x:v>Not applicable</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status/completeness",IF(AF15="T0","Raw entry feed; no production route","No production route listed"))</x:f>
        <x:v>Route listed; review status/completeness</x:v>
      </x:c>
      <x:c r="AN15" s="14" t="n">
        <x:f>IF(AF15="T0",0,IF(AF15="T1",1,IF(AF15="T2",2,IF(AF15="T3",3,IF(AF15="T4",4,IF(AF15="Unassigned",98,99))))))</x:f>
        <x:v>99</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"&amp;U16&amp;"; "&amp;AF16&amp;";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E16" s="4" t="str">
        <x:v>From current item description. Proposed uses retain their existing approval status.</x:v>
      </x:c>
      <x:c r="AF16" s="4" t="str">
        <x:v>Not applicable</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status/completeness",IF(AF16="T0","Raw entry feed; no production route","No production route listed"))</x:f>
        <x:v>Route listed; review status/completeness</x:v>
      </x:c>
      <x:c r="AN16" s="14" t="n">
        <x:f>IF(AF16="T0",0,IF(AF16="T1",1,IF(AF16="T2",2,IF(AF16="T3",3,IF(AF16="T4",4,IF(AF16="Unassigned",98,99))))))</x:f>
        <x:v>99</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"&amp;U17&amp;"; "&amp;AF17&amp;"; "&amp;AH17&amp;"; "&amp;AI17)</x:f>
        <x:v>tool.popup_camp; pop-up camp; field supplies; camp bundle; shelter kit; finished item; unresolved; camp rest; mixed / unresolved; assembly; existing definition; sun shading; vertical sun shade shelter; not applicable; unassigned; finished item</x:v>
      </x:c>
      <x:c r="AE17" s="4" t="str">
        <x:v>From current item description. Proposed uses retain their existing approval status.</x:v>
      </x:c>
      <x:c r="AF17" s="4" t="str">
        <x:v>Not applicable</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status/completeness",IF(AF17="T0","Raw entry feed; no production route","No production route listed"))</x:f>
        <x:v>No production route listed</x:v>
      </x:c>
      <x:c r="AN17" s="14" t="n">
        <x:f>IF(AF17="T0",0,IF(AF17="T1",1,IF(AF17="T2",2,IF(AF17="T3",3,IF(AF17="T4",4,IF(AF17="Unassigned",98,99))))))</x:f>
        <x:v>99</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"&amp;U18&amp;"; "&amp;AF18&amp;"; "&amp;AH18&amp;"; "&amp;AI18)</x:f>
        <x:v>resource.airborne_dust; airborne dust; resources; airborne resource; raw material; raw; atmospheric; energy processing; unresolved; particles; existing definition; ; t0; not applicable; material</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status/completeness",IF(AF18="T0","Raw entry feed; no production route","No production route listed"))</x:f>
        <x:v>Raw entry feed; no production route</x:v>
      </x:c>
      <x:c r="AN18" s="14" t="n">
        <x:f>IF(AF18="T0",0,IF(AF18="T1",1,IF(AF18="T2",2,IF(AF18="T3",3,IF(AF18="T4",4,IF(AF18="Unassigned",98,99))))))</x:f>
        <x:v>0</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"&amp;U19&amp;"; "&amp;AF19&amp;"; "&amp;AH19&amp;"; "&amp;AI19)</x:f>
        <x:v>lab.ironstone.aggregate; coarse aggregate; resources; processed mineral; processed material; processed intermediate; geological; use unresolved; mineral; particles; existing definition; ; unassigned; not applicable; material</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0</x:v>
      </x:c>
      <x:c r="AL19" s="4" t="n">
        <x:f>COUNTIFS('Material routes'!$D$6:$D$1005,A19,'Material routes'!$C$6:$C$1005,"Tool candidate")</x:f>
        <x:v>0</x:v>
      </x:c>
      <x:c r="AM19" s="4" t="str">
        <x:f>IF(AJ19&gt;0,"Route listed; review status/completeness",IF(AF19="T0","Raw entry feed; no production route","No production route listed"))</x:f>
        <x:v>Route listed; review status/completeness</x:v>
      </x:c>
      <x:c r="AN19" s="14" t="n">
        <x:f>IF(AF19="T0",0,IF(AF19="T1",1,IF(AF19="T2",2,IF(AF19="T3",3,IF(AF19="T4",4,IF(AF19="Unassigned",98,99))))))</x:f>
        <x:v>98</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"&amp;U20&amp;"; "&amp;AF20&amp;"; "&amp;AH20&amp;"; "&amp;AI20)</x:f>
        <x:v>lab.ironstone.concentrate; iron-rich concentrate; resources; processed mineral; processed material; processed intermediate; geological; metal refining; mineral; particles; existing definition; ; t1; not applicable; material</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status/completeness",IF(AF20="T0","Raw entry feed; no production route","No production route listed"))</x:f>
        <x:v>Route listed; review status/completeness</x:v>
      </x:c>
      <x:c r="AN20" s="14" t="n">
        <x:f>IF(AF20="T0",0,IF(AF20="T1",1,IF(AF20="T2",2,IF(AF20="T3",3,IF(AF20="T4",4,IF(AF20="Unassigned",98,99))))))</x:f>
        <x:v>1</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"&amp;U21&amp;"; "&amp;AF21&amp;"; "&amp;AH21&amp;"; "&amp;AI21)</x:f>
        <x:v>resource.ironstone_ore; ironstone ore; resources; raw mineral; raw material; raw; geological; metal refining; mineral; rock; existing definition; fabrication; unprocessed iron rich stone; t0; not applicable; material</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status/completeness",IF(AF21="T0","Raw entry feed; no production route","No production route listed"))</x:f>
        <x:v>Raw entry feed; no production route</x:v>
      </x:c>
      <x:c r="AN21" s="14" t="n">
        <x:f>IF(AF21="T0",0,IF(AF21="T1",1,IF(AF21="T2",2,IF(AF21="T3",3,IF(AF21="T4",4,IF(AF21="Unassigned",98,99))))))</x:f>
        <x:v>0</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"&amp;U22&amp;"; "&amp;AF22&amp;"; "&amp;AH22&amp;"; "&amp;AI22)</x:f>
        <x:v>lab.ironstone.mineral_dust; mineral dust; resources; processed mineral; processed material; processed intermediate; geological; use unresolved; mineral; particles; existing definition; ; unassigned; not applicable; material</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status/completeness",IF(AF22="T0","Raw entry feed; no production route","No production route listed"))</x:f>
        <x:v>Route listed; review status/completeness</x:v>
      </x:c>
      <x:c r="AN22" s="14" t="n">
        <x:f>IF(AF22="T0",0,IF(AF22="T1",1,IF(AF22="T2",2,IF(AF22="T3",3,IF(AF22="T4",4,IF(AF22="Unassigned",98,99))))))</x:f>
        <x:v>98</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"&amp;U23&amp;"; "&amp;AF23&amp;"; "&amp;AH23&amp;"; "&amp;AI23)</x:f>
        <x:v>lab.ironstone.sand; mineral sand; resources; processed mineral; processed material; processed intermediate; geological; use unresolved; mineral; particles; existing definition; ; unassigned; not applicable; material</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status/completeness",IF(AF23="T0","Raw entry feed; no production route","No production route listed"))</x:f>
        <x:v>Route listed; review status/completeness</x:v>
      </x:c>
      <x:c r="AN23" s="14" t="n">
        <x:f>IF(AF23="T0",0,IF(AF23="T1",1,IF(AF23="T2",2,IF(AF23="T3",3,IF(AF23="T4",4,IF(AF23="Unassigned",98,99))))))</x:f>
        <x:v>98</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"&amp;U24&amp;"; "&amp;AF24&amp;"; "&amp;AH24&amp;"; "&amp;AI24)</x:f>
        <x:v>proposal.gear.magnets; field magnets; equipment; magnetic recovery; tool; finished item; manufactured / unresolved; resource collection; mixed / unresolved; assembly; author direction; work holding; not applicable; unassigned; finished item</x:v>
      </x:c>
      <x:c r="AE24" s="4" t="str">
        <x:v>From current item description. Proposed uses retain their existing approval status.</x:v>
      </x:c>
      <x:c r="AF24" s="4" t="str">
        <x:v>Not applicable</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status/completeness",IF(AF24="T0","Raw entry feed; no production route","No production route listed"))</x:f>
        <x:v>No production route listed</x:v>
      </x:c>
      <x:c r="AN24" s="14" t="n">
        <x:f>IF(AF24="T0",0,IF(AF24="T1",1,IF(AF24="T2",2,IF(AF24="T3",3,IF(AF24="T4",4,IF(AF24="Unassigned",98,99))))))</x:f>
        <x:v>99</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"&amp;U25&amp;"; "&amp;AF25&amp;"; "&amp;AH25&amp;"; "&amp;AI25)</x:f>
        <x:v>proposal.gear.grounding_kit; static grounding kit; equipment; charge management; tool; finished item; manufactured / unresolved; static management; mixed / unresolved; assembly; author direction; ; not applicable; unassigned; finished item</x:v>
      </x:c>
      <x:c r="AE25" s="4" t="str">
        <x:v>From current item description. Proposed uses retain their existing approval status.</x:v>
      </x:c>
      <x:c r="AF25" s="4" t="str">
        <x:v>Not applicable</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status/completeness",IF(AF25="T0","Raw entry feed; no production route","No production route listed"))</x:f>
        <x:v>Route listed; review status/completeness</x:v>
      </x:c>
      <x:c r="AN25" s="14" t="n">
        <x:f>IF(AF25="T0",0,IF(AF25="T1",1,IF(AF25="T2",2,IF(AF25="T3",3,IF(AF25="T4",4,IF(AF25="Unassigned",98,99))))))</x:f>
        <x:v>99</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"&amp;U26&amp;"; "&amp;AF26&amp;"; "&amp;AH26&amp;"; "&amp;AI26)</x:f>
        <x:v>proposal.natural.magnetite; magnetite-rich stone; resources; raw mineral; raw material; raw; geological; metal refining; mineral; rock; proposal; magnetic tools; t0; not applicable; material</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status/completeness",IF(AF26="T0","Raw entry feed; no production route","No production route listed"))</x:f>
        <x:v>Raw entry feed; no production route</x:v>
      </x:c>
      <x:c r="AN26" s="14" t="n">
        <x:f>IF(AF26="T0",0,IF(AF26="T1",1,IF(AF26="T2",2,IF(AF26="T3",3,IF(AF26="T4",4,IF(AF26="Unassigned",98,99))))))</x:f>
        <x:v>0</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"&amp;U27&amp;"; "&amp;AF27&amp;"; "&amp;AH27&amp;"; "&amp;AI27)</x:f>
        <x:v>proposal.natural.silica; silica-rich grit; resources; raw mineral; raw material; raw; geological; surface finishing; mineral; particles; proposal; glass and ceramics; t0; not applicable; material</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3</x:v>
      </x:c>
      <x:c r="AL27" s="4" t="n">
        <x:f>COUNTIFS('Material routes'!$D$6:$D$1005,A27,'Material routes'!$C$6:$C$1005,"Tool candidate")</x:f>
        <x:v>0</x:v>
      </x:c>
      <x:c r="AM27" s="4" t="str">
        <x:f>IF(AJ27&gt;0,"Route listed; review status/completeness",IF(AF27="T0","Raw entry feed; no production route","No production route listed"))</x:f>
        <x:v>Raw entry feed; no production route</x:v>
      </x:c>
      <x:c r="AN27" s="14" t="n">
        <x:f>IF(AF27="T0",0,IF(AF27="T1",1,IF(AF27="T2",2,IF(AF27="T3",3,IF(AF27="T4",4,IF(AF27="Unassigned",98,99))))))</x:f>
        <x:v>0</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"&amp;U28&amp;"; "&amp;AF28&amp;"; "&amp;AH28&amp;"; "&amp;AI28)</x:f>
        <x:v>proposal.natural.alumina; alumina-rich rock; resources; raw mineral; raw material; raw; geological; glass and ceramics; mineral; rock; proposal; electrical insulation; t0; not applicable; material</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2</x:v>
      </x:c>
      <x:c r="AL28" s="4" t="n">
        <x:f>COUNTIFS('Material routes'!$D$6:$D$1005,A28,'Material routes'!$C$6:$C$1005,"Tool candidate")</x:f>
        <x:v>0</x:v>
      </x:c>
      <x:c r="AM28" s="4" t="str">
        <x:f>IF(AJ28&gt;0,"Route listed; review status/completeness",IF(AF28="T0","Raw entry feed; no production route","No production route listed"))</x:f>
        <x:v>Raw entry feed; no production route</x:v>
      </x:c>
      <x:c r="AN28" s="14" t="n">
        <x:f>IF(AF28="T0",0,IF(AF28="T1",1,IF(AF28="T2",2,IF(AF28="T3",3,IF(AF28="T4",4,IF(AF28="Unassigned",98,99))))))</x:f>
        <x:v>0</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"&amp;U29&amp;"; "&amp;AF29&amp;"; "&amp;AH29&amp;"; "&amp;AI29)</x:f>
        <x:v>proposal.natural.claystone; claystone; resources; raw mineral; raw material; raw; geological; glass and ceramics; mineral; rock; proposal; ; t0; not applicable; material</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status/completeness",IF(AF29="T0","Raw entry feed; no production route","No production route listed"))</x:f>
        <x:v>Raw entry feed; no production route</x:v>
      </x:c>
      <x:c r="AN29" s="14" t="n">
        <x:f>IF(AF29="T0",0,IF(AF29="T1",1,IF(AF29="T2",2,IF(AF29="T3",3,IF(AF29="T4",4,IF(AF29="Unassigned",98,99))))))</x:f>
        <x:v>0</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"&amp;U30&amp;"; "&amp;AF30&amp;"; "&amp;AH30&amp;"; "&amp;AI30)</x:f>
        <x:v>proposal.natural.carbonate; carbonate stone; resources; raw mineral; raw material; raw; geological; binding and construction; mineral; rock; proposal; ; t0; not applicable; material</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2</x:v>
      </x:c>
      <x:c r="AL30" s="4" t="n">
        <x:f>COUNTIFS('Material routes'!$D$6:$D$1005,A30,'Material routes'!$C$6:$C$1005,"Tool candidate")</x:f>
        <x:v>0</x:v>
      </x:c>
      <x:c r="AM30" s="4" t="str">
        <x:f>IF(AJ30&gt;0,"Route listed; review status/completeness",IF(AF30="T0","Raw entry feed; no production route","No production route listed"))</x:f>
        <x:v>Raw entry feed; no production route</x:v>
      </x:c>
      <x:c r="AN30" s="14" t="n">
        <x:f>IF(AF30="T0",0,IF(AF30="T1",1,IF(AF30="T2",2,IF(AF30="T3",3,IF(AF30="T4",4,IF(AF30="Unassigned",98,99))))))</x:f>
        <x:v>0</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"&amp;U31&amp;"; "&amp;AF31&amp;"; "&amp;AH31&amp;"; "&amp;AI31)</x:f>
        <x:v>proposal.natural.salts; dry mineral salts; resources; raw mineral; raw material; raw; geological; culture support; mineral; particles; proposal; ; t0; not applicable; material</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1</x:v>
      </x:c>
      <x:c r="AL31" s="4" t="n">
        <x:f>COUNTIFS('Material routes'!$D$6:$D$1005,A31,'Material routes'!$C$6:$C$1005,"Tool candidate")</x:f>
        <x:v>0</x:v>
      </x:c>
      <x:c r="AM31" s="4" t="str">
        <x:f>IF(AJ31&gt;0,"Route listed; review status/completeness",IF(AF31="T0","Raw entry feed; no production route","No production route listed"))</x:f>
        <x:v>Raw entry feed; no production route</x:v>
      </x:c>
      <x:c r="AN31" s="14" t="n">
        <x:f>IF(AF31="T0",0,IF(AF31="T1",1,IF(AF31="T2",2,IF(AF31="T3",3,IF(AF31="T4",4,IF(AF31="Unassigned",98,99))))))</x:f>
        <x:v>0</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"&amp;U32&amp;"; "&amp;AF32&amp;"; "&amp;AH32&amp;"; "&amp;AI32)</x:f>
        <x:v>proposal.natural.graphite; graphite-bearing stone; resources; raw mineral; raw material; raw; geological; lubrication; mineral; particles; proposal; electrical conduction; t0; not applicable; material</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status/completeness",IF(AF32="T0","Raw entry feed; no production route","No production route listed"))</x:f>
        <x:v>Raw entry feed; no production route</x:v>
      </x:c>
      <x:c r="AN32" s="14" t="n">
        <x:f>IF(AF32="T0",0,IF(AF32="T1",1,IF(AF32="T2",2,IF(AF32="T3",3,IF(AF32="T4",4,IF(AF32="Unassigned",98,99))))))</x:f>
        <x:v>0</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"&amp;U33&amp;"; "&amp;AF33&amp;"; "&amp;AH33&amp;"; "&amp;AI33)</x:f>
        <x:v>proposal.natural.mica; mica sheets; resources; raw mineral; raw material; raw; geological; electrical insulation; mineral; sheet; proposal; protective fabrication; t0; not applicable; material</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status/completeness",IF(AF33="T0","Raw entry feed; no production route","No production route listed"))</x:f>
        <x:v>Raw entry feed; no production route</x:v>
      </x:c>
      <x:c r="AN33" s="14" t="n">
        <x:f>IF(AF33="T0",0,IF(AF33="T1",1,IF(AF33="T2",2,IF(AF33="T3",3,IF(AF33="T4",4,IF(AF33="Unassigned",98,99))))))</x:f>
        <x:v>0</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"&amp;U34&amp;"; "&amp;AF34&amp;"; "&amp;AH34&amp;"; "&amp;AI34)</x:f>
        <x:v>proposal.natural.iron_feed; iron-rich mineral feed; resources; processed mineral; processed material; processed intermediate; geological; metal refining; mineral; particles; proposal; ; t1; not applicable; material</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1</x:v>
      </x:c>
      <x:c r="AL34" s="4" t="n">
        <x:f>COUNTIFS('Material routes'!$D$6:$D$1005,A34,'Material routes'!$C$6:$C$1005,"Tool candidate")</x:f>
        <x:v>0</x:v>
      </x:c>
      <x:c r="AM34" s="4" t="str">
        <x:f>IF(AJ34&gt;0,"Route listed; review status/completeness",IF(AF34="T0","Raw entry feed; no production route","No production route listed"))</x:f>
        <x:v>Route listed; review status/completeness</x:v>
      </x:c>
      <x:c r="AN34" s="14" t="n">
        <x:f>IF(AF34="T0",0,IF(AF34="T1",1,IF(AF34="T2",2,IF(AF34="T3",3,IF(AF34="T4",4,IF(AF34="Unassigned",98,99))))))</x:f>
        <x:v>1</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"&amp;U35&amp;"; "&amp;AF35&amp;"; "&amp;AH35&amp;"; "&amp;AI35)</x:f>
        <x:v>proposal.natural.iron_stock; worked iron stock; resources; processed mineral; processed material; processed intermediate; geological; fabrication; mineral; solid part; proposal; equipment repair; t2; not applicable; material</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0</x:v>
      </x:c>
      <x:c r="AL35" s="4" t="n">
        <x:f>COUNTIFS('Material routes'!$D$6:$D$1005,A35,'Material routes'!$C$6:$C$1005,"Tool candidate")</x:f>
        <x:v>0</x:v>
      </x:c>
      <x:c r="AM35" s="4" t="str">
        <x:f>IF(AJ35&gt;0,"Route listed; review status/completeness",IF(AF35="T0","Raw entry feed; no production route","No production route listed"))</x:f>
        <x:v>Route listed; review status/completeness</x:v>
      </x:c>
      <x:c r="AN35" s="14" t="n">
        <x:f>IF(AF35="T0",0,IF(AF35="T1",1,IF(AF35="T2",2,IF(AF35="T3",3,IF(AF35="T4",4,IF(AF35="Unassigned",98,99))))))</x:f>
        <x:v>2</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"&amp;U36&amp;"; "&amp;AF36&amp;"; "&amp;AH36&amp;"; "&amp;AI36)</x:f>
        <x:v>proposal.natural.abrasive; graded abrasive grit; resources; processed mineral; processed material; processed intermediate; geological; surface finishing; mineral; particles; proposal; ; t1; not applicable; material</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3</x:v>
      </x:c>
      <x:c r="AL36" s="4" t="n">
        <x:f>COUNTIFS('Material routes'!$D$6:$D$1005,A36,'Material routes'!$C$6:$C$1005,"Tool candidate")</x:f>
        <x:v>0</x:v>
      </x:c>
      <x:c r="AM36" s="4" t="str">
        <x:f>IF(AJ36&gt;0,"Route listed; review status/completeness",IF(AF36="T0","Raw entry feed; no production route","No production route listed"))</x:f>
        <x:v>Route listed; review status/completeness</x:v>
      </x:c>
      <x:c r="AN36" s="14" t="n">
        <x:f>IF(AF36="T0",0,IF(AF36="T1",1,IF(AF36="T2",2,IF(AF36="T3",3,IF(AF36="T4",4,IF(AF36="Unassigned",98,99))))))</x:f>
        <x:v>1</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"&amp;U37&amp;"; "&amp;AF37&amp;"; "&amp;AH37&amp;"; "&amp;AI37)</x:f>
        <x:v>proposal.natural.ceramic; insulating ceramic blanks; resources; processed mineral; processed material; processed intermediate; geological; electrical insulation; ceramic; solid part; proposal; protective fabrication; mineral; t2; not applicable; material</x:v>
      </x:c>
      <x:c r="AE37" s="4" t="str">
        <x:v>From current item description. Proposed uses retain their existing approval status.</x:v>
      </x:c>
      <x:c r="AF37" s="4" t="str">
        <x:v>T2</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routes'!$D$6:$D$1005,A37,'Material routes'!$C$6:$C$1005,"Output")</x:f>
        <x:v>2</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2</x:v>
      </x:c>
      <x:c r="AL37" s="4" t="n">
        <x:f>COUNTIFS('Material routes'!$D$6:$D$1005,A37,'Material routes'!$C$6:$C$1005,"Tool candidate")</x:f>
        <x:v>0</x:v>
      </x:c>
      <x:c r="AM37" s="4" t="str">
        <x:f>IF(AJ37&gt;0,"Route listed; review status/completeness",IF(AF37="T0","Raw entry feed; no production route","No production route listed"))</x:f>
        <x:v>Route listed; review status/completeness</x:v>
      </x:c>
      <x:c r="AN37" s="14" t="n">
        <x:f>IF(AF37="T0",0,IF(AF37="T1",1,IF(AF37="T2",2,IF(AF37="T3",3,IF(AF37="T4",4,IF(AF37="Unassigned",98,99))))))</x:f>
        <x:v>2</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"&amp;U38&amp;"; "&amp;AF38&amp;"; "&amp;AH38&amp;"; "&amp;AI38)</x:f>
        <x:v>proposal.natural.lime; calcined mineral binder; resources; processed mineral; processed material; processed intermediate; geological; binding and construction; mineral; particles; proposal; ; t1; not applicable; material</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1</x:v>
      </x:c>
      <x:c r="AL38" s="4" t="n">
        <x:f>COUNTIFS('Material routes'!$D$6:$D$1005,A38,'Material routes'!$C$6:$C$1005,"Tool candidate")</x:f>
        <x:v>0</x:v>
      </x:c>
      <x:c r="AM38" s="4" t="str">
        <x:f>IF(AJ38&gt;0,"Route listed; review status/completeness",IF(AF38="T0","Raw entry feed; no production route","No production route listed"))</x:f>
        <x:v>Route listed; review status/completeness</x:v>
      </x:c>
      <x:c r="AN38" s="14" t="n">
        <x:f>IF(AF38="T0",0,IF(AF38="T1",1,IF(AF38="T2",2,IF(AF38="T3",3,IF(AF38="T4",4,IF(AF38="Unassigned",98,99))))))</x:f>
        <x:v>1</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"&amp;U39&amp;"; "&amp;AF39&amp;"; "&amp;AH39&amp;"; "&amp;AI39)</x:f>
        <x:v>proposal.natural.carbon; graded graphite flakes; resources; processed mineral; processed material; processed intermediate; geological; lubrication; mineral; particles; proposal; electrical conduction; t1; not applicable; material</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4</x:v>
      </x:c>
      <x:c r="AL39" s="4" t="n">
        <x:f>COUNTIFS('Material routes'!$D$6:$D$1005,A39,'Material routes'!$C$6:$C$1005,"Tool candidate")</x:f>
        <x:v>0</x:v>
      </x:c>
      <x:c r="AM39" s="4" t="str">
        <x:f>IF(AJ39&gt;0,"Route listed; review status/completeness",IF(AF39="T0","Raw entry feed; no production route","No production route listed"))</x:f>
        <x:v>Route listed; review status/completeness</x:v>
      </x:c>
      <x:c r="AN39" s="14" t="n">
        <x:f>IF(AF39="T0",0,IF(AF39="T1",1,IF(AF39="T2",2,IF(AF39="T3",3,IF(AF39="T4",4,IF(AF39="Unassigned",98,99))))))</x:f>
        <x:v>1</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"&amp;U40&amp;"; "&amp;AF40&amp;"; "&amp;AH40&amp;"; "&amp;AI40)</x:f>
        <x:v>proposal.bio.shell; shell husks / shed plates; resources; molted exoskeleton; raw material; raw; fauna; fabrication; shell / chitin; shell plate; author direction; fiber processing; t0; not applicable; material</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5</x:v>
      </x:c>
      <x:c r="AL40" s="4" t="n">
        <x:f>COUNTIFS('Material routes'!$D$6:$D$1005,A40,'Material routes'!$C$6:$C$1005,"Tool candidate")</x:f>
        <x:v>0</x:v>
      </x:c>
      <x:c r="AM40" s="4" t="str">
        <x:f>IF(AJ40&gt;0,"Route listed; review status/completeness",IF(AF40="T0","Raw entry feed; no production route","No production route listed"))</x:f>
        <x:v>Raw entry feed; no production route</x:v>
      </x:c>
      <x:c r="AN40" s="14" t="n">
        <x:f>IF(AF40="T0",0,IF(AF40="T1",1,IF(AF40="T2",2,IF(AF40="T3",3,IF(AF40="T4",4,IF(AF40="Unassigned",98,99))))))</x:f>
        <x:v>0</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"&amp;U41&amp;"; "&amp;AF41&amp;"; "&amp;AH41&amp;"; "&amp;AI41)</x:f>
        <x:v>proposal.bio.tendon; dried tendon bundles; resources; connective tissue; raw material; raw; fauna; binding and construction; faunal tissue; bundle; proposal; ; t0; not applicable; material</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status/completeness",IF(AF41="T0","Raw entry feed; no production route","No production route listed"))</x:f>
        <x:v>Raw entry feed; no production route</x:v>
      </x:c>
      <x:c r="AN41" s="14" t="n">
        <x:f>IF(AF41="T0",0,IF(AF41="T1",1,IF(AF41="T2",2,IF(AF41="T3",3,IF(AF41="T4",4,IF(AF41="Unassigned",98,99))))))</x:f>
        <x:v>0</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"&amp;U42&amp;"; "&amp;AF42&amp;"; "&amp;AH42&amp;"; "&amp;AI42)</x:f>
        <x:v>proposal.bio.bristles; coarse sensory bristles; resources; dry fibers; raw material; raw; fauna; dust exclusion; faunal fiber; fiber; proposal; ; t0; not applicable; material</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status/completeness",IF(AF42="T0","Raw entry feed; no production route","No production route listed"))</x:f>
        <x:v>Raw entry feed; no production route</x:v>
      </x:c>
      <x:c r="AN42" s="14" t="n">
        <x:f>IF(AF42="T0",0,IF(AF42="T1",1,IF(AF42="T2",2,IF(AF42="T3",3,IF(AF42="T4",4,IF(AF42="Unassigned",98,99))))))</x:f>
        <x:v>0</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"&amp;U43&amp;"; "&amp;AF43&amp;"; "&amp;AH43&amp;"; "&amp;AI43)</x:f>
        <x:v>proposal.bio.underfur; shed underfur; resources; dry fibers; raw material; raw; fauna; textile processing; fur; fiber; proposal; ; t0; not applicable; material</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status/completeness",IF(AF43="T0","Raw entry feed; no production route","No production route listed"))</x:f>
        <x:v>Raw entry feed; no production route</x:v>
      </x:c>
      <x:c r="AN43" s="14" t="n">
        <x:f>IF(AF43="T0",0,IF(AF43="T1",1,IF(AF43="T2",2,IF(AF43="T3",3,IF(AF43="T4",4,IF(AF43="Unassigned",98,99))))))</x:f>
        <x:v>0</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"&amp;U44&amp;"; "&amp;AF44&amp;"; "&amp;AH44&amp;"; "&amp;AI44)</x:f>
        <x:v>proposal.bio.jaw; dense jaw plates; resources; hard tissue; raw material; raw; fauna; tool fabrication; faunal tissue; solid piece; proposal; ; t0; not applicable; material</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status/completeness",IF(AF44="T0","Raw entry feed; no production route","No production route listed"))</x:f>
        <x:v>Raw entry feed; no production route</x:v>
      </x:c>
      <x:c r="AN44" s="14" t="n">
        <x:f>IF(AF44="T0",0,IF(AF44="T1",1,IF(AF44="T2",2,IF(AF44="T3",3,IF(AF44="T4",4,IF(AF44="Unassigned",98,99))))))</x:f>
        <x:v>0</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"&amp;U45&amp;"; "&amp;AF45&amp;"; "&amp;AH45&amp;"; "&amp;AI45)</x:f>
        <x:v>proposal.bio.membrane; dried joint membrane; resources; flexible tissue; raw material; processed intermediate; fauna; sealing; faunal membrane; sheet; proposal; equipment repair; t0; not applicable; material</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1</x:v>
      </x:c>
      <x:c r="AL45" s="4" t="n">
        <x:f>COUNTIFS('Material routes'!$D$6:$D$1005,A45,'Material routes'!$C$6:$C$1005,"Tool candidate")</x:f>
        <x:v>0</x:v>
      </x:c>
      <x:c r="AM45" s="4" t="str">
        <x:f>IF(AJ45&gt;0,"Route listed; review status/completeness",IF(AF45="T0","Raw entry feed; no production route","No production route listed"))</x:f>
        <x:v>Raw entry feed; no production route</x:v>
      </x:c>
      <x:c r="AN45" s="14" t="n">
        <x:f>IF(AF45="T0",0,IF(AF45="T1",1,IF(AF45="T2",2,IF(AF45="T3",3,IF(AF45="T4",4,IF(AF45="Unassigned",98,99))))))</x:f>
        <x:v>0</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"&amp;U46&amp;"; "&amp;AF46&amp;"; "&amp;AH46&amp;"; "&amp;AI46)</x:f>
        <x:v>proposal.bio.fat; unverified fat-like tissue concept; resources; perishable tissue; raw material; unresolved; fauna; use unresolved; unresolved; unresolved; withheld assumption; ; unassigned; unassigned; material</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status/completeness",IF(AF46="T0","Raw entry feed; no production route","No production route listed"))</x:f>
        <x:v>No production route listed</x:v>
      </x:c>
      <x:c r="AN46" s="14" t="n">
        <x:f>IF(AF46="T0",0,IF(AF46="T1",1,IF(AF46="T2",2,IF(AF46="T3",3,IF(AF46="T4",4,IF(AF46="Unassigned",98,99))))))</x:f>
        <x:v>98</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"&amp;U47&amp;"; "&amp;AF47&amp;"; "&amp;AH47&amp;"; "&amp;AI47)</x:f>
        <x:v>proposal.bio.organ; charge-organ tissue; resources; specialized tissue; raw material; raw; fauna; electrical work; faunal tissue; solid piece; proposal; ; t0; not applicable; material</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1</x:v>
      </x:c>
      <x:c r="AL47" s="4" t="n">
        <x:f>COUNTIFS('Material routes'!$D$6:$D$1005,A47,'Material routes'!$C$6:$C$1005,"Tool candidate")</x:f>
        <x:v>0</x:v>
      </x:c>
      <x:c r="AM47" s="4" t="str">
        <x:f>IF(AJ47&gt;0,"Route listed; review status/completeness",IF(AF47="T0","Raw entry feed; no production route","No production route listed"))</x:f>
        <x:v>Raw entry feed; no production route</x:v>
      </x:c>
      <x:c r="AN47" s="14" t="n">
        <x:f>IF(AF47="T0",0,IF(AF47="T1",1,IF(AF47="T2",2,IF(AF47="T3",3,IF(AF47="T4",4,IF(AF47="Unassigned",98,99))))))</x:f>
        <x:v>0</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"&amp;U48&amp;"; "&amp;AF48&amp;"; "&amp;AH48&amp;"; "&amp;AI48)</x:f>
        <x:v>proposal.bio.laminate; shell laminate; crafting components; processed biological; crafting component; processed intermediate; fauna; protective fabrication; shell / chitin; panel; proposal; ; t2; not applicable; component</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3</x:v>
      </x:c>
      <x:c r="AL48" s="4" t="n">
        <x:f>COUNTIFS('Material routes'!$D$6:$D$1005,A48,'Material routes'!$C$6:$C$1005,"Tool candidate")</x:f>
        <x:v>0</x:v>
      </x:c>
      <x:c r="AM48" s="4" t="str">
        <x:f>IF(AJ48&gt;0,"Route listed; review status/completeness",IF(AF48="T0","Raw entry feed; no production route","No production route listed"))</x:f>
        <x:v>Route listed; review status/completeness</x:v>
      </x:c>
      <x:c r="AN48" s="14" t="n">
        <x:f>IF(AF48="T0",0,IF(AF48="T1",1,IF(AF48="T2",2,IF(AF48="T3",3,IF(AF48="T4",4,IF(AF48="Unassigned",98,99))))))</x:f>
        <x:v>2</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"&amp;U49&amp;"; "&amp;AF49&amp;"; "&amp;AH49&amp;"; "&amp;AI49)</x:f>
        <x:v>proposal.bio.cord; tendon cord; crafting components; processed biological; crafting component; processed intermediate; fauna; binding and construction; faunal tissue; cord; proposal; equipment repair; t1; not applicable; component</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1</x:v>
      </x:c>
      <x:c r="AL49" s="4" t="n">
        <x:f>COUNTIFS('Material routes'!$D$6:$D$1005,A49,'Material routes'!$C$6:$C$1005,"Tool candidate")</x:f>
        <x:v>0</x:v>
      </x:c>
      <x:c r="AM49" s="4" t="str">
        <x:f>IF(AJ49&gt;0,"Route listed; review status/completeness",IF(AF49="T0","Raw entry feed; no production route","No production route listed"))</x:f>
        <x:v>Route listed; review status/completeness</x:v>
      </x:c>
      <x:c r="AN49" s="14" t="n">
        <x:f>IF(AF49="T0",0,IF(AF49="T1",1,IF(AF49="T2",2,IF(AF49="T3",3,IF(AF49="T4",4,IF(AF49="Unassigned",98,99))))))</x:f>
        <x:v>1</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"&amp;U50&amp;"; "&amp;AF50&amp;"; "&amp;AH50&amp;"; "&amp;AI50)</x:f>
        <x:v>proposal.bio.brush; bristle brush strips; crafting components; processed biological; crafting component; processed intermediate; fauna; dust exclusion; faunal fiber; strip; proposal; ; unassigned; not applicable; component</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c r="AI50" s="4" t="str">
        <x:v>Component</x:v>
      </x:c>
      <x:c r="AJ50" s="4" t="n">
        <x:f>COUNTIFS('Material routes'!$D$6:$D$1005,A50,'Material routes'!$C$6:$C$1005,"Output")</x:f>
        <x:v>1</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status/completeness",IF(AF50="T0","Raw entry feed; no production route","No production route listed"))</x:f>
        <x:v>Route listed; review status/completeness</x:v>
      </x:c>
      <x:c r="AN50" s="14" t="n">
        <x:f>IF(AF50="T0",0,IF(AF50="T1",1,IF(AF50="T2",2,IF(AF50="T3",3,IF(AF50="T4",4,IF(AF50="Unassigned",98,99))))))</x:f>
        <x:v>98</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"&amp;U51&amp;"; "&amp;AF51&amp;"; "&amp;AH51&amp;"; "&amp;AI51)</x:f>
        <x:v>proposal.bio.liner; pressed fur-fiber material; crafting components; processed biological; processed material; processed intermediate; fauna; textile processing; fur; unresolved; proposal; ; t1; not applicable; material</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status/completeness",IF(AF51="T0","Raw entry feed; no production route","No production route listed"))</x:f>
        <x:v>Route listed; review status/completeness</x:v>
      </x:c>
      <x:c r="AN51" s="14" t="n">
        <x:f>IF(AF51="T0",0,IF(AF51="T1",1,IF(AF51="T2",2,IF(AF51="T3",3,IF(AF51="T4",4,IF(AF51="Unassigned",98,99))))))</x:f>
        <x:v>1</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"&amp;U52&amp;"; "&amp;AF52&amp;"; "&amp;AH52&amp;"; "&amp;AI52)</x:f>
        <x:v>proposal.bio.insert; jaw cutting insert; crafting components; processed biological; crafting component; processed intermediate; fauna; tool fabrication; faunal tissue; solid part; proposal; ; unassigned; not applicable; component</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c r="AI52" s="4" t="str">
        <x:v>Component</x:v>
      </x:c>
      <x:c r="AJ52" s="4" t="n">
        <x:f>COUNTIFS('Material routes'!$D$6:$D$1005,A52,'Material routes'!$C$6:$C$1005,"Output")</x:f>
        <x:v>1</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0</x:v>
      </x:c>
      <x:c r="AL52" s="4" t="n">
        <x:f>COUNTIFS('Material routes'!$D$6:$D$1005,A52,'Material routes'!$C$6:$C$1005,"Tool candidate")</x:f>
        <x:v>0</x:v>
      </x:c>
      <x:c r="AM52" s="4" t="str">
        <x:f>IF(AJ52&gt;0,"Route listed; review status/completeness",IF(AF52="T0","Raw entry feed; no production route","No production route listed"))</x:f>
        <x:v>Route listed; review status/completeness</x:v>
      </x:c>
      <x:c r="AN52" s="14" t="n">
        <x:f>IF(AF52="T0",0,IF(AF52="T1",1,IF(AF52="T2",2,IF(AF52="T3",3,IF(AF52="T4",4,IF(AF52="Unassigned",98,99))))))</x:f>
        <x:v>98</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"&amp;U53&amp;"; "&amp;AF53&amp;"; "&amp;AH53&amp;"; "&amp;AI53)</x:f>
        <x:v>proposal.bio.seal; membrane seal patches; crafting components; processed biological; crafting component; processed intermediate; fauna; sealing; faunal membrane; patch; proposal; equipment repair; t1; not applicable; component</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status/completeness",IF(AF53="T0","Raw entry feed; no production route","No production route listed"))</x:f>
        <x:v>Route listed; review status/completeness</x:v>
      </x:c>
      <x:c r="AN53" s="14" t="n">
        <x:f>IF(AF53="T0",0,IF(AF53="T1",1,IF(AF53="T2",2,IF(AF53="T3",3,IF(AF53="T4",4,IF(AF53="Unassigned",98,99))))))</x:f>
        <x:v>1</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"&amp;U54&amp;"; "&amp;AF54&amp;"; "&amp;AH54&amp;"; "&amp;AI54)</x:f>
        <x:v>proposal.bio.wax; solid biological wax; crafting components; processed biological; processed material; unresolved; fauna; use unresolved; biological chemical; solid piece; withheld assumption; ; unassigned; unassigned; material</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status/completeness",IF(AF54="T0","Raw entry feed; no production route","No production route listed"))</x:f>
        <x:v>Route listed; review status/completeness</x:v>
      </x:c>
      <x:c r="AN54" s="14" t="n">
        <x:f>IF(AF54="T0",0,IF(AF54="T1",1,IF(AF54="T2",2,IF(AF54="T3",3,IF(AF54="T4",4,IF(AF54="Unassigned",98,99))))))</x:f>
        <x:v>98</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"&amp;U55&amp;"; "&amp;AF55&amp;"; "&amp;AH55&amp;"; "&amp;AI55)</x:f>
        <x:v>proposal.bio.electrode; dry organ electrode scaffold; crafting components; processed biological; crafting component; processed intermediate; fauna; electrical work; faunal tissue; solid part; proposal; ; unassigned; not applicable; component</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c r="AI55" s="4" t="str">
        <x:v>Component</x:v>
      </x:c>
      <x:c r="AJ55" s="4" t="n">
        <x:f>COUNTIFS('Material routes'!$D$6:$D$1005,A55,'Material routes'!$C$6:$C$1005,"Output")</x:f>
        <x:v>1</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status/completeness",IF(AF55="T0","Raw entry feed; no production route","No production route listed"))</x:f>
        <x:v>Route listed; review status/completeness</x:v>
      </x:c>
      <x:c r="AN55" s="14" t="n">
        <x:f>IF(AF55="T0",0,IF(AF55="T1",1,IF(AF55="T2",2,IF(AF55="T3",3,IF(AF55="T4",4,IF(AF55="Unassigned",98,99))))))</x:f>
        <x:v>98</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"&amp;U56&amp;"; "&amp;AF56&amp;"; "&amp;AH56&amp;"; "&amp;AI56)</x:f>
        <x:v>proposal.natural.charcoal; charcoal; resources; processed fuel; processed material; processed intermediate; unresolved; fuel; carbonaceous material; particles; author direction; metal refining; unassigned; not applicable; material</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c r="AI56" s="4" t="str">
        <x:v>Material</x:v>
      </x:c>
      <x:c r="AJ56" s="4" t="n">
        <x:f>COUNTIFS('Material routes'!$D$6:$D$1005,A56,'Material routes'!$C$6:$C$1005,"Output")</x:f>
        <x:v>1</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status/completeness",IF(AF56="T0","Raw entry feed; no production route","No production route listed"))</x:f>
        <x:v>Route listed; review status/completeness</x:v>
      </x:c>
      <x:c r="AN56" s="14" t="n">
        <x:f>IF(AF56="T0",0,IF(AF56="T1",1,IF(AF56="T2",2,IF(AF56="T3",3,IF(AF56="T4",4,IF(AF56="Unassigned",98,99))))))</x:f>
        <x:v>98</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"&amp;U57&amp;"; "&amp;AF57&amp;"; "&amp;AH57&amp;"; "&amp;AI57)</x:f>
        <x:v>proposal.natural.copper_stone; unprocessed copper-rich stone; resources; raw mineral; raw material; raw; geological; metal refining; mineral; rock; author direction; ; t0; not applicable; material</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1</x:v>
      </x:c>
      <x:c r="AL57" s="4" t="n">
        <x:f>COUNTIFS('Material routes'!$D$6:$D$1005,A57,'Material routes'!$C$6:$C$1005,"Tool candidate")</x:f>
        <x:v>0</x:v>
      </x:c>
      <x:c r="AM57" s="4" t="str">
        <x:f>IF(AJ57&gt;0,"Route listed; review status/completeness",IF(AF57="T0","Raw entry feed; no production route","No production route listed"))</x:f>
        <x:v>Raw entry feed; no production route</x:v>
      </x:c>
      <x:c r="AN57" s="14" t="n">
        <x:f>IF(AF57="T0",0,IF(AF57="T1",1,IF(AF57="T2",2,IF(AF57="T3",3,IF(AF57="T4",4,IF(AF57="Unassigned",98,99))))))</x:f>
        <x:v>0</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"&amp;U58&amp;"; "&amp;AF58&amp;"; "&amp;AH58&amp;"; "&amp;AI58)</x:f>
        <x:v>proposal.natural.copper_ore; copper ore; resources; sorted ore; raw material; processed intermediate; geological; metal refining; mineral; rock; author direction; ; unassigned; not applicable; material</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c r="AI58" s="4" t="str">
        <x:v>Material</x:v>
      </x:c>
      <x:c r="AJ58" s="4" t="n">
        <x:f>COUNTIFS('Material routes'!$D$6:$D$1005,A58,'Material routes'!$C$6:$C$1005,"Output")</x:f>
        <x:v>1</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status/completeness",IF(AF58="T0","Raw entry feed; no production route","No production route listed"))</x:f>
        <x:v>Route listed; review status/completeness</x:v>
      </x:c>
      <x:c r="AN58" s="14" t="n">
        <x:f>IF(AF58="T0",0,IF(AF58="T1",1,IF(AF58="T2",2,IF(AF58="T3",3,IF(AF58="T4",4,IF(AF58="Unassigned",98,99))))))</x:f>
        <x:v>98</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"&amp;U59&amp;"; "&amp;AF59&amp;"; "&amp;AH59&amp;"; "&amp;AI59)</x:f>
        <x:v>proposal.natural.raw_copper; raw copper lump; resources; unworked metal; processed material; unworked metal; geological; electrical conduction; metal; solid piece; author direction; fabrication; t0; not applicable; material</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status/completeness",IF(AF59="T0","Raw entry feed; no production route","No production route listed"))</x:f>
        <x:v>Route listed; review status/completeness</x:v>
      </x:c>
      <x:c r="AN59" s="14" t="n">
        <x:f>IF(AF59="T0",0,IF(AF59="T1",1,IF(AF59="T2",2,IF(AF59="T3",3,IF(AF59="T4",4,IF(AF59="Unassigned",98,99))))))</x:f>
        <x:v>0</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"&amp;U60&amp;"; "&amp;AF60&amp;"; "&amp;AH60&amp;"; "&amp;AI60)</x:f>
        <x:v>proposal.natural.tungsten_ore; tungsten-bearing ore; resources; raw mineral; raw material; raw; geological; metal refining; mineral; rock; author direction; tool fabrication; t0; not applicable; material</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status/completeness",IF(AF60="T0","Raw entry feed; no production route","No production route listed"))</x:f>
        <x:v>Raw entry feed; no production route</x:v>
      </x:c>
      <x:c r="AN60" s="14" t="n">
        <x:f>IF(AF60="T0",0,IF(AF60="T1",1,IF(AF60="T2",2,IF(AF60="T3",3,IF(AF60="T4",4,IF(AF60="Unassigned",98,99))))))</x:f>
        <x:v>0</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"&amp;U61&amp;"; "&amp;AF61&amp;"; "&amp;AH61&amp;"; "&amp;AI61)</x:f>
        <x:v>proposal.natural.magnesium_rock; magnesium-bearing rock; resources; raw mineral; raw material; raw; geological; metal refining; mineral; rock; author direction; ; t0; not applicable; material</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status/completeness",IF(AF61="T0","Raw entry feed; no production route","No production route listed"))</x:f>
        <x:v>Raw entry feed; no production route</x:v>
      </x:c>
      <x:c r="AN61" s="14" t="n">
        <x:f>IF(AF61="T0",0,IF(AF61="T1",1,IF(AF61="T2",2,IF(AF61="T3",3,IF(AF61="T4",4,IF(AF61="Unassigned",98,99))))))</x:f>
        <x:v>0</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"&amp;U62&amp;"; "&amp;AF62&amp;"; "&amp;AH62&amp;"; "&amp;AI62)</x:f>
        <x:v>proposal.natural.raw_magnesium; raw magnesium metal; resources; unworked metal; processed material; unworked metal; geological; fabrication; metal; solid piece; author direction; ; t0; not applicable; material</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status/completeness",IF(AF62="T0","Raw entry feed; no production route","No production route listed"))</x:f>
        <x:v>Route listed; review status/completeness</x:v>
      </x:c>
      <x:c r="AN62" s="14" t="n">
        <x:f>IF(AF62="T0",0,IF(AF62="T1",1,IF(AF62="T2",2,IF(AF62="T3",3,IF(AF62="T4",4,IF(AF62="Unassigned",98,99))))))</x:f>
        <x:v>0</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"&amp;U63&amp;"; "&amp;AF63&amp;"; "&amp;AH63&amp;"; "&amp;AI63)</x:f>
        <x:v>proposal.natural.hematite; raw hematite; resources; iron oxide mineral; raw material; raw; geological; metal refining; mineral; rock; author direction; ; t0; not applicable; material</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status/completeness",IF(AF63="T0","Raw entry feed; no production route","No production route listed"))</x:f>
        <x:v>Raw entry feed; no production route</x:v>
      </x:c>
      <x:c r="AN63" s="14" t="n">
        <x:f>IF(AF63="T0",0,IF(AF63="T1",1,IF(AF63="T2",2,IF(AF63="T3",3,IF(AF63="T4",4,IF(AF63="Unassigned",98,99))))))</x:f>
        <x:v>0</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"&amp;U64&amp;"; "&amp;AF64&amp;"; "&amp;AH64&amp;"; "&amp;AI64)</x:f>
        <x:v>proposal.natural.sulfur; raw sulfur; resources; native nonmetal; raw material; raw; geological; chemical processing; mineral; rock; author direction; ; t0; not applicable; material</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0</x:v>
      </x:c>
      <x:c r="AL64" s="4" t="n">
        <x:f>COUNTIFS('Material routes'!$D$6:$D$1005,A64,'Material routes'!$C$6:$C$1005,"Tool candidate")</x:f>
        <x:v>0</x:v>
      </x:c>
      <x:c r="AM64" s="4" t="str">
        <x:f>IF(AJ64&gt;0,"Route listed; review status/completeness",IF(AF64="T0","Raw entry feed; no production route","No production route listed"))</x:f>
        <x:v>Raw entry feed; no production route</x:v>
      </x:c>
      <x:c r="AN64" s="14" t="n">
        <x:f>IF(AF64="T0",0,IF(AF64="T1",1,IF(AF64="T2",2,IF(AF64="T3",3,IF(AF64="T4",4,IF(AF64="Unassigned",98,99))))))</x:f>
        <x:v>0</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"&amp;U65&amp;"; "&amp;AF65&amp;"; "&amp;AH65&amp;"; "&amp;AI65)</x:f>
        <x:v>proposal.natural.borate; raw borate minerals; resources; evaporite mineral; raw material; raw; geological; glass and ceramics; mineral; rock; proposal; ; t0; not applicable; material</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2</x:v>
      </x:c>
      <x:c r="AL65" s="4" t="n">
        <x:f>COUNTIFS('Material routes'!$D$6:$D$1005,A65,'Material routes'!$C$6:$C$1005,"Tool candidate")</x:f>
        <x:v>0</x:v>
      </x:c>
      <x:c r="AM65" s="4" t="str">
        <x:f>IF(AJ65&gt;0,"Route listed; review status/completeness",IF(AF65="T0","Raw entry feed; no production route","No production route listed"))</x:f>
        <x:v>Raw entry feed; no production route</x:v>
      </x:c>
      <x:c r="AN65" s="14" t="n">
        <x:f>IF(AF65="T0",0,IF(AF65="T1",1,IF(AF65="T2",2,IF(AF65="T3",3,IF(AF65="T4",4,IF(AF65="Unassigned",98,99))))))</x:f>
        <x:v>0</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"&amp;U66&amp;"; "&amp;AF66&amp;"; "&amp;AH66&amp;"; "&amp;AI66)</x:f>
        <x:v>proposal.natural.gypsum; raw gypsum; resources; sulfate mineral; raw material; raw; geological; glass and ceramics; mineral; rock; proposal; ; t0; not applicable; material</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status/completeness",IF(AF66="T0","Raw entry feed; no production route","No production route listed"))</x:f>
        <x:v>Raw entry feed; no production route</x:v>
      </x:c>
      <x:c r="AN66" s="14" t="n">
        <x:f>IF(AF66="T0",0,IF(AF66="T1",1,IF(AF66="T2",2,IF(AF66="T3",3,IF(AF66="T4",4,IF(AF66="Unassigned",98,99))))))</x:f>
        <x:v>0</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"&amp;U67&amp;"; "&amp;AF67&amp;"; "&amp;AH67&amp;"; "&amp;AI67)</x:f>
        <x:v>proposal.natural.talc; raw talc; resources; industrial mineral; raw material; raw; geological; glass and ceramics; mineral; rock; proposal; surface finishing; t0; not applicable; material</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status/completeness",IF(AF67="T0","Raw entry feed; no production route","No production route listed"))</x:f>
        <x:v>Raw entry feed; no production route</x:v>
      </x:c>
      <x:c r="AN67" s="14" t="n">
        <x:f>IF(AF67="T0",0,IF(AF67="T1",1,IF(AF67="T2",2,IF(AF67="T3",3,IF(AF67="T4",4,IF(AF67="Unassigned",98,99))))))</x:f>
        <x:v>0</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"&amp;U68&amp;"; "&amp;AF68&amp;"; "&amp;AH68&amp;"; "&amp;AI68)</x:f>
        <x:v>proposal.natural.manganese_ore; manganese-bearing ore; resources; raw mineral; raw material; raw; geological; metal refining; mineral; rock; proposal; decoration; t0; not applicable; material</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1</x:v>
      </x:c>
      <x:c r="AL68" s="4" t="n">
        <x:f>COUNTIFS('Material routes'!$D$6:$D$1005,A68,'Material routes'!$C$6:$C$1005,"Tool candidate")</x:f>
        <x:v>0</x:v>
      </x:c>
      <x:c r="AM68" s="4" t="str">
        <x:f>IF(AJ68&gt;0,"Route listed; review status/completeness",IF(AF68="T0","Raw entry feed; no production route","No production route listed"))</x:f>
        <x:v>Raw entry feed; no production route</x:v>
      </x:c>
      <x:c r="AN68" s="14" t="n">
        <x:f>IF(AF68="T0",0,IF(AF68="T1",1,IF(AF68="T2",2,IF(AF68="T3",3,IF(AF68="T4",4,IF(AF68="Unassigned",98,99))))))</x:f>
        <x:v>0</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"&amp;U69&amp;"; "&amp;AF69&amp;"; "&amp;AH69&amp;"; "&amp;AI69)</x:f>
        <x:v>proposal.natural.lead_ore; lead-bearing ore; resources; raw mineral; raw material; raw; geological; metal refining; mineral; rock; proposal; ; t0; not applicable; material</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status/completeness",IF(AF69="T0","Raw entry feed; no production route","No production route listed"))</x:f>
        <x:v>Raw entry feed; no production route</x:v>
      </x:c>
      <x:c r="AN69" s="14" t="n">
        <x:f>IF(AF69="T0",0,IF(AF69="T1",1,IF(AF69="T2",2,IF(AF69="T3",3,IF(AF69="T4",4,IF(AF69="Unassigned",98,99))))))</x:f>
        <x:v>0</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"&amp;U70&amp;"; "&amp;AF70&amp;"; "&amp;AH70&amp;"; "&amp;AI70)</x:f>
        <x:v>proposal.natural.zinc_ore; zinc-bearing ore; resources; raw mineral; raw material; raw; geological; metal refining; mineral; rock; proposal; ; t0; not applicable; material</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status/completeness",IF(AF70="T0","Raw entry feed; no production route","No production route listed"))</x:f>
        <x:v>Raw entry feed; no production route</x:v>
      </x:c>
      <x:c r="AN70" s="14" t="n">
        <x:f>IF(AF70="T0",0,IF(AF70="T1",1,IF(AF70="T2",2,IF(AF70="T3",3,IF(AF70="T4",4,IF(AF70="Unassigned",98,99))))))</x:f>
        <x:v>0</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"&amp;U71&amp;"; "&amp;AF71&amp;"; "&amp;AH71&amp;"; "&amp;AI71)</x:f>
        <x:v>proposal.natural.silver_ore; silver-bearing ore; resources; raw mineral; raw material; raw; geological; metal refining; mineral; rock; proposal; electrical conduction; t0; not applicable; material</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status/completeness",IF(AF71="T0","Raw entry feed; no production route","No production route listed"))</x:f>
        <x:v>Raw entry feed; no production route</x:v>
      </x:c>
      <x:c r="AN71" s="14" t="n">
        <x:f>IF(AF71="T0",0,IF(AF71="T1",1,IF(AF71="T2",2,IF(AF71="T3",3,IF(AF71="T4",4,IF(AF71="Unassigned",98,99))))))</x:f>
        <x:v>0</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"&amp;U72&amp;"; "&amp;AF72&amp;"; "&amp;AH72&amp;"; "&amp;AI72)</x:f>
        <x:v>proposal.natural.gold_rock; gold-bearing rock; resources; raw mineral; raw material; raw; geological; metal refining; mineral; rock; proposal; decoration; t0; not applicable; material</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status/completeness",IF(AF72="T0","Raw entry feed; no production route","No production route listed"))</x:f>
        <x:v>Raw entry feed; no production route</x:v>
      </x:c>
      <x:c r="AN72" s="14" t="n">
        <x:f>IF(AF72="T0",0,IF(AF72="T1",1,IF(AF72="T2",2,IF(AF72="T3",3,IF(AF72="T4",4,IF(AF72="Unassigned",98,99))))))</x:f>
        <x:v>0</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"&amp;U73&amp;"; "&amp;AF73&amp;"; "&amp;AH73&amp;"; "&amp;AI73)</x:f>
        <x:v>proposal.natural.fluorite; raw fluorite; resources; industrial mineral; raw material; raw; geological; glass and ceramics; mineral; rock; proposal; metal refining; t0; not applicable; material</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status/completeness",IF(AF73="T0","Raw entry feed; no production route","No production route listed"))</x:f>
        <x:v>Raw entry feed; no production route</x:v>
      </x:c>
      <x:c r="AN73" s="14" t="n">
        <x:f>IF(AF73="T0",0,IF(AF73="T1",1,IF(AF73="T2",2,IF(AF73="T3",3,IF(AF73="T4",4,IF(AF73="Unassigned",98,99))))))</x:f>
        <x:v>0</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"&amp;U74&amp;"; "&amp;AF74&amp;"; "&amp;AH74&amp;"; "&amp;AI74)</x:f>
        <x:v>proposal.natural.antimony_ore; antimony-bearing ore; resources; raw mineral; raw material; raw; geological; metal refining; mineral; rock; proposal; ; t0; not applicable; material</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status/completeness",IF(AF74="T0","Raw entry feed; no production route","No production route listed"))</x:f>
        <x:v>Raw entry feed; no production route</x:v>
      </x:c>
      <x:c r="AN74" s="14" t="n">
        <x:f>IF(AF74="T0",0,IF(AF74="T1",1,IF(AF74="T2",2,IF(AF74="T3",3,IF(AF74="T4",4,IF(AF74="Unassigned",98,99))))))</x:f>
        <x:v>0</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"&amp;U75&amp;"; "&amp;AF75&amp;"; "&amp;AH75&amp;"; "&amp;AI75)</x:f>
        <x:v>proposal.bio.chitin_fibers; scraped chitin fibers; resources; raw husk fiber; raw material; raw; fauna; paper making; shell / chitin; fiber; author direction; textile processing; t0; not applicable; material</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status/completeness",IF(AF75="T0","Raw entry feed; no production route","No production route listed"))</x:f>
        <x:v>Route listed; review status/completeness</x:v>
      </x:c>
      <x:c r="AN75" s="14" t="n">
        <x:f>IF(AF75="T0",0,IF(AF75="T1",1,IF(AF75="T2",2,IF(AF75="T3",3,IF(AF75="T4",4,IF(AF75="Unassigned",98,99))))))</x:f>
        <x:v>0</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"&amp;U76&amp;"; "&amp;AF76&amp;"; "&amp;AH76&amp;"; "&amp;AI76)</x:f>
        <x:v>proposal.bio.icore_fibers; scraped icore fibers; resources; raw husk fiber; raw material; raw; fauna; paper making; husk fiber; fiber; author direction; textile processing; icore husk fibers not liquid ichor; t0; not applicable; material</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status/completeness",IF(AF76="T0","Raw entry feed; no production route","No production route listed"))</x:f>
        <x:v>Route listed; review status/completeness</x:v>
      </x:c>
      <x:c r="AN76" s="14" t="n">
        <x:f>IF(AF76="T0",0,IF(AF76="T1",1,IF(AF76="T2",2,IF(AF76="T3",3,IF(AF76="T4",4,IF(AF76="Unassigned",98,99))))))</x:f>
        <x:v>0</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"&amp;U77&amp;"; "&amp;AF77&amp;"; "&amp;AH77&amp;"; "&amp;AI77)</x:f>
        <x:v>proposal.bio.husk_paper; husk-fiber paper; crafting components; paper; processed material; processed intermediate; fauna; writing and records; husk fiber; sheet; author direction; paper stationery; t2; not applicable; material</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2</x:v>
      </x:c>
      <x:c r="AL77" s="4" t="n">
        <x:f>COUNTIFS('Material routes'!$D$6:$D$1005,A77,'Material routes'!$C$6:$C$1005,"Tool candidate")</x:f>
        <x:v>0</x:v>
      </x:c>
      <x:c r="AM77" s="4" t="str">
        <x:f>IF(AJ77&gt;0,"Route listed; review status/completeness",IF(AF77="T0","Raw entry feed; no production route","No production route listed"))</x:f>
        <x:v>Route listed; review status/completeness</x:v>
      </x:c>
      <x:c r="AN77" s="14" t="n">
        <x:f>IF(AF77="T0",0,IF(AF77="T1",1,IF(AF77="T2",2,IF(AF77="T3",3,IF(AF77="T4",4,IF(AF77="Unassigned",98,99))))))</x:f>
        <x:v>2</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"&amp;U78&amp;"; "&amp;AF78&amp;"; "&amp;AH78&amp;"; "&amp;AI78)</x:f>
        <x:v>proposal.bio.pressed_husk; pressed husk-fiber textile material; crafting components; pressed textile material; processed material; processed intermediate; fauna; clothing fabrication; husk fiber; sheet; author direction; ; t1; not applicable; material</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1</x:v>
      </x:c>
      <x:c r="AL78" s="4" t="n">
        <x:f>COUNTIFS('Material routes'!$D$6:$D$1005,A78,'Material routes'!$C$6:$C$1005,"Tool candidate")</x:f>
        <x:v>0</x:v>
      </x:c>
      <x:c r="AM78" s="4" t="str">
        <x:f>IF(AJ78&gt;0,"Route listed; review status/completeness",IF(AF78="T0","Raw entry feed; no production route","No production route listed"))</x:f>
        <x:v>Route listed; review status/completeness</x:v>
      </x:c>
      <x:c r="AN78" s="14" t="n">
        <x:f>IF(AF78="T0",0,IF(AF78="T1",1,IF(AF78="T2",2,IF(AF78="T3",3,IF(AF78="T4",4,IF(AF78="Unassigned",98,99))))))</x:f>
        <x:v>1</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"&amp;U79&amp;"; "&amp;AF79&amp;"; "&amp;AH79&amp;"; "&amp;AI79)</x:f>
        <x:v>proposal.bio.hide; raw hide; resources; animal hide; raw material; raw; fauna; textile processing; hide; sheet; author direction; ; t0; not applicable; material</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status/completeness",IF(AF79="T0","Raw entry feed; no production route","No production route listed"))</x:f>
        <x:v>Raw entry feed; no production route</x:v>
      </x:c>
      <x:c r="AN79" s="14" t="n">
        <x:f>IF(AF79="T0",0,IF(AF79="T1",1,IF(AF79="T2",2,IF(AF79="T3",3,IF(AF79="T4",4,IF(AF79="Unassigned",98,99))))))</x:f>
        <x:v>0</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"&amp;U80&amp;"; "&amp;AF80&amp;"; "&amp;AH80&amp;"; "&amp;AI80)</x:f>
        <x:v>proposal.bio.hide_material; processed hide material; crafting components; processed biological; processed material; processed intermediate; fauna; clothing fabrication; hide; sheet; author direction; ; t1; not applicable; material</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0</x:v>
      </x:c>
      <x:c r="AL80" s="4" t="n">
        <x:f>COUNTIFS('Material routes'!$D$6:$D$1005,A80,'Material routes'!$C$6:$C$1005,"Tool candidate")</x:f>
        <x:v>0</x:v>
      </x:c>
      <x:c r="AM80" s="4" t="str">
        <x:f>IF(AJ80&gt;0,"Route listed; review status/completeness",IF(AF80="T0","Raw entry feed; no production route","No production route listed"))</x:f>
        <x:v>Route listed; review status/completeness</x:v>
      </x:c>
      <x:c r="AN80" s="14" t="n">
        <x:f>IF(AF80="T0",0,IF(AF80="T1",1,IF(AF80="T2",2,IF(AF80="T3",3,IF(AF80="T4",4,IF(AF80="Unassigned",98,99))))))</x:f>
        <x:v>1</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"&amp;U81&amp;"; "&amp;AF81&amp;"; "&amp;AH81&amp;"; "&amp;AI81)</x:f>
        <x:v>proposal.bio.edible_fraction; edible fauna fraction (species tbd); resources; food candidate; food material; unresolved; fauna; nutrition; faunal tissue; unresolved; author direction; ; unassigned; not applicable; material</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0</x:v>
      </x:c>
      <x:c r="AL81" s="4" t="n">
        <x:f>COUNTIFS('Material routes'!$D$6:$D$1005,A81,'Material routes'!$C$6:$C$1005,"Tool candidate")</x:f>
        <x:v>0</x:v>
      </x:c>
      <x:c r="AM81" s="4" t="str">
        <x:f>IF(AJ81&gt;0,"Route listed; review status/completeness",IF(AF81="T0","Raw entry feed; no production route","No production route listed"))</x:f>
        <x:v>No production route listed</x:v>
      </x:c>
      <x:c r="AN81" s="14" t="n">
        <x:f>IF(AF81="T0",0,IF(AF81="T1",1,IF(AF81="T2",2,IF(AF81="T3",3,IF(AF81="T4",4,IF(AF81="Unassigned",98,99))))))</x:f>
        <x:v>98</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"&amp;U82&amp;"; "&amp;AF82&amp;"; "&amp;AH82&amp;"; "&amp;AI82)</x:f>
        <x:v>proposal.bio.chemical_material; faunal chemical material (unspecified); resources; chemical material; chemical material; unresolved; fauna; chemical processing; biological chemical; unresolved; author direction; ; t0; not applicable; material</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1</x:v>
      </x:c>
      <x:c r="AL82" s="4" t="n">
        <x:f>COUNTIFS('Material routes'!$D$6:$D$1005,A82,'Material routes'!$C$6:$C$1005,"Tool candidate")</x:f>
        <x:v>0</x:v>
      </x:c>
      <x:c r="AM82" s="4" t="str">
        <x:f>IF(AJ82&gt;0,"Route listed; review status/completeness",IF(AF82="T0","Raw entry feed; no production route","No production route listed"))</x:f>
        <x:v>Raw entry feed; no production route</x:v>
      </x:c>
      <x:c r="AN82" s="14" t="n">
        <x:f>IF(AF82="T0",0,IF(AF82="T1",1,IF(AF82="T2",2,IF(AF82="T3",3,IF(AF82="T4",4,IF(AF82="Unassigned",98,99))))))</x:f>
        <x:v>0</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"&amp;U83&amp;"; "&amp;AF83&amp;"; "&amp;AH83&amp;"; "&amp;AI83)</x:f>
        <x:v>proposal.bio.liquid_material; faunal liquid material (unspecified); resources; biological liquid material; chemical material; extracted material; fauna; chemical processing; biological chemical; liquid; author direction; ; t0; not applicable; material</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1</x:v>
      </x:c>
      <x:c r="AL83" s="4" t="n">
        <x:f>COUNTIFS('Material routes'!$D$6:$D$1005,A83,'Material routes'!$C$6:$C$1005,"Tool candidate")</x:f>
        <x:v>0</x:v>
      </x:c>
      <x:c r="AM83" s="4" t="str">
        <x:f>IF(AJ83&gt;0,"Route listed; review status/completeness",IF(AF83="T0","Raw entry feed; no production route","No production route listed"))</x:f>
        <x:v>Raw entry feed; no production route</x:v>
      </x:c>
      <x:c r="AN83" s="14" t="n">
        <x:f>IF(AF83="T0",0,IF(AF83="T1",1,IF(AF83="T2",2,IF(AF83="T3",3,IF(AF83="T4",4,IF(AF83="Unassigned",98,99))))))</x:f>
        <x:v>0</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"&amp;U84&amp;"; "&amp;AF84&amp;"; "&amp;AH84&amp;"; "&amp;AI84)</x:f>
        <x:v>proposal.chemical.digestive_etchant; digestive etchant; resources; faunal chemical concept; chemical material; extracted material; fauna; chemical processing; biological chemical; unresolved; proposal; surface finishing; t0; not applicable; material</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1</x:v>
      </x:c>
      <x:c r="AL84" s="4" t="n">
        <x:f>COUNTIFS('Material routes'!$D$6:$D$1005,A84,'Material routes'!$C$6:$C$1005,"Tool candidate")</x:f>
        <x:v>0</x:v>
      </x:c>
      <x:c r="AM84" s="4" t="str">
        <x:f>IF(AJ84&gt;0,"Route listed; review status/completeness",IF(AF84="T0","Raw entry feed; no production route","No production route listed"))</x:f>
        <x:v>Raw entry feed; no production route</x:v>
      </x:c>
      <x:c r="AN84" s="14" t="n">
        <x:f>IF(AF84="T0",0,IF(AF84="T1",1,IF(AF84="T2",2,IF(AF84="T3",3,IF(AF84="T4",4,IF(AF84="Unassigned",98,99))))))</x:f>
        <x:v>0</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"&amp;U85&amp;"; "&amp;AF85&amp;"; "&amp;AH85&amp;"; "&amp;AI85)</x:f>
        <x:v>proposal.chemical.husk_enzyme; husk-separation enzyme; resources; faunal chemical concept; chemical material; extracted material; fauna; fiber processing; biological chemical; unresolved; proposal; paper making; textile processing; t0; not applicable; material</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status/completeness",IF(AF85="T0","Raw entry feed; no production route","No production route listed"))</x:f>
        <x:v>Raw entry feed; no production route</x:v>
      </x:c>
      <x:c r="AN85" s="14" t="n">
        <x:f>IF(AF85="T0",0,IF(AF85="T1",1,IF(AF85="T2",2,IF(AF85="T3",3,IF(AF85="T4",4,IF(AF85="Unassigned",98,99))))))</x:f>
        <x:v>0</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"&amp;U86&amp;"; "&amp;AF86&amp;"; "&amp;AH86&amp;"; "&amp;AI86)</x:f>
        <x:v>proposal.chemical.shell_binder; shell-binding secretion; resources; faunal chemical concept; chemical material; extracted material; fauna; binding and construction; biological chemical; unresolved; proposal; protective fabrication; textile processing; t0; not applicable; material</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status/completeness",IF(AF86="T0","Raw entry feed; no production route","No production route listed"))</x:f>
        <x:v>Raw entry feed; no production route</x:v>
      </x:c>
      <x:c r="AN86" s="14" t="n">
        <x:f>IF(AF86="T0",0,IF(AF86="T1",1,IF(AF86="T2",2,IF(AF86="T3",3,IF(AF86="T4",4,IF(AF86="Unassigned",98,99))))))</x:f>
        <x:v>0</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"&amp;U87&amp;"; "&amp;AF87&amp;"; "&amp;AH87&amp;"; "&amp;AI87)</x:f>
        <x:v>proposal.chemical.clotting_compound; mineral clotting compound; resources; faunal chemical concept; chemical material; extracted material; fauna; equipment repair; biological chemical; unresolved; proposal; sealing; t0; not applicable; material</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status/completeness",IF(AF87="T0","Raw entry feed; no production route","No production route listed"))</x:f>
        <x:v>Raw entry feed; no production route</x:v>
      </x:c>
      <x:c r="AN87" s="14" t="n">
        <x:f>IF(AF87="T0",0,IF(AF87="T1",1,IF(AF87="T2",2,IF(AF87="T3",3,IF(AF87="T4",4,IF(AF87="Unassigned",98,99))))))</x:f>
        <x:v>0</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"&amp;U88&amp;"; "&amp;AF88&amp;"; "&amp;AH88&amp;"; "&amp;AI88)</x:f>
        <x:v>proposal.chemical.mineral_ichor; mineral-rich ichor; resources; faunal chemical concept; chemical material; extracted material; fauna; chemical processing; biological chemical; liquid; proposal; decoration; ichor liquid not icore fiber; t0; not applicable; material</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0</x:v>
      </x:c>
      <x:c r="AL88" s="4" t="n">
        <x:f>COUNTIFS('Material routes'!$D$6:$D$1005,A88,'Material routes'!$C$6:$C$1005,"Tool candidate")</x:f>
        <x:v>0</x:v>
      </x:c>
      <x:c r="AM88" s="4" t="str">
        <x:f>IF(AJ88&gt;0,"Route listed; review status/completeness",IF(AF88="T0","Raw entry feed; no production route","No production route listed"))</x:f>
        <x:v>Raw entry feed; no production route</x:v>
      </x:c>
      <x:c r="AN88" s="14" t="n">
        <x:f>IF(AF88="T0",0,IF(AF88="T1",1,IF(AF88="T2",2,IF(AF88="T3",3,IF(AF88="T4",4,IF(AF88="Unassigned",98,99))))))</x:f>
        <x:v>0</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"&amp;U89&amp;"; "&amp;AF89&amp;"; "&amp;AH89&amp;"; "&amp;AI89)</x:f>
        <x:v>proposal.chemical.joint_lubricant; joint-lubricating secretion; resources; faunal chemical concept; chemical material; extracted material; fauna; lubrication; biological chemical; unresolved; proposal; sealing; t0; not applicable; material</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status/completeness",IF(AF89="T0","Raw entry feed; no production route","No production route listed"))</x:f>
        <x:v>Raw entry feed; no production route</x:v>
      </x:c>
      <x:c r="AN89" s="14" t="n">
        <x:f>IF(AF89="T0",0,IF(AF89="T1",1,IF(AF89="T2",2,IF(AF89="T3",3,IF(AF89="T4",4,IF(AF89="Unassigned",98,99))))))</x:f>
        <x:v>0</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"&amp;U90&amp;"; "&amp;AF90&amp;"; "&amp;AH90&amp;"; "&amp;AI90)</x:f>
        <x:v>proposal.chemical.insulating_secretion; insulating secretion; resources; faunal chemical concept; chemical material; extracted material; fauna; electrical insulation; biological chemical; unresolved; proposal; ; t0; not applicable; material</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status/completeness",IF(AF90="T0","Raw entry feed; no production route","No production route listed"))</x:f>
        <x:v>Raw entry feed; no production route</x:v>
      </x:c>
      <x:c r="AN90" s="14" t="n">
        <x:f>IF(AF90="T0",0,IF(AF90="T1",1,IF(AF90="T2",2,IF(AF90="T3",3,IF(AF90="T4",4,IF(AF90="Unassigned",98,99))))))</x:f>
        <x:v>0</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"&amp;U91&amp;"; "&amp;AF91&amp;"; "&amp;AH91&amp;"; "&amp;AI91)</x:f>
        <x:v>proposal.chemical.conductive_gel; charge-conducting gel; resources; faunal chemical concept; chemical material; extracted material; fauna; electrical conduction; biological chemical; gel; proposal; ; t0; not applicable; material</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status/completeness",IF(AF91="T0","Raw entry feed; no production route","No production route listed"))</x:f>
        <x:v>Raw entry feed; no production route</x:v>
      </x:c>
      <x:c r="AN91" s="14" t="n">
        <x:f>IF(AF91="T0",0,IF(AF91="T1",1,IF(AF91="T2",2,IF(AF91="T3",3,IF(AF91="T4",4,IF(AF91="Unassigned",98,99))))))</x:f>
        <x:v>0</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"&amp;U92&amp;"; "&amp;AF92&amp;"; "&amp;AH92&amp;"; "&amp;AI92)</x:f>
        <x:v>proposal.chemical.molt_release; molt-release compound; resources; faunal chemical concept; chemical material; extracted material; fauna; surface finishing; biological chemical; unresolved; proposal; fiber processing; t0; not applicable; material</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status/completeness",IF(AF92="T0","Raw entry feed; no production route","No production route listed"))</x:f>
        <x:v>Raw entry feed; no production route</x:v>
      </x:c>
      <x:c r="AN92" s="14" t="n">
        <x:f>IF(AF92="T0",0,IF(AF92="T1",1,IF(AF92="T2",2,IF(AF92="T3",3,IF(AF92="T4",4,IF(AF92="Unassigned",98,99))))))</x:f>
        <x:v>0</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"&amp;U93&amp;"; "&amp;AF93&amp;"; "&amp;AH93&amp;"; "&amp;AI93)</x:f>
        <x:v>proposal.chemical.defensive_irritant; defensive irritant secretion; resources; faunal chemical concept; chemical material; extracted material; fauna; material exclusion; biological chemical; unresolved; proposal; ; t0; not applicable; material</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status/completeness",IF(AF93="T0","Raw entry feed; no production route","No production route listed"))</x:f>
        <x:v>Raw entry feed; no production route</x:v>
      </x:c>
      <x:c r="AN93" s="14" t="n">
        <x:f>IF(AF93="T0",0,IF(AF93="T1",1,IF(AF93="T2",2,IF(AF93="T3",3,IF(AF93="T4",4,IF(AF93="Unassigned",98,99))))))</x:f>
        <x:v>0</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"&amp;U94&amp;"; "&amp;AF94&amp;"; "&amp;AH94&amp;"; "&amp;AI94)</x:f>
        <x:v>proposal.chemical.disabling_venom; disabling venom fraction; resources; faunal chemical concept; chemical material; extracted material; fauna; specialist samples; biological chemical; unresolved; proposal; ; t0; not applicable; material</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status/completeness",IF(AF94="T0","Raw entry feed; no production route","No production route listed"))</x:f>
        <x:v>Raw entry feed; no production route</x:v>
      </x:c>
      <x:c r="AN94" s="14" t="n">
        <x:f>IF(AF94="T0",0,IF(AF94="T1",1,IF(AF94="T2",2,IF(AF94="T3",3,IF(AF94="T4",4,IF(AF94="Unassigned",98,99))))))</x:f>
        <x:v>0</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"&amp;U95&amp;"; "&amp;AF95&amp;"; "&amp;AH95&amp;"; "&amp;AI95)</x:f>
        <x:v>proposal.chemical.scent_marker; chemical scent marker; resources; faunal chemical concept; chemical material; extracted material; fauna; fauna interaction; biological chemical; unresolved; proposal; ; t0; not applicable; material</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status/completeness",IF(AF95="T0","Raw entry feed; no production route","No production route listed"))</x:f>
        <x:v>Raw entry feed; no production route</x:v>
      </x:c>
      <x:c r="AN95" s="14" t="n">
        <x:f>IF(AF95="T0",0,IF(AF95="T1",1,IF(AF95="T2",2,IF(AF95="T3",3,IF(AF95="T4",4,IF(AF95="Unassigned",98,99))))))</x:f>
        <x:v>0</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"&amp;U96&amp;"; "&amp;AF96&amp;"; "&amp;AH96&amp;"; "&amp;AI96)</x:f>
        <x:v>proposal.container.sample_vial; clear sample vial; containers; primary vessel; container; finished item; manufactured / unresolved; liquid and bulk containment; glass; solid part; proposal; inspection; not applicable; unassigned; finished item</x:v>
      </x:c>
      <x:c r="AE96" s="4" t="str">
        <x:v>From current item description. Proposed uses retain their existing approval status.</x:v>
      </x:c>
      <x:c r="AF96" s="4" t="str">
        <x:v>Not applicable</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status/completeness",IF(AF96="T0","Raw entry feed; no production route","No production route listed"))</x:f>
        <x:v>No production route listed</x:v>
      </x:c>
      <x:c r="AN96" s="14" t="n">
        <x:f>IF(AF96="T0",0,IF(AF96="T1",1,IF(AF96="T2",2,IF(AF96="T3",3,IF(AF96="T4",4,IF(AF96="Unassigned",98,99))))))</x:f>
        <x:v>99</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"&amp;U97&amp;"; "&amp;AF97&amp;"; "&amp;AH97&amp;"; "&amp;AI97)</x:f>
        <x:v>proposal.container.reagent_bottle; opaque reagent bottle; containers; primary vessel; container; finished item; manufactured / unresolved; liquid and bulk containment; glass; solid part; proposal; ; not applicable; unassigned; finished item</x:v>
      </x:c>
      <x:c r="AE97" s="4" t="str">
        <x:v>From current item description. Proposed uses retain their existing approval status.</x:v>
      </x:c>
      <x:c r="AF97" s="4" t="str">
        <x:v>Not applicable</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status/completeness",IF(AF97="T0","Raw entry feed; no production route","No production route listed"))</x:f>
        <x:v>No production route listed</x:v>
      </x:c>
      <x:c r="AN97" s="14" t="n">
        <x:f>IF(AF97="T0",0,IF(AF97="T1",1,IF(AF97="T2",2,IF(AF97="T3",3,IF(AF97="T4",4,IF(AF97="Unassigned",98,99))))))</x:f>
        <x:v>99</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"&amp;U98&amp;"; "&amp;AF98&amp;"; "&amp;AH98&amp;"; "&amp;AI98)</x:f>
        <x:v>proposal.container.wide_jar; wide-mouth sample jar; containers; primary vessel; container; finished item; manufactured / unresolved; liquid and bulk containment; glass; solid part; proposal; ; not applicable; unassigned; finished item</x:v>
      </x:c>
      <x:c r="AE98" s="4" t="str">
        <x:v>From current item description. Proposed uses retain their existing approval status.</x:v>
      </x:c>
      <x:c r="AF98" s="4" t="str">
        <x:v>Not applicable</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status/completeness",IF(AF98="T0","Raw entry feed; no production route","No production route listed"))</x:f>
        <x:v>No production route listed</x:v>
      </x:c>
      <x:c r="AN98" s="14" t="n">
        <x:f>IF(AF98="T0",0,IF(AF98="T1",1,IF(AF98="T2",2,IF(AF98="T3",3,IF(AF98="T4",4,IF(AF98="Unassigned",98,99))))))</x:f>
        <x:v>99</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"&amp;U99&amp;"; "&amp;AF99&amp;"; "&amp;AH99&amp;"; "&amp;AI99)</x:f>
        <x:v>proposal.container.ampoule; sealed sample ampoule; containers; primary vessel; container; finished item; manufactured / unresolved; liquid and bulk containment; glass; solid part; proposal; ; not applicable; unassigned; finished item</x:v>
      </x:c>
      <x:c r="AE99" s="4" t="str">
        <x:v>From current item description. Proposed uses retain their existing approval status.</x:v>
      </x:c>
      <x:c r="AF99" s="4" t="str">
        <x:v>Not applicable</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status/completeness",IF(AF99="T0","Raw entry feed; no production route","No production route listed"))</x:f>
        <x:v>No production route listed</x:v>
      </x:c>
      <x:c r="AN99" s="14" t="n">
        <x:f>IF(AF99="T0",0,IF(AF99="T1",1,IF(AF99="T2",2,IF(AF99="T3",3,IF(AF99="T4",4,IF(AF99="Unassigned",98,99))))))</x:f>
        <x:v>99</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"&amp;U100&amp;"; "&amp;AF100&amp;"; "&amp;AH100&amp;"; "&amp;AI100)</x:f>
        <x:v>proposal.container.marked_flask; marked glass flask; containers; primary vessel; container; finished item; manufactured / unresolved; liquid and bulk containment; glass; solid part; proposal; inspection; not applicable; unassigned; finished item</x:v>
      </x:c>
      <x:c r="AE100" s="4" t="str">
        <x:v>From current item description. Proposed uses retain their existing approval status.</x:v>
      </x:c>
      <x:c r="AF100" s="4" t="str">
        <x:v>Not applicable</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status/completeness",IF(AF100="T0","Raw entry feed; no production route","No production route listed"))</x:f>
        <x:v>No production route listed</x:v>
      </x:c>
      <x:c r="AN100" s="14" t="n">
        <x:f>IF(AF100="T0",0,IF(AF100="T1",1,IF(AF100="T2",2,IF(AF100="T3",3,IF(AF100="T4",4,IF(AF100="Unassigned",98,99))))))</x:f>
        <x:v>99</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"&amp;U101&amp;"; "&amp;AF101&amp;";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E101" s="4" t="str">
        <x:v>From current item description. Proposed uses retain their existing approval status.</x:v>
      </x:c>
      <x:c r="AF101" s="4" t="str">
        <x:v>Not applicable</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status/completeness",IF(AF101="T0","Raw entry feed; no production route","No production route listed"))</x:f>
        <x:v>No production route listed</x:v>
      </x:c>
      <x:c r="AN101" s="14" t="n">
        <x:f>IF(AF101="T0",0,IF(AF101="T1",1,IF(AF101="T2",2,IF(AF101="T3",3,IF(AF101="T4",4,IF(AF101="Unassigned",98,99))))))</x:f>
        <x:v>99</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"&amp;U102&amp;"; "&amp;AF102&amp;";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E102" s="4" t="str">
        <x:v>From current item description. Proposed uses retain their existing approval status.</x:v>
      </x:c>
      <x:c r="AF102" s="4" t="str">
        <x:v>Not applicable</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status/completeness",IF(AF102="T0","Raw entry feed; no production route","No production route listed"))</x:f>
        <x:v>No production route listed</x:v>
      </x:c>
      <x:c r="AN102" s="14" t="n">
        <x:f>IF(AF102="T0",0,IF(AF102="T1",1,IF(AF102="T2",2,IF(AF102="T3",3,IF(AF102="T4",4,IF(AF102="Unassigned",98,99))))))</x:f>
        <x:v>99</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"&amp;U103&amp;"; "&amp;AF103&amp;"; "&amp;AH103&amp;"; "&amp;AI103)</x:f>
        <x:v>proposal.container.ceramic_jar; glazed ceramic reagent jar; containers; primary vessel; container; finished item; manufactured / unresolved; liquid and bulk containment; ceramic; solid part; proposal; ; not applicable; unassigned; finished item</x:v>
      </x:c>
      <x:c r="AE103" s="4" t="str">
        <x:v>From current item description. Proposed uses retain their existing approval status.</x:v>
      </x:c>
      <x:c r="AF103" s="4" t="str">
        <x:v>Not applicable</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status/completeness",IF(AF103="T0","Raw entry feed; no production route","No production route listed"))</x:f>
        <x:v>No production route listed</x:v>
      </x:c>
      <x:c r="AN103" s="14" t="n">
        <x:f>IF(AF103="T0",0,IF(AF103="T1",1,IF(AF103="T2",2,IF(AF103="T3",3,IF(AF103="T4",4,IF(AF103="Unassigned",98,99))))))</x:f>
        <x:v>99</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"&amp;U104&amp;"; "&amp;AF104&amp;"; "&amp;AH104&amp;"; "&amp;AI104)</x:f>
        <x:v>proposal.container.bulk_ichor; bulk ichor vessel; containers; primary vessel; container; finished item; manufactured / unresolved; liquid and bulk containment; mixed / unresolved; assembly; proposal; ; not applicable; unassigned; finished item</x:v>
      </x:c>
      <x:c r="AE104" s="4" t="str">
        <x:v>From current item description. Proposed uses retain their existing approval status.</x:v>
      </x:c>
      <x:c r="AF104" s="4" t="str">
        <x:v>Not applicable</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status/completeness",IF(AF104="T0","Raw entry feed; no production route","No production route listed"))</x:f>
        <x:v>No production route listed</x:v>
      </x:c>
      <x:c r="AN104" s="14" t="n">
        <x:f>IF(AF104="T0",0,IF(AF104="T1",1,IF(AF104="T2",2,IF(AF104="T3",3,IF(AF104="T4",4,IF(AF104="Unassigned",98,99))))))</x:f>
        <x:v>99</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"&amp;U105&amp;"; "&amp;AF105&amp;"; "&amp;AH105&amp;"; "&amp;AI105)</x:f>
        <x:v>proposal.container.vial_case; divided vial case; containers; protective carrier; carrier; finished item; manufactured / unresolved; cargo organization; mixed / unresolved; assembly; proposal; ; not applicable; unassigned; finished item</x:v>
      </x:c>
      <x:c r="AE105" s="4" t="str">
        <x:v>From current item description. Proposed uses retain their existing approval status.</x:v>
      </x:c>
      <x:c r="AF105" s="4" t="str">
        <x:v>Not applicable</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status/completeness",IF(AF105="T0","Raw entry feed; no production route","No production route listed"))</x:f>
        <x:v>No production route listed</x:v>
      </x:c>
      <x:c r="AN105" s="14" t="n">
        <x:f>IF(AF105="T0",0,IF(AF105="T1",1,IF(AF105="T2",2,IF(AF105="T3",3,IF(AF105="T4",4,IF(AF105="Unassigned",98,99))))))</x:f>
        <x:v>99</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"&amp;U106&amp;"; "&amp;AF106&amp;"; "&amp;AH106&amp;"; "&amp;AI106)</x:f>
        <x:v>proposal.container.sealed_box; sealed cargo box; containers; protective carrier; carrier; finished item; manufactured / unresolved; cargo organization; mixed / unresolved; assembly; proposal; ; not applicable; unassigned; finished item</x:v>
      </x:c>
      <x:c r="AE106" s="4" t="str">
        <x:v>From current item description. Proposed uses retain their existing approval status.</x:v>
      </x:c>
      <x:c r="AF106" s="4" t="str">
        <x:v>Not applicable</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status/completeness",IF(AF106="T0","Raw entry feed; no production route","No production route listed"))</x:f>
        <x:v>No production route listed</x:v>
      </x:c>
      <x:c r="AN106" s="14" t="n">
        <x:f>IF(AF106="T0",0,IF(AF106="T1",1,IF(AF106="T2",2,IF(AF106="T3",3,IF(AF106="T4",4,IF(AF106="Unassigned",98,99))))))</x:f>
        <x:v>99</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"&amp;U107&amp;"; "&amp;AF107&amp;"; "&amp;AH107&amp;"; "&amp;AI107)</x:f>
        <x:v>proposal.container.field_chest; locking field chest; containers; storage object candidate; container; finished item; manufactured / unresolved; cargo organization; mixed / unresolved; assembly; proposal; ; not applicable; unassigned; finished item</x:v>
      </x:c>
      <x:c r="AE107" s="4" t="str">
        <x:v>From current item description. Proposed uses retain their existing approval status.</x:v>
      </x:c>
      <x:c r="AF107" s="4" t="str">
        <x:v>Not applicable</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status/completeness",IF(AF107="T0","Raw entry feed; no production route","No production route listed"))</x:f>
        <x:v>No production route listed</x:v>
      </x:c>
      <x:c r="AN107" s="14" t="n">
        <x:f>IF(AF107="T0",0,IF(AF107="T1",1,IF(AF107="T2",2,IF(AF107="T3",3,IF(AF107="T4",4,IF(AF107="Unassigned",98,99))))))</x:f>
        <x:v>99</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"&amp;U108&amp;"; "&amp;AF108&amp;"; "&amp;AH108&amp;"; "&amp;AI108)</x:f>
        <x:v>proposal.container.funnel; glass transfer funnel; containers; transfer glassware; tool; finished item; manufactured / unresolved; material transfer; glass; solid part; proposal; ; not applicable; unassigned; finished item</x:v>
      </x:c>
      <x:c r="AE108" s="4" t="str">
        <x:v>From current item description. Proposed uses retain their existing approval status.</x:v>
      </x:c>
      <x:c r="AF108" s="4" t="str">
        <x:v>Not applicable</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status/completeness",IF(AF108="T0","Raw entry feed; no production route","No production route listed"))</x:f>
        <x:v>No production route listed</x:v>
      </x:c>
      <x:c r="AN108" s="14" t="n">
        <x:f>IF(AF108="T0",0,IF(AF108="T1",1,IF(AF108="T2",2,IF(AF108="T3",3,IF(AF108="T4",4,IF(AF108="Unassigned",98,99))))))</x:f>
        <x:v>99</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"&amp;U109&amp;"; "&amp;AF109&amp;"; "&amp;AH109&amp;"; "&amp;AI109)</x:f>
        <x:v>proposal.container.draw_tube; glass draw tube; containers; transfer glassware; tool; finished item; manufactured / unresolved; material transfer; glass; solid part; proposal; ; not applicable; unassigned; finished item</x:v>
      </x:c>
      <x:c r="AE109" s="4" t="str">
        <x:v>From current item description. Proposed uses retain their existing approval status.</x:v>
      </x:c>
      <x:c r="AF109" s="4" t="str">
        <x:v>Not applicable</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status/completeness",IF(AF109="T0","Raw entry feed; no production route","No production route listed"))</x:f>
        <x:v>No production route listed</x:v>
      </x:c>
      <x:c r="AN109" s="14" t="n">
        <x:f>IF(AF109="T0",0,IF(AF109="T1",1,IF(AF109="T2",2,IF(AF109="T3",3,IF(AF109="T4",4,IF(AF109="Unassigned",98,99))))))</x:f>
        <x:v>99</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"&amp;U110&amp;"; "&amp;AF110&amp;"; "&amp;AH110&amp;"; "&amp;AI110)</x:f>
        <x:v>proposal.container.glass_stopper; matched glass stopper; containers; closure component; container part; processed intermediate; manufactured / unresolved; sealing; glass; solid part; proposal; ; unassigned; not applicable; component</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c r="AI110" s="4" t="str">
        <x:v>Component</x:v>
      </x:c>
      <x:c r="AJ110" s="4" t="n">
        <x:f>COUNTIFS('Material routes'!$D$6:$D$1005,A110,'Material routes'!$C$6:$C$1005,"Output")</x:f>
        <x:v>0</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status/completeness",IF(AF110="T0","Raw entry feed; no production route","No production route listed"))</x:f>
        <x:v>No production route listed</x:v>
      </x:c>
      <x:c r="AN110" s="14" t="n">
        <x:f>IF(AF110="T0",0,IF(AF110="T1",1,IF(AF110="T2",2,IF(AF110="T3",3,IF(AF110="T4",4,IF(AF110="Unassigned",98,99))))))</x:f>
        <x:v>98</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"&amp;U111&amp;"; "&amp;AF111&amp;"; "&amp;AH111&amp;"; "&amp;AI111)</x:f>
        <x:v>proposal.container.seal_collar; compression seal collar; containers; closure component; container part; processed intermediate; manufactured / unresolved; sealing; mixed / unresolved; solid part; proposal; ; unassigned; not applicable; component</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c r="AI111" s="4" t="str">
        <x:v>Component</x:v>
      </x:c>
      <x:c r="AJ111" s="4" t="n">
        <x:f>COUNTIFS('Material routes'!$D$6:$D$1005,A111,'Material routes'!$C$6:$C$1005,"Output")</x:f>
        <x:v>0</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status/completeness",IF(AF111="T0","Raw entry feed; no production route","No production route listed"))</x:f>
        <x:v>No production route listed</x:v>
      </x:c>
      <x:c r="AN111" s="14" t="n">
        <x:f>IF(AF111="T0",0,IF(AF111="T1",1,IF(AF111="T2",2,IF(AF111="T3",3,IF(AF111="T4",4,IF(AF111="Unassigned",98,99))))))</x:f>
        <x:v>98</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"&amp;U112&amp;"; "&amp;AF112&amp;"; "&amp;AH112&amp;"; "&amp;AI112)</x:f>
        <x:v>proposal.gear.mail_shirt; chainmail shirt; equipment; torso layer; armor; finished item; manufactured / unresolved; clothing; metal; garment; author direction; protection; chain mail shirt; not applicable; unassigned; finished item</x:v>
      </x:c>
      <x:c r="AE112" s="4" t="str">
        <x:v>From current item description. Proposed uses retain their existing approval status.</x:v>
      </x:c>
      <x:c r="AF112" s="4" t="str">
        <x:v>Not applicable</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status/completeness",IF(AF112="T0","Raw entry feed; no production route","No production route listed"))</x:f>
        <x:v>No production route listed</x:v>
      </x:c>
      <x:c r="AN112" s="14" t="n">
        <x:f>IF(AF112="T0",0,IF(AF112="T1",1,IF(AF112="T2",2,IF(AF112="T3",3,IF(AF112="T4",4,IF(AF112="Unassigned",98,99))))))</x:f>
        <x:v>99</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"&amp;U113&amp;"; "&amp;AF113&amp;"; "&amp;AH113&amp;"; "&amp;AI113)</x:f>
        <x:v>proposal.gear.metal_armor_set; assembled metal armor; equipment; whole-body assembly candidate; armor; finished item; manufactured / unresolved; protection; metal; assembly; author direction; ; not applicable; unassigned; finished item</x:v>
      </x:c>
      <x:c r="AE113" s="4" t="str">
        <x:v>From current item description. Proposed uses retain their existing approval status.</x:v>
      </x:c>
      <x:c r="AF113" s="4" t="str">
        <x:v>Not applicable</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status/completeness",IF(AF113="T0","Raw entry feed; no production route","No production route listed"))</x:f>
        <x:v>No production route listed</x:v>
      </x:c>
      <x:c r="AN113" s="14" t="n">
        <x:f>IF(AF113="T0",0,IF(AF113="T1",1,IF(AF113="T2",2,IF(AF113="T3",3,IF(AF113="T4",4,IF(AF113="Unassigned",98,99))))))</x:f>
        <x:v>99</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"&amp;U114&amp;"; "&amp;AF114&amp;"; "&amp;AH114&amp;"; "&amp;AI114)</x:f>
        <x:v>proposal.gear.chest_armor; chest armor; equipment; torso plate; armor; finished item; manufactured / unresolved; protection; metal; assembly; author direction; ; not applicable; unassigned; finished item</x:v>
      </x:c>
      <x:c r="AE114" s="4" t="str">
        <x:v>From current item description. Proposed uses retain their existing approval status.</x:v>
      </x:c>
      <x:c r="AF114" s="4" t="str">
        <x:v>Not applicable</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status/completeness",IF(AF114="T0","Raw entry feed; no production route","No production route listed"))</x:f>
        <x:v>Route listed; review status/completeness</x:v>
      </x:c>
      <x:c r="AN114" s="14" t="n">
        <x:f>IF(AF114="T0",0,IF(AF114="T1",1,IF(AF114="T2",2,IF(AF114="T3",3,IF(AF114="T4",4,IF(AF114="Unassigned",98,99))))))</x:f>
        <x:v>99</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"&amp;U115&amp;"; "&amp;AF115&amp;"; "&amp;AH115&amp;"; "&amp;AI115)</x:f>
        <x:v>proposal.gear.helmet; helmet; equipment; head; armor; finished item; manufactured / unresolved; protection; metal; assembly; author direction; ; not applicable; unassigned; finished item</x:v>
      </x:c>
      <x:c r="AE115" s="4" t="str">
        <x:v>From current item description. Proposed uses retain their existing approval status.</x:v>
      </x:c>
      <x:c r="AF115" s="4" t="str">
        <x:v>Not applicable</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status/completeness",IF(AF115="T0","Raw entry feed; no production route","No production route listed"))</x:f>
        <x:v>No production route listed</x:v>
      </x:c>
      <x:c r="AN115" s="14" t="n">
        <x:f>IF(AF115="T0",0,IF(AF115="T1",1,IF(AF115="T2",2,IF(AF115="T3",3,IF(AF115="T4",4,IF(AF115="Unassigned",98,99))))))</x:f>
        <x:v>99</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"&amp;U116&amp;"; "&amp;AF116&amp;"; "&amp;AH116&amp;"; "&amp;AI116)</x:f>
        <x:v>proposal.gear.leg_armor; leg armor; equipment; lower limbs; armor; finished item; manufactured / unresolved; protection; metal; assembly; author direction; ; not applicable; unassigned; finished item</x:v>
      </x:c>
      <x:c r="AE116" s="4" t="str">
        <x:v>From current item description. Proposed uses retain their existing approval status.</x:v>
      </x:c>
      <x:c r="AF116" s="4" t="str">
        <x:v>Not applicable</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status/completeness",IF(AF116="T0","Raw entry feed; no production route","No production route listed"))</x:f>
        <x:v>No production route listed</x:v>
      </x:c>
      <x:c r="AN116" s="14" t="n">
        <x:f>IF(AF116="T0",0,IF(AF116="T1",1,IF(AF116="T2",2,IF(AF116="T3",3,IF(AF116="T4",4,IF(AF116="Unassigned",98,99))))))</x:f>
        <x:v>99</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"&amp;U117&amp;"; "&amp;AF117&amp;"; "&amp;AH117&amp;"; "&amp;AI117)</x:f>
        <x:v>proposal.gear.boots; boots; equipment; feet; wearable; finished item; manufactured / unresolved; protection; mixed / unresolved; garment; author direction; traversal; not applicable; unassigned; finished item</x:v>
      </x:c>
      <x:c r="AE117" s="4" t="str">
        <x:v>From current item description. Proposed uses retain their existing approval status.</x:v>
      </x:c>
      <x:c r="AF117" s="4" t="str">
        <x:v>Not applicable</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status/completeness",IF(AF117="T0","Raw entry feed; no production route","No production route listed"))</x:f>
        <x:v>No production route listed</x:v>
      </x:c>
      <x:c r="AN117" s="14" t="n">
        <x:f>IF(AF117="T0",0,IF(AF117="T1",1,IF(AF117="T2",2,IF(AF117="T3",3,IF(AF117="T4",4,IF(AF117="Unassigned",98,99))))))</x:f>
        <x:v>99</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"&amp;U118&amp;"; "&amp;AF118&amp;"; "&amp;AH118&amp;"; "&amp;AI118)</x:f>
        <x:v>proposal.gear.gloves; gloves; equipment; hands; wearable; finished item; manufactured / unresolved; protection; mixed / unresolved; garment; author direction; ; not applicable; unassigned; finished item</x:v>
      </x:c>
      <x:c r="AE118" s="4" t="str">
        <x:v>From current item description. Proposed uses retain their existing approval status.</x:v>
      </x:c>
      <x:c r="AF118" s="4" t="str">
        <x:v>Not applicable</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status/completeness",IF(AF118="T0","Raw entry feed; no production route","No production route listed"))</x:f>
        <x:v>No production route listed</x:v>
      </x:c>
      <x:c r="AN118" s="14" t="n">
        <x:f>IF(AF118="T0",0,IF(AF118="T1",1,IF(AF118="T2",2,IF(AF118="T3",3,IF(AF118="T4",4,IF(AF118="Unassigned",98,99))))))</x:f>
        <x:v>99</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"&amp;U119&amp;"; "&amp;AF119&amp;"; "&amp;AH119&amp;"; "&amp;AI119)</x:f>
        <x:v>proposal.gear.backpack; backpack; equipment; back-mounted carrier; carrier; finished item; manufactured / unresolved; cargo organization; mixed / unresolved; assembly; author direction; ; not applicable; unassigned; finished item</x:v>
      </x:c>
      <x:c r="AE119" s="4" t="str">
        <x:v>From current item description. Proposed uses retain their existing approval status.</x:v>
      </x:c>
      <x:c r="AF119" s="4" t="str">
        <x:v>Not applicable</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status/completeness",IF(AF119="T0","Raw entry feed; no production route","No production route listed"))</x:f>
        <x:v>No production route listed</x:v>
      </x:c>
      <x:c r="AN119" s="14" t="n">
        <x:f>IF(AF119="T0",0,IF(AF119="T1",1,IF(AF119="T2",2,IF(AF119="T3",3,IF(AF119="T4",4,IF(AF119="Unassigned",98,99))))))</x:f>
        <x:v>99</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"&amp;U120&amp;"; "&amp;AF120&amp;"; "&amp;AH120&amp;"; "&amp;AI120)</x:f>
        <x:v>proposal.gear.special_plates; specialized armor plates; equipment; modular protection; armor; finished item; manufactured / unresolved; protection; metal; assembly; author direction; ; not applicable; unassigned; finished item</x:v>
      </x:c>
      <x:c r="AE120" s="4" t="str">
        <x:v>From current item description. Proposed uses retain their existing approval status.</x:v>
      </x:c>
      <x:c r="AF120" s="4" t="str">
        <x:v>Not applicable</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status/completeness",IF(AF120="T0","Raw entry feed; no production route","No production route listed"))</x:f>
        <x:v>No production route listed</x:v>
      </x:c>
      <x:c r="AN120" s="14" t="n">
        <x:f>IF(AF120="T0",0,IF(AF120="T1",1,IF(AF120="T2",2,IF(AF120="T3",3,IF(AF120="T4",4,IF(AF120="Unassigned",98,99))))))</x:f>
        <x:v>99</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"&amp;U121&amp;"; "&amp;AF121&amp;"; "&amp;AH121&amp;"; "&amp;AI121)</x:f>
        <x:v>proposal.gear.shield; shield; equipment; held / mounted defensive gear; shield; finished item; manufactured / unresolved; protection; mixed / unresolved; assembly; author direction; ; not applicable; unassigned; finished item</x:v>
      </x:c>
      <x:c r="AE121" s="4" t="str">
        <x:v>From current item description. Proposed uses retain their existing approval status.</x:v>
      </x:c>
      <x:c r="AF121" s="4" t="str">
        <x:v>Not applicable</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status/completeness",IF(AF121="T0","Raw entry feed; no production route","No production route listed"))</x:f>
        <x:v>No production route listed</x:v>
      </x:c>
      <x:c r="AN121" s="14" t="n">
        <x:f>IF(AF121="T0",0,IF(AF121="T1",1,IF(AF121="T2",2,IF(AF121="T3",3,IF(AF121="T4",4,IF(AF121="Unassigned",98,99))))))</x:f>
        <x:v>99</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"&amp;U122&amp;"; "&amp;AF122&amp;"; "&amp;AH122&amp;"; "&amp;AI122)</x:f>
        <x:v>proposal.weapon.caltrops; caltrops; weapons; trip-ups; trip hazard; finished item; manufactured / unresolved; area denial; unresolved; solid part; author direction; ; not applicable; unassigned; finished item</x:v>
      </x:c>
      <x:c r="AE122" s="4" t="str">
        <x:v>From current item description. Proposed uses retain their existing approval status.</x:v>
      </x:c>
      <x:c r="AF122" s="4" t="str">
        <x:v>Not applicable</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status/completeness",IF(AF122="T0","Raw entry feed; no production route","No production route listed"))</x:f>
        <x:v>No production route listed</x:v>
      </x:c>
      <x:c r="AN122" s="14" t="n">
        <x:f>IF(AF122="T0",0,IF(AF122="T1",1,IF(AF122="T2",2,IF(AF122="T3",3,IF(AF122="T4",4,IF(AF122="Unassigned",98,99))))))</x:f>
        <x:v>99</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"&amp;U123&amp;"; "&amp;AF123&amp;"; "&amp;AH123&amp;"; "&amp;AI123)</x:f>
        <x:v>proposal.ancient.carbon_composite; ancient carbon composite; resources; ancient manufactured material; processed material; ancient manufactured; ancient technology; use unresolved; ancient composite; unresolved; author direction; ; unassigned; unassigned; material</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status/completeness",IF(AF123="T0","Raw entry feed; no production route","No production route listed"))</x:f>
        <x:v>No production route listed</x:v>
      </x:c>
      <x:c r="AN123" s="14" t="n">
        <x:f>IF(AF123="T0",0,IF(AF123="T1",1,IF(AF123="T2",2,IF(AF123="T3",3,IF(AF123="T4",4,IF(AF123="Unassigned",98,99))))))</x:f>
        <x:v>98</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"&amp;U124&amp;"; "&amp;AF124&amp;"; "&amp;AH124&amp;"; "&amp;AI124)</x:f>
        <x:v>proposal.ancient.nanocarbon; ancient nanocarbon material; resources; ancient manufactured material; processed material; ancient manufactured; ancient technology; use unresolved; ancient composite; unresolved; author direction; ; unassigned; unassigned; material</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status/completeness",IF(AF124="T0","Raw entry feed; no production route","No production route listed"))</x:f>
        <x:v>No production route listed</x:v>
      </x:c>
      <x:c r="AN124" s="14" t="n">
        <x:f>IF(AF124="T0",0,IF(AF124="T1",1,IF(AF124="T2",2,IF(AF124="T3",3,IF(AF124="T4",4,IF(AF124="Unassigned",98,99))))))</x:f>
        <x:v>98</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"&amp;U125&amp;"; "&amp;AF125&amp;"; "&amp;AH125&amp;"; "&amp;AI125)</x:f>
        <x:v>proposal.ancient.plasteel; ancient plasteel material; resources; ancient manufactured material; processed material; ancient manufactured; ancient technology; use unresolved; ancient composite; unresolved; author direction; ; unassigned; unassigned; material</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status/completeness",IF(AF125="T0","Raw entry feed; no production route","No production route listed"))</x:f>
        <x:v>No production route listed</x:v>
      </x:c>
      <x:c r="AN125" s="14" t="n">
        <x:f>IF(AF125="T0",0,IF(AF125="T1",1,IF(AF125="T2",2,IF(AF125="T3",3,IF(AF125="T4",4,IF(AF125="Unassigned",98,99))))))</x:f>
        <x:v>98</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"&amp;U126&amp;"; "&amp;AF126&amp;"; "&amp;AH126&amp;"; "&amp;AI126)</x:f>
        <x:v>proposal.fashion.special_spectacles; specialized spectacles; equipment; specialist eyewear; wearable; finished item; manufactured / unresolved; vision; mixed / unresolved; assembly; author direction; ; not applicable; unassigned; finished item</x:v>
      </x:c>
      <x:c r="AE126" s="4" t="str">
        <x:v>From current item description. Proposed uses retain their existing approval status.</x:v>
      </x:c>
      <x:c r="AF126" s="4" t="str">
        <x:v>Not applicable</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status/completeness",IF(AF126="T0","Raw entry feed; no production route","No production route listed"))</x:f>
        <x:v>No production route listed</x:v>
      </x:c>
      <x:c r="AN126" s="14" t="n">
        <x:f>IF(AF126="T0",0,IF(AF126="T1",1,IF(AF126="T2",2,IF(AF126="T3",3,IF(AF126="T4",4,IF(AF126="Unassigned",98,99))))))</x:f>
        <x:v>99</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"&amp;U127&amp;"; "&amp;AF127&amp;"; "&amp;AH127&amp;"; "&amp;AI127)</x:f>
        <x:v>proposal.fashion.eyeglasses; eyeglasses; equipment; eyewear; wearable; finished item; manufactured / unresolved; vision; mixed / unresolved; assembly; author direction; ; not applicable; unassigned; finished item</x:v>
      </x:c>
      <x:c r="AE127" s="4" t="str">
        <x:v>From current item description. Proposed uses retain their existing approval status.</x:v>
      </x:c>
      <x:c r="AF127" s="4" t="str">
        <x:v>Not applicable</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status/completeness",IF(AF127="T0","Raw entry feed; no production route","No production route listed"))</x:f>
        <x:v>No production route listed</x:v>
      </x:c>
      <x:c r="AN127" s="14" t="n">
        <x:f>IF(AF127="T0",0,IF(AF127="T1",1,IF(AF127="T2",2,IF(AF127="T3",3,IF(AF127="T4",4,IF(AF127="Unassigned",98,99))))))</x:f>
        <x:v>99</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"&amp;U128&amp;"; "&amp;AF128&amp;"; "&amp;AH128&amp;"; "&amp;AI128)</x:f>
        <x:v>proposal.fashion.hat; hat; equipment; headwear; wearable; finished item; manufactured / unresolved; clothing; mixed / unresolved; garment; author direction; fashion; not applicable; unassigned; finished item</x:v>
      </x:c>
      <x:c r="AE128" s="4" t="str">
        <x:v>From current item description. Proposed uses retain their existing approval status.</x:v>
      </x:c>
      <x:c r="AF128" s="4" t="str">
        <x:v>Not applicable</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status/completeness",IF(AF128="T0","Raw entry feed; no production route","No production route listed"))</x:f>
        <x:v>No production route listed</x:v>
      </x:c>
      <x:c r="AN128" s="14" t="n">
        <x:f>IF(AF128="T0",0,IF(AF128="T1",1,IF(AF128="T2",2,IF(AF128="T3",3,IF(AF128="T4",4,IF(AF128="Unassigned",98,99))))))</x:f>
        <x:v>99</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"&amp;U129&amp;"; "&amp;AF129&amp;"; "&amp;AH129&amp;"; "&amp;AI129)</x:f>
        <x:v>proposal.fashion.husk_garment; elaborate husk-fiber wear; equipment; fashion garment; wearable; finished item; manufactured / unresolved; fashion; husk fiber; garment; author direction; ; not applicable; unassigned; finished item</x:v>
      </x:c>
      <x:c r="AE129" s="4" t="str">
        <x:v>From current item description. Proposed uses retain their existing approval status.</x:v>
      </x:c>
      <x:c r="AF129" s="4" t="str">
        <x:v>Not applicable</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status/completeness",IF(AF129="T0","Raw entry feed; no production route","No production route listed"))</x:f>
        <x:v>No production route listed</x:v>
      </x:c>
      <x:c r="AN129" s="14" t="n">
        <x:f>IF(AF129="T0",0,IF(AF129="T1",1,IF(AF129="T2",2,IF(AF129="T3",3,IF(AF129="T4",4,IF(AF129="Unassigned",98,99))))))</x:f>
        <x:v>99</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"&amp;U130&amp;"; "&amp;AF130&amp;"; "&amp;AH130&amp;"; "&amp;AI130)</x:f>
        <x:v>proposal.fashion.fur_garment; elaborate fur wear; equipment; fashion garment; wearable; finished item; manufactured / unresolved; fashion; fur; garment; author direction; ; not applicable; unassigned; finished item</x:v>
      </x:c>
      <x:c r="AE130" s="4" t="str">
        <x:v>From current item description. Proposed uses retain their existing approval status.</x:v>
      </x:c>
      <x:c r="AF130" s="4" t="str">
        <x:v>Not applicable</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status/completeness",IF(AF130="T0","Raw entry feed; no production route","No production route listed"))</x:f>
        <x:v>No production route listed</x:v>
      </x:c>
      <x:c r="AN130" s="14" t="n">
        <x:f>IF(AF130="T0",0,IF(AF130="T1",1,IF(AF130="T2",2,IF(AF130="T3",3,IF(AF130="T4",4,IF(AF130="Unassigned",98,99))))))</x:f>
        <x:v>99</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"&amp;U131&amp;"; "&amp;AF131&amp;"; "&amp;AH131&amp;"; "&amp;AI131)</x:f>
        <x:v>proposal.fashion.hide_garment; elaborate hide wear; equipment; fashion garment; wearable; finished item; manufactured / unresolved; fashion; hide; garment; author direction; ; not applicable; unassigned; finished item</x:v>
      </x:c>
      <x:c r="AE131" s="4" t="str">
        <x:v>From current item description. Proposed uses retain their existing approval status.</x:v>
      </x:c>
      <x:c r="AF131" s="4" t="str">
        <x:v>Not applicable</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status/completeness",IF(AF131="T0","Raw entry feed; no production route","No production route listed"))</x:f>
        <x:v>No production route listed</x:v>
      </x:c>
      <x:c r="AN131" s="14" t="n">
        <x:f>IF(AF131="T0",0,IF(AF131="T1",1,IF(AF131="T2",2,IF(AF131="T3",3,IF(AF131="T4",4,IF(AF131="Unassigned",98,99))))))</x:f>
        <x:v>99</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"&amp;U132&amp;"; "&amp;AF132&amp;"; "&amp;AH132&amp;"; "&amp;AI132)</x:f>
        <x:v>proposal.gem.clear_quartz; clear quartz; resources; gemstone concept; gem material; unresolved; geological; decoration; gemstone; unresolved; proposal; ; t0; not applicable; material</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status/completeness",IF(AF132="T0","Raw entry feed; no production route","No production route listed"))</x:f>
        <x:v>Raw entry feed; no production route</x:v>
      </x:c>
      <x:c r="AN132" s="14" t="n">
        <x:f>IF(AF132="T0",0,IF(AF132="T1",1,IF(AF132="T2",2,IF(AF132="T3",3,IF(AF132="T4",4,IF(AF132="Unassigned",98,99))))))</x:f>
        <x:v>0</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"&amp;U133&amp;"; "&amp;AF133&amp;"; "&amp;AH133&amp;"; "&amp;AI133)</x:f>
        <x:v>proposal.gem.smoky_quartz; smoky quartz; resources; gemstone concept; gem material; unresolved; geological; decoration; gemstone; unresolved; proposal; ; t0; not applicable; material</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status/completeness",IF(AF133="T0","Raw entry feed; no production route","No production route listed"))</x:f>
        <x:v>Raw entry feed; no production route</x:v>
      </x:c>
      <x:c r="AN133" s="14" t="n">
        <x:f>IF(AF133="T0",0,IF(AF133="T1",1,IF(AF133="T2",2,IF(AF133="T3",3,IF(AF133="T4",4,IF(AF133="Unassigned",98,99))))))</x:f>
        <x:v>0</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"&amp;U134&amp;"; "&amp;AF134&amp;"; "&amp;AH134&amp;"; "&amp;AI134)</x:f>
        <x:v>proposal.gem.garnet; garnet; resources; gemstone concept; gem material; unresolved; geological; decoration; gemstone; unresolved; proposal; ; t0; not applicable; material</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status/completeness",IF(AF134="T0","Raw entry feed; no production route","No production route listed"))</x:f>
        <x:v>Raw entry feed; no production route</x:v>
      </x:c>
      <x:c r="AN134" s="14" t="n">
        <x:f>IF(AF134="T0",0,IF(AF134="T1",1,IF(AF134="T2",2,IF(AF134="T3",3,IF(AF134="T4",4,IF(AF134="Unassigned",98,99))))))</x:f>
        <x:v>0</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"&amp;U135&amp;"; "&amp;AF135&amp;"; "&amp;AH135&amp;"; "&amp;AI135)</x:f>
        <x:v>proposal.gem.spinel; spinel; resources; gemstone concept; gem material; unresolved; geological; decoration; gemstone; unresolved; proposal; ; t0; not applicable; material</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status/completeness",IF(AF135="T0","Raw entry feed; no production route","No production route listed"))</x:f>
        <x:v>Raw entry feed; no production route</x:v>
      </x:c>
      <x:c r="AN135" s="14" t="n">
        <x:f>IF(AF135="T0",0,IF(AF135="T1",1,IF(AF135="T2",2,IF(AF135="T3",3,IF(AF135="T4",4,IF(AF135="Unassigned",98,99))))))</x:f>
        <x:v>0</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"&amp;U136&amp;"; "&amp;AF136&amp;"; "&amp;AH136&amp;"; "&amp;AI136)</x:f>
        <x:v>proposal.gem.peridot; peridot; resources; gemstone concept; gem material; unresolved; geological; decoration; gemstone; unresolved; proposal; ; t0; not applicable; material</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status/completeness",IF(AF136="T0","Raw entry feed; no production route","No production route listed"))</x:f>
        <x:v>Raw entry feed; no production route</x:v>
      </x:c>
      <x:c r="AN136" s="14" t="n">
        <x:f>IF(AF136="T0",0,IF(AF136="T1",1,IF(AF136="T2",2,IF(AF136="T3",3,IF(AF136="T4",4,IF(AF136="Unassigned",98,99))))))</x:f>
        <x:v>0</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"&amp;U137&amp;"; "&amp;AF137&amp;"; "&amp;AH137&amp;"; "&amp;AI137)</x:f>
        <x:v>proposal.gem.corundum; ruby / sapphire corundum; resources; gemstone concept; gem material; unresolved; geological; decoration; gemstone; unresolved; proposal; ; t0; not applicable; material</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status/completeness",IF(AF137="T0","Raw entry feed; no production route","No production route listed"))</x:f>
        <x:v>Raw entry feed; no production route</x:v>
      </x:c>
      <x:c r="AN137" s="14" t="n">
        <x:f>IF(AF137="T0",0,IF(AF137="T1",1,IF(AF137="T2",2,IF(AF137="T3",3,IF(AF137="T4",4,IF(AF137="Unassigned",98,99))))))</x:f>
        <x:v>0</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"&amp;U138&amp;"; "&amp;AF138&amp;"; "&amp;AH138&amp;"; "&amp;AI138)</x:f>
        <x:v>proposal.gem.tourmaline; tourmaline; resources; gemstone concept; gem material; unresolved; geological; decoration; gemstone; unresolved; proposal; ; t0; not applicable; material</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status/completeness",IF(AF138="T0","Raw entry feed; no production route","No production route listed"))</x:f>
        <x:v>Raw entry feed; no production route</x:v>
      </x:c>
      <x:c r="AN138" s="14" t="n">
        <x:f>IF(AF138="T0",0,IF(AF138="T1",1,IF(AF138="T2",2,IF(AF138="T3",3,IF(AF138="T4",4,IF(AF138="Unassigned",98,99))))))</x:f>
        <x:v>0</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"&amp;U139&amp;"; "&amp;AF139&amp;"; "&amp;AH139&amp;"; "&amp;AI139)</x:f>
        <x:v>proposal.gem.zircon; zircon; resources; gemstone concept; gem material; unresolved; geological; decoration; gemstone; unresolved; proposal; ; t0; not applicable; material</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status/completeness",IF(AF139="T0","Raw entry feed; no production route","No production route listed"))</x:f>
        <x:v>Raw entry feed; no production route</x:v>
      </x:c>
      <x:c r="AN139" s="14" t="n">
        <x:f>IF(AF139="T0",0,IF(AF139="T1",1,IF(AF139="T2",2,IF(AF139="T3",3,IF(AF139="T4",4,IF(AF139="Unassigned",98,99))))))</x:f>
        <x:v>0</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"&amp;U140&amp;"; "&amp;AF140&amp;"; "&amp;AH140&amp;"; "&amp;AI140)</x:f>
        <x:v>proposal.gear.simple_wraps; simple everyday wraps; equipment; everyday clothing; wearable; finished item; manufactured / unresolved; clothing; mixed / unresolved; garment; author direction; ; not applicable; unassigned; finished item</x:v>
      </x:c>
      <x:c r="AE140" s="4" t="str">
        <x:v>From current item description. Proposed uses retain their existing approval status.</x:v>
      </x:c>
      <x:c r="AF140" s="4" t="str">
        <x:v>Not applicable</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status/completeness",IF(AF140="T0","Raw entry feed; no production route","No production route listed"))</x:f>
        <x:v>No production route listed</x:v>
      </x:c>
      <x:c r="AN140" s="14" t="n">
        <x:f>IF(AF140="T0",0,IF(AF140="T1",1,IF(AF140="T2",2,IF(AF140="T3",3,IF(AF140="T4",4,IF(AF140="Unassigned",98,99))))))</x:f>
        <x:v>99</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"&amp;U141&amp;"; "&amp;AF141&amp;"; "&amp;AH141&amp;"; "&amp;AI141)</x:f>
        <x:v>proposal.bio.inner_wing; delicate inner wing; resources; wing material; raw material; raw; fauna; sun shading; wing membrane; membrane; author direction; sail membrane; wind propulsion; t0; not applicable; material</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status/completeness",IF(AF141="T0","Raw entry feed; no production route","No production route listed"))</x:f>
        <x:v>Raw entry feed; no production route</x:v>
      </x:c>
      <x:c r="AN141" s="14" t="n">
        <x:f>IF(AF141="T0",0,IF(AF141="T1",1,IF(AF141="T2",2,IF(AF141="T3",3,IF(AF141="T4",4,IF(AF141="Unassigned",98,99))))))</x:f>
        <x:v>0</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"&amp;U142&amp;"; "&amp;AF142&amp;"; "&amp;AH142&amp;"; "&amp;AI142)</x:f>
        <x:v>proposal.bio.wing_panel; prepared wing shade panel; crafting components; wing material; crafting component; processed intermediate; fauna; sun shading; wing membrane; panel; proposal; ; t1; not applicable; component</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status/completeness",IF(AF142="T0","Raw entry feed; no production route","No production route listed"))</x:f>
        <x:v>Route listed; review status/completeness</x:v>
      </x:c>
      <x:c r="AN142" s="14" t="n">
        <x:f>IF(AF142="T0",0,IF(AF142="T1",1,IF(AF142="T2",2,IF(AF142="T3",3,IF(AF142="T4",4,IF(AF142="Unassigned",98,99))))))</x:f>
        <x:v>1</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"&amp;U143&amp;"; "&amp;AF143&amp;"; "&amp;AH143&amp;"; "&amp;AI143)</x:f>
        <x:v>proposal.canister.body_blank; canister body blank; crafting components; canister economy concept; container part; processed intermediate; manufactured / unresolved; liquid and bulk containment; mixed / unresolved; solid part; proposal; ; unassigned; not applicable; component</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c r="AI143" s="4" t="str">
        <x:v>Component</x:v>
      </x:c>
      <x:c r="AJ143" s="4" t="n">
        <x:f>COUNTIFS('Material routes'!$D$6:$D$1005,A143,'Material routes'!$C$6:$C$1005,"Output")</x:f>
        <x:v>0</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status/completeness",IF(AF143="T0","Raw entry feed; no production route","No production route listed"))</x:f>
        <x:v>No production route listed</x:v>
      </x:c>
      <x:c r="AN143" s="14" t="n">
        <x:f>IF(AF143="T0",0,IF(AF143="T1",1,IF(AF143="T2",2,IF(AF143="T3",3,IF(AF143="T4",4,IF(AF143="Unassigned",98,99))))))</x:f>
        <x:v>98</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"&amp;U144&amp;"; "&amp;AF144&amp;"; "&amp;AH144&amp;"; "&amp;AI144)</x:f>
        <x:v>proposal.canister.seal_ring; replacement seal ring; crafting components; canister economy concept; container part; processed intermediate; manufactured / unresolved; sealing; mixed / unresolved; solid part; proposal; gasket; unassigned; not applicable; component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c r="AI144" s="4" t="str">
        <x:v>Component</x:v>
      </x:c>
      <x:c r="AJ144" s="4" t="n">
        <x:f>COUNTIFS('Material routes'!$D$6:$D$1005,A144,'Material routes'!$C$6:$C$1005,"Output")</x:f>
        <x:v>0</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status/completeness",IF(AF144="T0","Raw entry feed; no production route","No production route listed"))</x:f>
        <x:v>No production route listed</x:v>
      </x:c>
      <x:c r="AN144" s="14" t="n">
        <x:f>IF(AF144="T0",0,IF(AF144="T1",1,IF(AF144="T2",2,IF(AF144="T3",3,IF(AF144="T4",4,IF(AF144="Unassigned",98,99))))))</x:f>
        <x:v>98</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"&amp;U145&amp;"; "&amp;AF145&amp;"; "&amp;AH145&amp;"; "&amp;AI145)</x:f>
        <x:v>proposal.canister.seal_seat; fitted seal seat; crafting components; canister economy concept; container part; processed intermediate; manufactured / unresolved; sealing; mixed / unresolved; solid part; proposal; ; unassigned; not applicable; component</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c r="AI145" s="4" t="str">
        <x:v>Component</x:v>
      </x:c>
      <x:c r="AJ145" s="4" t="n">
        <x:f>COUNTIFS('Material routes'!$D$6:$D$1005,A145,'Material routes'!$C$6:$C$1005,"Output")</x:f>
        <x:v>0</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status/completeness",IF(AF145="T0","Raw entry feed; no production route","No production route listed"))</x:f>
        <x:v>No production route listed</x:v>
      </x:c>
      <x:c r="AN145" s="14" t="n">
        <x:f>IF(AF145="T0",0,IF(AF145="T1",1,IF(AF145="T2",2,IF(AF145="T3",3,IF(AF145="T4",4,IF(AF145="Unassigned",98,99))))))</x:f>
        <x:v>98</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"&amp;U146&amp;"; "&amp;AF146&amp;"; "&amp;AH146&amp;"; "&amp;AI146)</x:f>
        <x:v>proposal.canister.sealant; canister joint sealant; crafting components; canister economy concept; chemical material; processed intermediate; manufactured / unresolved; sealing; mixed / unresolved; unresolved; proposal; ; t3; not applicable; material</x:v>
      </x:c>
      <x:c r="AE146" s="4" t="str">
        <x:v>From current item description. Proposed uses retain their existing approval status.</x:v>
      </x:c>
      <x:c r="AF146" s="4" t="str">
        <x:v>T3</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routes'!$D$6:$D$1005,A146,'Material routes'!$C$6:$C$1005,"Output")</x:f>
        <x:v>1</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0</x:v>
      </x:c>
      <x:c r="AL146" s="4" t="n">
        <x:f>COUNTIFS('Material routes'!$D$6:$D$1005,A146,'Material routes'!$C$6:$C$1005,"Tool candidate")</x:f>
        <x:v>0</x:v>
      </x:c>
      <x:c r="AM146" s="4" t="str">
        <x:f>IF(AJ146&gt;0,"Route listed; review status/completeness",IF(AF146="T0","Raw entry feed; no production route","No production route listed"))</x:f>
        <x:v>Route listed; review status/completeness</x:v>
      </x:c>
      <x:c r="AN146" s="14" t="n">
        <x:f>IF(AF146="T0",0,IF(AF146="T1",1,IF(AF146="T2",2,IF(AF146="T3",3,IF(AF146="T4",4,IF(AF146="Unassigned",98,99))))))</x:f>
        <x:v>3</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"&amp;U147&amp;"; "&amp;AF147&amp;"; "&amp;AH147&amp;"; "&amp;AI147)</x:f>
        <x:v>proposal.canister.feed_line; feed-line section; crafting components; canister economy concept; container part; processed intermediate; manufactured / unresolved; material transfer; mixed / unresolved; solid part; proposal; ; unassigned; not applicable; component</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c r="AI147" s="4" t="str">
        <x:v>Component</x:v>
      </x:c>
      <x:c r="AJ147" s="4" t="n">
        <x:f>COUNTIFS('Material routes'!$D$6:$D$1005,A147,'Material routes'!$C$6:$C$1005,"Output")</x:f>
        <x:v>0</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status/completeness",IF(AF147="T0","Raw entry feed; no production route","No production route listed"))</x:f>
        <x:v>No production route listed</x:v>
      </x:c>
      <x:c r="AN147" s="14" t="n">
        <x:f>IF(AF147="T0",0,IF(AF147="T1",1,IF(AF147="T2",2,IF(AF147="T3",3,IF(AF147="T4",4,IF(AF147="Unassigned",98,99))))))</x:f>
        <x:v>98</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"&amp;U148&amp;"; "&amp;AF148&amp;"; "&amp;AH148&amp;"; "&amp;AI148)</x:f>
        <x:v>proposal.canister.coupling; feed-line coupling; crafting components; canister economy concept; container part; processed intermediate; manufactured / unresolved; material transfer; mixed / unresolved; solid part; proposal; sealing; unassigned; not applicable; component</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c r="AI148" s="4" t="str">
        <x:v>Component</x:v>
      </x:c>
      <x:c r="AJ148" s="4" t="n">
        <x:f>COUNTIFS('Material routes'!$D$6:$D$1005,A148,'Material routes'!$C$6:$C$1005,"Output")</x:f>
        <x:v>0</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status/completeness",IF(AF148="T0","Raw entry feed; no production route","No production route listed"))</x:f>
        <x:v>No production route listed</x:v>
      </x:c>
      <x:c r="AN148" s="14" t="n">
        <x:f>IF(AF148="T0",0,IF(AF148="T1",1,IF(AF148="T2",2,IF(AF148="T3",3,IF(AF148="T4",4,IF(AF148="Unassigned",98,99))))))</x:f>
        <x:v>98</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"&amp;U149&amp;"; "&amp;AF149&amp;"; "&amp;AH149&amp;"; "&amp;AI149)</x:f>
        <x:v>proposal.canister.mouthpiece; canister mouthpiece interface; crafting components; canister economy concept; container part; processed intermediate; manufactured / unresolved; survival provision; mixed / unresolved; solid part; proposal; ; unassigned; not applicable; component</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c r="AI149" s="4" t="str">
        <x:v>Component</x:v>
      </x:c>
      <x:c r="AJ149" s="4" t="n">
        <x:f>COUNTIFS('Material routes'!$D$6:$D$1005,A149,'Material routes'!$C$6:$C$1005,"Output")</x:f>
        <x:v>0</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status/completeness",IF(AF149="T0","Raw entry feed; no production route","No production route listed"))</x:f>
        <x:v>No production route listed</x:v>
      </x:c>
      <x:c r="AN149" s="14" t="n">
        <x:f>IF(AF149="T0",0,IF(AF149="T1",1,IF(AF149="T2",2,IF(AF149="T3",3,IF(AF149="T4",4,IF(AF149="Unassigned",98,99))))))</x:f>
        <x:v>98</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"&amp;U150&amp;"; "&amp;AF150&amp;"; "&amp;AH150&amp;"; "&amp;AI150)</x:f>
        <x:v>proposal.canister.window; canister viewing-port insert; crafting components; canister economy concept; container part; processed intermediate; manufactured / unresolved; inspection; glass; solid part; proposal; ; unassigned; not applicable; component</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c r="AI150" s="4" t="str">
        <x:v>Component</x:v>
      </x:c>
      <x:c r="AJ150" s="4" t="n">
        <x:f>COUNTIFS('Material routes'!$D$6:$D$1005,A150,'Material routes'!$C$6:$C$1005,"Output")</x:f>
        <x:v>0</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status/completeness",IF(AF150="T0","Raw entry feed; no production route","No production route listed"))</x:f>
        <x:v>No production route listed</x:v>
      </x:c>
      <x:c r="AN150" s="14" t="n">
        <x:f>IF(AF150="T0",0,IF(AF150="T1",1,IF(AF150="T2",2,IF(AF150="T3",3,IF(AF150="T4",4,IF(AF150="Unassigned",98,99))))))</x:f>
        <x:v>98</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"&amp;U151&amp;"; "&amp;AF151&amp;"; "&amp;AH151&amp;"; "&amp;AI151)</x:f>
        <x:v>proposal.canister.mount; canister mounting bracket; crafting components; canister economy concept; container part; processed intermediate; manufactured / unresolved; equipment mounting; mixed / unresolved; solid part; proposal; ; unassigned; not applicable; component</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c r="AI151" s="4" t="str">
        <x:v>Component</x:v>
      </x:c>
      <x:c r="AJ151" s="4" t="n">
        <x:f>COUNTIFS('Material routes'!$D$6:$D$1005,A151,'Material routes'!$C$6:$C$1005,"Output")</x:f>
        <x:v>0</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status/completeness",IF(AF151="T0","Raw entry feed; no production route","No production route listed"))</x:f>
        <x:v>No production route listed</x:v>
      </x:c>
      <x:c r="AN151" s="14" t="n">
        <x:f>IF(AF151="T0",0,IF(AF151="T1",1,IF(AF151="T2",2,IF(AF151="T3",3,IF(AF151="T4",4,IF(AF151="Unassigned",98,99))))))</x:f>
        <x:v>98</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"&amp;U152&amp;"; "&amp;AF152&amp;"; "&amp;AH152&amp;"; "&amp;AI152)</x:f>
        <x:v>proposal.canister.harness; fitted canister harness; equipment; canister economy concept; carrier; finished item; manufactured / unresolved; equipment mounting; mixed / unresolved; assembly; proposal; ; not applicable; unassigned; finished item</x:v>
      </x:c>
      <x:c r="AE152" s="4" t="str">
        <x:v>From current item description. Proposed uses retain their existing approval status.</x:v>
      </x:c>
      <x:c r="AF152" s="4" t="str">
        <x:v>Not applicable</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status/completeness",IF(AF152="T0","Raw entry feed; no production route","No production route listed"))</x:f>
        <x:v>No production route listed</x:v>
      </x:c>
      <x:c r="AN152" s="14" t="n">
        <x:f>IF(AF152="T0",0,IF(AF152="T1",1,IF(AF152="T2",2,IF(AF152="T3",3,IF(AF152="T4",4,IF(AF152="Unassigned",98,99))))))</x:f>
        <x:v>99</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"&amp;U153&amp;"; "&amp;AF153&amp;"; "&amp;AH153&amp;"; "&amp;AI153)</x:f>
        <x:v>proposal.canister.inspection_gauge; seal inspection gauge; equipment; canister economy concept; tool; finished item; manufactured / unresolved; inspection; mixed / unresolved; assembly; proposal; ; not applicable; unassigned; finished item</x:v>
      </x:c>
      <x:c r="AE153" s="4" t="str">
        <x:v>From current item description. Proposed uses retain their existing approval status.</x:v>
      </x:c>
      <x:c r="AF153" s="4" t="str">
        <x:v>Not applicable</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status/completeness",IF(AF153="T0","Raw entry feed; no production route","No production route listed"))</x:f>
        <x:v>No production route listed</x:v>
      </x:c>
      <x:c r="AN153" s="14" t="n">
        <x:f>IF(AF153="T0",0,IF(AF153="T1",1,IF(AF153="T2",2,IF(AF153="T3",3,IF(AF153="T4",4,IF(AF153="Unassigned",98,99))))))</x:f>
        <x:v>99</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"&amp;U154&amp;"; "&amp;AF154&amp;";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E154" s="4" t="str">
        <x:v>From current item description. Proposed uses retain their existing approval status.</x:v>
      </x:c>
      <x:c r="AF154" s="4" t="str">
        <x:v>Not applicable</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status/completeness",IF(AF154="T0","Raw entry feed; no production route","No production route listed"))</x:f>
        <x:v>No production route listed</x:v>
      </x:c>
      <x:c r="AN154" s="14" t="n">
        <x:f>IF(AF154="T0",0,IF(AF154="T1",1,IF(AF154="T2",2,IF(AF154="T3",3,IF(AF154="T4",4,IF(AF154="Unassigned",98,99))))))</x:f>
        <x:v>99</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"&amp;U155&amp;"; "&amp;AF155&amp;"; "&amp;AH155&amp;"; "&amp;AI155)</x:f>
        <x:v>proposal.canister.maker_plate; canister maker plate; crafting components; canister economy concept; crafting component; processed intermediate; manufactured / unresolved; provenance; mixed / unresolved; solid part; proposal; decoration; unassigned; not applicable; component</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c r="AI155" s="4" t="str">
        <x:v>Component</x:v>
      </x:c>
      <x:c r="AJ155" s="4" t="n">
        <x:f>COUNTIFS('Material routes'!$D$6:$D$1005,A155,'Material routes'!$C$6:$C$1005,"Output")</x:f>
        <x:v>0</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status/completeness",IF(AF155="T0","Raw entry feed; no production route","No production route listed"))</x:f>
        <x:v>No production route listed</x:v>
      </x:c>
      <x:c r="AN155" s="14" t="n">
        <x:f>IF(AF155="T0",0,IF(AF155="T1",1,IF(AF155="T2",2,IF(AF155="T3",3,IF(AF155="T4",4,IF(AF155="Unassigned",98,99))))))</x:f>
        <x:v>98</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"&amp;U156&amp;"; "&amp;AF156&amp;"; "&amp;AH156&amp;"; "&amp;AI156)</x:f>
        <x:v>proposal.canister.trim; decorative canister panel; crafting components; canister economy concept; crafting component; processed intermediate; manufactured / unresolved; decoration; mixed / unresolved; solid part; proposal; ; unassigned; not applicable; component</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c r="AI156" s="4" t="str">
        <x:v>Component</x:v>
      </x:c>
      <x:c r="AJ156" s="4" t="n">
        <x:f>COUNTIFS('Material routes'!$D$6:$D$1005,A156,'Material routes'!$C$6:$C$1005,"Output")</x:f>
        <x:v>0</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status/completeness",IF(AF156="T0","Raw entry feed; no production route","No production route listed"))</x:f>
        <x:v>No production route listed</x:v>
      </x:c>
      <x:c r="AN156" s="14" t="n">
        <x:f>IF(AF156="T0",0,IF(AF156="T1",1,IF(AF156="T2",2,IF(AF156="T3",3,IF(AF156="T4",4,IF(AF156="Unassigned",98,99))))))</x:f>
        <x:v>98</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"&amp;U157&amp;"; "&amp;AF157&amp;"; "&amp;AH157&amp;"; "&amp;AI157)</x:f>
        <x:v>proposal.canister.endcap; canister protective endcap; crafting components; canister economy concept; container part; processed intermediate; manufactured / unresolved; protection; mixed / unresolved; solid part; proposal; dust exclusion; unassigned; not applicable; component</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c r="AI157" s="4" t="str">
        <x:v>Component</x:v>
      </x:c>
      <x:c r="AJ157" s="4" t="n">
        <x:f>COUNTIFS('Material routes'!$D$6:$D$1005,A157,'Material routes'!$C$6:$C$1005,"Output")</x:f>
        <x:v>0</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status/completeness",IF(AF157="T0","Raw entry feed; no production route","No production route listed"))</x:f>
        <x:v>No production route listed</x:v>
      </x:c>
      <x:c r="AN157" s="14" t="n">
        <x:f>IF(AF157="T0",0,IF(AF157="T1",1,IF(AF157="T2",2,IF(AF157="T3",3,IF(AF157="T4",4,IF(AF157="Unassigned",98,99))))))</x:f>
        <x:v>98</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"&amp;U158&amp;"; "&amp;AF158&amp;"; "&amp;AH158&amp;"; "&amp;AI158)</x:f>
        <x:v>proposal.culture.icon; preserver icon token; cultural objects; religious; cultural object; finished item; manufactured / unresolved; devotion; metal or shell; solid piece; proposal; ; not applicable; unassigned; finished item</x:v>
      </x:c>
      <x:c r="AE158" s="4" t="str">
        <x:v>From current item description. Proposed uses retain their existing approval status.</x:v>
      </x:c>
      <x:c r="AF158" s="4" t="str">
        <x:v>Not applicable</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status/completeness",IF(AF158="T0","Raw entry feed; no production route","No production route listed"))</x:f>
        <x:v>No production route listed</x:v>
      </x:c>
      <x:c r="AN158" s="14" t="n">
        <x:f>IF(AF158="T0",0,IF(AF158="T1",1,IF(AF158="T2",2,IF(AF158="T3",3,IF(AF158="T4",4,IF(AF158="Unassigned",98,99))))))</x:f>
        <x:v>99</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"&amp;U159&amp;"; "&amp;AF159&amp;"; "&amp;AH159&amp;"; "&amp;AI159)</x:f>
        <x:v>proposal.culture.shrine; household shrine plaque; cultural objects; religious; cultural object; finished item; manufactured / unresolved; devotion; metal or shell; panel; proposal; ; not applicable; unassigned; finished item</x:v>
      </x:c>
      <x:c r="AE159" s="4" t="str">
        <x:v>From current item description. Proposed uses retain their existing approval status.</x:v>
      </x:c>
      <x:c r="AF159" s="4" t="str">
        <x:v>Not applicable</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status/completeness",IF(AF159="T0","Raw entry feed; no production route","No production route listed"))</x:f>
        <x:v>No production route listed</x:v>
      </x:c>
      <x:c r="AN159" s="14" t="n">
        <x:f>IF(AF159="T0",0,IF(AF159="T1",1,IF(AF159="T2",2,IF(AF159="T3",3,IF(AF159="T4",4,IF(AF159="Unassigned",98,99))))))</x:f>
        <x:v>99</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"&amp;U160&amp;"; "&amp;AF160&amp;"; "&amp;AH160&amp;"; "&amp;AI160)</x:f>
        <x:v>proposal.culture.altar_vial; altar display vial; cultural objects; religious; container; finished item; manufactured / unresolved; ceremony; glass and metal; assembly; proposal; liquid and bulk containment; not applicable; unassigned; finished item</x:v>
      </x:c>
      <x:c r="AE160" s="4" t="str">
        <x:v>From current item description. Proposed uses retain their existing approval status.</x:v>
      </x:c>
      <x:c r="AF160" s="4" t="str">
        <x:v>Not applicable</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status/completeness",IF(AF160="T0","Raw entry feed; no production route","No production route listed"))</x:f>
        <x:v>No production route listed</x:v>
      </x:c>
      <x:c r="AN160" s="14" t="n">
        <x:f>IF(AF160="T0",0,IF(AF160="T1",1,IF(AF160="T2",2,IF(AF160="T3",3,IF(AF160="T4",4,IF(AF160="Unassigned",98,99))))))</x:f>
        <x:v>99</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"&amp;U161&amp;"; "&amp;AF161&amp;"; "&amp;AH161&amp;"; "&amp;AI161)</x:f>
        <x:v>proposal.culture.reliquary; relic case; cultural objects; religious; container; finished item; manufactured / unresolved; devotion; metal or shell; assembly; proposal; keepsake storage; not applicable; unassigned; finished item</x:v>
      </x:c>
      <x:c r="AE161" s="4" t="str">
        <x:v>From current item description. Proposed uses retain their existing approval status.</x:v>
      </x:c>
      <x:c r="AF161" s="4" t="str">
        <x:v>Not applicable</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status/completeness",IF(AF161="T0","Raw entry feed; no production route","No production route listed"))</x:f>
        <x:v>No production route listed</x:v>
      </x:c>
      <x:c r="AN161" s="14" t="n">
        <x:f>IF(AF161="T0",0,IF(AF161="T1",1,IF(AF161="T2",2,IF(AF161="T3",3,IF(AF161="T4",4,IF(AF161="Unassigned",98,99))))))</x:f>
        <x:v>99</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"&amp;U162&amp;"; "&amp;AF162&amp;"; "&amp;AH162&amp;"; "&amp;AI162)</x:f>
        <x:v>proposal.culture.prayer_leaf; husk-paper prayer leaf; cultural objects; religious; document; finished item; manufactured / unresolved; devotion; husk fiber; sheet; proposal; writing and records; not applicable; unassigned; finished item</x:v>
      </x:c>
      <x:c r="AE162" s="4" t="str">
        <x:v>From current item description. Proposed uses retain their existing approval status.</x:v>
      </x:c>
      <x:c r="AF162" s="4" t="str">
        <x:v>Not applicable</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status/completeness",IF(AF162="T0","Raw entry feed; no production route","No production route listed"))</x:f>
        <x:v>Route listed; review status/completeness</x:v>
      </x:c>
      <x:c r="AN162" s="14" t="n">
        <x:f>IF(AF162="T0",0,IF(AF162="T1",1,IF(AF162="T2",2,IF(AF162="T3",3,IF(AF162="T4",4,IF(AF162="Unassigned",98,99))))))</x:f>
        <x:v>99</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"&amp;U163&amp;"; "&amp;AF163&amp;"; "&amp;AH163&amp;"; "&amp;AI163)</x:f>
        <x:v>proposal.culture.offering; votive shell token; cultural objects; religious; cultural object; finished item; manufactured / unresolved; devotion; shell / chitin; solid piece; proposal; ; not applicable; unassigned; finished item</x:v>
      </x:c>
      <x:c r="AE163" s="4" t="str">
        <x:v>From current item description. Proposed uses retain their existing approval status.</x:v>
      </x:c>
      <x:c r="AF163" s="4" t="str">
        <x:v>Not applicable</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status/completeness",IF(AF163="T0","Raw entry feed; no production route","No production route listed"))</x:f>
        <x:v>No production route listed</x:v>
      </x:c>
      <x:c r="AN163" s="14" t="n">
        <x:f>IF(AF163="T0",0,IF(AF163="T1",1,IF(AF163="T2",2,IF(AF163="T3",3,IF(AF163="T4",4,IF(AF163="Unassigned",98,99))))))</x:f>
        <x:v>99</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"&amp;U164&amp;"; "&amp;AF164&amp;"; "&amp;AH164&amp;"; "&amp;AI164)</x:f>
        <x:v>proposal.culture.badge; civic office badge; cultural objects; political / civic; cultural object; finished item; manufactured / unresolved; civic identification; metal or shell; solid piece; proposal; ; not applicable; unassigned; finished item</x:v>
      </x:c>
      <x:c r="AE164" s="4" t="str">
        <x:v>From current item description. Proposed uses retain their existing approval status.</x:v>
      </x:c>
      <x:c r="AF164" s="4" t="str">
        <x:v>Not applicable</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status/completeness",IF(AF164="T0","Raw entry feed; no production route","No production route listed"))</x:f>
        <x:v>No production route listed</x:v>
      </x:c>
      <x:c r="AN164" s="14" t="n">
        <x:f>IF(AF164="T0",0,IF(AF164="T1",1,IF(AF164="T2",2,IF(AF164="T3",3,IF(AF164="T4",4,IF(AF164="Unassigned",98,99))))))</x:f>
        <x:v>99</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"&amp;U165&amp;"; "&amp;AF165&amp;";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E165" s="4" t="str">
        <x:v>From current item description. Proposed uses retain their existing approval status.</x:v>
      </x:c>
      <x:c r="AF165" s="4" t="str">
        <x:v>Not applicable</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status/completeness",IF(AF165="T0","Raw entry feed; no production route","No production route listed"))</x:f>
        <x:v>No production route listed</x:v>
      </x:c>
      <x:c r="AN165" s="14" t="n">
        <x:f>IF(AF165="T0",0,IF(AF165="T1",1,IF(AF165="T2",2,IF(AF165="T3",3,IF(AF165="T4",4,IF(AF165="Unassigned",98,99))))))</x:f>
        <x:v>99</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"&amp;U166&amp;"; "&amp;AF166&amp;";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E166" s="4" t="str">
        <x:v>From current item description. Proposed uses retain their existing approval status.</x:v>
      </x:c>
      <x:c r="AF166" s="4" t="str">
        <x:v>Not applicable</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status/completeness",IF(AF166="T0","Raw entry feed; no production route","No production route listed"))</x:f>
        <x:v>No production route listed</x:v>
      </x:c>
      <x:c r="AN166" s="14" t="n">
        <x:f>IF(AF166="T0",0,IF(AF166="T1",1,IF(AF166="T2",2,IF(AF166="T3",3,IF(AF166="T4",4,IF(AF166="Unassigned",98,99))))))</x:f>
        <x:v>99</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"&amp;U167&amp;"; "&amp;AF167&amp;"; "&amp;AH167&amp;"; "&amp;AI167)</x:f>
        <x:v>proposal.culture.notice; public notice plate; cultural objects; political / civic; document; finished item; manufactured / unresolved; public communication; metal or shell; panel; proposal; ; not applicable; unassigned; finished item</x:v>
      </x:c>
      <x:c r="AE167" s="4" t="str">
        <x:v>From current item description. Proposed uses retain their existing approval status.</x:v>
      </x:c>
      <x:c r="AF167" s="4" t="str">
        <x:v>Not applicable</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status/completeness",IF(AF167="T0","Raw entry feed; no production route","No production route listed"))</x:f>
        <x:v>No production route listed</x:v>
      </x:c>
      <x:c r="AN167" s="14" t="n">
        <x:f>IF(AF167="T0",0,IF(AF167="T1",1,IF(AF167="T2",2,IF(AF167="T3",3,IF(AF167="T4",4,IF(AF167="Unassigned",98,99))))))</x:f>
        <x:v>99</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"&amp;U168&amp;"; "&amp;AF168&amp;"; "&amp;AH168&amp;"; "&amp;AI168)</x:f>
        <x:v>proposal.culture.petition; petition leaf; cultural objects; political / civic; document; finished item; manufactured / unresolved; public communication; husk fiber; sheet; proposal; ; not applicable; unassigned; finished item</x:v>
      </x:c>
      <x:c r="AE168" s="4" t="str">
        <x:v>From current item description. Proposed uses retain their existing approval status.</x:v>
      </x:c>
      <x:c r="AF168" s="4" t="str">
        <x:v>Not applicable</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status/completeness",IF(AF168="T0","Raw entry feed; no production route","No production route listed"))</x:f>
        <x:v>No production route listed</x:v>
      </x:c>
      <x:c r="AN168" s="14" t="n">
        <x:f>IF(AF168="T0",0,IF(AF168="T1",1,IF(AF168="T2",2,IF(AF168="T3",3,IF(AF168="T4",4,IF(AF168="Unassigned",98,99))))))</x:f>
        <x:v>99</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"&amp;U169&amp;"; "&amp;AF169&amp;"; "&amp;AH169&amp;"; "&amp;AI169)</x:f>
        <x:v>proposal.culture.commendation; community service medallion; cultural objects; political / civic; cultural object; finished item; manufactured / unresolved; civic recognition; metal; solid piece; proposal; ; not applicable; unassigned; finished item</x:v>
      </x:c>
      <x:c r="AE169" s="4" t="str">
        <x:v>From current item description. Proposed uses retain their existing approval status.</x:v>
      </x:c>
      <x:c r="AF169" s="4" t="str">
        <x:v>Not applicable</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status/completeness",IF(AF169="T0","Raw entry feed; no production route","No production route listed"))</x:f>
        <x:v>No production route listed</x:v>
      </x:c>
      <x:c r="AN169" s="14" t="n">
        <x:f>IF(AF169="T0",0,IF(AF169="T1",1,IF(AF169="T2",2,IF(AF169="T3",3,IF(AF169="T4",4,IF(AF169="Unassigned",98,99))))))</x:f>
        <x:v>99</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"&amp;U170&amp;"; "&amp;AF170&amp;"; "&amp;AH170&amp;"; "&amp;AI170)</x:f>
        <x:v>proposal.culture.pilgrim_die; pilgrimage marking die; cultural objects; ritual; tool; finished item; manufactured / unresolved; ceremony; metal; solid part; proposal; provenance; not applicable; unassigned; finished item</x:v>
      </x:c>
      <x:c r="AE170" s="4" t="str">
        <x:v>From current item description. Proposed uses retain their existing approval status.</x:v>
      </x:c>
      <x:c r="AF170" s="4" t="str">
        <x:v>Not applicable</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status/completeness",IF(AF170="T0","Raw entry feed; no production route","No production route listed"))</x:f>
        <x:v>No production route listed</x:v>
      </x:c>
      <x:c r="AN170" s="14" t="n">
        <x:f>IF(AF170="T0",0,IF(AF170="T1",1,IF(AF170="T2",2,IF(AF170="T3",3,IF(AF170="T4",4,IF(AF170="Unassigned",98,99))))))</x:f>
        <x:v>99</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"&amp;U171&amp;"; "&amp;AF171&amp;"; "&amp;AH171&amp;"; "&amp;AI171)</x:f>
        <x:v>proposal.culture.memorial; memorial name plate; cultural objects; ritual; cultural object; finished item; manufactured / unresolved; remembrance; metal or shell; panel; proposal; ; not applicable; unassigned; finished item</x:v>
      </x:c>
      <x:c r="AE171" s="4" t="str">
        <x:v>From current item description. Proposed uses retain their existing approval status.</x:v>
      </x:c>
      <x:c r="AF171" s="4" t="str">
        <x:v>Not applicable</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status/completeness",IF(AF171="T0","Raw entry feed; no production route","No production route listed"))</x:f>
        <x:v>No production route listed</x:v>
      </x:c>
      <x:c r="AN171" s="14" t="n">
        <x:f>IF(AF171="T0",0,IF(AF171="T1",1,IF(AF171="T2",2,IF(AF171="T3",3,IF(AF171="T4",4,IF(AF171="Unassigned",98,99))))))</x:f>
        <x:v>99</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"&amp;U172&amp;"; "&amp;AF172&amp;"; "&amp;AH172&amp;"; "&amp;AI172)</x:f>
        <x:v>proposal.culture.oath_ring; oath exchange ring; cultural objects; ritual; cultural object; finished item; manufactured / unresolved; ceremony; metal; solid piece; proposal; ; not applicable; unassigned; finished item</x:v>
      </x:c>
      <x:c r="AE172" s="4" t="str">
        <x:v>From current item description. Proposed uses retain their existing approval status.</x:v>
      </x:c>
      <x:c r="AF172" s="4" t="str">
        <x:v>Not applicable</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status/completeness",IF(AF172="T0","Raw entry feed; no production route","No production route listed"))</x:f>
        <x:v>No production route listed</x:v>
      </x:c>
      <x:c r="AN172" s="14" t="n">
        <x:f>IF(AF172="T0",0,IF(AF172="T1",1,IF(AF172="T2",2,IF(AF172="T3",3,IF(AF172="T4",4,IF(AF172="Unassigned",98,99))))))</x:f>
        <x:v>99</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"&amp;U173&amp;"; "&amp;AF173&amp;"; "&amp;AH173&amp;"; "&amp;AI173)</x:f>
        <x:v>proposal.culture.milestone; life-event charm; cultural objects; ritual; cultural object; finished item; manufactured / unresolved; remembrance; metal or shell; solid piece; proposal; ceremony; not applicable; unassigned; finished item</x:v>
      </x:c>
      <x:c r="AE173" s="4" t="str">
        <x:v>From current item description. Proposed uses retain their existing approval status.</x:v>
      </x:c>
      <x:c r="AF173" s="4" t="str">
        <x:v>Not applicable</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status/completeness",IF(AF173="T0","Raw entry feed; no production route","No production route listed"))</x:f>
        <x:v>No production route listed</x:v>
      </x:c>
      <x:c r="AN173" s="14" t="n">
        <x:f>IF(AF173="T0",0,IF(AF173="T1",1,IF(AF173="T2",2,IF(AF173="T3",3,IF(AF173="T4",4,IF(AF173="Unassigned",98,99))))))</x:f>
        <x:v>99</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"&amp;U174&amp;"; "&amp;AF174&amp;"; "&amp;AH174&amp;"; "&amp;AI174)</x:f>
        <x:v>proposal.culture.rattle; ceremonial shell rattle; cultural objects; ritual; musical instrument; finished item; manufactured / unresolved; ceremony; shell and mineral; assembly; proposal; music; not applicable; unassigned; finished item</x:v>
      </x:c>
      <x:c r="AE174" s="4" t="str">
        <x:v>From current item description. Proposed uses retain their existing approval status.</x:v>
      </x:c>
      <x:c r="AF174" s="4" t="str">
        <x:v>Not applicable</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status/completeness",IF(AF174="T0","Raw entry feed; no production route","No production route listed"))</x:f>
        <x:v>No production route listed</x:v>
      </x:c>
      <x:c r="AN174" s="14" t="n">
        <x:f>IF(AF174="T0",0,IF(AF174="T1",1,IF(AF174="T2",2,IF(AF174="T3",3,IF(AF174="T4",4,IF(AF174="Unassigned",98,99))))))</x:f>
        <x:v>99</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"&amp;U175&amp;"; "&amp;AF175&amp;"; "&amp;AH175&amp;"; "&amp;AI175)</x:f>
        <x:v>proposal.culture.gift_case; ceremonial gift case; cultural objects; ritual; container; finished item; manufactured / unresolved; ceremony; metal or shell; assembly; proposal; keepsake storage; not applicable; unassigned; finished item</x:v>
      </x:c>
      <x:c r="AE175" s="4" t="str">
        <x:v>From current item description. Proposed uses retain their existing approval status.</x:v>
      </x:c>
      <x:c r="AF175" s="4" t="str">
        <x:v>Not applicable</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status/completeness",IF(AF175="T0","Raw entry feed; no production route","No production route listed"))</x:f>
        <x:v>No production route listed</x:v>
      </x:c>
      <x:c r="AN175" s="14" t="n">
        <x:f>IF(AF175="T0",0,IF(AF175="T1",1,IF(AF175="T2",2,IF(AF175="T3",3,IF(AF175="T4",4,IF(AF175="Unassigned",98,99))))))</x:f>
        <x:v>99</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"&amp;U176&amp;"; "&amp;AF176&amp;"; "&amp;AH176&amp;"; "&amp;AI176)</x:f>
        <x:v>proposal.culture.bowl; everyday shell bowl; everyday objects; everyday household; household utensil; finished item; manufactured / unresolved; food service; metal or shell; solid piece; proposal; ; not applicable; unassigned; finished item</x:v>
      </x:c>
      <x:c r="AE176" s="4" t="str">
        <x:v>From current item description. Proposed uses retain their existing approval status.</x:v>
      </x:c>
      <x:c r="AF176" s="4" t="str">
        <x:v>Not applicable</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status/completeness",IF(AF176="T0","Raw entry feed; no production route","No production route listed"))</x:f>
        <x:v>No production route listed</x:v>
      </x:c>
      <x:c r="AN176" s="14" t="n">
        <x:f>IF(AF176="T0",0,IF(AF176="T1",1,IF(AF176="T2",2,IF(AF176="T3",3,IF(AF176="T4",4,IF(AF176="Unassigned",98,99))))))</x:f>
        <x:v>99</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"&amp;U177&amp;"; "&amp;AF177&amp;"; "&amp;AH177&amp;"; "&amp;AI177)</x:f>
        <x:v>proposal.culture.spoon; algae spoon / scraper; everyday objects; everyday household; household utensil; finished item; manufactured / unresolved; food service; metal or shell; solid piece; proposal; ; not applicable; unassigned; finished item</x:v>
      </x:c>
      <x:c r="AE177" s="4" t="str">
        <x:v>From current item description. Proposed uses retain their existing approval status.</x:v>
      </x:c>
      <x:c r="AF177" s="4" t="str">
        <x:v>Not applicable</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status/completeness",IF(AF177="T0","Raw entry feed; no production route","No production route listed"))</x:f>
        <x:v>No production route listed</x:v>
      </x:c>
      <x:c r="AN177" s="14" t="n">
        <x:f>IF(AF177="T0",0,IF(AF177="T1",1,IF(AF177="T2",2,IF(AF177="T3",3,IF(AF177="T4",4,IF(AF177="Unassigned",98,99))))))</x:f>
        <x:v>99</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"&amp;U178&amp;"; "&amp;AF178&amp;"; "&amp;AH178&amp;"; "&amp;AI178)</x:f>
        <x:v>proposal.culture.brush; dust brush; everyday objects; everyday household; tool; finished item; manufactured / unresolved; cleaning; faunal fiber and shell; assembly; proposal; ; not applicable; unassigned; finished item</x:v>
      </x:c>
      <x:c r="AE178" s="4" t="str">
        <x:v>From current item description. Proposed uses retain their existing approval status.</x:v>
      </x:c>
      <x:c r="AF178" s="4" t="str">
        <x:v>Not applicable</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status/completeness",IF(AF178="T0","Raw entry feed; no production route","No production route listed"))</x:f>
        <x:v>No production route listed</x:v>
      </x:c>
      <x:c r="AN178" s="14" t="n">
        <x:f>IF(AF178="T0",0,IF(AF178="T1",1,IF(AF178="T2",2,IF(AF178="T3",3,IF(AF178="T4",4,IF(AF178="Unassigned",98,99))))))</x:f>
        <x:v>99</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"&amp;U179&amp;"; "&amp;AF179&amp;"; "&amp;AH179&amp;"; "&amp;AI179)</x:f>
        <x:v>proposal.culture.comb; shell comb; everyday objects; everyday household; household utensil; finished item; manufactured / unresolved; grooming; metal or shell; solid piece; proposal; ; not applicable; unassigned; finished item</x:v>
      </x:c>
      <x:c r="AE179" s="4" t="str">
        <x:v>From current item description. Proposed uses retain their existing approval status.</x:v>
      </x:c>
      <x:c r="AF179" s="4" t="str">
        <x:v>Not applicable</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status/completeness",IF(AF179="T0","Raw entry feed; no production route","No production route listed"))</x:f>
        <x:v>No production route listed</x:v>
      </x:c>
      <x:c r="AN179" s="14" t="n">
        <x:f>IF(AF179="T0",0,IF(AF179="T1",1,IF(AF179="T2",2,IF(AF179="T3",3,IF(AF179="T4",4,IF(AF179="Unassigned",98,99))))))</x:f>
        <x:v>99</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"&amp;U180&amp;"; "&amp;AF180&amp;"; "&amp;AH180&amp;"; "&amp;AI180)</x:f>
        <x:v>proposal.culture.tablet; reusable tally tablet; everyday objects; everyday household; document; finished item; manufactured / unresolved; writing and records; mineral or shell; solid piece; proposal; ; not applicable; unassigned; finished item</x:v>
      </x:c>
      <x:c r="AE180" s="4" t="str">
        <x:v>From current item description. Proposed uses retain their existing approval status.</x:v>
      </x:c>
      <x:c r="AF180" s="4" t="str">
        <x:v>Not applicable</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status/completeness",IF(AF180="T0","Raw entry feed; no production route","No production route listed"))</x:f>
        <x:v>No production route listed</x:v>
      </x:c>
      <x:c r="AN180" s="14" t="n">
        <x:f>IF(AF180="T0",0,IF(AF180="T1",1,IF(AF180="T2",2,IF(AF180="T3",3,IF(AF180="T4",4,IF(AF180="Unassigned",98,99))))))</x:f>
        <x:v>99</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"&amp;U181&amp;"; "&amp;AF181&amp;"; "&amp;AH181&amp;"; "&amp;AI181)</x:f>
        <x:v>proposal.culture.stylus; marking stylus; everyday objects; everyday household; tool; finished item; manufactured / unresolved; writing and records; metal and shell; solid part; proposal; ; not applicable; unassigned; finished item</x:v>
      </x:c>
      <x:c r="AE181" s="4" t="str">
        <x:v>From current item description. Proposed uses retain their existing approval status.</x:v>
      </x:c>
      <x:c r="AF181" s="4" t="str">
        <x:v>Not applicable</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status/completeness",IF(AF181="T0","Raw entry feed; no production route","No production route listed"))</x:f>
        <x:v>No production route listed</x:v>
      </x:c>
      <x:c r="AN181" s="14" t="n">
        <x:f>IF(AF181="T0",0,IF(AF181="T1",1,IF(AF181="T2",2,IF(AF181="T3",3,IF(AF181="T4",4,IF(AF181="Unassigned",98,99))))))</x:f>
        <x:v>99</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"&amp;U182&amp;"; "&amp;AF182&amp;"; "&amp;AH182&amp;"; "&amp;AI182)</x:f>
        <x:v>proposal.ceramic.grog; crushed fired ceramic grit; resources; ceramic feedstock; processed material; processed intermediate; geological; glass and ceramics; ceramic feed mixture; particles; proposal; fabrication; ceramic; pottery; t1; not applicable; material</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1</x:v>
      </x:c>
      <x:c r="AL182" s="4" t="n">
        <x:f>COUNTIFS('Material routes'!$D$6:$D$1005,A182,'Material routes'!$C$6:$C$1005,"Tool candidate")</x:f>
        <x:v>0</x:v>
      </x:c>
      <x:c r="AM182" s="4" t="str">
        <x:f>IF(AJ182&gt;0,"Route listed; review status/completeness",IF(AF182="T0","Raw entry feed; no production route","No production route listed"))</x:f>
        <x:v>Route listed; review status/completeness</x:v>
      </x:c>
      <x:c r="AN182" s="14" t="n">
        <x:f>IF(AF182="T0",0,IF(AF182="T1",1,IF(AF182="T2",2,IF(AF182="T3",3,IF(AF182="T4",4,IF(AF182="Unassigned",98,99))))))</x:f>
        <x:v>1</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"&amp;U183&amp;"; "&amp;AF183&amp;"; "&amp;AH183&amp;"; "&amp;AI183)</x:f>
        <x:v>proposal.ceramic.body_feed; prepared ceramic body feed; resources; ceramic feedstock; processed material; processed intermediate; geological; glass and ceramics; ceramic feed mixture; particles; proposal; fabrication; ceramic; pottery; t1; not applicable; material</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2</x:v>
      </x:c>
      <x:c r="AL183" s="4" t="n">
        <x:f>COUNTIFS('Material routes'!$D$6:$D$1005,A183,'Material routes'!$C$6:$C$1005,"Tool candidate")</x:f>
        <x:v>0</x:v>
      </x:c>
      <x:c r="AM183" s="4" t="str">
        <x:f>IF(AJ183&gt;0,"Route listed; review status/completeness",IF(AF183="T0","Raw entry feed; no production route","No production route listed"))</x:f>
        <x:v>Route listed; review status/completeness</x:v>
      </x:c>
      <x:c r="AN183" s="14" t="n">
        <x:f>IF(AF183="T0",0,IF(AF183="T1",1,IF(AF183="T2",2,IF(AF183="T3",3,IF(AF183="T4",4,IF(AF183="Unassigned",98,99))))))</x:f>
        <x:v>1</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"&amp;U184&amp;"; "&amp;AF184&amp;"; "&amp;AH184&amp;"; "&amp;AI184)</x:f>
        <x:v>proposal.ceramic.glaze_feed; prepared glaze feed; resources; ceramic feedstock; processed material; processed intermediate; geological; glass and ceramics; ceramic feed mixture; particles; proposal; surface finishing; ceramic; pottery; t1; not applicable; material</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1</x:v>
      </x:c>
      <x:c r="AL184" s="4" t="n">
        <x:f>COUNTIFS('Material routes'!$D$6:$D$1005,A184,'Material routes'!$C$6:$C$1005,"Tool candidate")</x:f>
        <x:v>0</x:v>
      </x:c>
      <x:c r="AM184" s="4" t="str">
        <x:f>IF(AJ184&gt;0,"Route listed; review status/completeness",IF(AF184="T0","Raw entry feed; no production route","No production route listed"))</x:f>
        <x:v>Route listed; review status/completeness</x:v>
      </x:c>
      <x:c r="AN184" s="14" t="n">
        <x:f>IF(AF184="T0",0,IF(AF184="T1",1,IF(AF184="T2",2,IF(AF184="T3",3,IF(AF184="T4",4,IF(AF184="Unassigned",98,99))))))</x:f>
        <x:v>1</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"&amp;U185&amp;"; "&amp;AF185&amp;"; "&amp;AH185&amp;"; "&amp;AI185)</x:f>
        <x:v>proposal.ceramic.unfired_blank; unfired shaped ceramic blank; crafting components; ceramic intermediate; crafting component; unfired intermediate; manufactured / unresolved; glass and ceramics; ceramic; solid part; proposal; pottery; unassigned; not applicable; component</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c r="AI185" s="4" t="str">
        <x:v>Component</x:v>
      </x:c>
      <x:c r="AJ185" s="4" t="n">
        <x:f>COUNTIFS('Material routes'!$D$6:$D$1005,A185,'Material routes'!$C$6:$C$1005,"Output")</x:f>
        <x:v>0</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status/completeness",IF(AF185="T0","Raw entry feed; no production route","No production route listed"))</x:f>
        <x:v>No production route listed</x:v>
      </x:c>
      <x:c r="AN185" s="14" t="n">
        <x:f>IF(AF185="T0",0,IF(AF185="T1",1,IF(AF185="T2",2,IF(AF185="T3",3,IF(AF185="T4",4,IF(AF185="Unassigned",98,99))))))</x:f>
        <x:v>98</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"&amp;U186&amp;"; "&amp;AF186&amp;"; "&amp;AH186&amp;"; "&amp;AI186)</x:f>
        <x:v>proposal.ceramic.bowl; plain ceramic eating bowl; everyday objects; ceramic household; household utensil; finished item; manufactured / unresolved; food service; ceramic; solid part; proposal; pottery; not applicable; unassigned; finished item</x:v>
      </x:c>
      <x:c r="AE186" s="4" t="str">
        <x:v>Specific item proposed from author ceramics direction; functional and material limits remain unresolved.</x:v>
      </x:c>
      <x:c r="AF186" s="4" t="str">
        <x:v>Not applicable</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status/completeness",IF(AF186="T0","Raw entry feed; no production route","No production route listed"))</x:f>
        <x:v>Route listed; review status/completeness</x:v>
      </x:c>
      <x:c r="AN186" s="14" t="n">
        <x:f>IF(AF186="T0",0,IF(AF186="T1",1,IF(AF186="T2",2,IF(AF186="T3",3,IF(AF186="T4",4,IF(AF186="Unassigned",98,99))))))</x:f>
        <x:v>99</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"&amp;U187&amp;"; "&amp;AF187&amp;"; "&amp;AH187&amp;"; "&amp;AI187)</x:f>
        <x:v>proposal.ceramic.cup; small ceramic cup; everyday objects; ceramic household; household utensil; finished item; manufactured / unresolved; food service; ceramic; solid part; proposal; pottery; not applicable; unassigned; finished item</x:v>
      </x:c>
      <x:c r="AE187" s="4" t="str">
        <x:v>Specific item proposed from author ceramics direction; functional and material limits remain unresolved.</x:v>
      </x:c>
      <x:c r="AF187" s="4" t="str">
        <x:v>Not applicable</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status/completeness",IF(AF187="T0","Raw entry feed; no production route","No production route listed"))</x:f>
        <x:v>No production route listed</x:v>
      </x:c>
      <x:c r="AN187" s="14" t="n">
        <x:f>IF(AF187="T0",0,IF(AF187="T1",1,IF(AF187="T2",2,IF(AF187="T3",3,IF(AF187="T4",4,IF(AF187="Unassigned",98,99))))))</x:f>
        <x:v>99</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"&amp;U188&amp;"; "&amp;AF188&amp;"; "&amp;AH188&amp;"; "&amp;AI188)</x:f>
        <x:v>proposal.ceramic.plate; ceramic serving plate; everyday objects; ceramic household; household utensil; finished item; manufactured / unresolved; food service; ceramic; solid part; proposal; pottery; not applicable; unassigned; finished item</x:v>
      </x:c>
      <x:c r="AE188" s="4" t="str">
        <x:v>Specific item proposed from author ceramics direction; functional and material limits remain unresolved.</x:v>
      </x:c>
      <x:c r="AF188" s="4" t="str">
        <x:v>Not applicable</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status/completeness",IF(AF188="T0","Raw entry feed; no production route","No production route listed"))</x:f>
        <x:v>No production route listed</x:v>
      </x:c>
      <x:c r="AN188" s="14" t="n">
        <x:f>IF(AF188="T0",0,IF(AF188="T1",1,IF(AF188="T2",2,IF(AF188="T3",3,IF(AF188="T4",4,IF(AF188="Unassigned",98,99))))))</x:f>
        <x:v>99</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"&amp;U189&amp;"; "&amp;AF189&amp;";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E189" s="4" t="str">
        <x:v>Specific item proposed from author ceramics direction; functional and material limits remain unresolved.</x:v>
      </x:c>
      <x:c r="AF189" s="4" t="str">
        <x:v>Not applicable</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status/completeness",IF(AF189="T0","Raw entry feed; no production route","No production route listed"))</x:f>
        <x:v>No production route listed</x:v>
      </x:c>
      <x:c r="AN189" s="14" t="n">
        <x:f>IF(AF189="T0",0,IF(AF189="T1",1,IF(AF189="T2",2,IF(AF189="T3",3,IF(AF189="T4",4,IF(AF189="Unassigned",98,99))))))</x:f>
        <x:v>99</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"&amp;U190&amp;"; "&amp;AF190&amp;"; "&amp;AH190&amp;"; "&amp;AI190)</x:f>
        <x:v>proposal.ceramic.crucible; ceramic crucible; equipment; ceramic workshop; tool; finished item; manufactured / unresolved; metal refining; ceramic; solid part; proposal; glass and ceramics; pottery; not applicable; unassigned; finished item</x:v>
      </x:c>
      <x:c r="AE190" s="4" t="str">
        <x:v>Specific item proposed from author ceramics direction; functional and material limits remain unresolved.</x:v>
      </x:c>
      <x:c r="AF190" s="4" t="str">
        <x:v>Not applicable</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1</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status/completeness",IF(AF190="T0","Raw entry feed; no production route","No production route listed"))</x:f>
        <x:v>Route listed; review status/completeness</x:v>
      </x:c>
      <x:c r="AN190" s="14" t="n">
        <x:f>IF(AF190="T0",0,IF(AF190="T1",1,IF(AF190="T2",2,IF(AF190="T3",3,IF(AF190="T4",4,IF(AF190="Unassigned",98,99))))))</x:f>
        <x:v>99</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"&amp;U191&amp;"; "&amp;AF191&amp;"; "&amp;AH191&amp;"; "&amp;AI191)</x:f>
        <x:v>proposal.ceramic.casting_mold; ceramic casting mold; equipment; ceramic workshop; tool; finished item; manufactured / unresolved; fabrication; ceramic; solid part; proposal; metal refining; pottery; not applicable; unassigned; finished item</x:v>
      </x:c>
      <x:c r="AE191" s="4" t="str">
        <x:v>Specific item proposed from author ceramics direction; functional and material limits remain unresolved.</x:v>
      </x:c>
      <x:c r="AF191" s="4" t="str">
        <x:v>Not applicable</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status/completeness",IF(AF191="T0","Raw entry feed; no production route","No production route listed"))</x:f>
        <x:v>No production route listed</x:v>
      </x:c>
      <x:c r="AN191" s="14" t="n">
        <x:f>IF(AF191="T0",0,IF(AF191="T1",1,IF(AF191="T2",2,IF(AF191="T3",3,IF(AF191="T4",4,IF(AF191="Unassigned",98,99))))))</x:f>
        <x:v>99</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"&amp;U192&amp;"; "&amp;AF192&amp;"; "&amp;AH192&amp;"; "&amp;AI192)</x:f>
        <x:v>proposal.ceramic.mortar; ceramic grinding mortar; equipment; ceramic workshop; tool; finished item; manufactured / unresolved; chemical processing; ceramic; solid part; proposal; glass and ceramics; pottery; not applicable; unassigned; finished item</x:v>
      </x:c>
      <x:c r="AE192" s="4" t="str">
        <x:v>Specific item proposed from author ceramics direction; functional and material limits remain unresolved.</x:v>
      </x:c>
      <x:c r="AF192" s="4" t="str">
        <x:v>Not applicable</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status/completeness",IF(AF192="T0","Raw entry feed; no production route","No production route listed"))</x:f>
        <x:v>No production route listed</x:v>
      </x:c>
      <x:c r="AN192" s="14" t="n">
        <x:f>IF(AF192="T0",0,IF(AF192="T1",1,IF(AF192="T2",2,IF(AF192="T3",3,IF(AF192="T4",4,IF(AF192="Unassigned",98,99))))))</x:f>
        <x:v>99</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"&amp;U193&amp;"; "&amp;AF193&amp;"; "&amp;AH193&amp;"; "&amp;AI193)</x:f>
        <x:v>proposal.ceramic.pestle; ceramic pestle; equipment; ceramic workshop; tool; finished item; manufactured / unresolved; chemical processing; ceramic; solid part; proposal; glass and ceramics; pottery; not applicable; unassigned; finished item</x:v>
      </x:c>
      <x:c r="AE193" s="4" t="str">
        <x:v>Specific item proposed from author ceramics direction; functional and material limits remain unresolved.</x:v>
      </x:c>
      <x:c r="AF193" s="4" t="str">
        <x:v>Not applicable</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status/completeness",IF(AF193="T0","Raw entry feed; no production route","No production route listed"))</x:f>
        <x:v>No production route listed</x:v>
      </x:c>
      <x:c r="AN193" s="14" t="n">
        <x:f>IF(AF193="T0",0,IF(AF193="T1",1,IF(AF193="T2",2,IF(AF193="T3",3,IF(AF193="T4",4,IF(AF193="Unassigned",98,99))))))</x:f>
        <x:v>99</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"&amp;U194&amp;"; "&amp;AF194&amp;"; "&amp;AH194&amp;"; "&amp;AI194)</x:f>
        <x:v>proposal.ceramic.firing_tray; ceramic firing tray; equipment; ceramic workshop; tool; finished item; manufactured / unresolved; glass and ceramics; ceramic; panel; proposal; pottery; not applicable; unassigned; finished item</x:v>
      </x:c>
      <x:c r="AE194" s="4" t="str">
        <x:v>Specific item proposed from author ceramics direction; functional and material limits remain unresolved.</x:v>
      </x:c>
      <x:c r="AF194" s="4" t="str">
        <x:v>Not applicable</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status/completeness",IF(AF194="T0","Raw entry feed; no production route","No production route listed"))</x:f>
        <x:v>No production route listed</x:v>
      </x:c>
      <x:c r="AN194" s="14" t="n">
        <x:f>IF(AF194="T0",0,IF(AF194="T1",1,IF(AF194="T2",2,IF(AF194="T3",3,IF(AF194="T4",4,IF(AF194="Unassigned",98,99))))))</x:f>
        <x:v>99</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"&amp;U195&amp;"; "&amp;AF195&amp;";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unassigned; not applicable; component</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c r="AI195" s="4" t="str">
        <x:v>Component</x:v>
      </x:c>
      <x:c r="AJ195" s="4" t="n">
        <x:f>COUNTIFS('Material routes'!$D$6:$D$1005,A195,'Material routes'!$C$6:$C$1005,"Output")</x:f>
        <x:v>0</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status/completeness",IF(AF195="T0","Raw entry feed; no production route","No production route listed"))</x:f>
        <x:v>No production route listed</x:v>
      </x:c>
      <x:c r="AN195" s="14" t="n">
        <x:f>IF(AF195="T0",0,IF(AF195="T1",1,IF(AF195="T2",2,IF(AF195="T3",3,IF(AF195="T4",4,IF(AF195="Unassigned",98,99))))))</x:f>
        <x:v>98</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"&amp;U196&amp;"; "&amp;AF196&amp;"; "&amp;AH196&amp;"; "&amp;AI196)</x:f>
        <x:v>proposal.ceramic.kiln_liner; ceramic kiln lining panel; crafting components; ceramic thermal component; crafting component; processed intermediate; manufactured / unresolved; protective fabrication; ceramic; panel; proposal; glass and ceramics; pottery; unassigned; not applicable; component</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c r="AI196" s="4" t="str">
        <x:v>Component</x:v>
      </x:c>
      <x:c r="AJ196" s="4" t="n">
        <x:f>COUNTIFS('Material routes'!$D$6:$D$1005,A196,'Material routes'!$C$6:$C$1005,"Output")</x:f>
        <x:v>0</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status/completeness",IF(AF196="T0","Raw entry feed; no production route","No production route listed"))</x:f>
        <x:v>No production route listed</x:v>
      </x:c>
      <x:c r="AN196" s="14" t="n">
        <x:f>IF(AF196="T0",0,IF(AF196="T1",1,IF(AF196="T2",2,IF(AF196="T3",3,IF(AF196="T4",4,IF(AF196="Unassigned",98,99))))))</x:f>
        <x:v>98</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"&amp;U197&amp;"; "&amp;AF197&amp;"; "&amp;AH197&amp;"; "&amp;AI197)</x:f>
        <x:v>proposal.ceramic.bead; ceramic insulating bead; crafting components; ceramic electrical component; crafting component; processed intermediate; manufactured / unresolved; electrical insulation; ceramic; solid part; proposal; electrical work; pottery; unassigned; not applicable; component</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c r="AI197" s="4" t="str">
        <x:v>Component</x:v>
      </x:c>
      <x:c r="AJ197" s="4" t="n">
        <x:f>COUNTIFS('Material routes'!$D$6:$D$1005,A197,'Material routes'!$C$6:$C$1005,"Output")</x:f>
        <x:v>0</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status/completeness",IF(AF197="T0","Raw entry feed; no production route","No production route listed"))</x:f>
        <x:v>No production route listed</x:v>
      </x:c>
      <x:c r="AN197" s="14" t="n">
        <x:f>IF(AF197="T0",0,IF(AF197="T1",1,IF(AF197="T2",2,IF(AF197="T3",3,IF(AF197="T4",4,IF(AF197="Unassigned",98,99))))))</x:f>
        <x:v>98</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"&amp;U198&amp;"; "&amp;AF198&amp;"; "&amp;AH198&amp;"; "&amp;AI198)</x:f>
        <x:v>proposal.ceramic.spacer; ceramic insulating spacer; crafting components; ceramic electrical component; crafting component; processed intermediate; manufactured / unresolved; electrical insulation; ceramic; solid part; proposal; electrical work; pottery; unassigned; not applicable; component</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c r="AI198" s="4" t="str">
        <x:v>Component</x:v>
      </x:c>
      <x:c r="AJ198" s="4" t="n">
        <x:f>COUNTIFS('Material routes'!$D$6:$D$1005,A198,'Material routes'!$C$6:$C$1005,"Output")</x:f>
        <x:v>0</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status/completeness",IF(AF198="T0","Raw entry feed; no production route","No production route listed"))</x:f>
        <x:v>No production route listed</x:v>
      </x:c>
      <x:c r="AN198" s="14" t="n">
        <x:f>IF(AF198="T0",0,IF(AF198="T1",1,IF(AF198="T2",2,IF(AF198="T3",3,IF(AF198="T4",4,IF(AF198="Unassigned",98,99))))))</x:f>
        <x:v>98</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"&amp;U199&amp;"; "&amp;AF199&amp;";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unassigned; not applicable; component</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c r="AI199" s="4" t="str">
        <x:v>Component</x:v>
      </x:c>
      <x:c r="AJ199" s="4" t="n">
        <x:f>COUNTIFS('Material routes'!$D$6:$D$1005,A199,'Material routes'!$C$6:$C$1005,"Output")</x:f>
        <x:v>0</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status/completeness",IF(AF199="T0","Raw entry feed; no production route","No production route listed"))</x:f>
        <x:v>No production route listed</x:v>
      </x:c>
      <x:c r="AN199" s="14" t="n">
        <x:f>IF(AF199="T0",0,IF(AF199="T1",1,IF(AF199="T2",2,IF(AF199="T3",3,IF(AF199="T4",4,IF(AF199="Unassigned",98,99))))))</x:f>
        <x:v>98</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"&amp;U200&amp;"; "&amp;AF200&amp;"; "&amp;AH200&amp;"; "&amp;AI200)</x:f>
        <x:v>proposal.ceramic.stopper; fitted ceramic stopper; crafting components; ceramic vessel fitting; container part; processed intermediate; manufactured / unresolved; sealing; ceramic; solid part; proposal; pottery; unassigned; not applicable; component</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c r="AI200" s="4" t="str">
        <x:v>Component</x:v>
      </x:c>
      <x:c r="AJ200" s="4" t="n">
        <x:f>COUNTIFS('Material routes'!$D$6:$D$1005,A200,'Material routes'!$C$6:$C$1005,"Output")</x:f>
        <x:v>0</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status/completeness",IF(AF200="T0","Raw entry feed; no production route","No production route listed"))</x:f>
        <x:v>No production route listed</x:v>
      </x:c>
      <x:c r="AN200" s="14" t="n">
        <x:f>IF(AF200="T0",0,IF(AF200="T1",1,IF(AF200="T2",2,IF(AF200="T3",3,IF(AF200="T4",4,IF(AF200="Unassigned",98,99))))))</x:f>
        <x:v>98</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"&amp;U201&amp;"; "&amp;AF201&amp;"; "&amp;AH201&amp;"; "&amp;AI201)</x:f>
        <x:v>proposal.ceramic.lid; ceramic vessel lid; crafting components; ceramic vessel fitting; container part; processed intermediate; manufactured / unresolved; liquid and bulk containment; ceramic; solid part; proposal; dust exclusion; pottery; unassigned; not applicable; component</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c r="AI201" s="4" t="str">
        <x:v>Component</x:v>
      </x:c>
      <x:c r="AJ201" s="4" t="n">
        <x:f>COUNTIFS('Material routes'!$D$6:$D$1005,A201,'Material routes'!$C$6:$C$1005,"Output")</x:f>
        <x:v>0</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status/completeness",IF(AF201="T0","Raw entry feed; no production route","No production route listed"))</x:f>
        <x:v>No production route listed</x:v>
      </x:c>
      <x:c r="AN201" s="14" t="n">
        <x:f>IF(AF201="T0",0,IF(AF201="T1",1,IF(AF201="T2",2,IF(AF201="T3",3,IF(AF201="T4",4,IF(AF201="Unassigned",98,99))))))</x:f>
        <x:v>98</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"&amp;U202&amp;"; "&amp;AF202&amp;"; "&amp;AH202&amp;"; "&amp;AI202)</x:f>
        <x:v>proposal.ceramic.pour_spout; ceramic pouring spout; crafting components; ceramic vessel fitting; container part; processed intermediate; manufactured / unresolved; material transfer; ceramic; solid part; proposal; pottery; unassigned; not applicable; component</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c r="AI202" s="4" t="str">
        <x:v>Component</x:v>
      </x:c>
      <x:c r="AJ202" s="4" t="n">
        <x:f>COUNTIFS('Material routes'!$D$6:$D$1005,A202,'Material routes'!$C$6:$C$1005,"Output")</x:f>
        <x:v>0</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status/completeness",IF(AF202="T0","Raw entry feed; no production route","No production route listed"))</x:f>
        <x:v>No production route listed</x:v>
      </x:c>
      <x:c r="AN202" s="14" t="n">
        <x:f>IF(AF202="T0",0,IF(AF202="T1",1,IF(AF202="T2",2,IF(AF202="T3",3,IF(AF202="T4",4,IF(AF202="Unassigned",98,99))))))</x:f>
        <x:v>98</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"&amp;U203&amp;"; "&amp;AF203&amp;"; "&amp;AH203&amp;"; "&amp;AI203)</x:f>
        <x:v>proposal.ceramic.conduit; ceramic conduit section; crafting components; ceramic vessel fitting; crafting component; processed intermediate; manufactured / unresolved; material transfer; ceramic; solid part; proposal; pottery; unassigned; not applicable; component</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c r="AI203" s="4" t="str">
        <x:v>Component</x:v>
      </x:c>
      <x:c r="AJ203" s="4" t="n">
        <x:f>COUNTIFS('Material routes'!$D$6:$D$1005,A203,'Material routes'!$C$6:$C$1005,"Output")</x:f>
        <x:v>0</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status/completeness",IF(AF203="T0","Raw entry feed; no production route","No production route listed"))</x:f>
        <x:v>No production route listed</x:v>
      </x:c>
      <x:c r="AN203" s="14" t="n">
        <x:f>IF(AF203="T0",0,IF(AF203="T1",1,IF(AF203="T2",2,IF(AF203="T3",3,IF(AF203="T4",4,IF(AF203="Unassigned",98,99))))))</x:f>
        <x:v>98</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"&amp;U204&amp;"; "&amp;AF204&amp;"; "&amp;AH204&amp;"; "&amp;AI204)</x:f>
        <x:v>proposal.ceramic.votive_plaque; ceramic votive plaque; cultural objects; ceramic ceremonial; cultural object; finished item; manufactured / unresolved; devotion; ceramic; panel; proposal; decoration; pottery; not applicable; unassigned; finished item</x:v>
      </x:c>
      <x:c r="AE204" s="4" t="str">
        <x:v>Specific item proposed from author ceramics direction; functional and material limits remain unresolved.</x:v>
      </x:c>
      <x:c r="AF204" s="4" t="str">
        <x:v>Not applicable</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status/completeness",IF(AF204="T0","Raw entry feed; no production route","No production route listed"))</x:f>
        <x:v>No production route listed</x:v>
      </x:c>
      <x:c r="AN204" s="14" t="n">
        <x:f>IF(AF204="T0",0,IF(AF204="T1",1,IF(AF204="T2",2,IF(AF204="T3",3,IF(AF204="T4",4,IF(AF204="Unassigned",98,99))))))</x:f>
        <x:v>99</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"&amp;U205&amp;"; "&amp;AF205&amp;";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E205" s="4" t="str">
        <x:v>Specific item proposed from author ceramics direction; functional and material limits remain unresolved.</x:v>
      </x:c>
      <x:c r="AF205" s="4" t="str">
        <x:v>Not applicable</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status/completeness",IF(AF205="T0","Raw entry feed; no production route","No production route listed"))</x:f>
        <x:v>No production route listed</x:v>
      </x:c>
      <x:c r="AN205" s="14" t="n">
        <x:f>IF(AF205="T0",0,IF(AF205="T1",1,IF(AF205="T2",2,IF(AF205="T3",3,IF(AF205="T4",4,IF(AF205="Unassigned",98,99))))))</x:f>
        <x:v>99</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"&amp;U206&amp;"; "&amp;AF206&amp;";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E206" s="4" t="str">
        <x:v>Specific item proposed from author ceramics direction; functional and material limits remain unresolved.</x:v>
      </x:c>
      <x:c r="AF206" s="4" t="str">
        <x:v>Not applicable</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status/completeness",IF(AF206="T0","Raw entry feed; no production route","No production route listed"))</x:f>
        <x:v>No production route listed</x:v>
      </x:c>
      <x:c r="AN206" s="14" t="n">
        <x:f>IF(AF206="T0",0,IF(AF206="T1",1,IF(AF206="T2",2,IF(AF206="T3",3,IF(AF206="T4",4,IF(AF206="Unassigned",98,99))))))</x:f>
        <x:v>99</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"&amp;U207&amp;"; "&amp;AF207&amp;"; "&amp;AH207&amp;"; "&amp;AI207)</x:f>
        <x:v>proposal.ceramic.armor_insert; specialist ceramic armor insert; equipment; ceramic protection; armor; finished item; manufactured / unresolved; protection; ceramic; panel; proposal; pottery; not applicable; unassigned; finished item</x:v>
      </x:c>
      <x:c r="AE207" s="4" t="str">
        <x:v>Specific item proposed from author ceramics direction; functional and material limits remain unresolved.</x:v>
      </x:c>
      <x:c r="AF207" s="4" t="str">
        <x:v>Not applicable</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status/completeness",IF(AF207="T0","Raw entry feed; no production route","No production route listed"))</x:f>
        <x:v>No production route listed</x:v>
      </x:c>
      <x:c r="AN207" s="14" t="n">
        <x:f>IF(AF207="T0",0,IF(AF207="T1",1,IF(AF207="T2",2,IF(AF207="T3",3,IF(AF207="T4",4,IF(AF207="Unassigned",98,99))))))</x:f>
        <x:v>99</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"&amp;U208&amp;"; "&amp;AF208&amp;"; "&amp;AH208&amp;"; "&amp;AI208)</x:f>
        <x:v>proposal.ceramic.fastener; ceramic toggle fastener; crafting components; ceramic household fitting; crafting component; processed intermediate; manufactured / unresolved; clothing fabrication; ceramic; solid part; proposal; equipment mounting; pottery; unassigned; not applicable; component</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c r="AI208" s="4" t="str">
        <x:v>Component</x:v>
      </x:c>
      <x:c r="AJ208" s="4" t="n">
        <x:f>COUNTIFS('Material routes'!$D$6:$D$1005,A208,'Material routes'!$C$6:$C$1005,"Output")</x:f>
        <x:v>0</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status/completeness",IF(AF208="T0","Raw entry feed; no production route","No production route listed"))</x:f>
        <x:v>No production route listed</x:v>
      </x:c>
      <x:c r="AN208" s="14" t="n">
        <x:f>IF(AF208="T0",0,IF(AF208="T1",1,IF(AF208="T2",2,IF(AF208="T3",3,IF(AF208="T4",4,IF(AF208="Unassigned",98,99))))))</x:f>
        <x:v>98</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"&amp;U209&amp;"; "&amp;AF209&amp;"; "&amp;AH209&amp;"; "&amp;AI209)</x:f>
        <x:v>proposal.ceramic.grinding_disc; ceramic abrasive disc; equipment; ceramic workshop; tool; finished item; manufactured / unresolved; surface finishing; ceramic; solid part; proposal; pottery; not applicable; unassigned; finished item</x:v>
      </x:c>
      <x:c r="AE209" s="4" t="str">
        <x:v>Specific item proposed from author ceramics direction; functional and material limits remain unresolved.</x:v>
      </x:c>
      <x:c r="AF209" s="4" t="str">
        <x:v>Not applicable</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status/completeness",IF(AF209="T0","Raw entry feed; no production route","No production route listed"))</x:f>
        <x:v>No production route listed</x:v>
      </x:c>
      <x:c r="AN209" s="14" t="n">
        <x:f>IF(AF209="T0",0,IF(AF209="T1",1,IF(AF209="T2",2,IF(AF209="T3",3,IF(AF209="T4",4,IF(AF209="Unassigned",98,99))))))</x:f>
        <x:v>99</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"&amp;U210&amp;"; "&amp;AF210&amp;"; "&amp;AH210&amp;"; "&amp;AI210)</x:f>
        <x:v>source.currency.imperial_commons; imperial commons; currency; currency family; denominations unspecified; currency; unresolved; manufactured / unresolved; trade; unresolved; unresolved; source proposal; commons; marks; money; exchange; denomination unspecified; unassigned; unassigned; currency</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status/completeness",IF(AF210="T0","Raw entry feed; no production route","No production route listed"))</x:f>
        <x:v>No production route listed</x:v>
      </x:c>
      <x:c r="AN210" s="14" t="n">
        <x:f>IF(AF210="T0",0,IF(AF210="T1",1,IF(AF210="T2",2,IF(AF210="T3",3,IF(AF210="T4",4,IF(AF210="Unassigned",98,99))))))</x:f>
        <x:v>98</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"&amp;U211&amp;"; "&amp;AF211&amp;"; "&amp;AH211&amp;"; "&amp;AI211)</x:f>
        <x:v>proposal.fire.oxygen_stone; oxygen-releasing stone; resources; special stone; raw material; raw; geological; atmospheric support; mineral; rock; author direction; ; t0; not applicable; material</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status/completeness",IF(AF211="T0","Raw entry feed; no production route","No production route listed"))</x:f>
        <x:v>Raw entry feed; no production route</x:v>
      </x:c>
      <x:c r="AN211" s="14" t="n">
        <x:f>IF(AF211="T0",0,IF(AF211="T1",1,IF(AF211="T2",2,IF(AF211="T3",3,IF(AF211="T4",4,IF(AF211="Unassigned",98,99))))))</x:f>
        <x:v>0</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"&amp;U212&amp;"; "&amp;AF212&amp;"; "&amp;AH212&amp;"; "&amp;AI212)</x:f>
        <x:v>proposal.fire.glow_stone; glowing stone; resources; special stone; raw material; raw; geological; illumination; mineral; rock; author direction; ; t0; not applicable; material</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status/completeness",IF(AF212="T0","Raw entry feed; no production route","No production route listed"))</x:f>
        <x:v>Raw entry feed; no production route</x:v>
      </x:c>
      <x:c r="AN212" s="14" t="n">
        <x:f>IF(AF212="T0",0,IF(AF212="T1",1,IF(AF212="T2",2,IF(AF212="T3",3,IF(AF212="T4",4,IF(AF212="Unassigned",98,99))))))</x:f>
        <x:v>0</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"&amp;U213&amp;"; "&amp;AF213&amp;"; "&amp;AH213&amp;"; "&amp;AI213)</x:f>
        <x:v>proposal.fire.flint; flint stone; resources; special stone; raw material; raw; geological; ignition; mineral; rock; author direction; tool fabrication; t0; not applicable; material</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status/completeness",IF(AF213="T0","Raw entry feed; no production route","No production route listed"))</x:f>
        <x:v>Raw entry feed; no production route</x:v>
      </x:c>
      <x:c r="AN213" s="14" t="n">
        <x:f>IF(AF213="T0",0,IF(AF213="T1",1,IF(AF213="T2",2,IF(AF213="T3",3,IF(AF213="T4",4,IF(AF213="Unassigned",98,99))))))</x:f>
        <x:v>0</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"&amp;U214&amp;"; "&amp;AF214&amp;"; "&amp;AH214&amp;"; "&amp;AI214)</x:f>
        <x:v>proposal.fire.striker; flint striking tool; equipment; ignition tool; tool; finished item; manufactured / unresolved; ignition; metal or shell; assembly; proposal; ; not applicable; unassigned; finished item</x:v>
      </x:c>
      <x:c r="AE214" s="4" t="str">
        <x:v>Author direction establishes stone families. Source mechanisms remain proposal-stage; specific equipment functions are proposals.</x:v>
      </x:c>
      <x:c r="AF214" s="4" t="str">
        <x:v>Not applicable</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status/completeness",IF(AF214="T0","Raw entry feed; no production route","No production route listed"))</x:f>
        <x:v>No production route listed</x:v>
      </x:c>
      <x:c r="AN214" s="14" t="n">
        <x:f>IF(AF214="T0",0,IF(AF214="T1",1,IF(AF214="T2",2,IF(AF214="T3",3,IF(AF214="T4",4,IF(AF214="Unassigned",98,99))))))</x:f>
        <x:v>99</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"&amp;U215&amp;"; "&amp;AF215&amp;"; "&amp;AH215&amp;"; "&amp;AI215)</x:f>
        <x:v>proposal.fire.chitin_char; chitin-char; resources; fire fuel; processed material; processed intermediate; fauna; fuel; carbonaceous material; solid piece; source proposal; ; unassigned; not applicable; material</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c r="AI215" s="4" t="str">
        <x:v>Material</x:v>
      </x:c>
      <x:c r="AJ215" s="4" t="n">
        <x:f>COUNTIFS('Material routes'!$D$6:$D$1005,A215,'Material routes'!$C$6:$C$1005,"Output")</x:f>
        <x:v>0</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status/completeness",IF(AF215="T0","Raw entry feed; no production route","No production route listed"))</x:f>
        <x:v>No production route listed</x:v>
      </x:c>
      <x:c r="AN215" s="14" t="n">
        <x:f>IF(AF215="T0",0,IF(AF215="T1",1,IF(AF215="T2",2,IF(AF215="T3",3,IF(AF215="T4",4,IF(AF215="Unassigned",98,99))))))</x:f>
        <x:v>98</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"&amp;U216&amp;"; "&amp;AF216&amp;"; "&amp;AH216&amp;"; "&amp;AI216)</x:f>
        <x:v>proposal.fire.cooking_pot; ceramic cooking pot; equipment; cooking vessel; tool; finished item; manufactured / unresolved; cooking; ceramic; solid part; proposal; ; not applicable; unassigned; finished item</x:v>
      </x:c>
      <x:c r="AE216" s="4" t="str">
        <x:v>Author direction establishes stone families. Source mechanisms remain proposal-stage; specific equipment functions are proposals.</x:v>
      </x:c>
      <x:c r="AF216" s="4" t="str">
        <x:v>Not applicable</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status/completeness",IF(AF216="T0","Raw entry feed; no production route","No production route listed"))</x:f>
        <x:v>No production route listed</x:v>
      </x:c>
      <x:c r="AN216" s="14" t="n">
        <x:f>IF(AF216="T0",0,IF(AF216="T1",1,IF(AF216="T2",2,IF(AF216="T3",3,IF(AF216="T4",4,IF(AF216="Unassigned",98,99))))))</x:f>
        <x:v>99</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"&amp;U217&amp;"; "&amp;AF217&amp;"; "&amp;AH217&amp;"; "&amp;AI217)</x:f>
        <x:v>proposal.fire.cooking_slab; cooking stone slab; equipment; cooking tool; tool; processed intermediate; geological; cooking; mineral; panel; proposal; ; not applicable; unassigned; finished item</x:v>
      </x:c>
      <x:c r="AE217" s="4" t="str">
        <x:v>Author direction establishes stone families. Source mechanisms remain proposal-stage; specific equipment functions are proposals.</x:v>
      </x:c>
      <x:c r="AF217" s="4" t="str">
        <x:v>Not applicable</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status/completeness",IF(AF217="T0","Raw entry feed; no production route","No production route listed"))</x:f>
        <x:v>No production route listed</x:v>
      </x:c>
      <x:c r="AN217" s="14" t="n">
        <x:f>IF(AF217="T0",0,IF(AF217="T1",1,IF(AF217="T2",2,IF(AF217="T3",3,IF(AF217="T4",4,IF(AF217="Unassigned",98,99))))))</x:f>
        <x:v>99</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"&amp;U218&amp;"; "&amp;AF218&amp;"; "&amp;AH218&amp;"; "&amp;AI218)</x:f>
        <x:v>proposal.fire.lidded_pan; lidded cooking pan; equipment; cooking vessel; tool; finished item; manufactured / unresolved; cooking; metal; assembly; proposal; ; not applicable; unassigned; finished item</x:v>
      </x:c>
      <x:c r="AE218" s="4" t="str">
        <x:v>Author direction establishes stone families. Source mechanisms remain proposal-stage; specific equipment functions are proposals.</x:v>
      </x:c>
      <x:c r="AF218" s="4" t="str">
        <x:v>Not applicable</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status/completeness",IF(AF218="T0","Raw entry feed; no production route","No production route listed"))</x:f>
        <x:v>No production route listed</x:v>
      </x:c>
      <x:c r="AN218" s="14" t="n">
        <x:f>IF(AF218="T0",0,IF(AF218="T1",1,IF(AF218="T2",2,IF(AF218="T3",3,IF(AF218="T4",4,IF(AF218="Unassigned",98,99))))))</x:f>
        <x:v>99</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"&amp;U219&amp;"; "&amp;AF219&amp;"; "&amp;AH219&amp;"; "&amp;AI219)</x:f>
        <x:v>proposal.fire.rack; cooking rack; equipment; cooking tool; tool; finished item; manufactured / unresolved; cooking; metal; assembly; proposal; ; not applicable; unassigned; finished item</x:v>
      </x:c>
      <x:c r="AE219" s="4" t="str">
        <x:v>Author direction establishes stone families. Source mechanisms remain proposal-stage; specific equipment functions are proposals.</x:v>
      </x:c>
      <x:c r="AF219" s="4" t="str">
        <x:v>Not applicable</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status/completeness",IF(AF219="T0","Raw entry feed; no production route","No production route listed"))</x:f>
        <x:v>No production route listed</x:v>
      </x:c>
      <x:c r="AN219" s="14" t="n">
        <x:f>IF(AF219="T0",0,IF(AF219="T1",1,IF(AF219="T2",2,IF(AF219="T3",3,IF(AF219="T4",4,IF(AF219="Unassigned",98,99))))))</x:f>
        <x:v>99</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"&amp;U220&amp;"; "&amp;AF220&amp;"; "&amp;AH220&amp;"; "&amp;AI220)</x:f>
        <x:v>proposal.fire.pot_stand; cooking pot stand; equipment; cooking tool; tool; finished item; manufactured / unresolved; cooking; metal; assembly; proposal; ; not applicable; unassigned; finished item</x:v>
      </x:c>
      <x:c r="AE220" s="4" t="str">
        <x:v>Author direction establishes stone families. Source mechanisms remain proposal-stage; specific equipment functions are proposals.</x:v>
      </x:c>
      <x:c r="AF220" s="4" t="str">
        <x:v>Not applicable</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status/completeness",IF(AF220="T0","Raw entry feed; no production route","No production route listed"))</x:f>
        <x:v>No production route listed</x:v>
      </x:c>
      <x:c r="AN220" s="14" t="n">
        <x:f>IF(AF220="T0",0,IF(AF220="T1",1,IF(AF220="T2",2,IF(AF220="T3",3,IF(AF220="T4",4,IF(AF220="Unassigned",98,99))))))</x:f>
        <x:v>99</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"&amp;U221&amp;"; "&amp;AF221&amp;"; "&amp;AH221&amp;"; "&amp;AI221)</x:f>
        <x:v>proposal.fire.tongs; cooking tongs; equipment; cooking tool; tool; finished item; manufactured / unresolved; cooking; metal; assembly; proposal; ; not applicable; unassigned; finished item</x:v>
      </x:c>
      <x:c r="AE221" s="4" t="str">
        <x:v>Author direction establishes stone families. Source mechanisms remain proposal-stage; specific equipment functions are proposals.</x:v>
      </x:c>
      <x:c r="AF221" s="4" t="str">
        <x:v>Not applicable</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status/completeness",IF(AF221="T0","Raw entry feed; no production route","No production route listed"))</x:f>
        <x:v>No production route listed</x:v>
      </x:c>
      <x:c r="AN221" s="14" t="n">
        <x:f>IF(AF221="T0",0,IF(AF221="T1",1,IF(AF221="T2",2,IF(AF221="T3",3,IF(AF221="T4",4,IF(AF221="Unassigned",98,99))))))</x:f>
        <x:v>99</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"&amp;U222&amp;"; "&amp;AF222&amp;"; "&amp;AH222&amp;"; "&amp;AI222)</x:f>
        <x:v>proposal.fire.firebox; managed cooking firebox; equipment; fire management; tool; finished item; manufactured / unresolved; cooking; mixed / unresolved; assembly; proposal; fire management; not applicable; unassigned; finished item</x:v>
      </x:c>
      <x:c r="AE222" s="4" t="str">
        <x:v>Author direction establishes stone families. Source mechanisms remain proposal-stage; specific equipment functions are proposals.</x:v>
      </x:c>
      <x:c r="AF222" s="4" t="str">
        <x:v>Not applicable</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status/completeness",IF(AF222="T0","Raw entry feed; no production route","No production route listed"))</x:f>
        <x:v>No production route listed</x:v>
      </x:c>
      <x:c r="AN222" s="14" t="n">
        <x:f>IF(AF222="T0",0,IF(AF222="T1",1,IF(AF222="T2",2,IF(AF222="T3",3,IF(AF222="T4",4,IF(AF222="Unassigned",98,99))))))</x:f>
        <x:v>99</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"&amp;U223&amp;"; "&amp;AF223&amp;"; "&amp;AH223&amp;"; "&amp;AI223)</x:f>
        <x:v>proposal.fire.wind_baffle; cooking wind baffle; crafting components; fire management; crafting component; processed intermediate; manufactured / unresolved; fire management; metal; panel; proposal; cooking; unassigned; not applicable; component</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c r="AI223" s="4" t="str">
        <x:v>Component</x:v>
      </x:c>
      <x:c r="AJ223" s="4" t="n">
        <x:f>COUNTIFS('Material routes'!$D$6:$D$1005,A223,'Material routes'!$C$6:$C$1005,"Output")</x:f>
        <x:v>0</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status/completeness",IF(AF223="T0","Raw entry feed; no production route","No production route listed"))</x:f>
        <x:v>No production route listed</x:v>
      </x:c>
      <x:c r="AN223" s="14" t="n">
        <x:f>IF(AF223="T0",0,IF(AF223="T1",1,IF(AF223="T2",2,IF(AF223="T3",3,IF(AF223="T4",4,IF(AF223="Unassigned",98,99))))))</x:f>
        <x:v>98</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"&amp;U224&amp;"; "&amp;AF224&amp;"; "&amp;AH224&amp;"; "&amp;AI224)</x:f>
        <x:v>proposal.fire.draft_collar; cooking draft collar; crafting components; fire management; crafting component; processed intermediate; manufactured / unresolved; fire management; ceramic; solid part; proposal; cooking; unassigned; not applicable; component</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c r="AI224" s="4" t="str">
        <x:v>Component</x:v>
      </x:c>
      <x:c r="AJ224" s="4" t="n">
        <x:f>COUNTIFS('Material routes'!$D$6:$D$1005,A224,'Material routes'!$C$6:$C$1005,"Output")</x:f>
        <x:v>0</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status/completeness",IF(AF224="T0","Raw entry feed; no production route","No production route listed"))</x:f>
        <x:v>No production route listed</x:v>
      </x:c>
      <x:c r="AN224" s="14" t="n">
        <x:f>IF(AF224="T0",0,IF(AF224="T1",1,IF(AF224="T2",2,IF(AF224="T3",3,IF(AF224="T4",4,IF(AF224="Unassigned",98,99))))))</x:f>
        <x:v>98</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"&amp;U225&amp;"; "&amp;AF225&amp;"; "&amp;AH225&amp;"; "&amp;AI225)</x:f>
        <x:v>proposal.fire.heat_shroud; cooking heat shroud; crafting components; fire management; crafting component; processed intermediate; manufactured / unresolved; cooking; ceramic; panel; proposal; protective fabrication; unassigned; not applicable; component</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c r="AI225" s="4" t="str">
        <x:v>Component</x:v>
      </x:c>
      <x:c r="AJ225" s="4" t="n">
        <x:f>COUNTIFS('Material routes'!$D$6:$D$1005,A225,'Material routes'!$C$6:$C$1005,"Output")</x:f>
        <x:v>0</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status/completeness",IF(AF225="T0","Raw entry feed; no production route","No production route listed"))</x:f>
        <x:v>No production route listed</x:v>
      </x:c>
      <x:c r="AN225" s="14" t="n">
        <x:f>IF(AF225="T0",0,IF(AF225="T1",1,IF(AF225="T2",2,IF(AF225="T3",3,IF(AF225="T4",4,IF(AF225="Unassigned",98,99))))))</x:f>
        <x:v>98</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"&amp;U226&amp;"; "&amp;AF226&amp;"; "&amp;AH226&amp;"; "&amp;AI226)</x:f>
        <x:v>proposal.fire.glow_holder; shuttered glow-stone holder; equipment; mineral light; tool; finished item; manufactured / unresolved; illumination; mixed / unresolved; assembly; proposal; ; not applicable; unassigned; finished item</x:v>
      </x:c>
      <x:c r="AE226" s="4" t="str">
        <x:v>Author direction establishes stone families. Source mechanisms remain proposal-stage; specific equipment functions are proposals.</x:v>
      </x:c>
      <x:c r="AF226" s="4" t="str">
        <x:v>Not applicable</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status/completeness",IF(AF226="T0","Raw entry feed; no production route","No production route listed"))</x:f>
        <x:v>No production route listed</x:v>
      </x:c>
      <x:c r="AN226" s="14" t="n">
        <x:f>IF(AF226="T0",0,IF(AF226="T1",1,IF(AF226="T2",2,IF(AF226="T3",3,IF(AF226="T4",4,IF(AF226="Unassigned",98,99))))))</x:f>
        <x:v>99</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"&amp;U227&amp;"; "&amp;AF227&amp;"; "&amp;AH227&amp;"; "&amp;AI227)</x:f>
        <x:v>proposal.lubricant.base; clarified faunal lubricant base; resources; lubricant intermediate; chemical material; processed intermediate; fauna; chemical processing; biological chemical; liquid; proposal; grease; lubricant; fauna chemistry; lubrication; t1; not applicable; material</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3</x:v>
      </x:c>
      <x:c r="AL227" s="4" t="n">
        <x:f>COUNTIFS('Material routes'!$D$6:$D$1005,A227,'Material routes'!$C$6:$C$1005,"Tool candidate")</x:f>
        <x:v>0</x:v>
      </x:c>
      <x:c r="AM227" s="4" t="str">
        <x:f>IF(AJ227&gt;0,"Route listed; review status/completeness",IF(AF227="T0","Raw entry feed; no production route","No production route listed"))</x:f>
        <x:v>Route listed; review status/completeness</x:v>
      </x:c>
      <x:c r="AN227" s="14" t="n">
        <x:f>IF(AF227="T0",0,IF(AF227="T1",1,IF(AF227="T2",2,IF(AF227="T3",3,IF(AF227="T4",4,IF(AF227="Unassigned",98,99))))))</x:f>
        <x:v>1</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"&amp;U228&amp;"; "&amp;AF228&amp;"; "&amp;AH228&amp;"; "&amp;AI228)</x:f>
        <x:v>proposal.lubricant.thickener; prepared secretion thickener; resources; lubricant intermediate; chemical material; processed intermediate; fauna; chemical processing; biological chemical; unresolved; proposal; grease; lubricant; fauna chemistry; lubrication; t1; not applicable; material</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2</x:v>
      </x:c>
      <x:c r="AL228" s="4" t="n">
        <x:f>COUNTIFS('Material routes'!$D$6:$D$1005,A228,'Material routes'!$C$6:$C$1005,"Tool candidate")</x:f>
        <x:v>0</x:v>
      </x:c>
      <x:c r="AM228" s="4" t="str">
        <x:f>IF(AJ228&gt;0,"Route listed; review status/completeness",IF(AF228="T0","Raw entry feed; no production route","No production route listed"))</x:f>
        <x:v>Route listed; review status/completeness</x:v>
      </x:c>
      <x:c r="AN228" s="14" t="n">
        <x:f>IF(AF228="T0",0,IF(AF228="T1",1,IF(AF228="T2",2,IF(AF228="T3",3,IF(AF228="T4",4,IF(AF228="Unassigned",98,99))))))</x:f>
        <x:v>1</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"&amp;U229&amp;"; "&amp;AF229&amp;"; "&amp;AH229&amp;"; "&amp;AI229)</x:f>
        <x:v>proposal.lubricant.joint_grease; faunal joint grease; resources; finished lubricant; chemical material; finished item; fauna; lubrication; biological chemical; paste; proposal; grease; lubricant; fauna chemistry; equipment repair; t2; not applicable; material</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0</x:v>
      </x:c>
      <x:c r="AL229" s="4" t="n">
        <x:f>COUNTIFS('Material routes'!$D$6:$D$1005,A229,'Material routes'!$C$6:$C$1005,"Tool candidate")</x:f>
        <x:v>0</x:v>
      </x:c>
      <x:c r="AM229" s="4" t="str">
        <x:f>IF(AJ229&gt;0,"Route listed; review status/completeness",IF(AF229="T0","Raw entry feed; no production route","No production route listed"))</x:f>
        <x:v>Route listed; review status/completeness</x:v>
      </x:c>
      <x:c r="AN229" s="14" t="n">
        <x:f>IF(AF229="T0",0,IF(AF229="T1",1,IF(AF229="T2",2,IF(AF229="T3",3,IF(AF229="T4",4,IF(AF229="Unassigned",98,99))))))</x:f>
        <x:v>2</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"&amp;U230&amp;"; "&amp;AF230&amp;"; "&amp;AH230&amp;"; "&amp;AI230)</x:f>
        <x:v>proposal.lubricant.dust_film; dust-shedding lubricant film; resources; finished lubricant; chemical material; finished item; fauna; lubrication; biological chemical; unresolved; proposal; grease; lubricant; fauna chemistry; dust exclusion; unassigned; not applicable; material</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c r="AI230" s="4" t="str">
        <x:v>Material</x:v>
      </x:c>
      <x:c r="AJ230" s="4" t="n">
        <x:f>COUNTIFS('Material routes'!$D$6:$D$1005,A230,'Material routes'!$C$6:$C$1005,"Output")</x:f>
        <x:v>0</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status/completeness",IF(AF230="T0","Raw entry feed; no production route","No production route listed"))</x:f>
        <x:v>No production route listed</x:v>
      </x:c>
      <x:c r="AN230" s="14" t="n">
        <x:f>IF(AF230="T0",0,IF(AF230="T1",1,IF(AF230="T2",2,IF(AF230="T3",3,IF(AF230="T4",4,IF(AF230="Unassigned",98,99))))))</x:f>
        <x:v>98</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"&amp;U231&amp;"; "&amp;AF231&amp;"; "&amp;AH231&amp;"; "&amp;AI231)</x:f>
        <x:v>proposal.lubricant.seal_paste; seal-conditioning paste; resources; finished lubricant; chemical material; finished item; fauna; lubrication; biological chemical; paste; proposal; grease; lubricant; fauna chemistry; sealing; unassigned; not applicable; material</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c r="AI231" s="4" t="str">
        <x:v>Material</x:v>
      </x:c>
      <x:c r="AJ231" s="4" t="n">
        <x:f>COUNTIFS('Material routes'!$D$6:$D$1005,A231,'Material routes'!$C$6:$C$1005,"Output")</x:f>
        <x:v>0</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status/completeness",IF(AF231="T0","Raw entry feed; no production route","No production route listed"))</x:f>
        <x:v>No production route listed</x:v>
      </x:c>
      <x:c r="AN231" s="14" t="n">
        <x:f>IF(AF231="T0",0,IF(AF231="T1",1,IF(AF231="T2",2,IF(AF231="T3",3,IF(AF231="T4",4,IF(AF231="Unassigned",98,99))))))</x:f>
        <x:v>98</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"&amp;U232&amp;"; "&amp;AF232&amp;"; "&amp;AH232&amp;"; "&amp;AI232)</x:f>
        <x:v>proposal.lubricant.graphite_grease; graphite faunal grease; resources; finished lubricant; chemical material; finished item; fauna; lubrication; biological and mineral mixture; paste; proposal; grease; lubricant; fauna chemistry; equipment repair; t2; not applicable; material</x:v>
      </x:c>
      <x:c r="AE232" s="4" t="str">
        <x:v>Specific formulation is proposed; source oils and existing joint secretion are references, not validated recipes.</x:v>
      </x:c>
      <x:c r="AF232" s="4" t="str">
        <x:v>T2</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routes'!$D$6:$D$1005,A232,'Material routes'!$C$6:$C$1005,"Output")</x:f>
        <x:v>1</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status/completeness",IF(AF232="T0","Raw entry feed; no production route","No production route listed"))</x:f>
        <x:v>Route listed; review status/completeness</x:v>
      </x:c>
      <x:c r="AN232" s="14" t="n">
        <x:f>IF(AF232="T0",0,IF(AF232="T1",1,IF(AF232="T2",2,IF(AF232="T3",3,IF(AF232="T4",4,IF(AF232="Unassigned",98,99))))))</x:f>
        <x:v>2</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"&amp;U233&amp;"; "&amp;AF233&amp;"; "&amp;AH233&amp;"; "&amp;AI233)</x:f>
        <x:v>proposal.lubricant.insulating_grease; electrically insulating grease; resources; finished lubricant; chemical material; finished item; fauna; lubrication; biological chemical; paste; proposal; grease; lubricant; fauna chemistry; electrical insulation; unassigned; not applicable; material</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c r="AI233" s="4" t="str">
        <x:v>Material</x:v>
      </x:c>
      <x:c r="AJ233" s="4" t="n">
        <x:f>COUNTIFS('Material routes'!$D$6:$D$1005,A233,'Material routes'!$C$6:$C$1005,"Output")</x:f>
        <x:v>0</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status/completeness",IF(AF233="T0","Raw entry feed; no production route","No production route listed"))</x:f>
        <x:v>No production route listed</x:v>
      </x:c>
      <x:c r="AN233" s="14" t="n">
        <x:f>IF(AF233="T0",0,IF(AF233="T1",1,IF(AF233="T2",2,IF(AF233="T3",3,IF(AF233="T4",4,IF(AF233="Unassigned",98,99))))))</x:f>
        <x:v>98</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"&amp;U234&amp;"; "&amp;AF234&amp;"; "&amp;AH234&amp;"; "&amp;AI234)</x:f>
        <x:v>proposal.lubricant.precision_oil; fine mechanism oil; resources; finished lubricant; chemical material; finished item; fauna; lubrication; biological chemical; liquid; proposal; grease; lubricant; fauna chemistry; equipment repair; t2; not applicable; material</x:v>
      </x:c>
      <x:c r="AE234" s="4" t="str">
        <x:v>Specific formulation is proposed; source oils and existing joint secretion are references, not validated recipes.</x:v>
      </x:c>
      <x:c r="AF234" s="4" t="str">
        <x:v>T2</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routes'!$D$6:$D$1005,A234,'Material routes'!$C$6:$C$1005,"Output")</x:f>
        <x:v>1</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1</x:v>
      </x:c>
      <x:c r="AL234" s="4" t="n">
        <x:f>COUNTIFS('Material routes'!$D$6:$D$1005,A234,'Material routes'!$C$6:$C$1005,"Tool candidate")</x:f>
        <x:v>0</x:v>
      </x:c>
      <x:c r="AM234" s="4" t="str">
        <x:f>IF(AJ234&gt;0,"Route listed; review status/completeness",IF(AF234="T0","Raw entry feed; no production route","No production route listed"))</x:f>
        <x:v>Route listed; review status/completeness</x:v>
      </x:c>
      <x:c r="AN234" s="14" t="n">
        <x:f>IF(AF234="T0",0,IF(AF234="T1",1,IF(AF234="T2",2,IF(AF234="T3",3,IF(AF234="T4",4,IF(AF234="Unassigned",98,99))))))</x:f>
        <x:v>2</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"&amp;U235&amp;"; "&amp;AF235&amp;"; "&amp;AH235&amp;"; "&amp;AI235)</x:f>
        <x:v>proposal.wind.turbine; salvaged wind turbine; equipment; wind machine; machine; finished item; recovered machinery; wind power; mixed / unresolved; assembly; author direction; machinery drive; wind; sail; not applicable; unassigned; finished item</x:v>
      </x:c>
      <x:c r="AE235" s="4" t="str">
        <x:v>Author direction for equipment families; proposed components and unimplemented behavior remain explicitly separate.</x:v>
      </x:c>
      <x:c r="AF235" s="4" t="str">
        <x:v>Not applicable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status/completeness",IF(AF235="T0","Raw entry feed; no production route","No production route listed"))</x:f>
        <x:v>No production route listed</x:v>
      </x:c>
      <x:c r="AN235" s="14" t="n">
        <x:f>IF(AF235="T0",0,IF(AF235="T1",1,IF(AF235="T2",2,IF(AF235="T3",3,IF(AF235="T4",4,IF(AF235="Unassigned",98,99))))))</x:f>
        <x:v>99</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"&amp;U236&amp;"; "&amp;AF236&amp;";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1</x:v>
      </x:c>
      <x:c r="AL236" s="4" t="n">
        <x:f>COUNTIFS('Material routes'!$D$6:$D$1005,A236,'Material routes'!$C$6:$C$1005,"Tool candidate")</x:f>
        <x:v>0</x:v>
      </x:c>
      <x:c r="AM236" s="4" t="str">
        <x:f>IF(AJ236&gt;0,"Route listed; review status/completeness",IF(AF236="T0","Raw entry feed; no production route","No production route listed"))</x:f>
        <x:v>Route listed; review status/completeness</x:v>
      </x:c>
      <x:c r="AN236" s="14" t="n">
        <x:f>IF(AF236="T0",0,IF(AF236="T1",1,IF(AF236="T2",2,IF(AF236="T3",3,IF(AF236="T4",4,IF(AF236="Unassigned",98,99))))))</x:f>
        <x:v>1</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"&amp;U237&amp;"; "&amp;AF237&amp;";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E237" s="4" t="str">
        <x:v>Author direction for equipment families; proposed components and unimplemented behavior remain explicitly separate.</x:v>
      </x:c>
      <x:c r="AF237" s="4" t="str">
        <x:v>Not applicable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status/completeness",IF(AF237="T0","Raw entry feed; no production route","No production route listed"))</x:f>
        <x:v>No production route listed</x:v>
      </x:c>
      <x:c r="AN237" s="14" t="n">
        <x:f>IF(AF237="T0",0,IF(AF237="T1",1,IF(AF237="T2",2,IF(AF237="T3",3,IF(AF237="T4",4,IF(AF237="Unassigned",98,99))))))</x:f>
        <x:v>99</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"&amp;U238&amp;"; "&amp;AF238&amp;";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E238" s="4" t="str">
        <x:v>Author direction for equipment families; proposed components and unimplemented behavior remain explicitly separate.</x:v>
      </x:c>
      <x:c r="AF238" s="4" t="str">
        <x:v>Not applicable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status/completeness",IF(AF238="T0","Raw entry feed; no production route","No production route listed"))</x:f>
        <x:v>No production route listed</x:v>
      </x:c>
      <x:c r="AN238" s="14" t="n">
        <x:f>IF(AF238="T0",0,IF(AF238="T1",1,IF(AF238="T2",2,IF(AF238="T3",3,IF(AF238="T4",4,IF(AF238="Unassigned",98,99))))))</x:f>
        <x:v>99</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"&amp;U239&amp;"; "&amp;AF239&amp;"; "&amp;AH239&amp;"; "&amp;AI239)</x:f>
        <x:v>proposal.wind.folding_frame; collapsible sail frame; crafting components; wind sail component; crafting component; processed intermediate; manufactured / unresolved; equipment fabrication; metal; assembly; proposal; wind; sail; unassigned; not applicable; component</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c r="AI239" s="4" t="str">
        <x:v>Component</x:v>
      </x:c>
      <x:c r="AJ239" s="4" t="n">
        <x:f>COUNTIFS('Material routes'!$D$6:$D$1005,A239,'Material routes'!$C$6:$C$1005,"Output")</x:f>
        <x:v>0</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status/completeness",IF(AF239="T0","Raw entry feed; no production route","No production route listed"))</x:f>
        <x:v>No production route listed</x:v>
      </x:c>
      <x:c r="AN239" s="14" t="n">
        <x:f>IF(AF239="T0",0,IF(AF239="T1",1,IF(AF239="T2",2,IF(AF239="T3",3,IF(AF239="T4",4,IF(AF239="Unassigned",98,99))))))</x:f>
        <x:v>98</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"&amp;U240&amp;"; "&amp;AF240&amp;"; "&amp;AH240&amp;"; "&amp;AI240)</x:f>
        <x:v>proposal.wind.sail_grip; hand-sail grip assembly; crafting components; wind sail component; crafting component; processed intermediate; manufactured / unresolved; equipment fabrication; mixed / unresolved; assembly; proposal; equipment mounting; wind; sail; unassigned; not applicable; component</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c r="AI240" s="4" t="str">
        <x:v>Component</x:v>
      </x:c>
      <x:c r="AJ240" s="4" t="n">
        <x:f>COUNTIFS('Material routes'!$D$6:$D$1005,A240,'Material routes'!$C$6:$C$1005,"Output")</x:f>
        <x:v>0</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status/completeness",IF(AF240="T0","Raw entry feed; no production route","No production route listed"))</x:f>
        <x:v>No production route listed</x:v>
      </x:c>
      <x:c r="AN240" s="14" t="n">
        <x:f>IF(AF240="T0",0,IF(AF240="T1",1,IF(AF240="T2",2,IF(AF240="T3",3,IF(AF240="T4",4,IF(AF240="Unassigned",98,99))))))</x:f>
        <x:v>98</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"&amp;U241&amp;"; "&amp;AF241&amp;"; "&amp;AH241&amp;"; "&amp;AI241)</x:f>
        <x:v>proposal.wind.wheel; dirtboard wheel assembly; crafting components; dirtboard component; crafting component; processed intermediate; manufactured / unresolved; equipment fabrication; mixed / unresolved; assembly; proposal; equipment repair; wind; sail; unassigned; not applicable; component</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c r="AI241" s="4" t="str">
        <x:v>Component</x:v>
      </x:c>
      <x:c r="AJ241" s="4" t="n">
        <x:f>COUNTIFS('Material routes'!$D$6:$D$1005,A241,'Material routes'!$C$6:$C$1005,"Output")</x:f>
        <x:v>0</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status/completeness",IF(AF241="T0","Raw entry feed; no production route","No production route listed"))</x:f>
        <x:v>No production route listed</x:v>
      </x:c>
      <x:c r="AN241" s="14" t="n">
        <x:f>IF(AF241="T0",0,IF(AF241="T1",1,IF(AF241="T2",2,IF(AF241="T3",3,IF(AF241="T4",4,IF(AF241="Unassigned",98,99))))))</x:f>
        <x:v>98</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"&amp;U242&amp;"; "&amp;AF242&amp;"; "&amp;AH242&amp;"; "&amp;AI242)</x:f>
        <x:v>proposal.wind.truck; dirtboard axle / steering assembly; crafting components; dirtboard component; crafting component; processed intermediate; manufactured / unresolved; equipment fabrication; metal; assembly; proposal; equipment repair; wind; sail; unassigned; not applicable; component</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c r="AI242" s="4" t="str">
        <x:v>Component</x:v>
      </x:c>
      <x:c r="AJ242" s="4" t="n">
        <x:f>COUNTIFS('Material routes'!$D$6:$D$1005,A242,'Material routes'!$C$6:$C$1005,"Output")</x:f>
        <x:v>0</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status/completeness",IF(AF242="T0","Raw entry feed; no production route","No production route listed"))</x:f>
        <x:v>No production route listed</x:v>
      </x:c>
      <x:c r="AN242" s="14" t="n">
        <x:f>IF(AF242="T0",0,IF(AF242="T1",1,IF(AF242="T2",2,IF(AF242="T3",3,IF(AF242="T4",4,IF(AF242="Unassigned",98,99))))))</x:f>
        <x:v>98</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"&amp;U243&amp;"; "&amp;AF243&amp;"; "&amp;AH243&amp;"; "&amp;AI243)</x:f>
        <x:v>proposal.wind.rotor; salvaged turbine rotor assembly; crafting components; wind machine component; crafting component; processed intermediate; recovered machinery; equipment fabrication; mixed / unresolved; assembly; proposal; wind power; wind; sail; unassigned; not applicable; component</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status/completeness",IF(AF243="T0","Raw entry feed; no production route","No production route listed"))</x:f>
        <x:v>No production route listed</x:v>
      </x:c>
      <x:c r="AN243" s="14" t="n">
        <x:f>IF(AF243="T0",0,IF(AF243="T1",1,IF(AF243="T2",2,IF(AF243="T3",3,IF(AF243="T4",4,IF(AF243="Unassigned",98,99))))))</x:f>
        <x:v>98</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"&amp;U244&amp;"; "&amp;AF244&amp;"; "&amp;AH244&amp;"; "&amp;AI244)</x:f>
        <x:v>proposal.wind.generator; salvaged generator assembly; crafting components; wind machine component; crafting component; processed intermediate; recovered machinery; energy processing; mixed / unresolved; assembly; proposal; wind power; wind; sail; unassigned; not applicable; component</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status/completeness",IF(AF244="T0","Raw entry feed; no production route","No production route listed"))</x:f>
        <x:v>No production route listed</x:v>
      </x:c>
      <x:c r="AN244" s="14" t="n">
        <x:f>IF(AF244="T0",0,IF(AF244="T1",1,IF(AF244="T2",2,IF(AF244="T3",3,IF(AF244="T4",4,IF(AF244="Unassigned",98,99))))))</x:f>
        <x:v>98</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"&amp;U245&amp;"; "&amp;AF245&amp;";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E245" s="4" t="str">
        <x:v>Specific parts and protective properties remain proposals; ancient-material scarcity is established author direction.</x:v>
      </x:c>
      <x:c r="AF245" s="4" t="str">
        <x:v>Not applicable</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status/completeness",IF(AF245="T0","Raw entry feed; no production route","No production route listed"))</x:f>
        <x:v>No production route listed</x:v>
      </x:c>
      <x:c r="AN245" s="14" t="n">
        <x:f>IF(AF245="T0",0,IF(AF245="T1",1,IF(AF245="T2",2,IF(AF245="T3",3,IF(AF245="T4",4,IF(AF245="Unassigned",98,99))))))</x:f>
        <x:v>99</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"&amp;U246&amp;"; "&amp;AF246&amp;";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E246" s="4" t="str">
        <x:v>Specific parts and protective properties remain proposals; ancient-material scarcity is established author direction.</x:v>
      </x:c>
      <x:c r="AF246" s="4" t="str">
        <x:v>Not applicable</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status/completeness",IF(AF246="T0","Raw entry feed; no production route","No production route listed"))</x:f>
        <x:v>No production route listed</x:v>
      </x:c>
      <x:c r="AN246" s="14" t="n">
        <x:f>IF(AF246="T0",0,IF(AF246="T1",1,IF(AF246="T2",2,IF(AF246="T3",3,IF(AF246="T4",4,IF(AF246="Unassigned",98,99))))))</x:f>
        <x:v>99</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"&amp;U247&amp;"; "&amp;AF247&amp;"; "&amp;AH247&amp;"; "&amp;AI247)</x:f>
        <x:v>proposal.legger.anchors; legger lashing-anchor set; crafting components; legger cargo rigging; crafting component; processed intermediate; manufactured / unresolved; equipment mounting; metal; assembly; proposal; legger; leger; companion replacement part; unassigned; not applicable; component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c r="AI247" s="4" t="str">
        <x:v>Component</x:v>
      </x:c>
      <x:c r="AJ247" s="4" t="n">
        <x:f>COUNTIFS('Material routes'!$D$6:$D$1005,A247,'Material routes'!$C$6:$C$1005,"Output")</x:f>
        <x:v>0</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status/completeness",IF(AF247="T0","Raw entry feed; no production route","No production route listed"))</x:f>
        <x:v>No production route listed</x:v>
      </x:c>
      <x:c r="AN247" s="14" t="n">
        <x:f>IF(AF247="T0",0,IF(AF247="T1",1,IF(AF247="T2",2,IF(AF247="T3",3,IF(AF247="T4",4,IF(AF247="Unassigned",98,99))))))</x:f>
        <x:v>98</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"&amp;U248&amp;"; "&amp;AF248&amp;";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unassigned; not applicable; component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c r="AI248" s="4" t="str">
        <x:v>Component</x:v>
      </x:c>
      <x:c r="AJ248" s="4" t="n">
        <x:f>COUNTIFS('Material routes'!$D$6:$D$1005,A248,'Material routes'!$C$6:$C$1005,"Output")</x:f>
        <x:v>0</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status/completeness",IF(AF248="T0","Raw entry feed; no production route","No production route listed"))</x:f>
        <x:v>No production route listed</x:v>
      </x:c>
      <x:c r="AN248" s="14" t="n">
        <x:f>IF(AF248="T0",0,IF(AF248="T1",1,IF(AF248="T2",2,IF(AF248="T3",3,IF(AF248="T4",4,IF(AF248="Unassigned",98,99))))))</x:f>
        <x:v>98</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"&amp;U249&amp;"; "&amp;AF249&amp;"; "&amp;AH249&amp;"; "&amp;AI249)</x:f>
        <x:v>proposal.legger.iron_rib; iron chassis replacement rib; crafting components; legger chassis; crafting component; processed intermediate; manufactured / unresolved; equipment repair; metal; solid part; proposal; legger; leger; companion replacement part; unassigned; not applicable; component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c r="AI249" s="4" t="str">
        <x:v>Component</x:v>
      </x:c>
      <x:c r="AJ249" s="4" t="n">
        <x:f>COUNTIFS('Material routes'!$D$6:$D$1005,A249,'Material routes'!$C$6:$C$1005,"Output")</x:f>
        <x:v>0</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status/completeness",IF(AF249="T0","Raw entry feed; no production route","No production route listed"))</x:f>
        <x:v>No production route listed</x:v>
      </x:c>
      <x:c r="AN249" s="14" t="n">
        <x:f>IF(AF249="T0",0,IF(AF249="T1",1,IF(AF249="T2",2,IF(AF249="T3",3,IF(AF249="T4",4,IF(AF249="Unassigned",98,99))))))</x:f>
        <x:v>98</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"&amp;U250&amp;"; "&amp;AF250&amp;";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unassigned; not applicable; component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c r="AI250" s="4" t="str">
        <x:v>Component</x:v>
      </x:c>
      <x:c r="AJ250" s="4" t="n">
        <x:f>COUNTIFS('Material routes'!$D$6:$D$1005,A250,'Material routes'!$C$6:$C$1005,"Output")</x:f>
        <x:v>0</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status/completeness",IF(AF250="T0","Raw entry feed; no production route","No production route listed"))</x:f>
        <x:v>No production route listed</x:v>
      </x:c>
      <x:c r="AN250" s="14" t="n">
        <x:f>IF(AF250="T0",0,IF(AF250="T1",1,IF(AF250="T2",2,IF(AF250="T3",3,IF(AF250="T4",4,IF(AF250="Unassigned",98,99))))))</x:f>
        <x:v>98</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"&amp;U251&amp;"; "&amp;AF251&amp;";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E251" s="4" t="str">
        <x:v>Specific parts and protective properties remain proposals; ancient-material scarcity is established author direction.</x:v>
      </x:c>
      <x:c r="AF251" s="4" t="str">
        <x:v>Not applicable</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status/completeness",IF(AF251="T0","Raw entry feed; no production route","No production route listed"))</x:f>
        <x:v>No production route listed</x:v>
      </x:c>
      <x:c r="AN251" s="14" t="n">
        <x:f>IF(AF251="T0",0,IF(AF251="T1",1,IF(AF251="T2",2,IF(AF251="T3",3,IF(AF251="T4",4,IF(AF251="Unassigned",98,99))))))</x:f>
        <x:v>99</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"&amp;U252&amp;"; "&amp;AF252&amp;"; "&amp;AH252&amp;"; "&amp;AI252)</x:f>
        <x:v>proposal.legger.mount_rail; legger attachment rail; crafting components; legger chassis; crafting component; processed intermediate; manufactured / unresolved; equipment mounting; metal; solid part; proposal; legger; leger; companion replacement part; unassigned; not applicable; component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c r="AI252" s="4" t="str">
        <x:v>Component</x:v>
      </x:c>
      <x:c r="AJ252" s="4" t="n">
        <x:f>COUNTIFS('Material routes'!$D$6:$D$1005,A252,'Material routes'!$C$6:$C$1005,"Output")</x:f>
        <x:v>0</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status/completeness",IF(AF252="T0","Raw entry feed; no production route","No production route listed"))</x:f>
        <x:v>No production route listed</x:v>
      </x:c>
      <x:c r="AN252" s="14" t="n">
        <x:f>IF(AF252="T0",0,IF(AF252="T1",1,IF(AF252="T2",2,IF(AF252="T3",3,IF(AF252="T4",4,IF(AF252="Unassigned",98,99))))))</x:f>
        <x:v>98</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"&amp;U253&amp;"; "&amp;AF253&amp;"; "&amp;AH253&amp;"; "&amp;AI253)</x:f>
        <x:v>proposal.legger.joint_bush; iron joint bushing; crafting components; legger mechanical parts; crafting component; processed intermediate; manufactured / unresolved; equipment repair; metal; solid part; proposal; legger; leger; companion replacement part; unassigned; not applicable; component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c r="AI253" s="4" t="str">
        <x:v>Component</x:v>
      </x:c>
      <x:c r="AJ253" s="4" t="n">
        <x:f>COUNTIFS('Material routes'!$D$6:$D$1005,A253,'Material routes'!$C$6:$C$1005,"Output")</x:f>
        <x:v>0</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status/completeness",IF(AF253="T0","Raw entry feed; no production route","No production route listed"))</x:f>
        <x:v>No production route listed</x:v>
      </x:c>
      <x:c r="AN253" s="14" t="n">
        <x:f>IF(AF253="T0",0,IF(AF253="T1",1,IF(AF253="T2",2,IF(AF253="T3",3,IF(AF253="T4",4,IF(AF253="Unassigned",98,99))))))</x:f>
        <x:v>98</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"&amp;U254&amp;"; "&amp;AF254&amp;";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unassigned; not applicable; component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c r="AI254" s="4" t="str">
        <x:v>Component</x:v>
      </x:c>
      <x:c r="AJ254" s="4" t="n">
        <x:f>COUNTIFS('Material routes'!$D$6:$D$1005,A254,'Material routes'!$C$6:$C$1005,"Output")</x:f>
        <x:v>0</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status/completeness",IF(AF254="T0","Raw entry feed; no production route","No production route listed"))</x:f>
        <x:v>No production route listed</x:v>
      </x:c>
      <x:c r="AN254" s="14" t="n">
        <x:f>IF(AF254="T0",0,IF(AF254="T1",1,IF(AF254="T2",2,IF(AF254="T3",3,IF(AF254="T4",4,IF(AF254="Unassigned",98,99))))))</x:f>
        <x:v>98</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"&amp;U255&amp;"; "&amp;AF255&amp;";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unassigned; not applicable; component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c r="AI255" s="4" t="str">
        <x:v>Component</x:v>
      </x:c>
      <x:c r="AJ255" s="4" t="n">
        <x:f>COUNTIFS('Material routes'!$D$6:$D$1005,A255,'Material routes'!$C$6:$C$1005,"Output")</x:f>
        <x:v>0</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status/completeness",IF(AF255="T0","Raw entry feed; no production route","No production route listed"))</x:f>
        <x:v>No production route listed</x:v>
      </x:c>
      <x:c r="AN255" s="14" t="n">
        <x:f>IF(AF255="T0",0,IF(AF255="T1",1,IF(AF255="T2",2,IF(AF255="T3",3,IF(AF255="T4",4,IF(AF255="Unassigned",98,99))))))</x:f>
        <x:v>98</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"&amp;U256&amp;"; "&amp;AF256&amp;"; "&amp;AH256&amp;"; "&amp;AI256)</x:f>
        <x:v>proposal.legger.actuator_rod; replacement actuator link; crafting components; legger mechanical parts; crafting component; processed intermediate; manufactured / unresolved; equipment repair; metal; solid part; proposal; legger; leger; companion replacement part; unassigned; not applicable; component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c r="AI256" s="4" t="str">
        <x:v>Component</x:v>
      </x:c>
      <x:c r="AJ256" s="4" t="n">
        <x:f>COUNTIFS('Material routes'!$D$6:$D$1005,A256,'Material routes'!$C$6:$C$1005,"Output")</x:f>
        <x:v>0</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status/completeness",IF(AF256="T0","Raw entry feed; no production route","No production route listed"))</x:f>
        <x:v>No production route listed</x:v>
      </x:c>
      <x:c r="AN256" s="14" t="n">
        <x:f>IF(AF256="T0",0,IF(AF256="T1",1,IF(AF256="T2",2,IF(AF256="T3",3,IF(AF256="T4",4,IF(AF256="Unassigned",98,99))))))</x:f>
        <x:v>98</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"&amp;U257&amp;"; "&amp;AF257&amp;";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unassigned; not applicable; component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c r="AI257" s="4" t="str">
        <x:v>Component</x:v>
      </x:c>
      <x:c r="AJ257" s="4" t="n">
        <x:f>COUNTIFS('Material routes'!$D$6:$D$1005,A257,'Material routes'!$C$6:$C$1005,"Output")</x:f>
        <x:v>0</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status/completeness",IF(AF257="T0","Raw entry feed; no production route","No production route listed"))</x:f>
        <x:v>No production route listed</x:v>
      </x:c>
      <x:c r="AN257" s="14" t="n">
        <x:f>IF(AF257="T0",0,IF(AF257="T1",1,IF(AF257="T2",2,IF(AF257="T3",3,IF(AF257="T4",4,IF(AF257="Unassigned",98,99))))))</x:f>
        <x:v>98</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"&amp;U258&amp;"; "&amp;AF258&amp;"; "&amp;AH258&amp;"; "&amp;AI258)</x:f>
        <x:v>proposal.legger.grease_cup; fitted joint lubricant cup; crafting components; legger service parts; container part; processed intermediate; manufactured / unresolved; lubrication; metal; assembly; proposal; legger; leger; companion replacement part; unassigned; not applicable; component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c r="AI258" s="4" t="str">
        <x:v>Component</x:v>
      </x:c>
      <x:c r="AJ258" s="4" t="n">
        <x:f>COUNTIFS('Material routes'!$D$6:$D$1005,A258,'Material routes'!$C$6:$C$1005,"Output")</x:f>
        <x:v>0</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status/completeness",IF(AF258="T0","Raw entry feed; no production route","No production route listed"))</x:f>
        <x:v>No production route listed</x:v>
      </x:c>
      <x:c r="AN258" s="14" t="n">
        <x:f>IF(AF258="T0",0,IF(AF258="T1",1,IF(AF258="T2",2,IF(AF258="T3",3,IF(AF258="T4",4,IF(AF258="Unassigned",98,99))))))</x:f>
        <x:v>98</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"&amp;U259&amp;"; "&amp;AF259&amp;";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unassigned; not applicable; component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c r="AI259" s="4" t="str">
        <x:v>Component</x:v>
      </x:c>
      <x:c r="AJ259" s="4" t="n">
        <x:f>COUNTIFS('Material routes'!$D$6:$D$1005,A259,'Material routes'!$C$6:$C$1005,"Output")</x:f>
        <x:v>0</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status/completeness",IF(AF259="T0","Raw entry feed; no production route","No production route listed"))</x:f>
        <x:v>No production route listed</x:v>
      </x:c>
      <x:c r="AN259" s="14" t="n">
        <x:f>IF(AF259="T0",0,IF(AF259="T1",1,IF(AF259="T2",2,IF(AF259="T3",3,IF(AF259="T4",4,IF(AF259="Unassigned",98,99))))))</x:f>
        <x:v>98</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"&amp;U260&amp;"; "&amp;AF260&amp;";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E260" s="4" t="str">
        <x:v>Specific parts and protective properties remain proposals; ancient-material scarcity is established author direction.</x:v>
      </x:c>
      <x:c r="AF260" s="4" t="str">
        <x:v>Not applicable</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0</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status/completeness",IF(AF260="T0","Raw entry feed; no production route","No production route listed"))</x:f>
        <x:v>No production route listed</x:v>
      </x:c>
      <x:c r="AN260" s="14" t="n">
        <x:f>IF(AF260="T0",0,IF(AF260="T1",1,IF(AF260="T2",2,IF(AF260="T3",3,IF(AF260="T4",4,IF(AF260="Unassigned",98,99))))))</x:f>
        <x:v>99</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"&amp;U261&amp;"; "&amp;AF261&amp;"; "&amp;AH261&amp;"; "&amp;AI261)</x:f>
        <x:v>proposal.legger.shell_guard; chitin chassis guard; equipment; legger armor; armor; finished item; manufactured / unresolved; protection; shell / chitin; panel; proposal; legger; leger; companion replacement part; not applicable; unassigned; finished item</x:v>
      </x:c>
      <x:c r="AE261" s="4" t="str">
        <x:v>Specific parts and protective properties remain proposals; ancient-material scarcity is established author direction.</x:v>
      </x:c>
      <x:c r="AF261" s="4" t="str">
        <x:v>Not applicable</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status/completeness",IF(AF261="T0","Raw entry feed; no production route","No production route listed"))</x:f>
        <x:v>No production route listed</x:v>
      </x:c>
      <x:c r="AN261" s="14" t="n">
        <x:f>IF(AF261="T0",0,IF(AF261="T1",1,IF(AF261="T2",2,IF(AF261="T3",3,IF(AF261="T4",4,IF(AF261="Unassigned",98,99))))))</x:f>
        <x:v>99</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"&amp;U262&amp;"; "&amp;AF262&amp;"; "&amp;AH262&amp;"; "&amp;AI262)</x:f>
        <x:v>proposal.legger.iron_guard; iron chassis guard; equipment; legger armor; armor; finished item; manufactured / unresolved; protection; metal; panel; proposal; legger; leger; companion replacement part; not applicable; unassigned; finished item</x:v>
      </x:c>
      <x:c r="AE262" s="4" t="str">
        <x:v>Specific parts and protective properties remain proposals; ancient-material scarcity is established author direction.</x:v>
      </x:c>
      <x:c r="AF262" s="4" t="str">
        <x:v>Not applicable</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status/completeness",IF(AF262="T0","Raw entry feed; no production route","No production route listed"))</x:f>
        <x:v>No production route listed</x:v>
      </x:c>
      <x:c r="AN262" s="14" t="n">
        <x:f>IF(AF262="T0",0,IF(AF262="T1",1,IF(AF262="T2",2,IF(AF262="T3",3,IF(AF262="T4",4,IF(AF262="Unassigned",98,99))))))</x:f>
        <x:v>99</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"&amp;U263&amp;"; "&amp;AF263&amp;";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E263" s="4" t="str">
        <x:v>Specific parts and protective properties remain proposals; ancient-material scarcity is established author direction.</x:v>
      </x:c>
      <x:c r="AF263" s="4" t="str">
        <x:v>Not applicable</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status/completeness",IF(AF263="T0","Raw entry feed; no production route","No production route listed"))</x:f>
        <x:v>No production route listed</x:v>
      </x:c>
      <x:c r="AN263" s="14" t="n">
        <x:f>IF(AF263="T0",0,IF(AF263="T1",1,IF(AF263="T2",2,IF(AF263="T3",3,IF(AF263="T4",4,IF(AF263="Unassigned",98,99))))))</x:f>
        <x:v>99</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"&amp;U264&amp;"; "&amp;AF264&amp;";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E264" s="4" t="str">
        <x:v>Specific parts and protective properties remain proposals; ancient-material scarcity is established author direction.</x:v>
      </x:c>
      <x:c r="AF264" s="4" t="str">
        <x:v>Not applicable</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status/completeness",IF(AF264="T0","Raw entry feed; no production route","No production route listed"))</x:f>
        <x:v>No production route listed</x:v>
      </x:c>
      <x:c r="AN264" s="14" t="n">
        <x:f>IF(AF264="T0",0,IF(AF264="T1",1,IF(AF264="T2",2,IF(AF264="T3",3,IF(AF264="T4",4,IF(AF264="Unassigned",98,99))))))</x:f>
        <x:v>99</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"&amp;U265&amp;"; "&amp;AF265&amp;"; "&amp;AH265&amp;"; "&amp;AI265)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status/completeness",IF(AF265="T0","Raw entry feed; no production route","No production route listed"))</x:f>
        <x:v>No production route listed</x:v>
      </x:c>
      <x:c r="AN265" s="14" t="n">
        <x:f>IF(AF265="T0",0,IF(AF265="T1",1,IF(AF265="T2",2,IF(AF265="T3",3,IF(AF265="T4",4,IF(AF265="Unassigned",98,99))))))</x:f>
        <x:v>98</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"&amp;U266&amp;"; "&amp;AF266&amp;";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E266" s="4" t="str">
        <x:v>Specific parts and protective properties remain proposals; ancient-material scarcity is established author direction.</x:v>
      </x:c>
      <x:c r="AF266" s="4" t="str">
        <x:v>Not applicable</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status/completeness",IF(AF266="T0","Raw entry feed; no production route","No production route listed"))</x:f>
        <x:v>No production route listed</x:v>
      </x:c>
      <x:c r="AN266" s="14" t="n">
        <x:f>IF(AF266="T0",0,IF(AF266="T1",1,IF(AF266="T2",2,IF(AF266="T3",3,IF(AF266="T4",4,IF(AF266="Unassigned",98,99))))))</x:f>
        <x:v>99</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"&amp;U267&amp;"; "&amp;AF267&amp;"; "&amp;AH267&amp;"; "&amp;AI267)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 unassigned; unassigned; component</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status/completeness",IF(AF267="T0","Raw entry feed; no production route","No production route listed"))</x:f>
        <x:v>No production route listed</x:v>
      </x:c>
      <x:c r="AN267" s="14" t="n">
        <x:f>IF(AF267="T0",0,IF(AF267="T1",1,IF(AF267="T2",2,IF(AF267="T3",3,IF(AF267="T4",4,IF(AF267="Unassigned",98,99))))))</x:f>
        <x:v>98</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"&amp;U268&amp;"; "&amp;AF268&amp;";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E268" s="4" t="str">
        <x:v>Specific parts and protective properties remain proposals; ancient-material scarcity is established author direction.</x:v>
      </x:c>
      <x:c r="AF268" s="4" t="str">
        <x:v>Not applicable</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status/completeness",IF(AF268="T0","Raw entry feed; no production route","No production route listed"))</x:f>
        <x:v>No production route listed</x:v>
      </x:c>
      <x:c r="AN268" s="14" t="n">
        <x:f>IF(AF268="T0",0,IF(AF268="T1",1,IF(AF268="T2",2,IF(AF268="T3",3,IF(AF268="T4",4,IF(AF268="Unassigned",98,99))))))</x:f>
        <x:v>99</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"&amp;U269&amp;"; "&amp;AF269&amp;";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E269" s="4" t="str">
        <x:v>Specific parts and protective properties remain proposals; ancient-material scarcity is established author direction.</x:v>
      </x:c>
      <x:c r="AF269" s="4" t="str">
        <x:v>Not applicable</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status/completeness",IF(AF269="T0","Raw entry feed; no production route","No production route listed"))</x:f>
        <x:v>No production route listed</x:v>
      </x:c>
      <x:c r="AN269" s="14" t="n">
        <x:f>IF(AF269="T0",0,IF(AF269="T1",1,IF(AF269="T2",2,IF(AF269="T3",3,IF(AF269="T4",4,IF(AF269="Unassigned",98,99))))))</x:f>
        <x:v>99</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"&amp;U270&amp;"; "&amp;AF270&amp;";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E270" s="4" t="str">
        <x:v>Specific parts and protective properties remain proposals; ancient-material scarcity is established author direction.</x:v>
      </x:c>
      <x:c r="AF270" s="4" t="str">
        <x:v>Not applicable</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status/completeness",IF(AF270="T0","Raw entry feed; no production route","No production route listed"))</x:f>
        <x:v>No production route listed</x:v>
      </x:c>
      <x:c r="AN270" s="14" t="n">
        <x:f>IF(AF270="T0",0,IF(AF270="T1",1,IF(AF270="T2",2,IF(AF270="T3",3,IF(AF270="T4",4,IF(AF270="Unassigned",98,99))))))</x:f>
        <x:v>99</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"&amp;U271&amp;"; "&amp;AF271&amp;";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E271" s="4" t="str">
        <x:v>Specific parts and protective properties remain proposals; ancient-material scarcity is established author direction.</x:v>
      </x:c>
      <x:c r="AF271" s="4" t="str">
        <x:v>Not applicable</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status/completeness",IF(AF271="T0","Raw entry feed; no production route","No production route listed"))</x:f>
        <x:v>No production route listed</x:v>
      </x:c>
      <x:c r="AN271" s="14" t="n">
        <x:f>IF(AF271="T0",0,IF(AF271="T1",1,IF(AF271="T2",2,IF(AF271="T3",3,IF(AF271="T4",4,IF(AF271="Unassigned",98,99))))))</x:f>
        <x:v>99</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"&amp;U272&amp;"; "&amp;AF272&amp;";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unassigned; not applicable; component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c r="AI272" s="4" t="str">
        <x:v>Component</x:v>
      </x:c>
      <x:c r="AJ272" s="4" t="n">
        <x:f>COUNTIFS('Material routes'!$D$6:$D$1005,A272,'Material routes'!$C$6:$C$1005,"Output")</x:f>
        <x:v>0</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status/completeness",IF(AF272="T0","Raw entry feed; no production route","No production route listed"))</x:f>
        <x:v>No production route listed</x:v>
      </x:c>
      <x:c r="AN272" s="14" t="n">
        <x:f>IF(AF272="T0",0,IF(AF272="T1",1,IF(AF272="T2",2,IF(AF272="T3",3,IF(AF272="T4",4,IF(AF272="Unassigned",98,99))))))</x:f>
        <x:v>98</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"&amp;U273&amp;"; "&amp;AF273&amp;"; "&amp;AH273&amp;"; "&amp;AI273)</x:f>
        <x:v>proposal.legger.release_latch; cargo quick-release latch; crafting components; legger cargo rigging; crafting component; processed intermediate; manufactured / unresolved; equipment mounting; metal; solid part; proposal; legger; leger; companion replacement part; unassigned; not applicable; component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c r="AI273" s="4" t="str">
        <x:v>Component</x:v>
      </x:c>
      <x:c r="AJ273" s="4" t="n">
        <x:f>COUNTIFS('Material routes'!$D$6:$D$1005,A273,'Material routes'!$C$6:$C$1005,"Output")</x:f>
        <x:v>0</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status/completeness",IF(AF273="T0","Raw entry feed; no production route","No production route listed"))</x:f>
        <x:v>No production route listed</x:v>
      </x:c>
      <x:c r="AN273" s="14" t="n">
        <x:f>IF(AF273="T0",0,IF(AF273="T1",1,IF(AF273="T2",2,IF(AF273="T3",3,IF(AF273="T4",4,IF(AF273="Unassigned",98,99))))))</x:f>
        <x:v>98</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"&amp;U274&amp;"; "&amp;AF274&amp;";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E274" s="4" t="str">
        <x:v>Specific parts and protective properties remain proposals; ancient-material scarcity is established author direction.</x:v>
      </x:c>
      <x:c r="AF274" s="4" t="str">
        <x:v>Not applicable</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status/completeness",IF(AF274="T0","Raw entry feed; no production route","No production route listed"))</x:f>
        <x:v>No production route listed</x:v>
      </x:c>
      <x:c r="AN274" s="14" t="n">
        <x:f>IF(AF274="T0",0,IF(AF274="T1",1,IF(AF274="T2",2,IF(AF274="T3",3,IF(AF274="T4",4,IF(AF274="Unassigned",98,99))))))</x:f>
        <x:v>99</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"&amp;U275&amp;"; "&amp;AF275&amp;";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unassigned; not applicable; component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c r="AI275" s="4" t="str">
        <x:v>Component</x:v>
      </x:c>
      <x:c r="AJ275" s="4" t="n">
        <x:f>COUNTIFS('Material routes'!$D$6:$D$1005,A275,'Material routes'!$C$6:$C$1005,"Output")</x:f>
        <x:v>0</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status/completeness",IF(AF275="T0","Raw entry feed; no production route","No production route listed"))</x:f>
        <x:v>No production route listed</x:v>
      </x:c>
      <x:c r="AN275" s="14" t="n">
        <x:f>IF(AF275="T0",0,IF(AF275="T1",1,IF(AF275="T2",2,IF(AF275="T3",3,IF(AF275="T4",4,IF(AF275="Unassigned",98,99))))))</x:f>
        <x:v>98</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"&amp;U276&amp;"; "&amp;AF276&amp;";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unassigned; not applicable; component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c r="AI276" s="4" t="str">
        <x:v>Component</x:v>
      </x:c>
      <x:c r="AJ276" s="4" t="n">
        <x:f>COUNTIFS('Material routes'!$D$6:$D$1005,A276,'Material routes'!$C$6:$C$1005,"Output")</x:f>
        <x:v>0</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status/completeness",IF(AF276="T0","Raw entry feed; no production route","No production route listed"))</x:f>
        <x:v>No production route listed</x:v>
      </x:c>
      <x:c r="AN276" s="14" t="n">
        <x:f>IF(AF276="T0",0,IF(AF276="T1",1,IF(AF276="T2",2,IF(AF276="T3",3,IF(AF276="T4",4,IF(AF276="Unassigned",98,99))))))</x:f>
        <x:v>98</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"&amp;U277&amp;"; "&amp;AF277&amp;"; "&amp;AH277&amp;"; "&amp;AI277)</x:f>
        <x:v>proposal.legger.fracture_patch; iron chassis fracture patch; crafting components; legger chassis; crafting component; processed intermediate; manufactured / unresolved; equipment repair; metal; panel; proposal; legger; leger; companion replacement part; unassigned; not applicable; component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c r="AI277" s="4" t="str">
        <x:v>Component</x:v>
      </x:c>
      <x:c r="AJ277" s="4" t="n">
        <x:f>COUNTIFS('Material routes'!$D$6:$D$1005,A277,'Material routes'!$C$6:$C$1005,"Output")</x:f>
        <x:v>0</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status/completeness",IF(AF277="T0","Raw entry feed; no production route","No production route listed"))</x:f>
        <x:v>No production route listed</x:v>
      </x:c>
      <x:c r="AN277" s="14" t="n">
        <x:f>IF(AF277="T0",0,IF(AF277="T1",1,IF(AF277="T2",2,IF(AF277="T3",3,IF(AF277="T4",4,IF(AF277="Unassigned",98,99))))))</x:f>
        <x:v>98</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"&amp;U278&amp;"; "&amp;AF278&amp;";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unassigned; not applicable; component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c r="AI278" s="4" t="str">
        <x:v>Component</x:v>
      </x:c>
      <x:c r="AJ278" s="4" t="n">
        <x:f>COUNTIFS('Material routes'!$D$6:$D$1005,A278,'Material routes'!$C$6:$C$1005,"Output")</x:f>
        <x:v>0</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status/completeness",IF(AF278="T0","Raw entry feed; no production route","No production route listed"))</x:f>
        <x:v>No production route listed</x:v>
      </x:c>
      <x:c r="AN278" s="14" t="n">
        <x:f>IF(AF278="T0",0,IF(AF278="T1",1,IF(AF278="T2",2,IF(AF278="T3",3,IF(AF278="T4",4,IF(AF278="Unassigned",98,99))))))</x:f>
        <x:v>98</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"&amp;U279&amp;"; "&amp;AF279&amp;"; "&amp;AH279&amp;"; "&amp;AI279)</x:f>
        <x:v>proposal.legger.bulkhead_ring; chassis reinforcing ring; crafting components; legger chassis; crafting component; processed intermediate; manufactured / unresolved; equipment fabrication; metal; solid part; proposal; legger; leger; companion replacement part; unassigned; not applicable; component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c r="AI279" s="4" t="str">
        <x:v>Component</x:v>
      </x:c>
      <x:c r="AJ279" s="4" t="n">
        <x:f>COUNTIFS('Material routes'!$D$6:$D$1005,A279,'Material routes'!$C$6:$C$1005,"Output")</x:f>
        <x:v>0</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status/completeness",IF(AF279="T0","Raw entry feed; no production route","No production route listed"))</x:f>
        <x:v>No production route listed</x:v>
      </x:c>
      <x:c r="AN279" s="14" t="n">
        <x:f>IF(AF279="T0",0,IF(AF279="T1",1,IF(AF279="T2",2,IF(AF279="T3",3,IF(AF279="T4",4,IF(AF279="Unassigned",98,99))))))</x:f>
        <x:v>98</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"&amp;U280&amp;"; "&amp;AF280&amp;"; "&amp;AH280&amp;"; "&amp;AI280)</x:f>
        <x:v>proposal.legger.alignment_shims; chassis alignment-shim set; crafting components; legger chassis; crafting component; processed intermediate; manufactured / unresolved; equipment repair; metal; solid part; proposal; legger; leger; companion replacement part; unassigned; not applicable; component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c r="AI280" s="4" t="str">
        <x:v>Component</x:v>
      </x:c>
      <x:c r="AJ280" s="4" t="n">
        <x:f>COUNTIFS('Material routes'!$D$6:$D$1005,A280,'Material routes'!$C$6:$C$1005,"Output")</x:f>
        <x:v>0</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status/completeness",IF(AF280="T0","Raw entry feed; no production route","No production route listed"))</x:f>
        <x:v>No production route listed</x:v>
      </x:c>
      <x:c r="AN280" s="14" t="n">
        <x:f>IF(AF280="T0",0,IF(AF280="T1",1,IF(AF280="T2",2,IF(AF280="T3",3,IF(AF280="T4",4,IF(AF280="Unassigned",98,99))))))</x:f>
        <x:v>98</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"&amp;U281&amp;"; "&amp;AF281&amp;"; "&amp;AH281&amp;"; "&amp;AI281)</x:f>
        <x:v>proposal.legger.joint_pin; replaceable joint pin; crafting components; legger mechanical parts; crafting component; processed intermediate; manufactured / unresolved; equipment repair; metal; solid part; proposal; legger; leger; companion replacement part; unassigned; not applicable; component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c r="AI281" s="4" t="str">
        <x:v>Component</x:v>
      </x:c>
      <x:c r="AJ281" s="4" t="n">
        <x:f>COUNTIFS('Material routes'!$D$6:$D$1005,A281,'Material routes'!$C$6:$C$1005,"Output")</x:f>
        <x:v>0</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status/completeness",IF(AF281="T0","Raw entry feed; no production route","No production route listed"))</x:f>
        <x:v>No production route listed</x:v>
      </x:c>
      <x:c r="AN281" s="14" t="n">
        <x:f>IF(AF281="T0",0,IF(AF281="T1",1,IF(AF281="T2",2,IF(AF281="T3",3,IF(AF281="T4",4,IF(AF281="Unassigned",98,99))))))</x:f>
        <x:v>98</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"&amp;U282&amp;"; "&amp;AF282&amp;"; "&amp;AH282&amp;"; "&amp;AI282)</x:f>
        <x:v>proposal.legger.thrust_washer; joint thrust washer; crafting components; legger mechanical parts; crafting component; processed intermediate; manufactured / unresolved; equipment repair; metal; solid part; proposal; legger; leger; companion replacement part; unassigned; not applicable; component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c r="AI282" s="4" t="str">
        <x:v>Component</x:v>
      </x:c>
      <x:c r="AJ282" s="4" t="n">
        <x:f>COUNTIFS('Material routes'!$D$6:$D$1005,A282,'Material routes'!$C$6:$C$1005,"Output")</x:f>
        <x:v>0</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status/completeness",IF(AF282="T0","Raw entry feed; no production route","No production route listed"))</x:f>
        <x:v>No production route listed</x:v>
      </x:c>
      <x:c r="AN282" s="14" t="n">
        <x:f>IF(AF282="T0",0,IF(AF282="T1",1,IF(AF282="T2",2,IF(AF282="T3",3,IF(AF282="T4",4,IF(AF282="Unassigned",98,99))))))</x:f>
        <x:v>98</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"&amp;U283&amp;"; "&amp;AF283&amp;";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unassigned; not applicable; component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c r="AI283" s="4" t="str">
        <x:v>Component</x:v>
      </x:c>
      <x:c r="AJ283" s="4" t="n">
        <x:f>COUNTIFS('Material routes'!$D$6:$D$1005,A283,'Material routes'!$C$6:$C$1005,"Output")</x:f>
        <x:v>0</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status/completeness",IF(AF283="T0","Raw entry feed; no production route","No production route listed"))</x:f>
        <x:v>No production route listed</x:v>
      </x:c>
      <x:c r="AN283" s="14" t="n">
        <x:f>IF(AF283="T0",0,IF(AF283="T1",1,IF(AF283="T2",2,IF(AF283="T3",3,IF(AF283="T4",4,IF(AF283="Unassigned",98,99))))))</x:f>
        <x:v>98</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"&amp;U284&amp;"; "&amp;AF284&amp;";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unassigned; not applicable; component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c r="AI284" s="4" t="str">
        <x:v>Component</x:v>
      </x:c>
      <x:c r="AJ284" s="4" t="n">
        <x:f>COUNTIFS('Material routes'!$D$6:$D$1005,A284,'Material routes'!$C$6:$C$1005,"Output")</x:f>
        <x:v>0</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status/completeness",IF(AF284="T0","Raw entry feed; no production route","No production route listed"))</x:f>
        <x:v>No production route listed</x:v>
      </x:c>
      <x:c r="AN284" s="14" t="n">
        <x:f>IF(AF284="T0",0,IF(AF284="T1",1,IF(AF284="T2",2,IF(AF284="T3",3,IF(AF284="T4",4,IF(AF284="Unassigned",98,99))))))</x:f>
        <x:v>98</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"&amp;U285&amp;"; "&amp;AF285&amp;";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unassigned; not applicable; component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c r="AI285" s="4" t="str">
        <x:v>Component</x:v>
      </x:c>
      <x:c r="AJ285" s="4" t="n">
        <x:f>COUNTIFS('Material routes'!$D$6:$D$1005,A285,'Material routes'!$C$6:$C$1005,"Output")</x:f>
        <x:v>0</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status/completeness",IF(AF285="T0","Raw entry feed; no production route","No production route listed"))</x:f>
        <x:v>No production route listed</x:v>
      </x:c>
      <x:c r="AN285" s="14" t="n">
        <x:f>IF(AF285="T0",0,IF(AF285="T1",1,IF(AF285="T2",2,IF(AF285="T3",3,IF(AF285="T4",4,IF(AF285="Unassigned",98,99))))))</x:f>
        <x:v>98</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"&amp;U286&amp;"; "&amp;AF286&amp;";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unassigned; not applicable; component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c r="AI286" s="4" t="str">
        <x:v>Component</x:v>
      </x:c>
      <x:c r="AJ286" s="4" t="n">
        <x:f>COUNTIFS('Material routes'!$D$6:$D$1005,A286,'Material routes'!$C$6:$C$1005,"Output")</x:f>
        <x:v>0</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status/completeness",IF(AF286="T0","Raw entry feed; no production route","No production route listed"))</x:f>
        <x:v>No production route listed</x:v>
      </x:c>
      <x:c r="AN286" s="14" t="n">
        <x:f>IF(AF286="T0",0,IF(AF286="T1",1,IF(AF286="T2",2,IF(AF286="T3",3,IF(AF286="T4",4,IF(AF286="Unassigned",98,99))))))</x:f>
        <x:v>98</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"&amp;U287&amp;"; "&amp;AF287&amp;";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E287" s="4" t="str">
        <x:v>Specific parts and protective properties remain proposals; ancient-material scarcity is established author direction.</x:v>
      </x:c>
      <x:c r="AF287" s="4" t="str">
        <x:v>Not applicable</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status/completeness",IF(AF287="T0","Raw entry feed; no production route","No production route listed"))</x:f>
        <x:v>No production route listed</x:v>
      </x:c>
      <x:c r="AN287" s="14" t="n">
        <x:f>IF(AF287="T0",0,IF(AF287="T1",1,IF(AF287="T2",2,IF(AF287="T3",3,IF(AF287="T4",4,IF(AF287="Unassigned",98,99))))))</x:f>
        <x:v>99</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"&amp;U288&amp;"; "&amp;AF288&amp;";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unassigned; not applicable; component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c r="AI288" s="4" t="str">
        <x:v>Component</x:v>
      </x:c>
      <x:c r="AJ288" s="4" t="n">
        <x:f>COUNTIFS('Material routes'!$D$6:$D$1005,A288,'Material routes'!$C$6:$C$1005,"Output")</x:f>
        <x:v>0</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status/completeness",IF(AF288="T0","Raw entry feed; no production route","No production route listed"))</x:f>
        <x:v>No production route listed</x:v>
      </x:c>
      <x:c r="AN288" s="14" t="n">
        <x:f>IF(AF288="T0",0,IF(AF288="T1",1,IF(AF288="T2",2,IF(AF288="T3",3,IF(AF288="T4",4,IF(AF288="Unassigned",98,99))))))</x:f>
        <x:v>98</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"&amp;U289&amp;"; "&amp;AF289&amp;";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E289" s="4" t="str">
        <x:v>Specific parts and protective properties remain proposals; ancient-material scarcity is established author direction.</x:v>
      </x:c>
      <x:c r="AF289" s="4" t="str">
        <x:v>Not applicable</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status/completeness",IF(AF289="T0","Raw entry feed; no production route","No production route listed"))</x:f>
        <x:v>No production route listed</x:v>
      </x:c>
      <x:c r="AN289" s="14" t="n">
        <x:f>IF(AF289="T0",0,IF(AF289="T1",1,IF(AF289="T2",2,IF(AF289="T3",3,IF(AF289="T4",4,IF(AF289="Unassigned",98,99))))))</x:f>
        <x:v>99</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"&amp;U290&amp;"; "&amp;AF290&amp;";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E290" s="4" t="str">
        <x:v>Specific parts and protective properties remain proposals; ancient-material scarcity is established author direction.</x:v>
      </x:c>
      <x:c r="AF290" s="4" t="str">
        <x:v>Not applicable</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status/completeness",IF(AF290="T0","Raw entry feed; no production route","No production route listed"))</x:f>
        <x:v>No production route listed</x:v>
      </x:c>
      <x:c r="AN290" s="14" t="n">
        <x:f>IF(AF290="T0",0,IF(AF290="T1",1,IF(AF290="T2",2,IF(AF290="T3",3,IF(AF290="T4",4,IF(AF290="Unassigned",98,99))))))</x:f>
        <x:v>99</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"&amp;U291&amp;"; "&amp;AF291&amp;";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E291" s="4" t="str">
        <x:v>Specific parts and protective properties remain proposals; ancient-material scarcity is established author direction.</x:v>
      </x:c>
      <x:c r="AF291" s="4" t="str">
        <x:v>Not applicable</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status/completeness",IF(AF291="T0","Raw entry feed; no production route","No production route listed"))</x:f>
        <x:v>No production route listed</x:v>
      </x:c>
      <x:c r="AN291" s="14" t="n">
        <x:f>IF(AF291="T0",0,IF(AF291="T1",1,IF(AF291="T2",2,IF(AF291="T3",3,IF(AF291="T4",4,IF(AF291="Unassigned",98,99))))))</x:f>
        <x:v>99</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"&amp;U292&amp;"; "&amp;AF292&amp;";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E292" s="4" t="str">
        <x:v>Specific parts and protective properties remain proposals; ancient-material scarcity is established author direction.</x:v>
      </x:c>
      <x:c r="AF292" s="4" t="str">
        <x:v>Not applicable</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status/completeness",IF(AF292="T0","Raw entry feed; no production route","No production route listed"))</x:f>
        <x:v>No production route listed</x:v>
      </x:c>
      <x:c r="AN292" s="14" t="n">
        <x:f>IF(AF292="T0",0,IF(AF292="T1",1,IF(AF292="T2",2,IF(AF292="T3",3,IF(AF292="T4",4,IF(AF292="Unassigned",98,99))))))</x:f>
        <x:v>99</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"&amp;U293&amp;"; "&amp;AF293&amp;"; "&amp;AH293&amp;"; "&amp;AI293)</x:f>
        <x:v>proposal.legger.edge_guard; chassis leading-edge guard; equipment; legger armor; armor; finished item; manufactured / unresolved; protection; metal; panel; proposal; legger; leger; companion replacement part; not applicable; unassigned; finished item</x:v>
      </x:c>
      <x:c r="AE293" s="4" t="str">
        <x:v>Specific parts and protective properties remain proposals; ancient-material scarcity is established author direction.</x:v>
      </x:c>
      <x:c r="AF293" s="4" t="str">
        <x:v>Not applicable</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status/completeness",IF(AF293="T0","Raw entry feed; no production route","No production route listed"))</x:f>
        <x:v>No production route listed</x:v>
      </x:c>
      <x:c r="AN293" s="14" t="n">
        <x:f>IF(AF293="T0",0,IF(AF293="T1",1,IF(AF293="T2",2,IF(AF293="T3",3,IF(AF293="T4",4,IF(AF293="Unassigned",98,99))))))</x:f>
        <x:v>99</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"&amp;U294&amp;"; "&amp;AF294&amp;";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E294" s="4" t="str">
        <x:v>Specific parts and protective properties remain proposals; ancient-material scarcity is established author direction.</x:v>
      </x:c>
      <x:c r="AF294" s="4" t="str">
        <x:v>Not applicable</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status/completeness",IF(AF294="T0","Raw entry feed; no production route","No production route listed"))</x:f>
        <x:v>No production route listed</x:v>
      </x:c>
      <x:c r="AN294" s="14" t="n">
        <x:f>IF(AF294="T0",0,IF(AF294="T1",1,IF(AF294="T2",2,IF(AF294="T3",3,IF(AF294="T4",4,IF(AF294="Unassigned",98,99))))))</x:f>
        <x:v>99</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"&amp;U295&amp;"; "&amp;AF295&amp;"; "&amp;AH295&amp;"; "&amp;AI295)</x:f>
        <x:v>proposal.legger.seam_guard; armor seam-cover strip; equipment; legger armor; armor; finished item; manufactured / unresolved; protection; metal; panel; proposal; legger; leger; companion replacement part; not applicable; unassigned; finished item</x:v>
      </x:c>
      <x:c r="AE295" s="4" t="str">
        <x:v>Specific parts and protective properties remain proposals; ancient-material scarcity is established author direction.</x:v>
      </x:c>
      <x:c r="AF295" s="4" t="str">
        <x:v>Not applicable</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status/completeness",IF(AF295="T0","Raw entry feed; no production route","No production route listed"))</x:f>
        <x:v>No production route listed</x:v>
      </x:c>
      <x:c r="AN295" s="14" t="n">
        <x:f>IF(AF295="T0",0,IF(AF295="T1",1,IF(AF295="T2",2,IF(AF295="T3",3,IF(AF295="T4",4,IF(AF295="Unassigned",98,99))))))</x:f>
        <x:v>99</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"&amp;U296&amp;"; "&amp;AF296&amp;";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E296" s="4" t="str">
        <x:v>Specific parts and protective properties remain proposals; ancient-material scarcity is established author direction.</x:v>
      </x:c>
      <x:c r="AF296" s="4" t="str">
        <x:v>Not applicable</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status/completeness",IF(AF296="T0","Raw entry feed; no production route","No production route listed"))</x:f>
        <x:v>No production route listed</x:v>
      </x:c>
      <x:c r="AN296" s="14" t="n">
        <x:f>IF(AF296="T0",0,IF(AF296="T1",1,IF(AF296="T2",2,IF(AF296="T3",3,IF(AF296="T4",4,IF(AF296="Unassigned",98,99))))))</x:f>
        <x:v>99</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"&amp;U297&amp;"; "&amp;AF297&amp;";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E297" s="4" t="str">
        <x:v>Specific parts and protective properties remain proposals; ancient-material scarcity is established author direction.</x:v>
      </x:c>
      <x:c r="AF297" s="4" t="str">
        <x:v>Not applicable</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status/completeness",IF(AF297="T0","Raw entry feed; no production route","No production route listed"))</x:f>
        <x:v>No production route listed</x:v>
      </x:c>
      <x:c r="AN297" s="14" t="n">
        <x:f>IF(AF297="T0",0,IF(AF297="T1",1,IF(AF297="T2",2,IF(AF297="T3",3,IF(AF297="T4",4,IF(AF297="Unassigned",98,99))))))</x:f>
        <x:v>99</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"&amp;U298&amp;"; "&amp;AF298&amp;";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unassigned; not applicable; component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c r="AI298" s="4" t="str">
        <x:v>Component</x:v>
      </x:c>
      <x:c r="AJ298" s="4" t="n">
        <x:f>COUNTIFS('Material routes'!$D$6:$D$1005,A298,'Material routes'!$C$6:$C$1005,"Output")</x:f>
        <x:v>0</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status/completeness",IF(AF298="T0","Raw entry feed; no production route","No production route listed"))</x:f>
        <x:v>No production route listed</x:v>
      </x:c>
      <x:c r="AN298" s="14" t="n">
        <x:f>IF(AF298="T0",0,IF(AF298="T1",1,IF(AF298="T2",2,IF(AF298="T3",3,IF(AF298="T4",4,IF(AF298="Unassigned",98,99))))))</x:f>
        <x:v>98</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"&amp;U299&amp;"; "&amp;AF299&amp;"; "&amp;AH299&amp;"; "&amp;AI299)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status/completeness",IF(AF299="T0","Raw entry feed; no production route","No production route listed"))</x:f>
        <x:v>No production route listed</x:v>
      </x:c>
      <x:c r="AN299" s="14" t="n">
        <x:f>IF(AF299="T0",0,IF(AF299="T1",1,IF(AF299="T2",2,IF(AF299="T3",3,IF(AF299="T4",4,IF(AF299="Unassigned",98,99))))))</x:f>
        <x:v>98</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"&amp;U300&amp;"; "&amp;AF300&amp;"; "&amp;AH300&amp;"; "&amp;AI300)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status/completeness",IF(AF300="T0","Raw entry feed; no production route","No production route listed"))</x:f>
        <x:v>No production route listed</x:v>
      </x:c>
      <x:c r="AN300" s="14" t="n">
        <x:f>IF(AF300="T0",0,IF(AF300="T1",1,IF(AF300="T2",2,IF(AF300="T3",3,IF(AF300="T4",4,IF(AF300="Unassigned",98,99))))))</x:f>
        <x:v>98</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"&amp;U301&amp;"; "&amp;AF301&amp;"; "&amp;AH301&amp;"; "&amp;AI301)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 unassigned; unassigned; component</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status/completeness",IF(AF301="T0","Raw entry feed; no production route","No production route listed"))</x:f>
        <x:v>No production route listed</x:v>
      </x:c>
      <x:c r="AN301" s="14" t="n">
        <x:f>IF(AF301="T0",0,IF(AF301="T1",1,IF(AF301="T2",2,IF(AF301="T3",3,IF(AF301="T4",4,IF(AF301="Unassigned",98,99))))))</x:f>
        <x:v>98</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"&amp;U302&amp;"; "&amp;AF302&amp;"; "&amp;AH302&amp;"; "&amp;AI302)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 unassigned; unassigned; component</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status/completeness",IF(AF302="T0","Raw entry feed; no production route","No production route listed"))</x:f>
        <x:v>No production route listed</x:v>
      </x:c>
      <x:c r="AN302" s="14" t="n">
        <x:f>IF(AF302="T0",0,IF(AF302="T1",1,IF(AF302="T2",2,IF(AF302="T3",3,IF(AF302="T4",4,IF(AF302="Unassigned",98,99))))))</x:f>
        <x:v>98</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"&amp;U303&amp;"; "&amp;AF303&amp;";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E303" s="4" t="str">
        <x:v>Specific parts and protective properties remain proposals; ancient-material scarcity is established author direction.</x:v>
      </x:c>
      <x:c r="AF303" s="4" t="str">
        <x:v>Not applicable</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status/completeness",IF(AF303="T0","Raw entry feed; no production route","No production route listed"))</x:f>
        <x:v>No production route listed</x:v>
      </x:c>
      <x:c r="AN303" s="14" t="n">
        <x:f>IF(AF303="T0",0,IF(AF303="T1",1,IF(AF303="T2",2,IF(AF303="T3",3,IF(AF303="T4",4,IF(AF303="Unassigned",98,99))))))</x:f>
        <x:v>99</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"&amp;U304&amp;"; "&amp;AF304&amp;"; "&amp;AH304&amp;"; "&amp;AI304)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 unassigned; unassigned; component</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status/completeness",IF(AF304="T0","Raw entry feed; no production route","No production route listed"))</x:f>
        <x:v>No production route listed</x:v>
      </x:c>
      <x:c r="AN304" s="14" t="n">
        <x:f>IF(AF304="T0",0,IF(AF304="T1",1,IF(AF304="T2",2,IF(AF304="T3",3,IF(AF304="T4",4,IF(AF304="Unassigned",98,99))))))</x:f>
        <x:v>98</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"&amp;U305&amp;"; "&amp;AF305&amp;";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E305" s="4" t="str">
        <x:v>Accepted direction for processed-food families; individual recipes, ingredient qualification and effects remain design proposals.</x:v>
      </x:c>
      <x:c r="AF305" s="4" t="str">
        <x:v>Not applicable</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status/completeness",IF(AF305="T0","Raw entry feed; no production route","No production route listed"))</x:f>
        <x:v>No production route listed</x:v>
      </x:c>
      <x:c r="AN305" s="14" t="n">
        <x:f>IF(AF305="T0",0,IF(AF305="T1",1,IF(AF305="T2",2,IF(AF305="T3",3,IF(AF305="T4",4,IF(AF305="Unassigned",98,99))))))</x:f>
        <x:v>99</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"&amp;U306&amp;"; "&amp;AF306&amp;"; "&amp;AH306&amp;"; "&amp;AI306)</x:f>
        <x:v>proposal.food.dense_drink; dense phagia nutrient drink; consumables; phagia drink; drink consumable; finished item; living culture; nutrition; phagia preparation; liquid; proposal; hydration; phagea; algae; not applicable; unassigned; finished item</x:v>
      </x:c>
      <x:c r="AE306" s="4" t="str">
        <x:v>Accepted direction for processed-food families; individual recipes, ingredient qualification and effects remain design proposals.</x:v>
      </x:c>
      <x:c r="AF306" s="4" t="str">
        <x:v>Not applicable</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status/completeness",IF(AF306="T0","Raw entry feed; no production route","No production route listed"))</x:f>
        <x:v>No production route listed</x:v>
      </x:c>
      <x:c r="AN306" s="14" t="n">
        <x:f>IF(AF306="T0",0,IF(AF306="T1",1,IF(AF306="T2",2,IF(AF306="T3",3,IF(AF306="T4",4,IF(AF306="Unassigned",98,99))))))</x:f>
        <x:v>99</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"&amp;U307&amp;"; "&amp;AF307&amp;"; "&amp;AH307&amp;"; "&amp;AI307)</x:f>
        <x:v>proposal.food.ration_bar; phagia ration bar; consumables; phagia bar; food consumable; finished item; living culture; nutrition; phagia preparation; solid piece; author direction; phagea; algae; not applicable; unassigned; finished item</x:v>
      </x:c>
      <x:c r="AE307" s="4" t="str">
        <x:v>Accepted direction for processed-food families; individual recipes, ingredient qualification and effects remain design proposals.</x:v>
      </x:c>
      <x:c r="AF307" s="4" t="str">
        <x:v>Not applicable</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status/completeness",IF(AF307="T0","Raw entry feed; no production route","No production route listed"))</x:f>
        <x:v>No production route listed</x:v>
      </x:c>
      <x:c r="AN307" s="14" t="n">
        <x:f>IF(AF307="T0",0,IF(AF307="T1",1,IF(AF307="T2",2,IF(AF307="T3",3,IF(AF307="T4",4,IF(AF307="Unassigned",98,99))))))</x:f>
        <x:v>99</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"&amp;U308&amp;"; "&amp;AF308&amp;"; "&amp;AH308&amp;"; "&amp;AI308)</x:f>
        <x:v>proposal.food.dried_bar; dried phagia travel bar; consumables; phagia bar; food consumable; finished item; living culture; nutrition; phagia preparation; solid piece; author direction; phagea; algae; not applicable; unassigned; finished item</x:v>
      </x:c>
      <x:c r="AE308" s="4" t="str">
        <x:v>Accepted direction for processed-food families; individual recipes, ingredient qualification and effects remain design proposals.</x:v>
      </x:c>
      <x:c r="AF308" s="4" t="str">
        <x:v>Not applicable</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status/completeness",IF(AF308="T0","Raw entry feed; no production route","No production route listed"))</x:f>
        <x:v>No production route listed</x:v>
      </x:c>
      <x:c r="AN308" s="14" t="n">
        <x:f>IF(AF308="T0",0,IF(AF308="T1",1,IF(AF308="T2",2,IF(AF308="T3",3,IF(AF308="T4",4,IF(AF308="Unassigned",98,99))))))</x:f>
        <x:v>99</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"&amp;U309&amp;"; "&amp;AF309&amp;"; "&amp;AH309&amp;"; "&amp;AI309)</x:f>
        <x:v>proposal.food.meal_paste; prepared phagia meal paste; consumables; phagia prepared meal; food consumable; finished item; living culture; nutrition; phagia preparation; paste; proposal; phagea; algae; not applicable; unassigned; finished item</x:v>
      </x:c>
      <x:c r="AE309" s="4" t="str">
        <x:v>Accepted direction for processed-food families; individual recipes, ingredient qualification and effects remain design proposals.</x:v>
      </x:c>
      <x:c r="AF309" s="4" t="str">
        <x:v>Not applicable</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status/completeness",IF(AF309="T0","Raw entry feed; no production route","No production route listed"))</x:f>
        <x:v>No production route listed</x:v>
      </x:c>
      <x:c r="AN309" s="14" t="n">
        <x:f>IF(AF309="T0",0,IF(AF309="T1",1,IF(AF309="T2",2,IF(AF309="T3",3,IF(AF309="T4",4,IF(AF309="Unassigned",98,99))))))</x:f>
        <x:v>99</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"&amp;U310&amp;"; "&amp;AF310&amp;";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E310" s="4" t="str">
        <x:v>Accepted direction for processed-food families; individual recipes, ingredient qualification and effects remain design proposals.</x:v>
      </x:c>
      <x:c r="AF310" s="4" t="str">
        <x:v>Not applicable</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status/completeness",IF(AF310="T0","Raw entry feed; no production route","No production route listed"))</x:f>
        <x:v>No production route listed</x:v>
      </x:c>
      <x:c r="AN310" s="14" t="n">
        <x:f>IF(AF310="T0",0,IF(AF310="T1",1,IF(AF310="T2",2,IF(AF310="T3",3,IF(AF310="T4",4,IF(AF310="Unassigned",98,99))))))</x:f>
        <x:v>99</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"&amp;U311&amp;"; "&amp;AF311&amp;";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E311" s="4" t="str">
        <x:v>Accepted direction for processed-food families; individual recipes, ingredient qualification and effects remain design proposals.</x:v>
      </x:c>
      <x:c r="AF311" s="4" t="str">
        <x:v>Not applicable</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status/completeness",IF(AF311="T0","Raw entry feed; no production route","No production route listed"))</x:f>
        <x:v>No production route listed</x:v>
      </x:c>
      <x:c r="AN311" s="14" t="n">
        <x:f>IF(AF311="T0",0,IF(AF311="T1",1,IF(AF311="T2",2,IF(AF311="T3",3,IF(AF311="T4",4,IF(AF311="Unassigned",98,99))))))</x:f>
        <x:v>99</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"&amp;U312&amp;"; "&amp;AF312&amp;";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E312" s="4" t="str">
        <x:v>Accepted direction for processed-food families; individual recipes, ingredient qualification and effects remain design proposals.</x:v>
      </x:c>
      <x:c r="AF312" s="4" t="str">
        <x:v>Not applicable</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status/completeness",IF(AF312="T0","Raw entry feed; no production route","No production route listed"))</x:f>
        <x:v>No production route listed</x:v>
      </x:c>
      <x:c r="AN312" s="14" t="n">
        <x:f>IF(AF312="T0",0,IF(AF312="T1",1,IF(AF312="T2",2,IF(AF312="T3",3,IF(AF312="T4",4,IF(AF312="Unassigned",98,99))))))</x:f>
        <x:v>99</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"&amp;U313&amp;"; "&amp;AF313&amp;"; "&amp;AH313&amp;"; "&amp;AI313)</x:f>
        <x:v>proposal.food.crisp_delicacy; crisp phagia-fauna wafer; consumables; phagia delicacy; food consumable; finished item; biological mixture; nutrition; phagia and edible fauna; solid piece; proposal; phagea; algae; not applicable; unassigned; finished item</x:v>
      </x:c>
      <x:c r="AE313" s="4" t="str">
        <x:v>Accepted direction for processed-food families; individual recipes, ingredient qualification and effects remain design proposals.</x:v>
      </x:c>
      <x:c r="AF313" s="4" t="str">
        <x:v>Not applicable</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status/completeness",IF(AF313="T0","Raw entry feed; no production route","No production route listed"))</x:f>
        <x:v>No production route listed</x:v>
      </x:c>
      <x:c r="AN313" s="14" t="n">
        <x:f>IF(AF313="T0",0,IF(AF313="T1",1,IF(AF313="T2",2,IF(AF313="T3",3,IF(AF313="T4",4,IF(AF313="Unassigned",98,99))))))</x:f>
        <x:v>99</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"&amp;U314&amp;"; "&amp;AF314&amp;"; "&amp;AH314&amp;"; "&amp;AI314)</x:f>
        <x:v>proposal.food.edible_flakes; prepared edible-fauna flakes; resources; prepared fauna food ingredient; food material; processed intermediate; fauna; food preparation; faunal tissue; particles; proposal; phagea; algae; unassigned; not applicable; material</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c r="AI314" s="4" t="str">
        <x:v>Material</x:v>
      </x:c>
      <x:c r="AJ314" s="4" t="n">
        <x:f>COUNTIFS('Material routes'!$D$6:$D$1005,A314,'Material routes'!$C$6:$C$1005,"Output")</x:f>
        <x:v>0</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status/completeness",IF(AF314="T0","Raw entry feed; no production route","No production route listed"))</x:f>
        <x:v>No production route listed</x:v>
      </x:c>
      <x:c r="AN314" s="14" t="n">
        <x:f>IF(AF314="T0",0,IF(AF314="T1",1,IF(AF314="T2",2,IF(AF314="T3",3,IF(AF314="T4",4,IF(AF314="Unassigned",98,99))))))</x:f>
        <x:v>98</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"&amp;U315&amp;"; "&amp;AF315&amp;"; "&amp;AH315&amp;"; "&amp;AI315)</x:f>
        <x:v>proposal.food.edible_paste; prepared edible-fauna paste; resources; prepared fauna food ingredient; food material; processed intermediate; fauna; food preparation; faunal tissue; paste; proposal; phagea; algae; unassigned; not applicable; material</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c r="AI315" s="4" t="str">
        <x:v>Material</x:v>
      </x:c>
      <x:c r="AJ315" s="4" t="n">
        <x:f>COUNTIFS('Material routes'!$D$6:$D$1005,A315,'Material routes'!$C$6:$C$1005,"Output")</x:f>
        <x:v>0</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status/completeness",IF(AF315="T0","Raw entry feed; no production route","No production route listed"))</x:f>
        <x:v>No production route listed</x:v>
      </x:c>
      <x:c r="AN315" s="14" t="n">
        <x:f>IF(AF315="T0",0,IF(AF315="T1",1,IF(AF315="T2",2,IF(AF315="T3",3,IF(AF315="T4",4,IF(AF315="Unassigned",98,99))))))</x:f>
        <x:v>98</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"&amp;U316&amp;"; "&amp;AF316&amp;";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E316" s="4" t="str">
        <x:v>Accepted direction for processed-food families; individual recipes, ingredient qualification and effects remain design proposals.</x:v>
      </x:c>
      <x:c r="AF316" s="4" t="str">
        <x:v>Not applicable</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status/completeness",IF(AF316="T0","Raw entry feed; no production route","No production route listed"))</x:f>
        <x:v>No production route listed</x:v>
      </x:c>
      <x:c r="AN316" s="14" t="n">
        <x:f>IF(AF316="T0",0,IF(AF316="T1",1,IF(AF316="T2",2,IF(AF316="T3",3,IF(AF316="T4",4,IF(AF316="Unassigned",98,99))))))</x:f>
        <x:v>99</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"&amp;U317&amp;"; "&amp;AF317&amp;"; "&amp;AH317&amp;"; "&amp;AI317)</x:f>
        <x:v>proposal.food.bar_case; phagia ration-bar case; containers; food packaging; carrier; finished item; manufactured / unresolved; food service; metal or shell; assembly; proposal; cargo organization; phagea; algae; not applicable; unassigned; finished item</x:v>
      </x:c>
      <x:c r="AE317" s="4" t="str">
        <x:v>Accepted direction for processed-food families; individual recipes, ingredient qualification and effects remain design proposals.</x:v>
      </x:c>
      <x:c r="AF317" s="4" t="str">
        <x:v>Not applicable</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status/completeness",IF(AF317="T0","Raw entry feed; no production route","No production route listed"))</x:f>
        <x:v>No production route listed</x:v>
      </x:c>
      <x:c r="AN317" s="14" t="n">
        <x:f>IF(AF317="T0",0,IF(AF317="T1",1,IF(AF317="T2",2,IF(AF317="T3",3,IF(AF317="T4",4,IF(AF317="Unassigned",98,99))))))</x:f>
        <x:v>99</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"&amp;U318&amp;"; "&amp;AF318&amp;"; "&amp;AH318&amp;"; "&amp;AI318)</x:f>
        <x:v>proposal.food.meal_carrier; prepared-meal carrier; containers; food packaging; container; finished item; manufactured / unresolved; food service; ceramic; assembly; proposal; cargo organization; phagea; algae; not applicable; unassigned; finished item</x:v>
      </x:c>
      <x:c r="AE318" s="4" t="str">
        <x:v>Accepted direction for processed-food families; individual recipes, ingredient qualification and effects remain design proposals.</x:v>
      </x:c>
      <x:c r="AF318" s="4" t="str">
        <x:v>Not applicable</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status/completeness",IF(AF318="T0","Raw entry feed; no production route","No production route listed"))</x:f>
        <x:v>No production route listed</x:v>
      </x:c>
      <x:c r="AN318" s="14" t="n">
        <x:f>IF(AF318="T0",0,IF(AF318="T1",1,IF(AF318="T2",2,IF(AF318="T3",3,IF(AF318="T4",4,IF(AF318="Unassigned",98,99))))))</x:f>
        <x:v>99</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"&amp;U319&amp;"; "&amp;AF319&amp;"; "&amp;AH319&amp;"; "&amp;AI319)</x:f>
        <x:v>proposal.raw.basalt; basalt blocks; resources; stone feedstock; raw material; raw; geological; binding and construction; mineral; rock; proposal; ; t0; not applicable; material</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status/completeness",IF(AF319="T0","Raw entry feed; no production route","No production route listed"))</x:f>
        <x:v>Raw entry feed; no production route</x:v>
      </x:c>
      <x:c r="AN319" s="14" t="n">
        <x:f>IF(AF319="T0",0,IF(AF319="T1",1,IF(AF319="T2",2,IF(AF319="T3",3,IF(AF319="T4",4,IF(AF319="Unassigned",98,99))))))</x:f>
        <x:v>0</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"&amp;U320&amp;"; "&amp;AF320&amp;"; "&amp;AH320&amp;"; "&amp;AI320)</x:f>
        <x:v>proposal.raw.slate; slate plates; resources; stone feedstock; raw material; raw; geological; fabrication; mineral; panel; proposal; writing and records; t0; not applicable; material</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status/completeness",IF(AF320="T0","Raw entry feed; no production route","No production route listed"))</x:f>
        <x:v>Raw entry feed; no production route</x:v>
      </x:c>
      <x:c r="AN320" s="14" t="n">
        <x:f>IF(AF320="T0",0,IF(AF320="T1",1,IF(AF320="T2",2,IF(AF320="T3",3,IF(AF320="T4",4,IF(AF320="Unassigned",98,99))))))</x:f>
        <x:v>0</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"&amp;U321&amp;"; "&amp;AF321&amp;"; "&amp;AH321&amp;"; "&amp;AI321)</x:f>
        <x:v>proposal.raw.pumice; pumice lumps; resources; stone feedstock; raw material; raw; geological; surface finishing; mineral; rock; proposal; ; t0; not applicable; material</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status/completeness",IF(AF321="T0","Raw entry feed; no production route","No production route listed"))</x:f>
        <x:v>Raw entry feed; no production route</x:v>
      </x:c>
      <x:c r="AN321" s="14" t="n">
        <x:f>IF(AF321="T0",0,IF(AF321="T1",1,IF(AF321="T2",2,IF(AF321="T3",3,IF(AF321="T4",4,IF(AF321="Unassigned",98,99))))))</x:f>
        <x:v>0</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"&amp;U322&amp;"; "&amp;AF322&amp;"; "&amp;AH322&amp;"; "&amp;AI322)</x:f>
        <x:v>proposal.raw.feldspar; feldspar fragments; resources; stone feedstock; raw material; raw; geological; glass and ceramics; mineral; rock; proposal; ; t0; not applicable; material</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status/completeness",IF(AF322="T0","Raw entry feed; no production route","No production route listed"))</x:f>
        <x:v>Raw entry feed; no production route</x:v>
      </x:c>
      <x:c r="AN322" s="14" t="n">
        <x:f>IF(AF322="T0",0,IF(AF322="T1",1,IF(AF322="T2",2,IF(AF322="T3",3,IF(AF322="T4",4,IF(AF322="Unassigned",98,99))))))</x:f>
        <x:v>0</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"&amp;U323&amp;"; "&amp;AF323&amp;"; "&amp;AH323&amp;"; "&amp;AI323)</x:f>
        <x:v>proposal.raw.spines; loose fauna spines; resources; faunal hard-part feedstock; raw material; raw; fauna; tool fabrication; faunal hard tissue; solid piece; proposal; ; t0; not applicable; material</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status/completeness",IF(AF323="T0","Raw entry feed; no production route","No production route listed"))</x:f>
        <x:v>Raw entry feed; no production route</x:v>
      </x:c>
      <x:c r="AN323" s="14" t="n">
        <x:f>IF(AF323="T0",0,IF(AF323="T1",1,IF(AF323="T2",2,IF(AF323="T3",3,IF(AF323="T4",4,IF(AF323="Unassigned",98,99))))))</x:f>
        <x:v>0</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"&amp;U324&amp;"; "&amp;AF324&amp;"; "&amp;AH324&amp;"; "&amp;AI324)</x:f>
        <x:v>proposal.raw.claws; fauna claw tips; resources; faunal hard-part feedstock; raw material; raw; fauna; tool fabrication; faunal hard tissue; solid piece; proposal; ; t0; not applicable; material</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status/completeness",IF(AF324="T0","Raw entry feed; no production route","No production route listed"))</x:f>
        <x:v>Raw entry feed; no production route</x:v>
      </x:c>
      <x:c r="AN324" s="14" t="n">
        <x:f>IF(AF324="T0",0,IF(AF324="T1",1,IF(AF324="T2",2,IF(AF324="T3",3,IF(AF324="T4",4,IF(AF324="Unassigned",98,99))))))</x:f>
        <x:v>0</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"&amp;U325&amp;"; "&amp;AF325&amp;"; "&amp;AH325&amp;"; "&amp;AI325)</x:f>
        <x:v>proposal.raw.brood_casing; empty brood casings; resources; faunal hard-part feedstock; raw material; raw; fauna; fabrication; faunal hard tissue; shell plate; proposal; ; t0; not applicable; material</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status/completeness",IF(AF325="T0","Raw entry feed; no production route","No production route listed"))</x:f>
        <x:v>Raw entry feed; no production route</x:v>
      </x:c>
      <x:c r="AN325" s="14" t="n">
        <x:f>IF(AF325="T0",0,IF(AF325="T1",1,IF(AF325="T2",2,IF(AF325="T3",3,IF(AF325="T4",4,IF(AF325="Unassigned",98,99))))))</x:f>
        <x:v>0</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"&amp;U326&amp;"; "&amp;AF326&amp;"; "&amp;AH326&amp;"; "&amp;AI326)</x:f>
        <x:v>proposal.raw.antenna_sheath; empty antenna sheaths; resources; faunal hard-part feedstock; raw material; raw; fauna; fabrication; faunal hard tissue; solid piece; proposal; ; t0; not applicable; material</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status/completeness",IF(AF326="T0","Raw entry feed; no production route","No production route listed"))</x:f>
        <x:v>Raw entry feed; no production route</x:v>
      </x:c>
      <x:c r="AN326" s="14" t="n">
        <x:f>IF(AF326="T0",0,IF(AF326="T1",1,IF(AF326="T2",2,IF(AF326="T3",3,IF(AF326="T4",4,IF(AF326="Unassigned",98,99))))))</x:f>
        <x:v>0</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"&amp;U327&amp;"; "&amp;AF327&amp;"; "&amp;AH327&amp;"; "&amp;AI327)</x:f>
        <x:v>proposal.raw.wing_ribs; insectoid wing ribs; resources; faunal hard-part feedstock; raw material; raw; fauna; fabrication; faunal hard tissue; solid piece; proposal; equipment fabrication; t0; not applicable; material</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status/completeness",IF(AF327="T0","Raw entry feed; no production route","No production route listed"))</x:f>
        <x:v>Raw entry feed; no production route</x:v>
      </x:c>
      <x:c r="AN327" s="14" t="n">
        <x:f>IF(AF327="T0",0,IF(AF327="T1",1,IF(AF327="T2",2,IF(AF327="T3",3,IF(AF327="T4",4,IF(AF327="Unassigned",98,99))))))</x:f>
        <x:v>0</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"&amp;U328&amp;"; "&amp;AF328&amp;"; "&amp;AH328&amp;"; "&amp;AI328)</x:f>
        <x:v>proposal.raw.ceramic_shards; broken ceramic shards; resources; salvaged feedstock; raw material; recovered material; industrial salvage; glass and ceramics; ceramic; solid piece; proposal; ; t0; not applicable; material</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status/completeness",IF(AF328="T0","Raw entry feed; no production route","No production route listed"))</x:f>
        <x:v>Raw entry feed; no production route</x:v>
      </x:c>
      <x:c r="AN328" s="14" t="n">
        <x:f>IF(AF328="T0",0,IF(AF328="T1",1,IF(AF328="T2",2,IF(AF328="T3",3,IF(AF328="T4",4,IF(AF328="Unassigned",98,99))))))</x:f>
        <x:v>0</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"&amp;U329&amp;"; "&amp;AF329&amp;"; "&amp;AH329&amp;"; "&amp;AI329)</x:f>
        <x:v>proposal.raw.glass_shards; broken glass pieces; resources; salvaged feedstock; raw material; recovered material; industrial salvage; glass and ceramics; glass; solid piece; proposal; ; t0; not applicable; material</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status/completeness",IF(AF329="T0","Raw entry feed; no production route","No production route listed"))</x:f>
        <x:v>Raw entry feed; no production route</x:v>
      </x:c>
      <x:c r="AN329" s="14" t="n">
        <x:f>IF(AF329="T0",0,IF(AF329="T1",1,IF(AF329="T2",2,IF(AF329="T3",3,IF(AF329="T4",4,IF(AF329="Unassigned",98,99))))))</x:f>
        <x:v>0</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"&amp;U330&amp;"; "&amp;AF330&amp;"; "&amp;AH330&amp;"; "&amp;AI330)</x:f>
        <x:v>proposal.raw.spring_strips; salvaged spring-metal strips; resources; salvaged feedstock; raw material; recovered material; industrial salvage; equipment fabrication; metal; strip; proposal; equipment repair; t0; not applicable; material</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status/completeness",IF(AF330="T0","Raw entry feed; no production route","No production route listed"))</x:f>
        <x:v>Raw entry feed; no production route</x:v>
      </x:c>
      <x:c r="AN330" s="14" t="n">
        <x:f>IF(AF330="T0",0,IF(AF330="T1",1,IF(AF330="T2",2,IF(AF330="T3",3,IF(AF330="T4",4,IF(AF330="Unassigned",98,99))))))</x:f>
        <x:v>0</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"&amp;U331&amp;"; "&amp;AF331&amp;"; "&amp;AH331&amp;"; "&amp;AI331)</x:f>
        <x:v>proposal.raw.metal_cable; salvaged metal cable; resources; salvaged feedstock; raw material; recovered material; industrial salvage; binding and construction; metal; cord; proposal; equipment mounting; t0; not applicable; material</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status/completeness",IF(AF331="T0","Raw entry feed; no production route","No production route listed"))</x:f>
        <x:v>Raw entry feed; no production route</x:v>
      </x:c>
      <x:c r="AN331" s="14" t="n">
        <x:f>IF(AF331="T0",0,IF(AF331="T1",1,IF(AF331="T2",2,IF(AF331="T3",3,IF(AF331="T4",4,IF(AF331="Unassigned",98,99))))))</x:f>
        <x:v>0</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"&amp;U332&amp;"; "&amp;AF332&amp;"; "&amp;AH332&amp;"; "&amp;AI332)</x:f>
        <x:v>proposal.raw.metal_mesh; metal mesh scrap; resources; salvaged feedstock; raw material; recovered material; industrial salvage; fabrication; metal; sheet; proposal; protection; t0; not applicable; material</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status/completeness",IF(AF332="T0","Raw entry feed; no production route","No production route listed"))</x:f>
        <x:v>Raw entry feed; no production route</x:v>
      </x:c>
      <x:c r="AN332" s="14" t="n">
        <x:f>IF(AF332="T0",0,IF(AF332="T1",1,IF(AF332="T2",2,IF(AF332="T3",3,IF(AF332="T4",4,IF(AF332="Unassigned",98,99))))))</x:f>
        <x:v>0</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"&amp;U333&amp;"; "&amp;AF333&amp;"; "&amp;AH333&amp;"; "&amp;AI333)</x:f>
        <x:v>proposal.raw.clinker; furnace clinker chunks; resources; salvaged feedstock; raw material; recovered material; industrial salvage; binding and construction; mixed / unresolved; rock; proposal; ; t0; not applicable; material</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status/completeness",IF(AF333="T0","Raw entry feed; no production route","No production route listed"))</x:f>
        <x:v>Raw entry feed; no production route</x:v>
      </x:c>
      <x:c r="AN333" s="14" t="n">
        <x:f>IF(AF333="T0",0,IF(AF333="T1",1,IF(AF333="T2",2,IF(AF333="T3",3,IF(AF333="T4",4,IF(AF333="Unassigned",98,99))))))</x:f>
        <x:v>0</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"&amp;U334&amp;"; "&amp;AF334&amp;"; "&amp;AH334&amp;"; "&amp;AI334)</x:f>
        <x:v>proposal.raw.spent_refractory; spent refractory chunks; resources; salvaged feedstock; raw material; recovered material; industrial salvage; glass and ceramics; ceramic; solid piece; proposal; equipment repair; t0; not applicable; material</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status/completeness",IF(AF334="T0","Raw entry feed; no production route","No production route listed"))</x:f>
        <x:v>Raw entry feed; no production route</x:v>
      </x:c>
      <x:c r="AN334" s="14" t="n">
        <x:f>IF(AF334="T0",0,IF(AF334="T1",1,IF(AF334="T2",2,IF(AF334="T3",3,IF(AF334="T4",4,IF(AF334="Unassigned",98,99))))))</x:f>
        <x:v>0</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"&amp;U335&amp;"; "&amp;AF335&amp;"; "&amp;AH335&amp;"; "&amp;AI335)</x:f>
        <x:v>proposal.raw.sandstone; sandstone blocks; resources; stone feedstock; raw material; raw; geological; binding and construction; mineral; rock; proposal; ; t0; not applicable; material</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status/completeness",IF(AF335="T0","Raw entry feed; no production route","No production route listed"))</x:f>
        <x:v>Raw entry feed; no production route</x:v>
      </x:c>
      <x:c r="AN335" s="14" t="n">
        <x:f>IF(AF335="T0",0,IF(AF335="T1",1,IF(AF335="T2",2,IF(AF335="T3",3,IF(AF335="T4",4,IF(AF335="Unassigned",98,99))))))</x:f>
        <x:v>0</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"&amp;U336&amp;"; "&amp;AF336&amp;"; "&amp;AH336&amp;"; "&amp;AI336)</x:f>
        <x:v>proposal.raw.obsidian; obsidian chunks; resources; stone feedstock; raw material; raw; geological; tool fabrication; mineral; rock; proposal; ; t0; not applicable; material</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status/completeness",IF(AF336="T0","Raw entry feed; no production route","No production route listed"))</x:f>
        <x:v>Raw entry feed; no production route</x:v>
      </x:c>
      <x:c r="AN336" s="14" t="n">
        <x:f>IF(AF336="T0",0,IF(AF336="T1",1,IF(AF336="T2",2,IF(AF336="T3",3,IF(AF336="T4",4,IF(AF336="Unassigned",98,99))))))</x:f>
        <x:v>0</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"&amp;U337&amp;"; "&amp;AF337&amp;"; "&amp;AH337&amp;"; "&amp;AI337)</x:f>
        <x:v>proposal.raw.emery; emery-bearing lumps; resources; stone feedstock; raw material; raw; geological; surface finishing; mineral; rock; proposal; ; t0; not applicable; material</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status/completeness",IF(AF337="T0","Raw entry feed; no production route","No production route listed"))</x:f>
        <x:v>Raw entry feed; no production route</x:v>
      </x:c>
      <x:c r="AN337" s="14" t="n">
        <x:f>IF(AF337="T0",0,IF(AF337="T1",1,IF(AF337="T2",2,IF(AF337="T3",3,IF(AF337="T4",4,IF(AF337="Unassigned",98,99))))))</x:f>
        <x:v>0</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"&amp;U338&amp;"; "&amp;AF338&amp;"; "&amp;AH338&amp;"; "&amp;AI338)</x:f>
        <x:v>proposal.raw.barite; dense barite lumps; resources; stone feedstock; raw material; raw; geological; fabrication; mineral; rock; proposal; ; t0; not applicable; material</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status/completeness",IF(AF338="T0","Raw entry feed; no production route","No production route listed"))</x:f>
        <x:v>Raw entry feed; no production route</x:v>
      </x:c>
      <x:c r="AN338" s="14" t="n">
        <x:f>IF(AF338="T0",0,IF(AF338="T1",1,IF(AF338="T2",2,IF(AF338="T3",3,IF(AF338="T4",4,IF(AF338="Unassigned",98,99))))))</x:f>
        <x:v>0</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"&amp;U339&amp;"; "&amp;AF339&amp;"; "&amp;AH339&amp;"; "&amp;AI339)</x:f>
        <x:v>proposal.raw.grinding_pebbles; rounded grinding stones; resources; stone feedstock; raw material; raw; geological; chemical processing; mineral; rock; proposal; food preparation; t0; not applicable; material</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status/completeness",IF(AF339="T0","Raw entry feed; no production route","No production route listed"))</x:f>
        <x:v>Raw entry feed; no production route</x:v>
      </x:c>
      <x:c r="AN339" s="14" t="n">
        <x:f>IF(AF339="T0",0,IF(AF339="T1",1,IF(AF339="T2",2,IF(AF339="T3",3,IF(AF339="T4",4,IF(AF339="Unassigned",98,99))))))</x:f>
        <x:v>0</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"&amp;U340&amp;"; "&amp;AF340&amp;"; "&amp;AH340&amp;"; "&amp;AI340)</x:f>
        <x:v>proposal.raw.ochre; yellow ochre clods; resources; stone feedstock; raw material; raw; geological; decoration; mineral; rock; proposal; writing and records; t0; not applicable; material</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status/completeness",IF(AF340="T0","Raw entry feed; no production route","No production route listed"))</x:f>
        <x:v>Raw entry feed; no production route</x:v>
      </x:c>
      <x:c r="AN340" s="14" t="n">
        <x:f>IF(AF340="T0",0,IF(AF340="T1",1,IF(AF340="T2",2,IF(AF340="T3",3,IF(AF340="T4",4,IF(AF340="Unassigned",98,99))))))</x:f>
        <x:v>0</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"&amp;U341&amp;"; "&amp;AF341&amp;"; "&amp;AH341&amp;"; "&amp;AI341)</x:f>
        <x:v>proposal.raw.horn_core; fauna horn cores; resources; faunal hard-part feedstock; raw material; raw; fauna; tool fabrication; faunal hard tissue; solid piece; proposal; ; t0; not applicable; material</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status/completeness",IF(AF341="T0","Raw entry feed; no production route","No production route listed"))</x:f>
        <x:v>Raw entry feed; no production route</x:v>
      </x:c>
      <x:c r="AN341" s="14" t="n">
        <x:f>IF(AF341="T0",0,IF(AF341="T1",1,IF(AF341="T2",2,IF(AF341="T3",3,IF(AF341="T4",4,IF(AF341="Unassigned",98,99))))))</x:f>
        <x:v>0</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"&amp;U342&amp;"; "&amp;AF342&amp;"; "&amp;AH342&amp;"; "&amp;AI342)</x:f>
        <x:v>proposal.raw.tail_rings; fauna tail rings; resources; faunal hard-part feedstock; raw material; raw; fauna; protective fabrication; faunal hard tissue; shell plate; proposal; fabrication; t0; not applicable; material</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status/completeness",IF(AF342="T0","Raw entry feed; no production route","No production route listed"))</x:f>
        <x:v>Raw entry feed; no production route</x:v>
      </x:c>
      <x:c r="AN342" s="14" t="n">
        <x:f>IF(AF342="T0",0,IF(AF342="T1",1,IF(AF342="T2",2,IF(AF342="T3",3,IF(AF342="T4",4,IF(AF342="Unassigned",98,99))))))</x:f>
        <x:v>0</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"&amp;U343&amp;"; "&amp;AF343&amp;"; "&amp;AH343&amp;"; "&amp;AI343)</x:f>
        <x:v>proposal.raw.socket_cups; fauna joint-socket cups; resources; faunal hard-part feedstock; raw material; raw; fauna; fabrication; faunal hard tissue; solid piece; proposal; ; t0; not applicable; material</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status/completeness",IF(AF343="T0","Raw entry feed; no production route","No production route listed"))</x:f>
        <x:v>Raw entry feed; no production route</x:v>
      </x:c>
      <x:c r="AN343" s="14" t="n">
        <x:f>IF(AF343="T0",0,IF(AF343="T1",1,IF(AF343="T2",2,IF(AF343="T3",3,IF(AF343="T4",4,IF(AF343="Unassigned",98,99))))))</x:f>
        <x:v>0</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"&amp;U344&amp;"; "&amp;AF344&amp;"; "&amp;AH344&amp;"; "&amp;AI344)</x:f>
        <x:v>proposal.raw.eye_lenses; fauna eye lenses; resources; faunal hard-part feedstock; raw material; raw; fauna; vision; faunal tissue; solid piece; proposal; ; t0; not applicable; material</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status/completeness",IF(AF344="T0","Raw entry feed; no production route","No production route listed"))</x:f>
        <x:v>Raw entry feed; no production route</x:v>
      </x:c>
      <x:c r="AN344" s="14" t="n">
        <x:f>IF(AF344="T0",0,IF(AF344="T1",1,IF(AF344="T2",2,IF(AF344="T3",3,IF(AF344="T4",4,IF(AF344="Unassigned",98,99))))))</x:f>
        <x:v>0</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"&amp;U345&amp;"; "&amp;AF345&amp;"; "&amp;AH345&amp;"; "&amp;AI345)</x:f>
        <x:v>proposal.raw.filter_plates; fauna breathing-filter plates; resources; faunal hard-part feedstock; raw material; raw; fauna; dust exclusion; faunal hard tissue; panel; proposal; ; t0; not applicable; material</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status/completeness",IF(AF345="T0","Raw entry feed; no production route","No production route listed"))</x:f>
        <x:v>Raw entry feed; no production route</x:v>
      </x:c>
      <x:c r="AN345" s="14" t="n">
        <x:f>IF(AF345="T0",0,IF(AF345="T1",1,IF(AF345="T2",2,IF(AF345="T3",3,IF(AF345="T4",4,IF(AF345="Unassigned",98,99))))))</x:f>
        <x:v>0</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"&amp;U346&amp;"; "&amp;AF346&amp;"; "&amp;AH346&amp;"; "&amp;AI346)</x:f>
        <x:v>proposal.raw.droppings; dried mineral-rich fauna droppings; resources; faunal waste feedstock; raw material; raw; fauna; chemical processing; mixed / unresolved; solid piece; proposal; ; t0; not applicable; material</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status/completeness",IF(AF346="T0","Raw entry feed; no production route","No production route listed"))</x:f>
        <x:v>Raw entry feed; no production route</x:v>
      </x:c>
      <x:c r="AN346" s="14" t="n">
        <x:f>IF(AF346="T0",0,IF(AF346="T1",1,IF(AF346="T2",2,IF(AF346="T3",3,IF(AF346="T4",4,IF(AF346="Unassigned",98,99))))))</x:f>
        <x:v>0</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"&amp;U347&amp;"; "&amp;AF347&amp;"; "&amp;AH347&amp;"; "&amp;AI347)</x:f>
        <x:v>proposal.raw.chain; rusted chain lengths; resources; salvaged feedstock; raw material; recovered material; industrial salvage; binding and construction; metal; assembly; proposal; equipment mounting; t0; not applicable; material</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status/completeness",IF(AF347="T0","Raw entry feed; no production route","No production route listed"))</x:f>
        <x:v>Raw entry feed; no production route</x:v>
      </x:c>
      <x:c r="AN347" s="14" t="n">
        <x:f>IF(AF347="T0",0,IF(AF347="T1",1,IF(AF347="T2",2,IF(AF347="T3",3,IF(AF347="T4",4,IF(AF347="Unassigned",98,99))))))</x:f>
        <x:v>0</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"&amp;U348&amp;"; "&amp;AF348&amp;"; "&amp;AH348&amp;"; "&amp;AI348)</x:f>
        <x:v>proposal.raw.brass_scrap; salvaged brass fragments; resources; salvaged feedstock; raw material; recovered material; industrial salvage; metal refining; metal; solid piece; proposal; ; t0; not applicable; material</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status/completeness",IF(AF348="T0","Raw entry feed; no production route","No production route listed"))</x:f>
        <x:v>Raw entry feed; no production route</x:v>
      </x:c>
      <x:c r="AN348" s="14" t="n">
        <x:f>IF(AF348="T0",0,IF(AF348="T1",1,IF(AF348="T2",2,IF(AF348="T3",3,IF(AF348="T4",4,IF(AF348="Unassigned",98,99))))))</x:f>
        <x:v>0</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"&amp;U349&amp;"; "&amp;AF349&amp;"; "&amp;AH349&amp;"; "&amp;AI349)</x:f>
        <x:v>proposal.raw.bronze_scrap; salvaged bronze fragments; resources; salvaged feedstock; raw material; recovered material; industrial salvage; metal refining; metal; solid piece; proposal; ; t0; not applicable; material</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status/completeness",IF(AF349="T0","Raw entry feed; no production route","No production route listed"))</x:f>
        <x:v>Raw entry feed; no production route</x:v>
      </x:c>
      <x:c r="AN349" s="14" t="n">
        <x:f>IF(AF349="T0",0,IF(AF349="T1",1,IF(AF349="T2",2,IF(AF349="T3",3,IF(AF349="T4",4,IF(AF349="Unassigned",98,99))))))</x:f>
        <x:v>0</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"&amp;U350&amp;"; "&amp;AF350&amp;"; "&amp;AH350&amp;"; "&amp;AI350)</x:f>
        <x:v>proposal.raw.hinge_halves; discarded hinge halves; resources; salvaged feedstock; raw material; recovered material; industrial salvage; equipment fabrication; metal; solid part; proposal; equipment repair; t0; not applicable; material</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status/completeness",IF(AF350="T0","Raw entry feed; no production route","No production route listed"))</x:f>
        <x:v>Raw entry feed; no production route</x:v>
      </x:c>
      <x:c r="AN350" s="14" t="n">
        <x:f>IF(AF350="T0",0,IF(AF350="T1",1,IF(AF350="T2",2,IF(AF350="T3",3,IF(AF350="T4",4,IF(AF350="Unassigned",98,99))))))</x:f>
        <x:v>0</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"&amp;U351&amp;"; "&amp;AF351&amp;"; "&amp;AH351&amp;"; "&amp;AI351)</x:f>
        <x:v>proposal.raw.hoop_bands; salvaged metal hoop bands; resources; salvaged feedstock; raw material; recovered material; industrial salvage; equipment mounting; metal; strip; proposal; fabrication; t0; not applicable; material</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status/completeness",IF(AF351="T0","Raw entry feed; no production route","No production route listed"))</x:f>
        <x:v>Raw entry feed; no production route</x:v>
      </x:c>
      <x:c r="AN351" s="14" t="n">
        <x:f>IF(AF351="T0",0,IF(AF351="T1",1,IF(AF351="T2",2,IF(AF351="T3",3,IF(AF351="T4",4,IF(AF351="Unassigned",98,99))))))</x:f>
        <x:v>0</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"&amp;U352&amp;"; "&amp;AF352&amp;"; "&amp;AH352&amp;"; "&amp;AI352)</x:f>
        <x:v>proposal.raw.pipe_sections; old metal pipe sections; resources; salvaged feedstock; raw material; recovered material; industrial salvage; fabrication; metal; solid piece; proposal; ; t0; not applicable; material</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status/completeness",IF(AF352="T0","Raw entry feed; no production route","No production route listed"))</x:f>
        <x:v>Raw entry feed; no production route</x:v>
      </x:c>
      <x:c r="AN352" s="14" t="n">
        <x:f>IF(AF352="T0",0,IF(AF352="T1",1,IF(AF352="T2",2,IF(AF352="T3",3,IF(AF352="T4",4,IF(AF352="Unassigned",98,99))))))</x:f>
        <x:v>0</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"&amp;U353&amp;"; "&amp;AF353&amp;"; "&amp;AH353&amp;"; "&amp;AI353)</x:f>
        <x:v>proposal.raw.coated_sheet; coated sheet-metal scrap; resources; salvaged feedstock; raw material; recovered material; industrial salvage; fabrication; metal; sheet; proposal; ; t0; not applicable; material</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status/completeness",IF(AF353="T0","Raw entry feed; no production route","No production route listed"))</x:f>
        <x:v>Raw entry feed; no production route</x:v>
      </x:c>
      <x:c r="AN353" s="14" t="n">
        <x:f>IF(AF353="T0",0,IF(AF353="T1",1,IF(AF353="T2",2,IF(AF353="T3",3,IF(AF353="T4",4,IF(AF353="Unassigned",98,99))))))</x:f>
        <x:v>0</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"&amp;U354&amp;"; "&amp;AF354&amp;"; "&amp;AH354&amp;"; "&amp;AI354)</x:f>
        <x:v>proposal.raw.bent_fasteners; bent nails and rivets; resources; salvaged feedstock; raw material; recovered material; industrial salvage; metal refining; metal; solid piece; proposal; equipment fabrication; t0; not applicable; material</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status/completeness",IF(AF354="T0","Raw entry feed; no production route","No production route listed"))</x:f>
        <x:v>Raw entry feed; no production route</x:v>
      </x:c>
      <x:c r="AN354" s="14" t="n">
        <x:f>IF(AF354="T0",0,IF(AF354="T1",1,IF(AF354="T2",2,IF(AF354="T3",3,IF(AF354="T4",4,IF(AF354="Unassigned",98,99))))))</x:f>
        <x:v>0</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"&amp;U355&amp;"; "&amp;AF355&amp;"; "&amp;AH355&amp;"; "&amp;AI355)</x:f>
        <x:v>proposal.raw.furnace_ash; coarse furnace ash; resources; salvaged feedstock; raw material; recovered material; industrial salvage; chemical processing; mixed / unresolved; particles; proposal; ; t0; not applicable; material</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status/completeness",IF(AF355="T0","Raw entry feed; no production route","No production route listed"))</x:f>
        <x:v>Raw entry feed; no production route</x:v>
      </x:c>
      <x:c r="AN355" s="14" t="n">
        <x:f>IF(AF355="T0",0,IF(AF355="T1",1,IF(AF355="T2",2,IF(AF355="T3",3,IF(AF355="T4",4,IF(AF355="Unassigned",98,99))))))</x:f>
        <x:v>0</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"&amp;U356&amp;"; "&amp;AF356&amp;"; "&amp;AH356&amp;"; "&amp;AI356)</x:f>
        <x:v>proposal.raw.abrasive_fragments; broken abrasive-wheel fragments; resources; salvaged feedstock; raw material; recovered material; industrial salvage; surface finishing; mixed / unresolved; solid piece; proposal; ; t0; not applicable; material</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status/completeness",IF(AF356="T0","Raw entry feed; no production route","No production route listed"))</x:f>
        <x:v>Raw entry feed; no production route</x:v>
      </x:c>
      <x:c r="AN356" s="14" t="n">
        <x:f>IF(AF356="T0",0,IF(AF356="T1",1,IF(AF356="T2",2,IF(AF356="T3",3,IF(AF356="T4",4,IF(AF356="Unassigned",98,99))))))</x:f>
        <x:v>0</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"&amp;U357&amp;"; "&amp;AF357&amp;"; "&amp;AH357&amp;"; "&amp;AI357)</x:f>
        <x:v>proposal.raw.magnet_fragments; broken magnet fragments; resources; salvaged feedstock; raw material; recovered material; industrial salvage; magnetic tools; mixed / unresolved; solid piece; proposal; work holding; t0; not applicable; material</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status/completeness",IF(AF357="T0","Raw entry feed; no production route","No production route listed"))</x:f>
        <x:v>Raw entry feed; no production route</x:v>
      </x:c>
      <x:c r="AN357" s="14" t="n">
        <x:f>IF(AF357="T0",0,IF(AF357="T1",1,IF(AF357="T2",2,IF(AF357="T3",3,IF(AF357="T4",4,IF(AF357="Unassigned",98,99))))))</x:f>
        <x:v>0</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"&amp;U358&amp;"; "&amp;AF358&amp;"; "&amp;AH358&amp;"; "&amp;AI358)</x:f>
        <x:v>proposal.raw.punching_offcuts; metal punching offcuts; resources; salvaged feedstock; raw material; recovered material; industrial salvage; equipment fabrication; metal; solid piece; proposal; ; t0; not applicable; material</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status/completeness",IF(AF358="T0","Raw entry feed; no production route","No production route listed"))</x:f>
        <x:v>Raw entry feed; no production route</x:v>
      </x:c>
      <x:c r="AN358" s="14" t="n">
        <x:f>IF(AF358="T0",0,IF(AF358="T1",1,IF(AF358="T2",2,IF(AF358="T3",3,IF(AF358="T4",4,IF(AF358="Unassigned",98,99))))))</x:f>
        <x:v>0</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"&amp;U359&amp;"; "&amp;AF359&amp;"; "&amp;AH359&amp;"; "&amp;AI359)</x:f>
        <x:v>proposal.t1.iron_bloom; smelted iron bloom; resources; tier 1 material concept; processed material; processed intermediate; geological; metal refining; metal; solid piece; proposal; fabrication; t1; not applicable; material</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2</x:v>
      </x:c>
      <x:c r="AL359" s="4" t="n">
        <x:f>COUNTIFS('Material routes'!$D$6:$D$1005,A359,'Material routes'!$C$6:$C$1005,"Tool candidate")</x:f>
        <x:v>0</x:v>
      </x:c>
      <x:c r="AM359" s="4" t="str">
        <x:f>IF(AJ359&gt;0,"Route listed; review status/completeness",IF(AF359="T0","Raw entry feed; no production route","No production route listed"))</x:f>
        <x:v>Route listed; review status/completeness</x:v>
      </x:c>
      <x:c r="AN359" s="14" t="n">
        <x:f>IF(AF359="T0",0,IF(AF359="T1",1,IF(AF359="T2",2,IF(AF359="T3",3,IF(AF359="T4",4,IF(AF359="Unassigned",98,99))))))</x:f>
        <x:v>1</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"&amp;U360&amp;"; "&amp;AF360&amp;"; "&amp;AH360&amp;"; "&amp;AI360)</x:f>
        <x:v>proposal.t1.copper_cake; refined copper cake; resources; tier 1 material concept; processed material; processed intermediate; geological; electrical conduction; metal; solid piece; proposal; fabrication; t1; not applicable; material</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1</x:v>
      </x:c>
      <x:c r="AL360" s="4" t="n">
        <x:f>COUNTIFS('Material routes'!$D$6:$D$1005,A360,'Material routes'!$C$6:$C$1005,"Tool candidate")</x:f>
        <x:v>0</x:v>
      </x:c>
      <x:c r="AM360" s="4" t="str">
        <x:f>IF(AJ360&gt;0,"Route listed; review status/completeness",IF(AF360="T0","Raw entry feed; no production route","No production route listed"))</x:f>
        <x:v>Route listed; review status/completeness</x:v>
      </x:c>
      <x:c r="AN360" s="14" t="n">
        <x:f>IF(AF360="T0",0,IF(AF360="T1",1,IF(AF360="T2",2,IF(AF360="T3",3,IF(AF360="T4",4,IF(AF360="Unassigned",98,99))))))</x:f>
        <x:v>1</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"&amp;U361&amp;"; "&amp;AF361&amp;"; "&amp;AH361&amp;"; "&amp;AI361)</x:f>
        <x:v>proposal.t1.brass_billet; reclaimed brass billet; resources; tier 1 material concept; processed material; processed intermediate; industrial salvage; fabrication; metal; solid piece; proposal; ; t1; not applicable; material</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status/completeness",IF(AF361="T0","Raw entry feed; no production route","No production route listed"))</x:f>
        <x:v>Route listed; review status/completeness</x:v>
      </x:c>
      <x:c r="AN361" s="14" t="n">
        <x:f>IF(AF361="T0",0,IF(AF361="T1",1,IF(AF361="T2",2,IF(AF361="T3",3,IF(AF361="T4",4,IF(AF361="Unassigned",98,99))))))</x:f>
        <x:v>1</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"&amp;U362&amp;"; "&amp;AF362&amp;"; "&amp;AH362&amp;"; "&amp;AI362)</x:f>
        <x:v>proposal.t1.bronze_billet; reclaimed bronze billet; resources; tier 1 material concept; processed material; processed intermediate; industrial salvage; fabrication; metal; solid piece; proposal; ; t1; not applicable; material</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1</x:v>
      </x:c>
      <x:c r="AL362" s="4" t="n">
        <x:f>COUNTIFS('Material routes'!$D$6:$D$1005,A362,'Material routes'!$C$6:$C$1005,"Tool candidate")</x:f>
        <x:v>0</x:v>
      </x:c>
      <x:c r="AM362" s="4" t="str">
        <x:f>IF(AJ362&gt;0,"Route listed; review status/completeness",IF(AF362="T0","Raw entry feed; no production route","No production route listed"))</x:f>
        <x:v>Route listed; review status/completeness</x:v>
      </x:c>
      <x:c r="AN362" s="14" t="n">
        <x:f>IF(AF362="T0",0,IF(AF362="T1",1,IF(AF362="T2",2,IF(AF362="T3",3,IF(AF362="T4",4,IF(AF362="Unassigned",98,99))))))</x:f>
        <x:v>1</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"&amp;U363&amp;"; "&amp;AF363&amp;"; "&amp;AH363&amp;"; "&amp;AI363)</x:f>
        <x:v>proposal.t1.opaque_glass; opaque mineral-glass stock; resources; tier 1 material concept; processed material; processed intermediate; geological; glass and ceramics; glass; solid piece; proposal; fabrication; t1; not applicable; material</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1</x:v>
      </x:c>
      <x:c r="AL363" s="4" t="n">
        <x:f>COUNTIFS('Material routes'!$D$6:$D$1005,A363,'Material routes'!$C$6:$C$1005,"Tool candidate")</x:f>
        <x:v>0</x:v>
      </x:c>
      <x:c r="AM363" s="4" t="str">
        <x:f>IF(AJ363&gt;0,"Route listed; review status/completeness",IF(AF363="T0","Raw entry feed; no production route","No production route listed"))</x:f>
        <x:v>Route listed; review status/completeness</x:v>
      </x:c>
      <x:c r="AN363" s="14" t="n">
        <x:f>IF(AF363="T0",0,IF(AF363="T1",1,IF(AF363="T2",2,IF(AF363="T3",3,IF(AF363="T4",4,IF(AF363="Unassigned",98,99))))))</x:f>
        <x:v>1</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"&amp;U364&amp;"; "&amp;AF364&amp;"; "&amp;AH364&amp;"; "&amp;AI364)</x:f>
        <x:v>proposal.t1.clear_glass_blank; rough clear-glass blank; resources; tier 1 material concept; processed material; processed intermediate; geological; inspection; glass; solid piece; proposal; glass and ceramics; t1; not applicable; material</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1</x:v>
      </x:c>
      <x:c r="AL364" s="4" t="n">
        <x:f>COUNTIFS('Material routes'!$D$6:$D$1005,A364,'Material routes'!$C$6:$C$1005,"Tool candidate")</x:f>
        <x:v>0</x:v>
      </x:c>
      <x:c r="AM364" s="4" t="str">
        <x:f>IF(AJ364&gt;0,"Route listed; review status/completeness",IF(AF364="T0","Raw entry feed; no production route","No production route listed"))</x:f>
        <x:v>Route listed; review status/completeness</x:v>
      </x:c>
      <x:c r="AN364" s="14" t="n">
        <x:f>IF(AF364="T0",0,IF(AF364="T1",1,IF(AF364="T2",2,IF(AF364="T3",3,IF(AF364="T4",4,IF(AF364="Unassigned",98,99))))))</x:f>
        <x:v>1</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"&amp;U365&amp;"; "&amp;AF365&amp;"; "&amp;AH365&amp;"; "&amp;AI365)</x:f>
        <x:v>proposal.t1.dressed_stone; dressed building-stone stock; resources; tier 1 material concept; processed material; processed intermediate; geological; binding and construction; mineral; solid piece; proposal; fabrication; t1; not applicable; material</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status/completeness",IF(AF365="T0","Raw entry feed; no production route","No production route listed"))</x:f>
        <x:v>Route listed; review status/completeness</x:v>
      </x:c>
      <x:c r="AN365" s="14" t="n">
        <x:f>IF(AF365="T0",0,IF(AF365="T1",1,IF(AF365="T2",2,IF(AF365="T3",3,IF(AF365="T4",4,IF(AF365="Unassigned",98,99))))))</x:f>
        <x:v>1</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"&amp;U366&amp;"; "&amp;AF366&amp;"; "&amp;AH366&amp;"; "&amp;AI366)</x:f>
        <x:v>proposal.t1.resonant_blank; selected resonant-stone blank; resources; tier 1 material concept; processed material; processed intermediate; geological; music; mineral; solid piece; proposal; fabrication; t1; not applicable; material</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1</x:v>
      </x:c>
      <x:c r="AL366" s="4" t="n">
        <x:f>COUNTIFS('Material routes'!$D$6:$D$1005,A366,'Material routes'!$C$6:$C$1005,"Tool candidate")</x:f>
        <x:v>0</x:v>
      </x:c>
      <x:c r="AM366" s="4" t="str">
        <x:f>IF(AJ366&gt;0,"Route listed; review status/completeness",IF(AF366="T0","Raw entry feed; no production route","No production route listed"))</x:f>
        <x:v>Route listed; review status/completeness</x:v>
      </x:c>
      <x:c r="AN366" s="14" t="n">
        <x:f>IF(AF366="T0",0,IF(AF366="T1",1,IF(AF366="T2",2,IF(AF366="T3",3,IF(AF366="T4",4,IF(AF366="Unassigned",98,99))))))</x:f>
        <x:v>1</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"&amp;U367&amp;"; "&amp;AF367&amp;"; "&amp;AH367&amp;"; "&amp;AI367)</x:f>
        <x:v>proposal.t1.pigment_powder; prepared mineral pigment powder; resources; tier 1 material concept; processed material; processed intermediate; geological; decoration; mineral; particles; proposal; writing and records; t1; not applicable; material</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1</x:v>
      </x:c>
      <x:c r="AL367" s="4" t="n">
        <x:f>COUNTIFS('Material routes'!$D$6:$D$1005,A367,'Material routes'!$C$6:$C$1005,"Tool candidate")</x:f>
        <x:v>0</x:v>
      </x:c>
      <x:c r="AM367" s="4" t="str">
        <x:f>IF(AJ367&gt;0,"Route listed; review status/completeness",IF(AF367="T0","Raw entry feed; no production route","No production route listed"))</x:f>
        <x:v>Route listed; review status/completeness</x:v>
      </x:c>
      <x:c r="AN367" s="14" t="n">
        <x:f>IF(AF367="T0",0,IF(AF367="T1",1,IF(AF367="T2",2,IF(AF367="T3",3,IF(AF367="T4",4,IF(AF367="Unassigned",98,99))))))</x:f>
        <x:v>1</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"&amp;U368&amp;"; "&amp;AF368&amp;"; "&amp;AH368&amp;"; "&amp;AI368)</x:f>
        <x:v>proposal.t1.mineral_filler; graded mineral filler; resources; tier 1 material concept; processed material; processed intermediate; geological; binding and construction; mineral; particles; proposal; fabrication; t1; not applicable; material</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2</x:v>
      </x:c>
      <x:c r="AL368" s="4" t="n">
        <x:f>COUNTIFS('Material routes'!$D$6:$D$1005,A368,'Material routes'!$C$6:$C$1005,"Tool candidate")</x:f>
        <x:v>0</x:v>
      </x:c>
      <x:c r="AM368" s="4" t="str">
        <x:f>IF(AJ368&gt;0,"Route listed; review status/completeness",IF(AF368="T0","Raw entry feed; no production route","No production route listed"))</x:f>
        <x:v>Route listed; review status/completeness</x:v>
      </x:c>
      <x:c r="AN368" s="14" t="n">
        <x:f>IF(AF368="T0",0,IF(AF368="T1",1,IF(AF368="T2",2,IF(AF368="T3",3,IF(AF368="T4",4,IF(AF368="Unassigned",98,99))))))</x:f>
        <x:v>1</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"&amp;U369&amp;"; "&amp;AF369&amp;"; "&amp;AH369&amp;"; "&amp;AI369)</x:f>
        <x:v>proposal.t1.glass_feed; sorted glass remelt feed; resources; tier 1 material concept; processed material; processed intermediate; industrial salvage; glass and ceramics; glass; particles; proposal; ; t1; not applicable; material</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status/completeness",IF(AF369="T0","Raw entry feed; no production route","No production route listed"))</x:f>
        <x:v>Route listed; review status/completeness</x:v>
      </x:c>
      <x:c r="AN369" s="14" t="n">
        <x:f>IF(AF369="T0",0,IF(AF369="T1",1,IF(AF369="T2",2,IF(AF369="T3",3,IF(AF369="T4",4,IF(AF369="Unassigned",98,99))))))</x:f>
        <x:v>1</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"&amp;U370&amp;"; "&amp;AF370&amp;"; "&amp;AH370&amp;"; "&amp;AI370)</x:f>
        <x:v>proposal.t1.mica_flakes; separated mica flake grade; resources; tier 1 material concept; processed material; processed intermediate; geological; fabrication; mineral; particles; proposal; decoration; t1; not applicable; material</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1</x:v>
      </x:c>
      <x:c r="AL370" s="4" t="n">
        <x:f>COUNTIFS('Material routes'!$D$6:$D$1005,A370,'Material routes'!$C$6:$C$1005,"Tool candidate")</x:f>
        <x:v>0</x:v>
      </x:c>
      <x:c r="AM370" s="4" t="str">
        <x:f>IF(AJ370&gt;0,"Route listed; review status/completeness",IF(AF370="T0","Raw entry feed; no production route","No production route listed"))</x:f>
        <x:v>Route listed; review status/completeness</x:v>
      </x:c>
      <x:c r="AN370" s="14" t="n">
        <x:f>IF(AF370="T0",0,IF(AF370="T1",1,IF(AF370="T2",2,IF(AF370="T3",3,IF(AF370="T4",4,IF(AF370="Unassigned",98,99))))))</x:f>
        <x:v>1</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"&amp;U371&amp;"; "&amp;AF371&amp;"; "&amp;AH371&amp;"; "&amp;AI371)</x:f>
        <x:v>proposal.t1.husk_pulp; prepared husk-fiber pulp; resources; tier 1 material concept; processed material; processed intermediate; fauna; paper making; husk fiber; unresolved; proposal; textile processing; t1; not applicable; material</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status/completeness",IF(AF371="T0","Raw entry feed; no production route","No production route listed"))</x:f>
        <x:v>Route listed; review status/completeness</x:v>
      </x:c>
      <x:c r="AN371" s="14" t="n">
        <x:f>IF(AF371="T0",0,IF(AF371="T1",1,IF(AF371="T2",2,IF(AF371="T3",3,IF(AF371="T4",4,IF(AF371="Unassigned",98,99))))))</x:f>
        <x:v>1</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"&amp;U372&amp;"; "&amp;AF372&amp;"; "&amp;AH372&amp;"; "&amp;AI372)</x:f>
        <x:v>proposal.t1.bristle_bundle; clean graded bristle bundles; resources; tier 1 material concept; processed material; processed intermediate; fauna; dust exclusion; faunal fiber; bundle; proposal; ; t1; not applicable; material</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0</x:v>
      </x:c>
      <x:c r="AL372" s="4" t="n">
        <x:f>COUNTIFS('Material routes'!$D$6:$D$1005,A372,'Material routes'!$C$6:$C$1005,"Tool candidate")</x:f>
        <x:v>0</x:v>
      </x:c>
      <x:c r="AM372" s="4" t="str">
        <x:f>IF(AJ372&gt;0,"Route listed; review status/completeness",IF(AF372="T0","Raw entry feed; no production route","No production route listed"))</x:f>
        <x:v>Route listed; review status/completeness</x:v>
      </x:c>
      <x:c r="AN372" s="14" t="n">
        <x:f>IF(AF372="T0",0,IF(AF372="T1",1,IF(AF372="T2",2,IF(AF372="T3",3,IF(AF372="T4",4,IF(AF372="Unassigned",98,99))))))</x:f>
        <x:v>1</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"&amp;U373&amp;"; "&amp;AF373&amp;"; "&amp;AH373&amp;"; "&amp;AI373)</x:f>
        <x:v>proposal.t1.shell_lamina; separated shell lamina stock; resources; tier 1 material concept; processed material; processed intermediate; fauna; protective fabrication; shell / chitin; sheet; proposal; fabrication; t1; not applicable; material</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status/completeness",IF(AF373="T0","Raw entry feed; no production route","No production route listed"))</x:f>
        <x:v>Route listed; review status/completeness</x:v>
      </x:c>
      <x:c r="AN373" s="14" t="n">
        <x:f>IF(AF373="T0",0,IF(AF373="T1",1,IF(AF373="T2",2,IF(AF373="T3",3,IF(AF373="T4",4,IF(AF373="Unassigned",98,99))))))</x:f>
        <x:v>1</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"&amp;U374&amp;"; "&amp;AF374&amp;"; "&amp;AH374&amp;"; "&amp;AI374)</x:f>
        <x:v>proposal.t1.hardpart_blank; shaped fauna hard-part blanks; resources; tier 1 material concept; processed material; processed intermediate; fauna; tool fabrication; faunal hard tissue; solid piece; proposal; ; t1; not applicable; material</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0</x:v>
      </x:c>
      <x:c r="AL374" s="4" t="n">
        <x:f>COUNTIFS('Material routes'!$D$6:$D$1005,A374,'Material routes'!$C$6:$C$1005,"Tool candidate")</x:f>
        <x:v>0</x:v>
      </x:c>
      <x:c r="AM374" s="4" t="str">
        <x:f>IF(AJ374&gt;0,"Route listed; review status/completeness",IF(AF374="T0","Raw entry feed; no production route","No production route listed"))</x:f>
        <x:v>Route listed; review status/completeness</x:v>
      </x:c>
      <x:c r="AN374" s="14" t="n">
        <x:f>IF(AF374="T0",0,IF(AF374="T1",1,IF(AF374="T2",2,IF(AF374="T3",3,IF(AF374="T4",4,IF(AF374="Unassigned",98,99))))))</x:f>
        <x:v>1</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"&amp;U375&amp;"; "&amp;AF375&amp;"; "&amp;AH375&amp;"; "&amp;AI375)</x:f>
        <x:v>proposal.t1.process_salts; graded process salts; resources; tier 1 material concept; processed material; processed intermediate; geological; chemical processing; mineral; particles; proposal; ; t1; not applicable; material</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1</x:v>
      </x:c>
      <x:c r="AL375" s="4" t="n">
        <x:f>COUNTIFS('Material routes'!$D$6:$D$1005,A375,'Material routes'!$C$6:$C$1005,"Tool candidate")</x:f>
        <x:v>0</x:v>
      </x:c>
      <x:c r="AM375" s="4" t="str">
        <x:f>IF(AJ375&gt;0,"Route listed; review status/completeness",IF(AF375="T0","Raw entry feed; no production route","No production route listed"))</x:f>
        <x:v>Route listed; review status/completeness</x:v>
      </x:c>
      <x:c r="AN375" s="14" t="n">
        <x:f>IF(AF375="T0",0,IF(AF375="T1",1,IF(AF375="T2",2,IF(AF375="T3",3,IF(AF375="T4",4,IF(AF375="Unassigned",98,99))))))</x:f>
        <x:v>1</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"&amp;U376&amp;"; "&amp;AF376&amp;"; "&amp;AH376&amp;"; "&amp;AI376)</x:f>
        <x:v>proposal.t1.faunal_carrier; selected faunal carrier fraction; resources; tier 1 material concept; chemical material; processed intermediate; fauna; chemical processing; biological chemical; liquid; proposal; surface finishing; t1; not applicable; material</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4</x:v>
      </x:c>
      <x:c r="AL376" s="4" t="n">
        <x:f>COUNTIFS('Material routes'!$D$6:$D$1005,A376,'Material routes'!$C$6:$C$1005,"Tool candidate")</x:f>
        <x:v>0</x:v>
      </x:c>
      <x:c r="AM376" s="4" t="str">
        <x:f>IF(AJ376&gt;0,"Route listed; review status/completeness",IF(AF376="T0","Raw entry feed; no production route","No production route listed"))</x:f>
        <x:v>Route listed; review status/completeness</x:v>
      </x:c>
      <x:c r="AN376" s="14" t="n">
        <x:f>IF(AF376="T0",0,IF(AF376="T1",1,IF(AF376="T2",2,IF(AF376="T3",3,IF(AF376="T4",4,IF(AF376="Unassigned",98,99))))))</x:f>
        <x:v>1</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"&amp;U377&amp;"; "&amp;AF377&amp;"; "&amp;AH377&amp;"; "&amp;AI377)</x:f>
        <x:v>proposal.t1.shell_adhesive; prepared shell-binding adhesive; resources; tier 1 material concept; chemical material; processed intermediate; fauna; binding and construction; biological chemical; unresolved; proposal; protective fabrication; t1; not applicable; material</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4</x:v>
      </x:c>
      <x:c r="AL377" s="4" t="n">
        <x:f>COUNTIFS('Material routes'!$D$6:$D$1005,A377,'Material routes'!$C$6:$C$1005,"Tool candidate")</x:f>
        <x:v>0</x:v>
      </x:c>
      <x:c r="AM377" s="4" t="str">
        <x:f>IF(AJ377&gt;0,"Route listed; review status/completeness",IF(AF377="T0","Raw entry feed; no production route","No production route listed"))</x:f>
        <x:v>Route listed; review status/completeness</x:v>
      </x:c>
      <x:c r="AN377" s="14" t="n">
        <x:f>IF(AF377="T0",0,IF(AF377="T1",1,IF(AF377="T2",2,IF(AF377="T3",3,IF(AF377="T4",4,IF(AF377="Unassigned",98,99))))))</x:f>
        <x:v>1</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"&amp;U378&amp;"; "&amp;AF378&amp;"; "&amp;AH378&amp;"; "&amp;AI378)</x:f>
        <x:v>proposal.t1.clot_seal; prepared clot-seal compound; resources; tier 1 material concept; chemical material; processed intermediate; fauna; equipment repair; biological chemical; unresolved; proposal; sealing; t1; not applicable; material</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1</x:v>
      </x:c>
      <x:c r="AL378" s="4" t="n">
        <x:f>COUNTIFS('Material routes'!$D$6:$D$1005,A378,'Material routes'!$C$6:$C$1005,"Tool candidate")</x:f>
        <x:v>0</x:v>
      </x:c>
      <x:c r="AM378" s="4" t="str">
        <x:f>IF(AJ378&gt;0,"Route listed; review status/completeness",IF(AF378="T0","Raw entry feed; no production route","No production route listed"))</x:f>
        <x:v>Route listed; review status/completeness</x:v>
      </x:c>
      <x:c r="AN378" s="14" t="n">
        <x:f>IF(AF378="T0",0,IF(AF378="T1",1,IF(AF378="T2",2,IF(AF378="T3",3,IF(AF378="T4",4,IF(AF378="Unassigned",98,99))))))</x:f>
        <x:v>1</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"&amp;U379&amp;"; "&amp;AF379&amp;"; "&amp;AH379&amp;"; "&amp;AI379)</x:f>
        <x:v>proposal.t1.gem_preform; cut gemstone preform; resources; tier 1 material concept; processed material; processed intermediate; geological; decoration; gemstone; solid piece; proposal; ; t1; not applicable; material</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1</x:v>
      </x:c>
      <x:c r="AL379" s="4" t="n">
        <x:f>COUNTIFS('Material routes'!$D$6:$D$1005,A379,'Material routes'!$C$6:$C$1005,"Tool candidate")</x:f>
        <x:v>0</x:v>
      </x:c>
      <x:c r="AM379" s="4" t="str">
        <x:f>IF(AJ379&gt;0,"Route listed; review status/completeness",IF(AF379="T0","Raw entry feed; no production route","No production route listed"))</x:f>
        <x:v>Route listed; review status/completeness</x:v>
      </x:c>
      <x:c r="AN379" s="14" t="n">
        <x:f>IF(AF379="T0",0,IF(AF379="T1",1,IF(AF379="T2",2,IF(AF379="T3",3,IF(AF379="T4",4,IF(AF379="Unassigned",98,99))))))</x:f>
        <x:v>1</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"&amp;U380&amp;"; "&amp;AF380&amp;"; "&amp;AH380&amp;"; "&amp;AI380)</x:f>
        <x:v>proposal.t1.gem_chips; graded stone inlay chips; resources; tier 1 material concept; processed material; processed intermediate; geological; decoration; gemstone; particles; proposal; ; t1; not applicable; material</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status/completeness",IF(AF380="T0","Raw entry feed; no production route","No production route listed"))</x:f>
        <x:v>Route listed; review status/completeness</x:v>
      </x:c>
      <x:c r="AN380" s="14" t="n">
        <x:f>IF(AF380="T0",0,IF(AF380="T1",1,IF(AF380="T2",2,IF(AF380="T3",3,IF(AF380="T4",4,IF(AF380="Unassigned",98,99))))))</x:f>
        <x:v>1</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"&amp;U381&amp;"; "&amp;AF381&amp;"; "&amp;AH381&amp;"; "&amp;AI381)</x:f>
        <x:v>proposal.t1.shell_inlay; burnished shell inlay scales; resources; tier 1 material concept; processed material; processed intermediate; fauna; decoration; shell / chitin; sheet; proposal; ; t1; not applicable; material</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status/completeness",IF(AF381="T0","Raw entry feed; no production route","No production route listed"))</x:f>
        <x:v>Route listed; review status/completeness</x:v>
      </x:c>
      <x:c r="AN381" s="14" t="n">
        <x:f>IF(AF381="T0",0,IF(AF381="T1",1,IF(AF381="T2",2,IF(AF381="T3",3,IF(AF381="T4",4,IF(AF381="Unassigned",98,99))))))</x:f>
        <x:v>1</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"&amp;U382&amp;"; "&amp;AF382&amp;"; "&amp;AH382&amp;"; "&amp;AI382)</x:f>
        <x:v>proposal.t1.mica_window; sized mica viewing sheet; resources; tier 1 material concept; processed material; processed intermediate; geological; inspection; mineral; sheet; proposal; fabrication; t1; not applicable; material</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status/completeness",IF(AF382="T0","Raw entry feed; no production route","No production route listed"))</x:f>
        <x:v>Route listed; review status/completeness</x:v>
      </x:c>
      <x:c r="AN382" s="14" t="n">
        <x:f>IF(AF382="T0",0,IF(AF382="T1",1,IF(AF382="T2",2,IF(AF382="T3",3,IF(AF382="T4",4,IF(AF382="Unassigned",98,99))))))</x:f>
        <x:v>1</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"&amp;U383&amp;"; "&amp;AF383&amp;";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E383" s="4" t="str">
        <x:v>Existence and machine-tech reverse-engineering origin are author direction. Physical construction and performance remain undefined.</x:v>
      </x:c>
      <x:c r="AF383" s="4" t="str">
        <x:v>Not applicable</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status/completeness",IF(AF383="T0","Raw entry feed; no production route","No production route listed"))</x:f>
        <x:v>No production route listed</x:v>
      </x:c>
      <x:c r="AN383" s="14" t="n">
        <x:f>IF(AF383="T0",0,IF(AF383="T1",1,IF(AF383="T2",2,IF(AF383="T3",3,IF(AF383="T4",4,IF(AF383="Unassigned",98,99))))))</x:f>
        <x:v>99</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"&amp;U384&amp;"; "&amp;AF384&amp;";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E384" s="4" t="str">
        <x:v>Ancient machine-tech family is author direction. Reverse-engineered examples exist in the broader technology tradition; specific reproducible families remain open.</x:v>
      </x:c>
      <x:c r="AF384" s="4" t="str">
        <x:v>Not applicable</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status/completeness",IF(AF384="T0","Raw entry feed; no production route","No production route listed"))</x:f>
        <x:v>No production route listed</x:v>
      </x:c>
      <x:c r="AN384" s="14" t="n">
        <x:f>IF(AF384="T0",0,IF(AF384="T1",1,IF(AF384="T2",2,IF(AF384="T3",3,IF(AF384="T4",4,IF(AF384="Unassigned",98,99))))))</x:f>
        <x:v>99</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"&amp;U385&amp;"; "&amp;AF385&amp;";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E385" s="4" t="str">
        <x:v>Ancient machine-tech family is author direction. Reverse-engineered examples exist in the broader technology tradition; specific reproducible families remain open.</x:v>
      </x:c>
      <x:c r="AF385" s="4" t="str">
        <x:v>Not applicable</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status/completeness",IF(AF385="T0","Raw entry feed; no production route","No production route listed"))</x:f>
        <x:v>No production route listed</x:v>
      </x:c>
      <x:c r="AN385" s="14" t="n">
        <x:f>IF(AF385="T0",0,IF(AF385="T1",1,IF(AF385="T2",2,IF(AF385="T3",3,IF(AF385="T4",4,IF(AF385="Unassigned",98,99))))))</x:f>
        <x:v>99</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"&amp;U386&amp;"; "&amp;AF386&amp;";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E386" s="4" t="str">
        <x:v>Ancient machine-tech family is author direction. Reverse-engineered examples exist in the broader technology tradition; specific reproducible families remain open.</x:v>
      </x:c>
      <x:c r="AF386" s="4" t="str">
        <x:v>Not applicable</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status/completeness",IF(AF386="T0","Raw entry feed; no production route","No production route listed"))</x:f>
        <x:v>No production route listed</x:v>
      </x:c>
      <x:c r="AN386" s="14" t="n">
        <x:f>IF(AF386="T0",0,IF(AF386="T1",1,IF(AF386="T2",2,IF(AF386="T3",3,IF(AF386="T4",4,IF(AF386="Unassigned",98,99))))))</x:f>
        <x:v>99</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"&amp;U387&amp;"; "&amp;AF387&amp;";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E387" s="4" t="str">
        <x:v>Ancient machine-tech family is author direction. Reverse-engineered examples exist in the broader technology tradition; specific reproducible families remain open.</x:v>
      </x:c>
      <x:c r="AF387" s="4" t="str">
        <x:v>Not applicable</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status/completeness",IF(AF387="T0","Raw entry feed; no production route","No production route listed"))</x:f>
        <x:v>No production route listed</x:v>
      </x:c>
      <x:c r="AN387" s="14" t="n">
        <x:f>IF(AF387="T0",0,IF(AF387="T1",1,IF(AF387="T2",2,IF(AF387="T3",3,IF(AF387="T4",4,IF(AF387="Unassigned",98,99))))))</x:f>
        <x:v>99</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"&amp;U388&amp;"; "&amp;AF388&amp;";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E388" s="4" t="str">
        <x:v>Existence and intended function are author direction; construction and technical origin remain unassigned.</x:v>
      </x:c>
      <x:c r="AF388" s="4" t="str">
        <x:v>Not applicable</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status/completeness",IF(AF388="T0","Raw entry feed; no production route","No production route listed"))</x:f>
        <x:v>No production route listed</x:v>
      </x:c>
      <x:c r="AN388" s="14" t="n">
        <x:f>IF(AF388="T0",0,IF(AF388="T1",1,IF(AF388="T2",2,IF(AF388="T3",3,IF(AF388="T4",4,IF(AF388="Unassigned",98,99))))))</x:f>
        <x:v>99</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"&amp;U389&amp;"; "&amp;AF389&amp;";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E389" s="4" t="str">
        <x:v>Existence and intended function are author direction; construction and technical origin remain unassigned.</x:v>
      </x:c>
      <x:c r="AF389" s="4" t="str">
        <x:v>Not applicable</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status/completeness",IF(AF389="T0","Raw entry feed; no production route","No production route listed"))</x:f>
        <x:v>No production route listed</x:v>
      </x:c>
      <x:c r="AN389" s="14" t="n">
        <x:f>IF(AF389="T0",0,IF(AF389="T1",1,IF(AF389="T2",2,IF(AF389="T3",3,IF(AF389="T4",4,IF(AF389="Unassigned",98,99))))))</x:f>
        <x:v>99</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"&amp;U390&amp;"; "&amp;AF390&amp;";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E390" s="4" t="str">
        <x:v>Existence and intended function are author direction; construction and technical origin remain unassigned.</x:v>
      </x:c>
      <x:c r="AF390" s="4" t="str">
        <x:v>Not applicable</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status/completeness",IF(AF390="T0","Raw entry feed; no production route","No production route listed"))</x:f>
        <x:v>No production route listed</x:v>
      </x:c>
      <x:c r="AN390" s="14" t="n">
        <x:f>IF(AF390="T0",0,IF(AF390="T1",1,IF(AF390="T2",2,IF(AF390="T3",3,IF(AF390="T4",4,IF(AF390="Unassigned",98,99))))))</x:f>
        <x:v>99</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"&amp;U391&amp;"; "&amp;AF391&amp;";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E391" s="4" t="str">
        <x:v>Existence and intended function are author direction; construction and technical origin remain unassigned.</x:v>
      </x:c>
      <x:c r="AF391" s="4" t="str">
        <x:v>Not applicable</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status/completeness",IF(AF391="T0","Raw entry feed; no production route","No production route listed"))</x:f>
        <x:v>No production route listed</x:v>
      </x:c>
      <x:c r="AN391" s="14" t="n">
        <x:f>IF(AF391="T0",0,IF(AF391="T1",1,IF(AF391="T2",2,IF(AF391="T3",3,IF(AF391="T4",4,IF(AF391="Unassigned",98,99))))))</x:f>
        <x:v>99</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"&amp;U392&amp;"; "&amp;AF392&amp;";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E392" s="4" t="str">
        <x:v>Existence and intended function are author direction; construction and technical origin remain unassigned.</x:v>
      </x:c>
      <x:c r="AF392" s="4" t="str">
        <x:v>Not applicable</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status/completeness",IF(AF392="T0","Raw entry feed; no production route","No production route listed"))</x:f>
        <x:v>No production route listed</x:v>
      </x:c>
      <x:c r="AN392" s="14" t="n">
        <x:f>IF(AF392="T0",0,IF(AF392="T1",1,IF(AF392="T2",2,IF(AF392="T3",3,IF(AF392="T4",4,IF(AF392="Unassigned",98,99))))))</x:f>
        <x:v>99</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"&amp;U393&amp;"; "&amp;AF393&amp;";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E393" s="4" t="str">
        <x:v>Existence and intended function are author direction; construction and technical origin remain unassigned.</x:v>
      </x:c>
      <x:c r="AF393" s="4" t="str">
        <x:v>Not applicable</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status/completeness",IF(AF393="T0","Raw entry feed; no production route","No production route listed"))</x:f>
        <x:v>No production route listed</x:v>
      </x:c>
      <x:c r="AN393" s="14" t="n">
        <x:f>IF(AF393="T0",0,IF(AF393="T1",1,IF(AF393="T2",2,IF(AF393="T3",3,IF(AF393="T4",4,IF(AF393="Unassigned",98,99))))))</x:f>
        <x:v>99</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"&amp;U394&amp;"; "&amp;AF394&amp;"; "&amp;AH394&amp;"; "&amp;AI394)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 unassigned; not applicable; material</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c r="AI394" s="4" t="str">
        <x:v>Material</x:v>
      </x:c>
      <x:c r="AJ394" s="4" t="n">
        <x:f>COUNTIFS('Material routes'!$D$6:$D$1005,A394,'Material routes'!$C$6:$C$1005,"Output")</x:f>
        <x:v>0</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0</x:v>
      </x:c>
      <x:c r="AL394" s="4" t="n">
        <x:f>COUNTIFS('Material routes'!$D$6:$D$1005,A394,'Material routes'!$C$6:$C$1005,"Tool candidate")</x:f>
        <x:v>0</x:v>
      </x:c>
      <x:c r="AM394" s="4" t="str">
        <x:f>IF(AJ394&gt;0,"Route listed; review status/completeness",IF(AF394="T0","Raw entry feed; no production route","No production route listed"))</x:f>
        <x:v>No production route listed</x:v>
      </x:c>
      <x:c r="AN394" s="14" t="n">
        <x:f>IF(AF394="T0",0,IF(AF394="T1",1,IF(AF394="T2",2,IF(AF394="T3",3,IF(AF394="T4",4,IF(AF394="Unassigned",98,99))))))</x:f>
        <x:v>98</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"&amp;U395&amp;"; "&amp;AF395&amp;";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E395" s="4" t="str">
        <x:v>Existence and intended function are author direction; construction and technical origin remain unassigned.</x:v>
      </x:c>
      <x:c r="AF395" s="4" t="str">
        <x:v>Not applicable</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status/completeness",IF(AF395="T0","Raw entry feed; no production route","No production route listed"))</x:f>
        <x:v>No production route listed</x:v>
      </x:c>
      <x:c r="AN395" s="14" t="n">
        <x:f>IF(AF395="T0",0,IF(AF395="T1",1,IF(AF395="T2",2,IF(AF395="T3",3,IF(AF395="T4",4,IF(AF395="Unassigned",98,99))))))</x:f>
        <x:v>99</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"&amp;U396&amp;"; "&amp;AF396&amp;";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E396" s="4" t="str">
        <x:v>Existence and intended function are author direction; construction and technical origin remain unassigned.</x:v>
      </x:c>
      <x:c r="AF396" s="4" t="str">
        <x:v>Not applicable</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1</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status/completeness",IF(AF396="T0","Raw entry feed; no production route","No production route listed"))</x:f>
        <x:v>Route listed; review status/completeness</x:v>
      </x:c>
      <x:c r="AN396" s="14" t="n">
        <x:f>IF(AF396="T0",0,IF(AF396="T1",1,IF(AF396="T2",2,IF(AF396="T3",3,IF(AF396="T4",4,IF(AF396="Unassigned",98,99))))))</x:f>
        <x:v>99</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"&amp;U397&amp;"; "&amp;AF397&amp;";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E397" s="4" t="str">
        <x:v>Existence and intended function are author direction; construction and technical origin remain unassigned.</x:v>
      </x:c>
      <x:c r="AF397" s="4" t="str">
        <x:v>Not applicable</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status/completeness",IF(AF397="T0","Raw entry feed; no production route","No production route listed"))</x:f>
        <x:v>No production route listed</x:v>
      </x:c>
      <x:c r="AN397" s="14" t="n">
        <x:f>IF(AF397="T0",0,IF(AF397="T1",1,IF(AF397="T2",2,IF(AF397="T3",3,IF(AF397="T4",4,IF(AF397="Unassigned",98,99))))))</x:f>
        <x:v>99</x:v>
      </x:c>
    </x:row>
    <x:row r="398" ht="115" customHeight="1">
      <x:c r="A398" s="9" t="str">
        <x:v>author.forging.hammer</x:v>
      </x:c>
      <x:c r="B398" s="9" t="str">
        <x:v>Forging hammer</x:v>
      </x:c>
      <x:c r="C398" s="9" t="str">
        <x:v>Equipment</x:v>
      </x:c>
      <x:c r="D398" s="9" t="str">
        <x:v>Hand forging tool</x:v>
      </x:c>
      <x:c r="E398" s="9" t="str">
        <x:v>Author-directed concept</x:v>
      </x:c>
      <x:c r="F398" s="9" t="str">
        <x:v>Hand hammer for shaping metal during forging.</x:v>
      </x:c>
      <x:c r="G398" s="9" t="str">
        <x:v>None / workshop tool</x:v>
      </x:c>
      <x:c r="H398" s="9" t="str">
        <x:v>Transport, placement and workshop handling unresolved</x:v>
      </x:c>
      <x:c r="I398" s="13"/>
      <x:c r="J398" s="15"/>
      <x:c r="K398" s="9" t="str">
        <x:v>Manufacture or workshop acquisition unresolved</x:v>
      </x:c>
      <x:c r="L398" s="9" t="str">
        <x:v>Tool materials, construction and ingredient tiers unresolved</x:v>
      </x:c>
      <x:c r="M398" s="9" t="str">
        <x:v>Design item concept; not implemented</x:v>
      </x:c>
      <x:c r="N398" s="9" t="str">
        <x:v>Working material, service temperature, wear and suitability remain undefined; no wood handles or cloth accessories assumed.</x:v>
      </x:c>
      <x:c r="O398" s="17"/>
      <x:c r="P398" s="17"/>
      <x:c r="Q398" s="17"/>
      <x:c r="R398" s="17"/>
      <x:c r="S398" s="17"/>
      <x:c r="T398" s="9" t="str">
        <x:v>No stats, recipe, cost, dimensions or station requirement established. Fixed/mobile workshop use remains open.</x:v>
      </x:c>
      <x:c r="U398" s="11" t="str">
        <x:v>smithing hammer; blacksmith hammer; forge hammer</x:v>
      </x:c>
      <x:c r="V398" s="9" t="str">
        <x:v>Direct author direction, October 14, 2026; Docs/WORLD_BASIS.md#forging-and-workshop-tooling</x:v>
      </x:c>
      <x:c r="W398" s="4" t="str">
        <x:v>Tool</x:v>
      </x:c>
      <x:c r="X398" s="4" t="str">
        <x:v>Finished item</x:v>
      </x:c>
      <x:c r="Y398" s="4" t="str">
        <x:v>Manufactured / unresolved</x:v>
      </x:c>
      <x:c r="Z398" s="4" t="str">
        <x:v>Metal forging</x:v>
      </x:c>
      <x:c r="AA398" s="4" t="str">
        <x:v>Mixed / unresolved</x:v>
      </x:c>
      <x:c r="AB398" s="4" t="str">
        <x:v>Assembly</x:v>
      </x:c>
      <x:c r="AC398" s="4" t="str">
        <x:v>Author direction</x:v>
      </x:c>
      <x:c r="AD398" s="4" t="str">
        <x:f>LOWER(A398&amp;"; "&amp;B398&amp;"; "&amp;C398&amp;"; "&amp;D398&amp;"; "&amp;W398&amp;"; "&amp;X398&amp;"; "&amp;Y398&amp;"; "&amp;Z398&amp;"; "&amp;AA398&amp;"; "&amp;AB398&amp;"; "&amp;AC398&amp;"; "&amp;U398&amp;"; "&amp;AF398&amp;";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E398" s="4" t="str">
        <x:v>Forging hammers and anvils explicitly requested by the author; detailed construction unresolved.</x:v>
      </x:c>
      <x:c r="AF398" s="4" t="str">
        <x:v>Not applicable</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status/completeness",IF(AF398="T0","Raw entry feed; no production route","No production route listed"))</x:f>
        <x:v>Route listed; review status/completeness</x:v>
      </x:c>
      <x:c r="AN398" s="14" t="n">
        <x:f>IF(AF398="T0",0,IF(AF398="T1",1,IF(AF398="T2",2,IF(AF398="T3",3,IF(AF398="T4",4,IF(AF398="Unassigned",98,99))))))</x:f>
        <x:v>99</x:v>
      </x:c>
    </x:row>
    <x:row r="399" ht="115" customHeight="1">
      <x:c r="A399" s="9" t="str">
        <x:v>author.forging.anvil</x:v>
      </x:c>
      <x:c r="B399" s="9" t="str">
        <x:v>Anvil</x:v>
      </x:c>
      <x:c r="C399" s="9" t="str">
        <x:v>Equipment</x:v>
      </x:c>
      <x:c r="D399" s="9" t="str">
        <x:v>Workshop forging fixture</x:v>
      </x:c>
      <x:c r="E399" s="9" t="str">
        <x:v>Author-directed concept</x:v>
      </x:c>
      <x:c r="F399" s="9" t="str">
        <x:v>Working support surface for hammer forging.</x:v>
      </x:c>
      <x:c r="G399" s="9" t="str">
        <x:v>None / workshop tool</x:v>
      </x:c>
      <x:c r="H399" s="9" t="str">
        <x:v>Transport, placement and workshop handling unresolved</x:v>
      </x:c>
      <x:c r="I399" s="13"/>
      <x:c r="J399" s="15"/>
      <x:c r="K399" s="9" t="str">
        <x:v>Manufacture or workshop acquisition unresolved</x:v>
      </x:c>
      <x:c r="L399" s="9" t="str">
        <x:v>Tool materials, construction and ingredient tiers unresolved</x:v>
      </x:c>
      <x:c r="M399" s="9" t="str">
        <x:v>Design item concept; not implemented</x:v>
      </x:c>
      <x:c r="N399" s="9" t="str">
        <x:v>Working material, service temperature, wear and suitability remain undefined; no wood handles or cloth accessories assumed.</x:v>
      </x:c>
      <x:c r="O399" s="17"/>
      <x:c r="P399" s="17"/>
      <x:c r="Q399" s="17"/>
      <x:c r="R399" s="17"/>
      <x:c r="S399" s="17"/>
      <x:c r="T399" s="9" t="str">
        <x:v>No stats, recipe, cost, dimensions or station requirement established. Fixed/mobile workshop use remains open.</x:v>
      </x:c>
      <x:c r="U399" s="11" t="str">
        <x:v>smithing anvil; forging anvil</x:v>
      </x:c>
      <x:c r="V399" s="9" t="str">
        <x:v>Direct author direction, October 14, 2026; Docs/WORLD_BASIS.md#forging-and-workshop-tooling</x:v>
      </x:c>
      <x:c r="W399" s="4" t="str">
        <x:v>Tool</x:v>
      </x:c>
      <x:c r="X399" s="4" t="str">
        <x:v>Finished item</x:v>
      </x:c>
      <x:c r="Y399" s="4" t="str">
        <x:v>Manufactured / unresolved</x:v>
      </x:c>
      <x:c r="Z399" s="4" t="str">
        <x:v>Metal forging</x:v>
      </x:c>
      <x:c r="AA399" s="4" t="str">
        <x:v>Mixed / unresolved</x:v>
      </x:c>
      <x:c r="AB399" s="4" t="str">
        <x:v>Assembly</x:v>
      </x:c>
      <x:c r="AC399" s="4" t="str">
        <x:v>Author direction</x:v>
      </x:c>
      <x:c r="AD399" s="4" t="str">
        <x:f>LOWER(A399&amp;"; "&amp;B399&amp;"; "&amp;C399&amp;"; "&amp;D399&amp;"; "&amp;W399&amp;"; "&amp;X399&amp;"; "&amp;Y399&amp;"; "&amp;Z399&amp;"; "&amp;AA399&amp;"; "&amp;AB399&amp;"; "&amp;AC399&amp;"; "&amp;U399&amp;"; "&amp;AF399&amp;"; "&amp;AH399&amp;"; "&amp;AI399)</x:f>
        <x:v>author.forging.anvil; anvil; equipment; workshop forging fixture; tool; finished item; manufactured / unresolved; metal forging; mixed / unresolved; assembly; author direction; smithing anvil; forging anvil; not applicable; unassigned; finished item</x:v>
      </x:c>
      <x:c r="AE399" s="4" t="str">
        <x:v>Forging hammers and anvils explicitly requested by the author; detailed construction unresolved.</x:v>
      </x:c>
      <x:c r="AF399" s="4" t="str">
        <x:v>Not applicable</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status/completeness",IF(AF399="T0","Raw entry feed; no production route","No production route listed"))</x:f>
        <x:v>No production route listed</x:v>
      </x:c>
      <x:c r="AN399" s="14" t="n">
        <x:f>IF(AF399="T0",0,IF(AF399="T1",1,IF(AF399="T2",2,IF(AF399="T3",3,IF(AF399="T4",4,IF(AF399="Unassigned",98,99))))))</x:f>
        <x:v>99</x:v>
      </x:c>
    </x:row>
    <x:row r="400" ht="115" customHeight="1">
      <x:c r="A400" s="9" t="str">
        <x:v>proposal.forging.tongs</x:v>
      </x:c>
      <x:c r="B400" s="9" t="str">
        <x:v>Smithing tongs</x:v>
      </x:c>
      <x:c r="C400" s="9" t="str">
        <x:v>Equipment</x:v>
      </x:c>
      <x:c r="D400" s="9" t="str">
        <x:v>Hot-work holding tool</x:v>
      </x:c>
      <x:c r="E400" s="9" t="str">
        <x:v>New proposal</x:v>
      </x:c>
      <x:c r="F400" s="9" t="str">
        <x:v>Proposed tool for gripping workshop stock during hot metalwork; separate from existing cooking tongs.</x:v>
      </x:c>
      <x:c r="G400" s="9" t="str">
        <x:v>None / workshop tool</x:v>
      </x:c>
      <x:c r="H400" s="9" t="str">
        <x:v>Transport, placement and workshop handling unresolved</x:v>
      </x:c>
      <x:c r="I400" s="13"/>
      <x:c r="J400" s="15"/>
      <x:c r="K400" s="9" t="str">
        <x:v>Manufacture or workshop acquisition unresolved</x:v>
      </x:c>
      <x:c r="L400" s="9" t="str">
        <x:v>Tool materials, construction and ingredient tiers unresolved</x:v>
      </x:c>
      <x:c r="M400" s="9" t="str">
        <x:v>Design item concept; not implemented</x:v>
      </x:c>
      <x:c r="N400" s="9" t="str">
        <x:v>Working material, service temperature, wear and suitability remain undefined; no wood handles or cloth accessories assumed.</x:v>
      </x:c>
      <x:c r="O400" s="17"/>
      <x:c r="P400" s="17"/>
      <x:c r="Q400" s="17"/>
      <x:c r="R400" s="17"/>
      <x:c r="S400" s="17"/>
      <x:c r="T400" s="9" t="str">
        <x:v>No stats, recipe, cost, dimensions or station requirement established. Fixed/mobile workshop use remains open.</x:v>
      </x:c>
      <x:c r="U400" s="11" t="str">
        <x:v>forge tongs; blacksmith tongs; hot-work tongs</x:v>
      </x:c>
      <x:c r="V400" s="9" t="str">
        <x:v>New supporting-tool brainstorming under the author forging-tool direction; Docs/WORLD_BASIS.md#forging-and-workshop-tooling</x:v>
      </x:c>
      <x:c r="W400" s="4" t="str">
        <x:v>Tool</x:v>
      </x:c>
      <x:c r="X400" s="4" t="str">
        <x:v>Finished item</x:v>
      </x:c>
      <x:c r="Y400" s="4" t="str">
        <x:v>Manufactured / unresolved</x:v>
      </x:c>
      <x:c r="Z400" s="4" t="str">
        <x:v>Work holding</x:v>
      </x:c>
      <x:c r="AA400" s="4" t="str">
        <x:v>Mixed / unresolved</x:v>
      </x:c>
      <x:c r="AB400" s="4" t="str">
        <x:v>Assembly</x:v>
      </x:c>
      <x:c r="AC400" s="4" t="str">
        <x:v>Proposal</x:v>
      </x:c>
      <x:c r="AD400" s="4" t="str">
        <x:f>LOWER(A400&amp;"; "&amp;B400&amp;"; "&amp;C400&amp;"; "&amp;D400&amp;"; "&amp;W400&amp;"; "&amp;X400&amp;"; "&amp;Y400&amp;"; "&amp;Z400&amp;"; "&amp;AA400&amp;"; "&amp;AB400&amp;"; "&amp;AC400&amp;"; "&amp;U400&amp;"; "&amp;AF400&amp;";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E400" s="4" t="str">
        <x:v>Supporting smithing tool proposed for review; not separately established game canon.</x:v>
      </x:c>
      <x:c r="AF400" s="4" t="str">
        <x:v>Not applicable</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status/completeness",IF(AF400="T0","Raw entry feed; no production route","No production route listed"))</x:f>
        <x:v>No production route listed</x:v>
      </x:c>
      <x:c r="AN400" s="14" t="n">
        <x:f>IF(AF400="T0",0,IF(AF400="T1",1,IF(AF400="T2",2,IF(AF400="T3",3,IF(AF400="T4",4,IF(AF400="Unassigned",98,99))))))</x:f>
        <x:v>99</x:v>
      </x:c>
    </x:row>
    <x:row r="401" ht="115" customHeight="1">
      <x:c r="A401" s="9" t="str">
        <x:v>proposal.forging.sledge</x:v>
      </x:c>
      <x:c r="B401" s="9" t="str">
        <x:v>Forging sledge</x:v>
      </x:c>
      <x:c r="C401" s="9" t="str">
        <x:v>Equipment</x:v>
      </x:c>
      <x:c r="D401" s="9" t="str">
        <x:v>Hand forging tool</x:v>
      </x:c>
      <x:c r="E401" s="9" t="str">
        <x:v>New proposal</x:v>
      </x:c>
      <x:c r="F401" s="9" t="str">
        <x:v>Proposed heavier striking tool for larger stock or assisted hammering.</x:v>
      </x:c>
      <x:c r="G401" s="9" t="str">
        <x:v>None / workshop tool</x:v>
      </x:c>
      <x:c r="H401" s="9" t="str">
        <x:v>Transport, placement and workshop handling unresolved</x:v>
      </x:c>
      <x:c r="I401" s="13"/>
      <x:c r="J401" s="15"/>
      <x:c r="K401" s="9" t="str">
        <x:v>Manufacture or workshop acquisition unresolved</x:v>
      </x:c>
      <x:c r="L401" s="9" t="str">
        <x:v>Tool materials, construction and ingredient tiers unresolved</x:v>
      </x:c>
      <x:c r="M401" s="9" t="str">
        <x:v>Design item concept; not implemented</x:v>
      </x:c>
      <x:c r="N401" s="9" t="str">
        <x:v>Working material, service temperature, wear and suitability remain undefined; no wood handles or cloth accessories assumed.</x:v>
      </x:c>
      <x:c r="O401" s="17"/>
      <x:c r="P401" s="17"/>
      <x:c r="Q401" s="17"/>
      <x:c r="R401" s="17"/>
      <x:c r="S401" s="17"/>
      <x:c r="T401" s="9" t="str">
        <x:v>No stats, recipe, cost, dimensions or station requirement established. Fixed/mobile workshop use remains open.</x:v>
      </x:c>
      <x:c r="U401" s="11" t="str">
        <x:v>sledgehammer; striking hammer; forging sledge</x:v>
      </x:c>
      <x:c r="V401" s="9" t="str">
        <x:v>New supporting-tool brainstorming under the author forging-tool direction; Docs/WORLD_BASIS.md#forging-and-workshop-tooling</x:v>
      </x:c>
      <x:c r="W401" s="4" t="str">
        <x:v>Tool</x:v>
      </x:c>
      <x:c r="X401" s="4" t="str">
        <x:v>Finished item</x:v>
      </x:c>
      <x:c r="Y401" s="4" t="str">
        <x:v>Manufactured / unresolved</x:v>
      </x:c>
      <x:c r="Z401" s="4" t="str">
        <x:v>Metal forging</x:v>
      </x:c>
      <x:c r="AA401" s="4" t="str">
        <x:v>Mixed / unresolved</x:v>
      </x:c>
      <x:c r="AB401" s="4" t="str">
        <x:v>Assembly</x:v>
      </x:c>
      <x:c r="AC401" s="4" t="str">
        <x:v>Proposal</x:v>
      </x:c>
      <x:c r="AD401" s="4" t="str">
        <x:f>LOWER(A401&amp;"; "&amp;B401&amp;"; "&amp;C401&amp;"; "&amp;D401&amp;"; "&amp;W401&amp;"; "&amp;X401&amp;"; "&amp;Y401&amp;"; "&amp;Z401&amp;"; "&amp;AA401&amp;"; "&amp;AB401&amp;"; "&amp;AC401&amp;"; "&amp;U401&amp;"; "&amp;AF401&amp;";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E401" s="4" t="str">
        <x:v>Supporting smithing tool proposed for review; not separately established game canon.</x:v>
      </x:c>
      <x:c r="AF401" s="4" t="str">
        <x:v>Not applicable</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status/completeness",IF(AF401="T0","Raw entry feed; no production route","No production route listed"))</x:f>
        <x:v>No production route listed</x:v>
      </x:c>
      <x:c r="AN401" s="14" t="n">
        <x:f>IF(AF401="T0",0,IF(AF401="T1",1,IF(AF401="T2",2,IF(AF401="T3",3,IF(AF401="T4",4,IF(AF401="Unassigned",98,99))))))</x:f>
        <x:v>99</x:v>
      </x:c>
    </x:row>
    <x:row r="402" ht="115" customHeight="1">
      <x:c r="A402" s="9" t="str">
        <x:v>proposal.forging.hot_cut</x:v>
      </x:c>
      <x:c r="B402" s="9" t="str">
        <x:v>Hot-cut chisel</x:v>
      </x:c>
      <x:c r="C402" s="9" t="str">
        <x:v>Equipment</x:v>
      </x:c>
      <x:c r="D402" s="9" t="str">
        <x:v>Metal cutting tool</x:v>
      </x:c>
      <x:c r="E402" s="9" t="str">
        <x:v>New proposal</x:v>
      </x:c>
      <x:c r="F402" s="9" t="str">
        <x:v>Proposed cutting tool for hot metal stock.</x:v>
      </x:c>
      <x:c r="G402" s="9" t="str">
        <x:v>None / workshop tool</x:v>
      </x:c>
      <x:c r="H402" s="9" t="str">
        <x:v>Transport, placement and workshop handling unresolved</x:v>
      </x:c>
      <x:c r="I402" s="13"/>
      <x:c r="J402" s="15"/>
      <x:c r="K402" s="9" t="str">
        <x:v>Manufacture or workshop acquisition unresolved</x:v>
      </x:c>
      <x:c r="L402" s="9" t="str">
        <x:v>Tool materials, construction and ingredient tiers unresolved</x:v>
      </x:c>
      <x:c r="M402" s="9" t="str">
        <x:v>Design item concept; not implemented</x:v>
      </x:c>
      <x:c r="N402" s="9" t="str">
        <x:v>Working material, service temperature, wear and suitability remain undefined; no wood handles or cloth accessories assumed.</x:v>
      </x:c>
      <x:c r="O402" s="17"/>
      <x:c r="P402" s="17"/>
      <x:c r="Q402" s="17"/>
      <x:c r="R402" s="17"/>
      <x:c r="S402" s="17"/>
      <x:c r="T402" s="9" t="str">
        <x:v>No stats, recipe, cost, dimensions or station requirement established. Fixed/mobile workshop use remains open.</x:v>
      </x:c>
      <x:c r="U402" s="11" t="str">
        <x:v>hot chisel; hot cut; forging chisel</x:v>
      </x:c>
      <x:c r="V402" s="9" t="str">
        <x:v>New supporting-tool brainstorming under the author forging-tool direction; Docs/WORLD_BASIS.md#forging-and-workshop-tooling</x:v>
      </x:c>
      <x:c r="W402" s="4" t="str">
        <x:v>Tool</x:v>
      </x:c>
      <x:c r="X402" s="4" t="str">
        <x:v>Finished item</x:v>
      </x:c>
      <x:c r="Y402" s="4" t="str">
        <x:v>Manufactured / unresolved</x:v>
      </x:c>
      <x:c r="Z402" s="4" t="str">
        <x:v>Metal forging</x:v>
      </x:c>
      <x:c r="AA402" s="4" t="str">
        <x:v>Mixed / unresolved</x:v>
      </x:c>
      <x:c r="AB402" s="4" t="str">
        <x:v>Assembly</x:v>
      </x:c>
      <x:c r="AC402" s="4" t="str">
        <x:v>Proposal</x:v>
      </x:c>
      <x:c r="AD402" s="4" t="str">
        <x:f>LOWER(A402&amp;"; "&amp;B402&amp;"; "&amp;C402&amp;"; "&amp;D402&amp;"; "&amp;W402&amp;"; "&amp;X402&amp;"; "&amp;Y402&amp;"; "&amp;Z402&amp;"; "&amp;AA402&amp;"; "&amp;AB402&amp;"; "&amp;AC402&amp;"; "&amp;U402&amp;"; "&amp;AF402&amp;"; "&amp;AH402&amp;"; "&amp;AI402)</x:f>
        <x:v>proposal.forging.hot_cut; hot-cut chisel; equipment; metal cutting tool; tool; finished item; manufactured / unresolved; metal forging; mixed / unresolved; assembly; proposal; hot chisel; hot cut; forging chisel; not applicable; unassigned; finished item</x:v>
      </x:c>
      <x:c r="AE402" s="4" t="str">
        <x:v>Supporting smithing tool proposed for review; not separately established game canon.</x:v>
      </x:c>
      <x:c r="AF402" s="4" t="str">
        <x:v>Not applicable</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status/completeness",IF(AF402="T0","Raw entry feed; no production route","No production route listed"))</x:f>
        <x:v>No production route listed</x:v>
      </x:c>
      <x:c r="AN402" s="14" t="n">
        <x:f>IF(AF402="T0",0,IF(AF402="T1",1,IF(AF402="T2",2,IF(AF402="T3",3,IF(AF402="T4",4,IF(AF402="Unassigned",98,99))))))</x:f>
        <x:v>99</x:v>
      </x:c>
    </x:row>
    <x:row r="403" ht="115" customHeight="1">
      <x:c r="A403" s="9" t="str">
        <x:v>proposal.forging.punch</x:v>
      </x:c>
      <x:c r="B403" s="9" t="str">
        <x:v>Forging punch</x:v>
      </x:c>
      <x:c r="C403" s="9" t="str">
        <x:v>Equipment</x:v>
      </x:c>
      <x:c r="D403" s="9" t="str">
        <x:v>Metal piercing tool</x:v>
      </x:c>
      <x:c r="E403" s="9" t="str">
        <x:v>New proposal</x:v>
      </x:c>
      <x:c r="F403" s="9" t="str">
        <x:v>Proposed piercing tool for holes in workable metal stock.</x:v>
      </x:c>
      <x:c r="G403" s="9" t="str">
        <x:v>None / workshop tool</x:v>
      </x:c>
      <x:c r="H403" s="9" t="str">
        <x:v>Transport, placement and workshop handling unresolved</x:v>
      </x:c>
      <x:c r="I403" s="13"/>
      <x:c r="J403" s="15"/>
      <x:c r="K403" s="9" t="str">
        <x:v>Manufacture or workshop acquisition unresolved</x:v>
      </x:c>
      <x:c r="L403" s="9" t="str">
        <x:v>Tool materials, construction and ingredient tiers unresolved</x:v>
      </x:c>
      <x:c r="M403" s="9" t="str">
        <x:v>Design item concept; not implemented</x:v>
      </x:c>
      <x:c r="N403" s="9" t="str">
        <x:v>Working material, service temperature, wear and suitability remain undefined; no wood handles or cloth accessories assumed.</x:v>
      </x:c>
      <x:c r="O403" s="17"/>
      <x:c r="P403" s="17"/>
      <x:c r="Q403" s="17"/>
      <x:c r="R403" s="17"/>
      <x:c r="S403" s="17"/>
      <x:c r="T403" s="9" t="str">
        <x:v>No stats, recipe, cost, dimensions or station requirement established. Fixed/mobile workshop use remains open.</x:v>
      </x:c>
      <x:c r="U403" s="11" t="str">
        <x:v>smithing punch; hot punch; metal punch</x:v>
      </x:c>
      <x:c r="V403" s="9" t="str">
        <x:v>New supporting-tool brainstorming under the author forging-tool direction; Docs/WORLD_BASIS.md#forging-and-workshop-tooling</x:v>
      </x:c>
      <x:c r="W403" s="4" t="str">
        <x:v>Tool</x:v>
      </x:c>
      <x:c r="X403" s="4" t="str">
        <x:v>Finished item</x:v>
      </x:c>
      <x:c r="Y403" s="4" t="str">
        <x:v>Manufactured / unresolved</x:v>
      </x:c>
      <x:c r="Z403" s="4" t="str">
        <x:v>Metal forging</x:v>
      </x:c>
      <x:c r="AA403" s="4" t="str">
        <x:v>Mixed / unresolved</x:v>
      </x:c>
      <x:c r="AB403" s="4" t="str">
        <x:v>Assembly</x:v>
      </x:c>
      <x:c r="AC403" s="4" t="str">
        <x:v>Proposal</x:v>
      </x:c>
      <x:c r="AD403" s="4" t="str">
        <x:f>LOWER(A403&amp;"; "&amp;B403&amp;"; "&amp;C403&amp;"; "&amp;D403&amp;"; "&amp;W403&amp;"; "&amp;X403&amp;"; "&amp;Y403&amp;"; "&amp;Z403&amp;"; "&amp;AA403&amp;"; "&amp;AB403&amp;"; "&amp;AC403&amp;"; "&amp;U403&amp;"; "&amp;AF403&amp;"; "&amp;AH403&amp;"; "&amp;AI403)</x:f>
        <x:v>proposal.forging.punch; forging punch; equipment; metal piercing tool; tool; finished item; manufactured / unresolved; metal forging; mixed / unresolved; assembly; proposal; smithing punch; hot punch; metal punch; not applicable; unassigned; finished item</x:v>
      </x:c>
      <x:c r="AE403" s="4" t="str">
        <x:v>Supporting smithing tool proposed for review; not separately established game canon.</x:v>
      </x:c>
      <x:c r="AF403" s="4" t="str">
        <x:v>Not applicable</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status/completeness",IF(AF403="T0","Raw entry feed; no production route","No production route listed"))</x:f>
        <x:v>No production route listed</x:v>
      </x:c>
      <x:c r="AN403" s="14" t="n">
        <x:f>IF(AF403="T0",0,IF(AF403="T1",1,IF(AF403="T2",2,IF(AF403="T3",3,IF(AF403="T4",4,IF(AF403="Unassigned",98,99))))))</x:f>
        <x:v>99</x:v>
      </x:c>
    </x:row>
    <x:row r="404" ht="115" customHeight="1">
      <x:c r="A404" s="9" t="str">
        <x:v>proposal.forging.drift</x:v>
      </x:c>
      <x:c r="B404" s="9" t="str">
        <x:v>Forming drift</x:v>
      </x:c>
      <x:c r="C404" s="9" t="str">
        <x:v>Equipment</x:v>
      </x:c>
      <x:c r="D404" s="9" t="str">
        <x:v>Metal shaping tool</x:v>
      </x:c>
      <x:c r="E404" s="9" t="str">
        <x:v>New proposal</x:v>
      </x:c>
      <x:c r="F404" s="9" t="str">
        <x:v>Proposed tool for shaping or sizing a previously opened hole.</x:v>
      </x:c>
      <x:c r="G404" s="9" t="str">
        <x:v>None / workshop tool</x:v>
      </x:c>
      <x:c r="H404" s="9" t="str">
        <x:v>Transport, placement and workshop handling unresolved</x:v>
      </x:c>
      <x:c r="I404" s="13"/>
      <x:c r="J404" s="15"/>
      <x:c r="K404" s="9" t="str">
        <x:v>Manufacture or workshop acquisition unresolved</x:v>
      </x:c>
      <x:c r="L404" s="9" t="str">
        <x:v>Tool materials, construction and ingredient tiers unresolved</x:v>
      </x:c>
      <x:c r="M404" s="9" t="str">
        <x:v>Design item concept; not implemented</x:v>
      </x:c>
      <x:c r="N404" s="9" t="str">
        <x:v>Working material, service temperature, wear and suitability remain undefined; no wood handles or cloth accessories assumed.</x:v>
      </x:c>
      <x:c r="O404" s="17"/>
      <x:c r="P404" s="17"/>
      <x:c r="Q404" s="17"/>
      <x:c r="R404" s="17"/>
      <x:c r="S404" s="17"/>
      <x:c r="T404" s="9" t="str">
        <x:v>No stats, recipe, cost, dimensions or station requirement established. Fixed/mobile workshop use remains open.</x:v>
      </x:c>
      <x:c r="U404" s="11" t="str">
        <x:v>smithing drift; forging drift; hole forming tool</x:v>
      </x:c>
      <x:c r="V404" s="9" t="str">
        <x:v>New supporting-tool brainstorming under the author forging-tool direction; Docs/WORLD_BASIS.md#forging-and-workshop-tooling</x:v>
      </x:c>
      <x:c r="W404" s="4" t="str">
        <x:v>Tool</x:v>
      </x:c>
      <x:c r="X404" s="4" t="str">
        <x:v>Finished item</x:v>
      </x:c>
      <x:c r="Y404" s="4" t="str">
        <x:v>Manufactured / unresolved</x:v>
      </x:c>
      <x:c r="Z404" s="4" t="str">
        <x:v>Metal forging</x:v>
      </x:c>
      <x:c r="AA404" s="4" t="str">
        <x:v>Mixed / unresolved</x:v>
      </x:c>
      <x:c r="AB404" s="4" t="str">
        <x:v>Assembly</x:v>
      </x:c>
      <x:c r="AC404" s="4" t="str">
        <x:v>Proposal</x:v>
      </x:c>
      <x:c r="AD404" s="4" t="str">
        <x:f>LOWER(A404&amp;"; "&amp;B404&amp;"; "&amp;C404&amp;"; "&amp;D404&amp;"; "&amp;W404&amp;"; "&amp;X404&amp;"; "&amp;Y404&amp;"; "&amp;Z404&amp;"; "&amp;AA404&amp;"; "&amp;AB404&amp;"; "&amp;AC404&amp;"; "&amp;U404&amp;"; "&amp;AF404&amp;";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E404" s="4" t="str">
        <x:v>Supporting smithing tool proposed for review; not separately established game canon.</x:v>
      </x:c>
      <x:c r="AF404" s="4" t="str">
        <x:v>Not applicable</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status/completeness",IF(AF404="T0","Raw entry feed; no production route","No production route listed"))</x:f>
        <x:v>No production route listed</x:v>
      </x:c>
      <x:c r="AN404" s="14" t="n">
        <x:f>IF(AF404="T0",0,IF(AF404="T1",1,IF(AF404="T2",2,IF(AF404="T3",3,IF(AF404="T4",4,IF(AF404="Unassigned",98,99))))))</x:f>
        <x:v>99</x:v>
      </x:c>
    </x:row>
    <x:row r="405" ht="115" customHeight="1">
      <x:c r="A405" s="9" t="str">
        <x:v>proposal.forging.swage_block</x:v>
      </x:c>
      <x:c r="B405" s="9" t="str">
        <x:v>Swage block</x:v>
      </x:c>
      <x:c r="C405" s="9" t="str">
        <x:v>Equipment</x:v>
      </x:c>
      <x:c r="D405" s="9" t="str">
        <x:v>Workshop forming fixture</x:v>
      </x:c>
      <x:c r="E405" s="9" t="str">
        <x:v>New proposal</x:v>
      </x:c>
      <x:c r="F405" s="9" t="str">
        <x:v>Proposed shaped support block for working repeated sections or contours.</x:v>
      </x:c>
      <x:c r="G405" s="9" t="str">
        <x:v>None / workshop tool</x:v>
      </x:c>
      <x:c r="H405" s="9" t="str">
        <x:v>Transport, placement and workshop handling unresolved</x:v>
      </x:c>
      <x:c r="I405" s="13"/>
      <x:c r="J405" s="15"/>
      <x:c r="K405" s="9" t="str">
        <x:v>Manufacture or workshop acquisition unresolved</x:v>
      </x:c>
      <x:c r="L405" s="9" t="str">
        <x:v>Tool materials, construction and ingredient tiers unresolved</x:v>
      </x:c>
      <x:c r="M405" s="9" t="str">
        <x:v>Design item concept; not implemented</x:v>
      </x:c>
      <x:c r="N405" s="9" t="str">
        <x:v>Working material, service temperature, wear and suitability remain undefined; no wood handles or cloth accessories assumed.</x:v>
      </x:c>
      <x:c r="O405" s="17"/>
      <x:c r="P405" s="17"/>
      <x:c r="Q405" s="17"/>
      <x:c r="R405" s="17"/>
      <x:c r="S405" s="17"/>
      <x:c r="T405" s="9" t="str">
        <x:v>No stats, recipe, cost, dimensions or station requirement established. Fixed/mobile workshop use remains open.</x:v>
      </x:c>
      <x:c r="U405" s="11" t="str">
        <x:v>forming block; smithing swage; swage block</x:v>
      </x:c>
      <x:c r="V405" s="9" t="str">
        <x:v>New supporting-tool brainstorming under the author forging-tool direction; Docs/WORLD_BASIS.md#forging-and-workshop-tooling</x:v>
      </x:c>
      <x:c r="W405" s="4" t="str">
        <x:v>Tool</x:v>
      </x:c>
      <x:c r="X405" s="4" t="str">
        <x:v>Finished item</x:v>
      </x:c>
      <x:c r="Y405" s="4" t="str">
        <x:v>Manufactured / unresolved</x:v>
      </x:c>
      <x:c r="Z405" s="4" t="str">
        <x:v>Metal forging</x:v>
      </x:c>
      <x:c r="AA405" s="4" t="str">
        <x:v>Mixed / unresolved</x:v>
      </x:c>
      <x:c r="AB405" s="4" t="str">
        <x:v>Assembly</x:v>
      </x:c>
      <x:c r="AC405" s="4" t="str">
        <x:v>Proposal</x:v>
      </x:c>
      <x:c r="AD405" s="4" t="str">
        <x:f>LOWER(A405&amp;"; "&amp;B405&amp;"; "&amp;C405&amp;"; "&amp;D405&amp;"; "&amp;W405&amp;"; "&amp;X405&amp;"; "&amp;Y405&amp;"; "&amp;Z405&amp;"; "&amp;AA405&amp;"; "&amp;AB405&amp;"; "&amp;AC405&amp;"; "&amp;U405&amp;"; "&amp;AF405&amp;";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E405" s="4" t="str">
        <x:v>Supporting smithing tool proposed for review; not separately established game canon.</x:v>
      </x:c>
      <x:c r="AF405" s="4" t="str">
        <x:v>Not applicable</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status/completeness",IF(AF405="T0","Raw entry feed; no production route","No production route listed"))</x:f>
        <x:v>No production route listed</x:v>
      </x:c>
      <x:c r="AN405" s="14" t="n">
        <x:f>IF(AF405="T0",0,IF(AF405="T1",1,IF(AF405="T2",2,IF(AF405="T3",3,IF(AF405="T4",4,IF(AF405="Unassigned",98,99))))))</x:f>
        <x:v>99</x:v>
      </x:c>
    </x:row>
    <x:row r="406" ht="115" customHeight="1">
      <x:c r="A406" s="9" t="str">
        <x:v>proposal.forging.file</x:v>
      </x:c>
      <x:c r="B406" s="9" t="str">
        <x:v>Metalworking file</x:v>
      </x:c>
      <x:c r="C406" s="9" t="str">
        <x:v>Equipment</x:v>
      </x:c>
      <x:c r="D406" s="9" t="str">
        <x:v>Metal finishing tool</x:v>
      </x:c>
      <x:c r="E406" s="9" t="str">
        <x:v>New proposal</x:v>
      </x:c>
      <x:c r="F406" s="9" t="str">
        <x:v>Proposed hand tool for controlled fitting and surface finishing of metal parts.</x:v>
      </x:c>
      <x:c r="G406" s="9" t="str">
        <x:v>None / workshop tool</x:v>
      </x:c>
      <x:c r="H406" s="9" t="str">
        <x:v>Transport, placement and workshop handling unresolved</x:v>
      </x:c>
      <x:c r="I406" s="13"/>
      <x:c r="J406" s="15"/>
      <x:c r="K406" s="9" t="str">
        <x:v>Manufacture or workshop acquisition unresolved</x:v>
      </x:c>
      <x:c r="L406" s="9" t="str">
        <x:v>Tool materials, construction and ingredient tiers unresolved</x:v>
      </x:c>
      <x:c r="M406" s="9" t="str">
        <x:v>Design item concept; not implemented</x:v>
      </x:c>
      <x:c r="N406" s="9" t="str">
        <x:v>Working material, service temperature, wear and suitability remain undefined; no wood handles or cloth accessories assumed.</x:v>
      </x:c>
      <x:c r="O406" s="17"/>
      <x:c r="P406" s="17"/>
      <x:c r="Q406" s="17"/>
      <x:c r="R406" s="17"/>
      <x:c r="S406" s="17"/>
      <x:c r="T406" s="9" t="str">
        <x:v>No stats, recipe, cost, dimensions or station requirement established. Fixed/mobile workshop use remains open.</x:v>
      </x:c>
      <x:c r="U406" s="11" t="str">
        <x:v>metal file; smithing file; finishing file</x:v>
      </x:c>
      <x:c r="V406" s="9" t="str">
        <x:v>New supporting-tool brainstorming under the author forging-tool direction; Docs/WORLD_BASIS.md#forging-and-workshop-tooling</x:v>
      </x:c>
      <x:c r="W406" s="4" t="str">
        <x:v>Tool</x:v>
      </x:c>
      <x:c r="X406" s="4" t="str">
        <x:v>Finished item</x:v>
      </x:c>
      <x:c r="Y406" s="4" t="str">
        <x:v>Manufactured / unresolved</x:v>
      </x:c>
      <x:c r="Z406" s="4" t="str">
        <x:v>Surface finishing</x:v>
      </x:c>
      <x:c r="AA406" s="4" t="str">
        <x:v>Mixed / unresolved</x:v>
      </x:c>
      <x:c r="AB406" s="4" t="str">
        <x:v>Assembly</x:v>
      </x:c>
      <x:c r="AC406" s="4" t="str">
        <x:v>Proposal</x:v>
      </x:c>
      <x:c r="AD406" s="4" t="str">
        <x:f>LOWER(A406&amp;"; "&amp;B406&amp;"; "&amp;C406&amp;"; "&amp;D406&amp;"; "&amp;W406&amp;"; "&amp;X406&amp;"; "&amp;Y406&amp;"; "&amp;Z406&amp;"; "&amp;AA406&amp;"; "&amp;AB406&amp;"; "&amp;AC406&amp;"; "&amp;U406&amp;"; "&amp;AF406&amp;";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E406" s="4" t="str">
        <x:v>Supporting smithing tool proposed for review; not separately established game canon.</x:v>
      </x:c>
      <x:c r="AF406" s="4" t="str">
        <x:v>Not applicable</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status/completeness",IF(AF406="T0","Raw entry feed; no production route","No production route listed"))</x:f>
        <x:v>No production route listed</x:v>
      </x:c>
      <x:c r="AN406" s="14" t="n">
        <x:f>IF(AF406="T0",0,IF(AF406="T1",1,IF(AF406="T2",2,IF(AF406="T3",3,IF(AF406="T4",4,IF(AF406="Unassigned",98,99))))))</x:f>
        <x:v>99</x:v>
      </x:c>
    </x:row>
    <x:row r="407" ht="115" customHeight="1">
      <x:c r="A407" s="9" t="str">
        <x:v>proposal.forging.hearth</x:v>
      </x:c>
      <x:c r="B407" s="9" t="str">
        <x:v>Forge hearth</x:v>
      </x:c>
      <x:c r="C407" s="9" t="str">
        <x:v>Equipment</x:v>
      </x:c>
      <x:c r="D407" s="9" t="str">
        <x:v>Workshop heating equipment</x:v>
      </x:c>
      <x:c r="E407" s="9" t="str">
        <x:v>New proposal</x:v>
      </x:c>
      <x:c r="F407" s="9" t="str">
        <x:v>Proposed bounded workshop heat source for bringing metal to a workable state.</x:v>
      </x:c>
      <x:c r="G407" s="9" t="str">
        <x:v>None / workshop tool</x:v>
      </x:c>
      <x:c r="H407" s="9" t="str">
        <x:v>Transport, placement and workshop handling unresolved</x:v>
      </x:c>
      <x:c r="I407" s="13"/>
      <x:c r="J407" s="15"/>
      <x:c r="K407" s="9" t="str">
        <x:v>Manufacture or workshop acquisition unresolved</x:v>
      </x:c>
      <x:c r="L407" s="9" t="str">
        <x:v>Tool materials, construction and ingredient tiers unresolved</x:v>
      </x:c>
      <x:c r="M407" s="9" t="str">
        <x:v>Design item concept; not implemented</x:v>
      </x:c>
      <x:c r="N407" s="9" t="str">
        <x:v>Heat source, fuel/energy, atmosphere and draft requirements must follow world fire rules; no ordinary open-air furnace assumed.</x:v>
      </x:c>
      <x:c r="O407" s="17"/>
      <x:c r="P407" s="17"/>
      <x:c r="Q407" s="17"/>
      <x:c r="R407" s="17"/>
      <x:c r="S407" s="17"/>
      <x:c r="T407" s="9" t="str">
        <x:v>No stats, recipe, cost, dimensions or station requirement established. Fixed/mobile workshop use remains open.</x:v>
      </x:c>
      <x:c r="U407" s="11" t="str">
        <x:v>smithing forge; forge hearth; forging furnace</x:v>
      </x:c>
      <x:c r="V407" s="9" t="str">
        <x:v>New supporting-tool brainstorming under the author forging-tool direction; Docs/WORLD_BASIS.md#forging-and-workshop-tooling</x:v>
      </x:c>
      <x:c r="W407" s="4" t="str">
        <x:v>Machine</x:v>
      </x:c>
      <x:c r="X407" s="4" t="str">
        <x:v>Finished item</x:v>
      </x:c>
      <x:c r="Y407" s="4" t="str">
        <x:v>Manufactured / unresolved</x:v>
      </x:c>
      <x:c r="Z407" s="4" t="str">
        <x:v>Metal forging</x:v>
      </x:c>
      <x:c r="AA407" s="4" t="str">
        <x:v>Mixed / unresolved</x:v>
      </x:c>
      <x:c r="AB407" s="4" t="str">
        <x:v>Assembly</x:v>
      </x:c>
      <x:c r="AC407" s="4" t="str">
        <x:v>Proposal</x:v>
      </x:c>
      <x:c r="AD407" s="4" t="str">
        <x:f>LOWER(A407&amp;"; "&amp;B407&amp;"; "&amp;C407&amp;"; "&amp;D407&amp;"; "&amp;W407&amp;"; "&amp;X407&amp;"; "&amp;Y407&amp;"; "&amp;Z407&amp;"; "&amp;AA407&amp;"; "&amp;AB407&amp;"; "&amp;AC407&amp;"; "&amp;U407&amp;"; "&amp;AF407&amp;";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E407" s="4" t="str">
        <x:v>Supporting smithing tool proposed for review; not separately established game canon.</x:v>
      </x:c>
      <x:c r="AF407" s="4" t="str">
        <x:v>Not applicable</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status/completeness",IF(AF407="T0","Raw entry feed; no production route","No production route listed"))</x:f>
        <x:v>No production route listed</x:v>
      </x:c>
      <x:c r="AN407" s="14" t="n">
        <x:f>IF(AF407="T0",0,IF(AF407="T1",1,IF(AF407="T2",2,IF(AF407="T3",3,IF(AF407="T4",4,IF(AF407="Unassigned",98,99))))))</x:f>
        <x:v>99</x:v>
      </x:c>
    </x:row>
    <x:row r="408" ht="115" customHeight="1">
      <x:c r="A408" s="9" t="str">
        <x:v>author.metallurgy.steel_stock</x:v>
      </x:c>
      <x:c r="B408" s="9" t="str">
        <x:v>Steel stock</x:v>
      </x:c>
      <x:c r="C408" s="9" t="str">
        <x:v>Resources</x:v>
      </x:c>
      <x:c r="D408" s="9" t="str">
        <x:v>Steel material</x:v>
      </x:c>
      <x:c r="E408" s="9" t="str">
        <x:v>Author-directed concept</x:v>
      </x:c>
      <x:c r="F408" s="9" t="str">
        <x:v>Manufactured steel stock for later fabrication.</x:v>
      </x:c>
      <x:c r="G408" s="9" t="str">
        <x:v>None</x:v>
      </x:c>
      <x:c r="H408" s="9" t="str">
        <x:v>Workshop or cargo stock; forms unresolved</x:v>
      </x:c>
      <x:c r="I408" s="13"/>
      <x:c r="J408" s="15"/>
      <x:c r="K408" s="9" t="str">
        <x:v>Contemporary steelmaking capability; production and access details unresolved</x:v>
      </x:c>
      <x:c r="L408" s="9" t="str">
        <x:v>Fairly advanced steelmaking is author direction. Specific feedstocks, refining routes, alloying and heat treatment remain open.</x:v>
      </x:c>
      <x:c r="M408" s="9" t="str">
        <x:v>Material family; not implemented</x:v>
      </x:c>
      <x:c r="N408" s="9" t="str">
        <x:v>No particular steel grade, composition, performance, abundance or manufacturing recipe established</x:v>
      </x:c>
      <x:c r="O408" s="17"/>
      <x:c r="P408" s="17"/>
      <x:c r="Q408" s="17"/>
      <x:c r="R408" s="17"/>
      <x:c r="S408" s="17"/>
      <x:c r="T408" s="9" t="str">
        <x:v>Select material grades and production routes before assigning tiers, costs, yield or properties.</x:v>
      </x:c>
      <x:c r="U408" s="11" t="str">
        <x:v>steel; steelmaking; advanced metallurgy; refined steel</x:v>
      </x:c>
      <x:c r="V408" s="9" t="str">
        <x:v>Direct author direction, October 14, 2026; Docs/WORLD_BASIS.md#forging-and-workshop-tooling</x:v>
      </x:c>
      <x:c r="W408" s="4" t="str">
        <x:v>Processed material</x:v>
      </x:c>
      <x:c r="X408" s="4" t="str">
        <x:v>Processed intermediate</x:v>
      </x:c>
      <x:c r="Y408" s="4" t="str">
        <x:v>Manufactured / unresolved</x:v>
      </x:c>
      <x:c r="Z408" s="4" t="str">
        <x:v>Fabrication</x:v>
      </x:c>
      <x:c r="AA408" s="4" t="str">
        <x:v>Metal</x:v>
      </x:c>
      <x:c r="AB408" s="4" t="str">
        <x:v>Unresolved</x:v>
      </x:c>
      <x:c r="AC408" s="4" t="str">
        <x:v>Author direction</x:v>
      </x:c>
      <x:c r="AD408" s="4" t="str">
        <x:f>LOWER(A408&amp;"; "&amp;B408&amp;"; "&amp;C408&amp;"; "&amp;D408&amp;"; "&amp;W408&amp;"; "&amp;X408&amp;"; "&amp;Y408&amp;"; "&amp;Z408&amp;"; "&amp;AA408&amp;"; "&amp;AB408&amp;"; "&amp;AC408&amp;"; "&amp;U408&amp;"; "&amp;AF408&amp;"; "&amp;AH408&amp;"; "&amp;AI408)</x:f>
        <x:v>author.metallurgy.steel_stock; steel stock; resources; steel material; processed material; processed intermediate; manufactured / unresolved; fabrication; metal; unresolved; author direction; steel; steelmaking; advanced metallurgy; refined steel; t2; not applicable; material</x:v>
      </x:c>
      <x:c r="AE408" s="4" t="str">
        <x:v>Fairly advanced contemporary steelmaking is established; this does not establish specific modern alloy grades or ancient-material reproduction.</x:v>
      </x:c>
      <x:c r="AF408" s="4" t="str">
        <x:v>T2</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routes'!$D$6:$D$1005,A408,'Material routes'!$C$6:$C$1005,"Output")</x:f>
        <x:v>1</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5</x:v>
      </x:c>
      <x:c r="AL408" s="4" t="n">
        <x:f>COUNTIFS('Material routes'!$D$6:$D$1005,A408,'Material routes'!$C$6:$C$1005,"Tool candidate")</x:f>
        <x:v>0</x:v>
      </x:c>
      <x:c r="AM408" s="4" t="str">
        <x:f>IF(AJ408&gt;0,"Route listed; review status/completeness",IF(AF408="T0","Raw entry feed; no production route","No production route listed"))</x:f>
        <x:v>Route listed; review status/completeness</x:v>
      </x:c>
      <x:c r="AN408" s="14" t="n">
        <x:f>IF(AF408="T0",0,IF(AF408="T1",1,IF(AF408="T2",2,IF(AF408="T3",3,IF(AF408="T4",4,IF(AF408="Unassigned",98,99))))))</x:f>
        <x:v>2</x:v>
      </x:c>
    </x:row>
    <x:row r="409" ht="115" customHeight="1">
      <x:c r="A409" s="9" t="str">
        <x:v>author.city_transport.carriage</x:v>
      </x:c>
      <x:c r="B409" s="9" t="str">
        <x:v>Inner-city carriage</x:v>
      </x:c>
      <x:c r="C409" s="9" t="str">
        <x:v>Equipment</x:v>
      </x:c>
      <x:c r="D409" s="9" t="str">
        <x:v>Inner-city transport machine</x:v>
      </x:c>
      <x:c r="E409" s="9" t="str">
        <x:v>Author-directed concept</x:v>
      </x:c>
      <x:c r="F409" s="9" t="str">
        <x:v>Transport in the inner cities.</x:v>
      </x:c>
      <x:c r="G409" s="9" t="str">
        <x:v>None / vehicle</x:v>
      </x:c>
      <x:c r="H409" s="9" t="str">
        <x:v>Vehicle placement, storage and handling unresolved</x:v>
      </x:c>
      <x:c r="I409" s="13"/>
      <x:c r="J409" s="15"/>
      <x:c r="K409" s="9" t="str">
        <x:v>Inner-city transport; acquisition and ownership unresolved</x:v>
      </x:c>
      <x:c r="L409" s="9" t="str">
        <x:v>Construction, power source, materials and input tiers unresolved</x:v>
      </x:c>
      <x:c r="M409" s="9" t="str">
        <x:v>Lore item family; not implemented</x:v>
      </x:c>
      <x:c r="N409" s="9" t="str">
        <x:v>Most inner-city transport machinery is bipedal. Exact locomotion of this family remains open; wheels, draft animals and combustion engines are not established.</x:v>
      </x:c>
      <x:c r="O409" s="17"/>
      <x:c r="P409" s="17"/>
      <x:c r="Q409" s="17"/>
      <x:c r="R409" s="17"/>
      <x:c r="S409" s="17"/>
      <x:c r="T409" s="9" t="str">
        <x:v>Capacity, operation, ownership, availability outside cities and exact relation of cars/carriages to bipedal designs remain open.</x:v>
      </x:c>
      <x:c r="U409" s="11" t="str">
        <x:v>carriage; urban transport; inner city carriage</x:v>
      </x:c>
      <x:c r="V409" s="9" t="str">
        <x:v>Direct author direction, October 14, 2026; Docs/WORLD_BASIS.md#inner-city-transport</x:v>
      </x:c>
      <x:c r="W409" s="4" t="str">
        <x:v>Machine</x:v>
      </x:c>
      <x:c r="X409" s="4" t="str">
        <x:v>Finished item</x:v>
      </x:c>
      <x:c r="Y409" s="4" t="str">
        <x:v>Manufactured / unresolved</x:v>
      </x:c>
      <x:c r="Z409" s="4" t="str">
        <x:v>Traversal</x:v>
      </x:c>
      <x:c r="AA409" s="4" t="str">
        <x:v>Mixed / unresolved</x:v>
      </x:c>
      <x:c r="AB409" s="4" t="str">
        <x:v>Assembly</x:v>
      </x:c>
      <x:c r="AC409" s="4" t="str">
        <x:v>Author direction</x:v>
      </x:c>
      <x:c r="AD409" s="4" t="str">
        <x:f>LOWER(A409&amp;"; "&amp;B409&amp;"; "&amp;C409&amp;"; "&amp;D409&amp;"; "&amp;W409&amp;"; "&amp;X409&amp;"; "&amp;Y409&amp;"; "&amp;Z409&amp;"; "&amp;AA409&amp;"; "&amp;AB409&amp;"; "&amp;AC409&amp;"; "&amp;U409&amp;"; "&amp;AF409&amp;";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E409" s="4" t="str">
        <x:v>Inner-city carriage/car families and a dominant bipedal machinery context are author direction; their individual construction remains undefined.</x:v>
      </x:c>
      <x:c r="AF409" s="4" t="str">
        <x:v>Not applicable</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status/completeness",IF(AF409="T0","Raw entry feed; no production route","No production route listed"))</x:f>
        <x:v>No production route listed</x:v>
      </x:c>
      <x:c r="AN409" s="14" t="n">
        <x:f>IF(AF409="T0",0,IF(AF409="T1",1,IF(AF409="T2",2,IF(AF409="T3",3,IF(AF409="T4",4,IF(AF409="Unassigned",98,99))))))</x:f>
        <x:v>99</x:v>
      </x:c>
    </x:row>
    <x:row r="410" ht="115" customHeight="1">
      <x:c r="A410" s="9" t="str">
        <x:v>author.city_transport.car</x:v>
      </x:c>
      <x:c r="B410" s="9" t="str">
        <x:v>Inner-city car</x:v>
      </x:c>
      <x:c r="C410" s="9" t="str">
        <x:v>Equipment</x:v>
      </x:c>
      <x:c r="D410" s="9" t="str">
        <x:v>Inner-city transport machine</x:v>
      </x:c>
      <x:c r="E410" s="9" t="str">
        <x:v>Author-directed concept</x:v>
      </x:c>
      <x:c r="F410" s="9" t="str">
        <x:v>Transport in the inner cities.</x:v>
      </x:c>
      <x:c r="G410" s="9" t="str">
        <x:v>None / vehicle</x:v>
      </x:c>
      <x:c r="H410" s="9" t="str">
        <x:v>Vehicle placement, storage and handling unresolved</x:v>
      </x:c>
      <x:c r="I410" s="13"/>
      <x:c r="J410" s="15"/>
      <x:c r="K410" s="9" t="str">
        <x:v>Inner-city transport; acquisition and ownership unresolved</x:v>
      </x:c>
      <x:c r="L410" s="9" t="str">
        <x:v>Construction, power source, materials and input tiers unresolved</x:v>
      </x:c>
      <x:c r="M410" s="9" t="str">
        <x:v>Lore item family; not implemented</x:v>
      </x:c>
      <x:c r="N410" s="9" t="str">
        <x:v>Most inner-city transport machinery is bipedal. Exact locomotion of this family remains open; wheels, draft animals and combustion engines are not established.</x:v>
      </x:c>
      <x:c r="O410" s="17"/>
      <x:c r="P410" s="17"/>
      <x:c r="Q410" s="17"/>
      <x:c r="R410" s="17"/>
      <x:c r="S410" s="17"/>
      <x:c r="T410" s="9" t="str">
        <x:v>Capacity, operation, ownership, availability outside cities and exact relation of cars/carriages to bipedal designs remain open.</x:v>
      </x:c>
      <x:c r="U410" s="11" t="str">
        <x:v>car; urban transport; inner city car</x:v>
      </x:c>
      <x:c r="V410" s="9" t="str">
        <x:v>Direct author direction, October 14, 2026; Docs/WORLD_BASIS.md#inner-city-transport</x:v>
      </x:c>
      <x:c r="W410" s="4" t="str">
        <x:v>Machine</x:v>
      </x:c>
      <x:c r="X410" s="4" t="str">
        <x:v>Finished item</x:v>
      </x:c>
      <x:c r="Y410" s="4" t="str">
        <x:v>Manufactured / unresolved</x:v>
      </x:c>
      <x:c r="Z410" s="4" t="str">
        <x:v>Traversal</x:v>
      </x:c>
      <x:c r="AA410" s="4" t="str">
        <x:v>Mixed / unresolved</x:v>
      </x:c>
      <x:c r="AB410" s="4" t="str">
        <x:v>Assembly</x:v>
      </x:c>
      <x:c r="AC410" s="4" t="str">
        <x:v>Author direction</x:v>
      </x:c>
      <x:c r="AD410" s="4" t="str">
        <x:f>LOWER(A410&amp;"; "&amp;B410&amp;"; "&amp;C410&amp;"; "&amp;D410&amp;"; "&amp;W410&amp;"; "&amp;X410&amp;"; "&amp;Y410&amp;"; "&amp;Z410&amp;"; "&amp;AA410&amp;"; "&amp;AB410&amp;"; "&amp;AC410&amp;"; "&amp;U410&amp;"; "&amp;AF410&amp;";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E410" s="4" t="str">
        <x:v>Inner-city carriage/car families and a dominant bipedal machinery context are author direction; their individual construction remains undefined.</x:v>
      </x:c>
      <x:c r="AF410" s="4" t="str">
        <x:v>Not applicable</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status/completeness",IF(AF410="T0","Raw entry feed; no production route","No production route listed"))</x:f>
        <x:v>No production route listed</x:v>
      </x:c>
      <x:c r="AN410" s="14" t="n">
        <x:f>IF(AF410="T0",0,IF(AF410="T1",1,IF(AF410="T2",2,IF(AF410="T3",3,IF(AF410="T4",4,IF(AF410="Unassigned",98,99))))))</x:f>
        <x:v>99</x:v>
      </x:c>
    </x:row>
    <x:row r="411" ht="115" customHeight="1">
      <x:c r="A411" s="9" t="str">
        <x:v>author.corrosion.advanced_remover</x:v>
      </x:c>
      <x:c r="B411" s="9" t="str">
        <x:v>Advanced rust-removal compound</x:v>
      </x:c>
      <x:c r="C411" s="9" t="str">
        <x:v>Resources</x:v>
      </x:c>
      <x:c r="D411" s="9" t="str">
        <x:v>Metal surface-treatment material</x:v>
      </x:c>
      <x:c r="E411" s="9" t="str">
        <x:v>Author-directed concept</x:v>
      </x:c>
      <x:c r="F411" s="9" t="str">
        <x:v>Advanced de-rusting material intended to remove corrosion products from iron/steel.</x:v>
      </x:c>
      <x:c r="G411" s="9" t="str">
        <x:v>None</x:v>
      </x:c>
      <x:c r="H411" s="9" t="str">
        <x:v>Contained workshop material; physical form and carrier unresolved</x:v>
      </x:c>
      <x:c r="I411" s="13"/>
      <x:c r="J411" s="15"/>
      <x:c r="K411" s="9" t="str">
        <x:v>Workshop manufacture or trade; inputs unresolved</x:v>
      </x:c>
      <x:c r="L411" s="9" t="str">
        <x:v>Mineral/faunal chemistry is a possible game direction, not an accepted formulation. Composition, carrier and material tier remain open.</x:v>
      </x:c>
      <x:c r="M411" s="9" t="str">
        <x:v>Material concept; not implemented</x:v>
      </x:c>
      <x:c r="N411" s="9" t="str">
        <x:v>Removal, conversion and prevention are distinct functions. Substrate compatibility, residues and effects on existing finishes remain undefined.</x:v>
      </x:c>
      <x:c r="O411" s="17"/>
      <x:c r="P411" s="17"/>
      <x:c r="Q411" s="17"/>
      <x:c r="R411" s="17"/>
      <x:c r="S411" s="17"/>
      <x:c r="T411" s="9" t="str">
        <x:v>No exact reagent, free-water bath, plant extract, numeric effect or restoration of lost metal is established.</x:v>
      </x:c>
      <x:c r="U411" s="11" t="str">
        <x:v>derusting; de-rusting; rust remover; oxide removal compound</x:v>
      </x:c>
      <x:c r="V411" s="9" t="str">
        <x:v>Direct author direction, October 14, 2026. Docs/WORLD_BASIS.md#metal-corrosion-and-surface-treatment; real-world function reference only: https://www.canada.ca/en/conservation-institute/services/care-objects/metals/basic-care-iron.html . Reference methods are not game recipes.</x:v>
      </x:c>
      <x:c r="W411" s="4" t="str">
        <x:v>Chemical material</x:v>
      </x:c>
      <x:c r="X411" s="4" t="str">
        <x:v>Processed intermediate</x:v>
      </x:c>
      <x:c r="Y411" s="4" t="str">
        <x:v>Manufactured / unresolved</x:v>
      </x:c>
      <x:c r="Z411" s="4" t="str">
        <x:v>Surface finishing</x:v>
      </x:c>
      <x:c r="AA411" s="4" t="str">
        <x:v>Mixed / unresolved</x:v>
      </x:c>
      <x:c r="AB411" s="4" t="str">
        <x:v>Unresolved</x:v>
      </x:c>
      <x:c r="AC411" s="4" t="str">
        <x:v>Author direction</x:v>
      </x:c>
      <x:c r="AD411" s="4" t="str">
        <x:f>LOWER(A411&amp;"; "&amp;B411&amp;"; "&amp;C411&amp;"; "&amp;D411&amp;"; "&amp;W411&amp;"; "&amp;X411&amp;"; "&amp;Y411&amp;"; "&amp;Z411&amp;"; "&amp;AA411&amp;"; "&amp;AB411&amp;"; "&amp;AC411&amp;"; "&amp;U411&amp;"; "&amp;AF411&amp;"; "&amp;AH411&amp;"; "&amp;AI411)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 t2; not applicable; material</x:v>
      </x:c>
      <x:c r="AE411" s="4" t="str">
        <x:v>Advanced de-rusting material family is author direction; formulation and performance are not specified.</x:v>
      </x:c>
      <x:c r="AF411" s="4" t="str">
        <x:v>T2</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routes'!$D$6:$D$1005,A411,'Material routes'!$C$6:$C$1005,"Output")</x:f>
        <x:v>1</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status/completeness",IF(AF411="T0","Raw entry feed; no production route","No production route listed"))</x:f>
        <x:v>Route listed; review status/completeness</x:v>
      </x:c>
      <x:c r="AN411" s="14" t="n">
        <x:f>IF(AF411="T0",0,IF(AF411="T1",1,IF(AF411="T2",2,IF(AF411="T3",3,IF(AF411="T4",4,IF(AF411="Unassigned",98,99))))))</x:f>
        <x:v>2</x:v>
      </x:c>
    </x:row>
    <x:row r="412" ht="115" customHeight="1">
      <x:c r="A412" s="9" t="str">
        <x:v>proposal.corrosion.converter</x:v>
      </x:c>
      <x:c r="B412" s="9" t="str">
        <x:v>Rust-conversion treatment</x:v>
      </x:c>
      <x:c r="C412" s="9" t="str">
        <x:v>Resources</x:v>
      </x:c>
      <x:c r="D412" s="9" t="str">
        <x:v>Metal surface-treatment material</x:v>
      </x:c>
      <x:c r="E412" s="9" t="str">
        <x:v>New proposal</x:v>
      </x:c>
      <x:c r="F412" s="9" t="str">
        <x:v>Candidate treatment that changes selected residual rust into an adherent conversion layer rather than removing it.</x:v>
      </x:c>
      <x:c r="G412" s="9" t="str">
        <x:v>None</x:v>
      </x:c>
      <x:c r="H412" s="9" t="str">
        <x:v>Contained workshop material; physical form and carrier unresolved</x:v>
      </x:c>
      <x:c r="I412" s="13"/>
      <x:c r="J412" s="15"/>
      <x:c r="K412" s="9" t="str">
        <x:v>Workshop manufacture or trade; inputs unresolved</x:v>
      </x:c>
      <x:c r="L412" s="9" t="str">
        <x:v>Mineral/faunal chemistry is a possible game direction, not an accepted formulation. Composition, carrier and material tier remain open.</x:v>
      </x:c>
      <x:c r="M412" s="9" t="str">
        <x:v>Material concept; not implemented</x:v>
      </x:c>
      <x:c r="N412" s="9" t="str">
        <x:v>Removal, conversion and prevention are distinct functions. Substrate compatibility, residues and effects on existing finishes remain undefined.</x:v>
      </x:c>
      <x:c r="O412" s="17"/>
      <x:c r="P412" s="17"/>
      <x:c r="Q412" s="17"/>
      <x:c r="R412" s="17"/>
      <x:c r="S412" s="17"/>
      <x:c r="T412" s="9" t="str">
        <x:v>No exact reagent, free-water bath, plant extract, numeric effect or restoration of lost metal is established.</x:v>
      </x:c>
      <x:c r="U412" s="11" t="str">
        <x:v>rust converter; conversion treatment; oxide conversion</x:v>
      </x:c>
      <x:c r="V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W412" s="4" t="str">
        <x:v>Chemical material</x:v>
      </x:c>
      <x:c r="X412" s="4" t="str">
        <x:v>Processed intermediate</x:v>
      </x:c>
      <x:c r="Y412" s="4" t="str">
        <x:v>Manufactured / unresolved</x:v>
      </x:c>
      <x:c r="Z412" s="4" t="str">
        <x:v>Surface finishing</x:v>
      </x:c>
      <x:c r="AA412" s="4" t="str">
        <x:v>Mixed / unresolved</x:v>
      </x:c>
      <x:c r="AB412" s="4" t="str">
        <x:v>Unresolved</x:v>
      </x:c>
      <x:c r="AC412" s="4" t="str">
        <x:v>Proposal</x:v>
      </x:c>
      <x:c r="AD412" s="4" t="str">
        <x:f>LOWER(A412&amp;"; "&amp;B412&amp;"; "&amp;C412&amp;"; "&amp;D412&amp;"; "&amp;W412&amp;"; "&amp;X412&amp;"; "&amp;Y412&amp;"; "&amp;Z412&amp;"; "&amp;AA412&amp;"; "&amp;AB412&amp;"; "&amp;AC412&amp;"; "&amp;U412&amp;"; "&amp;AF412&amp;"; "&amp;AH412&amp;"; "&amp;AI412)</x:f>
        <x:v>proposal.corrosion.converter; rust-conversion treatment; resources; metal surface-treatment material; chemical material; processed intermediate; manufactured / unresolved; surface finishing; mixed / unresolved; unresolved; proposal; rust converter; conversion treatment; oxide conversion; unassigned; not applicable; material</x:v>
      </x:c>
      <x:c r="AE412" s="4" t="str">
        <x:v>Supporting surface-treatment proposal informed by real-world distinctions; not separately accepted game canon.</x:v>
      </x:c>
      <x:c r="AF412" s="4" t="str">
        <x:v>Unassigned</x:v>
      </x:c>
      <x:c r="AG412" s="4" t="str">
        <x:v>Choose a material production route before assigning a numeric refinement tier.</x:v>
      </x:c>
      <x:c r="AH412" s="4" t="str">
        <x:v>Not applicable</x:v>
      </x:c>
      <x:c r="AI412" s="4" t="str">
        <x:v>Material</x:v>
      </x:c>
      <x:c r="AJ412" s="4" t="n">
        <x:f>COUNTIFS('Material routes'!$D$6:$D$1005,A412,'Material routes'!$C$6:$C$1005,"Output")</x:f>
        <x:v>0</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status/completeness",IF(AF412="T0","Raw entry feed; no production route","No production route listed"))</x:f>
        <x:v>No production route listed</x:v>
      </x:c>
      <x:c r="AN412" s="14" t="n">
        <x:f>IF(AF412="T0",0,IF(AF412="T1",1,IF(AF412="T2",2,IF(AF412="T3",3,IF(AF412="T4",4,IF(AF412="Unassigned",98,99))))))</x:f>
        <x:v>98</x:v>
      </x:c>
    </x:row>
    <x:row r="413" ht="115" customHeight="1">
      <x:c r="A413" s="9" t="str">
        <x:v>proposal.corrosion.inhibitor</x:v>
      </x:c>
      <x:c r="B413" s="9" t="str">
        <x:v>Corrosion-inhibiting finish</x:v>
      </x:c>
      <x:c r="C413" s="9" t="str">
        <x:v>Resources</x:v>
      </x:c>
      <x:c r="D413" s="9" t="str">
        <x:v>Metal surface-treatment material</x:v>
      </x:c>
      <x:c r="E413" s="9" t="str">
        <x:v>New proposal</x:v>
      </x:c>
      <x:c r="F413" s="9" t="str">
        <x:v>Candidate finish intended to slow renewed corrosion after appropriate surface preparation.</x:v>
      </x:c>
      <x:c r="G413" s="9" t="str">
        <x:v>None</x:v>
      </x:c>
      <x:c r="H413" s="9" t="str">
        <x:v>Contained workshop material; physical form and carrier unresolved</x:v>
      </x:c>
      <x:c r="I413" s="13"/>
      <x:c r="J413" s="15"/>
      <x:c r="K413" s="9" t="str">
        <x:v>Workshop manufacture or trade; inputs unresolved</x:v>
      </x:c>
      <x:c r="L413" s="9" t="str">
        <x:v>Mineral/faunal chemistry is a possible game direction, not an accepted formulation. Composition, carrier and material tier remain open.</x:v>
      </x:c>
      <x:c r="M413" s="9" t="str">
        <x:v>Material concept; not implemented</x:v>
      </x:c>
      <x:c r="N413" s="9" t="str">
        <x:v>Removal, conversion and prevention are distinct functions. Substrate compatibility, residues and effects on existing finishes remain undefined.</x:v>
      </x:c>
      <x:c r="O413" s="17"/>
      <x:c r="P413" s="17"/>
      <x:c r="Q413" s="17"/>
      <x:c r="R413" s="17"/>
      <x:c r="S413" s="17"/>
      <x:c r="T413" s="9" t="str">
        <x:v>No exact reagent, free-water bath, plant extract, numeric effect or restoration of lost metal is established.</x:v>
      </x:c>
      <x:c r="U413" s="11" t="str">
        <x:v>rust prevention; corrosion inhibitor; protective finish</x:v>
      </x:c>
      <x:c r="V413" s="9" t="str">
        <x:v>New game proposal. Docs/WORLD_BASIS.md#metal-corrosion-and-surface-treatment; real-world function reference only: https://www.canada.ca/en/conservation-institute/services/care-objects/metals/basic-care-iron.html . Reference methods are not game recipes.</x:v>
      </x:c>
      <x:c r="W413" s="4" t="str">
        <x:v>Chemical material</x:v>
      </x:c>
      <x:c r="X413" s="4" t="str">
        <x:v>Processed intermediate</x:v>
      </x:c>
      <x:c r="Y413" s="4" t="str">
        <x:v>Manufactured / unresolved</x:v>
      </x:c>
      <x:c r="Z413" s="4" t="str">
        <x:v>Surface finishing</x:v>
      </x:c>
      <x:c r="AA413" s="4" t="str">
        <x:v>Mixed / unresolved</x:v>
      </x:c>
      <x:c r="AB413" s="4" t="str">
        <x:v>Unresolved</x:v>
      </x:c>
      <x:c r="AC413" s="4" t="str">
        <x:v>Proposal</x:v>
      </x:c>
      <x:c r="AD413" s="4" t="str">
        <x:f>LOWER(A413&amp;"; "&amp;B413&amp;"; "&amp;C413&amp;"; "&amp;D413&amp;"; "&amp;W413&amp;"; "&amp;X413&amp;"; "&amp;Y413&amp;"; "&amp;Z413&amp;"; "&amp;AA413&amp;"; "&amp;AB413&amp;"; "&amp;AC413&amp;"; "&amp;U413&amp;"; "&amp;AF413&amp;"; "&amp;AH413&amp;"; "&amp;AI413)</x:f>
        <x:v>proposal.corrosion.inhibitor; corrosion-inhibiting finish; resources; metal surface-treatment material; chemical material; processed intermediate; manufactured / unresolved; surface finishing; mixed / unresolved; unresolved; proposal; rust prevention; corrosion inhibitor; protective finish; unassigned; not applicable; material</x:v>
      </x:c>
      <x:c r="AE413" s="4" t="str">
        <x:v>Supporting surface-treatment proposal informed by real-world distinctions; not separately accepted game canon.</x:v>
      </x:c>
      <x:c r="AF413" s="4" t="str">
        <x:v>Unassigned</x:v>
      </x:c>
      <x:c r="AG413" s="4" t="str">
        <x:v>Choose a material production route before assigning a numeric refinement tier.</x:v>
      </x:c>
      <x:c r="AH413" s="4" t="str">
        <x:v>Not applicable</x:v>
      </x:c>
      <x:c r="AI413" s="4" t="str">
        <x:v>Material</x:v>
      </x:c>
      <x:c r="AJ413" s="4" t="n">
        <x:f>COUNTIFS('Material routes'!$D$6:$D$1005,A413,'Material routes'!$C$6:$C$1005,"Output")</x:f>
        <x:v>0</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status/completeness",IF(AF413="T0","Raw entry feed; no production route","No production route listed"))</x:f>
        <x:v>No production route listed</x:v>
      </x:c>
      <x:c r="AN413" s="14" t="n">
        <x:f>IF(AF413="T0",0,IF(AF413="T1",1,IF(AF413="T2",2,IF(AF413="T3",3,IF(AF413="T4",4,IF(AF413="Unassigned",98,99))))))</x:f>
        <x:v>98</x:v>
      </x:c>
    </x:row>
    <x:row r="414" ht="115" customHeight="1">
      <x:c r="A414" s="9" t="str">
        <x:v>proposal.branch.elastic_secretion</x:v>
      </x:c>
      <x:c r="B414" s="9" t="str">
        <x:v>Elastic-joint secretion</x:v>
      </x:c>
      <x:c r="C414" s="9" t="str">
        <x:v>Resources</x:v>
      </x:c>
      <x:c r="D414" s="9" t="str">
        <x:v>Raw faunal chemical proposal</x:v>
      </x:c>
      <x:c r="E414" s="9" t="str">
        <x:v>New proposal</x:v>
      </x:c>
      <x:c r="F414" s="9" t="str">
        <x:v>Material stock for chemical processing.</x:v>
      </x:c>
      <x:c r="G414" s="9" t="str">
        <x:v>None</x:v>
      </x:c>
      <x:c r="H414" s="9" t="str">
        <x:v>Workshop / cargo material; handling and storage unresolved</x:v>
      </x:c>
      <x:c r="I414" s="13"/>
      <x:c r="J414" s="15"/>
      <x:c r="K414" s="9" t="str">
        <x:v>Hypothetical fauna extraction; source species unresolved</x:v>
      </x:c>
      <x:c r="L414" s="9" t="str">
        <x:v>Gather a hypothetical resilient secretion from selected fauna joint structures.</x:v>
      </x:c>
      <x:c r="M414" s="9" t="str">
        <x:v>Not implemented</x:v>
      </x:c>
      <x:c r="N414" s="9" t="str">
        <x:v>New anatomy/material proposal. No conventional fat, plant rubber, drinkability or universal species yield implied.</x:v>
      </x:c>
      <x:c r="O414" s="17"/>
      <x:c r="P414" s="17"/>
      <x:c r="Q414" s="17"/>
      <x:c r="R414" s="17"/>
      <x:c r="S414" s="17"/>
      <x:c r="T414" s="9" t="str">
        <x:v>New October 15 brainstorming. Tier is conditional on the incomplete ingredient list; no quantities, performance ratings or installed crafting behavior assigned.</x:v>
      </x:c>
      <x:c r="U414" s="11" t="str">
        <x:v>elastic-joint secretion; t0; refined stock; chemical processing</x:v>
      </x:c>
      <x:c r="V414" s="9" t="str">
        <x:v>New game proposal, October 15, 2026; current author request and Docs/WORLD_BASIS.md material/refinement rules. Not a retrieved source-canon claim.</x:v>
      </x:c>
      <x:c r="W414" s="4" t="str">
        <x:v>Chemical material</x:v>
      </x:c>
      <x:c r="X414" s="4" t="str">
        <x:v>Extracted material</x:v>
      </x:c>
      <x:c r="Y414" s="4" t="str">
        <x:v>Fauna</x:v>
      </x:c>
      <x:c r="Z414" s="4" t="str">
        <x:v>Chemical processing</x:v>
      </x:c>
      <x:c r="AA414" s="4" t="str">
        <x:v>Biological chemical</x:v>
      </x:c>
      <x:c r="AB414" s="4" t="str">
        <x:v>Liquid</x:v>
      </x:c>
      <x:c r="AC414" s="4" t="str">
        <x:v>Proposal</x:v>
      </x:c>
      <x:c r="AD414" s="4" t="str">
        <x:f>LOWER(A414&amp;"; "&amp;B414&amp;"; "&amp;C414&amp;"; "&amp;D414&amp;"; "&amp;W414&amp;"; "&amp;X414&amp;"; "&amp;Y414&amp;"; "&amp;Z414&amp;"; "&amp;AA414&amp;"; "&amp;AB414&amp;"; "&amp;AC414&amp;"; "&amp;U414&amp;"; "&amp;AF414&amp;"; "&amp;AH414&amp;"; "&amp;AI414)</x:f>
        <x:v>proposal.branch.elastic_secretion; elastic-joint secretion; resources; raw faunal chemical proposal; chemical material; extracted material; fauna; chemical processing; biological chemical; liquid; proposal; elastic-joint secretion; t0; refined stock; chemical processing; t0; not applicable; material</x:v>
      </x:c>
      <x:c r="AE414" s="4" t="str">
        <x:v>New material-tree proposal; intended application and material behavior require qualification.</x:v>
      </x:c>
      <x:c r="AF414" s="4" t="str">
        <x:v>T0</x:v>
      </x:c>
      <x:c r="AG414" s="4" t="str">
        <x:v>Proposed tier: new raw entry feed.</x:v>
      </x:c>
      <x:c r="AH414" s="4" t="str">
        <x:v>Not applicable</x:v>
      </x:c>
      <x:c r="AI414" s="4" t="str">
        <x:v>Material</x:v>
      </x:c>
      <x:c r="AJ414" s="4" t="n">
        <x:f>COUNTIFS('Material routes'!$D$6:$D$1005,A414,'Material routes'!$C$6:$C$1005,"Output")</x:f>
        <x:v>0</x:v>
      </x:c>
      <x:c r="AK414" s="4" t="n">
        <x:f>SUM(COUNTIFS('Material routes'!$D$6:$D$1005,A414,'Material routes'!$C$6:$C$1005,"Ingredient candidate"),COUNTIFS('Material routes'!$D$6:$D$1005,A414,'Material routes'!$C$6:$C$1005,"Consumed input"),COUNTIFS('Material routes'!$D$6:$D$1005,A414,'Material routes'!$C$6:$C$1005,"Contained input"),COUNTIFS('Material routes'!$D$6:$D$1005,A414,'Material routes'!$C$6:$C$1005,"Transform input"))</x:f>
        <x:v>1</x:v>
      </x:c>
      <x:c r="AL414" s="4" t="n">
        <x:f>COUNTIFS('Material routes'!$D$6:$D$1005,A414,'Material routes'!$C$6:$C$1005,"Tool candidate")</x:f>
        <x:v>0</x:v>
      </x:c>
      <x:c r="AM414" s="4" t="str">
        <x:f>IF(AJ414&gt;0,"Route listed; review status/completeness",IF(AF414="T0","Raw entry feed; no production route","No production route listed"))</x:f>
        <x:v>Raw entry feed; no production route</x:v>
      </x:c>
      <x:c r="AN414" s="14" t="n">
        <x:f>IF(AF414="T0",0,IF(AF414="T1",1,IF(AF414="T2",2,IF(AF414="T3",3,IF(AF414="T4",4,IF(AF414="Unassigned",98,99))))))</x:f>
        <x:v>0</x:v>
      </x:c>
    </x:row>
    <x:row r="415" ht="115" customHeight="1">
      <x:c r="A415" s="9" t="str">
        <x:v>proposal.branch.flux</x:v>
      </x:c>
      <x:c r="B415" s="9" t="str">
        <x:v>Prepared metallurgical flux</x:v>
      </x:c>
      <x:c r="C415" s="9" t="str">
        <x:v>Resources</x:v>
      </x:c>
      <x:c r="D415" s="9" t="str">
        <x:v>T1 material / component proposal</x:v>
      </x:c>
      <x:c r="E415" s="9" t="str">
        <x:v>New proposal</x:v>
      </x:c>
      <x:c r="F415" s="9" t="str">
        <x:v>Material stock for metal refining.</x:v>
      </x:c>
      <x:c r="G415" s="9" t="str">
        <x:v>None</x:v>
      </x:c>
      <x:c r="H415" s="9" t="str">
        <x:v>Workshop / cargo material; handling and storage unresolved</x:v>
      </x:c>
      <x:c r="I415" s="13"/>
      <x:c r="J415" s="15"/>
      <x:c r="K415" s="9" t="str">
        <x:v>Process candidate lower-tier feed; see linked recipe</x:v>
      </x:c>
      <x:c r="L415" s="9" t="str">
        <x:v>Select and prepare a workshop flux candidate from raw mineral feed.</x:v>
      </x:c>
      <x:c r="M415" s="9" t="str">
        <x:v>Not implemented</x:v>
      </x:c>
      <x:c r="N415" s="9" t="str">
        <x:v>Composition, furnace compatibility and atmosphere-dependent process remain open.</x:v>
      </x:c>
      <x:c r="O415" s="17"/>
      <x:c r="P415" s="17"/>
      <x:c r="Q415" s="17"/>
      <x:c r="R415" s="17"/>
      <x:c r="S415" s="17"/>
      <x:c r="T415" s="9" t="str">
        <x:v>New October 15 brainstorming. Tier is conditional on the incomplete ingredient list; no quantities, performance ratings or installed crafting behavior assigned.</x:v>
      </x:c>
      <x:c r="U415" s="11" t="str">
        <x:v>prepared metallurgical flux; t1; refined stock; metal refining</x:v>
      </x:c>
      <x:c r="V415" s="9" t="str">
        <x:v>New game proposal, October 15, 2026; current author request and Docs/WORLD_BASIS.md material/refinement rules. Not a retrieved source-canon claim.</x:v>
      </x:c>
      <x:c r="W415" s="4" t="str">
        <x:v>Processed material</x:v>
      </x:c>
      <x:c r="X415" s="4" t="str">
        <x:v>Processed intermediate</x:v>
      </x:c>
      <x:c r="Y415" s="4" t="str">
        <x:v>Manufactured / unresolved</x:v>
      </x:c>
      <x:c r="Z415" s="4" t="str">
        <x:v>Metal refining</x:v>
      </x:c>
      <x:c r="AA415" s="4" t="str">
        <x:v>Mineral</x:v>
      </x:c>
      <x:c r="AB415" s="4" t="str">
        <x:v>Particles</x:v>
      </x:c>
      <x:c r="AC415" s="4" t="str">
        <x:v>Proposal</x:v>
      </x:c>
      <x:c r="AD415" s="4" t="str">
        <x:f>LOWER(A415&amp;"; "&amp;B415&amp;"; "&amp;C415&amp;"; "&amp;D415&amp;"; "&amp;W415&amp;"; "&amp;X415&amp;"; "&amp;Y415&amp;"; "&amp;Z415&amp;"; "&amp;AA415&amp;"; "&amp;AB415&amp;"; "&amp;AC415&amp;"; "&amp;U415&amp;"; "&amp;AF415&amp;"; "&amp;AH415&amp;"; "&amp;AI415)</x:f>
        <x:v>proposal.branch.flux; prepared metallurgical flux; resources; t1 material / component proposal; processed material; processed intermediate; manufactured / unresolved; metal refining; mineral; particles; proposal; prepared metallurgical flux; t1; refined stock; metal refining; t1; not applicable; material</x:v>
      </x:c>
      <x:c r="AE415" s="4" t="str">
        <x:v>New material-tree proposal; intended application and material behavior require qualification.</x:v>
      </x:c>
      <x:c r="AF415" s="4" t="str">
        <x:v>T1</x:v>
      </x:c>
      <x:c r="AG415" s="4" t="str">
        <x:v>Proposed tier: one above the highest listed material input; further ingredients may change the tier.</x:v>
      </x:c>
      <x:c r="AH415" s="4" t="str">
        <x:v>Not applicable</x:v>
      </x:c>
      <x:c r="AI415" s="4" t="str">
        <x:v>Material</x:v>
      </x:c>
      <x:c r="AJ415" s="4" t="n">
        <x:f>COUNTIFS('Material routes'!$D$6:$D$1005,A415,'Material routes'!$C$6:$C$1005,"Output")</x:f>
        <x:v>1</x:v>
      </x:c>
      <x:c r="AK415" s="4" t="n">
        <x:f>SUM(COUNTIFS('Material routes'!$D$6:$D$1005,A415,'Material routes'!$C$6:$C$1005,"Ingredient candidate"),COUNTIFS('Material routes'!$D$6:$D$1005,A415,'Material routes'!$C$6:$C$1005,"Consumed input"),COUNTIFS('Material routes'!$D$6:$D$1005,A415,'Material routes'!$C$6:$C$1005,"Contained input"),COUNTIFS('Material routes'!$D$6:$D$1005,A415,'Material routes'!$C$6:$C$1005,"Transform input"))</x:f>
        <x:v>3</x:v>
      </x:c>
      <x:c r="AL415" s="4" t="n">
        <x:f>COUNTIFS('Material routes'!$D$6:$D$1005,A415,'Material routes'!$C$6:$C$1005,"Tool candidate")</x:f>
        <x:v>0</x:v>
      </x:c>
      <x:c r="AM415" s="4" t="str">
        <x:f>IF(AJ415&gt;0,"Route listed; review status/completeness",IF(AF415="T0","Raw entry feed; no production route","No production route listed"))</x:f>
        <x:v>Route listed; review status/completeness</x:v>
      </x:c>
      <x:c r="AN415" s="14" t="n">
        <x:f>IF(AF415="T0",0,IF(AF415="T1",1,IF(AF415="T2",2,IF(AF415="T3",3,IF(AF415="T4",4,IF(AF415="Unassigned",98,99))))))</x:f>
        <x:v>1</x:v>
      </x:c>
    </x:row>
    <x:row r="416" ht="115" customHeight="1">
      <x:c r="A416" s="9" t="str">
        <x:v>proposal.branch.refractory_feed</x:v>
      </x:c>
      <x:c r="B416" s="9" t="str">
        <x:v>Graded refractory mineral feed</x:v>
      </x:c>
      <x:c r="C416" s="9" t="str">
        <x:v>Resources</x:v>
      </x:c>
      <x:c r="D416" s="9" t="str">
        <x:v>T1 material / component proposal</x:v>
      </x:c>
      <x:c r="E416" s="9" t="str">
        <x:v>New proposal</x:v>
      </x:c>
      <x:c r="F416" s="9" t="str">
        <x:v>Material stock for glass and ceramics.</x:v>
      </x:c>
      <x:c r="G416" s="9" t="str">
        <x:v>None</x:v>
      </x:c>
      <x:c r="H416" s="9" t="str">
        <x:v>Workshop / cargo material; handling and storage unresolved</x:v>
      </x:c>
      <x:c r="I416" s="13"/>
      <x:c r="J416" s="15"/>
      <x:c r="K416" s="9" t="str">
        <x:v>Process candidate lower-tier feed; see linked recipe</x:v>
      </x:c>
      <x:c r="L416" s="9" t="str">
        <x:v>Select and grade a candidate heat-service mineral fraction.</x:v>
      </x:c>
      <x:c r="M416" s="9" t="str">
        <x:v>Not implemented</x:v>
      </x:c>
      <x:c r="N416" s="9" t="str">
        <x:v>No temperature rating or universally suitable alumina composition assigned.</x:v>
      </x:c>
      <x:c r="O416" s="17"/>
      <x:c r="P416" s="17"/>
      <x:c r="Q416" s="17"/>
      <x:c r="R416" s="17"/>
      <x:c r="S416" s="17"/>
      <x:c r="T416" s="9" t="str">
        <x:v>New October 15 brainstorming. Tier is conditional on the incomplete ingredient list; no quantities, performance ratings or installed crafting behavior assigned.</x:v>
      </x:c>
      <x:c r="U416" s="11" t="str">
        <x:v>graded refractory mineral feed; t1; refined stock; glass and ceramics</x:v>
      </x:c>
      <x:c r="V416" s="9" t="str">
        <x:v>New game proposal, October 15, 2026; current author request and Docs/WORLD_BASIS.md material/refinement rules. Not a retrieved source-canon claim.</x:v>
      </x:c>
      <x:c r="W416" s="4" t="str">
        <x:v>Processed material</x:v>
      </x:c>
      <x:c r="X416" s="4" t="str">
        <x:v>Processed intermediate</x:v>
      </x:c>
      <x:c r="Y416" s="4" t="str">
        <x:v>Manufactured / unresolved</x:v>
      </x:c>
      <x:c r="Z416" s="4" t="str">
        <x:v>Glass and ceramics</x:v>
      </x:c>
      <x:c r="AA416" s="4" t="str">
        <x:v>Mineral</x:v>
      </x:c>
      <x:c r="AB416" s="4" t="str">
        <x:v>Particles</x:v>
      </x:c>
      <x:c r="AC416" s="4" t="str">
        <x:v>Proposal</x:v>
      </x:c>
      <x:c r="AD416" s="4" t="str">
        <x:f>LOWER(A416&amp;"; "&amp;B416&amp;"; "&amp;C416&amp;"; "&amp;D416&amp;"; "&amp;W416&amp;"; "&amp;X416&amp;"; "&amp;Y416&amp;"; "&amp;Z416&amp;"; "&amp;AA416&amp;"; "&amp;AB416&amp;"; "&amp;AC416&amp;"; "&amp;U416&amp;"; "&amp;AF416&amp;"; "&amp;AH416&amp;"; "&amp;AI416)</x:f>
        <x:v>proposal.branch.refractory_feed; graded refractory mineral feed; resources; t1 material / component proposal; processed material; processed intermediate; manufactured / unresolved; glass and ceramics; mineral; particles; proposal; graded refractory mineral feed; t1; refined stock; glass and ceramics; t1; not applicable; material</x:v>
      </x:c>
      <x:c r="AE416" s="4" t="str">
        <x:v>New material-tree proposal; intended application and material behavior require qualification.</x:v>
      </x:c>
      <x:c r="AF416" s="4" t="str">
        <x:v>T1</x:v>
      </x:c>
      <x:c r="AG416" s="4" t="str">
        <x:v>Proposed tier: one above the highest listed material input; further ingredients may change the tier.</x:v>
      </x:c>
      <x:c r="AH416" s="4" t="str">
        <x:v>Not applicable</x:v>
      </x:c>
      <x:c r="AI416" s="4" t="str">
        <x:v>Material</x:v>
      </x:c>
      <x:c r="AJ416" s="4" t="n">
        <x:f>COUNTIFS('Material routes'!$D$6:$D$1005,A416,'Material routes'!$C$6:$C$1005,"Output")</x:f>
        <x:v>1</x:v>
      </x:c>
      <x:c r="AK416" s="4" t="n">
        <x:f>SUM(COUNTIFS('Material routes'!$D$6:$D$1005,A416,'Material routes'!$C$6:$C$1005,"Ingredient candidate"),COUNTIFS('Material routes'!$D$6:$D$1005,A416,'Material routes'!$C$6:$C$1005,"Consumed input"),COUNTIFS('Material routes'!$D$6:$D$1005,A416,'Material routes'!$C$6:$C$1005,"Contained input"),COUNTIFS('Material routes'!$D$6:$D$1005,A416,'Material routes'!$C$6:$C$1005,"Transform input"))</x:f>
        <x:v>1</x:v>
      </x:c>
      <x:c r="AL416" s="4" t="n">
        <x:f>COUNTIFS('Material routes'!$D$6:$D$1005,A416,'Material routes'!$C$6:$C$1005,"Tool candidate")</x:f>
        <x:v>0</x:v>
      </x:c>
      <x:c r="AM416" s="4" t="str">
        <x:f>IF(AJ416&gt;0,"Route listed; review status/completeness",IF(AF416="T0","Raw entry feed; no production route","No production route listed"))</x:f>
        <x:v>Route listed; review status/completeness</x:v>
      </x:c>
      <x:c r="AN416" s="14" t="n">
        <x:f>IF(AF416="T0",0,IF(AF416="T1",1,IF(AF416="T2",2,IF(AF416="T3",3,IF(AF416="T4",4,IF(AF416="Unassigned",98,99))))))</x:f>
        <x:v>1</x:v>
      </x:c>
    </x:row>
    <x:row r="417" ht="115" customHeight="1">
      <x:c r="A417" s="9" t="str">
        <x:v>proposal.branch.manganese_feed</x:v>
      </x:c>
      <x:c r="B417" s="9" t="str">
        <x:v>Manganese-bearing alloy feed</x:v>
      </x:c>
      <x:c r="C417" s="9" t="str">
        <x:v>Resources</x:v>
      </x:c>
      <x:c r="D417" s="9" t="str">
        <x:v>T1 material / component proposal</x:v>
      </x:c>
      <x:c r="E417" s="9" t="str">
        <x:v>New proposal</x:v>
      </x:c>
      <x:c r="F417" s="9" t="str">
        <x:v>Material stock for metal refining.</x:v>
      </x:c>
      <x:c r="G417" s="9" t="str">
        <x:v>None</x:v>
      </x:c>
      <x:c r="H417" s="9" t="str">
        <x:v>Workshop / cargo material; handling and storage unresolved</x:v>
      </x:c>
      <x:c r="I417" s="13"/>
      <x:c r="J417" s="15"/>
      <x:c r="K417" s="9" t="str">
        <x:v>Process candidate lower-tier feed; see linked recipe</x:v>
      </x:c>
      <x:c r="L417" s="9" t="str">
        <x:v>Concentrate a selected manganese-bearing fraction as a later alloying feed.</x:v>
      </x:c>
      <x:c r="M417" s="9" t="str">
        <x:v>Not implemented</x:v>
      </x:c>
      <x:c r="N417" s="9" t="str">
        <x:v>Concentration is not yet finished alloying metal; extraction chemistry and contaminants unresolved.</x:v>
      </x:c>
      <x:c r="O417" s="17"/>
      <x:c r="P417" s="17"/>
      <x:c r="Q417" s="17"/>
      <x:c r="R417" s="17"/>
      <x:c r="S417" s="17"/>
      <x:c r="T417" s="9" t="str">
        <x:v>New October 15 brainstorming. Tier is conditional on the incomplete ingredient list; no quantities, performance ratings or installed crafting behavior assigned.</x:v>
      </x:c>
      <x:c r="U417" s="11" t="str">
        <x:v>manganese-bearing alloy feed; t1; refined stock; metal refining</x:v>
      </x:c>
      <x:c r="V417" s="9" t="str">
        <x:v>New game proposal, October 15, 2026; current author request and Docs/WORLD_BASIS.md material/refinement rules. Not a retrieved source-canon claim.</x:v>
      </x:c>
      <x:c r="W417" s="4" t="str">
        <x:v>Processed material</x:v>
      </x:c>
      <x:c r="X417" s="4" t="str">
        <x:v>Processed intermediate</x:v>
      </x:c>
      <x:c r="Y417" s="4" t="str">
        <x:v>Manufactured / unresolved</x:v>
      </x:c>
      <x:c r="Z417" s="4" t="str">
        <x:v>Metal refining</x:v>
      </x:c>
      <x:c r="AA417" s="4" t="str">
        <x:v>Mineral</x:v>
      </x:c>
      <x:c r="AB417" s="4" t="str">
        <x:v>Particles</x:v>
      </x:c>
      <x:c r="AC417" s="4" t="str">
        <x:v>Proposal</x:v>
      </x:c>
      <x:c r="AD417" s="4" t="str">
        <x:f>LOWER(A417&amp;"; "&amp;B417&amp;"; "&amp;C417&amp;"; "&amp;D417&amp;"; "&amp;W417&amp;"; "&amp;X417&amp;"; "&amp;Y417&amp;"; "&amp;Z417&amp;"; "&amp;AA417&amp;"; "&amp;AB417&amp;"; "&amp;AC417&amp;"; "&amp;U417&amp;"; "&amp;AF417&amp;"; "&amp;AH417&amp;"; "&amp;AI417)</x:f>
        <x:v>proposal.branch.manganese_feed; manganese-bearing alloy feed; resources; t1 material / component proposal; processed material; processed intermediate; manufactured / unresolved; metal refining; mineral; particles; proposal; manganese-bearing alloy feed; t1; refined stock; metal refining; t1; not applicable; material</x:v>
      </x:c>
      <x:c r="AE417" s="4" t="str">
        <x:v>New material-tree proposal; intended application and material behavior require qualification.</x:v>
      </x:c>
      <x:c r="AF417" s="4" t="str">
        <x:v>T1</x:v>
      </x:c>
      <x:c r="AG417" s="4" t="str">
        <x:v>Proposed tier: one above the highest listed material input; further ingredients may change the tier.</x:v>
      </x:c>
      <x:c r="AH417" s="4" t="str">
        <x:v>Not applicable</x:v>
      </x:c>
      <x:c r="AI417" s="4" t="str">
        <x:v>Material</x:v>
      </x:c>
      <x:c r="AJ417" s="4" t="n">
        <x:f>COUNTIFS('Material routes'!$D$6:$D$1005,A417,'Material routes'!$C$6:$C$1005,"Output")</x:f>
        <x:v>1</x:v>
      </x:c>
      <x:c r="AK417" s="4" t="n">
        <x:f>SUM(COUNTIFS('Material routes'!$D$6:$D$1005,A417,'Material routes'!$C$6:$C$1005,"Ingredient candidate"),COUNTIFS('Material routes'!$D$6:$D$1005,A417,'Material routes'!$C$6:$C$1005,"Consumed input"),COUNTIFS('Material routes'!$D$6:$D$1005,A417,'Material routes'!$C$6:$C$1005,"Contained input"),COUNTIFS('Material routes'!$D$6:$D$1005,A417,'Material routes'!$C$6:$C$1005,"Transform input"))</x:f>
        <x:v>1</x:v>
      </x:c>
      <x:c r="AL417" s="4" t="n">
        <x:f>COUNTIFS('Material routes'!$D$6:$D$1005,A417,'Material routes'!$C$6:$C$1005,"Tool candidate")</x:f>
        <x:v>0</x:v>
      </x:c>
      <x:c r="AM417" s="4" t="str">
        <x:f>IF(AJ417&gt;0,"Route listed; review status/completeness",IF(AF417="T0","Raw entry feed; no production route","No production route listed"))</x:f>
        <x:v>Route listed; review status/completeness</x:v>
      </x:c>
      <x:c r="AN417" s="14" t="n">
        <x:f>IF(AF417="T0",0,IF(AF417="T1",1,IF(AF417="T2",2,IF(AF417="T3",3,IF(AF417="T4",4,IF(AF417="Unassigned",98,99))))))</x:f>
        <x:v>1</x:v>
      </x:c>
    </x:row>
    <x:row r="418" ht="115" customHeight="1">
      <x:c r="A418" s="9" t="str">
        <x:v>proposal.branch.flex_binder</x:v>
      </x:c>
      <x:c r="B418" s="9" t="str">
        <x:v>Prepared flexible faunal binder</x:v>
      </x:c>
      <x:c r="C418" s="9" t="str">
        <x:v>Resources</x:v>
      </x:c>
      <x:c r="D418" s="9" t="str">
        <x:v>T1 material / component proposal</x:v>
      </x:c>
      <x:c r="E418" s="9" t="str">
        <x:v>New proposal</x:v>
      </x:c>
      <x:c r="F418" s="9" t="str">
        <x:v>Material stock for binding and construction.</x:v>
      </x:c>
      <x:c r="G418" s="9" t="str">
        <x:v>None</x:v>
      </x:c>
      <x:c r="H418" s="9" t="str">
        <x:v>Workshop / cargo material; handling and storage unresolved</x:v>
      </x:c>
      <x:c r="I418" s="13"/>
      <x:c r="J418" s="15"/>
      <x:c r="K418" s="9" t="str">
        <x:v>Process candidate lower-tier feed; see linked recipe</x:v>
      </x:c>
      <x:c r="L418" s="9" t="str">
        <x:v>Condition a selected elastic-secretion fraction for further bonding formulations.</x:v>
      </x:c>
      <x:c r="M418" s="9" t="str">
        <x:v>Not implemented</x:v>
      </x:c>
      <x:c r="N418" s="9" t="str">
        <x:v>Hypothetical adhesive behavior, toxicity, flexibility and cure remain unqualified; not lubricant thickener.</x:v>
      </x:c>
      <x:c r="O418" s="17"/>
      <x:c r="P418" s="17"/>
      <x:c r="Q418" s="17"/>
      <x:c r="R418" s="17"/>
      <x:c r="S418" s="17"/>
      <x:c r="T418" s="9" t="str">
        <x:v>New October 15 brainstorming. Tier is conditional on the incomplete ingredient list; no quantities, performance ratings or installed crafting behavior assigned.</x:v>
      </x:c>
      <x:c r="U418" s="11" t="str">
        <x:v>prepared flexible faunal binder; t1; refined stock; binding and construction</x:v>
      </x:c>
      <x:c r="V418" s="9" t="str">
        <x:v>New game proposal, October 15, 2026; current author request and Docs/WORLD_BASIS.md material/refinement rules. Not a retrieved source-canon claim.</x:v>
      </x:c>
      <x:c r="W418" s="4" t="str">
        <x:v>Chemical material</x:v>
      </x:c>
      <x:c r="X418" s="4" t="str">
        <x:v>Processed intermediate</x:v>
      </x:c>
      <x:c r="Y418" s="4" t="str">
        <x:v>Manufactured / unresolved</x:v>
      </x:c>
      <x:c r="Z418" s="4" t="str">
        <x:v>Binding and construction</x:v>
      </x:c>
      <x:c r="AA418" s="4" t="str">
        <x:v>Biological chemical</x:v>
      </x:c>
      <x:c r="AB418" s="4" t="str">
        <x:v>Unresolved</x:v>
      </x:c>
      <x:c r="AC418" s="4" t="str">
        <x:v>Proposal</x:v>
      </x:c>
      <x:c r="AD418" s="4" t="str">
        <x:f>LOWER(A418&amp;"; "&amp;B418&amp;"; "&amp;C418&amp;"; "&amp;D418&amp;"; "&amp;W418&amp;"; "&amp;X418&amp;"; "&amp;Y418&amp;"; "&amp;Z418&amp;"; "&amp;AA418&amp;"; "&amp;AB418&amp;"; "&amp;AC418&amp;"; "&amp;U418&amp;"; "&amp;AF418&amp;"; "&amp;AH418&amp;"; "&amp;AI418)</x:f>
        <x:v>proposal.branch.flex_binder; prepared flexible faunal binder; resources; t1 material / component proposal; chemical material; processed intermediate; manufactured / unresolved; binding and construction; biological chemical; unresolved; proposal; prepared flexible faunal binder; t1; refined stock; binding and construction; t1; not applicable; material</x:v>
      </x:c>
      <x:c r="AE418" s="4" t="str">
        <x:v>New material-tree proposal; intended application and material behavior require qualification.</x:v>
      </x:c>
      <x:c r="AF418" s="4" t="str">
        <x:v>T1</x:v>
      </x:c>
      <x:c r="AG418" s="4" t="str">
        <x:v>Proposed tier: one above the highest listed material input; further ingredients may change the tier.</x:v>
      </x:c>
      <x:c r="AH418" s="4" t="str">
        <x:v>Not applicable</x:v>
      </x:c>
      <x:c r="AI418" s="4" t="str">
        <x:v>Material</x:v>
      </x:c>
      <x:c r="AJ418" s="4" t="n">
        <x:f>COUNTIFS('Material routes'!$D$6:$D$1005,A418,'Material routes'!$C$6:$C$1005,"Output")</x:f>
        <x:v>1</x:v>
      </x:c>
      <x:c r="AK418" s="4" t="n">
        <x:f>SUM(COUNTIFS('Material routes'!$D$6:$D$1005,A418,'Material routes'!$C$6:$C$1005,"Ingredient candidate"),COUNTIFS('Material routes'!$D$6:$D$1005,A418,'Material routes'!$C$6:$C$1005,"Consumed input"),COUNTIFS('Material routes'!$D$6:$D$1005,A418,'Material routes'!$C$6:$C$1005,"Contained input"),COUNTIFS('Material routes'!$D$6:$D$1005,A418,'Material routes'!$C$6:$C$1005,"Transform input"))</x:f>
        <x:v>2</x:v>
      </x:c>
      <x:c r="AL418" s="4" t="n">
        <x:f>COUNTIFS('Material routes'!$D$6:$D$1005,A418,'Material routes'!$C$6:$C$1005,"Tool candidate")</x:f>
        <x:v>0</x:v>
      </x:c>
      <x:c r="AM418" s="4" t="str">
        <x:f>IF(AJ418&gt;0,"Route listed; review status/completeness",IF(AF418="T0","Raw entry feed; no production route","No production route listed"))</x:f>
        <x:v>Route listed; review status/completeness</x:v>
      </x:c>
      <x:c r="AN418" s="14" t="n">
        <x:f>IF(AF418="T0",0,IF(AF418="T1",1,IF(AF418="T2",2,IF(AF418="T3",3,IF(AF418="T4",4,IF(AF418="Unassigned",98,99))))))</x:f>
        <x:v>1</x:v>
      </x:c>
    </x:row>
    <x:row r="419" ht="115" customHeight="1">
      <x:c r="A419" s="9" t="str">
        <x:v>proposal.branch.etchant</x:v>
      </x:c>
      <x:c r="B419" s="9" t="str">
        <x:v>Conditioned faunal etchant</x:v>
      </x:c>
      <x:c r="C419" s="9" t="str">
        <x:v>Resources</x:v>
      </x:c>
      <x:c r="D419" s="9" t="str">
        <x:v>T1 material / component proposal</x:v>
      </x:c>
      <x:c r="E419" s="9" t="str">
        <x:v>New proposal</x:v>
      </x:c>
      <x:c r="F419" s="9" t="str">
        <x:v>Material stock for surface finishing.</x:v>
      </x:c>
      <x:c r="G419" s="9" t="str">
        <x:v>None</x:v>
      </x:c>
      <x:c r="H419" s="9" t="str">
        <x:v>Workshop / cargo material; handling and storage unresolved</x:v>
      </x:c>
      <x:c r="I419" s="13"/>
      <x:c r="J419" s="15"/>
      <x:c r="K419" s="9" t="str">
        <x:v>Process candidate lower-tier feed; see linked recipe</x:v>
      </x:c>
      <x:c r="L419" s="9" t="str">
        <x:v>Separate and condition a selected digestive-fluid fraction for workshop research.</x:v>
      </x:c>
      <x:c r="M419" s="9" t="str">
        <x:v>Not implemented</x:v>
      </x:c>
      <x:c r="N419" s="9" t="str">
        <x:v>No exact acid, concentration, metal selectivity or safe application method established.</x:v>
      </x:c>
      <x:c r="O419" s="17"/>
      <x:c r="P419" s="17"/>
      <x:c r="Q419" s="17"/>
      <x:c r="R419" s="17"/>
      <x:c r="S419" s="17"/>
      <x:c r="T419" s="9" t="str">
        <x:v>New October 15 brainstorming. Tier is conditional on the incomplete ingredient list; no quantities, performance ratings or installed crafting behavior assigned.</x:v>
      </x:c>
      <x:c r="U419" s="11" t="str">
        <x:v>conditioned faunal etchant; t1; refined stock; surface finishing</x:v>
      </x:c>
      <x:c r="V419" s="9" t="str">
        <x:v>New game proposal, October 15, 2026; current author request and Docs/WORLD_BASIS.md material/refinement rules. Not a retrieved source-canon claim.</x:v>
      </x:c>
      <x:c r="W419" s="4" t="str">
        <x:v>Chemical material</x:v>
      </x:c>
      <x:c r="X419" s="4" t="str">
        <x:v>Processed intermediate</x:v>
      </x:c>
      <x:c r="Y419" s="4" t="str">
        <x:v>Manufactured / unresolved</x:v>
      </x:c>
      <x:c r="Z419" s="4" t="str">
        <x:v>Surface finishing</x:v>
      </x:c>
      <x:c r="AA419" s="4" t="str">
        <x:v>Biological chemical</x:v>
      </x:c>
      <x:c r="AB419" s="4" t="str">
        <x:v>Unresolved</x:v>
      </x:c>
      <x:c r="AC419" s="4" t="str">
        <x:v>Proposal</x:v>
      </x:c>
      <x:c r="AD419" s="4" t="str">
        <x:f>LOWER(A419&amp;"; "&amp;B419&amp;"; "&amp;C419&amp;"; "&amp;D419&amp;"; "&amp;W419&amp;"; "&amp;X419&amp;"; "&amp;Y419&amp;"; "&amp;Z419&amp;"; "&amp;AA419&amp;"; "&amp;AB419&amp;"; "&amp;AC419&amp;"; "&amp;U419&amp;"; "&amp;AF419&amp;"; "&amp;AH419&amp;"; "&amp;AI419)</x:f>
        <x:v>proposal.branch.etchant; conditioned faunal etchant; resources; t1 material / component proposal; chemical material; processed intermediate; manufactured / unresolved; surface finishing; biological chemical; unresolved; proposal; conditioned faunal etchant; t1; refined stock; surface finishing; t1; not applicable; material</x:v>
      </x:c>
      <x:c r="AE419" s="4" t="str">
        <x:v>New material-tree proposal; intended application and material behavior require qualification.</x:v>
      </x:c>
      <x:c r="AF419" s="4" t="str">
        <x:v>T1</x:v>
      </x:c>
      <x:c r="AG419" s="4" t="str">
        <x:v>Proposed tier: one above the highest listed material input; further ingredients may change the tier.</x:v>
      </x:c>
      <x:c r="AH419" s="4" t="str">
        <x:v>Not applicable</x:v>
      </x:c>
      <x:c r="AI419" s="4" t="str">
        <x:v>Material</x:v>
      </x:c>
      <x:c r="AJ419" s="4" t="n">
        <x:f>COUNTIFS('Material routes'!$D$6:$D$1005,A419,'Material routes'!$C$6:$C$1005,"Output")</x:f>
        <x:v>1</x:v>
      </x:c>
      <x:c r="AK419" s="4" t="n">
        <x:f>SUM(COUNTIFS('Material routes'!$D$6:$D$1005,A419,'Material routes'!$C$6:$C$1005,"Ingredient candidate"),COUNTIFS('Material routes'!$D$6:$D$1005,A419,'Material routes'!$C$6:$C$1005,"Consumed input"),COUNTIFS('Material routes'!$D$6:$D$1005,A419,'Material routes'!$C$6:$C$1005,"Contained input"),COUNTIFS('Material routes'!$D$6:$D$1005,A419,'Material routes'!$C$6:$C$1005,"Transform input"))</x:f>
        <x:v>1</x:v>
      </x:c>
      <x:c r="AL419" s="4" t="n">
        <x:f>COUNTIFS('Material routes'!$D$6:$D$1005,A419,'Material routes'!$C$6:$C$1005,"Tool candidate")</x:f>
        <x:v>0</x:v>
      </x:c>
      <x:c r="AM419" s="4" t="str">
        <x:f>IF(AJ419&gt;0,"Route listed; review status/completeness",IF(AF419="T0","Raw entry feed; no production route","No production route listed"))</x:f>
        <x:v>Route listed; review status/completeness</x:v>
      </x:c>
      <x:c r="AN419" s="14" t="n">
        <x:f>IF(AF419="T0",0,IF(AF419="T1",1,IF(AF419="T2",2,IF(AF419="T3",3,IF(AF419="T4",4,IF(AF419="Unassigned",98,99))))))</x:f>
        <x:v>1</x:v>
      </x:c>
    </x:row>
    <x:row r="420" ht="115" customHeight="1">
      <x:c r="A420" s="9" t="str">
        <x:v>proposal.branch.alloy_addition</x:v>
      </x:c>
      <x:c r="B420" s="9" t="str">
        <x:v>Prepared manganese alloying stock</x:v>
      </x:c>
      <x:c r="C420" s="9" t="str">
        <x:v>Resources</x:v>
      </x:c>
      <x:c r="D420" s="9" t="str">
        <x:v>T2 material / component proposal</x:v>
      </x:c>
      <x:c r="E420" s="9" t="str">
        <x:v>New proposal</x:v>
      </x:c>
      <x:c r="F420" s="9" t="str">
        <x:v>Material stock for metal refining.</x:v>
      </x:c>
      <x:c r="G420" s="9" t="str">
        <x:v>None</x:v>
      </x:c>
      <x:c r="H420" s="9" t="str">
        <x:v>Workshop / cargo material; handling and storage unresolved</x:v>
      </x:c>
      <x:c r="I420" s="13"/>
      <x:c r="J420" s="15"/>
      <x:c r="K420" s="9" t="str">
        <x:v>Process candidate lower-tier feed; see linked recipe</x:v>
      </x:c>
      <x:c r="L420" s="9" t="str">
        <x:v>Explore specialist extraction/preparation of an identified alloying charge.</x:v>
      </x:c>
      <x:c r="M420" s="9" t="str">
        <x:v>Not implemented</x:v>
      </x:c>
      <x:c r="N420" s="9" t="str">
        <x:v>Not every manganese mineral can be directly added to steel. Actual form, purity and furnace route remain research questions.</x:v>
      </x:c>
      <x:c r="O420" s="17"/>
      <x:c r="P420" s="17"/>
      <x:c r="Q420" s="17"/>
      <x:c r="R420" s="17"/>
      <x:c r="S420" s="17"/>
      <x:c r="T420" s="9" t="str">
        <x:v>New October 15 brainstorming. Tier is conditional on the incomplete ingredient list; no quantities, performance ratings or installed crafting behavior assigned.</x:v>
      </x:c>
      <x:c r="U420" s="11" t="str">
        <x:v>prepared manganese alloying stock; t2; refined stock; metal refining</x:v>
      </x:c>
      <x:c r="V420" s="9" t="str">
        <x:v>New game proposal, October 15, 2026; current author request and Docs/WORLD_BASIS.md material/refinement rules. Not a retrieved source-canon claim.</x:v>
      </x:c>
      <x:c r="W420" s="4" t="str">
        <x:v>Processed material</x:v>
      </x:c>
      <x:c r="X420" s="4" t="str">
        <x:v>Processed intermediate</x:v>
      </x:c>
      <x:c r="Y420" s="4" t="str">
        <x:v>Manufactured / unresolved</x:v>
      </x:c>
      <x:c r="Z420" s="4" t="str">
        <x:v>Metal refining</x:v>
      </x:c>
      <x:c r="AA420" s="4" t="str">
        <x:v>Metal</x:v>
      </x:c>
      <x:c r="AB420" s="4" t="str">
        <x:v>Solid piece</x:v>
      </x:c>
      <x:c r="AC420" s="4" t="str">
        <x:v>Proposal</x:v>
      </x:c>
      <x:c r="AD420" s="4" t="str">
        <x:f>LOWER(A420&amp;"; "&amp;B420&amp;"; "&amp;C420&amp;"; "&amp;D420&amp;"; "&amp;W420&amp;"; "&amp;X420&amp;"; "&amp;Y420&amp;"; "&amp;Z420&amp;"; "&amp;AA420&amp;"; "&amp;AB420&amp;"; "&amp;AC420&amp;"; "&amp;U420&amp;"; "&amp;AF420&amp;"; "&amp;AH420&amp;"; "&amp;AI420)</x:f>
        <x:v>proposal.branch.alloy_addition; prepared manganese alloying stock; resources; t2 material / component proposal; processed material; processed intermediate; manufactured / unresolved; metal refining; metal; solid piece; proposal; prepared manganese alloying stock; t2; refined stock; metal refining; t2; not applicable; material</x:v>
      </x:c>
      <x:c r="AE420" s="4" t="str">
        <x:v>New material-tree proposal; intended application and material behavior require qualification.</x:v>
      </x:c>
      <x:c r="AF420" s="4" t="str">
        <x:v>T2</x:v>
      </x:c>
      <x:c r="AG420" s="4" t="str">
        <x:v>Proposed tier: one above the highest listed material input; further ingredients may change the tier.</x:v>
      </x:c>
      <x:c r="AH420" s="4" t="str">
        <x:v>Not applicable</x:v>
      </x:c>
      <x:c r="AI420" s="4" t="str">
        <x:v>Material</x:v>
      </x:c>
      <x:c r="AJ420" s="4" t="n">
        <x:f>COUNTIFS('Material routes'!$D$6:$D$1005,A420,'Material routes'!$C$6:$C$1005,"Output")</x:f>
        <x:v>1</x:v>
      </x:c>
      <x:c r="AK420" s="4" t="n">
        <x:f>SUM(COUNTIFS('Material routes'!$D$6:$D$1005,A420,'Material routes'!$C$6:$C$1005,"Ingredient candidate"),COUNTIFS('Material routes'!$D$6:$D$1005,A420,'Material routes'!$C$6:$C$1005,"Consumed input"),COUNTIFS('Material routes'!$D$6:$D$1005,A420,'Material routes'!$C$6:$C$1005,"Contained input"),COUNTIFS('Material routes'!$D$6:$D$1005,A420,'Material routes'!$C$6:$C$1005,"Transform input"))</x:f>
        <x:v>1</x:v>
      </x:c>
      <x:c r="AL420" s="4" t="n">
        <x:f>COUNTIFS('Material routes'!$D$6:$D$1005,A420,'Material routes'!$C$6:$C$1005,"Tool candidate")</x:f>
        <x:v>0</x:v>
      </x:c>
      <x:c r="AM420" s="4" t="str">
        <x:f>IF(AJ420&gt;0,"Route listed; review status/completeness",IF(AF420="T0","Raw entry feed; no production route","No production route listed"))</x:f>
        <x:v>Route listed; review status/completeness</x:v>
      </x:c>
      <x:c r="AN420" s="14" t="n">
        <x:f>IF(AF420="T0",0,IF(AF420="T1",1,IF(AF420="T2",2,IF(AF420="T3",3,IF(AF420="T4",4,IF(AF420="Unassigned",98,99))))))</x:f>
        <x:v>2</x:v>
      </x:c>
    </x:row>
    <x:row r="421" ht="115" customHeight="1">
      <x:c r="A421" s="9" t="str">
        <x:v>proposal.branch.drawn_copper</x:v>
      </x:c>
      <x:c r="B421" s="9" t="str">
        <x:v>Drawn copper stock</x:v>
      </x:c>
      <x:c r="C421" s="9" t="str">
        <x:v>Resources</x:v>
      </x:c>
      <x:c r="D421" s="9" t="str">
        <x:v>T2 material / component proposal</x:v>
      </x:c>
      <x:c r="E421" s="9" t="str">
        <x:v>New proposal</x:v>
      </x:c>
      <x:c r="F421" s="9" t="str">
        <x:v>Material stock for electrical conduction.</x:v>
      </x:c>
      <x:c r="G421" s="9" t="str">
        <x:v>None</x:v>
      </x:c>
      <x:c r="H421" s="9" t="str">
        <x:v>Workshop / cargo material; handling and storage unresolved</x:v>
      </x:c>
      <x:c r="I421" s="13"/>
      <x:c r="J421" s="15"/>
      <x:c r="K421" s="9" t="str">
        <x:v>Process candidate lower-tier feed; see linked recipe</x:v>
      </x:c>
      <x:c r="L421" s="9" t="str">
        <x:v>Draw and finish a qualified copper batch into conductor stock.</x:v>
      </x:c>
      <x:c r="M421" s="9" t="str">
        <x:v>Not implemented</x:v>
      </x:c>
      <x:c r="N421" s="9" t="str">
        <x:v>Geometry, purity, current capacity and service grade remain undefined.</x:v>
      </x:c>
      <x:c r="O421" s="17"/>
      <x:c r="P421" s="17"/>
      <x:c r="Q421" s="17"/>
      <x:c r="R421" s="17"/>
      <x:c r="S421" s="17"/>
      <x:c r="T421" s="9" t="str">
        <x:v>New October 15 brainstorming. Tier is conditional on the incomplete ingredient list; no quantities, performance ratings or installed crafting behavior assigned.</x:v>
      </x:c>
      <x:c r="U421" s="11" t="str">
        <x:v>drawn copper stock; t2; refined stock; electrical conduction</x:v>
      </x:c>
      <x:c r="V421" s="9" t="str">
        <x:v>New game proposal, October 15, 2026; current author request and Docs/WORLD_BASIS.md material/refinement rules. Not a retrieved source-canon claim.</x:v>
      </x:c>
      <x:c r="W421" s="4" t="str">
        <x:v>Processed material</x:v>
      </x:c>
      <x:c r="X421" s="4" t="str">
        <x:v>Processed intermediate</x:v>
      </x:c>
      <x:c r="Y421" s="4" t="str">
        <x:v>Manufactured / unresolved</x:v>
      </x:c>
      <x:c r="Z421" s="4" t="str">
        <x:v>Electrical conduction</x:v>
      </x:c>
      <x:c r="AA421" s="4" t="str">
        <x:v>Metal</x:v>
      </x:c>
      <x:c r="AB421" s="4" t="str">
        <x:v>Cord</x:v>
      </x:c>
      <x:c r="AC421" s="4" t="str">
        <x:v>Proposal</x:v>
      </x:c>
      <x:c r="AD421" s="4" t="str">
        <x:f>LOWER(A421&amp;"; "&amp;B421&amp;"; "&amp;C421&amp;"; "&amp;D421&amp;"; "&amp;W421&amp;"; "&amp;X421&amp;"; "&amp;Y421&amp;"; "&amp;Z421&amp;"; "&amp;AA421&amp;"; "&amp;AB421&amp;"; "&amp;AC421&amp;"; "&amp;U421&amp;"; "&amp;AF421&amp;"; "&amp;AH421&amp;"; "&amp;AI421)</x:f>
        <x:v>proposal.branch.drawn_copper; drawn copper stock; resources; t2 material / component proposal; processed material; processed intermediate; manufactured / unresolved; electrical conduction; metal; cord; proposal; drawn copper stock; t2; refined stock; electrical conduction; t2; not applicable; material</x:v>
      </x:c>
      <x:c r="AE421" s="4" t="str">
        <x:v>New material-tree proposal; intended application and material behavior require qualification.</x:v>
      </x:c>
      <x:c r="AF421" s="4" t="str">
        <x:v>T2</x:v>
      </x:c>
      <x:c r="AG421" s="4" t="str">
        <x:v>Proposed tier: one above the highest listed material input; further ingredients may change the tier.</x:v>
      </x:c>
      <x:c r="AH421" s="4" t="str">
        <x:v>Not applicable</x:v>
      </x:c>
      <x:c r="AI421" s="4" t="str">
        <x:v>Material</x:v>
      </x:c>
      <x:c r="AJ421" s="4" t="n">
        <x:f>COUNTIFS('Material routes'!$D$6:$D$1005,A421,'Material routes'!$C$6:$C$1005,"Output")</x:f>
        <x:v>1</x:v>
      </x:c>
      <x:c r="AK421" s="4" t="n">
        <x:f>SUM(COUNTIFS('Material routes'!$D$6:$D$1005,A421,'Material routes'!$C$6:$C$1005,"Ingredient candidate"),COUNTIFS('Material routes'!$D$6:$D$1005,A421,'Material routes'!$C$6:$C$1005,"Consumed input"),COUNTIFS('Material routes'!$D$6:$D$1005,A421,'Material routes'!$C$6:$C$1005,"Contained input"),COUNTIFS('Material routes'!$D$6:$D$1005,A421,'Material routes'!$C$6:$C$1005,"Transform input"))</x:f>
        <x:v>1</x:v>
      </x:c>
      <x:c r="AL421" s="4" t="n">
        <x:f>COUNTIFS('Material routes'!$D$6:$D$1005,A421,'Material routes'!$C$6:$C$1005,"Tool candidate")</x:f>
        <x:v>0</x:v>
      </x:c>
      <x:c r="AM421" s="4" t="str">
        <x:f>IF(AJ421&gt;0,"Route listed; review status/completeness",IF(AF421="T0","Raw entry feed; no production route","No production route listed"))</x:f>
        <x:v>Route listed; review status/completeness</x:v>
      </x:c>
      <x:c r="AN421" s="14" t="n">
        <x:f>IF(AF421="T0",0,IF(AF421="T1",1,IF(AF421="T2",2,IF(AF421="T3",3,IF(AF421="T4",4,IF(AF421="Unassigned",98,99))))))</x:f>
        <x:v>2</x:v>
      </x:c>
    </x:row>
    <x:row r="422" ht="115" customHeight="1">
      <x:c r="A422" s="9" t="str">
        <x:v>proposal.branch.bearing_bronze</x:v>
      </x:c>
      <x:c r="B422" s="9" t="str">
        <x:v>Prepared bronze bearing stock</x:v>
      </x:c>
      <x:c r="C422" s="9" t="str">
        <x:v>Resources</x:v>
      </x:c>
      <x:c r="D422" s="9" t="str">
        <x:v>T2 material / component proposal</x:v>
      </x:c>
      <x:c r="E422" s="9" t="str">
        <x:v>New proposal</x:v>
      </x:c>
      <x:c r="F422" s="9" t="str">
        <x:v>Material stock for machinery repair.</x:v>
      </x:c>
      <x:c r="G422" s="9" t="str">
        <x:v>None</x:v>
      </x:c>
      <x:c r="H422" s="9" t="str">
        <x:v>Workshop / cargo material; handling and storage unresolved</x:v>
      </x:c>
      <x:c r="I422" s="13"/>
      <x:c r="J422" s="15"/>
      <x:c r="K422" s="9" t="str">
        <x:v>Process candidate lower-tier feed; see linked recipe</x:v>
      </x:c>
      <x:c r="L422" s="9" t="str">
        <x:v>Prepare identified bronze billet as machinable bearing stock.</x:v>
      </x:c>
      <x:c r="M422" s="9" t="str">
        <x:v>Not implemented</x:v>
      </x:c>
      <x:c r="N422" s="9" t="str">
        <x:v>Composition, machining, fit and bearing performance unresolved; not a finished universal bushing.</x:v>
      </x:c>
      <x:c r="O422" s="17"/>
      <x:c r="P422" s="17"/>
      <x:c r="Q422" s="17"/>
      <x:c r="R422" s="17"/>
      <x:c r="S422" s="17"/>
      <x:c r="T422" s="9" t="str">
        <x:v>New October 15 brainstorming. Tier is conditional on the incomplete ingredient list; no quantities, performance ratings or installed crafting behavior assigned.</x:v>
      </x:c>
      <x:c r="U422" s="11" t="str">
        <x:v>prepared bronze bearing stock; t2; refined stock; machinery repair</x:v>
      </x:c>
      <x:c r="V422" s="9" t="str">
        <x:v>New game proposal, October 15, 2026; current author request and Docs/WORLD_BASIS.md material/refinement rules. Not a retrieved source-canon claim.</x:v>
      </x:c>
      <x:c r="W422" s="4" t="str">
        <x:v>Processed material</x:v>
      </x:c>
      <x:c r="X422" s="4" t="str">
        <x:v>Processed intermediate</x:v>
      </x:c>
      <x:c r="Y422" s="4" t="str">
        <x:v>Manufactured / unresolved</x:v>
      </x:c>
      <x:c r="Z422" s="4" t="str">
        <x:v>Machinery repair</x:v>
      </x:c>
      <x:c r="AA422" s="4" t="str">
        <x:v>Metal</x:v>
      </x:c>
      <x:c r="AB422" s="4" t="str">
        <x:v>Solid part</x:v>
      </x:c>
      <x:c r="AC422" s="4" t="str">
        <x:v>Proposal</x:v>
      </x:c>
      <x:c r="AD422" s="4" t="str">
        <x:f>LOWER(A422&amp;"; "&amp;B422&amp;"; "&amp;C422&amp;"; "&amp;D422&amp;"; "&amp;W422&amp;"; "&amp;X422&amp;"; "&amp;Y422&amp;"; "&amp;Z422&amp;"; "&amp;AA422&amp;"; "&amp;AB422&amp;"; "&amp;AC422&amp;"; "&amp;U422&amp;"; "&amp;AF422&amp;"; "&amp;AH422&amp;"; "&amp;AI422)</x:f>
        <x:v>proposal.branch.bearing_bronze; prepared bronze bearing stock; resources; t2 material / component proposal; processed material; processed intermediate; manufactured / unresolved; machinery repair; metal; solid part; proposal; prepared bronze bearing stock; t2; refined stock; machinery repair; t2; not applicable; material</x:v>
      </x:c>
      <x:c r="AE422" s="4" t="str">
        <x:v>New material-tree proposal; intended application and material behavior require qualification.</x:v>
      </x:c>
      <x:c r="AF422" s="4" t="str">
        <x:v>T2</x:v>
      </x:c>
      <x:c r="AG422" s="4" t="str">
        <x:v>Proposed tier: one above the highest listed material input; further ingredients may change the tier.</x:v>
      </x:c>
      <x:c r="AH422" s="4" t="str">
        <x:v>Not applicable</x:v>
      </x:c>
      <x:c r="AI422" s="4" t="str">
        <x:v>Material</x:v>
      </x:c>
      <x:c r="AJ422" s="4" t="n">
        <x:f>COUNTIFS('Material routes'!$D$6:$D$1005,A422,'Material routes'!$C$6:$C$1005,"Output")</x:f>
        <x:v>1</x:v>
      </x:c>
      <x:c r="AK422" s="4" t="n">
        <x:f>SUM(COUNTIFS('Material routes'!$D$6:$D$1005,A422,'Material routes'!$C$6:$C$1005,"Ingredient candidate"),COUNTIFS('Material routes'!$D$6:$D$1005,A422,'Material routes'!$C$6:$C$1005,"Consumed input"),COUNTIFS('Material routes'!$D$6:$D$1005,A422,'Material routes'!$C$6:$C$1005,"Contained input"),COUNTIFS('Material routes'!$D$6:$D$1005,A422,'Material routes'!$C$6:$C$1005,"Transform input"))</x:f>
        <x:v>0</x:v>
      </x:c>
      <x:c r="AL422" s="4" t="n">
        <x:f>COUNTIFS('Material routes'!$D$6:$D$1005,A422,'Material routes'!$C$6:$C$1005,"Tool candidate")</x:f>
        <x:v>0</x:v>
      </x:c>
      <x:c r="AM422" s="4" t="str">
        <x:f>IF(AJ422&gt;0,"Route listed; review status/completeness",IF(AF422="T0","Raw entry feed; no production route","No production route listed"))</x:f>
        <x:v>Route listed; review status/completeness</x:v>
      </x:c>
      <x:c r="AN422" s="14" t="n">
        <x:f>IF(AF422="T0",0,IF(AF422="T1",1,IF(AF422="T2",2,IF(AF422="T3",3,IF(AF422="T4",4,IF(AF422="Unassigned",98,99))))))</x:f>
        <x:v>2</x:v>
      </x:c>
    </x:row>
    <x:row r="423" ht="115" customHeight="1">
      <x:c r="A423" s="9" t="str">
        <x:v>proposal.branch.refractory_ceramic</x:v>
      </x:c>
      <x:c r="B423" s="9" t="str">
        <x:v>Refractory ceramic stock</x:v>
      </x:c>
      <x:c r="C423" s="9" t="str">
        <x:v>Resources</x:v>
      </x:c>
      <x:c r="D423" s="9" t="str">
        <x:v>T2 material / component proposal</x:v>
      </x:c>
      <x:c r="E423" s="9" t="str">
        <x:v>New proposal</x:v>
      </x:c>
      <x:c r="F423" s="9" t="str">
        <x:v>Material stock for fire management.</x:v>
      </x:c>
      <x:c r="G423" s="9" t="str">
        <x:v>None</x:v>
      </x:c>
      <x:c r="H423" s="9" t="str">
        <x:v>Workshop / cargo material; handling and storage unresolved</x:v>
      </x:c>
      <x:c r="I423" s="13"/>
      <x:c r="J423" s="15"/>
      <x:c r="K423" s="9" t="str">
        <x:v>Process candidate lower-tier feed; see linked recipe</x:v>
      </x:c>
      <x:c r="L423" s="9" t="str">
        <x:v>Explore a selected refractory body and forming/firing route.</x:v>
      </x:c>
      <x:c r="M423" s="9" t="str">
        <x:v>Not implemented</x:v>
      </x:c>
      <x:c r="N423" s="9" t="str">
        <x:v>Binder compatibility, firing atmosphere, thermal shock and temperature limits require design; no free-water mix assumed.</x:v>
      </x:c>
      <x:c r="O423" s="17"/>
      <x:c r="P423" s="17"/>
      <x:c r="Q423" s="17"/>
      <x:c r="R423" s="17"/>
      <x:c r="S423" s="17"/>
      <x:c r="T423" s="9" t="str">
        <x:v>New October 15 brainstorming. Tier is conditional on the incomplete ingredient list; no quantities, performance ratings or installed crafting behavior assigned.</x:v>
      </x:c>
      <x:c r="U423" s="11" t="str">
        <x:v>refractory ceramic stock; t2; refined stock; fire management</x:v>
      </x:c>
      <x:c r="V423" s="9" t="str">
        <x:v>New game proposal, October 15, 2026; current author request and Docs/WORLD_BASIS.md material/refinement rules. Not a retrieved source-canon claim.</x:v>
      </x:c>
      <x:c r="W423" s="4" t="str">
        <x:v>Processed material</x:v>
      </x:c>
      <x:c r="X423" s="4" t="str">
        <x:v>Processed intermediate</x:v>
      </x:c>
      <x:c r="Y423" s="4" t="str">
        <x:v>Manufactured / unresolved</x:v>
      </x:c>
      <x:c r="Z423" s="4" t="str">
        <x:v>Fire management</x:v>
      </x:c>
      <x:c r="AA423" s="4" t="str">
        <x:v>Ceramic</x:v>
      </x:c>
      <x:c r="AB423" s="4" t="str">
        <x:v>Solid part</x:v>
      </x:c>
      <x:c r="AC423" s="4" t="str">
        <x:v>Proposal</x:v>
      </x:c>
      <x:c r="AD423" s="4" t="str">
        <x:f>LOWER(A423&amp;"; "&amp;B423&amp;"; "&amp;C423&amp;"; "&amp;D423&amp;"; "&amp;W423&amp;"; "&amp;X423&amp;"; "&amp;Y423&amp;"; "&amp;Z423&amp;"; "&amp;AA423&amp;"; "&amp;AB423&amp;"; "&amp;AC423&amp;"; "&amp;U423&amp;"; "&amp;AF423&amp;"; "&amp;AH423&amp;"; "&amp;AI423)</x:f>
        <x:v>proposal.branch.refractory_ceramic; refractory ceramic stock; resources; t2 material / component proposal; processed material; processed intermediate; manufactured / unresolved; fire management; ceramic; solid part; proposal; refractory ceramic stock; t2; refined stock; fire management; t2; not applicable; material</x:v>
      </x:c>
      <x:c r="AE423" s="4" t="str">
        <x:v>New material-tree proposal; intended application and material behavior require qualification.</x:v>
      </x:c>
      <x:c r="AF423" s="4" t="str">
        <x:v>T2</x:v>
      </x:c>
      <x:c r="AG423" s="4" t="str">
        <x:v>Proposed tier: one above the highest listed material input; further ingredients may change the tier.</x:v>
      </x:c>
      <x:c r="AH423" s="4" t="str">
        <x:v>Not applicable</x:v>
      </x:c>
      <x:c r="AI423" s="4" t="str">
        <x:v>Material</x:v>
      </x:c>
      <x:c r="AJ423" s="4" t="n">
        <x:f>COUNTIFS('Material routes'!$D$6:$D$1005,A423,'Material routes'!$C$6:$C$1005,"Output")</x:f>
        <x:v>1</x:v>
      </x:c>
      <x:c r="AK423" s="4" t="n">
        <x:f>SUM(COUNTIFS('Material routes'!$D$6:$D$1005,A423,'Material routes'!$C$6:$C$1005,"Ingredient candidate"),COUNTIFS('Material routes'!$D$6:$D$1005,A423,'Material routes'!$C$6:$C$1005,"Consumed input"),COUNTIFS('Material routes'!$D$6:$D$1005,A423,'Material routes'!$C$6:$C$1005,"Contained input"),COUNTIFS('Material routes'!$D$6:$D$1005,A423,'Material routes'!$C$6:$C$1005,"Transform input"))</x:f>
        <x:v>1</x:v>
      </x:c>
      <x:c r="AL423" s="4" t="n">
        <x:f>COUNTIFS('Material routes'!$D$6:$D$1005,A423,'Material routes'!$C$6:$C$1005,"Tool candidate")</x:f>
        <x:v>0</x:v>
      </x:c>
      <x:c r="AM423" s="4" t="str">
        <x:f>IF(AJ423&gt;0,"Route listed; review status/completeness",IF(AF423="T0","Raw entry feed; no production route","No production route listed"))</x:f>
        <x:v>Route listed; review status/completeness</x:v>
      </x:c>
      <x:c r="AN423" s="14" t="n">
        <x:f>IF(AF423="T0",0,IF(AF423="T1",1,IF(AF423="T2",2,IF(AF423="T3",3,IF(AF423="T4",4,IF(AF423="Unassigned",98,99))))))</x:f>
        <x:v>2</x:v>
      </x:c>
    </x:row>
    <x:row r="424" ht="115" customHeight="1">
      <x:c r="A424" s="9" t="str">
        <x:v>proposal.branch.opaque_sheet</x:v>
      </x:c>
      <x:c r="B424" s="9" t="str">
        <x:v>Formed opaque glass sheet</x:v>
      </x:c>
      <x:c r="C424" s="9" t="str">
        <x:v>Resources</x:v>
      </x:c>
      <x:c r="D424" s="9" t="str">
        <x:v>T2 material / component proposal</x:v>
      </x:c>
      <x:c r="E424" s="9" t="str">
        <x:v>New proposal</x:v>
      </x:c>
      <x:c r="F424" s="9" t="str">
        <x:v>Material stock for glass and ceramics.</x:v>
      </x:c>
      <x:c r="G424" s="9" t="str">
        <x:v>None</x:v>
      </x:c>
      <x:c r="H424" s="9" t="str">
        <x:v>Workshop / cargo material; handling and storage unresolved</x:v>
      </x:c>
      <x:c r="I424" s="13"/>
      <x:c r="J424" s="15"/>
      <x:c r="K424" s="9" t="str">
        <x:v>Process candidate lower-tier feed; see linked recipe</x:v>
      </x:c>
      <x:c r="L424" s="9" t="str">
        <x:v>Form and finish first glass stock into usable sheet feed.</x:v>
      </x:c>
      <x:c r="M424" s="9" t="str">
        <x:v>Not implemented</x:v>
      </x:c>
      <x:c r="N424" s="9" t="str">
        <x:v>Dimensions, impact behavior, forming equipment and annealing process remain open.</x:v>
      </x:c>
      <x:c r="O424" s="17"/>
      <x:c r="P424" s="17"/>
      <x:c r="Q424" s="17"/>
      <x:c r="R424" s="17"/>
      <x:c r="S424" s="17"/>
      <x:c r="T424" s="9" t="str">
        <x:v>New October 15 brainstorming. Tier is conditional on the incomplete ingredient list; no quantities, performance ratings or installed crafting behavior assigned.</x:v>
      </x:c>
      <x:c r="U424" s="11" t="str">
        <x:v>formed opaque glass sheet; t2; refined stock; glass and ceramics</x:v>
      </x:c>
      <x:c r="V424" s="9" t="str">
        <x:v>New game proposal, October 15, 2026; current author request and Docs/WORLD_BASIS.md material/refinement rules. Not a retrieved source-canon claim.</x:v>
      </x:c>
      <x:c r="W424" s="4" t="str">
        <x:v>Processed material</x:v>
      </x:c>
      <x:c r="X424" s="4" t="str">
        <x:v>Processed intermediate</x:v>
      </x:c>
      <x:c r="Y424" s="4" t="str">
        <x:v>Manufactured / unresolved</x:v>
      </x:c>
      <x:c r="Z424" s="4" t="str">
        <x:v>Glass and ceramics</x:v>
      </x:c>
      <x:c r="AA424" s="4" t="str">
        <x:v>Glass</x:v>
      </x:c>
      <x:c r="AB424" s="4" t="str">
        <x:v>Sheet</x:v>
      </x:c>
      <x:c r="AC424" s="4" t="str">
        <x:v>Proposal</x:v>
      </x:c>
      <x:c r="AD424" s="4" t="str">
        <x:f>LOWER(A424&amp;"; "&amp;B424&amp;"; "&amp;C424&amp;"; "&amp;D424&amp;"; "&amp;W424&amp;"; "&amp;X424&amp;"; "&amp;Y424&amp;"; "&amp;Z424&amp;"; "&amp;AA424&amp;"; "&amp;AB424&amp;"; "&amp;AC424&amp;"; "&amp;U424&amp;"; "&amp;AF424&amp;"; "&amp;AH424&amp;"; "&amp;AI424)</x:f>
        <x:v>proposal.branch.opaque_sheet; formed opaque glass sheet; resources; t2 material / component proposal; processed material; processed intermediate; manufactured / unresolved; glass and ceramics; glass; sheet; proposal; formed opaque glass sheet; t2; refined stock; glass and ceramics; t2; not applicable; material</x:v>
      </x:c>
      <x:c r="AE424" s="4" t="str">
        <x:v>New material-tree proposal; intended application and material behavior require qualification.</x:v>
      </x:c>
      <x:c r="AF424" s="4" t="str">
        <x:v>T2</x:v>
      </x:c>
      <x:c r="AG424" s="4" t="str">
        <x:v>Proposed tier: one above the highest listed material input; further ingredients may change the tier.</x:v>
      </x:c>
      <x:c r="AH424" s="4" t="str">
        <x:v>Not applicable</x:v>
      </x:c>
      <x:c r="AI424" s="4" t="str">
        <x:v>Material</x:v>
      </x:c>
      <x:c r="AJ424" s="4" t="n">
        <x:f>COUNTIFS('Material routes'!$D$6:$D$1005,A424,'Material routes'!$C$6:$C$1005,"Output")</x:f>
        <x:v>1</x:v>
      </x:c>
      <x:c r="AK424" s="4" t="n">
        <x:f>SUM(COUNTIFS('Material routes'!$D$6:$D$1005,A424,'Material routes'!$C$6:$C$1005,"Ingredient candidate"),COUNTIFS('Material routes'!$D$6:$D$1005,A424,'Material routes'!$C$6:$C$1005,"Consumed input"),COUNTIFS('Material routes'!$D$6:$D$1005,A424,'Material routes'!$C$6:$C$1005,"Contained input"),COUNTIFS('Material routes'!$D$6:$D$1005,A424,'Material routes'!$C$6:$C$1005,"Transform input"))</x:f>
        <x:v>0</x:v>
      </x:c>
      <x:c r="AL424" s="4" t="n">
        <x:f>COUNTIFS('Material routes'!$D$6:$D$1005,A424,'Material routes'!$C$6:$C$1005,"Tool candidate")</x:f>
        <x:v>0</x:v>
      </x:c>
      <x:c r="AM424" s="4" t="str">
        <x:f>IF(AJ424&gt;0,"Route listed; review status/completeness",IF(AF424="T0","Raw entry feed; no production route","No production route listed"))</x:f>
        <x:v>Route listed; review status/completeness</x:v>
      </x:c>
      <x:c r="AN424" s="14" t="n">
        <x:f>IF(AF424="T0",0,IF(AF424="T1",1,IF(AF424="T2",2,IF(AF424="T3",3,IF(AF424="T4",4,IF(AF424="Unassigned",98,99))))))</x:f>
        <x:v>2</x:v>
      </x:c>
    </x:row>
    <x:row r="425" ht="115" customHeight="1">
      <x:c r="A425" s="9" t="str">
        <x:v>proposal.branch.viewing_glass</x:v>
      </x:c>
      <x:c r="B425" s="9" t="str">
        <x:v>Selected viewing-glass stock</x:v>
      </x:c>
      <x:c r="C425" s="9" t="str">
        <x:v>Resources</x:v>
      </x:c>
      <x:c r="D425" s="9" t="str">
        <x:v>T2 material / component proposal</x:v>
      </x:c>
      <x:c r="E425" s="9" t="str">
        <x:v>New proposal</x:v>
      </x:c>
      <x:c r="F425" s="9" t="str">
        <x:v>Material stock for vision.</x:v>
      </x:c>
      <x:c r="G425" s="9" t="str">
        <x:v>None</x:v>
      </x:c>
      <x:c r="H425" s="9" t="str">
        <x:v>Workshop / cargo material; handling and storage unresolved</x:v>
      </x:c>
      <x:c r="I425" s="13"/>
      <x:c r="J425" s="15"/>
      <x:c r="K425" s="9" t="str">
        <x:v>Process candidate lower-tier feed; see linked recipe</x:v>
      </x:c>
      <x:c r="L425" s="9" t="str">
        <x:v>Select and prepare clear blanks for later precision work.</x:v>
      </x:c>
      <x:c r="M425" s="9" t="str">
        <x:v>Not implemented</x:v>
      </x:c>
      <x:c r="N425" s="9" t="str">
        <x:v>A specialist candidate stock, not finished spectacles or proof of optical-grade purity.</x:v>
      </x:c>
      <x:c r="O425" s="17"/>
      <x:c r="P425" s="17"/>
      <x:c r="Q425" s="17"/>
      <x:c r="R425" s="17"/>
      <x:c r="S425" s="17"/>
      <x:c r="T425" s="9" t="str">
        <x:v>New October 15 brainstorming. Tier is conditional on the incomplete ingredient list; no quantities, performance ratings or installed crafting behavior assigned.</x:v>
      </x:c>
      <x:c r="U425" s="11" t="str">
        <x:v>selected viewing-glass stock; t2; refined stock; vision</x:v>
      </x:c>
      <x:c r="V425" s="9" t="str">
        <x:v>New game proposal, October 15, 2026; current author request and Docs/WORLD_BASIS.md material/refinement rules. Not a retrieved source-canon claim.</x:v>
      </x:c>
      <x:c r="W425" s="4" t="str">
        <x:v>Processed material</x:v>
      </x:c>
      <x:c r="X425" s="4" t="str">
        <x:v>Processed intermediate</x:v>
      </x:c>
      <x:c r="Y425" s="4" t="str">
        <x:v>Manufactured / unresolved</x:v>
      </x:c>
      <x:c r="Z425" s="4" t="str">
        <x:v>Vision</x:v>
      </x:c>
      <x:c r="AA425" s="4" t="str">
        <x:v>Glass</x:v>
      </x:c>
      <x:c r="AB425" s="4" t="str">
        <x:v>Solid piece</x:v>
      </x:c>
      <x:c r="AC425" s="4" t="str">
        <x:v>Proposal</x:v>
      </x:c>
      <x:c r="AD425" s="4" t="str">
        <x:f>LOWER(A425&amp;"; "&amp;B425&amp;"; "&amp;C425&amp;"; "&amp;D425&amp;"; "&amp;W425&amp;"; "&amp;X425&amp;"; "&amp;Y425&amp;"; "&amp;Z425&amp;"; "&amp;AA425&amp;"; "&amp;AB425&amp;"; "&amp;AC425&amp;"; "&amp;U425&amp;"; "&amp;AF425&amp;"; "&amp;AH425&amp;"; "&amp;AI425)</x:f>
        <x:v>proposal.branch.viewing_glass; selected viewing-glass stock; resources; t2 material / component proposal; processed material; processed intermediate; manufactured / unresolved; vision; glass; solid piece; proposal; selected viewing-glass stock; t2; refined stock; vision; t2; not applicable; material</x:v>
      </x:c>
      <x:c r="AE425" s="4" t="str">
        <x:v>New material-tree proposal; intended application and material behavior require qualification.</x:v>
      </x:c>
      <x:c r="AF425" s="4" t="str">
        <x:v>T2</x:v>
      </x:c>
      <x:c r="AG425" s="4" t="str">
        <x:v>Proposed tier: one above the highest listed material input; further ingredients may change the tier.</x:v>
      </x:c>
      <x:c r="AH425" s="4" t="str">
        <x:v>Not applicable</x:v>
      </x:c>
      <x:c r="AI425" s="4" t="str">
        <x:v>Material</x:v>
      </x:c>
      <x:c r="AJ425" s="4" t="n">
        <x:f>COUNTIFS('Material routes'!$D$6:$D$1005,A425,'Material routes'!$C$6:$C$1005,"Output")</x:f>
        <x:v>1</x:v>
      </x:c>
      <x:c r="AK425" s="4" t="n">
        <x:f>SUM(COUNTIFS('Material routes'!$D$6:$D$1005,A425,'Material routes'!$C$6:$C$1005,"Ingredient candidate"),COUNTIFS('Material routes'!$D$6:$D$1005,A425,'Material routes'!$C$6:$C$1005,"Consumed input"),COUNTIFS('Material routes'!$D$6:$D$1005,A425,'Material routes'!$C$6:$C$1005,"Contained input"),COUNTIFS('Material routes'!$D$6:$D$1005,A425,'Material routes'!$C$6:$C$1005,"Transform input"))</x:f>
        <x:v>1</x:v>
      </x:c>
      <x:c r="AL425" s="4" t="n">
        <x:f>COUNTIFS('Material routes'!$D$6:$D$1005,A425,'Material routes'!$C$6:$C$1005,"Tool candidate")</x:f>
        <x:v>0</x:v>
      </x:c>
      <x:c r="AM425" s="4" t="str">
        <x:f>IF(AJ425&gt;0,"Route listed; review status/completeness",IF(AF425="T0","Raw entry feed; no production route","No production route listed"))</x:f>
        <x:v>Route listed; review status/completeness</x:v>
      </x:c>
      <x:c r="AN425" s="14" t="n">
        <x:f>IF(AF425="T0",0,IF(AF425="T1",1,IF(AF425="T2",2,IF(AF425="T3",3,IF(AF425="T4",4,IF(AF425="Unassigned",98,99))))))</x:f>
        <x:v>2</x:v>
      </x:c>
    </x:row>
    <x:row r="426" ht="115" customHeight="1">
      <x:c r="A426" s="9" t="str">
        <x:v>proposal.branch.husk_sheet</x:v>
      </x:c>
      <x:c r="B426" s="9" t="str">
        <x:v>Bonded husk sheet</x:v>
      </x:c>
      <x:c r="C426" s="9" t="str">
        <x:v>Resources</x:v>
      </x:c>
      <x:c r="D426" s="9" t="str">
        <x:v>T2 material / component proposal</x:v>
      </x:c>
      <x:c r="E426" s="9" t="str">
        <x:v>New proposal</x:v>
      </x:c>
      <x:c r="F426" s="9" t="str">
        <x:v>Material stock for clothing fabrication.</x:v>
      </x:c>
      <x:c r="G426" s="9" t="str">
        <x:v>None</x:v>
      </x:c>
      <x:c r="H426" s="9" t="str">
        <x:v>Workshop / cargo material; handling and storage unresolved</x:v>
      </x:c>
      <x:c r="I426" s="13"/>
      <x:c r="J426" s="15"/>
      <x:c r="K426" s="9" t="str">
        <x:v>Process candidate lower-tier feed; see linked recipe</x:v>
      </x:c>
      <x:c r="L426" s="9" t="str">
        <x:v>Explore difficult bonding/pressing of prepared husk material.</x:v>
      </x:c>
      <x:c r="M426" s="9" t="str">
        <x:v>Not implemented</x:v>
      </x:c>
      <x:c r="N426" s="9" t="str">
        <x:v>Not ordinary cloth. Flexibility, adhesive compatibility, very high labor and large feed requirements remain open.</x:v>
      </x:c>
      <x:c r="O426" s="17"/>
      <x:c r="P426" s="17"/>
      <x:c r="Q426" s="17"/>
      <x:c r="R426" s="17"/>
      <x:c r="S426" s="17"/>
      <x:c r="T426" s="9" t="str">
        <x:v>New October 15 brainstorming. Tier is conditional on the incomplete ingredient list; no quantities, performance ratings or installed crafting behavior assigned.</x:v>
      </x:c>
      <x:c r="U426" s="11" t="str">
        <x:v>bonded husk sheet; t2; refined stock; clothing fabrication</x:v>
      </x:c>
      <x:c r="V426" s="9" t="str">
        <x:v>New game proposal, October 15, 2026; current author request and Docs/WORLD_BASIS.md material/refinement rules. Not a retrieved source-canon claim.</x:v>
      </x:c>
      <x:c r="W426" s="4" t="str">
        <x:v>Processed material</x:v>
      </x:c>
      <x:c r="X426" s="4" t="str">
        <x:v>Processed intermediate</x:v>
      </x:c>
      <x:c r="Y426" s="4" t="str">
        <x:v>Manufactured / unresolved</x:v>
      </x:c>
      <x:c r="Z426" s="4" t="str">
        <x:v>Clothing fabrication</x:v>
      </x:c>
      <x:c r="AA426" s="4" t="str">
        <x:v>Husk fiber</x:v>
      </x:c>
      <x:c r="AB426" s="4" t="str">
        <x:v>Sheet</x:v>
      </x:c>
      <x:c r="AC426" s="4" t="str">
        <x:v>Proposal</x:v>
      </x:c>
      <x:c r="AD426" s="4" t="str">
        <x:f>LOWER(A426&amp;"; "&amp;B426&amp;"; "&amp;C426&amp;"; "&amp;D426&amp;"; "&amp;W426&amp;"; "&amp;X426&amp;"; "&amp;Y426&amp;"; "&amp;Z426&amp;"; "&amp;AA426&amp;"; "&amp;AB426&amp;"; "&amp;AC426&amp;"; "&amp;U426&amp;"; "&amp;AF426&amp;"; "&amp;AH426&amp;"; "&amp;AI426)</x:f>
        <x:v>proposal.branch.husk_sheet; bonded husk sheet; resources; t2 material / component proposal; processed material; processed intermediate; manufactured / unresolved; clothing fabrication; husk fiber; sheet; proposal; bonded husk sheet; t2; refined stock; clothing fabrication; t2; not applicable; material</x:v>
      </x:c>
      <x:c r="AE426" s="4" t="str">
        <x:v>New material-tree proposal; intended application and material behavior require qualification.</x:v>
      </x:c>
      <x:c r="AF426" s="4" t="str">
        <x:v>T2</x:v>
      </x:c>
      <x:c r="AG426" s="4" t="str">
        <x:v>Proposed tier: one above the highest listed material input; further ingredients may change the tier.</x:v>
      </x:c>
      <x:c r="AH426" s="4" t="str">
        <x:v>Not applicable</x:v>
      </x:c>
      <x:c r="AI426" s="4" t="str">
        <x:v>Material</x:v>
      </x:c>
      <x:c r="AJ426" s="4" t="n">
        <x:f>COUNTIFS('Material routes'!$D$6:$D$1005,A426,'Material routes'!$C$6:$C$1005,"Output")</x:f>
        <x:v>1</x:v>
      </x:c>
      <x:c r="AK426" s="4" t="n">
        <x:f>SUM(COUNTIFS('Material routes'!$D$6:$D$1005,A426,'Material routes'!$C$6:$C$1005,"Ingredient candidate"),COUNTIFS('Material routes'!$D$6:$D$1005,A426,'Material routes'!$C$6:$C$1005,"Consumed input"),COUNTIFS('Material routes'!$D$6:$D$1005,A426,'Material routes'!$C$6:$C$1005,"Contained input"),COUNTIFS('Material routes'!$D$6:$D$1005,A426,'Material routes'!$C$6:$C$1005,"Transform input"))</x:f>
        <x:v>2</x:v>
      </x:c>
      <x:c r="AL426" s="4" t="n">
        <x:f>COUNTIFS('Material routes'!$D$6:$D$1005,A426,'Material routes'!$C$6:$C$1005,"Tool candidate")</x:f>
        <x:v>0</x:v>
      </x:c>
      <x:c r="AM426" s="4" t="str">
        <x:f>IF(AJ426&gt;0,"Route listed; review status/completeness",IF(AF426="T0","Raw entry feed; no production route","No production route listed"))</x:f>
        <x:v>Route listed; review status/completeness</x:v>
      </x:c>
      <x:c r="AN426" s="14" t="n">
        <x:f>IF(AF426="T0",0,IF(AF426="T1",1,IF(AF426="T2",2,IF(AF426="T3",3,IF(AF426="T4",4,IF(AF426="Unassigned",98,99))))))</x:f>
        <x:v>2</x:v>
      </x:c>
    </x:row>
    <x:row r="427" ht="115" customHeight="1">
      <x:c r="A427" s="9" t="str">
        <x:v>proposal.branch.wing_membrane</x:v>
      </x:c>
      <x:c r="B427" s="9" t="str">
        <x:v>Reinforced wing membrane</x:v>
      </x:c>
      <x:c r="C427" s="9" t="str">
        <x:v>Resources</x:v>
      </x:c>
      <x:c r="D427" s="9" t="str">
        <x:v>T2 material / component proposal</x:v>
      </x:c>
      <x:c r="E427" s="9" t="str">
        <x:v>New proposal</x:v>
      </x:c>
      <x:c r="F427" s="9" t="str">
        <x:v>Material stock for wind propulsion.</x:v>
      </x:c>
      <x:c r="G427" s="9" t="str">
        <x:v>None</x:v>
      </x:c>
      <x:c r="H427" s="9" t="str">
        <x:v>Workshop / cargo material; handling and storage unresolved</x:v>
      </x:c>
      <x:c r="I427" s="13"/>
      <x:c r="J427" s="15"/>
      <x:c r="K427" s="9" t="str">
        <x:v>Process candidate lower-tier feed; see linked recipe</x:v>
      </x:c>
      <x:c r="L427" s="9" t="str">
        <x:v>Explore edge reinforcement and joining of prepared wing panels.</x:v>
      </x:c>
      <x:c r="M427" s="9" t="str">
        <x:v>Not implemented</x:v>
      </x:c>
      <x:c r="N427" s="9" t="str">
        <x:v>Delicate species-specific material; no universal sail strength, flexibility or weather resistance established.</x:v>
      </x:c>
      <x:c r="O427" s="17"/>
      <x:c r="P427" s="17"/>
      <x:c r="Q427" s="17"/>
      <x:c r="R427" s="17"/>
      <x:c r="S427" s="17"/>
      <x:c r="T427" s="9" t="str">
        <x:v>New October 15 brainstorming. Tier is conditional on the incomplete ingredient list; no quantities, performance ratings or installed crafting behavior assigned.</x:v>
      </x:c>
      <x:c r="U427" s="11" t="str">
        <x:v>reinforced wing membrane; t2; refined stock; wind propulsion</x:v>
      </x:c>
      <x:c r="V427" s="9" t="str">
        <x:v>New game proposal, October 15, 2026; current author request and Docs/WORLD_BASIS.md material/refinement rules. Not a retrieved source-canon claim.</x:v>
      </x:c>
      <x:c r="W427" s="4" t="str">
        <x:v>Processed material</x:v>
      </x:c>
      <x:c r="X427" s="4" t="str">
        <x:v>Processed intermediate</x:v>
      </x:c>
      <x:c r="Y427" s="4" t="str">
        <x:v>Manufactured / unresolved</x:v>
      </x:c>
      <x:c r="Z427" s="4" t="str">
        <x:v>Wind propulsion</x:v>
      </x:c>
      <x:c r="AA427" s="4" t="str">
        <x:v>Wing membrane</x:v>
      </x:c>
      <x:c r="AB427" s="4" t="str">
        <x:v>Membrane</x:v>
      </x:c>
      <x:c r="AC427" s="4" t="str">
        <x:v>Proposal</x:v>
      </x:c>
      <x:c r="AD427" s="4" t="str">
        <x:f>LOWER(A427&amp;"; "&amp;B427&amp;"; "&amp;C427&amp;"; "&amp;D427&amp;"; "&amp;W427&amp;"; "&amp;X427&amp;"; "&amp;Y427&amp;"; "&amp;Z427&amp;"; "&amp;AA427&amp;"; "&amp;AB427&amp;"; "&amp;AC427&amp;"; "&amp;U427&amp;"; "&amp;AF427&amp;"; "&amp;AH427&amp;"; "&amp;AI427)</x:f>
        <x:v>proposal.branch.wing_membrane; reinforced wing membrane; resources; t2 material / component proposal; processed material; processed intermediate; manufactured / unresolved; wind propulsion; wing membrane; membrane; proposal; reinforced wing membrane; t2; refined stock; wind propulsion; t2; not applicable; material</x:v>
      </x:c>
      <x:c r="AE427" s="4" t="str">
        <x:v>New material-tree proposal; intended application and material behavior require qualification.</x:v>
      </x:c>
      <x:c r="AF427" s="4" t="str">
        <x:v>T2</x:v>
      </x:c>
      <x:c r="AG427" s="4" t="str">
        <x:v>Proposed tier: one above the highest listed material input; further ingredients may change the tier.</x:v>
      </x:c>
      <x:c r="AH427" s="4" t="str">
        <x:v>Not applicable</x:v>
      </x:c>
      <x:c r="AI427" s="4" t="str">
        <x:v>Material</x:v>
      </x:c>
      <x:c r="AJ427" s="4" t="n">
        <x:f>COUNTIFS('Material routes'!$D$6:$D$1005,A427,'Material routes'!$C$6:$C$1005,"Output")</x:f>
        <x:v>1</x:v>
      </x:c>
      <x:c r="AK427" s="4" t="n">
        <x:f>SUM(COUNTIFS('Material routes'!$D$6:$D$1005,A427,'Material routes'!$C$6:$C$1005,"Ingredient candidate"),COUNTIFS('Material routes'!$D$6:$D$1005,A427,'Material routes'!$C$6:$C$1005,"Consumed input"),COUNTIFS('Material routes'!$D$6:$D$1005,A427,'Material routes'!$C$6:$C$1005,"Contained input"),COUNTIFS('Material routes'!$D$6:$D$1005,A427,'Material routes'!$C$6:$C$1005,"Transform input"))</x:f>
        <x:v>0</x:v>
      </x:c>
      <x:c r="AL427" s="4" t="n">
        <x:f>COUNTIFS('Material routes'!$D$6:$D$1005,A427,'Material routes'!$C$6:$C$1005,"Tool candidate")</x:f>
        <x:v>0</x:v>
      </x:c>
      <x:c r="AM427" s="4" t="str">
        <x:f>IF(AJ427&gt;0,"Route listed; review status/completeness",IF(AF427="T0","Raw entry feed; no production route","No production route listed"))</x:f>
        <x:v>Route listed; review status/completeness</x:v>
      </x:c>
      <x:c r="AN427" s="14" t="n">
        <x:f>IF(AF427="T0",0,IF(AF427="T1",1,IF(AF427="T2",2,IF(AF427="T3",3,IF(AF427="T4",4,IF(AF427="Unassigned",98,99))))))</x:f>
        <x:v>2</x:v>
      </x:c>
    </x:row>
    <x:row r="428" ht="115" customHeight="1">
      <x:c r="A428" s="9" t="str">
        <x:v>proposal.branch.filled_seal</x:v>
      </x:c>
      <x:c r="B428" s="9" t="str">
        <x:v>Filled faunal seal compound</x:v>
      </x:c>
      <x:c r="C428" s="9" t="str">
        <x:v>Resources</x:v>
      </x:c>
      <x:c r="D428" s="9" t="str">
        <x:v>T2 material / component proposal</x:v>
      </x:c>
      <x:c r="E428" s="9" t="str">
        <x:v>New proposal</x:v>
      </x:c>
      <x:c r="F428" s="9" t="str">
        <x:v>Material stock for sealing.</x:v>
      </x:c>
      <x:c r="G428" s="9" t="str">
        <x:v>None</x:v>
      </x:c>
      <x:c r="H428" s="9" t="str">
        <x:v>Workshop / cargo material; handling and storage unresolved</x:v>
      </x:c>
      <x:c r="I428" s="13"/>
      <x:c r="J428" s="15"/>
      <x:c r="K428" s="9" t="str">
        <x:v>Process candidate lower-tier feed; see linked recipe</x:v>
      </x:c>
      <x:c r="L428" s="9" t="str">
        <x:v>Explore a bounded patch/seal formulation from prepared secretion and graded filler.</x:v>
      </x:c>
      <x:c r="M428" s="9" t="str">
        <x:v>Not implemented</x:v>
      </x:c>
      <x:c r="N428" s="9" t="str">
        <x:v>Not pressure-qualified canister sealant; cure, adhesion, cracking and compatibility remain open.</x:v>
      </x:c>
      <x:c r="O428" s="17"/>
      <x:c r="P428" s="17"/>
      <x:c r="Q428" s="17"/>
      <x:c r="R428" s="17"/>
      <x:c r="S428" s="17"/>
      <x:c r="T428" s="9" t="str">
        <x:v>New October 15 brainstorming. Tier is conditional on the incomplete ingredient list; no quantities, performance ratings or installed crafting behavior assigned.</x:v>
      </x:c>
      <x:c r="U428" s="11" t="str">
        <x:v>filled faunal seal compound; t2; refined stock; sealing</x:v>
      </x:c>
      <x:c r="V428" s="9" t="str">
        <x:v>New game proposal, October 15, 2026; current author request and Docs/WORLD_BASIS.md material/refinement rules. Not a retrieved source-canon claim.</x:v>
      </x:c>
      <x:c r="W428" s="4" t="str">
        <x:v>Chemical material</x:v>
      </x:c>
      <x:c r="X428" s="4" t="str">
        <x:v>Processed intermediate</x:v>
      </x:c>
      <x:c r="Y428" s="4" t="str">
        <x:v>Manufactured / unresolved</x:v>
      </x:c>
      <x:c r="Z428" s="4" t="str">
        <x:v>Sealing</x:v>
      </x:c>
      <x:c r="AA428" s="4" t="str">
        <x:v>Biological chemical</x:v>
      </x:c>
      <x:c r="AB428" s="4" t="str">
        <x:v>Unresolved</x:v>
      </x:c>
      <x:c r="AC428" s="4" t="str">
        <x:v>Proposal</x:v>
      </x:c>
      <x:c r="AD428" s="4" t="str">
        <x:f>LOWER(A428&amp;"; "&amp;B428&amp;"; "&amp;C428&amp;"; "&amp;D428&amp;"; "&amp;W428&amp;"; "&amp;X428&amp;"; "&amp;Y428&amp;"; "&amp;Z428&amp;"; "&amp;AA428&amp;"; "&amp;AB428&amp;"; "&amp;AC428&amp;"; "&amp;U428&amp;"; "&amp;AF428&amp;"; "&amp;AH428&amp;"; "&amp;AI428)</x:f>
        <x:v>proposal.branch.filled_seal; filled faunal seal compound; resources; t2 material / component proposal; chemical material; processed intermediate; manufactured / unresolved; sealing; biological chemical; unresolved; proposal; filled faunal seal compound; t2; refined stock; sealing; t2; not applicable; material</x:v>
      </x:c>
      <x:c r="AE428" s="4" t="str">
        <x:v>New material-tree proposal; intended application and material behavior require qualification.</x:v>
      </x:c>
      <x:c r="AF428" s="4" t="str">
        <x:v>T2</x:v>
      </x:c>
      <x:c r="AG428" s="4" t="str">
        <x:v>Proposed tier: one above the highest listed material input; further ingredients may change the tier.</x:v>
      </x:c>
      <x:c r="AH428" s="4" t="str">
        <x:v>Not applicable</x:v>
      </x:c>
      <x:c r="AI428" s="4" t="str">
        <x:v>Material</x:v>
      </x:c>
      <x:c r="AJ428" s="4" t="n">
        <x:f>COUNTIFS('Material routes'!$D$6:$D$1005,A428,'Material routes'!$C$6:$C$1005,"Output")</x:f>
        <x:v>1</x:v>
      </x:c>
      <x:c r="AK428" s="4" t="n">
        <x:f>SUM(COUNTIFS('Material routes'!$D$6:$D$1005,A428,'Material routes'!$C$6:$C$1005,"Ingredient candidate"),COUNTIFS('Material routes'!$D$6:$D$1005,A428,'Material routes'!$C$6:$C$1005,"Consumed input"),COUNTIFS('Material routes'!$D$6:$D$1005,A428,'Material routes'!$C$6:$C$1005,"Contained input"),COUNTIFS('Material routes'!$D$6:$D$1005,A428,'Material routes'!$C$6:$C$1005,"Transform input"))</x:f>
        <x:v>2</x:v>
      </x:c>
      <x:c r="AL428" s="4" t="n">
        <x:f>COUNTIFS('Material routes'!$D$6:$D$1005,A428,'Material routes'!$C$6:$C$1005,"Tool candidate")</x:f>
        <x:v>0</x:v>
      </x:c>
      <x:c r="AM428" s="4" t="str">
        <x:f>IF(AJ428&gt;0,"Route listed; review status/completeness",IF(AF428="T0","Raw entry feed; no production route","No production route listed"))</x:f>
        <x:v>Route listed; review status/completeness</x:v>
      </x:c>
      <x:c r="AN428" s="14" t="n">
        <x:f>IF(AF428="T0",0,IF(AF428="T1",1,IF(AF428="T2",2,IF(AF428="T3",3,IF(AF428="T4",4,IF(AF428="Unassigned",98,99))))))</x:f>
        <x:v>2</x:v>
      </x:c>
    </x:row>
    <x:row r="429" ht="115" customHeight="1">
      <x:c r="A429" s="9" t="str">
        <x:v>proposal.branch.flex_bond</x:v>
      </x:c>
      <x:c r="B429" s="9" t="str">
        <x:v>Flexible membrane-bonding compound</x:v>
      </x:c>
      <x:c r="C429" s="9" t="str">
        <x:v>Resources</x:v>
      </x:c>
      <x:c r="D429" s="9" t="str">
        <x:v>T2 material / component proposal</x:v>
      </x:c>
      <x:c r="E429" s="9" t="str">
        <x:v>New proposal</x:v>
      </x:c>
      <x:c r="F429" s="9" t="str">
        <x:v>Material stock for binding and construction.</x:v>
      </x:c>
      <x:c r="G429" s="9" t="str">
        <x:v>None</x:v>
      </x:c>
      <x:c r="H429" s="9" t="str">
        <x:v>Workshop / cargo material; handling and storage unresolved</x:v>
      </x:c>
      <x:c r="I429" s="13"/>
      <x:c r="J429" s="15"/>
      <x:c r="K429" s="9" t="str">
        <x:v>Process candidate lower-tier feed; see linked recipe</x:v>
      </x:c>
      <x:c r="L429" s="9" t="str">
        <x:v>Explore a controlled membrane-bond formulation.</x:v>
      </x:c>
      <x:c r="M429" s="9" t="str">
        <x:v>Not implemented</x:v>
      </x:c>
      <x:c r="N429" s="9" t="str">
        <x:v>Carrier interaction, flexibility, toxicity and aging unresolved; not guaranteed rubber or synthetic polymer.</x:v>
      </x:c>
      <x:c r="O429" s="17"/>
      <x:c r="P429" s="17"/>
      <x:c r="Q429" s="17"/>
      <x:c r="R429" s="17"/>
      <x:c r="S429" s="17"/>
      <x:c r="T429" s="9" t="str">
        <x:v>New October 15 brainstorming. Tier is conditional on the incomplete ingredient list; no quantities, performance ratings or installed crafting behavior assigned.</x:v>
      </x:c>
      <x:c r="U429" s="11" t="str">
        <x:v>flexible membrane-bonding compound; t2; refined stock; binding and construction</x:v>
      </x:c>
      <x:c r="V429" s="9" t="str">
        <x:v>New game proposal, October 15, 2026; current author request and Docs/WORLD_BASIS.md material/refinement rules. Not a retrieved source-canon claim.</x:v>
      </x:c>
      <x:c r="W429" s="4" t="str">
        <x:v>Chemical material</x:v>
      </x:c>
      <x:c r="X429" s="4" t="str">
        <x:v>Processed intermediate</x:v>
      </x:c>
      <x:c r="Y429" s="4" t="str">
        <x:v>Manufactured / unresolved</x:v>
      </x:c>
      <x:c r="Z429" s="4" t="str">
        <x:v>Binding and construction</x:v>
      </x:c>
      <x:c r="AA429" s="4" t="str">
        <x:v>Biological chemical</x:v>
      </x:c>
      <x:c r="AB429" s="4" t="str">
        <x:v>Unresolved</x:v>
      </x:c>
      <x:c r="AC429" s="4" t="str">
        <x:v>Proposal</x:v>
      </x:c>
      <x:c r="AD429" s="4" t="str">
        <x:f>LOWER(A429&amp;"; "&amp;B429&amp;"; "&amp;C429&amp;"; "&amp;D429&amp;"; "&amp;W429&amp;"; "&amp;X429&amp;"; "&amp;Y429&amp;"; "&amp;Z429&amp;"; "&amp;AA429&amp;"; "&amp;AB429&amp;"; "&amp;AC429&amp;"; "&amp;U429&amp;"; "&amp;AF429&amp;"; "&amp;AH429&amp;"; "&amp;AI429)</x:f>
        <x:v>proposal.branch.flex_bond; flexible membrane-bonding compound; resources; t2 material / component proposal; chemical material; processed intermediate; manufactured / unresolved; binding and construction; biological chemical; unresolved; proposal; flexible membrane-bonding compound; t2; refined stock; binding and construction; t2; not applicable; material</x:v>
      </x:c>
      <x:c r="AE429" s="4" t="str">
        <x:v>New material-tree proposal; intended application and material behavior require qualification.</x:v>
      </x:c>
      <x:c r="AF429" s="4" t="str">
        <x:v>T2</x:v>
      </x:c>
      <x:c r="AG429" s="4" t="str">
        <x:v>Proposed tier: one above the highest listed material input; further ingredients may change the tier.</x:v>
      </x:c>
      <x:c r="AH429" s="4" t="str">
        <x:v>Not applicable</x:v>
      </x:c>
      <x:c r="AI429" s="4" t="str">
        <x:v>Material</x:v>
      </x:c>
      <x:c r="AJ429" s="4" t="n">
        <x:f>COUNTIFS('Material routes'!$D$6:$D$1005,A429,'Material routes'!$C$6:$C$1005,"Output")</x:f>
        <x:v>1</x:v>
      </x:c>
      <x:c r="AK429" s="4" t="n">
        <x:f>SUM(COUNTIFS('Material routes'!$D$6:$D$1005,A429,'Material routes'!$C$6:$C$1005,"Ingredient candidate"),COUNTIFS('Material routes'!$D$6:$D$1005,A429,'Material routes'!$C$6:$C$1005,"Consumed input"),COUNTIFS('Material routes'!$D$6:$D$1005,A429,'Material routes'!$C$6:$C$1005,"Contained input"),COUNTIFS('Material routes'!$D$6:$D$1005,A429,'Material routes'!$C$6:$C$1005,"Transform input"))</x:f>
        <x:v>4</x:v>
      </x:c>
      <x:c r="AL429" s="4" t="n">
        <x:f>COUNTIFS('Material routes'!$D$6:$D$1005,A429,'Material routes'!$C$6:$C$1005,"Tool candidate")</x:f>
        <x:v>0</x:v>
      </x:c>
      <x:c r="AM429" s="4" t="str">
        <x:f>IF(AJ429&gt;0,"Route listed; review status/completeness",IF(AF429="T0","Raw entry feed; no production route","No production route listed"))</x:f>
        <x:v>Route listed; review status/completeness</x:v>
      </x:c>
      <x:c r="AN429" s="14" t="n">
        <x:f>IF(AF429="T0",0,IF(AF429="T1",1,IF(AF429="T2",2,IF(AF429="T3",3,IF(AF429="T4",4,IF(AF429="Unassigned",98,99))))))</x:f>
        <x:v>2</x:v>
      </x:c>
    </x:row>
    <x:row r="430" ht="115" customHeight="1">
      <x:c r="A430" s="9" t="str">
        <x:v>proposal.branch.pigment_coating</x:v>
      </x:c>
      <x:c r="B430" s="9" t="str">
        <x:v>Mineral pigment coating</x:v>
      </x:c>
      <x:c r="C430" s="9" t="str">
        <x:v>Resources</x:v>
      </x:c>
      <x:c r="D430" s="9" t="str">
        <x:v>T2 material / component proposal</x:v>
      </x:c>
      <x:c r="E430" s="9" t="str">
        <x:v>New proposal</x:v>
      </x:c>
      <x:c r="F430" s="9" t="str">
        <x:v>Material stock for decoration.</x:v>
      </x:c>
      <x:c r="G430" s="9" t="str">
        <x:v>None</x:v>
      </x:c>
      <x:c r="H430" s="9" t="str">
        <x:v>Workshop / cargo material; handling and storage unresolved</x:v>
      </x:c>
      <x:c r="I430" s="13"/>
      <x:c r="J430" s="15"/>
      <x:c r="K430" s="9" t="str">
        <x:v>Process candidate lower-tier feed; see linked recipe</x:v>
      </x:c>
      <x:c r="L430" s="9" t="str">
        <x:v>Explore an applied colorant using selected mineral pigment and a contained faunal carrier.</x:v>
      </x:c>
      <x:c r="M430" s="9" t="str">
        <x:v>Not implemented</x:v>
      </x:c>
      <x:c r="N430" s="9" t="str">
        <x:v>No food use, universal adhesion or conventional paint chemistry inferred.</x:v>
      </x:c>
      <x:c r="O430" s="17"/>
      <x:c r="P430" s="17"/>
      <x:c r="Q430" s="17"/>
      <x:c r="R430" s="17"/>
      <x:c r="S430" s="17"/>
      <x:c r="T430" s="9" t="str">
        <x:v>New October 15 brainstorming. Tier is conditional on the incomplete ingredient list; no quantities, performance ratings or installed crafting behavior assigned.</x:v>
      </x:c>
      <x:c r="U430" s="11" t="str">
        <x:v>mineral pigment coating; t2; refined stock; decoration</x:v>
      </x:c>
      <x:c r="V430" s="9" t="str">
        <x:v>New game proposal, October 15, 2026; current author request and Docs/WORLD_BASIS.md material/refinement rules. Not a retrieved source-canon claim.</x:v>
      </x:c>
      <x:c r="W430" s="4" t="str">
        <x:v>Processed material</x:v>
      </x:c>
      <x:c r="X430" s="4" t="str">
        <x:v>Processed intermediate</x:v>
      </x:c>
      <x:c r="Y430" s="4" t="str">
        <x:v>Manufactured / unresolved</x:v>
      </x:c>
      <x:c r="Z430" s="4" t="str">
        <x:v>Decoration</x:v>
      </x:c>
      <x:c r="AA430" s="4" t="str">
        <x:v>Biological and mineral mixture</x:v>
      </x:c>
      <x:c r="AB430" s="4" t="str">
        <x:v>Unresolved</x:v>
      </x:c>
      <x:c r="AC430" s="4" t="str">
        <x:v>Proposal</x:v>
      </x:c>
      <x:c r="AD430" s="4" t="str">
        <x:f>LOWER(A430&amp;"; "&amp;B430&amp;"; "&amp;C430&amp;"; "&amp;D430&amp;"; "&amp;W430&amp;"; "&amp;X430&amp;"; "&amp;Y430&amp;"; "&amp;Z430&amp;"; "&amp;AA430&amp;"; "&amp;AB430&amp;"; "&amp;AC430&amp;"; "&amp;U430&amp;"; "&amp;AF430&amp;"; "&amp;AH430&amp;"; "&amp;AI430)</x:f>
        <x:v>proposal.branch.pigment_coating; mineral pigment coating; resources; t2 material / component proposal; processed material; processed intermediate; manufactured / unresolved; decoration; biological and mineral mixture; unresolved; proposal; mineral pigment coating; t2; refined stock; decoration; t2; not applicable; material</x:v>
      </x:c>
      <x:c r="AE430" s="4" t="str">
        <x:v>New material-tree proposal; intended application and material behavior require qualification.</x:v>
      </x:c>
      <x:c r="AF430" s="4" t="str">
        <x:v>T2</x:v>
      </x:c>
      <x:c r="AG430" s="4" t="str">
        <x:v>Proposed tier: one above the highest listed material input; further ingredients may change the tier.</x:v>
      </x:c>
      <x:c r="AH430" s="4" t="str">
        <x:v>Not applicable</x:v>
      </x:c>
      <x:c r="AI430" s="4" t="str">
        <x:v>Material</x:v>
      </x:c>
      <x:c r="AJ430" s="4" t="n">
        <x:f>COUNTIFS('Material routes'!$D$6:$D$1005,A430,'Material routes'!$C$6:$C$1005,"Output")</x:f>
        <x:v>1</x:v>
      </x:c>
      <x:c r="AK430" s="4" t="n">
        <x:f>SUM(COUNTIFS('Material routes'!$D$6:$D$1005,A430,'Material routes'!$C$6:$C$1005,"Ingredient candidate"),COUNTIFS('Material routes'!$D$6:$D$1005,A430,'Material routes'!$C$6:$C$1005,"Consumed input"),COUNTIFS('Material routes'!$D$6:$D$1005,A430,'Material routes'!$C$6:$C$1005,"Contained input"),COUNTIFS('Material routes'!$D$6:$D$1005,A430,'Material routes'!$C$6:$C$1005,"Transform input"))</x:f>
        <x:v>1</x:v>
      </x:c>
      <x:c r="AL430" s="4" t="n">
        <x:f>COUNTIFS('Material routes'!$D$6:$D$1005,A430,'Material routes'!$C$6:$C$1005,"Tool candidate")</x:f>
        <x:v>0</x:v>
      </x:c>
      <x:c r="AM430" s="4" t="str">
        <x:f>IF(AJ430&gt;0,"Route listed; review status/completeness",IF(AF430="T0","Raw entry feed; no production route","No production route listed"))</x:f>
        <x:v>Route listed; review status/completeness</x:v>
      </x:c>
      <x:c r="AN430" s="14" t="n">
        <x:f>IF(AF430="T0",0,IF(AF430="T1",1,IF(AF430="T2",2,IF(AF430="T3",3,IF(AF430="T4",4,IF(AF430="Unassigned",98,99))))))</x:f>
        <x:v>2</x:v>
      </x:c>
    </x:row>
    <x:row r="431" ht="115" customHeight="1">
      <x:c r="A431" s="9" t="str">
        <x:v>proposal.branch.filled_binder</x:v>
      </x:c>
      <x:c r="B431" s="9" t="str">
        <x:v>Filled shell-binding compound</x:v>
      </x:c>
      <x:c r="C431" s="9" t="str">
        <x:v>Resources</x:v>
      </x:c>
      <x:c r="D431" s="9" t="str">
        <x:v>T2 material / component proposal</x:v>
      </x:c>
      <x:c r="E431" s="9" t="str">
        <x:v>New proposal</x:v>
      </x:c>
      <x:c r="F431" s="9" t="str">
        <x:v>Material stock for binding and construction.</x:v>
      </x:c>
      <x:c r="G431" s="9" t="str">
        <x:v>None</x:v>
      </x:c>
      <x:c r="H431" s="9" t="str">
        <x:v>Workshop / cargo material; handling and storage unresolved</x:v>
      </x:c>
      <x:c r="I431" s="13"/>
      <x:c r="J431" s="15"/>
      <x:c r="K431" s="9" t="str">
        <x:v>Process candidate lower-tier feed; see linked recipe</x:v>
      </x:c>
      <x:c r="L431" s="9" t="str">
        <x:v>Explore a controlled filled adhesive batch for later composite stock.</x:v>
      </x:c>
      <x:c r="M431" s="9" t="str">
        <x:v>Not implemented</x:v>
      </x:c>
      <x:c r="N431" s="9" t="str">
        <x:v>Bond strength, heat tolerance and service compatibility need qualification. Distinct from lubricant thickening and seal conditioning.</x:v>
      </x:c>
      <x:c r="O431" s="17"/>
      <x:c r="P431" s="17"/>
      <x:c r="Q431" s="17"/>
      <x:c r="R431" s="17"/>
      <x:c r="S431" s="17"/>
      <x:c r="T431" s="9" t="str">
        <x:v>New October 15 brainstorming. Tier is conditional on the incomplete ingredient list; no quantities, performance ratings or installed crafting behavior assigned.</x:v>
      </x:c>
      <x:c r="U431" s="11" t="str">
        <x:v>filled shell-binding compound; t2; refined stock; binding and construction</x:v>
      </x:c>
      <x:c r="V431" s="9" t="str">
        <x:v>New game proposal, October 15, 2026; current author request and Docs/WORLD_BASIS.md material/refinement rules. Not a retrieved source-canon claim.</x:v>
      </x:c>
      <x:c r="W431" s="4" t="str">
        <x:v>Chemical material</x:v>
      </x:c>
      <x:c r="X431" s="4" t="str">
        <x:v>Processed intermediate</x:v>
      </x:c>
      <x:c r="Y431" s="4" t="str">
        <x:v>Manufactured / unresolved</x:v>
      </x:c>
      <x:c r="Z431" s="4" t="str">
        <x:v>Binding and construction</x:v>
      </x:c>
      <x:c r="AA431" s="4" t="str">
        <x:v>Biological chemical</x:v>
      </x:c>
      <x:c r="AB431" s="4" t="str">
        <x:v>Unresolved</x:v>
      </x:c>
      <x:c r="AC431" s="4" t="str">
        <x:v>Proposal</x:v>
      </x:c>
      <x:c r="AD431" s="4" t="str">
        <x:f>LOWER(A431&amp;"; "&amp;B431&amp;"; "&amp;C431&amp;"; "&amp;D431&amp;"; "&amp;W431&amp;"; "&amp;X431&amp;"; "&amp;Y431&amp;"; "&amp;Z431&amp;"; "&amp;AA431&amp;"; "&amp;AB431&amp;"; "&amp;AC431&amp;"; "&amp;U431&amp;"; "&amp;AF431&amp;"; "&amp;AH431&amp;"; "&amp;AI431)</x:f>
        <x:v>proposal.branch.filled_binder; filled shell-binding compound; resources; t2 material / component proposal; chemical material; processed intermediate; manufactured / unresolved; binding and construction; biological chemical; unresolved; proposal; filled shell-binding compound; t2; refined stock; binding and construction; t2; not applicable; material</x:v>
      </x:c>
      <x:c r="AE431" s="4" t="str">
        <x:v>New material-tree proposal; intended application and material behavior require qualification.</x:v>
      </x:c>
      <x:c r="AF431" s="4" t="str">
        <x:v>T2</x:v>
      </x:c>
      <x:c r="AG431" s="4" t="str">
        <x:v>Proposed tier: one above the highest listed material input; further ingredients may change the tier.</x:v>
      </x:c>
      <x:c r="AH431" s="4" t="str">
        <x:v>Not applicable</x:v>
      </x:c>
      <x:c r="AI431" s="4" t="str">
        <x:v>Material</x:v>
      </x:c>
      <x:c r="AJ431" s="4" t="n">
        <x:f>COUNTIFS('Material routes'!$D$6:$D$1005,A431,'Material routes'!$C$6:$C$1005,"Output")</x:f>
        <x:v>1</x:v>
      </x:c>
      <x:c r="AK431" s="4" t="n">
        <x:f>SUM(COUNTIFS('Material routes'!$D$6:$D$1005,A431,'Material routes'!$C$6:$C$1005,"Ingredient candidate"),COUNTIFS('Material routes'!$D$6:$D$1005,A431,'Material routes'!$C$6:$C$1005,"Consumed input"),COUNTIFS('Material routes'!$D$6:$D$1005,A431,'Material routes'!$C$6:$C$1005,"Contained input"),COUNTIFS('Material routes'!$D$6:$D$1005,A431,'Material routes'!$C$6:$C$1005,"Transform input"))</x:f>
        <x:v>4</x:v>
      </x:c>
      <x:c r="AL431" s="4" t="n">
        <x:f>COUNTIFS('Material routes'!$D$6:$D$1005,A431,'Material routes'!$C$6:$C$1005,"Tool candidate")</x:f>
        <x:v>0</x:v>
      </x:c>
      <x:c r="AM431" s="4" t="str">
        <x:f>IF(AJ431&gt;0,"Route listed; review status/completeness",IF(AF431="T0","Raw entry feed; no production route","No production route listed"))</x:f>
        <x:v>Route listed; review status/completeness</x:v>
      </x:c>
      <x:c r="AN431" s="14" t="n">
        <x:f>IF(AF431="T0",0,IF(AF431="T1",1,IF(AF431="T2",2,IF(AF431="T3",3,IF(AF431="T4",4,IF(AF431="Unassigned",98,99))))))</x:f>
        <x:v>2</x:v>
      </x:c>
    </x:row>
    <x:row r="432" ht="115" customHeight="1">
      <x:c r="A432" s="9" t="str">
        <x:v>proposal.branch.mica_sheet</x:v>
      </x:c>
      <x:c r="B432" s="9" t="str">
        <x:v>Mica composite sheet</x:v>
      </x:c>
      <x:c r="C432" s="9" t="str">
        <x:v>Resources</x:v>
      </x:c>
      <x:c r="D432" s="9" t="str">
        <x:v>T2 material / component proposal</x:v>
      </x:c>
      <x:c r="E432" s="9" t="str">
        <x:v>New proposal</x:v>
      </x:c>
      <x:c r="F432" s="9" t="str">
        <x:v>Material stock for electrical insulation.</x:v>
      </x:c>
      <x:c r="G432" s="9" t="str">
        <x:v>None</x:v>
      </x:c>
      <x:c r="H432" s="9" t="str">
        <x:v>Workshop / cargo material; handling and storage unresolved</x:v>
      </x:c>
      <x:c r="I432" s="13"/>
      <x:c r="J432" s="15"/>
      <x:c r="K432" s="9" t="str">
        <x:v>Process candidate lower-tier feed; see linked recipe</x:v>
      </x:c>
      <x:c r="L432" s="9" t="str">
        <x:v>Explore binding selected mineral flakes into sheet stock.</x:v>
      </x:c>
      <x:c r="M432" s="9" t="str">
        <x:v>Not implemented</x:v>
      </x:c>
      <x:c r="N432" s="9" t="str">
        <x:v>Insulation is an intended application, not a proven voltage/thermal rating; binder may limit service.</x:v>
      </x:c>
      <x:c r="O432" s="17"/>
      <x:c r="P432" s="17"/>
      <x:c r="Q432" s="17"/>
      <x:c r="R432" s="17"/>
      <x:c r="S432" s="17"/>
      <x:c r="T432" s="9" t="str">
        <x:v>New October 15 brainstorming. Tier is conditional on the incomplete ingredient list; no quantities, performance ratings or installed crafting behavior assigned.</x:v>
      </x:c>
      <x:c r="U432" s="11" t="str">
        <x:v>mica composite sheet; t2; refined stock; electrical insulation</x:v>
      </x:c>
      <x:c r="V432" s="9" t="str">
        <x:v>New game proposal, October 15, 2026; current author request and Docs/WORLD_BASIS.md material/refinement rules. Not a retrieved source-canon claim.</x:v>
      </x:c>
      <x:c r="W432" s="4" t="str">
        <x:v>Processed material</x:v>
      </x:c>
      <x:c r="X432" s="4" t="str">
        <x:v>Processed intermediate</x:v>
      </x:c>
      <x:c r="Y432" s="4" t="str">
        <x:v>Manufactured / unresolved</x:v>
      </x:c>
      <x:c r="Z432" s="4" t="str">
        <x:v>Electrical insulation</x:v>
      </x:c>
      <x:c r="AA432" s="4" t="str">
        <x:v>Mixed / unresolved</x:v>
      </x:c>
      <x:c r="AB432" s="4" t="str">
        <x:v>Sheet</x:v>
      </x:c>
      <x:c r="AC432" s="4" t="str">
        <x:v>Proposal</x:v>
      </x:c>
      <x:c r="AD432" s="4" t="str">
        <x:f>LOWER(A432&amp;"; "&amp;B432&amp;"; "&amp;C432&amp;"; "&amp;D432&amp;"; "&amp;W432&amp;"; "&amp;X432&amp;"; "&amp;Y432&amp;"; "&amp;Z432&amp;"; "&amp;AA432&amp;"; "&amp;AB432&amp;"; "&amp;AC432&amp;"; "&amp;U432&amp;"; "&amp;AF432&amp;"; "&amp;AH432&amp;"; "&amp;AI432)</x:f>
        <x:v>proposal.branch.mica_sheet; mica composite sheet; resources; t2 material / component proposal; processed material; processed intermediate; manufactured / unresolved; electrical insulation; mixed / unresolved; sheet; proposal; mica composite sheet; t2; refined stock; electrical insulation; t2; not applicable; material</x:v>
      </x:c>
      <x:c r="AE432" s="4" t="str">
        <x:v>New material-tree proposal; intended application and material behavior require qualification.</x:v>
      </x:c>
      <x:c r="AF432" s="4" t="str">
        <x:v>T2</x:v>
      </x:c>
      <x:c r="AG432" s="4" t="str">
        <x:v>Proposed tier: one above the highest listed material input; further ingredients may change the tier.</x:v>
      </x:c>
      <x:c r="AH432" s="4" t="str">
        <x:v>Not applicable</x:v>
      </x:c>
      <x:c r="AI432" s="4" t="str">
        <x:v>Material</x:v>
      </x:c>
      <x:c r="AJ432" s="4" t="n">
        <x:f>COUNTIFS('Material routes'!$D$6:$D$1005,A432,'Material routes'!$C$6:$C$1005,"Output")</x:f>
        <x:v>1</x:v>
      </x:c>
      <x:c r="AK432" s="4" t="n">
        <x:f>SUM(COUNTIFS('Material routes'!$D$6:$D$1005,A432,'Material routes'!$C$6:$C$1005,"Ingredient candidate"),COUNTIFS('Material routes'!$D$6:$D$1005,A432,'Material routes'!$C$6:$C$1005,"Consumed input"),COUNTIFS('Material routes'!$D$6:$D$1005,A432,'Material routes'!$C$6:$C$1005,"Contained input"),COUNTIFS('Material routes'!$D$6:$D$1005,A432,'Material routes'!$C$6:$C$1005,"Transform input"))</x:f>
        <x:v>3</x:v>
      </x:c>
      <x:c r="AL432" s="4" t="n">
        <x:f>COUNTIFS('Material routes'!$D$6:$D$1005,A432,'Material routes'!$C$6:$C$1005,"Tool candidate")</x:f>
        <x:v>0</x:v>
      </x:c>
      <x:c r="AM432" s="4" t="str">
        <x:f>IF(AJ432&gt;0,"Route listed; review status/completeness",IF(AF432="T0","Raw entry feed; no production route","No production route listed"))</x:f>
        <x:v>Route listed; review status/completeness</x:v>
      </x:c>
      <x:c r="AN432" s="14" t="n">
        <x:f>IF(AF432="T0",0,IF(AF432="T1",1,IF(AF432="T2",2,IF(AF432="T3",3,IF(AF432="T4",4,IF(AF432="Unassigned",98,99))))))</x:f>
        <x:v>2</x:v>
      </x:c>
    </x:row>
    <x:row r="433" ht="115" customHeight="1">
      <x:c r="A433" s="9" t="str">
        <x:v>proposal.branch.tuned_stone</x:v>
      </x:c>
      <x:c r="B433" s="9" t="str">
        <x:v>Tuned stone stock</x:v>
      </x:c>
      <x:c r="C433" s="9" t="str">
        <x:v>Resources</x:v>
      </x:c>
      <x:c r="D433" s="9" t="str">
        <x:v>T2 material / component proposal</x:v>
      </x:c>
      <x:c r="E433" s="9" t="str">
        <x:v>New proposal</x:v>
      </x:c>
      <x:c r="F433" s="9" t="str">
        <x:v>Material stock for music.</x:v>
      </x:c>
      <x:c r="G433" s="9" t="str">
        <x:v>None</x:v>
      </x:c>
      <x:c r="H433" s="9" t="str">
        <x:v>Workshop / cargo material; handling and storage unresolved</x:v>
      </x:c>
      <x:c r="I433" s="13"/>
      <x:c r="J433" s="15"/>
      <x:c r="K433" s="9" t="str">
        <x:v>Process candidate lower-tier feed; see linked recipe</x:v>
      </x:c>
      <x:c r="L433" s="9" t="str">
        <x:v>Select and tune candidate stone stock for instrument-making.</x:v>
      </x:c>
      <x:c r="M433" s="9" t="str">
        <x:v>Not implemented</x:v>
      </x:c>
      <x:c r="N433" s="9" t="str">
        <x:v>No automatic Caller abilities or power amplification; mineral selection, tuning and finished instrument design remain open.</x:v>
      </x:c>
      <x:c r="O433" s="17"/>
      <x:c r="P433" s="17"/>
      <x:c r="Q433" s="17"/>
      <x:c r="R433" s="17"/>
      <x:c r="S433" s="17"/>
      <x:c r="T433" s="9" t="str">
        <x:v>New October 15 brainstorming. Tier is conditional on the incomplete ingredient list; no quantities, performance ratings or installed crafting behavior assigned.</x:v>
      </x:c>
      <x:c r="U433" s="11" t="str">
        <x:v>tuned stone stock; t2; refined stock; music</x:v>
      </x:c>
      <x:c r="V433" s="9" t="str">
        <x:v>New game proposal, October 15, 2026; current author request and Docs/WORLD_BASIS.md material/refinement rules. Not a retrieved source-canon claim.</x:v>
      </x:c>
      <x:c r="W433" s="4" t="str">
        <x:v>Processed material</x:v>
      </x:c>
      <x:c r="X433" s="4" t="str">
        <x:v>Processed intermediate</x:v>
      </x:c>
      <x:c r="Y433" s="4" t="str">
        <x:v>Manufactured / unresolved</x:v>
      </x:c>
      <x:c r="Z433" s="4" t="str">
        <x:v>Music</x:v>
      </x:c>
      <x:c r="AA433" s="4" t="str">
        <x:v>Mineral</x:v>
      </x:c>
      <x:c r="AB433" s="4" t="str">
        <x:v>Solid piece</x:v>
      </x:c>
      <x:c r="AC433" s="4" t="str">
        <x:v>Proposal</x:v>
      </x:c>
      <x:c r="AD433" s="4" t="str">
        <x:f>LOWER(A433&amp;"; "&amp;B433&amp;"; "&amp;C433&amp;"; "&amp;D433&amp;"; "&amp;W433&amp;"; "&amp;X433&amp;"; "&amp;Y433&amp;"; "&amp;Z433&amp;"; "&amp;AA433&amp;"; "&amp;AB433&amp;"; "&amp;AC433&amp;"; "&amp;U433&amp;"; "&amp;AF433&amp;"; "&amp;AH433&amp;"; "&amp;AI433)</x:f>
        <x:v>proposal.branch.tuned_stone; tuned stone stock; resources; t2 material / component proposal; processed material; processed intermediate; manufactured / unresolved; music; mineral; solid piece; proposal; tuned stone stock; t2; refined stock; music; t2; not applicable; material</x:v>
      </x:c>
      <x:c r="AE433" s="4" t="str">
        <x:v>New material-tree proposal; intended application and material behavior require qualification.</x:v>
      </x:c>
      <x:c r="AF433" s="4" t="str">
        <x:v>T2</x:v>
      </x:c>
      <x:c r="AG433" s="4" t="str">
        <x:v>Proposed tier: one above the highest listed material input; further ingredients may change the tier.</x:v>
      </x:c>
      <x:c r="AH433" s="4" t="str">
        <x:v>Not applicable</x:v>
      </x:c>
      <x:c r="AI433" s="4" t="str">
        <x:v>Material</x:v>
      </x:c>
      <x:c r="AJ433" s="4" t="n">
        <x:f>COUNTIFS('Material routes'!$D$6:$D$1005,A433,'Material routes'!$C$6:$C$1005,"Output")</x:f>
        <x:v>1</x:v>
      </x:c>
      <x:c r="AK433" s="4" t="n">
        <x:f>SUM(COUNTIFS('Material routes'!$D$6:$D$1005,A433,'Material routes'!$C$6:$C$1005,"Ingredient candidate"),COUNTIFS('Material routes'!$D$6:$D$1005,A433,'Material routes'!$C$6:$C$1005,"Consumed input"),COUNTIFS('Material routes'!$D$6:$D$1005,A433,'Material routes'!$C$6:$C$1005,"Contained input"),COUNTIFS('Material routes'!$D$6:$D$1005,A433,'Material routes'!$C$6:$C$1005,"Transform input"))</x:f>
        <x:v>0</x:v>
      </x:c>
      <x:c r="AL433" s="4" t="n">
        <x:f>COUNTIFS('Material routes'!$D$6:$D$1005,A433,'Material routes'!$C$6:$C$1005,"Tool candidate")</x:f>
        <x:v>0</x:v>
      </x:c>
      <x:c r="AM433" s="4" t="str">
        <x:f>IF(AJ433&gt;0,"Route listed; review status/completeness",IF(AF433="T0","Raw entry feed; no production route","No production route listed"))</x:f>
        <x:v>Route listed; review status/completeness</x:v>
      </x:c>
      <x:c r="AN433" s="14" t="n">
        <x:f>IF(AF433="T0",0,IF(AF433="T1",1,IF(AF433="T2",2,IF(AF433="T3",3,IF(AF433="T4",4,IF(AF433="Unassigned",98,99))))))</x:f>
        <x:v>2</x:v>
      </x:c>
    </x:row>
    <x:row r="434" ht="115" customHeight="1">
      <x:c r="A434" s="9" t="str">
        <x:v>proposal.branch.polished_gem</x:v>
      </x:c>
      <x:c r="B434" s="9" t="str">
        <x:v>Polished gemstone blanks</x:v>
      </x:c>
      <x:c r="C434" s="9" t="str">
        <x:v>Resources</x:v>
      </x:c>
      <x:c r="D434" s="9" t="str">
        <x:v>T2 material / component proposal</x:v>
      </x:c>
      <x:c r="E434" s="9" t="str">
        <x:v>New proposal</x:v>
      </x:c>
      <x:c r="F434" s="9" t="str">
        <x:v>Material stock for decoration.</x:v>
      </x:c>
      <x:c r="G434" s="9" t="str">
        <x:v>None</x:v>
      </x:c>
      <x:c r="H434" s="9" t="str">
        <x:v>Workshop / cargo material; handling and storage unresolved</x:v>
      </x:c>
      <x:c r="I434" s="13"/>
      <x:c r="J434" s="15"/>
      <x:c r="K434" s="9" t="str">
        <x:v>Process candidate lower-tier feed; see linked recipe</x:v>
      </x:c>
      <x:c r="L434" s="9" t="str">
        <x:v>Finish selected gemstone preforms as setting-ready stock.</x:v>
      </x:c>
      <x:c r="M434" s="9" t="str">
        <x:v>Not implemented</x:v>
      </x:c>
      <x:c r="N434" s="9" t="str">
        <x:v>No invented national preference, gemstone power or guaranteed precision-optical use.</x:v>
      </x:c>
      <x:c r="O434" s="17"/>
      <x:c r="P434" s="17"/>
      <x:c r="Q434" s="17"/>
      <x:c r="R434" s="17"/>
      <x:c r="S434" s="17"/>
      <x:c r="T434" s="9" t="str">
        <x:v>New October 15 brainstorming. Tier is conditional on the incomplete ingredient list; no quantities, performance ratings or installed crafting behavior assigned.</x:v>
      </x:c>
      <x:c r="U434" s="11" t="str">
        <x:v>polished gemstone blanks; t2; refined stock; decoration</x:v>
      </x:c>
      <x:c r="V434" s="9" t="str">
        <x:v>New game proposal, October 15, 2026; current author request and Docs/WORLD_BASIS.md material/refinement rules. Not a retrieved source-canon claim.</x:v>
      </x:c>
      <x:c r="W434" s="4" t="str">
        <x:v>Processed material</x:v>
      </x:c>
      <x:c r="X434" s="4" t="str">
        <x:v>Processed intermediate</x:v>
      </x:c>
      <x:c r="Y434" s="4" t="str">
        <x:v>Manufactured / unresolved</x:v>
      </x:c>
      <x:c r="Z434" s="4" t="str">
        <x:v>Decoration</x:v>
      </x:c>
      <x:c r="AA434" s="4" t="str">
        <x:v>Gemstone</x:v>
      </x:c>
      <x:c r="AB434" s="4" t="str">
        <x:v>Solid piece</x:v>
      </x:c>
      <x:c r="AC434" s="4" t="str">
        <x:v>Proposal</x:v>
      </x:c>
      <x:c r="AD434" s="4" t="str">
        <x:f>LOWER(A434&amp;"; "&amp;B434&amp;"; "&amp;C434&amp;"; "&amp;D434&amp;"; "&amp;W434&amp;"; "&amp;X434&amp;"; "&amp;Y434&amp;"; "&amp;Z434&amp;"; "&amp;AA434&amp;"; "&amp;AB434&amp;"; "&amp;AC434&amp;"; "&amp;U434&amp;"; "&amp;AF434&amp;"; "&amp;AH434&amp;"; "&amp;AI434)</x:f>
        <x:v>proposal.branch.polished_gem; polished gemstone blanks; resources; t2 material / component proposal; processed material; processed intermediate; manufactured / unresolved; decoration; gemstone; solid piece; proposal; polished gemstone blanks; t2; refined stock; decoration; t2; not applicable; material</x:v>
      </x:c>
      <x:c r="AE434" s="4" t="str">
        <x:v>New material-tree proposal; intended application and material behavior require qualification.</x:v>
      </x:c>
      <x:c r="AF434" s="4" t="str">
        <x:v>T2</x:v>
      </x:c>
      <x:c r="AG434" s="4" t="str">
        <x:v>Proposed tier: one above the highest listed material input; further ingredients may change the tier.</x:v>
      </x:c>
      <x:c r="AH434" s="4" t="str">
        <x:v>Not applicable</x:v>
      </x:c>
      <x:c r="AI434" s="4" t="str">
        <x:v>Material</x:v>
      </x:c>
      <x:c r="AJ434" s="4" t="n">
        <x:f>COUNTIFS('Material routes'!$D$6:$D$1005,A434,'Material routes'!$C$6:$C$1005,"Output")</x:f>
        <x:v>1</x:v>
      </x:c>
      <x:c r="AK434" s="4" t="n">
        <x:f>SUM(COUNTIFS('Material routes'!$D$6:$D$1005,A434,'Material routes'!$C$6:$C$1005,"Ingredient candidate"),COUNTIFS('Material routes'!$D$6:$D$1005,A434,'Material routes'!$C$6:$C$1005,"Consumed input"),COUNTIFS('Material routes'!$D$6:$D$1005,A434,'Material routes'!$C$6:$C$1005,"Contained input"),COUNTIFS('Material routes'!$D$6:$D$1005,A434,'Material routes'!$C$6:$C$1005,"Transform input"))</x:f>
        <x:v>0</x:v>
      </x:c>
      <x:c r="AL434" s="4" t="n">
        <x:f>COUNTIFS('Material routes'!$D$6:$D$1005,A434,'Material routes'!$C$6:$C$1005,"Tool candidate")</x:f>
        <x:v>0</x:v>
      </x:c>
      <x:c r="AM434" s="4" t="str">
        <x:f>IF(AJ434&gt;0,"Route listed; review status/completeness",IF(AF434="T0","Raw entry feed; no production route","No production route listed"))</x:f>
        <x:v>Route listed; review status/completeness</x:v>
      </x:c>
      <x:c r="AN434" s="14" t="n">
        <x:f>IF(AF434="T0",0,IF(AF434="T1",1,IF(AF434="T2",2,IF(AF434="T3",3,IF(AF434="T4",4,IF(AF434="Unassigned",98,99))))))</x:f>
        <x:v>2</x:v>
      </x:c>
    </x:row>
    <x:row r="435" ht="115" customHeight="1">
      <x:c r="A435" s="9" t="str">
        <x:v>proposal.branch.steel_shell</x:v>
      </x:c>
      <x:c r="B435" s="9" t="str">
        <x:v>Steel-faced shell composite</x:v>
      </x:c>
      <x:c r="C435" s="9" t="str">
        <x:v>Resources</x:v>
      </x:c>
      <x:c r="D435" s="9" t="str">
        <x:v>T3 material / component proposal</x:v>
      </x:c>
      <x:c r="E435" s="9" t="str">
        <x:v>New proposal</x:v>
      </x:c>
      <x:c r="F435" s="9" t="str">
        <x:v>Material stock for protective fabrication.</x:v>
      </x:c>
      <x:c r="G435" s="9" t="str">
        <x:v>None</x:v>
      </x:c>
      <x:c r="H435" s="9" t="str">
        <x:v>Workshop / cargo material; handling and storage unresolved</x:v>
      </x:c>
      <x:c r="I435" s="13"/>
      <x:c r="J435" s="15"/>
      <x:c r="K435" s="9" t="str">
        <x:v>Process candidate lower-tier feed; see linked recipe</x:v>
      </x:c>
      <x:c r="L435" s="9" t="str">
        <x:v>Explore joining selected steel facing to prepared shell laminate.</x:v>
      </x:c>
      <x:c r="M435" s="9" t="str">
        <x:v>Not implemented</x:v>
      </x:c>
      <x:c r="N435" s="9" t="str">
        <x:v>Bonding, weight, flex and impact behavior unresolved; no ballistic or universal armor rating.</x:v>
      </x:c>
      <x:c r="O435" s="17"/>
      <x:c r="P435" s="17"/>
      <x:c r="Q435" s="17"/>
      <x:c r="R435" s="17"/>
      <x:c r="S435" s="17"/>
      <x:c r="T435" s="9" t="str">
        <x:v>New October 15 brainstorming. Tier is conditional on the incomplete ingredient list; no quantities, performance ratings or installed crafting behavior assigned.</x:v>
      </x:c>
      <x:c r="U435" s="11" t="str">
        <x:v>steel-faced shell composite; t3; refined stock; protective fabrication</x:v>
      </x:c>
      <x:c r="V435" s="9" t="str">
        <x:v>New game proposal, October 15, 2026; current author request and Docs/WORLD_BASIS.md material/refinement rules. Not a retrieved source-canon claim.</x:v>
      </x:c>
      <x:c r="W435" s="4" t="str">
        <x:v>Processed material</x:v>
      </x:c>
      <x:c r="X435" s="4" t="str">
        <x:v>Processed intermediate</x:v>
      </x:c>
      <x:c r="Y435" s="4" t="str">
        <x:v>Manufactured / unresolved</x:v>
      </x:c>
      <x:c r="Z435" s="4" t="str">
        <x:v>Protective fabrication</x:v>
      </x:c>
      <x:c r="AA435" s="4" t="str">
        <x:v>Mixed / unresolved</x:v>
      </x:c>
      <x:c r="AB435" s="4" t="str">
        <x:v>Sheet</x:v>
      </x:c>
      <x:c r="AC435" s="4" t="str">
        <x:v>Proposal</x:v>
      </x:c>
      <x:c r="AD435" s="4" t="str">
        <x:f>LOWER(A435&amp;"; "&amp;B435&amp;"; "&amp;C435&amp;"; "&amp;D435&amp;"; "&amp;W435&amp;"; "&amp;X435&amp;"; "&amp;Y435&amp;"; "&amp;Z435&amp;"; "&amp;AA435&amp;"; "&amp;AB435&amp;"; "&amp;AC435&amp;"; "&amp;U435&amp;"; "&amp;AF435&amp;"; "&amp;AH435&amp;"; "&amp;AI435)</x:f>
        <x:v>proposal.branch.steel_shell; steel-faced shell composite; resources; t3 material / component proposal; processed material; processed intermediate; manufactured / unresolved; protective fabrication; mixed / unresolved; sheet; proposal; steel-faced shell composite; t3; refined stock; protective fabrication; t3; not applicable; material</x:v>
      </x:c>
      <x:c r="AE435" s="4" t="str">
        <x:v>New material-tree proposal; intended application and material behavior require qualification.</x:v>
      </x:c>
      <x:c r="AF435" s="4" t="str">
        <x:v>T3</x:v>
      </x:c>
      <x:c r="AG435" s="4" t="str">
        <x:v>Proposed tier: one above the highest listed material input; further ingredients may change the tier.</x:v>
      </x:c>
      <x:c r="AH435" s="4" t="str">
        <x:v>Not applicable</x:v>
      </x:c>
      <x:c r="AI435" s="4" t="str">
        <x:v>Material</x:v>
      </x:c>
      <x:c r="AJ435" s="4" t="n">
        <x:f>COUNTIFS('Material routes'!$D$6:$D$1005,A435,'Material routes'!$C$6:$C$1005,"Output")</x:f>
        <x:v>1</x:v>
      </x:c>
      <x:c r="AK435" s="4" t="n">
        <x:f>SUM(COUNTIFS('Material routes'!$D$6:$D$1005,A435,'Material routes'!$C$6:$C$1005,"Ingredient candidate"),COUNTIFS('Material routes'!$D$6:$D$1005,A435,'Material routes'!$C$6:$C$1005,"Consumed input"),COUNTIFS('Material routes'!$D$6:$D$1005,A435,'Material routes'!$C$6:$C$1005,"Contained input"),COUNTIFS('Material routes'!$D$6:$D$1005,A435,'Material routes'!$C$6:$C$1005,"Transform input"))</x:f>
        <x:v>1</x:v>
      </x:c>
      <x:c r="AL435" s="4" t="n">
        <x:f>COUNTIFS('Material routes'!$D$6:$D$1005,A435,'Material routes'!$C$6:$C$1005,"Tool candidate")</x:f>
        <x:v>0</x:v>
      </x:c>
      <x:c r="AM435" s="4" t="str">
        <x:f>IF(AJ435&gt;0,"Route listed; review status/completeness",IF(AF435="T0","Raw entry feed; no production route","No production route listed"))</x:f>
        <x:v>Route listed; review status/completeness</x:v>
      </x:c>
      <x:c r="AN435" s="14" t="n">
        <x:f>IF(AF435="T0",0,IF(AF435="T1",1,IF(AF435="T2",2,IF(AF435="T3",3,IF(AF435="T4",4,IF(AF435="Unassigned",98,99))))))</x:f>
        <x:v>3</x:v>
      </x:c>
    </x:row>
    <x:row r="436" ht="115" customHeight="1">
      <x:c r="A436" s="9" t="str">
        <x:v>proposal.branch.spring_steel</x:v>
      </x:c>
      <x:c r="B436" s="9" t="str">
        <x:v>Spring-grade steel stock</x:v>
      </x:c>
      <x:c r="C436" s="9" t="str">
        <x:v>Resources</x:v>
      </x:c>
      <x:c r="D436" s="9" t="str">
        <x:v>T3 material / component proposal</x:v>
      </x:c>
      <x:c r="E436" s="9" t="str">
        <x:v>New proposal</x:v>
      </x:c>
      <x:c r="F436" s="9" t="str">
        <x:v>Material stock for machinery repair.</x:v>
      </x:c>
      <x:c r="G436" s="9" t="str">
        <x:v>None</x:v>
      </x:c>
      <x:c r="H436" s="9" t="str">
        <x:v>Workshop / cargo material; handling and storage unresolved</x:v>
      </x:c>
      <x:c r="I436" s="13"/>
      <x:c r="J436" s="15"/>
      <x:c r="K436" s="9" t="str">
        <x:v>Process candidate lower-tier feed; see linked recipe</x:v>
      </x:c>
      <x:c r="L436" s="9" t="str">
        <x:v>Explore an identified alloy/heat-treatment route for spring-service stock.</x:v>
      </x:c>
      <x:c r="M436" s="9" t="str">
        <x:v>Not implemented</x:v>
      </x:c>
      <x:c r="N436" s="9" t="str">
        <x:v>A candidate grade, not proof any steel springs reliably. No free-water quench; chemistry, treatment, fatigue and dimensions remain open.</x:v>
      </x:c>
      <x:c r="O436" s="17"/>
      <x:c r="P436" s="17"/>
      <x:c r="Q436" s="17"/>
      <x:c r="R436" s="17"/>
      <x:c r="S436" s="17"/>
      <x:c r="T436" s="9" t="str">
        <x:v>New October 15 brainstorming. Tier is conditional on the incomplete ingredient list; no quantities, performance ratings or installed crafting behavior assigned.</x:v>
      </x:c>
      <x:c r="U436" s="11" t="str">
        <x:v>spring-grade steel stock; t3; refined stock; machinery repair</x:v>
      </x:c>
      <x:c r="V436" s="9" t="str">
        <x:v>New game proposal, October 15, 2026; current author request and Docs/WORLD_BASIS.md material/refinement rules. Not a retrieved source-canon claim.</x:v>
      </x:c>
      <x:c r="W436" s="4" t="str">
        <x:v>Processed material</x:v>
      </x:c>
      <x:c r="X436" s="4" t="str">
        <x:v>Processed intermediate</x:v>
      </x:c>
      <x:c r="Y436" s="4" t="str">
        <x:v>Manufactured / unresolved</x:v>
      </x:c>
      <x:c r="Z436" s="4" t="str">
        <x:v>Machinery repair</x:v>
      </x:c>
      <x:c r="AA436" s="4" t="str">
        <x:v>Metal</x:v>
      </x:c>
      <x:c r="AB436" s="4" t="str">
        <x:v>Solid part</x:v>
      </x:c>
      <x:c r="AC436" s="4" t="str">
        <x:v>Proposal</x:v>
      </x:c>
      <x:c r="AD436" s="4" t="str">
        <x:f>LOWER(A436&amp;"; "&amp;B436&amp;"; "&amp;C436&amp;"; "&amp;D436&amp;"; "&amp;W436&amp;"; "&amp;X436&amp;"; "&amp;Y436&amp;"; "&amp;Z436&amp;"; "&amp;AA436&amp;"; "&amp;AB436&amp;"; "&amp;AC436&amp;"; "&amp;U436&amp;"; "&amp;AF436&amp;"; "&amp;AH436&amp;"; "&amp;AI436)</x:f>
        <x:v>proposal.branch.spring_steel; spring-grade steel stock; resources; t3 material / component proposal; processed material; processed intermediate; manufactured / unresolved; machinery repair; metal; solid part; proposal; spring-grade steel stock; t3; refined stock; machinery repair; t3; not applicable; material</x:v>
      </x:c>
      <x:c r="AE436" s="4" t="str">
        <x:v>New material-tree proposal; intended application and material behavior require qualification.</x:v>
      </x:c>
      <x:c r="AF436" s="4" t="str">
        <x:v>T3</x:v>
      </x:c>
      <x:c r="AG436" s="4" t="str">
        <x:v>Proposed tier: one above the highest listed material input; further ingredients may change the tier.</x:v>
      </x:c>
      <x:c r="AH436" s="4" t="str">
        <x:v>Not applicable</x:v>
      </x:c>
      <x:c r="AI436" s="4" t="str">
        <x:v>Material</x:v>
      </x:c>
      <x:c r="AJ436" s="4" t="n">
        <x:f>COUNTIFS('Material routes'!$D$6:$D$1005,A436,'Material routes'!$C$6:$C$1005,"Output")</x:f>
        <x:v>1</x:v>
      </x:c>
      <x:c r="AK436" s="4" t="n">
        <x:f>SUM(COUNTIFS('Material routes'!$D$6:$D$1005,A436,'Material routes'!$C$6:$C$1005,"Ingredient candidate"),COUNTIFS('Material routes'!$D$6:$D$1005,A436,'Material routes'!$C$6:$C$1005,"Consumed input"),COUNTIFS('Material routes'!$D$6:$D$1005,A436,'Material routes'!$C$6:$C$1005,"Contained input"),COUNTIFS('Material routes'!$D$6:$D$1005,A436,'Material routes'!$C$6:$C$1005,"Transform input"))</x:f>
        <x:v>2</x:v>
      </x:c>
      <x:c r="AL436" s="4" t="n">
        <x:f>COUNTIFS('Material routes'!$D$6:$D$1005,A436,'Material routes'!$C$6:$C$1005,"Tool candidate")</x:f>
        <x:v>0</x:v>
      </x:c>
      <x:c r="AM436" s="4" t="str">
        <x:f>IF(AJ436&gt;0,"Route listed; review status/completeness",IF(AF436="T0","Raw entry feed; no production route","No production route listed"))</x:f>
        <x:v>Route listed; review status/completeness</x:v>
      </x:c>
      <x:c r="AN436" s="14" t="n">
        <x:f>IF(AF436="T0",0,IF(AF436="T1",1,IF(AF436="T2",2,IF(AF436="T3",3,IF(AF436="T4",4,IF(AF436="Unassigned",98,99))))))</x:f>
        <x:v>3</x:v>
      </x:c>
    </x:row>
    <x:row r="437" ht="115" customHeight="1">
      <x:c r="A437" s="9" t="str">
        <x:v>proposal.branch.insulated_conductor</x:v>
      </x:c>
      <x:c r="B437" s="9" t="str">
        <x:v>Insulated conductor stock</x:v>
      </x:c>
      <x:c r="C437" s="9" t="str">
        <x:v>Resources</x:v>
      </x:c>
      <x:c r="D437" s="9" t="str">
        <x:v>T3 material / component proposal</x:v>
      </x:c>
      <x:c r="E437" s="9" t="str">
        <x:v>New proposal</x:v>
      </x:c>
      <x:c r="F437" s="9" t="str">
        <x:v>Material stock for electrical conduction.</x:v>
      </x:c>
      <x:c r="G437" s="9" t="str">
        <x:v>None</x:v>
      </x:c>
      <x:c r="H437" s="9" t="str">
        <x:v>Workshop / cargo material; handling and storage unresolved</x:v>
      </x:c>
      <x:c r="I437" s="13"/>
      <x:c r="J437" s="15"/>
      <x:c r="K437" s="9" t="str">
        <x:v>Process candidate lower-tier feed; see linked recipe</x:v>
      </x:c>
      <x:c r="L437" s="9" t="str">
        <x:v>Explore assembled conductor stock with separately prepared insulating layers.</x:v>
      </x:c>
      <x:c r="M437" s="9" t="str">
        <x:v>Not implemented</x:v>
      </x:c>
      <x:c r="N437" s="9" t="str">
        <x:v>Layer arrangement, joints, leakage and electrical service limits unresolved. No cloth/rubber default or high-voltage certification.</x:v>
      </x:c>
      <x:c r="O437" s="17"/>
      <x:c r="P437" s="17"/>
      <x:c r="Q437" s="17"/>
      <x:c r="R437" s="17"/>
      <x:c r="S437" s="17"/>
      <x:c r="T437" s="9" t="str">
        <x:v>New October 15 brainstorming. Tier is conditional on the incomplete ingredient list; no quantities, performance ratings or installed crafting behavior assigned.</x:v>
      </x:c>
      <x:c r="U437" s="11" t="str">
        <x:v>insulated conductor stock; t3; refined stock; electrical conduction</x:v>
      </x:c>
      <x:c r="V437" s="9" t="str">
        <x:v>New game proposal, October 15, 2026; current author request and Docs/WORLD_BASIS.md material/refinement rules. Not a retrieved source-canon claim.</x:v>
      </x:c>
      <x:c r="W437" s="4" t="str">
        <x:v>Processed material</x:v>
      </x:c>
      <x:c r="X437" s="4" t="str">
        <x:v>Processed intermediate</x:v>
      </x:c>
      <x:c r="Y437" s="4" t="str">
        <x:v>Manufactured / unresolved</x:v>
      </x:c>
      <x:c r="Z437" s="4" t="str">
        <x:v>Electrical conduction</x:v>
      </x:c>
      <x:c r="AA437" s="4" t="str">
        <x:v>Mixed / unresolved</x:v>
      </x:c>
      <x:c r="AB437" s="4" t="str">
        <x:v>Cord</x:v>
      </x:c>
      <x:c r="AC437" s="4" t="str">
        <x:v>Proposal</x:v>
      </x:c>
      <x:c r="AD437" s="4" t="str">
        <x:f>LOWER(A437&amp;"; "&amp;B437&amp;"; "&amp;C437&amp;"; "&amp;D437&amp;"; "&amp;W437&amp;"; "&amp;X437&amp;"; "&amp;Y437&amp;"; "&amp;Z437&amp;"; "&amp;AA437&amp;"; "&amp;AB437&amp;"; "&amp;AC437&amp;"; "&amp;U437&amp;"; "&amp;AF437&amp;"; "&amp;AH437&amp;"; "&amp;AI437)</x:f>
        <x:v>proposal.branch.insulated_conductor; insulated conductor stock; resources; t3 material / component proposal; processed material; processed intermediate; manufactured / unresolved; electrical conduction; mixed / unresolved; cord; proposal; insulated conductor stock; t3; refined stock; electrical conduction; t3; not applicable; material</x:v>
      </x:c>
      <x:c r="AE437" s="4" t="str">
        <x:v>New material-tree proposal; intended application and material behavior require qualification.</x:v>
      </x:c>
      <x:c r="AF437" s="4" t="str">
        <x:v>T3</x:v>
      </x:c>
      <x:c r="AG437" s="4" t="str">
        <x:v>Proposed tier: one above the highest listed material input; further ingredients may change the tier.</x:v>
      </x:c>
      <x:c r="AH437" s="4" t="str">
        <x:v>Not applicable</x:v>
      </x:c>
      <x:c r="AI437" s="4" t="str">
        <x:v>Material</x:v>
      </x:c>
      <x:c r="AJ437" s="4" t="n">
        <x:f>COUNTIFS('Material routes'!$D$6:$D$1005,A437,'Material routes'!$C$6:$C$1005,"Output")</x:f>
        <x:v>1</x:v>
      </x:c>
      <x:c r="AK437" s="4" t="n">
        <x:f>SUM(COUNTIFS('Material routes'!$D$6:$D$1005,A437,'Material routes'!$C$6:$C$1005,"Ingredient candidate"),COUNTIFS('Material routes'!$D$6:$D$1005,A437,'Material routes'!$C$6:$C$1005,"Consumed input"),COUNTIFS('Material routes'!$D$6:$D$1005,A437,'Material routes'!$C$6:$C$1005,"Contained input"),COUNTIFS('Material routes'!$D$6:$D$1005,A437,'Material routes'!$C$6:$C$1005,"Transform input"))</x:f>
        <x:v>1</x:v>
      </x:c>
      <x:c r="AL437" s="4" t="n">
        <x:f>COUNTIFS('Material routes'!$D$6:$D$1005,A437,'Material routes'!$C$6:$C$1005,"Tool candidate")</x:f>
        <x:v>0</x:v>
      </x:c>
      <x:c r="AM437" s="4" t="str">
        <x:f>IF(AJ437&gt;0,"Route listed; review status/completeness",IF(AF437="T0","Raw entry feed; no production route","No production route listed"))</x:f>
        <x:v>Route listed; review status/completeness</x:v>
      </x:c>
      <x:c r="AN437" s="14" t="n">
        <x:f>IF(AF437="T0",0,IF(AF437="T1",1,IF(AF437="T2",2,IF(AF437="T3",3,IF(AF437="T4",4,IF(AF437="Unassigned",98,99))))))</x:f>
        <x:v>3</x:v>
      </x:c>
    </x:row>
    <x:row r="438" ht="115" customHeight="1">
      <x:c r="A438" s="9" t="str">
        <x:v>proposal.branch.ceramic_shell</x:v>
      </x:c>
      <x:c r="B438" s="9" t="str">
        <x:v>Bonded ceramic-shell composite</x:v>
      </x:c>
      <x:c r="C438" s="9" t="str">
        <x:v>Resources</x:v>
      </x:c>
      <x:c r="D438" s="9" t="str">
        <x:v>T3 material / component proposal</x:v>
      </x:c>
      <x:c r="E438" s="9" t="str">
        <x:v>New proposal</x:v>
      </x:c>
      <x:c r="F438" s="9" t="str">
        <x:v>Material stock for protective fabrication.</x:v>
      </x:c>
      <x:c r="G438" s="9" t="str">
        <x:v>None</x:v>
      </x:c>
      <x:c r="H438" s="9" t="str">
        <x:v>Workshop / cargo material; handling and storage unresolved</x:v>
      </x:c>
      <x:c r="I438" s="13"/>
      <x:c r="J438" s="15"/>
      <x:c r="K438" s="9" t="str">
        <x:v>Process candidate lower-tier feed; see linked recipe</x:v>
      </x:c>
      <x:c r="L438" s="9" t="str">
        <x:v>Explore compatible ceramic and shell stock as a bonded composite.</x:v>
      </x:c>
      <x:c r="M438" s="9" t="str">
        <x:v>Not implemented</x:v>
      </x:c>
      <x:c r="N438" s="9" t="str">
        <x:v>Not automatically both armor and an electrical barrier. Thermal/impact behavior and interfaces require qualification.</x:v>
      </x:c>
      <x:c r="O438" s="17"/>
      <x:c r="P438" s="17"/>
      <x:c r="Q438" s="17"/>
      <x:c r="R438" s="17"/>
      <x:c r="S438" s="17"/>
      <x:c r="T438" s="9" t="str">
        <x:v>New October 15 brainstorming. Tier is conditional on the incomplete ingredient list; no quantities, performance ratings or installed crafting behavior assigned.</x:v>
      </x:c>
      <x:c r="U438" s="11" t="str">
        <x:v>bonded ceramic-shell composite; t3; refined stock; protective fabrication</x:v>
      </x:c>
      <x:c r="V438" s="9" t="str">
        <x:v>New game proposal, October 15, 2026; current author request and Docs/WORLD_BASIS.md material/refinement rules. Not a retrieved source-canon claim.</x:v>
      </x:c>
      <x:c r="W438" s="4" t="str">
        <x:v>Processed material</x:v>
      </x:c>
      <x:c r="X438" s="4" t="str">
        <x:v>Processed intermediate</x:v>
      </x:c>
      <x:c r="Y438" s="4" t="str">
        <x:v>Manufactured / unresolved</x:v>
      </x:c>
      <x:c r="Z438" s="4" t="str">
        <x:v>Protective fabrication</x:v>
      </x:c>
      <x:c r="AA438" s="4" t="str">
        <x:v>Mixed / unresolved</x:v>
      </x:c>
      <x:c r="AB438" s="4" t="str">
        <x:v>Panel</x:v>
      </x:c>
      <x:c r="AC438" s="4" t="str">
        <x:v>Proposal</x:v>
      </x:c>
      <x:c r="AD438" s="4" t="str">
        <x:f>LOWER(A438&amp;"; "&amp;B438&amp;"; "&amp;C438&amp;"; "&amp;D438&amp;"; "&amp;W438&amp;"; "&amp;X438&amp;"; "&amp;Y438&amp;"; "&amp;Z438&amp;"; "&amp;AA438&amp;"; "&amp;AB438&amp;"; "&amp;AC438&amp;"; "&amp;U438&amp;"; "&amp;AF438&amp;"; "&amp;AH438&amp;"; "&amp;AI438)</x:f>
        <x:v>proposal.branch.ceramic_shell; bonded ceramic-shell composite; resources; t3 material / component proposal; processed material; processed intermediate; manufactured / unresolved; protective fabrication; mixed / unresolved; panel; proposal; bonded ceramic-shell composite; t3; refined stock; protective fabrication; t3; not applicable; material</x:v>
      </x:c>
      <x:c r="AE438" s="4" t="str">
        <x:v>New material-tree proposal; intended application and material behavior require qualification.</x:v>
      </x:c>
      <x:c r="AF438" s="4" t="str">
        <x:v>T3</x:v>
      </x:c>
      <x:c r="AG438" s="4" t="str">
        <x:v>Proposed tier: one above the highest listed material input; further ingredients may change the tier.</x:v>
      </x:c>
      <x:c r="AH438" s="4" t="str">
        <x:v>Not applicable</x:v>
      </x:c>
      <x:c r="AI438" s="4" t="str">
        <x:v>Material</x:v>
      </x:c>
      <x:c r="AJ438" s="4" t="n">
        <x:f>COUNTIFS('Material routes'!$D$6:$D$1005,A438,'Material routes'!$C$6:$C$1005,"Output")</x:f>
        <x:v>1</x:v>
      </x:c>
      <x:c r="AK438" s="4" t="n">
        <x:f>SUM(COUNTIFS('Material routes'!$D$6:$D$1005,A438,'Material routes'!$C$6:$C$1005,"Ingredient candidate"),COUNTIFS('Material routes'!$D$6:$D$1005,A438,'Material routes'!$C$6:$C$1005,"Consumed input"),COUNTIFS('Material routes'!$D$6:$D$1005,A438,'Material routes'!$C$6:$C$1005,"Contained input"),COUNTIFS('Material routes'!$D$6:$D$1005,A438,'Material routes'!$C$6:$C$1005,"Transform input"))</x:f>
        <x:v>1</x:v>
      </x:c>
      <x:c r="AL438" s="4" t="n">
        <x:f>COUNTIFS('Material routes'!$D$6:$D$1005,A438,'Material routes'!$C$6:$C$1005,"Tool candidate")</x:f>
        <x:v>0</x:v>
      </x:c>
      <x:c r="AM438" s="4" t="str">
        <x:f>IF(AJ438&gt;0,"Route listed; review status/completeness",IF(AF438="T0","Raw entry feed; no production route","No production route listed"))</x:f>
        <x:v>Route listed; review status/completeness</x:v>
      </x:c>
      <x:c r="AN438" s="14" t="n">
        <x:f>IF(AF438="T0",0,IF(AF438="T1",1,IF(AF438="T2",2,IF(AF438="T3",3,IF(AF438="T4",4,IF(AF438="Unassigned",98,99))))))</x:f>
        <x:v>3</x:v>
      </x:c>
    </x:row>
    <x:row r="439" ht="115" customHeight="1">
      <x:c r="A439" s="9" t="str">
        <x:v>proposal.branch.optical_glass</x:v>
      </x:c>
      <x:c r="B439" s="9" t="str">
        <x:v>Ground optical glass stock</x:v>
      </x:c>
      <x:c r="C439" s="9" t="str">
        <x:v>Resources</x:v>
      </x:c>
      <x:c r="D439" s="9" t="str">
        <x:v>T3 material / component proposal</x:v>
      </x:c>
      <x:c r="E439" s="9" t="str">
        <x:v>New proposal</x:v>
      </x:c>
      <x:c r="F439" s="9" t="str">
        <x:v>Material stock for vision.</x:v>
      </x:c>
      <x:c r="G439" s="9" t="str">
        <x:v>None</x:v>
      </x:c>
      <x:c r="H439" s="9" t="str">
        <x:v>Workshop / cargo material; handling and storage unresolved</x:v>
      </x:c>
      <x:c r="I439" s="13"/>
      <x:c r="J439" s="15"/>
      <x:c r="K439" s="9" t="str">
        <x:v>Process candidate lower-tier feed; see linked recipe</x:v>
      </x:c>
      <x:c r="L439" s="9" t="str">
        <x:v>Explore grinding, finishing and selection of candidate optical stock.</x:v>
      </x:c>
      <x:c r="M439" s="9" t="str">
        <x:v>Not implemented</x:v>
      </x:c>
      <x:c r="N439" s="9" t="str">
        <x:v>T1 abrasive is a lower-tier ingredient beside T2 viewing stock. Figure, defects, calibration and actual optical capability remain open.</x:v>
      </x:c>
      <x:c r="O439" s="17"/>
      <x:c r="P439" s="17"/>
      <x:c r="Q439" s="17"/>
      <x:c r="R439" s="17"/>
      <x:c r="S439" s="17"/>
      <x:c r="T439" s="9" t="str">
        <x:v>New October 15 brainstorming. Tier is conditional on the incomplete ingredient list; no quantities, performance ratings or installed crafting behavior assigned.</x:v>
      </x:c>
      <x:c r="U439" s="11" t="str">
        <x:v>ground optical glass stock; t3; refined stock; vision</x:v>
      </x:c>
      <x:c r="V439" s="9" t="str">
        <x:v>New game proposal, October 15, 2026; current author request and Docs/WORLD_BASIS.md material/refinement rules. Not a retrieved source-canon claim.</x:v>
      </x:c>
      <x:c r="W439" s="4" t="str">
        <x:v>Processed material</x:v>
      </x:c>
      <x:c r="X439" s="4" t="str">
        <x:v>Processed intermediate</x:v>
      </x:c>
      <x:c r="Y439" s="4" t="str">
        <x:v>Manufactured / unresolved</x:v>
      </x:c>
      <x:c r="Z439" s="4" t="str">
        <x:v>Vision</x:v>
      </x:c>
      <x:c r="AA439" s="4" t="str">
        <x:v>Glass</x:v>
      </x:c>
      <x:c r="AB439" s="4" t="str">
        <x:v>Solid piece</x:v>
      </x:c>
      <x:c r="AC439" s="4" t="str">
        <x:v>Proposal</x:v>
      </x:c>
      <x:c r="AD439" s="4" t="str">
        <x:f>LOWER(A439&amp;"; "&amp;B439&amp;"; "&amp;C439&amp;"; "&amp;D439&amp;"; "&amp;W439&amp;"; "&amp;X439&amp;"; "&amp;Y439&amp;"; "&amp;Z439&amp;"; "&amp;AA439&amp;"; "&amp;AB439&amp;"; "&amp;AC439&amp;"; "&amp;U439&amp;"; "&amp;AF439&amp;"; "&amp;AH439&amp;"; "&amp;AI439)</x:f>
        <x:v>proposal.branch.optical_glass; ground optical glass stock; resources; t3 material / component proposal; processed material; processed intermediate; manufactured / unresolved; vision; glass; solid piece; proposal; ground optical glass stock; t3; refined stock; vision; t3; not applicable; material</x:v>
      </x:c>
      <x:c r="AE439" s="4" t="str">
        <x:v>New material-tree proposal; intended application and material behavior require qualification.</x:v>
      </x:c>
      <x:c r="AF439" s="4" t="str">
        <x:v>T3</x:v>
      </x:c>
      <x:c r="AG439" s="4" t="str">
        <x:v>Proposed tier: one above the highest listed material input; further ingredients may change the tier.</x:v>
      </x:c>
      <x:c r="AH439" s="4" t="str">
        <x:v>Not applicable</x:v>
      </x:c>
      <x:c r="AI439" s="4" t="str">
        <x:v>Material</x:v>
      </x:c>
      <x:c r="AJ439" s="4" t="n">
        <x:f>COUNTIFS('Material routes'!$D$6:$D$1005,A439,'Material routes'!$C$6:$C$1005,"Output")</x:f>
        <x:v>1</x:v>
      </x:c>
      <x:c r="AK439" s="4" t="n">
        <x:f>SUM(COUNTIFS('Material routes'!$D$6:$D$1005,A439,'Material routes'!$C$6:$C$1005,"Ingredient candidate"),COUNTIFS('Material routes'!$D$6:$D$1005,A439,'Material routes'!$C$6:$C$1005,"Consumed input"),COUNTIFS('Material routes'!$D$6:$D$1005,A439,'Material routes'!$C$6:$C$1005,"Contained input"),COUNTIFS('Material routes'!$D$6:$D$1005,A439,'Material routes'!$C$6:$C$1005,"Transform input"))</x:f>
        <x:v>1</x:v>
      </x:c>
      <x:c r="AL439" s="4" t="n">
        <x:f>COUNTIFS('Material routes'!$D$6:$D$1005,A439,'Material routes'!$C$6:$C$1005,"Tool candidate")</x:f>
        <x:v>0</x:v>
      </x:c>
      <x:c r="AM439" s="4" t="str">
        <x:f>IF(AJ439&gt;0,"Route listed; review status/completeness",IF(AF439="T0","Raw entry feed; no production route","No production route listed"))</x:f>
        <x:v>Route listed; review status/completeness</x:v>
      </x:c>
      <x:c r="AN439" s="14" t="n">
        <x:f>IF(AF439="T0",0,IF(AF439="T1",1,IF(AF439="T2",2,IF(AF439="T3",3,IF(AF439="T4",4,IF(AF439="Unassigned",98,99))))))</x:f>
        <x:v>3</x:v>
      </x:c>
    </x:row>
    <x:row r="440" ht="115" customHeight="1">
      <x:c r="A440" s="9" t="str">
        <x:v>proposal.branch.husk_composite</x:v>
      </x:c>
      <x:c r="B440" s="9" t="str">
        <x:v>Layered husk composite stock</x:v>
      </x:c>
      <x:c r="C440" s="9" t="str">
        <x:v>Resources</x:v>
      </x:c>
      <x:c r="D440" s="9" t="str">
        <x:v>T3 material / component proposal</x:v>
      </x:c>
      <x:c r="E440" s="9" t="str">
        <x:v>New proposal</x:v>
      </x:c>
      <x:c r="F440" s="9" t="str">
        <x:v>Material stock for binding and construction.</x:v>
      </x:c>
      <x:c r="G440" s="9" t="str">
        <x:v>None</x:v>
      </x:c>
      <x:c r="H440" s="9" t="str">
        <x:v>Workshop / cargo material; handling and storage unresolved</x:v>
      </x:c>
      <x:c r="I440" s="13"/>
      <x:c r="J440" s="15"/>
      <x:c r="K440" s="9" t="str">
        <x:v>Process candidate lower-tier feed; see linked recipe</x:v>
      </x:c>
      <x:c r="L440" s="9" t="str">
        <x:v>Explore layering prepared husk stock for casings and stiffened parts.</x:v>
      </x:c>
      <x:c r="M440" s="9" t="str">
        <x:v>Not implemented</x:v>
      </x:c>
      <x:c r="N440" s="9" t="str">
        <x:v>Scarce difficult processing, not abundant ordinary cloth. Layer quality and structural performance unresolved.</x:v>
      </x:c>
      <x:c r="O440" s="17"/>
      <x:c r="P440" s="17"/>
      <x:c r="Q440" s="17"/>
      <x:c r="R440" s="17"/>
      <x:c r="S440" s="17"/>
      <x:c r="T440" s="9" t="str">
        <x:v>New October 15 brainstorming. Tier is conditional on the incomplete ingredient list; no quantities, performance ratings or installed crafting behavior assigned.</x:v>
      </x:c>
      <x:c r="U440" s="11" t="str">
        <x:v>layered husk composite stock; t3; refined stock; binding and construction</x:v>
      </x:c>
      <x:c r="V440" s="9" t="str">
        <x:v>New game proposal, October 15, 2026; current author request and Docs/WORLD_BASIS.md material/refinement rules. Not a retrieved source-canon claim.</x:v>
      </x:c>
      <x:c r="W440" s="4" t="str">
        <x:v>Processed material</x:v>
      </x:c>
      <x:c r="X440" s="4" t="str">
        <x:v>Processed intermediate</x:v>
      </x:c>
      <x:c r="Y440" s="4" t="str">
        <x:v>Manufactured / unresolved</x:v>
      </x:c>
      <x:c r="Z440" s="4" t="str">
        <x:v>Binding and construction</x:v>
      </x:c>
      <x:c r="AA440" s="4" t="str">
        <x:v>Husk fiber</x:v>
      </x:c>
      <x:c r="AB440" s="4" t="str">
        <x:v>Sheet</x:v>
      </x:c>
      <x:c r="AC440" s="4" t="str">
        <x:v>Proposal</x:v>
      </x:c>
      <x:c r="AD440" s="4" t="str">
        <x:f>LOWER(A440&amp;"; "&amp;B440&amp;"; "&amp;C440&amp;"; "&amp;D440&amp;"; "&amp;W440&amp;"; "&amp;X440&amp;"; "&amp;Y440&amp;"; "&amp;Z440&amp;"; "&amp;AA440&amp;"; "&amp;AB440&amp;"; "&amp;AC440&amp;"; "&amp;U440&amp;"; "&amp;AF440&amp;"; "&amp;AH440&amp;"; "&amp;AI440)</x:f>
        <x:v>proposal.branch.husk_composite; layered husk composite stock; resources; t3 material / component proposal; processed material; processed intermediate; manufactured / unresolved; binding and construction; husk fiber; sheet; proposal; layered husk composite stock; t3; refined stock; binding and construction; t3; not applicable; material</x:v>
      </x:c>
      <x:c r="AE440" s="4" t="str">
        <x:v>New material-tree proposal; intended application and material behavior require qualification.</x:v>
      </x:c>
      <x:c r="AF440" s="4" t="str">
        <x:v>T3</x:v>
      </x:c>
      <x:c r="AG440" s="4" t="str">
        <x:v>Proposed tier: one above the highest listed material input; further ingredients may change the tier.</x:v>
      </x:c>
      <x:c r="AH440" s="4" t="str">
        <x:v>Not applicable</x:v>
      </x:c>
      <x:c r="AI440" s="4" t="str">
        <x:v>Material</x:v>
      </x:c>
      <x:c r="AJ440" s="4" t="n">
        <x:f>COUNTIFS('Material routes'!$D$6:$D$1005,A440,'Material routes'!$C$6:$C$1005,"Output")</x:f>
        <x:v>1</x:v>
      </x:c>
      <x:c r="AK440" s="4" t="n">
        <x:f>SUM(COUNTIFS('Material routes'!$D$6:$D$1005,A440,'Material routes'!$C$6:$C$1005,"Ingredient candidate"),COUNTIFS('Material routes'!$D$6:$D$1005,A440,'Material routes'!$C$6:$C$1005,"Consumed input"),COUNTIFS('Material routes'!$D$6:$D$1005,A440,'Material routes'!$C$6:$C$1005,"Contained input"),COUNTIFS('Material routes'!$D$6:$D$1005,A440,'Material routes'!$C$6:$C$1005,"Transform input"))</x:f>
        <x:v>1</x:v>
      </x:c>
      <x:c r="AL440" s="4" t="n">
        <x:f>COUNTIFS('Material routes'!$D$6:$D$1005,A440,'Material routes'!$C$6:$C$1005,"Tool candidate")</x:f>
        <x:v>0</x:v>
      </x:c>
      <x:c r="AM440" s="4" t="str">
        <x:f>IF(AJ440&gt;0,"Route listed; review status/completeness",IF(AF440="T0","Raw entry feed; no production route","No production route listed"))</x:f>
        <x:v>Route listed; review status/completeness</x:v>
      </x:c>
      <x:c r="AN440" s="14" t="n">
        <x:f>IF(AF440="T0",0,IF(AF440="T1",1,IF(AF440="T2",2,IF(AF440="T3",3,IF(AF440="T4",4,IF(AF440="Unassigned",98,99))))))</x:f>
        <x:v>3</x:v>
      </x:c>
    </x:row>
    <x:row r="441" ht="115" customHeight="1">
      <x:c r="A441" s="9" t="str">
        <x:v>proposal.branch.sealing_sheet</x:v>
      </x:c>
      <x:c r="B441" s="9" t="str">
        <x:v>Reinforced sealing sheet</x:v>
      </x:c>
      <x:c r="C441" s="9" t="str">
        <x:v>Resources</x:v>
      </x:c>
      <x:c r="D441" s="9" t="str">
        <x:v>T3 material / component proposal</x:v>
      </x:c>
      <x:c r="E441" s="9" t="str">
        <x:v>New proposal</x:v>
      </x:c>
      <x:c r="F441" s="9" t="str">
        <x:v>Material stock for sealing.</x:v>
      </x:c>
      <x:c r="G441" s="9" t="str">
        <x:v>None</x:v>
      </x:c>
      <x:c r="H441" s="9" t="str">
        <x:v>Workshop / cargo material; handling and storage unresolved</x:v>
      </x:c>
      <x:c r="I441" s="13"/>
      <x:c r="J441" s="15"/>
      <x:c r="K441" s="9" t="str">
        <x:v>Process candidate lower-tier feed; see linked recipe</x:v>
      </x:c>
      <x:c r="L441" s="9" t="str">
        <x:v>Explore a bounded reinforced sealing stock.</x:v>
      </x:c>
      <x:c r="M441" s="9" t="str">
        <x:v>Not implemented</x:v>
      </x:c>
      <x:c r="N441" s="9" t="str">
        <x:v>Service compatibility, flexibility, leak behavior and pressure limits are not assigned.</x:v>
      </x:c>
      <x:c r="O441" s="17"/>
      <x:c r="P441" s="17"/>
      <x:c r="Q441" s="17"/>
      <x:c r="R441" s="17"/>
      <x:c r="S441" s="17"/>
      <x:c r="T441" s="9" t="str">
        <x:v>New October 15 brainstorming. Tier is conditional on the incomplete ingredient list; no quantities, performance ratings or installed crafting behavior assigned.</x:v>
      </x:c>
      <x:c r="U441" s="11" t="str">
        <x:v>reinforced sealing sheet; t3; refined stock; sealing</x:v>
      </x:c>
      <x:c r="V441" s="9" t="str">
        <x:v>New game proposal, October 15, 2026; current author request and Docs/WORLD_BASIS.md material/refinement rules. Not a retrieved source-canon claim.</x:v>
      </x:c>
      <x:c r="W441" s="4" t="str">
        <x:v>Processed material</x:v>
      </x:c>
      <x:c r="X441" s="4" t="str">
        <x:v>Processed intermediate</x:v>
      </x:c>
      <x:c r="Y441" s="4" t="str">
        <x:v>Manufactured / unresolved</x:v>
      </x:c>
      <x:c r="Z441" s="4" t="str">
        <x:v>Sealing</x:v>
      </x:c>
      <x:c r="AA441" s="4" t="str">
        <x:v>Mixed / unresolved</x:v>
      </x:c>
      <x:c r="AB441" s="4" t="str">
        <x:v>Sheet</x:v>
      </x:c>
      <x:c r="AC441" s="4" t="str">
        <x:v>Proposal</x:v>
      </x:c>
      <x:c r="AD441" s="4" t="str">
        <x:f>LOWER(A441&amp;"; "&amp;B441&amp;"; "&amp;C441&amp;"; "&amp;D441&amp;"; "&amp;W441&amp;"; "&amp;X441&amp;"; "&amp;Y441&amp;"; "&amp;Z441&amp;"; "&amp;AA441&amp;"; "&amp;AB441&amp;"; "&amp;AC441&amp;"; "&amp;U441&amp;"; "&amp;AF441&amp;"; "&amp;AH441&amp;"; "&amp;AI441)</x:f>
        <x:v>proposal.branch.sealing_sheet; reinforced sealing sheet; resources; t3 material / component proposal; processed material; processed intermediate; manufactured / unresolved; sealing; mixed / unresolved; sheet; proposal; reinforced sealing sheet; t3; refined stock; sealing; t3; not applicable; material</x:v>
      </x:c>
      <x:c r="AE441" s="4" t="str">
        <x:v>New material-tree proposal; intended application and material behavior require qualification.</x:v>
      </x:c>
      <x:c r="AF441" s="4" t="str">
        <x:v>T3</x:v>
      </x:c>
      <x:c r="AG441" s="4" t="str">
        <x:v>Proposed tier: one above the highest listed material input; further ingredients may change the tier.</x:v>
      </x:c>
      <x:c r="AH441" s="4" t="str">
        <x:v>Not applicable</x:v>
      </x:c>
      <x:c r="AI441" s="4" t="str">
        <x:v>Material</x:v>
      </x:c>
      <x:c r="AJ441" s="4" t="n">
        <x:f>COUNTIFS('Material routes'!$D$6:$D$1005,A441,'Material routes'!$C$6:$C$1005,"Output")</x:f>
        <x:v>1</x:v>
      </x:c>
      <x:c r="AK441" s="4" t="n">
        <x:f>SUM(COUNTIFS('Material routes'!$D$6:$D$1005,A441,'Material routes'!$C$6:$C$1005,"Ingredient candidate"),COUNTIFS('Material routes'!$D$6:$D$1005,A441,'Material routes'!$C$6:$C$1005,"Consumed input"),COUNTIFS('Material routes'!$D$6:$D$1005,A441,'Material routes'!$C$6:$C$1005,"Contained input"),COUNTIFS('Material routes'!$D$6:$D$1005,A441,'Material routes'!$C$6:$C$1005,"Transform input"))</x:f>
        <x:v>2</x:v>
      </x:c>
      <x:c r="AL441" s="4" t="n">
        <x:f>COUNTIFS('Material routes'!$D$6:$D$1005,A441,'Material routes'!$C$6:$C$1005,"Tool candidate")</x:f>
        <x:v>0</x:v>
      </x:c>
      <x:c r="AM441" s="4" t="str">
        <x:f>IF(AJ441&gt;0,"Route listed; review status/completeness",IF(AF441="T0","Raw entry feed; no production route","No production route listed"))</x:f>
        <x:v>Route listed; review status/completeness</x:v>
      </x:c>
      <x:c r="AN441" s="14" t="n">
        <x:f>IF(AF441="T0",0,IF(AF441="T1",1,IF(AF441="T2",2,IF(AF441="T3",3,IF(AF441="T4",4,IF(AF441="Unassigned",98,99))))))</x:f>
        <x:v>3</x:v>
      </x:c>
    </x:row>
    <x:row r="442" ht="115" customHeight="1">
      <x:c r="A442" s="9" t="str">
        <x:v>proposal.branch.decorative_husk</x:v>
      </x:c>
      <x:c r="B442" s="9" t="str">
        <x:v>Finished decorative husk stock</x:v>
      </x:c>
      <x:c r="C442" s="9" t="str">
        <x:v>Resources</x:v>
      </x:c>
      <x:c r="D442" s="9" t="str">
        <x:v>T3 material / component proposal</x:v>
      </x:c>
      <x:c r="E442" s="9" t="str">
        <x:v>New proposal</x:v>
      </x:c>
      <x:c r="F442" s="9" t="str">
        <x:v>Material stock for decoration.</x:v>
      </x:c>
      <x:c r="G442" s="9" t="str">
        <x:v>None</x:v>
      </x:c>
      <x:c r="H442" s="9" t="str">
        <x:v>Workshop / cargo material; handling and storage unresolved</x:v>
      </x:c>
      <x:c r="I442" s="13"/>
      <x:c r="J442" s="15"/>
      <x:c r="K442" s="9" t="str">
        <x:v>Process candidate lower-tier feed; see linked recipe</x:v>
      </x:c>
      <x:c r="L442" s="9" t="str">
        <x:v>Explore premium finished paper/husk stock for later records, trim and display objects.</x:v>
      </x:c>
      <x:c r="M442" s="9" t="str">
        <x:v>Not implemented</x:v>
      </x:c>
      <x:c r="N442" s="9" t="str">
        <x:v>Material stock, not a finished ritual document or ordinary fabric. Finish labor/provenance may matter more than tier alone.</x:v>
      </x:c>
      <x:c r="O442" s="17"/>
      <x:c r="P442" s="17"/>
      <x:c r="Q442" s="17"/>
      <x:c r="R442" s="17"/>
      <x:c r="S442" s="17"/>
      <x:c r="T442" s="9" t="str">
        <x:v>New October 15 brainstorming. Tier is conditional on the incomplete ingredient list; no quantities, performance ratings or installed crafting behavior assigned.</x:v>
      </x:c>
      <x:c r="U442" s="11" t="str">
        <x:v>finished decorative husk stock; t3; refined stock; decoration</x:v>
      </x:c>
      <x:c r="V442" s="9" t="str">
        <x:v>New game proposal, October 15, 2026; current author request and Docs/WORLD_BASIS.md material/refinement rules. Not a retrieved source-canon claim.</x:v>
      </x:c>
      <x:c r="W442" s="4" t="str">
        <x:v>Processed material</x:v>
      </x:c>
      <x:c r="X442" s="4" t="str">
        <x:v>Processed intermediate</x:v>
      </x:c>
      <x:c r="Y442" s="4" t="str">
        <x:v>Manufactured / unresolved</x:v>
      </x:c>
      <x:c r="Z442" s="4" t="str">
        <x:v>Decoration</x:v>
      </x:c>
      <x:c r="AA442" s="4" t="str">
        <x:v>Husk fiber</x:v>
      </x:c>
      <x:c r="AB442" s="4" t="str">
        <x:v>Sheet</x:v>
      </x:c>
      <x:c r="AC442" s="4" t="str">
        <x:v>Proposal</x:v>
      </x:c>
      <x:c r="AD442" s="4" t="str">
        <x:f>LOWER(A442&amp;"; "&amp;B442&amp;"; "&amp;C442&amp;"; "&amp;D442&amp;"; "&amp;W442&amp;"; "&amp;X442&amp;"; "&amp;Y442&amp;"; "&amp;Z442&amp;"; "&amp;AA442&amp;"; "&amp;AB442&amp;"; "&amp;AC442&amp;"; "&amp;U442&amp;"; "&amp;AF442&amp;"; "&amp;AH442&amp;"; "&amp;AI442)</x:f>
        <x:v>proposal.branch.decorative_husk; finished decorative husk stock; resources; t3 material / component proposal; processed material; processed intermediate; manufactured / unresolved; decoration; husk fiber; sheet; proposal; finished decorative husk stock; t3; refined stock; decoration; t3; not applicable; material</x:v>
      </x:c>
      <x:c r="AE442" s="4" t="str">
        <x:v>New material-tree proposal; intended application and material behavior require qualification.</x:v>
      </x:c>
      <x:c r="AF442" s="4" t="str">
        <x:v>T3</x:v>
      </x:c>
      <x:c r="AG442" s="4" t="str">
        <x:v>Proposed tier: one above the highest listed material input; further ingredients may change the tier.</x:v>
      </x:c>
      <x:c r="AH442" s="4" t="str">
        <x:v>Not applicable</x:v>
      </x:c>
      <x:c r="AI442" s="4" t="str">
        <x:v>Material</x:v>
      </x:c>
      <x:c r="AJ442" s="4" t="n">
        <x:f>COUNTIFS('Material routes'!$D$6:$D$1005,A442,'Material routes'!$C$6:$C$1005,"Output")</x:f>
        <x:v>1</x:v>
      </x:c>
      <x:c r="AK442" s="4" t="n">
        <x:f>SUM(COUNTIFS('Material routes'!$D$6:$D$1005,A442,'Material routes'!$C$6:$C$1005,"Ingredient candidate"),COUNTIFS('Material routes'!$D$6:$D$1005,A442,'Material routes'!$C$6:$C$1005,"Consumed input"),COUNTIFS('Material routes'!$D$6:$D$1005,A442,'Material routes'!$C$6:$C$1005,"Contained input"),COUNTIFS('Material routes'!$D$6:$D$1005,A442,'Material routes'!$C$6:$C$1005,"Transform input"))</x:f>
        <x:v>0</x:v>
      </x:c>
      <x:c r="AL442" s="4" t="n">
        <x:f>COUNTIFS('Material routes'!$D$6:$D$1005,A442,'Material routes'!$C$6:$C$1005,"Tool candidate")</x:f>
        <x:v>0</x:v>
      </x:c>
      <x:c r="AM442" s="4" t="str">
        <x:f>IF(AJ442&gt;0,"Route listed; review status/completeness",IF(AF442="T0","Raw entry feed; no production route","No production route listed"))</x:f>
        <x:v>Route listed; review status/completeness</x:v>
      </x:c>
      <x:c r="AN442" s="14" t="n">
        <x:f>IF(AF442="T0",0,IF(AF442="T1",1,IF(AF442="T2",2,IF(AF442="T3",3,IF(AF442="T4",4,IF(AF442="Unassigned",98,99))))))</x:f>
        <x:v>3</x:v>
      </x:c>
    </x:row>
    <x:row r="443" ht="115" customHeight="1">
      <x:c r="A443" s="9" t="str">
        <x:v>proposal.branch.protective_stock</x:v>
      </x:c>
      <x:c r="B443" s="9" t="str">
        <x:v>Layered protective composite stock</x:v>
      </x:c>
      <x:c r="C443" s="9" t="str">
        <x:v>Resources</x:v>
      </x:c>
      <x:c r="D443" s="9" t="str">
        <x:v>T4 material / component proposal</x:v>
      </x:c>
      <x:c r="E443" s="9" t="str">
        <x:v>New proposal</x:v>
      </x:c>
      <x:c r="F443" s="9" t="str">
        <x:v>Material stock for protective fabrication.</x:v>
      </x:c>
      <x:c r="G443" s="9" t="str">
        <x:v>None</x:v>
      </x:c>
      <x:c r="H443" s="9" t="str">
        <x:v>Workshop / cargo material; handling and storage unresolved</x:v>
      </x:c>
      <x:c r="I443" s="13"/>
      <x:c r="J443" s="15"/>
      <x:c r="K443" s="9" t="str">
        <x:v>Process candidate lower-tier feed; see linked recipe</x:v>
      </x:c>
      <x:c r="L443" s="9" t="str">
        <x:v>Explore a purpose-layered stock for later fitted protection.</x:v>
      </x:c>
      <x:c r="M443" s="9" t="str">
        <x:v>Not implemented</x:v>
      </x:c>
      <x:c r="N443" s="9" t="str">
        <x:v>A multi-material candidate, not ancient plasteel/nanocarbon or a certified ballistic material.</x:v>
      </x:c>
      <x:c r="O443" s="17"/>
      <x:c r="P443" s="17"/>
      <x:c r="Q443" s="17"/>
      <x:c r="R443" s="17"/>
      <x:c r="S443" s="17"/>
      <x:c r="T443" s="9" t="str">
        <x:v>New October 15 brainstorming. Tier is conditional on the incomplete ingredient list; no quantities, performance ratings or installed crafting behavior assigned.</x:v>
      </x:c>
      <x:c r="U443" s="11" t="str">
        <x:v>layered protective composite stock; t4; refined stock; protective fabrication</x:v>
      </x:c>
      <x:c r="V443" s="9" t="str">
        <x:v>New game proposal, October 15, 2026; current author request and Docs/WORLD_BASIS.md material/refinement rules. Not a retrieved source-canon claim.</x:v>
      </x:c>
      <x:c r="W443" s="4" t="str">
        <x:v>Processed material</x:v>
      </x:c>
      <x:c r="X443" s="4" t="str">
        <x:v>Processed intermediate</x:v>
      </x:c>
      <x:c r="Y443" s="4" t="str">
        <x:v>Manufactured / unresolved</x:v>
      </x:c>
      <x:c r="Z443" s="4" t="str">
        <x:v>Protective fabrication</x:v>
      </x:c>
      <x:c r="AA443" s="4" t="str">
        <x:v>Mixed / unresolved</x:v>
      </x:c>
      <x:c r="AB443" s="4" t="str">
        <x:v>Panel</x:v>
      </x:c>
      <x:c r="AC443" s="4" t="str">
        <x:v>Proposal</x:v>
      </x:c>
      <x:c r="AD443" s="4" t="str">
        <x:f>LOWER(A443&amp;"; "&amp;B443&amp;"; "&amp;C443&amp;"; "&amp;D443&amp;"; "&amp;W443&amp;"; "&amp;X443&amp;"; "&amp;Y443&amp;"; "&amp;Z443&amp;"; "&amp;AA443&amp;"; "&amp;AB443&amp;"; "&amp;AC443&amp;"; "&amp;U443&amp;"; "&amp;AF443&amp;"; "&amp;AH443&amp;"; "&amp;AI443)</x:f>
        <x:v>proposal.branch.protective_stock; layered protective composite stock; resources; t4 material / component proposal; processed material; processed intermediate; manufactured / unresolved; protective fabrication; mixed / unresolved; panel; proposal; layered protective composite stock; t4; refined stock; protective fabrication; t4; not applicable; material</x:v>
      </x:c>
      <x:c r="AE443" s="4" t="str">
        <x:v>New material-tree proposal; intended application and material behavior require qualification.</x:v>
      </x:c>
      <x:c r="AF443" s="4" t="str">
        <x:v>T4</x:v>
      </x:c>
      <x:c r="AG443" s="4" t="str">
        <x:v>Proposed tier: one above the highest listed material input; further ingredients may change the tier.</x:v>
      </x:c>
      <x:c r="AH443" s="4" t="str">
        <x:v>Not applicable</x:v>
      </x:c>
      <x:c r="AI443" s="4" t="str">
        <x:v>Material</x:v>
      </x:c>
      <x:c r="AJ443" s="4" t="n">
        <x:f>COUNTIFS('Material routes'!$D$6:$D$1005,A443,'Material routes'!$C$6:$C$1005,"Output")</x:f>
        <x:v>1</x:v>
      </x:c>
      <x:c r="AK443" s="4" t="n">
        <x:f>SUM(COUNTIFS('Material routes'!$D$6:$D$1005,A443,'Material routes'!$C$6:$C$1005,"Ingredient candidate"),COUNTIFS('Material routes'!$D$6:$D$1005,A443,'Material routes'!$C$6:$C$1005,"Consumed input"),COUNTIFS('Material routes'!$D$6:$D$1005,A443,'Material routes'!$C$6:$C$1005,"Contained input"),COUNTIFS('Material routes'!$D$6:$D$1005,A443,'Material routes'!$C$6:$C$1005,"Transform input"))</x:f>
        <x:v>0</x:v>
      </x:c>
      <x:c r="AL443" s="4" t="n">
        <x:f>COUNTIFS('Material routes'!$D$6:$D$1005,A443,'Material routes'!$C$6:$C$1005,"Tool candidate")</x:f>
        <x:v>0</x:v>
      </x:c>
      <x:c r="AM443" s="4" t="str">
        <x:f>IF(AJ443&gt;0,"Route listed; review status/completeness",IF(AF443="T0","Raw entry feed; no production route","No production route listed"))</x:f>
        <x:v>Route listed; review status/completeness</x:v>
      </x:c>
      <x:c r="AN443" s="14" t="n">
        <x:f>IF(AF443="T0",0,IF(AF443="T1",1,IF(AF443="T2",2,IF(AF443="T3",3,IF(AF443="T4",4,IF(AF443="Unassigned",98,99))))))</x:f>
        <x:v>4</x:v>
      </x:c>
    </x:row>
    <x:row r="444" ht="115" customHeight="1">
      <x:c r="A444" s="9" t="str">
        <x:v>proposal.branch.encapsulated_conductor</x:v>
      </x:c>
      <x:c r="B444" s="9" t="str">
        <x:v>Encapsulated conductor stock</x:v>
      </x:c>
      <x:c r="C444" s="9" t="str">
        <x:v>Resources</x:v>
      </x:c>
      <x:c r="D444" s="9" t="str">
        <x:v>T4 material / component proposal</x:v>
      </x:c>
      <x:c r="E444" s="9" t="str">
        <x:v>New proposal</x:v>
      </x:c>
      <x:c r="F444" s="9" t="str">
        <x:v>Material stock for electrical conduction.</x:v>
      </x:c>
      <x:c r="G444" s="9" t="str">
        <x:v>None</x:v>
      </x:c>
      <x:c r="H444" s="9" t="str">
        <x:v>Workshop / cargo material; handling and storage unresolved</x:v>
      </x:c>
      <x:c r="I444" s="13"/>
      <x:c r="J444" s="15"/>
      <x:c r="K444" s="9" t="str">
        <x:v>Process candidate lower-tier feed; see linked recipe</x:v>
      </x:c>
      <x:c r="L444" s="9" t="str">
        <x:v>Explore enclosed conductor runs and interfaces using qualified stock.</x:v>
      </x:c>
      <x:c r="M444" s="9" t="str">
        <x:v>Not implemented</x:v>
      </x:c>
      <x:c r="N444" s="9" t="str">
        <x:v>No voltage, arc tolerance, immunity, power generation or field-enhancement capability inferred.</x:v>
      </x:c>
      <x:c r="O444" s="17"/>
      <x:c r="P444" s="17"/>
      <x:c r="Q444" s="17"/>
      <x:c r="R444" s="17"/>
      <x:c r="S444" s="17"/>
      <x:c r="T444" s="9" t="str">
        <x:v>New October 15 brainstorming. Tier is conditional on the incomplete ingredient list; no quantities, performance ratings or installed crafting behavior assigned.</x:v>
      </x:c>
      <x:c r="U444" s="11" t="str">
        <x:v>encapsulated conductor stock; t4; refined stock; electrical conduction</x:v>
      </x:c>
      <x:c r="V444" s="9" t="str">
        <x:v>New game proposal, October 15, 2026; current author request and Docs/WORLD_BASIS.md material/refinement rules. Not a retrieved source-canon claim.</x:v>
      </x:c>
      <x:c r="W444" s="4" t="str">
        <x:v>Processed material</x:v>
      </x:c>
      <x:c r="X444" s="4" t="str">
        <x:v>Processed intermediate</x:v>
      </x:c>
      <x:c r="Y444" s="4" t="str">
        <x:v>Manufactured / unresolved</x:v>
      </x:c>
      <x:c r="Z444" s="4" t="str">
        <x:v>Electrical conduction</x:v>
      </x:c>
      <x:c r="AA444" s="4" t="str">
        <x:v>Mixed / unresolved</x:v>
      </x:c>
      <x:c r="AB444" s="4" t="str">
        <x:v>Assembly</x:v>
      </x:c>
      <x:c r="AC444" s="4" t="str">
        <x:v>Proposal</x:v>
      </x:c>
      <x:c r="AD444" s="4" t="str">
        <x:f>LOWER(A444&amp;"; "&amp;B444&amp;"; "&amp;C444&amp;"; "&amp;D444&amp;"; "&amp;W444&amp;"; "&amp;X444&amp;"; "&amp;Y444&amp;"; "&amp;Z444&amp;"; "&amp;AA444&amp;"; "&amp;AB444&amp;"; "&amp;AC444&amp;"; "&amp;U444&amp;"; "&amp;AF444&amp;"; "&amp;AH444&amp;"; "&amp;AI444)</x:f>
        <x:v>proposal.branch.encapsulated_conductor; encapsulated conductor stock; resources; t4 material / component proposal; processed material; processed intermediate; manufactured / unresolved; electrical conduction; mixed / unresolved; assembly; proposal; encapsulated conductor stock; t4; refined stock; electrical conduction; t4; not applicable; material</x:v>
      </x:c>
      <x:c r="AE444" s="4" t="str">
        <x:v>New material-tree proposal; intended application and material behavior require qualification.</x:v>
      </x:c>
      <x:c r="AF444" s="4" t="str">
        <x:v>T4</x:v>
      </x:c>
      <x:c r="AG444" s="4" t="str">
        <x:v>Proposed tier: one above the highest listed material input; further ingredients may change the tier.</x:v>
      </x:c>
      <x:c r="AH444" s="4" t="str">
        <x:v>Not applicable</x:v>
      </x:c>
      <x:c r="AI444" s="4" t="str">
        <x:v>Material</x:v>
      </x:c>
      <x:c r="AJ444" s="4" t="n">
        <x:f>COUNTIFS('Material routes'!$D$6:$D$1005,A444,'Material routes'!$C$6:$C$1005,"Output")</x:f>
        <x:v>1</x:v>
      </x:c>
      <x:c r="AK444" s="4" t="n">
        <x:f>SUM(COUNTIFS('Material routes'!$D$6:$D$1005,A444,'Material routes'!$C$6:$C$1005,"Ingredient candidate"),COUNTIFS('Material routes'!$D$6:$D$1005,A444,'Material routes'!$C$6:$C$1005,"Consumed input"),COUNTIFS('Material routes'!$D$6:$D$1005,A444,'Material routes'!$C$6:$C$1005,"Contained input"),COUNTIFS('Material routes'!$D$6:$D$1005,A444,'Material routes'!$C$6:$C$1005,"Transform input"))</x:f>
        <x:v>0</x:v>
      </x:c>
      <x:c r="AL444" s="4" t="n">
        <x:f>COUNTIFS('Material routes'!$D$6:$D$1005,A444,'Material routes'!$C$6:$C$1005,"Tool candidate")</x:f>
        <x:v>0</x:v>
      </x:c>
      <x:c r="AM444" s="4" t="str">
        <x:f>IF(AJ444&gt;0,"Route listed; review status/completeness",IF(AF444="T0","Raw entry feed; no production route","No production route listed"))</x:f>
        <x:v>Route listed; review status/completeness</x:v>
      </x:c>
      <x:c r="AN444" s="14" t="n">
        <x:f>IF(AF444="T0",0,IF(AF444="T1",1,IF(AF444="T2",2,IF(AF444="T3",3,IF(AF444="T4",4,IF(AF444="Unassigned",98,99))))))</x:f>
        <x:v>4</x:v>
      </x:c>
    </x:row>
    <x:row r="445" ht="115" customHeight="1">
      <x:c r="A445" s="9" t="str">
        <x:v>proposal.branch.optical_module</x:v>
      </x:c>
      <x:c r="B445" s="9" t="str">
        <x:v>Aligned optical subassembly</x:v>
      </x:c>
      <x:c r="C445" s="9" t="str">
        <x:v>Crafting components</x:v>
      </x:c>
      <x:c r="D445" s="9" t="str">
        <x:v>T4 material / component proposal</x:v>
      </x:c>
      <x:c r="E445" s="9" t="str">
        <x:v>New proposal</x:v>
      </x:c>
      <x:c r="F445" s="9" t="str">
        <x:v>Intermediate component for later equipment: vision.</x:v>
      </x:c>
      <x:c r="G445" s="9" t="str">
        <x:v>None</x:v>
      </x:c>
      <x:c r="H445" s="9" t="str">
        <x:v>Workshop / cargo material; handling and storage unresolved</x:v>
      </x:c>
      <x:c r="I445" s="13"/>
      <x:c r="J445" s="15"/>
      <x:c r="K445" s="9" t="str">
        <x:v>Process candidate lower-tier feed; see linked recipe</x:v>
      </x:c>
      <x:c r="L445" s="9" t="str">
        <x:v>Explore a serviceable aligned viewing/instrument subassembly.</x:v>
      </x:c>
      <x:c r="M445" s="9" t="str">
        <x:v>Not implemented</x:v>
      </x:c>
      <x:c r="N445" s="9" t="str">
        <x:v>A crafting component, not a finished spectacle, laser weapon or reproduced ancient optical machine.</x:v>
      </x:c>
      <x:c r="O445" s="17"/>
      <x:c r="P445" s="17"/>
      <x:c r="Q445" s="17"/>
      <x:c r="R445" s="17"/>
      <x:c r="S445" s="17"/>
      <x:c r="T445" s="9" t="str">
        <x:v>New October 15 brainstorming. Tier is conditional on the incomplete ingredient list; no quantities, performance ratings or installed crafting behavior assigned.</x:v>
      </x:c>
      <x:c r="U445" s="11" t="str">
        <x:v>aligned optical subassembly; t4; refined stock; vision</x:v>
      </x:c>
      <x:c r="V445" s="9" t="str">
        <x:v>New game proposal, October 15, 2026; current author request and Docs/WORLD_BASIS.md material/refinement rules. Not a retrieved source-canon claim.</x:v>
      </x:c>
      <x:c r="W445" s="4" t="str">
        <x:v>Crafting component</x:v>
      </x:c>
      <x:c r="X445" s="4" t="str">
        <x:v>Processed intermediate</x:v>
      </x:c>
      <x:c r="Y445" s="4" t="str">
        <x:v>Manufactured / unresolved</x:v>
      </x:c>
      <x:c r="Z445" s="4" t="str">
        <x:v>Vision</x:v>
      </x:c>
      <x:c r="AA445" s="4" t="str">
        <x:v>Mixed / unresolved</x:v>
      </x:c>
      <x:c r="AB445" s="4" t="str">
        <x:v>Assembly</x:v>
      </x:c>
      <x:c r="AC445" s="4" t="str">
        <x:v>Proposal</x:v>
      </x:c>
      <x:c r="AD445" s="4" t="str">
        <x:f>LOWER(A445&amp;"; "&amp;B445&amp;"; "&amp;C445&amp;"; "&amp;D445&amp;"; "&amp;W445&amp;"; "&amp;X445&amp;"; "&amp;Y445&amp;"; "&amp;Z445&amp;"; "&amp;AA445&amp;"; "&amp;AB445&amp;"; "&amp;AC445&amp;"; "&amp;U445&amp;"; "&amp;AF445&amp;";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E445" s="4" t="str">
        <x:v>New material-tree proposal; intended application and material behavior require qualification.</x:v>
      </x:c>
      <x:c r="AF445" s="4" t="str">
        <x:v>T4</x:v>
      </x:c>
      <x:c r="AG445" s="4" t="str">
        <x:v>Proposed tier: one above the highest listed material input; further ingredients may change the tier.</x:v>
      </x:c>
      <x:c r="AH445" s="4" t="str">
        <x:v>Not applicable</x:v>
      </x:c>
      <x:c r="AI445" s="4" t="str">
        <x:v>Component</x:v>
      </x:c>
      <x:c r="AJ445" s="4" t="n">
        <x:f>COUNTIFS('Material routes'!$D$6:$D$1005,A445,'Material routes'!$C$6:$C$1005,"Output")</x:f>
        <x:v>1</x:v>
      </x:c>
      <x:c r="AK445" s="4" t="n">
        <x:f>SUM(COUNTIFS('Material routes'!$D$6:$D$1005,A445,'Material routes'!$C$6:$C$1005,"Ingredient candidate"),COUNTIFS('Material routes'!$D$6:$D$1005,A445,'Material routes'!$C$6:$C$1005,"Consumed input"),COUNTIFS('Material routes'!$D$6:$D$1005,A445,'Material routes'!$C$6:$C$1005,"Contained input"),COUNTIFS('Material routes'!$D$6:$D$1005,A445,'Material routes'!$C$6:$C$1005,"Transform input"))</x:f>
        <x:v>0</x:v>
      </x:c>
      <x:c r="AL445" s="4" t="n">
        <x:f>COUNTIFS('Material routes'!$D$6:$D$1005,A445,'Material routes'!$C$6:$C$1005,"Tool candidate")</x:f>
        <x:v>0</x:v>
      </x:c>
      <x:c r="AM445" s="4" t="str">
        <x:f>IF(AJ445&gt;0,"Route listed; review status/completeness",IF(AF445="T0","Raw entry feed; no production route","No production route listed"))</x:f>
        <x:v>Route listed; review status/completeness</x:v>
      </x:c>
      <x:c r="AN445" s="14" t="n">
        <x:f>IF(AF445="T0",0,IF(AF445="T1",1,IF(AF445="T2",2,IF(AF445="T3",3,IF(AF445="T4",4,IF(AF445="Unassigned",98,99))))))</x:f>
        <x:v>4</x:v>
      </x:c>
    </x:row>
    <x:row r="446" ht="115" customHeight="1">
      <x:c r="A446" s="9" t="str">
        <x:v>proposal.branch.sealed_casing</x:v>
      </x:c>
      <x:c r="B446" s="9" t="str">
        <x:v>Sealed composite casing stock</x:v>
      </x:c>
      <x:c r="C446" s="9" t="str">
        <x:v>Resources</x:v>
      </x:c>
      <x:c r="D446" s="9" t="str">
        <x:v>T4 material / component proposal</x:v>
      </x:c>
      <x:c r="E446" s="9" t="str">
        <x:v>New proposal</x:v>
      </x:c>
      <x:c r="F446" s="9" t="str">
        <x:v>Material stock for equipment fabrication.</x:v>
      </x:c>
      <x:c r="G446" s="9" t="str">
        <x:v>None</x:v>
      </x:c>
      <x:c r="H446" s="9" t="str">
        <x:v>Workshop / cargo material; handling and storage unresolved</x:v>
      </x:c>
      <x:c r="I446" s="13"/>
      <x:c r="J446" s="15"/>
      <x:c r="K446" s="9" t="str">
        <x:v>Process candidate lower-tier feed; see linked recipe</x:v>
      </x:c>
      <x:c r="L446" s="9" t="str">
        <x:v>Explore a composite enclosure blank for later fitted equipment.</x:v>
      </x:c>
      <x:c r="M446" s="9" t="str">
        <x:v>Not implemented</x:v>
      </x:c>
      <x:c r="N446" s="9" t="str">
        <x:v>Seal, dust, impact and chemical compatibility remain unqualified; no finished container or pressure certification.</x:v>
      </x:c>
      <x:c r="O446" s="17"/>
      <x:c r="P446" s="17"/>
      <x:c r="Q446" s="17"/>
      <x:c r="R446" s="17"/>
      <x:c r="S446" s="17"/>
      <x:c r="T446" s="9" t="str">
        <x:v>New October 15 brainstorming. Tier is conditional on the incomplete ingredient list; no quantities, performance ratings or installed crafting behavior assigned.</x:v>
      </x:c>
      <x:c r="U446" s="11" t="str">
        <x:v>sealed composite casing stock; t4; refined stock; equipment fabrication</x:v>
      </x:c>
      <x:c r="V446" s="9" t="str">
        <x:v>New game proposal, October 15, 2026; current author request and Docs/WORLD_BASIS.md material/refinement rules. Not a retrieved source-canon claim.</x:v>
      </x:c>
      <x:c r="W446" s="4" t="str">
        <x:v>Processed material</x:v>
      </x:c>
      <x:c r="X446" s="4" t="str">
        <x:v>Processed intermediate</x:v>
      </x:c>
      <x:c r="Y446" s="4" t="str">
        <x:v>Manufactured / unresolved</x:v>
      </x:c>
      <x:c r="Z446" s="4" t="str">
        <x:v>Equipment fabrication</x:v>
      </x:c>
      <x:c r="AA446" s="4" t="str">
        <x:v>Mixed / unresolved</x:v>
      </x:c>
      <x:c r="AB446" s="4" t="str">
        <x:v>Assembly</x:v>
      </x:c>
      <x:c r="AC446" s="4" t="str">
        <x:v>Proposal</x:v>
      </x:c>
      <x:c r="AD446" s="4" t="str">
        <x:f>LOWER(A446&amp;"; "&amp;B446&amp;"; "&amp;C446&amp;"; "&amp;D446&amp;"; "&amp;W446&amp;"; "&amp;X446&amp;"; "&amp;Y446&amp;"; "&amp;Z446&amp;"; "&amp;AA446&amp;"; "&amp;AB446&amp;"; "&amp;AC446&amp;"; "&amp;U446&amp;"; "&amp;AF446&amp;"; "&amp;AH446&amp;"; "&amp;AI446)</x:f>
        <x:v>proposal.branch.sealed_casing; sealed composite casing stock; resources; t4 material / component proposal; processed material; processed intermediate; manufactured / unresolved; equipment fabrication; mixed / unresolved; assembly; proposal; sealed composite casing stock; t4; refined stock; equipment fabrication; t4; not applicable; material</x:v>
      </x:c>
      <x:c r="AE446" s="4" t="str">
        <x:v>New material-tree proposal; intended application and material behavior require qualification.</x:v>
      </x:c>
      <x:c r="AF446" s="4" t="str">
        <x:v>T4</x:v>
      </x:c>
      <x:c r="AG446" s="4" t="str">
        <x:v>Proposed tier: one above the highest listed material input; further ingredients may change the tier.</x:v>
      </x:c>
      <x:c r="AH446" s="4" t="str">
        <x:v>Not applicable</x:v>
      </x:c>
      <x:c r="AI446" s="4" t="str">
        <x:v>Material</x:v>
      </x:c>
      <x:c r="AJ446" s="4" t="n">
        <x:f>COUNTIFS('Material routes'!$D$6:$D$1005,A446,'Material routes'!$C$6:$C$1005,"Output")</x:f>
        <x:v>1</x:v>
      </x:c>
      <x:c r="AK446" s="4" t="n">
        <x:f>SUM(COUNTIFS('Material routes'!$D$6:$D$1005,A446,'Material routes'!$C$6:$C$1005,"Ingredient candidate"),COUNTIFS('Material routes'!$D$6:$D$1005,A446,'Material routes'!$C$6:$C$1005,"Consumed input"),COUNTIFS('Material routes'!$D$6:$D$1005,A446,'Material routes'!$C$6:$C$1005,"Contained input"),COUNTIFS('Material routes'!$D$6:$D$1005,A446,'Material routes'!$C$6:$C$1005,"Transform input"))</x:f>
        <x:v>0</x:v>
      </x:c>
      <x:c r="AL446" s="4" t="n">
        <x:f>COUNTIFS('Material routes'!$D$6:$D$1005,A446,'Material routes'!$C$6:$C$1005,"Tool candidate")</x:f>
        <x:v>0</x:v>
      </x:c>
      <x:c r="AM446" s="4" t="str">
        <x:f>IF(AJ446&gt;0,"Route listed; review status/completeness",IF(AF446="T0","Raw entry feed; no production route","No production route listed"))</x:f>
        <x:v>Route listed; review status/completeness</x:v>
      </x:c>
      <x:c r="AN446" s="14" t="n">
        <x:f>IF(AF446="T0",0,IF(AF446="T1",1,IF(AF446="T2",2,IF(AF446="T3",3,IF(AF446="T4",4,IF(AF446="Unassigned",98,99))))))</x:f>
        <x:v>4</x:v>
      </x:c>
    </x:row>
    <x:row r="447" ht="115" customHeight="1">
      <x:c r="A447" s="9" t="str">
        <x:v>proposal.branch.spring_pack</x:v>
      </x:c>
      <x:c r="B447" s="9" t="str">
        <x:v>Preloaded spring subassembly</x:v>
      </x:c>
      <x:c r="C447" s="9" t="str">
        <x:v>Crafting components</x:v>
      </x:c>
      <x:c r="D447" s="9" t="str">
        <x:v>T4 material / component proposal</x:v>
      </x:c>
      <x:c r="E447" s="9" t="str">
        <x:v>New proposal</x:v>
      </x:c>
      <x:c r="F447" s="9" t="str">
        <x:v>Intermediate component for later equipment: machinery repair.</x:v>
      </x:c>
      <x:c r="G447" s="9" t="str">
        <x:v>None</x:v>
      </x:c>
      <x:c r="H447" s="9" t="str">
        <x:v>Workshop / cargo material; handling and storage unresolved</x:v>
      </x:c>
      <x:c r="I447" s="13"/>
      <x:c r="J447" s="15"/>
      <x:c r="K447" s="9" t="str">
        <x:v>Process candidate lower-tier feed; see linked recipe</x:v>
      </x:c>
      <x:c r="L447" s="9" t="str">
        <x:v>Explore matched spring elements as a later machine component.</x:v>
      </x:c>
      <x:c r="M447" s="9" t="str">
        <x:v>Not implemented</x:v>
      </x:c>
      <x:c r="N447" s="9" t="str">
        <x:v>Preload, fatigue, lubrication, geometry and actual Legger/vehicle compatibility remain undefined.</x:v>
      </x:c>
      <x:c r="O447" s="17"/>
      <x:c r="P447" s="17"/>
      <x:c r="Q447" s="17"/>
      <x:c r="R447" s="17"/>
      <x:c r="S447" s="17"/>
      <x:c r="T447" s="9" t="str">
        <x:v>New October 15 brainstorming. Tier is conditional on the incomplete ingredient list; no quantities, performance ratings or installed crafting behavior assigned.</x:v>
      </x:c>
      <x:c r="U447" s="11" t="str">
        <x:v>preloaded spring subassembly; t4; refined stock; machinery repair</x:v>
      </x:c>
      <x:c r="V447" s="9" t="str">
        <x:v>New game proposal, October 15, 2026; current author request and Docs/WORLD_BASIS.md material/refinement rules. Not a retrieved source-canon claim.</x:v>
      </x:c>
      <x:c r="W447" s="4" t="str">
        <x:v>Crafting component</x:v>
      </x:c>
      <x:c r="X447" s="4" t="str">
        <x:v>Processed intermediate</x:v>
      </x:c>
      <x:c r="Y447" s="4" t="str">
        <x:v>Manufactured / unresolved</x:v>
      </x:c>
      <x:c r="Z447" s="4" t="str">
        <x:v>Machinery repair</x:v>
      </x:c>
      <x:c r="AA447" s="4" t="str">
        <x:v>Mixed / unresolved</x:v>
      </x:c>
      <x:c r="AB447" s="4" t="str">
        <x:v>Assembly</x:v>
      </x:c>
      <x:c r="AC447" s="4" t="str">
        <x:v>Proposal</x:v>
      </x:c>
      <x:c r="AD447" s="4" t="str">
        <x:f>LOWER(A447&amp;"; "&amp;B447&amp;"; "&amp;C447&amp;"; "&amp;D447&amp;"; "&amp;W447&amp;"; "&amp;X447&amp;"; "&amp;Y447&amp;"; "&amp;Z447&amp;"; "&amp;AA447&amp;"; "&amp;AB447&amp;"; "&amp;AC447&amp;"; "&amp;U447&amp;"; "&amp;AF447&amp;";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E447" s="4" t="str">
        <x:v>New material-tree proposal; intended application and material behavior require qualification.</x:v>
      </x:c>
      <x:c r="AF447" s="4" t="str">
        <x:v>T4</x:v>
      </x:c>
      <x:c r="AG447" s="4" t="str">
        <x:v>Proposed tier: one above the highest listed material input; further ingredients may change the tier.</x:v>
      </x:c>
      <x:c r="AH447" s="4" t="str">
        <x:v>Not applicable</x:v>
      </x:c>
      <x:c r="AI447" s="4" t="str">
        <x:v>Component</x:v>
      </x:c>
      <x:c r="AJ447" s="4" t="n">
        <x:f>COUNTIFS('Material routes'!$D$6:$D$1005,A447,'Material routes'!$C$6:$C$1005,"Output")</x:f>
        <x:v>1</x:v>
      </x:c>
      <x:c r="AK447" s="4" t="n">
        <x:f>SUM(COUNTIFS('Material routes'!$D$6:$D$1005,A447,'Material routes'!$C$6:$C$1005,"Ingredient candidate"),COUNTIFS('Material routes'!$D$6:$D$1005,A447,'Material routes'!$C$6:$C$1005,"Consumed input"),COUNTIFS('Material routes'!$D$6:$D$1005,A447,'Material routes'!$C$6:$C$1005,"Contained input"),COUNTIFS('Material routes'!$D$6:$D$1005,A447,'Material routes'!$C$6:$C$1005,"Transform input"))</x:f>
        <x:v>0</x:v>
      </x:c>
      <x:c r="AL447" s="4" t="n">
        <x:f>COUNTIFS('Material routes'!$D$6:$D$1005,A447,'Material routes'!$C$6:$C$1005,"Tool candidate")</x:f>
        <x:v>0</x:v>
      </x:c>
      <x:c r="AM447" s="4" t="str">
        <x:f>IF(AJ447&gt;0,"Route listed; review status/completeness",IF(AF447="T0","Raw entry feed; no production route","No production route listed"))</x:f>
        <x:v>Route listed; review status/completeness</x:v>
      </x:c>
      <x:c r="AN447" s="14" t="n">
        <x:f>IF(AF447="T0",0,IF(AF447="T1",1,IF(AF447="T2",2,IF(AF447="T3",3,IF(AF447="T4",4,IF(AF447="Unassigned",98,99))))))</x:f>
        <x:v>4</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1">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'Taxonomy'!$B$64:$B$142</x:formula1>
    </x:dataValidation>
    <x:dataValidation type="list" sqref="AA6:AA1005">
      <x:formula1>'Taxonomy'!$B$143:$B$177</x:formula1>
    </x:dataValidation>
    <x:dataValidation type="list" sqref="AB6:AB1005">
      <x:formula1>'Taxonomy'!$B$178:$B$197</x:formula1>
    </x:dataValidation>
    <x:dataValidation type="list" sqref="AC6:AC1005">
      <x:formula1>'Taxonomy'!$B$198:$B$202</x:formula1>
    </x:dataValidation>
    <x:dataValidation type="list" sqref="AF6:AF1005">
      <x:formula1>'Taxonomy'!$B$203:$B$209</x:formula1>
    </x:dataValidation>
    <x:dataValidation type="list" sqref="AH6:AH1005">
      <x:formula1>"T0,T1,T2,T3,T4,Unassigned,Not applicable"</x:formula1>
    </x:dataValidation>
    <x:dataValidation type="list" sqref="AI6:AI1005">
      <x:formula1>'Taxonomy'!$B$210:$B$213</x:formula1>
    </x:dataValidation>
  </x:dataValidations>
  <x:pageMargins left="0.7" right="0.7" top="0.75" bottom="0.75" header="0.3" footer="0.3"/>
  <x:tableParts count="1">
    <x:tablePart xmlns:r="http://schemas.openxmlformats.org/officeDocument/2006/relationships" r:id="R937c931249c24114"/>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0f54774a1111438b"/>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7912599e3ea74136"/>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195</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85</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5</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39</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46</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COUNTIF(Items!$AF$6:$AF$1005,"T2")</x:f>
        <x:v>24</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COUNTIF(Items!$AF$6:$AF$1005,"T3")</x:f>
        <x:v>9</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COUNTIF(Items!$AF$6:$AF$1005,"T4")</x:f>
        <x:v>5</x:v>
      </x:c>
      <x:c r="C47" s="4" t="str">
        <x:v>Tiered stock and intermediate parts from October 15 branches</x:v>
      </x:c>
      <x:c r="D47" s="4" t="str">
        <x:v>Recipe inputs, service qualification and quantities remain proposals.</x:v>
      </x:c>
      <x:c r="E47" s="4" t="str">
        <x:v>Item family</x:v>
      </x:c>
    </x:row>
  </x:sheetData>
  <x:pageMargins left="0.7" right="0.7" top="0.75" bottom="0.75" header="0.3" footer="0.3"/>
  <x:tableParts count="1">
    <x:tablePart xmlns:r="http://schemas.openxmlformats.org/officeDocument/2006/relationships" r:id="Rbf6507cbecac4b61"/>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442 catalog entries: 18 existing definition IDs and 424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C and W:AC, material tier in AF and crafting role in AI. AH retains known endpoint input-tier information. U supplies extra aliases; AD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master records with stable IDs; extend native tables and complete taxonomy/use fields. Current item ID dropdown ends at row 447. AI owns crafting role; AJ:AM and AD are calculated. AF is material tier, AH is endpoint input-tier information where known. Add recipe relationships separately and rebuild browser pairs when topology changes. AN Tier sort order is calculated; extend its formula when adding items.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is T0–T4, Unassigned or Not applicable; AG states its basis. AI Crafting role separates material/component/finished endpoint/currency. AH retains existing endpoint input-tier information; specific recipe input tiers belong in Crafting recipes and the browser.</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AF now holds T0–T4, Unassigned or Not applicable. AI Crafting role identifies Material, Component, Finished item or Currency. Finished preparations that are still material stock remain Material with unresolved tier. Finished equipment has Not applicable material tier. AH retains only established endpoint input-tier information; recipe-specific inputs are visible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442</x:v>
      </x:c>
    </x:row>
    <x:row r="193" ht="115" customHeight="1">
      <x:c r="A193" s="4" t="str">
        <x:v>Audit: recipe count</x:v>
      </x:c>
      <x:c r="B193" s="4" t="n">
        <x:f>COUNTA('Crafting recipes'!$A$6:$A$1005)</x:f>
        <x:v>113</x:v>
      </x:c>
    </x:row>
    <x:row r="194" ht="115" customHeight="1">
      <x:c r="A194" s="4" t="str">
        <x:v>Audit: relationship count</x:v>
      </x:c>
      <x:c r="B194" s="4" t="n">
        <x:f>COUNTA('Material routes'!$A$6:$A$1005)</x:f>
        <x:v>281</x:v>
      </x:c>
    </x:row>
    <x:row r="195" ht="115" customHeight="1">
      <x:c r="A195" s="4" t="str">
        <x:v>Audit: browser pair count</x:v>
      </x:c>
      <x:c r="B195" s="4" t="n">
        <x:f>COUNTA('Crafting browser'!$J$6:$J$1005)</x:f>
        <x:v>168</x:v>
      </x:c>
    </x:row>
    <x:row r="196" ht="115" customHeight="1">
      <x:c r="A196" s="4" t="str">
        <x:v>Audit: unassigned tiers</x:v>
      </x:c>
      <x:c r="B196" s="4" t="n">
        <x:f>COUNTIFS(Items!$AF$6:$AF$1005,"Unassigned")</x:f>
        <x:v>95</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Material tier filter in AF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sheetData>
  <x:pageMargins left="0.7" right="0.7" top="0.75" bottom="0.75" header="0.3" footer="0.3"/>
  <x:tableParts count="1">
    <x:tablePart xmlns:r="http://schemas.openxmlformats.org/officeDocument/2006/relationships" r:id="R76793f6de485467d"/>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8da695018cc4e27"/>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abd003496cca419a"/>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3a97aacdf2b344e1"/>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fe2cc7c159654314"/>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a7bb22362d554764"/>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b6bdf2c76c994962"/>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Broad existing inventory/design grouping. One per master item.</x:v>
      </x:c>
    </x:row>
    <x:row r="15" ht="50" customHeight="1">
      <x:c r="A15" s="4" t="str">
        <x:v>Category</x:v>
      </x:c>
      <x:c r="B15" s="4" t="str">
        <x:v>Weapons</x:v>
      </x:c>
      <x:c r="C15" s="4" t="str">
        <x:v>Broad existing inventory/design grouping. One per master item.</x:v>
      </x:c>
    </x:row>
    <x:row r="16" ht="50" customHeight="1">
      <x:c r="A16" s="4" t="str">
        <x:v>Item type</x:v>
      </x:c>
      <x:c r="B16" s="4" t="str">
        <x:v>Ammunition</x:v>
      </x:c>
      <x:c r="C16" s="4" t="str">
        <x:v>What the object is, independent of material, culture and use.</x:v>
      </x:c>
    </x:row>
    <x:row r="17" ht="50" customHeight="1">
      <x:c r="A17" s="4" t="str">
        <x:v>Item type</x:v>
      </x:c>
      <x:c r="B17" s="4" t="str">
        <x:v>Armor</x:v>
      </x:c>
      <x:c r="C17" s="4" t="str">
        <x:v>What the object is, independent of material, culture and use.</x:v>
      </x:c>
    </x:row>
    <x:row r="18" ht="50" customHeight="1">
      <x:c r="A18" s="4" t="str">
        <x:v>Item type</x:v>
      </x:c>
      <x:c r="B18" s="4" t="str">
        <x:v>Carrier</x:v>
      </x:c>
      <x:c r="C18" s="4" t="str">
        <x:v>What the object is, independent of material, culture and use.</x:v>
      </x:c>
    </x:row>
    <x:row r="19" ht="50" customHeight="1">
      <x:c r="A19" s="4" t="str">
        <x:v>Item type</x:v>
      </x:c>
      <x:c r="B19" s="4" t="str">
        <x:v>Chemical material</x:v>
      </x:c>
      <x:c r="C19" s="4" t="str">
        <x:v>What the object is, independent of material, culture and use.</x:v>
      </x:c>
    </x:row>
    <x:row r="20" ht="50" customHeight="1">
      <x:c r="A20" s="4" t="str">
        <x:v>Item type</x:v>
      </x:c>
      <x:c r="B20" s="4" t="str">
        <x:v>Container</x:v>
      </x:c>
      <x:c r="C20" s="4" t="str">
        <x:v>What the object is, independent of material, culture and use.</x:v>
      </x:c>
    </x:row>
    <x:row r="21" ht="50" customHeight="1">
      <x:c r="A21" s="4" t="str">
        <x:v>Item type</x:v>
      </x:c>
      <x:c r="B21" s="4" t="str">
        <x:v>Container part</x:v>
      </x:c>
      <x:c r="C21" s="4" t="str">
        <x:v>What the object is, independent of material, culture and use.</x:v>
      </x:c>
    </x:row>
    <x:row r="22" ht="50" customHeight="1">
      <x:c r="A22" s="4" t="str">
        <x:v>Item type</x:v>
      </x:c>
      <x:c r="B22" s="4" t="str">
        <x:v>Crafting component</x:v>
      </x:c>
      <x:c r="C22" s="4" t="str">
        <x:v>What the object is, independent of material, culture and use.</x:v>
      </x:c>
    </x:row>
    <x:row r="23" ht="50" customHeight="1">
      <x:c r="A23" s="4" t="str">
        <x:v>Item type</x:v>
      </x:c>
      <x:c r="B23" s="4" t="str">
        <x:v>Cultural object</x:v>
      </x:c>
      <x:c r="C23" s="4" t="str">
        <x:v>What the object is, independent of material, culture and use.</x:v>
      </x:c>
    </x:row>
    <x:row r="24" ht="50" customHeight="1">
      <x:c r="A24" s="4" t="str">
        <x:v>Item type</x:v>
      </x:c>
      <x:c r="B24" s="4" t="str">
        <x:v>Currency</x:v>
      </x:c>
      <x:c r="C24" s="4" t="str">
        <x:v>What the object is, independent of material, culture and use.</x:v>
      </x:c>
    </x:row>
    <x:row r="25" ht="50" customHeight="1">
      <x:c r="A25" s="4" t="str">
        <x:v>Item type</x:v>
      </x:c>
      <x:c r="B25" s="4" t="str">
        <x:v>Document</x:v>
      </x:c>
      <x:c r="C25" s="4" t="str">
        <x:v>What the object is, independent of material, culture and use.</x:v>
      </x:c>
    </x:row>
    <x:row r="26" ht="50" customHeight="1">
      <x:c r="A26" s="4" t="str">
        <x:v>Item type</x:v>
      </x:c>
      <x:c r="B26" s="4" t="str">
        <x:v>Drink consumable</x:v>
      </x:c>
      <x:c r="C26" s="4" t="str">
        <x:v>What the object is, independent of material, culture and use.</x:v>
      </x:c>
    </x:row>
    <x:row r="27" ht="50" customHeight="1">
      <x:c r="A27" s="4" t="str">
        <x:v>Item type</x:v>
      </x:c>
      <x:c r="B27" s="4" t="str">
        <x:v>Energy storage</x:v>
      </x:c>
      <x:c r="C27" s="4" t="str">
        <x:v>What the object is, independent of material, culture and use.</x:v>
      </x:c>
    </x:row>
    <x:row r="28" ht="50" customHeight="1">
      <x:c r="A28" s="4" t="str">
        <x:v>Item type</x:v>
      </x:c>
      <x:c r="B28" s="4" t="str">
        <x:v>Food consumable</x:v>
      </x:c>
      <x:c r="C28" s="4" t="str">
        <x:v>What the object is, independent of material, culture and use.</x:v>
      </x:c>
    </x:row>
    <x:row r="29" ht="50" customHeight="1">
      <x:c r="A29" s="4" t="str">
        <x:v>Item type</x:v>
      </x:c>
      <x:c r="B29" s="4" t="str">
        <x:v>Food material</x:v>
      </x:c>
      <x:c r="C29" s="4" t="str">
        <x:v>What the object is, independent of material, culture and use.</x:v>
      </x:c>
    </x:row>
    <x:row r="30" ht="50" customHeight="1">
      <x:c r="A30" s="4" t="str">
        <x:v>Item type</x:v>
      </x:c>
      <x:c r="B30" s="4" t="str">
        <x:v>Gem material</x:v>
      </x:c>
      <x:c r="C30" s="4" t="str">
        <x:v>What the object is, independent of material, culture and use.</x:v>
      </x:c>
    </x:row>
    <x:row r="31" ht="50" customHeight="1">
      <x:c r="A31" s="4" t="str">
        <x:v>Item type</x:v>
      </x:c>
      <x:c r="B31" s="4" t="str">
        <x:v>Household utensil</x:v>
      </x:c>
      <x:c r="C31" s="4" t="str">
        <x:v>What the object is, independent of material, culture and use.</x:v>
      </x:c>
    </x:row>
    <x:row r="32" ht="50" customHeight="1">
      <x:c r="A32" s="4" t="str">
        <x:v>Item type</x:v>
      </x:c>
      <x:c r="B32" s="4" t="str">
        <x:v>Machine</x:v>
      </x:c>
      <x:c r="C32" s="4" t="str">
        <x:v>What the object is, independent of material, culture and use.</x:v>
      </x:c>
    </x:row>
    <x:row r="33" ht="50" customHeight="1">
      <x:c r="A33" s="4" t="str">
        <x:v>Item type</x:v>
      </x:c>
      <x:c r="B33" s="4" t="str">
        <x:v>Musical instrument</x:v>
      </x:c>
      <x:c r="C33" s="4" t="str">
        <x:v>What the object is, independent of material, culture and use.</x:v>
      </x:c>
    </x:row>
    <x:row r="34" ht="50" customHeight="1">
      <x:c r="A34" s="4" t="str">
        <x:v>Item type</x:v>
      </x:c>
      <x:c r="B34" s="4" t="str">
        <x:v>Processed material</x:v>
      </x:c>
      <x:c r="C34" s="4" t="str">
        <x:v>What the object is, independent of material, culture and use.</x:v>
      </x:c>
    </x:row>
    <x:row r="35" ht="50" customHeight="1">
      <x:c r="A35" s="4" t="str">
        <x:v>Item type</x:v>
      </x:c>
      <x:c r="B35" s="4" t="str">
        <x:v>Raw material</x:v>
      </x:c>
      <x:c r="C35" s="4" t="str">
        <x:v>What the object is, independent of material, culture and use.</x:v>
      </x:c>
    </x:row>
    <x:row r="36" ht="50" customHeight="1">
      <x:c r="A36" s="4" t="str">
        <x:v>Item type</x:v>
      </x:c>
      <x:c r="B36" s="4" t="str">
        <x:v>Service kit</x:v>
      </x:c>
      <x:c r="C36" s="4" t="str">
        <x:v>What the object is, independent of material, culture and use.</x:v>
      </x:c>
    </x:row>
    <x:row r="37" ht="50" customHeight="1">
      <x:c r="A37" s="4" t="str">
        <x:v>Item type</x:v>
      </x:c>
      <x:c r="B37" s="4" t="str">
        <x:v>Shelter kit</x:v>
      </x:c>
      <x:c r="C37" s="4" t="str">
        <x:v>What the object is, independent of material, culture and use.</x:v>
      </x:c>
    </x:row>
    <x:row r="38" ht="50" customHeight="1">
      <x:c r="A38" s="4" t="str">
        <x:v>Item type</x:v>
      </x:c>
      <x:c r="B38" s="4" t="str">
        <x:v>Shield</x:v>
      </x:c>
      <x:c r="C38" s="4" t="str">
        <x:v>What the object is, independent of material, culture and use.</x:v>
      </x:c>
    </x:row>
    <x:row r="39" ht="50" customHeight="1">
      <x:c r="A39" s="4" t="str">
        <x:v>Item type</x:v>
      </x:c>
      <x:c r="B39" s="4" t="str">
        <x:v>Tool</x:v>
      </x:c>
      <x:c r="C39" s="4" t="str">
        <x:v>What the object is, independent of material, culture and use.</x:v>
      </x:c>
    </x:row>
    <x:row r="40" ht="50" customHeight="1">
      <x:c r="A40" s="4" t="str">
        <x:v>Item type</x:v>
      </x:c>
      <x:c r="B40" s="4" t="str">
        <x:v>Traversal device</x:v>
      </x:c>
      <x:c r="C40" s="4" t="str">
        <x:v>What the object is, independent of material, culture and use.</x:v>
      </x:c>
    </x:row>
    <x:row r="41" ht="50" customHeight="1">
      <x:c r="A41" s="4" t="str">
        <x:v>Item type</x:v>
      </x:c>
      <x:c r="B41" s="4" t="str">
        <x:v>Trip hazard</x:v>
      </x:c>
      <x:c r="C41" s="4" t="str">
        <x:v>What the object is, independent of material, culture and use.</x:v>
      </x:c>
    </x:row>
    <x:row r="42" ht="50" customHeight="1">
      <x:c r="A42" s="4" t="str">
        <x:v>Item type</x:v>
      </x:c>
      <x:c r="B42" s="4" t="str">
        <x:v>Weapon</x:v>
      </x:c>
      <x:c r="C42" s="4" t="str">
        <x:v>What the object is, independent of material, culture and use.</x:v>
      </x:c>
    </x:row>
    <x:row r="43" ht="50" customHeight="1">
      <x:c r="A43" s="4" t="str">
        <x:v>Item type</x:v>
      </x:c>
      <x:c r="B43" s="4" t="str">
        <x:v>Wearable</x:v>
      </x:c>
      <x:c r="C43" s="4" t="str">
        <x:v>What the object is, independent of material, culture and use.</x:v>
      </x:c>
    </x:row>
    <x:row r="44" ht="50" customHeight="1">
      <x:c r="A44" s="4" t="str">
        <x:v>Processing stage</x:v>
      </x:c>
      <x:c r="B44" s="4" t="str">
        <x:v>Ancient manufactured</x:v>
      </x:c>
      <x:c r="C44" s="4" t="str">
        <x:v>State of the listed item, not its next recipe. Stage unresolved means raw-versus-processed is undecided.</x:v>
      </x:c>
    </x:row>
    <x:row r="45" ht="50" customHeight="1">
      <x:c r="A45" s="4" t="str">
        <x:v>Processing stage</x:v>
      </x:c>
      <x:c r="B45" s="4" t="str">
        <x:v>Extracted material</x:v>
      </x:c>
      <x:c r="C45" s="4" t="str">
        <x:v>State of the listed item, not its next recipe. Stage unresolved means raw-versus-processed is undecided.</x:v>
      </x:c>
    </x:row>
    <x:row r="46" ht="50" customHeight="1">
      <x:c r="A46" s="4" t="str">
        <x:v>Processing stage</x:v>
      </x:c>
      <x:c r="B46" s="4" t="str">
        <x:v>Finished item</x:v>
      </x:c>
      <x:c r="C46" s="4" t="str">
        <x:v>State of the listed item, not its next recipe. Stage unresolved means raw-versus-processed is undecided.</x:v>
      </x:c>
    </x:row>
    <x:row r="47" ht="50" customHeight="1">
      <x:c r="A47" s="4" t="str">
        <x:v>Processing stage</x:v>
      </x:c>
      <x:c r="B47" s="4" t="str">
        <x:v>Processed intermediate</x:v>
      </x:c>
      <x:c r="C47" s="4" t="str">
        <x:v>State of the listed item, not its next recipe. Stage unresolved means raw-versus-processed is undecided.</x:v>
      </x:c>
    </x:row>
    <x:row r="48" ht="50" customHeight="1">
      <x:c r="A48" s="4" t="str">
        <x:v>Processing stage</x:v>
      </x:c>
      <x:c r="B48" s="4" t="str">
        <x:v>Raw</x:v>
      </x:c>
      <x:c r="C48" s="4" t="str">
        <x:v>State of the listed item, not its next recipe. Stage unresolved means raw-versus-processed is undecided.</x:v>
      </x:c>
    </x:row>
    <x:row r="49" ht="50" customHeight="1">
      <x:c r="A49" s="4" t="str">
        <x:v>Processing stage</x:v>
      </x:c>
      <x:c r="B49" s="4" t="str">
        <x:v>Recovered material</x:v>
      </x:c>
      <x:c r="C49" s="4" t="str">
        <x:v>State of the listed item, not its next recipe. Stage unresolved means raw-versus-processed is undecided.</x:v>
      </x:c>
    </x:row>
    <x:row r="50" ht="50" customHeight="1">
      <x:c r="A50" s="4" t="str">
        <x:v>Processing stage</x:v>
      </x:c>
      <x:c r="B50" s="4" t="str">
        <x:v>Recovered part</x:v>
      </x:c>
      <x:c r="C50" s="4" t="str">
        <x:v>State of the listed item, not its next recipe. Stage unresolved means raw-versus-processed is undecided.</x:v>
      </x:c>
    </x:row>
    <x:row r="51" ht="50" customHeight="1">
      <x:c r="A51" s="4" t="str">
        <x:v>Processing stage</x:v>
      </x:c>
      <x:c r="B51" s="4" t="str">
        <x:v>Unfired intermediate</x:v>
      </x:c>
      <x:c r="C51" s="4" t="str">
        <x:v>State of the listed item, not its next recipe. Stage unresolved means raw-versus-processed is undecided.</x:v>
      </x:c>
    </x:row>
    <x:row r="52" ht="50" customHeight="1">
      <x:c r="A52" s="4" t="str">
        <x:v>Processing stage</x:v>
      </x:c>
      <x:c r="B52" s="4" t="str">
        <x:v>Unresolved</x:v>
      </x:c>
      <x:c r="C52" s="4" t="str">
        <x:v>State of the listed item, not its next recipe. Stage unresolved means raw-versus-processed is undecided.</x:v>
      </x:c>
    </x:row>
    <x:row r="53" ht="50" customHeight="1">
      <x:c r="A53" s="4" t="str">
        <x:v>Processing stage</x:v>
      </x:c>
      <x:c r="B53" s="4" t="str">
        <x:v>Unworked metal</x:v>
      </x:c>
      <x:c r="C53" s="4" t="str">
        <x:v>State of the listed item, not its next recipe. Stage unresolved means raw-versus-processed is undecided.</x:v>
      </x:c>
    </x:row>
    <x:row r="54" ht="50" customHeight="1">
      <x:c r="A54" s="4" t="str">
        <x:v>Origin family</x:v>
      </x:c>
      <x:c r="B54" s="4" t="str">
        <x:v>Ancient technology</x:v>
      </x:c>
      <x:c r="C54" s="4" t="str">
        <x:v>Broad provenance. Manufactured / unresolved does not identify raw ingredients.</x:v>
      </x:c>
    </x:row>
    <x:row r="55" ht="50" customHeight="1">
      <x:c r="A55" s="4" t="str">
        <x:v>Origin family</x:v>
      </x:c>
      <x:c r="B55" s="4" t="str">
        <x:v>Atmospheric</x:v>
      </x:c>
      <x:c r="C55" s="4" t="str">
        <x:v>Broad provenance. Manufactured / unresolved does not identify raw ingredients.</x:v>
      </x:c>
    </x:row>
    <x:row r="56" ht="50" customHeight="1">
      <x:c r="A56" s="4" t="str">
        <x:v>Origin family</x:v>
      </x:c>
      <x:c r="B56" s="4" t="str">
        <x:v>Biological mixture</x:v>
      </x:c>
      <x:c r="C56" s="4" t="str">
        <x:v>Broad provenance. Manufactured / unresolved does not identify raw ingredients.</x:v>
      </x:c>
    </x:row>
    <x:row r="57" ht="50" customHeight="1">
      <x:c r="A57" s="4" t="str">
        <x:v>Origin family</x:v>
      </x:c>
      <x:c r="B57" s="4" t="str">
        <x:v>Fauna</x:v>
      </x:c>
      <x:c r="C57" s="4" t="str">
        <x:v>Broad provenance. Manufactured / unresolved does not identify raw ingredients.</x:v>
      </x:c>
    </x:row>
    <x:row r="58" ht="50" customHeight="1">
      <x:c r="A58" s="4" t="str">
        <x:v>Origin family</x:v>
      </x:c>
      <x:c r="B58" s="4" t="str">
        <x:v>Geological</x:v>
      </x:c>
      <x:c r="C58" s="4" t="str">
        <x:v>Broad provenance. Manufactured / unresolved does not identify raw ingredients.</x:v>
      </x:c>
    </x:row>
    <x:row r="59" ht="50" customHeight="1">
      <x:c r="A59" s="4" t="str">
        <x:v>Origin family</x:v>
      </x:c>
      <x:c r="B59" s="4" t="str">
        <x:v>Industrial salvage</x:v>
      </x:c>
      <x:c r="C59" s="4" t="str">
        <x:v>Broad provenance. Manufactured / unresolved does not identify raw ingredients.</x:v>
      </x:c>
    </x:row>
    <x:row r="60" ht="50" customHeight="1">
      <x:c r="A60" s="4" t="str">
        <x:v>Origin family</x:v>
      </x:c>
      <x:c r="B60" s="4" t="str">
        <x:v>Living culture</x:v>
      </x:c>
      <x:c r="C60" s="4" t="str">
        <x:v>Broad provenance. Manufactured / unresolved does not identify raw ingredients.</x:v>
      </x:c>
    </x:row>
    <x:row r="61" ht="50" customHeight="1">
      <x:c r="A61" s="4" t="str">
        <x:v>Origin family</x:v>
      </x:c>
      <x:c r="B61" s="4" t="str">
        <x:v>Manufactured / unresolved</x:v>
      </x:c>
      <x:c r="C61" s="4" t="str">
        <x:v>Broad provenance. Manufactured / unresolved does not identify raw ingredients.</x:v>
      </x:c>
    </x:row>
    <x:row r="62" ht="50" customHeight="1">
      <x:c r="A62" s="4" t="str">
        <x:v>Origin family</x:v>
      </x:c>
      <x:c r="B62" s="4" t="str">
        <x:v>Recovered machinery</x:v>
      </x:c>
      <x:c r="C62" s="4" t="str">
        <x:v>Broad provenance. Manufactured / unresolved does not identify raw ingredients.</x:v>
      </x:c>
    </x:row>
    <x:row r="63" ht="50" customHeight="1">
      <x:c r="A63" s="4" t="str">
        <x:v>Origin family</x:v>
      </x:c>
      <x:c r="B63" s="4" t="str">
        <x:v>Unresolved</x:v>
      </x:c>
      <x:c r="C63" s="4" t="str">
        <x:v>Broad provenance. Manufactured / unresolved does not identify raw ingredients.</x:v>
      </x:c>
    </x:row>
    <x:row r="64" ht="50" customHeight="1">
      <x:c r="A64" s="4" t="str">
        <x:v>Primary use</x:v>
      </x:c>
      <x:c r="B64" s="4" t="str">
        <x:v>Area denial</x:v>
      </x:c>
      <x:c r="C64" s="4" t="str">
        <x:v>Main catalog purpose. Item uses lists additional purposes as separate filterable rows.</x:v>
      </x:c>
    </x:row>
    <x:row r="65" ht="50" customHeight="1">
      <x:c r="A65" s="4" t="str">
        <x:v>Primary use</x:v>
      </x:c>
      <x:c r="B65" s="4" t="str">
        <x:v>Atmospheric support</x:v>
      </x:c>
      <x:c r="C65" s="4" t="str">
        <x:v>Main catalog purpose. Item uses lists additional purposes as separate filterable rows.</x:v>
      </x:c>
    </x:row>
    <x:row r="66" ht="50" customHeight="1">
      <x:c r="A66" s="4" t="str">
        <x:v>Primary use</x:v>
      </x:c>
      <x:c r="B66" s="4" t="str">
        <x:v>Binding and construction</x:v>
      </x:c>
      <x:c r="C66" s="4" t="str">
        <x:v>Main catalog purpose. Item uses lists additional purposes as separate filterable rows.</x:v>
      </x:c>
    </x:row>
    <x:row r="67" ht="50" customHeight="1">
      <x:c r="A67" s="4" t="str">
        <x:v>Primary use</x:v>
      </x:c>
      <x:c r="B67" s="4" t="str">
        <x:v>Camp rest</x:v>
      </x:c>
      <x:c r="C67" s="4" t="str">
        <x:v>Main catalog purpose. Item uses lists additional purposes as separate filterable rows.</x:v>
      </x:c>
    </x:row>
    <x:row r="68" ht="50" customHeight="1">
      <x:c r="A68" s="4" t="str">
        <x:v>Primary use</x:v>
      </x:c>
      <x:c r="B68" s="4" t="str">
        <x:v>Cargo organization</x:v>
      </x:c>
      <x:c r="C68" s="4" t="str">
        <x:v>Main catalog purpose. Item uses lists additional purposes as separate filterable rows.</x:v>
      </x:c>
    </x:row>
    <x:row r="69" ht="50" customHeight="1">
      <x:c r="A69" s="4" t="str">
        <x:v>Primary use</x:v>
      </x:c>
      <x:c r="B69" s="4" t="str">
        <x:v>Ceremony</x:v>
      </x:c>
      <x:c r="C69" s="4" t="str">
        <x:v>Main catalog purpose. Item uses lists additional purposes as separate filterable rows.</x:v>
      </x:c>
    </x:row>
    <x:row r="70" ht="50" customHeight="1">
      <x:c r="A70" s="4" t="str">
        <x:v>Primary use</x:v>
      </x:c>
      <x:c r="B70" s="4" t="str">
        <x:v>Chemical processing</x:v>
      </x:c>
      <x:c r="C70" s="4" t="str">
        <x:v>Main catalog purpose. Item uses lists additional purposes as separate filterable rows.</x:v>
      </x:c>
    </x:row>
    <x:row r="71" ht="50" customHeight="1">
      <x:c r="A71" s="4" t="str">
        <x:v>Primary use</x:v>
      </x:c>
      <x:c r="B71" s="4" t="str">
        <x:v>Civic identification</x:v>
      </x:c>
      <x:c r="C71" s="4" t="str">
        <x:v>Main catalog purpose. Item uses lists additional purposes as separate filterable rows.</x:v>
      </x:c>
    </x:row>
    <x:row r="72" ht="50" customHeight="1">
      <x:c r="A72" s="4" t="str">
        <x:v>Primary use</x:v>
      </x:c>
      <x:c r="B72" s="4" t="str">
        <x:v>Civic recognition</x:v>
      </x:c>
      <x:c r="C72" s="4" t="str">
        <x:v>Main catalog purpose. Item uses lists additional purposes as separate filterable rows.</x:v>
      </x:c>
    </x:row>
    <x:row r="73" ht="50" customHeight="1">
      <x:c r="A73" s="4" t="str">
        <x:v>Primary use</x:v>
      </x:c>
      <x:c r="B73" s="4" t="str">
        <x:v>Cleaning</x:v>
      </x:c>
      <x:c r="C73" s="4" t="str">
        <x:v>Main catalog purpose. Item uses lists additional purposes as separate filterable rows.</x:v>
      </x:c>
    </x:row>
    <x:row r="74" ht="50" customHeight="1">
      <x:c r="A74" s="4" t="str">
        <x:v>Primary use</x:v>
      </x:c>
      <x:c r="B74" s="4" t="str">
        <x:v>Clothing</x:v>
      </x:c>
      <x:c r="C74" s="4" t="str">
        <x:v>Main catalog purpose. Item uses lists additional purposes as separate filterable rows.</x:v>
      </x:c>
    </x:row>
    <x:row r="75" ht="50" customHeight="1">
      <x:c r="A75" s="4" t="str">
        <x:v>Primary use</x:v>
      </x:c>
      <x:c r="B75" s="4" t="str">
        <x:v>Clothing fabrication</x:v>
      </x:c>
      <x:c r="C75" s="4" t="str">
        <x:v>Main catalog purpose. Item uses lists additional purposes as separate filterable rows.</x:v>
      </x:c>
    </x:row>
    <x:row r="76" ht="50" customHeight="1">
      <x:c r="A76" s="4" t="str">
        <x:v>Primary use</x:v>
      </x:c>
      <x:c r="B76" s="4" t="str">
        <x:v>Cooking</x:v>
      </x:c>
      <x:c r="C76" s="4" t="str">
        <x:v>Main catalog purpose. Item uses lists additional purposes as separate filterable rows.</x:v>
      </x:c>
    </x:row>
    <x:row r="77" ht="50" customHeight="1">
      <x:c r="A77" s="4" t="str">
        <x:v>Primary use</x:v>
      </x:c>
      <x:c r="B77" s="4" t="str">
        <x:v>Culture support</x:v>
      </x:c>
      <x:c r="C77" s="4" t="str">
        <x:v>Main catalog purpose. Item uses lists additional purposes as separate filterable rows.</x:v>
      </x:c>
    </x:row>
    <x:row r="78" ht="50" customHeight="1">
      <x:c r="A78" s="4" t="str">
        <x:v>Primary use</x:v>
      </x:c>
      <x:c r="B78" s="4" t="str">
        <x:v>Decoration</x:v>
      </x:c>
      <x:c r="C78" s="4" t="str">
        <x:v>Main catalog purpose. Item uses lists additional purposes as separate filterable rows.</x:v>
      </x:c>
    </x:row>
    <x:row r="79" ht="50" customHeight="1">
      <x:c r="A79" s="4" t="str">
        <x:v>Primary use</x:v>
      </x:c>
      <x:c r="B79" s="4" t="str">
        <x:v>Devotion</x:v>
      </x:c>
      <x:c r="C79" s="4" t="str">
        <x:v>Main catalog purpose. Item uses lists additional purposes as separate filterable rows.</x:v>
      </x:c>
    </x:row>
    <x:row r="80" ht="50" customHeight="1">
      <x:c r="A80" s="4" t="str">
        <x:v>Primary use</x:v>
      </x:c>
      <x:c r="B80" s="4" t="str">
        <x:v>Dust exclusion</x:v>
      </x:c>
      <x:c r="C80" s="4" t="str">
        <x:v>Main catalog purpose. Item uses lists additional purposes as separate filterable rows.</x:v>
      </x:c>
    </x:row>
    <x:row r="81" ht="50" customHeight="1">
      <x:c r="A81" s="4" t="str">
        <x:v>Primary use</x:v>
      </x:c>
      <x:c r="B81" s="4" t="str">
        <x:v>Electrical conduction</x:v>
      </x:c>
      <x:c r="C81" s="4" t="str">
        <x:v>Main catalog purpose. Item uses lists additional purposes as separate filterable rows.</x:v>
      </x:c>
    </x:row>
    <x:row r="82" ht="50" customHeight="1">
      <x:c r="A82" s="4" t="str">
        <x:v>Primary use</x:v>
      </x:c>
      <x:c r="B82" s="4" t="str">
        <x:v>Electrical insulation</x:v>
      </x:c>
      <x:c r="C82" s="4" t="str">
        <x:v>Main catalog purpose. Item uses lists additional purposes as separate filterable rows.</x:v>
      </x:c>
    </x:row>
    <x:row r="83" ht="50" customHeight="1">
      <x:c r="A83" s="4" t="str">
        <x:v>Primary use</x:v>
      </x:c>
      <x:c r="B83" s="4" t="str">
        <x:v>Electrical work</x:v>
      </x:c>
      <x:c r="C83" s="4" t="str">
        <x:v>Main catalog purpose. Item uses lists additional purposes as separate filterable rows.</x:v>
      </x:c>
    </x:row>
    <x:row r="84" ht="50" customHeight="1">
      <x:c r="A84" s="4" t="str">
        <x:v>Primary use</x:v>
      </x:c>
      <x:c r="B84" s="4" t="str">
        <x:v>Energy processing</x:v>
      </x:c>
      <x:c r="C84" s="4" t="str">
        <x:v>Main catalog purpose. Item uses lists additional purposes as separate filterable rows.</x:v>
      </x:c>
    </x:row>
    <x:row r="85" ht="50" customHeight="1">
      <x:c r="A85" s="4" t="str">
        <x:v>Primary use</x:v>
      </x:c>
      <x:c r="B85" s="4" t="str">
        <x:v>Energy storage</x:v>
      </x:c>
      <x:c r="C85" s="4" t="str">
        <x:v>Main catalog purpose. Item uses lists additional purposes as separate filterable rows.</x:v>
      </x:c>
    </x:row>
    <x:row r="86" ht="50" customHeight="1">
      <x:c r="A86" s="4" t="str">
        <x:v>Primary use</x:v>
      </x:c>
      <x:c r="B86" s="4" t="str">
        <x:v>Equipment fabrication</x:v>
      </x:c>
      <x:c r="C86" s="4" t="str">
        <x:v>Main catalog purpose. Item uses lists additional purposes as separate filterable rows.</x:v>
      </x:c>
    </x:row>
    <x:row r="87" ht="50" customHeight="1">
      <x:c r="A87" s="4" t="str">
        <x:v>Primary use</x:v>
      </x:c>
      <x:c r="B87" s="4" t="str">
        <x:v>Equipment mounting</x:v>
      </x:c>
      <x:c r="C87" s="4" t="str">
        <x:v>Main catalog purpose. Item uses lists additional purposes as separate filterable rows.</x:v>
      </x:c>
    </x:row>
    <x:row r="88" ht="50" customHeight="1">
      <x:c r="A88" s="4" t="str">
        <x:v>Primary use</x:v>
      </x:c>
      <x:c r="B88" s="4" t="str">
        <x:v>Equipment repair</x:v>
      </x:c>
      <x:c r="C88" s="4" t="str">
        <x:v>Main catalog purpose. Item uses lists additional purposes as separate filterable rows.</x:v>
      </x:c>
    </x:row>
    <x:row r="89" ht="50" customHeight="1">
      <x:c r="A89" s="4" t="str">
        <x:v>Primary use</x:v>
      </x:c>
      <x:c r="B89" s="4" t="str">
        <x:v>Excavation</x:v>
      </x:c>
      <x:c r="C89" s="4" t="str">
        <x:v>Main catalog purpose. Item uses lists additional purposes as separate filterable rows.</x:v>
      </x:c>
    </x:row>
    <x:row r="90" ht="50" customHeight="1">
      <x:c r="A90" s="4" t="str">
        <x:v>Primary use</x:v>
      </x:c>
      <x:c r="B90" s="4" t="str">
        <x:v>Fabrication</x:v>
      </x:c>
      <x:c r="C90" s="4" t="str">
        <x:v>Main catalog purpose. Item uses lists additional purposes as separate filterable rows.</x:v>
      </x:c>
    </x:row>
    <x:row r="91" ht="50" customHeight="1">
      <x:c r="A91" s="4" t="str">
        <x:v>Primary use</x:v>
      </x:c>
      <x:c r="B91" s="4" t="str">
        <x:v>Fashion</x:v>
      </x:c>
      <x:c r="C91" s="4" t="str">
        <x:v>Main catalog purpose. Item uses lists additional purposes as separate filterable rows.</x:v>
      </x:c>
    </x:row>
    <x:row r="92" ht="50" customHeight="1">
      <x:c r="A92" s="4" t="str">
        <x:v>Primary use</x:v>
      </x:c>
      <x:c r="B92" s="4" t="str">
        <x:v>Fauna interaction</x:v>
      </x:c>
      <x:c r="C92" s="4" t="str">
        <x:v>Main catalog purpose. Item uses lists additional purposes as separate filterable rows.</x:v>
      </x:c>
    </x:row>
    <x:row r="93" ht="50" customHeight="1">
      <x:c r="A93" s="4" t="str">
        <x:v>Primary use</x:v>
      </x:c>
      <x:c r="B93" s="4" t="str">
        <x:v>Fiber processing</x:v>
      </x:c>
      <x:c r="C93" s="4" t="str">
        <x:v>Main catalog purpose. Item uses lists additional purposes as separate filterable rows.</x:v>
      </x:c>
    </x:row>
    <x:row r="94" ht="50" customHeight="1">
      <x:c r="A94" s="4" t="str">
        <x:v>Primary use</x:v>
      </x:c>
      <x:c r="B94" s="4" t="str">
        <x:v>Fire management</x:v>
      </x:c>
      <x:c r="C94" s="4" t="str">
        <x:v>Main catalog purpose. Item uses lists additional purposes as separate filterable rows.</x:v>
      </x:c>
    </x:row>
    <x:row r="95" ht="50" customHeight="1">
      <x:c r="A95" s="4" t="str">
        <x:v>Primary use</x:v>
      </x:c>
      <x:c r="B95" s="4" t="str">
        <x:v>Food preparation</x:v>
      </x:c>
      <x:c r="C95" s="4" t="str">
        <x:v>Main catalog purpose. Item uses lists additional purposes as separate filterable rows.</x:v>
      </x:c>
    </x:row>
    <x:row r="96" ht="50" customHeight="1">
      <x:c r="A96" s="4" t="str">
        <x:v>Primary use</x:v>
      </x:c>
      <x:c r="B96" s="4" t="str">
        <x:v>Food service</x:v>
      </x:c>
      <x:c r="C96" s="4" t="str">
        <x:v>Main catalog purpose. Item uses lists additional purposes as separate filterable rows.</x:v>
      </x:c>
    </x:row>
    <x:row r="97" ht="50" customHeight="1">
      <x:c r="A97" s="4" t="str">
        <x:v>Primary use</x:v>
      </x:c>
      <x:c r="B97" s="4" t="str">
        <x:v>Fuel</x:v>
      </x:c>
      <x:c r="C97" s="4" t="str">
        <x:v>Main catalog purpose. Item uses lists additional purposes as separate filterable rows.</x:v>
      </x:c>
    </x:row>
    <x:row r="98" ht="50" customHeight="1">
      <x:c r="A98" s="4" t="str">
        <x:v>Primary use</x:v>
      </x:c>
      <x:c r="B98" s="4" t="str">
        <x:v>Glass and ceramics</x:v>
      </x:c>
      <x:c r="C98" s="4" t="str">
        <x:v>Main catalog purpose. Item uses lists additional purposes as separate filterable rows.</x:v>
      </x:c>
    </x:row>
    <x:row r="99" ht="50" customHeight="1">
      <x:c r="A99" s="4" t="str">
        <x:v>Primary use</x:v>
      </x:c>
      <x:c r="B99" s="4" t="str">
        <x:v>Grooming</x:v>
      </x:c>
      <x:c r="C99" s="4" t="str">
        <x:v>Main catalog purpose. Item uses lists additional purposes as separate filterable rows.</x:v>
      </x:c>
    </x:row>
    <x:row r="100" ht="50" customHeight="1">
      <x:c r="A100" s="4" t="str">
        <x:v>Primary use</x:v>
      </x:c>
      <x:c r="B100" s="4" t="str">
        <x:v>Hydration</x:v>
      </x:c>
      <x:c r="C100" s="4" t="str">
        <x:v>Main catalog purpose. Item uses lists additional purposes as separate filterable rows.</x:v>
      </x:c>
    </x:row>
    <x:row r="101" ht="50" customHeight="1">
      <x:c r="A101" s="4" t="str">
        <x:v>Primary use</x:v>
      </x:c>
      <x:c r="B101" s="4" t="str">
        <x:v>Ignition</x:v>
      </x:c>
      <x:c r="C101" s="4" t="str">
        <x:v>Main catalog purpose. Item uses lists additional purposes as separate filterable rows.</x:v>
      </x:c>
    </x:row>
    <x:row r="102" ht="50" customHeight="1">
      <x:c r="A102" s="4" t="str">
        <x:v>Primary use</x:v>
      </x:c>
      <x:c r="B102" s="4" t="str">
        <x:v>Illumination</x:v>
      </x:c>
      <x:c r="C102" s="4" t="str">
        <x:v>Main catalog purpose. Item uses lists additional purposes as separate filterable rows.</x:v>
      </x:c>
    </x:row>
    <x:row r="103" ht="50" customHeight="1">
      <x:c r="A103" s="4" t="str">
        <x:v>Primary use</x:v>
      </x:c>
      <x:c r="B103" s="4" t="str">
        <x:v>Injury treatment</x:v>
      </x:c>
      <x:c r="C103" s="4" t="str">
        <x:v>Main catalog purpose. Item uses lists additional purposes as separate filterable rows.</x:v>
      </x:c>
    </x:row>
    <x:row r="104" ht="50" customHeight="1">
      <x:c r="A104" s="4" t="str">
        <x:v>Primary use</x:v>
      </x:c>
      <x:c r="B104" s="4" t="str">
        <x:v>Inspection</x:v>
      </x:c>
      <x:c r="C104" s="4" t="str">
        <x:v>Main catalog purpose. Item uses lists additional purposes as separate filterable rows.</x:v>
      </x:c>
    </x:row>
    <x:row r="105" ht="50" customHeight="1">
      <x:c r="A105" s="4" t="str">
        <x:v>Primary use</x:v>
      </x:c>
      <x:c r="B105" s="4" t="str">
        <x:v>Keepsake storage</x:v>
      </x:c>
      <x:c r="C105" s="4" t="str">
        <x:v>Main catalog purpose. Item uses lists additional purposes as separate filterable rows.</x:v>
      </x:c>
    </x:row>
    <x:row r="106" ht="50" customHeight="1">
      <x:c r="A106" s="4" t="str">
        <x:v>Primary use</x:v>
      </x:c>
      <x:c r="B106" s="4" t="str">
        <x:v>Liquid and bulk containment</x:v>
      </x:c>
      <x:c r="C106" s="4" t="str">
        <x:v>Main catalog purpose. Item uses lists additional purposes as separate filterable rows.</x:v>
      </x:c>
    </x:row>
    <x:row r="107" ht="50" customHeight="1">
      <x:c r="A107" s="4" t="str">
        <x:v>Primary use</x:v>
      </x:c>
      <x:c r="B107" s="4" t="str">
        <x:v>Lubrication</x:v>
      </x:c>
      <x:c r="C107" s="4" t="str">
        <x:v>Main catalog purpose. Item uses lists additional purposes as separate filterable rows.</x:v>
      </x:c>
    </x:row>
    <x:row r="108" ht="50" customHeight="1">
      <x:c r="A108" s="4" t="str">
        <x:v>Primary use</x:v>
      </x:c>
      <x:c r="B108" s="4" t="str">
        <x:v>Machinery drive</x:v>
      </x:c>
      <x:c r="C108" s="4" t="str">
        <x:v>Main catalog purpose. Item uses lists additional purposes as separate filterable rows.</x:v>
      </x:c>
    </x:row>
    <x:row r="109" ht="50" customHeight="1">
      <x:c r="A109" s="4" t="str">
        <x:v>Primary use</x:v>
      </x:c>
      <x:c r="B109" s="4" t="str">
        <x:v>Machinery repair</x:v>
      </x:c>
      <x:c r="C109" s="4" t="str">
        <x:v>Main catalog purpose. Item uses lists additional purposes as separate filterable rows.</x:v>
      </x:c>
    </x:row>
    <x:row r="110" ht="50" customHeight="1">
      <x:c r="A110" s="4" t="str">
        <x:v>Primary use</x:v>
      </x:c>
      <x:c r="B110" s="4" t="str">
        <x:v>Magnetic field control</x:v>
      </x:c>
      <x:c r="C110" s="4" t="str">
        <x:v>Main catalog purpose. Item uses lists additional purposes as separate filterable rows.</x:v>
      </x:c>
    </x:row>
    <x:row r="111" ht="50" customHeight="1">
      <x:c r="A111" s="4" t="str">
        <x:v>Primary use</x:v>
      </x:c>
      <x:c r="B111" s="4" t="str">
        <x:v>Magnetic tools</x:v>
      </x:c>
      <x:c r="C111" s="4" t="str">
        <x:v>Main catalog purpose. Item uses lists additional purposes as separate filterable rows.</x:v>
      </x:c>
    </x:row>
    <x:row r="112" ht="50" customHeight="1">
      <x:c r="A112" s="4" t="str">
        <x:v>Primary use</x:v>
      </x:c>
      <x:c r="B112" s="4" t="str">
        <x:v>Material exclusion</x:v>
      </x:c>
      <x:c r="C112" s="4" t="str">
        <x:v>Main catalog purpose. Item uses lists additional purposes as separate filterable rows.</x:v>
      </x:c>
    </x:row>
    <x:row r="113" ht="50" customHeight="1">
      <x:c r="A113" s="4" t="str">
        <x:v>Primary use</x:v>
      </x:c>
      <x:c r="B113" s="4" t="str">
        <x:v>Material transfer</x:v>
      </x:c>
      <x:c r="C113" s="4" t="str">
        <x:v>Main catalog purpose. Item uses lists additional purposes as separate filterable rows.</x:v>
      </x:c>
    </x:row>
    <x:row r="114" ht="50" customHeight="1">
      <x:c r="A114" s="4" t="str">
        <x:v>Primary use</x:v>
      </x:c>
      <x:c r="B114" s="4" t="str">
        <x:v>Metal forging</x:v>
      </x:c>
      <x:c r="C114" s="4" t="str">
        <x:v>Main catalog purpose. Item uses lists additional purposes as separate filterable rows.</x:v>
      </x:c>
    </x:row>
    <x:row r="115" ht="50" customHeight="1">
      <x:c r="A115" s="4" t="str">
        <x:v>Primary use</x:v>
      </x:c>
      <x:c r="B115" s="4" t="str">
        <x:v>Metal refining</x:v>
      </x:c>
      <x:c r="C115" s="4" t="str">
        <x:v>Main catalog purpose. Item uses lists additional purposes as separate filterable rows.</x:v>
      </x:c>
    </x:row>
    <x:row r="116" ht="50" customHeight="1">
      <x:c r="A116" s="4" t="str">
        <x:v>Primary use</x:v>
      </x:c>
      <x:c r="B116" s="4" t="str">
        <x:v>Music</x:v>
      </x:c>
      <x:c r="C116" s="4" t="str">
        <x:v>Main catalog purpose. Item uses lists additional purposes as separate filterable rows.</x:v>
      </x:c>
    </x:row>
    <x:row r="117" ht="50" customHeight="1">
      <x:c r="A117" s="4" t="str">
        <x:v>Primary use</x:v>
      </x:c>
      <x:c r="B117" s="4" t="str">
        <x:v>Nutrition</x:v>
      </x:c>
      <x:c r="C117" s="4" t="str">
        <x:v>Main catalog purpose. Item uses lists additional purposes as separate filterable rows.</x:v>
      </x:c>
    </x:row>
    <x:row r="118" ht="50" customHeight="1">
      <x:c r="A118" s="4" t="str">
        <x:v>Primary use</x:v>
      </x:c>
      <x:c r="B118" s="4" t="str">
        <x:v>Offensive combat</x:v>
      </x:c>
      <x:c r="C118" s="4" t="str">
        <x:v>Main catalog purpose. Item uses lists additional purposes as separate filterable rows.</x:v>
      </x:c>
    </x:row>
    <x:row r="119" ht="50" customHeight="1">
      <x:c r="A119" s="4" t="str">
        <x:v>Primary use</x:v>
      </x:c>
      <x:c r="B119" s="4" t="str">
        <x:v>Paper making</x:v>
      </x:c>
      <x:c r="C119" s="4" t="str">
        <x:v>Main catalog purpose. Item uses lists additional purposes as separate filterable rows.</x:v>
      </x:c>
    </x:row>
    <x:row r="120" ht="50" customHeight="1">
      <x:c r="A120" s="4" t="str">
        <x:v>Primary use</x:v>
      </x:c>
      <x:c r="B120" s="4" t="str">
        <x:v>Protection</x:v>
      </x:c>
      <x:c r="C120" s="4" t="str">
        <x:v>Main catalog purpose. Item uses lists additional purposes as separate filterable rows.</x:v>
      </x:c>
    </x:row>
    <x:row r="121" ht="50" customHeight="1">
      <x:c r="A121" s="4" t="str">
        <x:v>Primary use</x:v>
      </x:c>
      <x:c r="B121" s="4" t="str">
        <x:v>Protective fabrication</x:v>
      </x:c>
      <x:c r="C121" s="4" t="str">
        <x:v>Main catalog purpose. Item uses lists additional purposes as separate filterable rows.</x:v>
      </x:c>
    </x:row>
    <x:row r="122" ht="50" customHeight="1">
      <x:c r="A122" s="4" t="str">
        <x:v>Primary use</x:v>
      </x:c>
      <x:c r="B122" s="4" t="str">
        <x:v>Provenance</x:v>
      </x:c>
      <x:c r="C122" s="4" t="str">
        <x:v>Main catalog purpose. Item uses lists additional purposes as separate filterable rows.</x:v>
      </x:c>
    </x:row>
    <x:row r="123" ht="50" customHeight="1">
      <x:c r="A123" s="4" t="str">
        <x:v>Primary use</x:v>
      </x:c>
      <x:c r="B123" s="4" t="str">
        <x:v>Public communication</x:v>
      </x:c>
      <x:c r="C123" s="4" t="str">
        <x:v>Main catalog purpose. Item uses lists additional purposes as separate filterable rows.</x:v>
      </x:c>
    </x:row>
    <x:row r="124" ht="50" customHeight="1">
      <x:c r="A124" s="4" t="str">
        <x:v>Primary use</x:v>
      </x:c>
      <x:c r="B124" s="4" t="str">
        <x:v>Radio communication</x:v>
      </x:c>
      <x:c r="C124" s="4" t="str">
        <x:v>Main catalog purpose. Item uses lists additional purposes as separate filterable rows.</x:v>
      </x:c>
    </x:row>
    <x:row r="125" ht="50" customHeight="1">
      <x:c r="A125" s="4" t="str">
        <x:v>Primary use</x:v>
      </x:c>
      <x:c r="B125" s="4" t="str">
        <x:v>Remembrance</x:v>
      </x:c>
      <x:c r="C125" s="4" t="str">
        <x:v>Main catalog purpose. Item uses lists additional purposes as separate filterable rows.</x:v>
      </x:c>
    </x:row>
    <x:row r="126" ht="50" customHeight="1">
      <x:c r="A126" s="4" t="str">
        <x:v>Primary use</x:v>
      </x:c>
      <x:c r="B126" s="4" t="str">
        <x:v>Resource collection</x:v>
      </x:c>
      <x:c r="C126" s="4" t="str">
        <x:v>Main catalog purpose. Item uses lists additional purposes as separate filterable rows.</x:v>
      </x:c>
    </x:row>
    <x:row r="127" ht="50" customHeight="1">
      <x:c r="A127" s="4" t="str">
        <x:v>Primary use</x:v>
      </x:c>
      <x:c r="B127" s="4" t="str">
        <x:v>Sealing</x:v>
      </x:c>
      <x:c r="C127" s="4" t="str">
        <x:v>Main catalog purpose. Item uses lists additional purposes as separate filterable rows.</x:v>
      </x:c>
    </x:row>
    <x:row r="128" ht="50" customHeight="1">
      <x:c r="A128" s="4" t="str">
        <x:v>Primary use</x:v>
      </x:c>
      <x:c r="B128" s="4" t="str">
        <x:v>Specialist samples</x:v>
      </x:c>
      <x:c r="C128" s="4" t="str">
        <x:v>Main catalog purpose. Item uses lists additional purposes as separate filterable rows.</x:v>
      </x:c>
    </x:row>
    <x:row r="129" ht="50" customHeight="1">
      <x:c r="A129" s="4" t="str">
        <x:v>Primary use</x:v>
      </x:c>
      <x:c r="B129" s="4" t="str">
        <x:v>Static management</x:v>
      </x:c>
      <x:c r="C129" s="4" t="str">
        <x:v>Main catalog purpose. Item uses lists additional purposes as separate filterable rows.</x:v>
      </x:c>
    </x:row>
    <x:row r="130" ht="50" customHeight="1">
      <x:c r="A130" s="4" t="str">
        <x:v>Primary use</x:v>
      </x:c>
      <x:c r="B130" s="4" t="str">
        <x:v>Sun shading</x:v>
      </x:c>
      <x:c r="C130" s="4" t="str">
        <x:v>Main catalog purpose. Item uses lists additional purposes as separate filterable rows.</x:v>
      </x:c>
    </x:row>
    <x:row r="131" ht="50" customHeight="1">
      <x:c r="A131" s="4" t="str">
        <x:v>Primary use</x:v>
      </x:c>
      <x:c r="B131" s="4" t="str">
        <x:v>Surface finishing</x:v>
      </x:c>
      <x:c r="C131" s="4" t="str">
        <x:v>Main catalog purpose. Item uses lists additional purposes as separate filterable rows.</x:v>
      </x:c>
    </x:row>
    <x:row r="132" ht="50" customHeight="1">
      <x:c r="A132" s="4" t="str">
        <x:v>Primary use</x:v>
      </x:c>
      <x:c r="B132" s="4" t="str">
        <x:v>Survival provision</x:v>
      </x:c>
      <x:c r="C132" s="4" t="str">
        <x:v>Main catalog purpose. Item uses lists additional purposes as separate filterable rows.</x:v>
      </x:c>
    </x:row>
    <x:row r="133" ht="50" customHeight="1">
      <x:c r="A133" s="4" t="str">
        <x:v>Primary use</x:v>
      </x:c>
      <x:c r="B133" s="4" t="str">
        <x:v>Textile processing</x:v>
      </x:c>
      <x:c r="C133" s="4" t="str">
        <x:v>Main catalog purpose. Item uses lists additional purposes as separate filterable rows.</x:v>
      </x:c>
    </x:row>
    <x:row r="134" ht="50" customHeight="1">
      <x:c r="A134" s="4" t="str">
        <x:v>Primary use</x:v>
      </x:c>
      <x:c r="B134" s="4" t="str">
        <x:v>Tool fabrication</x:v>
      </x:c>
      <x:c r="C134" s="4" t="str">
        <x:v>Main catalog purpose. Item uses lists additional purposes as separate filterable rows.</x:v>
      </x:c>
    </x:row>
    <x:row r="135" ht="50" customHeight="1">
      <x:c r="A135" s="4" t="str">
        <x:v>Primary use</x:v>
      </x:c>
      <x:c r="B135" s="4" t="str">
        <x:v>Trade</x:v>
      </x:c>
      <x:c r="C135" s="4" t="str">
        <x:v>Main catalog purpose. Item uses lists additional purposes as separate filterable rows.</x:v>
      </x:c>
    </x:row>
    <x:row r="136" ht="50" customHeight="1">
      <x:c r="A136" s="4" t="str">
        <x:v>Primary use</x:v>
      </x:c>
      <x:c r="B136" s="4" t="str">
        <x:v>Traversal</x:v>
      </x:c>
      <x:c r="C136" s="4" t="str">
        <x:v>Main catalog purpose. Item uses lists additional purposes as separate filterable rows.</x:v>
      </x:c>
    </x:row>
    <x:row r="137" ht="50" customHeight="1">
      <x:c r="A137" s="4" t="str">
        <x:v>Primary use</x:v>
      </x:c>
      <x:c r="B137" s="4" t="str">
        <x:v>Use unresolved</x:v>
      </x:c>
      <x:c r="C137" s="4" t="str">
        <x:v>Main catalog purpose. Item uses lists additional purposes as separate filterable rows.</x:v>
      </x:c>
    </x:row>
    <x:row r="138" ht="50" customHeight="1">
      <x:c r="A138" s="4" t="str">
        <x:v>Primary use</x:v>
      </x:c>
      <x:c r="B138" s="4" t="str">
        <x:v>Vision</x:v>
      </x:c>
      <x:c r="C138" s="4" t="str">
        <x:v>Main catalog purpose. Item uses lists additional purposes as separate filterable rows.</x:v>
      </x:c>
    </x:row>
    <x:row r="139" ht="50" customHeight="1">
      <x:c r="A139" s="4" t="str">
        <x:v>Primary use</x:v>
      </x:c>
      <x:c r="B139" s="4" t="str">
        <x:v>Wind power</x:v>
      </x:c>
      <x:c r="C139" s="4" t="str">
        <x:v>Main catalog purpose. Item uses lists additional purposes as separate filterable rows.</x:v>
      </x:c>
    </x:row>
    <x:row r="140" ht="50" customHeight="1">
      <x:c r="A140" s="4" t="str">
        <x:v>Primary use</x:v>
      </x:c>
      <x:c r="B140" s="4" t="str">
        <x:v>Wind propulsion</x:v>
      </x:c>
      <x:c r="C140" s="4" t="str">
        <x:v>Main catalog purpose. Item uses lists additional purposes as separate filterable rows.</x:v>
      </x:c>
    </x:row>
    <x:row r="141" ht="50" customHeight="1">
      <x:c r="A141" s="4" t="str">
        <x:v>Primary use</x:v>
      </x:c>
      <x:c r="B141" s="4" t="str">
        <x:v>Work holding</x:v>
      </x:c>
      <x:c r="C141" s="4" t="str">
        <x:v>Main catalog purpose. Item uses lists additional purposes as separate filterable rows.</x:v>
      </x:c>
    </x:row>
    <x:row r="142" ht="50" customHeight="1">
      <x:c r="A142" s="4" t="str">
        <x:v>Primary use</x:v>
      </x:c>
      <x:c r="B142" s="4" t="str">
        <x:v>Writing and records</x:v>
      </x:c>
      <x:c r="C142" s="4" t="str">
        <x:v>Main catalog purpose. Item uses lists additional purposes as separate filterable rows.</x:v>
      </x:c>
    </x:row>
    <x:row r="143" ht="50" customHeight="1">
      <x:c r="A143" s="4" t="str">
        <x:v>Material family</x:v>
      </x:c>
      <x:c r="B143" s="4" t="str">
        <x:v>Ancient composite</x:v>
      </x:c>
      <x:c r="C143" s="4" t="str">
        <x:v>Broad descriptive candidate. Mixed, alternative and unresolved values preserve uncertainty.</x:v>
      </x:c>
    </x:row>
    <x:row r="144" ht="50" customHeight="1">
      <x:c r="A144" s="4" t="str">
        <x:v>Material family</x:v>
      </x:c>
      <x:c r="B144" s="4" t="str">
        <x:v>Biological and mineral mixture</x:v>
      </x:c>
      <x:c r="C144" s="4" t="str">
        <x:v>Broad descriptive candidate. Mixed, alternative and unresolved values preserve uncertainty.</x:v>
      </x:c>
    </x:row>
    <x:row r="145" ht="50" customHeight="1">
      <x:c r="A145" s="4" t="str">
        <x:v>Material family</x:v>
      </x:c>
      <x:c r="B145" s="4" t="str">
        <x:v>Biological chemical</x:v>
      </x:c>
      <x:c r="C145" s="4" t="str">
        <x:v>Broad descriptive candidate. Mixed, alternative and unresolved values preserve uncertainty.</x:v>
      </x:c>
    </x:row>
    <x:row r="146" ht="50" customHeight="1">
      <x:c r="A146" s="4" t="str">
        <x:v>Material family</x:v>
      </x:c>
      <x:c r="B146" s="4" t="str">
        <x:v>Carbonaceous material</x:v>
      </x:c>
      <x:c r="C146" s="4" t="str">
        <x:v>Broad descriptive candidate. Mixed, alternative and unresolved values preserve uncertainty.</x:v>
      </x:c>
    </x:row>
    <x:row r="147" ht="50" customHeight="1">
      <x:c r="A147" s="4" t="str">
        <x:v>Material family</x:v>
      </x:c>
      <x:c r="B147" s="4" t="str">
        <x:v>Ceramic</x:v>
      </x:c>
      <x:c r="C147" s="4" t="str">
        <x:v>Broad descriptive candidate. Mixed, alternative and unresolved values preserve uncertainty.</x:v>
      </x:c>
    </x:row>
    <x:row r="148" ht="50" customHeight="1">
      <x:c r="A148" s="4" t="str">
        <x:v>Material family</x:v>
      </x:c>
      <x:c r="B148" s="4" t="str">
        <x:v>Ceramic and metal</x:v>
      </x:c>
      <x:c r="C148" s="4" t="str">
        <x:v>Broad descriptive candidate. Mixed, alternative and unresolved values preserve uncertainty.</x:v>
      </x:c>
    </x:row>
    <x:row r="149" ht="50" customHeight="1">
      <x:c r="A149" s="4" t="str">
        <x:v>Material family</x:v>
      </x:c>
      <x:c r="B149" s="4" t="str">
        <x:v>Ceramic feed mixture</x:v>
      </x:c>
      <x:c r="C149" s="4" t="str">
        <x:v>Broad descriptive candidate. Mixed, alternative and unresolved values preserve uncertainty.</x:v>
      </x:c>
    </x:row>
    <x:row r="150" ht="50" customHeight="1">
      <x:c r="A150" s="4" t="str">
        <x:v>Material family</x:v>
      </x:c>
      <x:c r="B150" s="4" t="str">
        <x:v>Faunal fiber</x:v>
      </x:c>
      <x:c r="C150" s="4" t="str">
        <x:v>Broad descriptive candidate. Mixed, alternative and unresolved values preserve uncertainty.</x:v>
      </x:c>
    </x:row>
    <x:row r="151" ht="50" customHeight="1">
      <x:c r="A151" s="4" t="str">
        <x:v>Material family</x:v>
      </x:c>
      <x:c r="B151" s="4" t="str">
        <x:v>Faunal fiber and shell</x:v>
      </x:c>
      <x:c r="C151" s="4" t="str">
        <x:v>Broad descriptive candidate. Mixed, alternative and unresolved values preserve uncertainty.</x:v>
      </x:c>
    </x:row>
    <x:row r="152" ht="50" customHeight="1">
      <x:c r="A152" s="4" t="str">
        <x:v>Material family</x:v>
      </x:c>
      <x:c r="B152" s="4" t="str">
        <x:v>Faunal hard tissue</x:v>
      </x:c>
      <x:c r="C152" s="4" t="str">
        <x:v>Broad descriptive candidate. Mixed, alternative and unresolved values preserve uncertainty.</x:v>
      </x:c>
    </x:row>
    <x:row r="153" ht="50" customHeight="1">
      <x:c r="A153" s="4" t="str">
        <x:v>Material family</x:v>
      </x:c>
      <x:c r="B153" s="4" t="str">
        <x:v>Faunal membrane</x:v>
      </x:c>
      <x:c r="C153" s="4" t="str">
        <x:v>Broad descriptive candidate. Mixed, alternative and unresolved values preserve uncertainty.</x:v>
      </x:c>
    </x:row>
    <x:row r="154" ht="50" customHeight="1">
      <x:c r="A154" s="4" t="str">
        <x:v>Material family</x:v>
      </x:c>
      <x:c r="B154" s="4" t="str">
        <x:v>Faunal tissue</x:v>
      </x:c>
      <x:c r="C154" s="4" t="str">
        <x:v>Broad descriptive candidate. Mixed, alternative and unresolved values preserve uncertainty.</x:v>
      </x:c>
    </x:row>
    <x:row r="155" ht="50" customHeight="1">
      <x:c r="A155" s="4" t="str">
        <x:v>Material family</x:v>
      </x:c>
      <x:c r="B155" s="4" t="str">
        <x:v>Fur</x:v>
      </x:c>
      <x:c r="C155" s="4" t="str">
        <x:v>Broad descriptive candidate. Mixed, alternative and unresolved values preserve uncertainty.</x:v>
      </x:c>
    </x:row>
    <x:row r="156" ht="50" customHeight="1">
      <x:c r="A156" s="4" t="str">
        <x:v>Material family</x:v>
      </x:c>
      <x:c r="B156" s="4" t="str">
        <x:v>Gemstone</x:v>
      </x:c>
      <x:c r="C156" s="4" t="str">
        <x:v>Broad descriptive candidate. Mixed, alternative and unresolved values preserve uncertainty.</x:v>
      </x:c>
    </x:row>
    <x:row r="157" ht="50" customHeight="1">
      <x:c r="A157" s="4" t="str">
        <x:v>Material family</x:v>
      </x:c>
      <x:c r="B157" s="4" t="str">
        <x:v>Glass</x:v>
      </x:c>
      <x:c r="C157" s="4" t="str">
        <x:v>Broad descriptive candidate. Mixed, alternative and unresolved values preserve uncertainty.</x:v>
      </x:c>
    </x:row>
    <x:row r="158" ht="50" customHeight="1">
      <x:c r="A158" s="4" t="str">
        <x:v>Material family</x:v>
      </x:c>
      <x:c r="B158" s="4" t="str">
        <x:v>Glass and metal</x:v>
      </x:c>
      <x:c r="C158" s="4" t="str">
        <x:v>Broad descriptive candidate. Mixed, alternative and unresolved values preserve uncertainty.</x:v>
      </x:c>
    </x:row>
    <x:row r="159" ht="50" customHeight="1">
      <x:c r="A159" s="4" t="str">
        <x:v>Material family</x:v>
      </x:c>
      <x:c r="B159" s="4" t="str">
        <x:v>Glass and shell</x:v>
      </x:c>
      <x:c r="C159" s="4" t="str">
        <x:v>Broad descriptive candidate. Mixed, alternative and unresolved values preserve uncertainty.</x:v>
      </x:c>
    </x:row>
    <x:row r="160" ht="50" customHeight="1">
      <x:c r="A160" s="4" t="str">
        <x:v>Material family</x:v>
      </x:c>
      <x:c r="B160" s="4" t="str">
        <x:v>Glass or ceramic</x:v>
      </x:c>
      <x:c r="C160" s="4" t="str">
        <x:v>Broad descriptive candidate. Mixed, alternative and unresolved values preserve uncertainty.</x:v>
      </x:c>
    </x:row>
    <x:row r="161" ht="50" customHeight="1">
      <x:c r="A161" s="4" t="str">
        <x:v>Material family</x:v>
      </x:c>
      <x:c r="B161" s="4" t="str">
        <x:v>Glass with unresolved casing</x:v>
      </x:c>
      <x:c r="C161" s="4" t="str">
        <x:v>Broad descriptive candidate. Mixed, alternative and unresolved values preserve uncertainty.</x:v>
      </x:c>
    </x:row>
    <x:row r="162" ht="50" customHeight="1">
      <x:c r="A162" s="4" t="str">
        <x:v>Material family</x:v>
      </x:c>
      <x:c r="B162" s="4" t="str">
        <x:v>Hide</x:v>
      </x:c>
      <x:c r="C162" s="4" t="str">
        <x:v>Broad descriptive candidate. Mixed, alternative and unresolved values preserve uncertainty.</x:v>
      </x:c>
    </x:row>
    <x:row r="163" ht="50" customHeight="1">
      <x:c r="A163" s="4" t="str">
        <x:v>Material family</x:v>
      </x:c>
      <x:c r="B163" s="4" t="str">
        <x:v>Husk fiber</x:v>
      </x:c>
      <x:c r="C163" s="4" t="str">
        <x:v>Broad descriptive candidate. Mixed, alternative and unresolved values preserve uncertainty.</x:v>
      </x:c>
    </x:row>
    <x:row r="164" ht="50" customHeight="1">
      <x:c r="A164" s="4" t="str">
        <x:v>Material family</x:v>
      </x:c>
      <x:c r="B164" s="4" t="str">
        <x:v>Husk fiber and shell</x:v>
      </x:c>
      <x:c r="C164" s="4" t="str">
        <x:v>Broad descriptive candidate. Mixed, alternative and unresolved values preserve uncertainty.</x:v>
      </x:c>
    </x:row>
    <x:row r="165" ht="50" customHeight="1">
      <x:c r="A165" s="4" t="str">
        <x:v>Material family</x:v>
      </x:c>
      <x:c r="B165" s="4" t="str">
        <x:v>Metal</x:v>
      </x:c>
      <x:c r="C165" s="4" t="str">
        <x:v>Broad descriptive candidate. Mixed, alternative and unresolved values preserve uncertainty.</x:v>
      </x:c>
    </x:row>
    <x:row r="166" ht="50" customHeight="1">
      <x:c r="A166" s="4" t="str">
        <x:v>Material family</x:v>
      </x:c>
      <x:c r="B166" s="4" t="str">
        <x:v>Metal and shell</x:v>
      </x:c>
      <x:c r="C166" s="4" t="str">
        <x:v>Broad descriptive candidate. Mixed, alternative and unresolved values preserve uncertainty.</x:v>
      </x:c>
    </x:row>
    <x:row r="167" ht="50" customHeight="1">
      <x:c r="A167" s="4" t="str">
        <x:v>Material family</x:v>
      </x:c>
      <x:c r="B167" s="4" t="str">
        <x:v>Metal or shell</x:v>
      </x:c>
      <x:c r="C167" s="4" t="str">
        <x:v>Broad descriptive candidate. Mixed, alternative and unresolved values preserve uncertainty.</x:v>
      </x:c>
    </x:row>
    <x:row r="168" ht="50" customHeight="1">
      <x:c r="A168" s="4" t="str">
        <x:v>Material family</x:v>
      </x:c>
      <x:c r="B168" s="4" t="str">
        <x:v>Mineral</x:v>
      </x:c>
      <x:c r="C168" s="4" t="str">
        <x:v>Broad descriptive candidate. Mixed, alternative and unresolved values preserve uncertainty.</x:v>
      </x:c>
    </x:row>
    <x:row r="169" ht="50" customHeight="1">
      <x:c r="A169" s="4" t="str">
        <x:v>Material family</x:v>
      </x:c>
      <x:c r="B169" s="4" t="str">
        <x:v>Mineral or shell</x:v>
      </x:c>
      <x:c r="C169" s="4" t="str">
        <x:v>Broad descriptive candidate. Mixed, alternative and unresolved values preserve uncertainty.</x:v>
      </x:c>
    </x:row>
    <x:row r="170" ht="50" customHeight="1">
      <x:c r="A170" s="4" t="str">
        <x:v>Material family</x:v>
      </x:c>
      <x:c r="B170" s="4" t="str">
        <x:v>Mixed / unresolved</x:v>
      </x:c>
      <x:c r="C170" s="4" t="str">
        <x:v>Broad descriptive candidate. Mixed, alternative and unresolved values preserve uncertainty.</x:v>
      </x:c>
    </x:row>
    <x:row r="171" ht="50" customHeight="1">
      <x:c r="A171" s="4" t="str">
        <x:v>Material family</x:v>
      </x:c>
      <x:c r="B171" s="4" t="str">
        <x:v>Phagia and edible fauna</x:v>
      </x:c>
      <x:c r="C171" s="4" t="str">
        <x:v>Broad descriptive candidate. Mixed, alternative and unresolved values preserve uncertainty.</x:v>
      </x:c>
    </x:row>
    <x:row r="172" ht="50" customHeight="1">
      <x:c r="A172" s="4" t="str">
        <x:v>Material family</x:v>
      </x:c>
      <x:c r="B172" s="4" t="str">
        <x:v>Phagia preparation</x:v>
      </x:c>
      <x:c r="C172" s="4" t="str">
        <x:v>Broad descriptive candidate. Mixed, alternative and unresolved values preserve uncertainty.</x:v>
      </x:c>
    </x:row>
    <x:row r="173" ht="50" customHeight="1">
      <x:c r="A173" s="4" t="str">
        <x:v>Material family</x:v>
      </x:c>
      <x:c r="B173" s="4" t="str">
        <x:v>Shell / chitin</x:v>
      </x:c>
      <x:c r="C173" s="4" t="str">
        <x:v>Broad descriptive candidate. Mixed, alternative and unresolved values preserve uncertainty.</x:v>
      </x:c>
    </x:row>
    <x:row r="174" ht="50" customHeight="1">
      <x:c r="A174" s="4" t="str">
        <x:v>Material family</x:v>
      </x:c>
      <x:c r="B174" s="4" t="str">
        <x:v>Shell and mineral</x:v>
      </x:c>
      <x:c r="C174" s="4" t="str">
        <x:v>Broad descriptive candidate. Mixed, alternative and unresolved values preserve uncertainty.</x:v>
      </x:c>
    </x:row>
    <x:row r="175" ht="50" customHeight="1">
      <x:c r="A175" s="4" t="str">
        <x:v>Material family</x:v>
      </x:c>
      <x:c r="B175" s="4" t="str">
        <x:v>Unresolved</x:v>
      </x:c>
      <x:c r="C175" s="4" t="str">
        <x:v>Broad descriptive candidate. Mixed, alternative and unresolved values preserve uncertainty.</x:v>
      </x:c>
    </x:row>
    <x:row r="176" ht="50" customHeight="1">
      <x:c r="A176" s="4" t="str">
        <x:v>Material family</x:v>
      </x:c>
      <x:c r="B176" s="4" t="str">
        <x:v>Wing membrane</x:v>
      </x:c>
      <x:c r="C176" s="4" t="str">
        <x:v>Broad descriptive candidate. Mixed, alternative and unresolved values preserve uncertainty.</x:v>
      </x:c>
    </x:row>
    <x:row r="177" ht="50" customHeight="1">
      <x:c r="A177" s="4" t="str">
        <x:v>Material family</x:v>
      </x:c>
      <x:c r="B177" s="4" t="str">
        <x:v>Wing membrane and frame</x:v>
      </x:c>
      <x:c r="C177" s="4" t="str">
        <x:v>Broad descriptive candidate. Mixed, alternative and unresolved values preserve uncertainty.</x:v>
      </x:c>
    </x:row>
    <x:row r="178" ht="50" customHeight="1">
      <x:c r="A178" s="4" t="str">
        <x:v>Physical form</x:v>
      </x:c>
      <x:c r="B178" s="4" t="str">
        <x:v>Assembly</x:v>
      </x:c>
      <x:c r="C178" s="4" t="str">
        <x:v>Catalog shape/state only; Unresolved avoids inventing a physical or chemical property.</x:v>
      </x:c>
    </x:row>
    <x:row r="179" ht="50" customHeight="1">
      <x:c r="A179" s="4" t="str">
        <x:v>Physical form</x:v>
      </x:c>
      <x:c r="B179" s="4" t="str">
        <x:v>Bundle</x:v>
      </x:c>
      <x:c r="C179" s="4" t="str">
        <x:v>Catalog shape/state only; Unresolved avoids inventing a physical or chemical property.</x:v>
      </x:c>
    </x:row>
    <x:row r="180" ht="50" customHeight="1">
      <x:c r="A180" s="4" t="str">
        <x:v>Physical form</x:v>
      </x:c>
      <x:c r="B180" s="4" t="str">
        <x:v>Cord</x:v>
      </x:c>
      <x:c r="C180" s="4" t="str">
        <x:v>Catalog shape/state only; Unresolved avoids inventing a physical or chemical property.</x:v>
      </x:c>
    </x:row>
    <x:row r="181" ht="50" customHeight="1">
      <x:c r="A181" s="4" t="str">
        <x:v>Physical form</x:v>
      </x:c>
      <x:c r="B181" s="4" t="str">
        <x:v>Fiber</x:v>
      </x:c>
      <x:c r="C181" s="4" t="str">
        <x:v>Catalog shape/state only; Unresolved avoids inventing a physical or chemical property.</x:v>
      </x:c>
    </x:row>
    <x:row r="182" ht="50" customHeight="1">
      <x:c r="A182" s="4" t="str">
        <x:v>Physical form</x:v>
      </x:c>
      <x:c r="B182" s="4" t="str">
        <x:v>Folio</x:v>
      </x:c>
      <x:c r="C182" s="4" t="str">
        <x:v>Catalog shape/state only; Unresolved avoids inventing a physical or chemical property.</x:v>
      </x:c>
    </x:row>
    <x:row r="183" ht="50" customHeight="1">
      <x:c r="A183" s="4" t="str">
        <x:v>Physical form</x:v>
      </x:c>
      <x:c r="B183" s="4" t="str">
        <x:v>Garment</x:v>
      </x:c>
      <x:c r="C183" s="4" t="str">
        <x:v>Catalog shape/state only; Unresolved avoids inventing a physical or chemical property.</x:v>
      </x:c>
    </x:row>
    <x:row r="184" ht="50" customHeight="1">
      <x:c r="A184" s="4" t="str">
        <x:v>Physical form</x:v>
      </x:c>
      <x:c r="B184" s="4" t="str">
        <x:v>Gel</x:v>
      </x:c>
      <x:c r="C184" s="4" t="str">
        <x:v>Catalog shape/state only; Unresolved avoids inventing a physical or chemical property.</x:v>
      </x:c>
    </x:row>
    <x:row r="185" ht="50" customHeight="1">
      <x:c r="A185" s="4" t="str">
        <x:v>Physical form</x:v>
      </x:c>
      <x:c r="B185" s="4" t="str">
        <x:v>Liquid</x:v>
      </x:c>
      <x:c r="C185" s="4" t="str">
        <x:v>Catalog shape/state only; Unresolved avoids inventing a physical or chemical property.</x:v>
      </x:c>
    </x:row>
    <x:row r="186" ht="50" customHeight="1">
      <x:c r="A186" s="4" t="str">
        <x:v>Physical form</x:v>
      </x:c>
      <x:c r="B186" s="4" t="str">
        <x:v>Membrane</x:v>
      </x:c>
      <x:c r="C186" s="4" t="str">
        <x:v>Catalog shape/state only; Unresolved avoids inventing a physical or chemical property.</x:v>
      </x:c>
    </x:row>
    <x:row r="187" ht="50" customHeight="1">
      <x:c r="A187" s="4" t="str">
        <x:v>Physical form</x:v>
      </x:c>
      <x:c r="B187" s="4" t="str">
        <x:v>Panel</x:v>
      </x:c>
      <x:c r="C187" s="4" t="str">
        <x:v>Catalog shape/state only; Unresolved avoids inventing a physical or chemical property.</x:v>
      </x:c>
    </x:row>
    <x:row r="188" ht="50" customHeight="1">
      <x:c r="A188" s="4" t="str">
        <x:v>Physical form</x:v>
      </x:c>
      <x:c r="B188" s="4" t="str">
        <x:v>Particles</x:v>
      </x:c>
      <x:c r="C188" s="4" t="str">
        <x:v>Catalog shape/state only; Unresolved avoids inventing a physical or chemical property.</x:v>
      </x:c>
    </x:row>
    <x:row r="189" ht="50" customHeight="1">
      <x:c r="A189" s="4" t="str">
        <x:v>Physical form</x:v>
      </x:c>
      <x:c r="B189" s="4" t="str">
        <x:v>Paste</x:v>
      </x:c>
      <x:c r="C189" s="4" t="str">
        <x:v>Catalog shape/state only; Unresolved avoids inventing a physical or chemical property.</x:v>
      </x:c>
    </x:row>
    <x:row r="190" ht="50" customHeight="1">
      <x:c r="A190" s="4" t="str">
        <x:v>Physical form</x:v>
      </x:c>
      <x:c r="B190" s="4" t="str">
        <x:v>Patch</x:v>
      </x:c>
      <x:c r="C190" s="4" t="str">
        <x:v>Catalog shape/state only; Unresolved avoids inventing a physical or chemical property.</x:v>
      </x:c>
    </x:row>
    <x:row r="191" ht="50" customHeight="1">
      <x:c r="A191" s="4" t="str">
        <x:v>Physical form</x:v>
      </x:c>
      <x:c r="B191" s="4" t="str">
        <x:v>Rock</x:v>
      </x:c>
      <x:c r="C191" s="4" t="str">
        <x:v>Catalog shape/state only; Unresolved avoids inventing a physical or chemical property.</x:v>
      </x:c>
    </x:row>
    <x:row r="192" ht="50" customHeight="1">
      <x:c r="A192" s="4" t="str">
        <x:v>Physical form</x:v>
      </x:c>
      <x:c r="B192" s="4" t="str">
        <x:v>Sheet</x:v>
      </x:c>
      <x:c r="C192" s="4" t="str">
        <x:v>Catalog shape/state only; Unresolved avoids inventing a physical or chemical property.</x:v>
      </x:c>
    </x:row>
    <x:row r="193" ht="50" customHeight="1">
      <x:c r="A193" s="4" t="str">
        <x:v>Physical form</x:v>
      </x:c>
      <x:c r="B193" s="4" t="str">
        <x:v>Shell plate</x:v>
      </x:c>
      <x:c r="C193" s="4" t="str">
        <x:v>Catalog shape/state only; Unresolved avoids inventing a physical or chemical property.</x:v>
      </x:c>
    </x:row>
    <x:row r="194" ht="50" customHeight="1">
      <x:c r="A194" s="4" t="str">
        <x:v>Physical form</x:v>
      </x:c>
      <x:c r="B194" s="4" t="str">
        <x:v>Solid part</x:v>
      </x:c>
      <x:c r="C194" s="4" t="str">
        <x:v>Catalog shape/state only; Unresolved avoids inventing a physical or chemical property.</x:v>
      </x:c>
    </x:row>
    <x:row r="195" ht="50" customHeight="1">
      <x:c r="A195" s="4" t="str">
        <x:v>Physical form</x:v>
      </x:c>
      <x:c r="B195" s="4" t="str">
        <x:v>Solid piece</x:v>
      </x:c>
      <x:c r="C195" s="4" t="str">
        <x:v>Catalog shape/state only; Unresolved avoids inventing a physical or chemical property.</x:v>
      </x:c>
    </x:row>
    <x:row r="196" ht="50" customHeight="1">
      <x:c r="A196" s="4" t="str">
        <x:v>Physical form</x:v>
      </x:c>
      <x:c r="B196" s="4" t="str">
        <x:v>Strip</x:v>
      </x:c>
      <x:c r="C196" s="4" t="str">
        <x:v>Catalog shape/state only; Unresolved avoids inventing a physical or chemical property.</x:v>
      </x:c>
    </x:row>
    <x:row r="197" ht="50" customHeight="1">
      <x:c r="A197" s="4" t="str">
        <x:v>Physical form</x:v>
      </x:c>
      <x:c r="B197" s="4" t="str">
        <x:v>Unresolved</x:v>
      </x:c>
      <x:c r="C197" s="4" t="str">
        <x:v>Catalog shape/state only; Unresolved avoids inventing a physical or chemical property.</x:v>
      </x:c>
    </x:row>
    <x:row r="198" ht="50" customHeight="1">
      <x:c r="A198" s="4" t="str">
        <x:v>Design status</x:v>
      </x:c>
      <x:c r="B198" s="4" t="str">
        <x:v>Author direction</x:v>
      </x:c>
      <x:c r="C198" s="4" t="str">
        <x:v>Existing definition means serialized data, not proof all intended uses work. Author direction, Proposal and Withheld assumption remain distinct.</x:v>
      </x:c>
    </x:row>
    <x:row r="199" ht="50" customHeight="1">
      <x:c r="A199" s="4" t="str">
        <x:v>Design status</x:v>
      </x:c>
      <x:c r="B199" s="4" t="str">
        <x:v>Existing definition</x:v>
      </x:c>
      <x:c r="C199" s="4" t="str">
        <x:v>Existing definition means serialized data, not proof all intended uses work. Author direction, Proposal and Withheld assumption remain distinct.</x:v>
      </x:c>
    </x:row>
    <x:row r="200" ht="50" customHeight="1">
      <x:c r="A200" s="4" t="str">
        <x:v>Design status</x:v>
      </x:c>
      <x:c r="B200" s="4" t="str">
        <x:v>Proposal</x:v>
      </x:c>
      <x:c r="C200" s="4" t="str">
        <x:v>Existing definition means serialized data, not proof all intended uses work. Author direction, Proposal and Withheld assumption remain distinct.</x:v>
      </x:c>
    </x:row>
    <x:row r="201" ht="50" customHeight="1">
      <x:c r="A201" s="4" t="str">
        <x:v>Design status</x:v>
      </x:c>
      <x:c r="B201" s="4" t="str">
        <x:v>Source proposal</x:v>
      </x:c>
      <x:c r="C201" s="4" t="str">
        <x:v>Existing definition means serialized data, not proof all intended uses work. Author direction, Proposal and Withheld assumption remain distinct.</x:v>
      </x:c>
    </x:row>
    <x:row r="202" ht="50" customHeight="1">
      <x:c r="A202" s="4" t="str">
        <x:v>Design status</x:v>
      </x:c>
      <x:c r="B202" s="4" t="str">
        <x:v>Withheld assumption</x:v>
      </x:c>
      <x:c r="C202" s="4" t="str">
        <x:v>Existing definition means serialized data, not proof all intended uses work. Author direction, Proposal and Withheld assumption remain distinct.</x:v>
      </x:c>
    </x:row>
    <x:row r="203" ht="50" customHeight="1">
      <x:c r="A203" s="4" t="str">
        <x:v>Material tier</x:v>
      </x:c>
      <x:c r="B203" s="4" t="str">
        <x:v>Not applicable</x:v>
      </x:c>
      <x:c r="C203" s="4" t="str">
        <x:v>T0 raw entry feed, then T1/T2/T3/T4 selected material transformations. Not applicable for finished endpoints; Unassigned for unresolved material/component routes. Independent of rarity and quality.</x:v>
      </x:c>
    </x:row>
    <x:row r="204" ht="50" customHeight="1">
      <x:c r="A204" s="4" t="str">
        <x:v>Material tier</x:v>
      </x:c>
      <x:c r="B204" s="4" t="str">
        <x:v>T0</x:v>
      </x:c>
      <x:c r="C204" s="4" t="str">
        <x:v>T0 raw entry feed, then T1/T2/T3/T4 selected material transformations. Not applicable for finished endpoints; Unassigned for unresolved material/component routes. Independent of rarity and quality.</x:v>
      </x:c>
    </x:row>
    <x:row r="205" ht="50" customHeight="1">
      <x:c r="A205" s="4" t="str">
        <x:v>Material tier</x:v>
      </x:c>
      <x:c r="B205" s="4" t="str">
        <x:v>T1</x:v>
      </x:c>
      <x:c r="C205" s="4" t="str">
        <x:v>T0 raw entry feed, then T1/T2/T3/T4 selected material transformations. Not applicable for finished endpoints; Unassigned for unresolved material/component routes. Independent of rarity and quality.</x:v>
      </x:c>
    </x:row>
    <x:row r="206" ht="50" customHeight="1">
      <x:c r="A206" s="4" t="str">
        <x:v>Material tier</x:v>
      </x:c>
      <x:c r="B206" s="4" t="str">
        <x:v>T2</x:v>
      </x:c>
      <x:c r="C206" s="4" t="str">
        <x:v>T0 raw entry feed, then T1/T2/T3/T4 selected material transformations. Not applicable for finished endpoints; Unassigned for unresolved material/component routes. Independent of rarity and quality.</x:v>
      </x:c>
    </x:row>
    <x:row r="207" ht="50" customHeight="1">
      <x:c r="A207" s="4" t="str">
        <x:v>Material tier</x:v>
      </x:c>
      <x:c r="B207" s="4" t="str">
        <x:v>T3</x:v>
      </x:c>
      <x:c r="C207" s="4" t="str">
        <x:v>T0 raw entry feed, then T1/T2/T3/T4 selected material transformations. Not applicable for finished endpoints; Unassigned for unresolved material/component routes. Independent of rarity and quality.</x:v>
      </x:c>
    </x:row>
    <x:row r="208" ht="50" customHeight="1">
      <x:c r="A208" s="4" t="str">
        <x:v>Material tier</x:v>
      </x:c>
      <x:c r="B208" s="4" t="str">
        <x:v>T4</x:v>
      </x:c>
      <x:c r="C208" s="4" t="str">
        <x:v>T0 raw entry feed, then T1/T2/T3/T4 selected material transformations. Not applicable for finished endpoints; Unassigned for unresolved material/component routes. Independent of rarity and quality.</x:v>
      </x:c>
    </x:row>
    <x:row r="209" ht="50" customHeight="1">
      <x:c r="A209" s="4" t="str">
        <x:v>Material tier</x:v>
      </x:c>
      <x:c r="B209" s="4" t="str">
        <x:v>Unassigned</x:v>
      </x:c>
      <x:c r="C209" s="4" t="str">
        <x:v>T0 raw entry feed, then T1/T2/T3/T4 selected material transformations. Not applicable for finished endpoints; Unassigned for unresolved material/component routes. Independent of rarity and quality.</x:v>
      </x:c>
    </x:row>
    <x:row r="210" ht="50" customHeight="1">
      <x:c r="A210" s="38" t="str">
        <x:v>Crafting role</x:v>
      </x:c>
      <x:c r="B210" s="38" t="str">
        <x:v>Component</x:v>
      </x:c>
      <x:c r="C210" s="38" t="str">
        <x:v>Material, Component, Finished item or Currency describes the item independently of material tier.</x:v>
      </x:c>
    </x:row>
    <x:row r="211" ht="50" customHeight="1">
      <x:c r="A211" s="38" t="str">
        <x:v>Crafting role</x:v>
      </x:c>
      <x:c r="B211" s="38" t="str">
        <x:v>Currency</x:v>
      </x:c>
      <x:c r="C211" s="38" t="str">
        <x:v>Material, Component, Finished item or Currency describes the item independently of material tier.</x:v>
      </x:c>
    </x:row>
    <x:row r="212" ht="50" customHeight="1">
      <x:c r="A212" s="38" t="str">
        <x:v>Crafting role</x:v>
      </x:c>
      <x:c r="B212" s="38" t="str">
        <x:v>Finished item</x:v>
      </x:c>
      <x:c r="C212" s="38" t="str">
        <x:v>Material, Component, Finished item or Currency describes the item independently of material tier.</x:v>
      </x:c>
    </x:row>
    <x:row r="213" ht="50" customHeight="1">
      <x:c r="A213" s="38" t="str">
        <x:v>Crafting role</x:v>
      </x:c>
      <x:c r="B213" s="38" t="str">
        <x:v>Material</x:v>
      </x:c>
      <x:c r="C213" s="38"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62c4c67cb19945e3"/>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IFERROR(INDEX(Items!$C$6:$C$1005,MATCH(A554,Items!$A$6:$A$1005,0)),"MISSING ITEM ID")</x:f>
        <x:v>Equipment</x:v>
      </x:c>
      <x:c r="D554" s="3" t="str">
        <x:v>Primary</x:v>
      </x:c>
      <x:c r="E554" s="3" t="str">
        <x:f>IFERROR(INDEX(Items!$Z$6:$Z$1005,MATCH(A554,Items!$A$6:$A$1005,0)),"MISSING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IFERROR(INDEX(Items!$C$6:$C$1005,MATCH(A555,Items!$A$6:$A$1005,0)),"MISSING ITEM ID")</x:f>
        <x:v>Equipment</x:v>
      </x:c>
      <x:c r="D555" s="3" t="str">
        <x:v>Primary</x:v>
      </x:c>
      <x:c r="E555" s="3" t="str">
        <x:f>IFERROR(INDEX(Items!$Z$6:$Z$1005,MATCH(A555,Items!$A$6:$A$1005,0)),"MISSING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IFERROR(INDEX(Items!$C$6:$C$1005,MATCH(A556,Items!$A$6:$A$1005,0)),"MISSING ITEM ID")</x:f>
        <x:v>Equipment</x:v>
      </x:c>
      <x:c r="D556" s="3" t="str">
        <x:v>Primary</x:v>
      </x:c>
      <x:c r="E556" s="3" t="str">
        <x:f>IFERROR(INDEX(Items!$Z$6:$Z$1005,MATCH(A556,Items!$A$6:$A$1005,0)),"MISSING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IFERROR(INDEX(Items!$C$6:$C$1005,MATCH(A557,Items!$A$6:$A$1005,0)),"MISSING ITEM ID")</x:f>
        <x:v>Equipment</x:v>
      </x:c>
      <x:c r="D557" s="3" t="str">
        <x:v>Primary</x:v>
      </x:c>
      <x:c r="E557" s="3" t="str">
        <x:f>IFERROR(INDEX(Items!$Z$6:$Z$1005,MATCH(A557,Items!$A$6:$A$1005,0)),"MISSING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IFERROR(INDEX(Items!$C$6:$C$1005,MATCH(A558,Items!$A$6:$A$1005,0)),"MISSING ITEM ID")</x:f>
        <x:v>Equipment</x:v>
      </x:c>
      <x:c r="D558" s="3" t="str">
        <x:v>Primary</x:v>
      </x:c>
      <x:c r="E558" s="3" t="str">
        <x:f>IFERROR(INDEX(Items!$Z$6:$Z$1005,MATCH(A558,Items!$A$6:$A$1005,0)),"MISSING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IFERROR(INDEX(Items!$C$6:$C$1005,MATCH(A559,Items!$A$6:$A$1005,0)),"MISSING ITEM ID")</x:f>
        <x:v>Equipment</x:v>
      </x:c>
      <x:c r="D559" s="3" t="str">
        <x:v>Primary</x:v>
      </x:c>
      <x:c r="E559" s="3" t="str">
        <x:f>IFERROR(INDEX(Items!$Z$6:$Z$1005,MATCH(A559,Items!$A$6:$A$1005,0)),"MISSING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IFERROR(INDEX(Items!$C$6:$C$1005,MATCH(A560,Items!$A$6:$A$1005,0)),"MISSING ITEM ID")</x:f>
        <x:v>Equipment</x:v>
      </x:c>
      <x:c r="D560" s="3" t="str">
        <x:v>Primary</x:v>
      </x:c>
      <x:c r="E560" s="3" t="str">
        <x:f>IFERROR(INDEX(Items!$Z$6:$Z$1005,MATCH(A560,Items!$A$6:$A$1005,0)),"MISSING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IFERROR(INDEX(Items!$C$6:$C$1005,MATCH(A561,Items!$A$6:$A$1005,0)),"MISSING ITEM ID")</x:f>
        <x:v>Equipment</x:v>
      </x:c>
      <x:c r="D561" s="3" t="str">
        <x:v>Primary</x:v>
      </x:c>
      <x:c r="E561" s="3" t="str">
        <x:f>IFERROR(INDEX(Items!$Z$6:$Z$1005,MATCH(A561,Items!$A$6:$A$1005,0)),"MISSING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IFERROR(INDEX(Items!$C$6:$C$1005,MATCH(A562,Items!$A$6:$A$1005,0)),"MISSING ITEM ID")</x:f>
        <x:v>Equipment</x:v>
      </x:c>
      <x:c r="D562" s="3" t="str">
        <x:v>Primary</x:v>
      </x:c>
      <x:c r="E562" s="3" t="str">
        <x:f>IFERROR(INDEX(Items!$Z$6:$Z$1005,MATCH(A562,Items!$A$6:$A$1005,0)),"MISSING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IFERROR(INDEX(Items!$C$6:$C$1005,MATCH(A563,Items!$A$6:$A$1005,0)),"MISSING ITEM ID")</x:f>
        <x:v>Equipment</x:v>
      </x:c>
      <x:c r="D563" s="3" t="str">
        <x:v>Primary</x:v>
      </x:c>
      <x:c r="E563" s="3" t="str">
        <x:f>IFERROR(INDEX(Items!$Z$6:$Z$1005,MATCH(A563,Items!$A$6:$A$1005,0)),"MISSING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IFERROR(INDEX(Items!$C$6:$C$1005,MATCH(A564,Items!$A$6:$A$1005,0)),"MISSING ITEM ID")</x:f>
        <x:v>Resources</x:v>
      </x:c>
      <x:c r="D564" s="3" t="str">
        <x:v>Primary</x:v>
      </x:c>
      <x:c r="E564" s="3" t="str">
        <x:f>IFERROR(INDEX(Items!$Z$6:$Z$1005,MATCH(A564,Items!$A$6:$A$1005,0)),"MISSING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IFERROR(INDEX(Items!$C$6:$C$1005,MATCH(A565,Items!$A$6:$A$1005,0)),"MISSING ITEM ID")</x:f>
        <x:v>Equipment</x:v>
      </x:c>
      <x:c r="D565" s="3" t="str">
        <x:v>Primary</x:v>
      </x:c>
      <x:c r="E565" s="3" t="str">
        <x:f>IFERROR(INDEX(Items!$Z$6:$Z$1005,MATCH(A565,Items!$A$6:$A$1005,0)),"MISSING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IFERROR(INDEX(Items!$C$6:$C$1005,MATCH(A566,Items!$A$6:$A$1005,0)),"MISSING ITEM ID")</x:f>
        <x:v>Equipment</x:v>
      </x:c>
      <x:c r="D566" s="3" t="str">
        <x:v>Primary</x:v>
      </x:c>
      <x:c r="E566" s="3" t="str">
        <x:f>IFERROR(INDEX(Items!$Z$6:$Z$1005,MATCH(A566,Items!$A$6:$A$1005,0)),"MISSING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IFERROR(INDEX(Items!$C$6:$C$1005,MATCH(A567,Items!$A$6:$A$1005,0)),"MISSING ITEM ID")</x:f>
        <x:v>Resources</x:v>
      </x:c>
      <x:c r="D567" s="3" t="str">
        <x:v>Primary</x:v>
      </x:c>
      <x:c r="E567" s="3" t="str">
        <x:f>IFERROR(INDEX(Items!$Z$6:$Z$1005,MATCH(A567,Items!$A$6:$A$1005,0)),"MISSING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IFERROR(INDEX(Items!$C$6:$C$1005,MATCH(A568,Items!$A$6:$A$1005,0)),"MISSING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IFERROR(INDEX(Items!$C$6:$C$1005,MATCH(A569,Items!$A$6:$A$1005,0)),"MISSING ITEM ID")</x:f>
        <x:v>Resources</x:v>
      </x:c>
      <x:c r="D569" s="3" t="str">
        <x:v>Primary</x:v>
      </x:c>
      <x:c r="E569" s="3" t="str">
        <x:f>IFERROR(INDEX(Items!$Z$6:$Z$1005,MATCH(A569,Items!$A$6:$A$1005,0)),"MISSING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IFERROR(INDEX(Items!$C$6:$C$1005,MATCH(A570,Items!$A$6:$A$1005,0)),"MISSING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IFERROR(INDEX(Items!$C$6:$C$1005,MATCH(A571,Items!$A$6:$A$1005,0)),"MISSING ITEM ID")</x:f>
        <x:v>Resources</x:v>
      </x:c>
      <x:c r="D571" s="3" t="str">
        <x:v>Primary</x:v>
      </x:c>
      <x:c r="E571" s="3" t="str">
        <x:f>IFERROR(INDEX(Items!$Z$6:$Z$1005,MATCH(A571,Items!$A$6:$A$1005,0)),"MISSING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IFERROR(INDEX(Items!$C$6:$C$1005,MATCH(A572,Items!$A$6:$A$1005,0)),"MISSING ITEM ID")</x:f>
        <x:v>Resources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IFERROR(INDEX('Items'!$C$6:$C$1005,MATCH(A573,'Items'!$A$6:$A$1005,0)),"MISSING ID")</x:f>
        <x:v>Resources</x:v>
      </x:c>
      <x:c r="D573" s="3" t="str">
        <x:v>Primary</x:v>
      </x:c>
      <x:c r="E573" s="3" t="str">
        <x:f>IFERROR(INDEX('Items'!$Z$6:$Z$1005,MATCH(A573,'Items'!$A$6:$A$1005,0)),"MISSING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IFERROR(INDEX('Items'!$C$6:$C$1005,MATCH(A574,'Items'!$A$6:$A$1005,0)),"MISSING ID")</x:f>
        <x:v>Resources</x:v>
      </x:c>
      <x:c r="D574" s="3" t="str">
        <x:v>Primary</x:v>
      </x:c>
      <x:c r="E574" s="3" t="str">
        <x:f>IFERROR(INDEX('Items'!$Z$6:$Z$1005,MATCH(A574,'Items'!$A$6:$A$1005,0)),"MISSING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IFERROR(INDEX('Items'!$C$6:$C$1005,MATCH(A575,'Items'!$A$6:$A$1005,0)),"MISSING ID")</x:f>
        <x:v>Resources</x:v>
      </x:c>
      <x:c r="D575" s="3" t="str">
        <x:v>Primary</x:v>
      </x:c>
      <x:c r="E575" s="3" t="str">
        <x:f>IFERROR(INDEX('Items'!$Z$6:$Z$1005,MATCH(A575,'Items'!$A$6:$A$1005,0)),"MISSING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IFERROR(INDEX('Items'!$C$6:$C$1005,MATCH(A576,'Items'!$A$6:$A$1005,0)),"MISSING ID")</x:f>
        <x:v>Resources</x:v>
      </x:c>
      <x:c r="D576" s="3" t="str">
        <x:v>Primary</x:v>
      </x:c>
      <x:c r="E576" s="3" t="str">
        <x:f>IFERROR(INDEX('Items'!$Z$6:$Z$1005,MATCH(A576,'Items'!$A$6:$A$1005,0)),"MISSING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IFERROR(INDEX('Items'!$C$6:$C$1005,MATCH(A577,'Items'!$A$6:$A$1005,0)),"MISSING ID")</x:f>
        <x:v>Resources</x:v>
      </x:c>
      <x:c r="D577" s="3" t="str">
        <x:v>Primary</x:v>
      </x:c>
      <x:c r="E577" s="3" t="str">
        <x:f>IFERROR(INDEX('Items'!$Z$6:$Z$1005,MATCH(A577,'Items'!$A$6:$A$1005,0)),"MISSING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IFERROR(INDEX('Items'!$C$6:$C$1005,MATCH(A578,'Items'!$A$6:$A$1005,0)),"MISSING ID")</x:f>
        <x:v>Resources</x:v>
      </x:c>
      <x:c r="D578" s="3" t="str">
        <x:v>Primary</x:v>
      </x:c>
      <x:c r="E578" s="3" t="str">
        <x:f>IFERROR(INDEX('Items'!$Z$6:$Z$1005,MATCH(A578,'Items'!$A$6:$A$1005,0)),"MISSING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IFERROR(INDEX('Items'!$C$6:$C$1005,MATCH(A579,'Items'!$A$6:$A$1005,0)),"MISSING ID")</x:f>
        <x:v>Resources</x:v>
      </x:c>
      <x:c r="D579" s="3" t="str">
        <x:v>Primary</x:v>
      </x:c>
      <x:c r="E579" s="3" t="str">
        <x:f>IFERROR(INDEX('Items'!$Z$6:$Z$1005,MATCH(A579,'Items'!$A$6:$A$1005,0)),"MISSING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IFERROR(INDEX('Items'!$C$6:$C$1005,MATCH(A580,'Items'!$A$6:$A$1005,0)),"MISSING ID")</x:f>
        <x:v>Resources</x:v>
      </x:c>
      <x:c r="D580" s="3" t="str">
        <x:v>Primary</x:v>
      </x:c>
      <x:c r="E580" s="3" t="str">
        <x:f>IFERROR(INDEX('Items'!$Z$6:$Z$1005,MATCH(A580,'Items'!$A$6:$A$1005,0)),"MISSING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IFERROR(INDEX('Items'!$C$6:$C$1005,MATCH(A581,'Items'!$A$6:$A$1005,0)),"MISSING ID")</x:f>
        <x:v>Resources</x:v>
      </x:c>
      <x:c r="D581" s="3" t="str">
        <x:v>Primary</x:v>
      </x:c>
      <x:c r="E581" s="3" t="str">
        <x:f>IFERROR(INDEX('Items'!$Z$6:$Z$1005,MATCH(A581,'Items'!$A$6:$A$1005,0)),"MISSING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IFERROR(INDEX('Items'!$C$6:$C$1005,MATCH(A582,'Items'!$A$6:$A$1005,0)),"MISSING ID")</x:f>
        <x:v>Resources</x:v>
      </x:c>
      <x:c r="D582" s="3" t="str">
        <x:v>Primary</x:v>
      </x:c>
      <x:c r="E582" s="3" t="str">
        <x:f>IFERROR(INDEX('Items'!$Z$6:$Z$1005,MATCH(A582,'Items'!$A$6:$A$1005,0)),"MISSING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IFERROR(INDEX('Items'!$C$6:$C$1005,MATCH(A583,'Items'!$A$6:$A$1005,0)),"MISSING ID")</x:f>
        <x:v>Resources</x:v>
      </x:c>
      <x:c r="D583" s="3" t="str">
        <x:v>Primary</x:v>
      </x:c>
      <x:c r="E583" s="3" t="str">
        <x:f>IFERROR(INDEX('Items'!$Z$6:$Z$1005,MATCH(A583,'Items'!$A$6:$A$1005,0)),"MISSING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IFERROR(INDEX('Items'!$C$6:$C$1005,MATCH(A584,'Items'!$A$6:$A$1005,0)),"MISSING ID")</x:f>
        <x:v>Resources</x:v>
      </x:c>
      <x:c r="D584" s="3" t="str">
        <x:v>Primary</x:v>
      </x:c>
      <x:c r="E584" s="3" t="str">
        <x:f>IFERROR(INDEX('Items'!$Z$6:$Z$1005,MATCH(A584,'Items'!$A$6:$A$1005,0)),"MISSING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IFERROR(INDEX('Items'!$C$6:$C$1005,MATCH(A585,'Items'!$A$6:$A$1005,0)),"MISSING ID")</x:f>
        <x:v>Resources</x:v>
      </x:c>
      <x:c r="D585" s="3" t="str">
        <x:v>Primary</x:v>
      </x:c>
      <x:c r="E585" s="3" t="str">
        <x:f>IFERROR(INDEX('Items'!$Z$6:$Z$1005,MATCH(A585,'Items'!$A$6:$A$1005,0)),"MISSING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IFERROR(INDEX('Items'!$C$6:$C$1005,MATCH(A586,'Items'!$A$6:$A$1005,0)),"MISSING ID")</x:f>
        <x:v>Resources</x:v>
      </x:c>
      <x:c r="D586" s="3" t="str">
        <x:v>Primary</x:v>
      </x:c>
      <x:c r="E586" s="3" t="str">
        <x:f>IFERROR(INDEX('Items'!$Z$6:$Z$1005,MATCH(A586,'Items'!$A$6:$A$1005,0)),"MISSING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IFERROR(INDEX('Items'!$C$6:$C$1005,MATCH(A587,'Items'!$A$6:$A$1005,0)),"MISSING ID")</x:f>
        <x:v>Resources</x:v>
      </x:c>
      <x:c r="D587" s="3" t="str">
        <x:v>Primary</x:v>
      </x:c>
      <x:c r="E587" s="3" t="str">
        <x:f>IFERROR(INDEX('Items'!$Z$6:$Z$1005,MATCH(A587,'Items'!$A$6:$A$1005,0)),"MISSING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IFERROR(INDEX('Items'!$C$6:$C$1005,MATCH(A588,'Items'!$A$6:$A$1005,0)),"MISSING ID")</x:f>
        <x:v>Resources</x:v>
      </x:c>
      <x:c r="D588" s="3" t="str">
        <x:v>Primary</x:v>
      </x:c>
      <x:c r="E588" s="3" t="str">
        <x:f>IFERROR(INDEX('Items'!$Z$6:$Z$1005,MATCH(A588,'Items'!$A$6:$A$1005,0)),"MISSING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IFERROR(INDEX('Items'!$C$6:$C$1005,MATCH(A589,'Items'!$A$6:$A$1005,0)),"MISSING ID")</x:f>
        <x:v>Resources</x:v>
      </x:c>
      <x:c r="D589" s="3" t="str">
        <x:v>Primary</x:v>
      </x:c>
      <x:c r="E589" s="3" t="str">
        <x:f>IFERROR(INDEX('Items'!$Z$6:$Z$1005,MATCH(A589,'Items'!$A$6:$A$1005,0)),"MISSING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IFERROR(INDEX('Items'!$C$6:$C$1005,MATCH(A590,'Items'!$A$6:$A$1005,0)),"MISSING ID")</x:f>
        <x:v>Resources</x:v>
      </x:c>
      <x:c r="D590" s="3" t="str">
        <x:v>Primary</x:v>
      </x:c>
      <x:c r="E590" s="3" t="str">
        <x:f>IFERROR(INDEX('Items'!$Z$6:$Z$1005,MATCH(A590,'Items'!$A$6:$A$1005,0)),"MISSING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IFERROR(INDEX('Items'!$C$6:$C$1005,MATCH(A591,'Items'!$A$6:$A$1005,0)),"MISSING ID")</x:f>
        <x:v>Resources</x:v>
      </x:c>
      <x:c r="D591" s="3" t="str">
        <x:v>Primary</x:v>
      </x:c>
      <x:c r="E591" s="3" t="str">
        <x:f>IFERROR(INDEX('Items'!$Z$6:$Z$1005,MATCH(A591,'Items'!$A$6:$A$1005,0)),"MISSING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IFERROR(INDEX('Items'!$C$6:$C$1005,MATCH(A592,'Items'!$A$6:$A$1005,0)),"MISSING ID")</x:f>
        <x:v>Resources</x:v>
      </x:c>
      <x:c r="D592" s="3" t="str">
        <x:v>Primary</x:v>
      </x:c>
      <x:c r="E592" s="3" t="str">
        <x:f>IFERROR(INDEX('Items'!$Z$6:$Z$1005,MATCH(A592,'Items'!$A$6:$A$1005,0)),"MISSING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IFERROR(INDEX('Items'!$C$6:$C$1005,MATCH(A593,'Items'!$A$6:$A$1005,0)),"MISSING ID")</x:f>
        <x:v>Resources</x:v>
      </x:c>
      <x:c r="D593" s="3" t="str">
        <x:v>Primary</x:v>
      </x:c>
      <x:c r="E593" s="3" t="str">
        <x:f>IFERROR(INDEX('Items'!$Z$6:$Z$1005,MATCH(A593,'Items'!$A$6:$A$1005,0)),"MISSING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IFERROR(INDEX('Items'!$C$6:$C$1005,MATCH(A594,'Items'!$A$6:$A$1005,0)),"MISSING ID")</x:f>
        <x:v>Resources</x:v>
      </x:c>
      <x:c r="D594" s="3" t="str">
        <x:v>Primary</x:v>
      </x:c>
      <x:c r="E594" s="3" t="str">
        <x:f>IFERROR(INDEX('Items'!$Z$6:$Z$1005,MATCH(A594,'Items'!$A$6:$A$1005,0)),"MISSING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IFERROR(INDEX('Items'!$C$6:$C$1005,MATCH(A595,'Items'!$A$6:$A$1005,0)),"MISSING ID")</x:f>
        <x:v>Resources</x:v>
      </x:c>
      <x:c r="D595" s="3" t="str">
        <x:v>Primary</x:v>
      </x:c>
      <x:c r="E595" s="3" t="str">
        <x:f>IFERROR(INDEX('Items'!$Z$6:$Z$1005,MATCH(A595,'Items'!$A$6:$A$1005,0)),"MISSING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IFERROR(INDEX('Items'!$C$6:$C$1005,MATCH(A596,'Items'!$A$6:$A$1005,0)),"MISSING ID")</x:f>
        <x:v>Resources</x:v>
      </x:c>
      <x:c r="D596" s="3" t="str">
        <x:v>Primary</x:v>
      </x:c>
      <x:c r="E596" s="3" t="str">
        <x:f>IFERROR(INDEX('Items'!$Z$6:$Z$1005,MATCH(A596,'Items'!$A$6:$A$1005,0)),"MISSING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IFERROR(INDEX('Items'!$C$6:$C$1005,MATCH(A597,'Items'!$A$6:$A$1005,0)),"MISSING ID")</x:f>
        <x:v>Resources</x:v>
      </x:c>
      <x:c r="D597" s="3" t="str">
        <x:v>Primary</x:v>
      </x:c>
      <x:c r="E597" s="3" t="str">
        <x:f>IFERROR(INDEX('Items'!$Z$6:$Z$1005,MATCH(A597,'Items'!$A$6:$A$1005,0)),"MISSING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IFERROR(INDEX('Items'!$C$6:$C$1005,MATCH(A598,'Items'!$A$6:$A$1005,0)),"MISSING ID")</x:f>
        <x:v>Resources</x:v>
      </x:c>
      <x:c r="D598" s="3" t="str">
        <x:v>Primary</x:v>
      </x:c>
      <x:c r="E598" s="3" t="str">
        <x:f>IFERROR(INDEX('Items'!$Z$6:$Z$1005,MATCH(A598,'Items'!$A$6:$A$1005,0)),"MISSING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IFERROR(INDEX('Items'!$C$6:$C$1005,MATCH(A599,'Items'!$A$6:$A$1005,0)),"MISSING ID")</x:f>
        <x:v>Resources</x:v>
      </x:c>
      <x:c r="D599" s="3" t="str">
        <x:v>Primary</x:v>
      </x:c>
      <x:c r="E599" s="3" t="str">
        <x:f>IFERROR(INDEX('Items'!$Z$6:$Z$1005,MATCH(A599,'Items'!$A$6:$A$1005,0)),"MISSING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IFERROR(INDEX('Items'!$C$6:$C$1005,MATCH(A600,'Items'!$A$6:$A$1005,0)),"MISSING ID")</x:f>
        <x:v>Resources</x:v>
      </x:c>
      <x:c r="D600" s="3" t="str">
        <x:v>Primary</x:v>
      </x:c>
      <x:c r="E600" s="3" t="str">
        <x:f>IFERROR(INDEX('Items'!$Z$6:$Z$1005,MATCH(A600,'Items'!$A$6:$A$1005,0)),"MISSING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IFERROR(INDEX('Items'!$C$6:$C$1005,MATCH(A601,'Items'!$A$6:$A$1005,0)),"MISSING ID")</x:f>
        <x:v>Resources</x:v>
      </x:c>
      <x:c r="D601" s="3" t="str">
        <x:v>Primary</x:v>
      </x:c>
      <x:c r="E601" s="3" t="str">
        <x:f>IFERROR(INDEX('Items'!$Z$6:$Z$1005,MATCH(A601,'Items'!$A$6:$A$1005,0)),"MISSING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IFERROR(INDEX('Items'!$C$6:$C$1005,MATCH(A602,'Items'!$A$6:$A$1005,0)),"MISSING ID")</x:f>
        <x:v>Resources</x:v>
      </x:c>
      <x:c r="D602" s="3" t="str">
        <x:v>Primary</x:v>
      </x:c>
      <x:c r="E602" s="3" t="str">
        <x:f>IFERROR(INDEX('Items'!$Z$6:$Z$1005,MATCH(A602,'Items'!$A$6:$A$1005,0)),"MISSING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IFERROR(INDEX('Items'!$C$6:$C$1005,MATCH(A603,'Items'!$A$6:$A$1005,0)),"MISSING ID")</x:f>
        <x:v>Resources</x:v>
      </x:c>
      <x:c r="D603" s="3" t="str">
        <x:v>Primary</x:v>
      </x:c>
      <x:c r="E603" s="3" t="str">
        <x:f>IFERROR(INDEX('Items'!$Z$6:$Z$1005,MATCH(A603,'Items'!$A$6:$A$1005,0)),"MISSING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IFERROR(INDEX('Items'!$C$6:$C$1005,MATCH(A604,'Items'!$A$6:$A$1005,0)),"MISSING ID")</x:f>
        <x:v>Crafting components</x:v>
      </x:c>
      <x:c r="D604" s="3" t="str">
        <x:v>Primary</x:v>
      </x:c>
      <x:c r="E604" s="3" t="str">
        <x:f>IFERROR(INDEX('Items'!$Z$6:$Z$1005,MATCH(A604,'Items'!$A$6:$A$1005,0)),"MISSING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IFERROR(INDEX('Items'!$C$6:$C$1005,MATCH(A605,'Items'!$A$6:$A$1005,0)),"MISSING ID")</x:f>
        <x:v>Resources</x:v>
      </x:c>
      <x:c r="D605" s="3" t="str">
        <x:v>Primary</x:v>
      </x:c>
      <x:c r="E605" s="3" t="str">
        <x:f>IFERROR(INDEX('Items'!$Z$6:$Z$1005,MATCH(A605,'Items'!$A$6:$A$1005,0)),"MISSING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IFERROR(INDEX('Items'!$C$6:$C$1005,MATCH(A606,'Items'!$A$6:$A$1005,0)),"MISSING ID")</x:f>
        <x:v>Crafting components</x:v>
      </x:c>
      <x:c r="D606" s="3" t="str">
        <x:v>Primary</x:v>
      </x:c>
      <x:c r="E606" s="3" t="str">
        <x:f>IFERROR(INDEX('Items'!$Z$6:$Z$1005,MATCH(A606,'Items'!$A$6:$A$1005,0)),"MISSING ID")</x:f>
        <x:v>Machinery repair</x:v>
      </x:c>
      <x:c r="F606" s="3" t="str">
        <x:v>Primary intended material/component use; qualification and service compatibility remain open.</x:v>
      </x:c>
    </x:row>
  </x:sheetData>
  <x:dataValidations count="3">
    <x:dataValidation type="list" sqref="A6:A1005">
      <x:formula1>'Items'!$A$6:$A$447</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cf4030e34c8544cd"/>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IFERROR(INDEX('Items'!$AF$6:$AF$1005,MATCH(D6,'Items'!$A$6:$A$1005,0)),"MISSING ID")</x:f>
        <x:v>T0</x:v>
      </x:c>
      <x:c r="G6" s="4" t="str">
        <x:f>IFERROR(INDEX('Items'!$C$6:$C$1005,MATCH(D6,'Items'!$A$6:$A$1005,0)),"MISSING ID")</x:f>
        <x:v>Resources</x:v>
      </x:c>
      <x:c r="H6" s="4" t="str">
        <x:f>IFERROR(INDEX('Items'!$W$6:$W$1005,MATCH(D6,'Items'!$A$6:$A$1005,0)),"MISSING ID")</x:f>
        <x:v>Raw material</x:v>
      </x:c>
      <x:c r="I6" s="4"/>
      <x:c r="J6" s="4" t="str">
        <x:v>Unspecified</x:v>
      </x:c>
      <x:c r="K6" s="4" t="str">
        <x:f>IFERROR(INDEX('Crafting recipes'!$D$6:$D$1005,MATCH(B6,'Crafting recipes'!$A$6:$A$1005,0)),"MISSING ID")</x:f>
        <x:v>Proposal</x:v>
      </x:c>
      <x:c r="L6" s="4" t="str">
        <x:f>IFERROR(INDEX('Items'!$AC$6:$AC$1005,MATCH(D6,'Items'!$A$6:$A$1005,0)),"MISSING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IFERROR(INDEX('Items'!$AF$6:$AF$1005,MATCH(D7,'Items'!$A$6:$A$1005,0)),"MISSING ID")</x:f>
        <x:v>T0</x:v>
      </x:c>
      <x:c r="G7" s="4" t="str">
        <x:f>IFERROR(INDEX('Items'!$C$6:$C$1005,MATCH(D7,'Items'!$A$6:$A$1005,0)),"MISSING ID")</x:f>
        <x:v>Resources</x:v>
      </x:c>
      <x:c r="H7" s="4" t="str">
        <x:f>IFERROR(INDEX('Items'!$W$6:$W$1005,MATCH(D7,'Items'!$A$6:$A$1005,0)),"MISSING ID")</x:f>
        <x:v>Raw material</x:v>
      </x:c>
      <x:c r="I7" s="4"/>
      <x:c r="J7" s="4" t="str">
        <x:v>Unspecified</x:v>
      </x:c>
      <x:c r="K7" s="4" t="str">
        <x:f>IFERROR(INDEX('Crafting recipes'!$D$6:$D$1005,MATCH(B7,'Crafting recipes'!$A$6:$A$1005,0)),"MISSING ID")</x:f>
        <x:v>Proposal</x:v>
      </x:c>
      <x:c r="L7" s="4" t="str">
        <x:f>IFERROR(INDEX('Items'!$AC$6:$AC$1005,MATCH(D7,'Items'!$A$6:$A$1005,0)),"MISSING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IFERROR(INDEX('Items'!$AF$6:$AF$1005,MATCH(D8,'Items'!$A$6:$A$1005,0)),"MISSING ID")</x:f>
        <x:v>T0</x:v>
      </x:c>
      <x:c r="G8" s="4" t="str">
        <x:f>IFERROR(INDEX('Items'!$C$6:$C$1005,MATCH(D8,'Items'!$A$6:$A$1005,0)),"MISSING ID")</x:f>
        <x:v>Resources</x:v>
      </x:c>
      <x:c r="H8" s="4" t="str">
        <x:f>IFERROR(INDEX('Items'!$W$6:$W$1005,MATCH(D8,'Items'!$A$6:$A$1005,0)),"MISSING ID")</x:f>
        <x:v>Raw material</x:v>
      </x:c>
      <x:c r="I8" s="4"/>
      <x:c r="J8" s="4" t="str">
        <x:v>Unspecified</x:v>
      </x:c>
      <x:c r="K8" s="4" t="str">
        <x:f>IFERROR(INDEX('Crafting recipes'!$D$6:$D$1005,MATCH(B8,'Crafting recipes'!$A$6:$A$1005,0)),"MISSING ID")</x:f>
        <x:v>Proposal</x:v>
      </x:c>
      <x:c r="L8" s="4" t="str">
        <x:f>IFERROR(INDEX('Items'!$AC$6:$AC$1005,MATCH(D8,'Items'!$A$6:$A$1005,0)),"MISSING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IFERROR(INDEX('Items'!$AF$6:$AF$1005,MATCH(D9,'Items'!$A$6:$A$1005,0)),"MISSING ID")</x:f>
        <x:v>T0</x:v>
      </x:c>
      <x:c r="G9" s="4" t="str">
        <x:f>IFERROR(INDEX('Items'!$C$6:$C$1005,MATCH(D9,'Items'!$A$6:$A$1005,0)),"MISSING ID")</x:f>
        <x:v>Resources</x:v>
      </x:c>
      <x:c r="H9" s="4" t="str">
        <x:f>IFERROR(INDEX('Items'!$W$6:$W$1005,MATCH(D9,'Items'!$A$6:$A$1005,0)),"MISSING ID")</x:f>
        <x:v>Raw material</x:v>
      </x:c>
      <x:c r="I9" s="4"/>
      <x:c r="J9" s="4" t="str">
        <x:v>Unspecified</x:v>
      </x:c>
      <x:c r="K9" s="4" t="str">
        <x:f>IFERROR(INDEX('Crafting recipes'!$D$6:$D$1005,MATCH(B9,'Crafting recipes'!$A$6:$A$1005,0)),"MISSING ID")</x:f>
        <x:v>Proposal</x:v>
      </x:c>
      <x:c r="L9" s="4" t="str">
        <x:f>IFERROR(INDEX('Items'!$AC$6:$AC$1005,MATCH(D9,'Items'!$A$6:$A$1005,0)),"MISSING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IFERROR(INDEX('Items'!$AF$6:$AF$1005,MATCH(D10,'Items'!$A$6:$A$1005,0)),"MISSING ID")</x:f>
        <x:v>T0</x:v>
      </x:c>
      <x:c r="G10" s="4" t="str">
        <x:f>IFERROR(INDEX('Items'!$C$6:$C$1005,MATCH(D10,'Items'!$A$6:$A$1005,0)),"MISSING ID")</x:f>
        <x:v>Resources</x:v>
      </x:c>
      <x:c r="H10" s="4" t="str">
        <x:f>IFERROR(INDEX('Items'!$W$6:$W$1005,MATCH(D10,'Items'!$A$6:$A$1005,0)),"MISSING ID")</x:f>
        <x:v>Raw material</x:v>
      </x:c>
      <x:c r="I10" s="4"/>
      <x:c r="J10" s="4" t="str">
        <x:v>Unspecified</x:v>
      </x:c>
      <x:c r="K10" s="4" t="str">
        <x:f>IFERROR(INDEX('Crafting recipes'!$D$6:$D$1005,MATCH(B10,'Crafting recipes'!$A$6:$A$1005,0)),"MISSING ID")</x:f>
        <x:v>Proposal</x:v>
      </x:c>
      <x:c r="L10" s="4" t="str">
        <x:f>IFERROR(INDEX('Items'!$AC$6:$AC$1005,MATCH(D10,'Items'!$A$6:$A$1005,0)),"MISSING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IFERROR(INDEX('Items'!$AF$6:$AF$1005,MATCH(D11,'Items'!$A$6:$A$1005,0)),"MISSING ID")</x:f>
        <x:v>T0</x:v>
      </x:c>
      <x:c r="G11" s="4" t="str">
        <x:f>IFERROR(INDEX('Items'!$C$6:$C$1005,MATCH(D11,'Items'!$A$6:$A$1005,0)),"MISSING ID")</x:f>
        <x:v>Resources</x:v>
      </x:c>
      <x:c r="H11" s="4" t="str">
        <x:f>IFERROR(INDEX('Items'!$W$6:$W$1005,MATCH(D11,'Items'!$A$6:$A$1005,0)),"MISSING ID")</x:f>
        <x:v>Raw material</x:v>
      </x:c>
      <x:c r="I11" s="4"/>
      <x:c r="J11" s="4" t="str">
        <x:v>Unspecified</x:v>
      </x:c>
      <x:c r="K11" s="4" t="str">
        <x:f>IFERROR(INDEX('Crafting recipes'!$D$6:$D$1005,MATCH(B11,'Crafting recipes'!$A$6:$A$1005,0)),"MISSING ID")</x:f>
        <x:v>Proposal</x:v>
      </x:c>
      <x:c r="L11" s="4" t="str">
        <x:f>IFERROR(INDEX('Items'!$AC$6:$AC$1005,MATCH(D11,'Items'!$A$6:$A$1005,0)),"MISSING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IFERROR(INDEX('Items'!$AF$6:$AF$1005,MATCH(D12,'Items'!$A$6:$A$1005,0)),"MISSING ID")</x:f>
        <x:v>T0</x:v>
      </x:c>
      <x:c r="G12" s="4" t="str">
        <x:f>IFERROR(INDEX('Items'!$C$6:$C$1005,MATCH(D12,'Items'!$A$6:$A$1005,0)),"MISSING ID")</x:f>
        <x:v>Resources</x:v>
      </x:c>
      <x:c r="H12" s="4" t="str">
        <x:f>IFERROR(INDEX('Items'!$W$6:$W$1005,MATCH(D12,'Items'!$A$6:$A$1005,0)),"MISSING ID")</x:f>
        <x:v>Raw material</x:v>
      </x:c>
      <x:c r="I12" s="4"/>
      <x:c r="J12" s="4" t="str">
        <x:v>Unspecified</x:v>
      </x:c>
      <x:c r="K12" s="4" t="str">
        <x:f>IFERROR(INDEX('Crafting recipes'!$D$6:$D$1005,MATCH(B12,'Crafting recipes'!$A$6:$A$1005,0)),"MISSING ID")</x:f>
        <x:v>Proposal</x:v>
      </x:c>
      <x:c r="L12" s="4" t="str">
        <x:f>IFERROR(INDEX('Items'!$AC$6:$AC$1005,MATCH(D12,'Items'!$A$6:$A$1005,0)),"MISSING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IFERROR(INDEX('Items'!$AF$6:$AF$1005,MATCH(D13,'Items'!$A$6:$A$1005,0)),"MISSING ID")</x:f>
        <x:v>T0</x:v>
      </x:c>
      <x:c r="G13" s="4" t="str">
        <x:f>IFERROR(INDEX('Items'!$C$6:$C$1005,MATCH(D13,'Items'!$A$6:$A$1005,0)),"MISSING ID")</x:f>
        <x:v>Resources</x:v>
      </x:c>
      <x:c r="H13" s="4" t="str">
        <x:f>IFERROR(INDEX('Items'!$W$6:$W$1005,MATCH(D13,'Items'!$A$6:$A$1005,0)),"MISSING ID")</x:f>
        <x:v>Raw material</x:v>
      </x:c>
      <x:c r="I13" s="4"/>
      <x:c r="J13" s="4" t="str">
        <x:v>Unspecified</x:v>
      </x:c>
      <x:c r="K13" s="4" t="str">
        <x:f>IFERROR(INDEX('Crafting recipes'!$D$6:$D$1005,MATCH(B13,'Crafting recipes'!$A$6:$A$1005,0)),"MISSING ID")</x:f>
        <x:v>Proposal</x:v>
      </x:c>
      <x:c r="L13" s="4" t="str">
        <x:f>IFERROR(INDEX('Items'!$AC$6:$AC$1005,MATCH(D13,'Items'!$A$6:$A$1005,0)),"MISSING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IFERROR(INDEX('Items'!$AF$6:$AF$1005,MATCH(D14,'Items'!$A$6:$A$1005,0)),"MISSING ID")</x:f>
        <x:v>T0</x:v>
      </x:c>
      <x:c r="G14" s="4" t="str">
        <x:f>IFERROR(INDEX('Items'!$C$6:$C$1005,MATCH(D14,'Items'!$A$6:$A$1005,0)),"MISSING ID")</x:f>
        <x:v>Resources</x:v>
      </x:c>
      <x:c r="H14" s="4" t="str">
        <x:f>IFERROR(INDEX('Items'!$W$6:$W$1005,MATCH(D14,'Items'!$A$6:$A$1005,0)),"MISSING ID")</x:f>
        <x:v>Raw material</x:v>
      </x:c>
      <x:c r="I14" s="4"/>
      <x:c r="J14" s="4" t="str">
        <x:v>Unspecified</x:v>
      </x:c>
      <x:c r="K14" s="4" t="str">
        <x:f>IFERROR(INDEX('Crafting recipes'!$D$6:$D$1005,MATCH(B14,'Crafting recipes'!$A$6:$A$1005,0)),"MISSING ID")</x:f>
        <x:v>Proposal</x:v>
      </x:c>
      <x:c r="L14" s="4" t="str">
        <x:f>IFERROR(INDEX('Items'!$AC$6:$AC$1005,MATCH(D14,'Items'!$A$6:$A$1005,0)),"MISSING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IFERROR(INDEX('Items'!$AF$6:$AF$1005,MATCH(D15,'Items'!$A$6:$A$1005,0)),"MISSING ID")</x:f>
        <x:v>T0</x:v>
      </x:c>
      <x:c r="G15" s="4" t="str">
        <x:f>IFERROR(INDEX('Items'!$C$6:$C$1005,MATCH(D15,'Items'!$A$6:$A$1005,0)),"MISSING ID")</x:f>
        <x:v>Resources</x:v>
      </x:c>
      <x:c r="H15" s="4" t="str">
        <x:f>IFERROR(INDEX('Items'!$W$6:$W$1005,MATCH(D15,'Items'!$A$6:$A$1005,0)),"MISSING ID")</x:f>
        <x:v>Raw material</x:v>
      </x:c>
      <x:c r="I15" s="4"/>
      <x:c r="J15" s="4" t="str">
        <x:v>Unspecified</x:v>
      </x:c>
      <x:c r="K15" s="4" t="str">
        <x:f>IFERROR(INDEX('Crafting recipes'!$D$6:$D$1005,MATCH(B15,'Crafting recipes'!$A$6:$A$1005,0)),"MISSING ID")</x:f>
        <x:v>Proposal</x:v>
      </x:c>
      <x:c r="L15" s="4" t="str">
        <x:f>IFERROR(INDEX('Items'!$AC$6:$AC$1005,MATCH(D15,'Items'!$A$6:$A$1005,0)),"MISSING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IFERROR(INDEX('Items'!$AF$6:$AF$1005,MATCH(D16,'Items'!$A$6:$A$1005,0)),"MISSING ID")</x:f>
        <x:v>T0</x:v>
      </x:c>
      <x:c r="G16" s="4" t="str">
        <x:f>IFERROR(INDEX('Items'!$C$6:$C$1005,MATCH(D16,'Items'!$A$6:$A$1005,0)),"MISSING ID")</x:f>
        <x:v>Resources</x:v>
      </x:c>
      <x:c r="H16" s="4" t="str">
        <x:f>IFERROR(INDEX('Items'!$W$6:$W$1005,MATCH(D16,'Items'!$A$6:$A$1005,0)),"MISSING ID")</x:f>
        <x:v>Raw material</x:v>
      </x:c>
      <x:c r="I16" s="4"/>
      <x:c r="J16" s="4" t="str">
        <x:v>Unspecified</x:v>
      </x:c>
      <x:c r="K16" s="4" t="str">
        <x:f>IFERROR(INDEX('Crafting recipes'!$D$6:$D$1005,MATCH(B16,'Crafting recipes'!$A$6:$A$1005,0)),"MISSING ID")</x:f>
        <x:v>Proposal</x:v>
      </x:c>
      <x:c r="L16" s="4" t="str">
        <x:f>IFERROR(INDEX('Items'!$AC$6:$AC$1005,MATCH(D16,'Items'!$A$6:$A$1005,0)),"MISSING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IFERROR(INDEX('Items'!$AF$6:$AF$1005,MATCH(D17,'Items'!$A$6:$A$1005,0)),"MISSING ID")</x:f>
        <x:v>T0</x:v>
      </x:c>
      <x:c r="G17" s="4" t="str">
        <x:f>IFERROR(INDEX('Items'!$C$6:$C$1005,MATCH(D17,'Items'!$A$6:$A$1005,0)),"MISSING ID")</x:f>
        <x:v>Resources</x:v>
      </x:c>
      <x:c r="H17" s="4" t="str">
        <x:f>IFERROR(INDEX('Items'!$W$6:$W$1005,MATCH(D17,'Items'!$A$6:$A$1005,0)),"MISSING ID")</x:f>
        <x:v>Raw material</x:v>
      </x:c>
      <x:c r="I17" s="4"/>
      <x:c r="J17" s="4" t="str">
        <x:v>Unspecified</x:v>
      </x:c>
      <x:c r="K17" s="4" t="str">
        <x:f>IFERROR(INDEX('Crafting recipes'!$D$6:$D$1005,MATCH(B17,'Crafting recipes'!$A$6:$A$1005,0)),"MISSING ID")</x:f>
        <x:v>Proposal</x:v>
      </x:c>
      <x:c r="L17" s="4" t="str">
        <x:f>IFERROR(INDEX('Items'!$AC$6:$AC$1005,MATCH(D17,'Items'!$A$6:$A$1005,0)),"MISSING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IFERROR(INDEX('Items'!$AF$6:$AF$1005,MATCH(D18,'Items'!$A$6:$A$1005,0)),"MISSING ID")</x:f>
        <x:v>T0</x:v>
      </x:c>
      <x:c r="G18" s="4" t="str">
        <x:f>IFERROR(INDEX('Items'!$C$6:$C$1005,MATCH(D18,'Items'!$A$6:$A$1005,0)),"MISSING ID")</x:f>
        <x:v>Resources</x:v>
      </x:c>
      <x:c r="H18" s="4" t="str">
        <x:f>IFERROR(INDEX('Items'!$W$6:$W$1005,MATCH(D18,'Items'!$A$6:$A$1005,0)),"MISSING ID")</x:f>
        <x:v>Raw material</x:v>
      </x:c>
      <x:c r="I18" s="4"/>
      <x:c r="J18" s="4" t="str">
        <x:v>Unspecified</x:v>
      </x:c>
      <x:c r="K18" s="4" t="str">
        <x:f>IFERROR(INDEX('Crafting recipes'!$D$6:$D$1005,MATCH(B18,'Crafting recipes'!$A$6:$A$1005,0)),"MISSING ID")</x:f>
        <x:v>Proposal</x:v>
      </x:c>
      <x:c r="L18" s="4" t="str">
        <x:f>IFERROR(INDEX('Items'!$AC$6:$AC$1005,MATCH(D18,'Items'!$A$6:$A$1005,0)),"MISSING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IFERROR(INDEX('Items'!$AF$6:$AF$1005,MATCH(D19,'Items'!$A$6:$A$1005,0)),"MISSING ID")</x:f>
        <x:v>T0</x:v>
      </x:c>
      <x:c r="G19" s="4" t="str">
        <x:f>IFERROR(INDEX('Items'!$C$6:$C$1005,MATCH(D19,'Items'!$A$6:$A$1005,0)),"MISSING ID")</x:f>
        <x:v>Resources</x:v>
      </x:c>
      <x:c r="H19" s="4" t="str">
        <x:f>IFERROR(INDEX('Items'!$W$6:$W$1005,MATCH(D19,'Items'!$A$6:$A$1005,0)),"MISSING ID")</x:f>
        <x:v>Raw material</x:v>
      </x:c>
      <x:c r="I19" s="4"/>
      <x:c r="J19" s="4" t="str">
        <x:v>Unspecified</x:v>
      </x:c>
      <x:c r="K19" s="4" t="str">
        <x:f>IFERROR(INDEX('Crafting recipes'!$D$6:$D$1005,MATCH(B19,'Crafting recipes'!$A$6:$A$1005,0)),"MISSING ID")</x:f>
        <x:v>Proposal</x:v>
      </x:c>
      <x:c r="L19" s="4" t="str">
        <x:f>IFERROR(INDEX('Items'!$AC$6:$AC$1005,MATCH(D19,'Items'!$A$6:$A$1005,0)),"MISSING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IFERROR(INDEX('Items'!$AF$6:$AF$1005,MATCH(D20,'Items'!$A$6:$A$1005,0)),"MISSING ID")</x:f>
        <x:v>T0</x:v>
      </x:c>
      <x:c r="G20" s="4" t="str">
        <x:f>IFERROR(INDEX('Items'!$C$6:$C$1005,MATCH(D20,'Items'!$A$6:$A$1005,0)),"MISSING ID")</x:f>
        <x:v>Resources</x:v>
      </x:c>
      <x:c r="H20" s="4" t="str">
        <x:f>IFERROR(INDEX('Items'!$W$6:$W$1005,MATCH(D20,'Items'!$A$6:$A$1005,0)),"MISSING ID")</x:f>
        <x:v>Chemical material</x:v>
      </x:c>
      <x:c r="I20" s="4"/>
      <x:c r="J20" s="4" t="str">
        <x:v>Unspecified</x:v>
      </x:c>
      <x:c r="K20" s="4" t="str">
        <x:f>IFERROR(INDEX('Crafting recipes'!$D$6:$D$1005,MATCH(B20,'Crafting recipes'!$A$6:$A$1005,0)),"MISSING ID")</x:f>
        <x:v>Proposal</x:v>
      </x:c>
      <x:c r="L20" s="4" t="str">
        <x:f>IFERROR(INDEX('Items'!$AC$6:$AC$1005,MATCH(D20,'Items'!$A$6:$A$1005,0)),"MISSING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IFERROR(INDEX('Items'!$AF$6:$AF$1005,MATCH(D21,'Items'!$A$6:$A$1005,0)),"MISSING ID")</x:f>
        <x:v>T0</x:v>
      </x:c>
      <x:c r="G21" s="4" t="str">
        <x:f>IFERROR(INDEX('Items'!$C$6:$C$1005,MATCH(D21,'Items'!$A$6:$A$1005,0)),"MISSING ID")</x:f>
        <x:v>Resources</x:v>
      </x:c>
      <x:c r="H21" s="4" t="str">
        <x:f>IFERROR(INDEX('Items'!$W$6:$W$1005,MATCH(D21,'Items'!$A$6:$A$1005,0)),"MISSING ID")</x:f>
        <x:v>Chemical material</x:v>
      </x:c>
      <x:c r="I21" s="4"/>
      <x:c r="J21" s="4" t="str">
        <x:v>Unspecified</x:v>
      </x:c>
      <x:c r="K21" s="4" t="str">
        <x:f>IFERROR(INDEX('Crafting recipes'!$D$6:$D$1005,MATCH(B21,'Crafting recipes'!$A$6:$A$1005,0)),"MISSING ID")</x:f>
        <x:v>Proposal</x:v>
      </x:c>
      <x:c r="L21" s="4" t="str">
        <x:f>IFERROR(INDEX('Items'!$AC$6:$AC$1005,MATCH(D21,'Items'!$A$6:$A$1005,0)),"MISSING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IFERROR(INDEX('Items'!$AF$6:$AF$1005,MATCH(D22,'Items'!$A$6:$A$1005,0)),"MISSING ID")</x:f>
        <x:v>T0</x:v>
      </x:c>
      <x:c r="G22" s="4" t="str">
        <x:f>IFERROR(INDEX('Items'!$C$6:$C$1005,MATCH(D22,'Items'!$A$6:$A$1005,0)),"MISSING ID")</x:f>
        <x:v>Resources</x:v>
      </x:c>
      <x:c r="H22" s="4" t="str">
        <x:f>IFERROR(INDEX('Items'!$W$6:$W$1005,MATCH(D22,'Items'!$A$6:$A$1005,0)),"MISSING ID")</x:f>
        <x:v>Raw material</x:v>
      </x:c>
      <x:c r="I22" s="4"/>
      <x:c r="J22" s="4" t="str">
        <x:v>Unspecified</x:v>
      </x:c>
      <x:c r="K22" s="4" t="str">
        <x:f>IFERROR(INDEX('Crafting recipes'!$D$6:$D$1005,MATCH(B22,'Crafting recipes'!$A$6:$A$1005,0)),"MISSING ID")</x:f>
        <x:v>Proposal</x:v>
      </x:c>
      <x:c r="L22" s="4" t="str">
        <x:f>IFERROR(INDEX('Items'!$AC$6:$AC$1005,MATCH(D22,'Items'!$A$6:$A$1005,0)),"MISSING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IFERROR(INDEX('Items'!$AF$6:$AF$1005,MATCH(D23,'Items'!$A$6:$A$1005,0)),"MISSING ID")</x:f>
        <x:v>T0</x:v>
      </x:c>
      <x:c r="G23" s="4" t="str">
        <x:f>IFERROR(INDEX('Items'!$C$6:$C$1005,MATCH(D23,'Items'!$A$6:$A$1005,0)),"MISSING ID")</x:f>
        <x:v>Resources</x:v>
      </x:c>
      <x:c r="H23" s="4" t="str">
        <x:f>IFERROR(INDEX('Items'!$W$6:$W$1005,MATCH(D23,'Items'!$A$6:$A$1005,0)),"MISSING ID")</x:f>
        <x:v>Processed material</x:v>
      </x:c>
      <x:c r="I23" s="4"/>
      <x:c r="J23" s="4" t="str">
        <x:v>Unspecified</x:v>
      </x:c>
      <x:c r="K23" s="4" t="str">
        <x:f>IFERROR(INDEX('Crafting recipes'!$D$6:$D$1005,MATCH(B23,'Crafting recipes'!$A$6:$A$1005,0)),"MISSING ID")</x:f>
        <x:v>Proposal</x:v>
      </x:c>
      <x:c r="L23" s="4" t="str">
        <x:f>IFERROR(INDEX('Items'!$AC$6:$AC$1005,MATCH(D23,'Items'!$A$6:$A$1005,0)),"MISSING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IFERROR(INDEX('Items'!$AF$6:$AF$1005,MATCH(D24,'Items'!$A$6:$A$1005,0)),"MISSING ID")</x:f>
        <x:v>T0</x:v>
      </x:c>
      <x:c r="G24" s="4" t="str">
        <x:f>IFERROR(INDEX('Items'!$C$6:$C$1005,MATCH(D24,'Items'!$A$6:$A$1005,0)),"MISSING ID")</x:f>
        <x:v>Resources</x:v>
      </x:c>
      <x:c r="H24" s="4" t="str">
        <x:f>IFERROR(INDEX('Items'!$W$6:$W$1005,MATCH(D24,'Items'!$A$6:$A$1005,0)),"MISSING ID")</x:f>
        <x:v>Raw material</x:v>
      </x:c>
      <x:c r="I24" s="4"/>
      <x:c r="J24" s="4" t="str">
        <x:v>Unspecified</x:v>
      </x:c>
      <x:c r="K24" s="4" t="str">
        <x:f>IFERROR(INDEX('Crafting recipes'!$D$6:$D$1005,MATCH(B24,'Crafting recipes'!$A$6:$A$1005,0)),"MISSING ID")</x:f>
        <x:v>Proposal</x:v>
      </x:c>
      <x:c r="L24" s="4" t="str">
        <x:f>IFERROR(INDEX('Items'!$AC$6:$AC$1005,MATCH(D24,'Items'!$A$6:$A$1005,0)),"MISSING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IFERROR(INDEX('Items'!$AF$6:$AF$1005,MATCH(D25,'Items'!$A$6:$A$1005,0)),"MISSING ID")</x:f>
        <x:v>T0</x:v>
      </x:c>
      <x:c r="G25" s="4" t="str">
        <x:f>IFERROR(INDEX('Items'!$C$6:$C$1005,MATCH(D25,'Items'!$A$6:$A$1005,0)),"MISSING ID")</x:f>
        <x:v>Resources</x:v>
      </x:c>
      <x:c r="H25" s="4" t="str">
        <x:f>IFERROR(INDEX('Items'!$W$6:$W$1005,MATCH(D25,'Items'!$A$6:$A$1005,0)),"MISSING ID")</x:f>
        <x:v>Raw material</x:v>
      </x:c>
      <x:c r="I25" s="4"/>
      <x:c r="J25" s="4" t="str">
        <x:v>Unspecified</x:v>
      </x:c>
      <x:c r="K25" s="4" t="str">
        <x:f>IFERROR(INDEX('Crafting recipes'!$D$6:$D$1005,MATCH(B25,'Crafting recipes'!$A$6:$A$1005,0)),"MISSING ID")</x:f>
        <x:v>Proposal</x:v>
      </x:c>
      <x:c r="L25" s="4" t="str">
        <x:f>IFERROR(INDEX('Items'!$AC$6:$AC$1005,MATCH(D25,'Items'!$A$6:$A$1005,0)),"MISSING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IFERROR(INDEX('Items'!$AF$6:$AF$1005,MATCH(D26,'Items'!$A$6:$A$1005,0)),"MISSING ID")</x:f>
        <x:v>T0</x:v>
      </x:c>
      <x:c r="G26" s="4" t="str">
        <x:f>IFERROR(INDEX('Items'!$C$6:$C$1005,MATCH(D26,'Items'!$A$6:$A$1005,0)),"MISSING ID")</x:f>
        <x:v>Resources</x:v>
      </x:c>
      <x:c r="H26" s="4" t="str">
        <x:f>IFERROR(INDEX('Items'!$W$6:$W$1005,MATCH(D26,'Items'!$A$6:$A$1005,0)),"MISSING ID")</x:f>
        <x:v>Raw material</x:v>
      </x:c>
      <x:c r="I26" s="4"/>
      <x:c r="J26" s="4" t="str">
        <x:v>Unspecified</x:v>
      </x:c>
      <x:c r="K26" s="4" t="str">
        <x:f>IFERROR(INDEX('Crafting recipes'!$D$6:$D$1005,MATCH(B26,'Crafting recipes'!$A$6:$A$1005,0)),"MISSING ID")</x:f>
        <x:v>Proposal</x:v>
      </x:c>
      <x:c r="L26" s="4" t="str">
        <x:f>IFERROR(INDEX('Items'!$AC$6:$AC$1005,MATCH(D26,'Items'!$A$6:$A$1005,0)),"MISSING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IFERROR(INDEX('Items'!$AF$6:$AF$1005,MATCH(D27,'Items'!$A$6:$A$1005,0)),"MISSING ID")</x:f>
        <x:v>T0</x:v>
      </x:c>
      <x:c r="G27" s="4" t="str">
        <x:f>IFERROR(INDEX('Items'!$C$6:$C$1005,MATCH(D27,'Items'!$A$6:$A$1005,0)),"MISSING ID")</x:f>
        <x:v>Resources</x:v>
      </x:c>
      <x:c r="H27" s="4" t="str">
        <x:f>IFERROR(INDEX('Items'!$W$6:$W$1005,MATCH(D27,'Items'!$A$6:$A$1005,0)),"MISSING ID")</x:f>
        <x:v>Raw material</x:v>
      </x:c>
      <x:c r="I27" s="4"/>
      <x:c r="J27" s="4" t="str">
        <x:v>Unspecified</x:v>
      </x:c>
      <x:c r="K27" s="4" t="str">
        <x:f>IFERROR(INDEX('Crafting recipes'!$D$6:$D$1005,MATCH(B27,'Crafting recipes'!$A$6:$A$1005,0)),"MISSING ID")</x:f>
        <x:v>Proposal</x:v>
      </x:c>
      <x:c r="L27" s="4" t="str">
        <x:f>IFERROR(INDEX('Items'!$AC$6:$AC$1005,MATCH(D27,'Items'!$A$6:$A$1005,0)),"MISSING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IFERROR(INDEX('Items'!$AF$6:$AF$1005,MATCH(D28,'Items'!$A$6:$A$1005,0)),"MISSING ID")</x:f>
        <x:v>T0</x:v>
      </x:c>
      <x:c r="G28" s="4" t="str">
        <x:f>IFERROR(INDEX('Items'!$C$6:$C$1005,MATCH(D28,'Items'!$A$6:$A$1005,0)),"MISSING ID")</x:f>
        <x:v>Resources</x:v>
      </x:c>
      <x:c r="H28" s="4" t="str">
        <x:f>IFERROR(INDEX('Items'!$W$6:$W$1005,MATCH(D28,'Items'!$A$6:$A$1005,0)),"MISSING ID")</x:f>
        <x:v>Raw material</x:v>
      </x:c>
      <x:c r="I28" s="4"/>
      <x:c r="J28" s="4" t="str">
        <x:v>Unspecified</x:v>
      </x:c>
      <x:c r="K28" s="4" t="str">
        <x:f>IFERROR(INDEX('Crafting recipes'!$D$6:$D$1005,MATCH(B28,'Crafting recipes'!$A$6:$A$1005,0)),"MISSING ID")</x:f>
        <x:v>Proposal</x:v>
      </x:c>
      <x:c r="L28" s="4" t="str">
        <x:f>IFERROR(INDEX('Items'!$AC$6:$AC$1005,MATCH(D28,'Items'!$A$6:$A$1005,0)),"MISSING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IFERROR(INDEX('Items'!$AF$6:$AF$1005,MATCH(D29,'Items'!$A$6:$A$1005,0)),"MISSING ID")</x:f>
        <x:v>T0</x:v>
      </x:c>
      <x:c r="G29" s="4" t="str">
        <x:f>IFERROR(INDEX('Items'!$C$6:$C$1005,MATCH(D29,'Items'!$A$6:$A$1005,0)),"MISSING ID")</x:f>
        <x:v>Resources</x:v>
      </x:c>
      <x:c r="H29" s="4" t="str">
        <x:f>IFERROR(INDEX('Items'!$W$6:$W$1005,MATCH(D29,'Items'!$A$6:$A$1005,0)),"MISSING ID")</x:f>
        <x:v>Raw material</x:v>
      </x:c>
      <x:c r="I29" s="4"/>
      <x:c r="J29" s="4" t="str">
        <x:v>Unspecified</x:v>
      </x:c>
      <x:c r="K29" s="4" t="str">
        <x:f>IFERROR(INDEX('Crafting recipes'!$D$6:$D$1005,MATCH(B29,'Crafting recipes'!$A$6:$A$1005,0)),"MISSING ID")</x:f>
        <x:v>Proposal</x:v>
      </x:c>
      <x:c r="L29" s="4" t="str">
        <x:f>IFERROR(INDEX('Items'!$AC$6:$AC$1005,MATCH(D29,'Items'!$A$6:$A$1005,0)),"MISSING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IFERROR(INDEX('Items'!$AF$6:$AF$1005,MATCH(D30,'Items'!$A$6:$A$1005,0)),"MISSING ID")</x:f>
        <x:v>T0</x:v>
      </x:c>
      <x:c r="G30" s="4" t="str">
        <x:f>IFERROR(INDEX('Items'!$C$6:$C$1005,MATCH(D30,'Items'!$A$6:$A$1005,0)),"MISSING ID")</x:f>
        <x:v>Resources</x:v>
      </x:c>
      <x:c r="H30" s="4" t="str">
        <x:f>IFERROR(INDEX('Items'!$W$6:$W$1005,MATCH(D30,'Items'!$A$6:$A$1005,0)),"MISSING ID")</x:f>
        <x:v>Raw material</x:v>
      </x:c>
      <x:c r="I30" s="4"/>
      <x:c r="J30" s="4" t="str">
        <x:v>Unspecified</x:v>
      </x:c>
      <x:c r="K30" s="4" t="str">
        <x:f>IFERROR(INDEX('Crafting recipes'!$D$6:$D$1005,MATCH(B30,'Crafting recipes'!$A$6:$A$1005,0)),"MISSING ID")</x:f>
        <x:v>Proposal</x:v>
      </x:c>
      <x:c r="L30" s="4" t="str">
        <x:f>IFERROR(INDEX('Items'!$AC$6:$AC$1005,MATCH(D30,'Items'!$A$6:$A$1005,0)),"MISSING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IFERROR(INDEX('Items'!$AF$6:$AF$1005,MATCH(D31,'Items'!$A$6:$A$1005,0)),"MISSING ID")</x:f>
        <x:v>T0</x:v>
      </x:c>
      <x:c r="G31" s="4" t="str">
        <x:f>IFERROR(INDEX('Items'!$C$6:$C$1005,MATCH(D31,'Items'!$A$6:$A$1005,0)),"MISSING ID")</x:f>
        <x:v>Resources</x:v>
      </x:c>
      <x:c r="H31" s="4" t="str">
        <x:f>IFERROR(INDEX('Items'!$W$6:$W$1005,MATCH(D31,'Items'!$A$6:$A$1005,0)),"MISSING ID")</x:f>
        <x:v>Raw material</x:v>
      </x:c>
      <x:c r="I31" s="4"/>
      <x:c r="J31" s="4" t="str">
        <x:v>Unspecified</x:v>
      </x:c>
      <x:c r="K31" s="4" t="str">
        <x:f>IFERROR(INDEX('Crafting recipes'!$D$6:$D$1005,MATCH(B31,'Crafting recipes'!$A$6:$A$1005,0)),"MISSING ID")</x:f>
        <x:v>Proposal</x:v>
      </x:c>
      <x:c r="L31" s="4" t="str">
        <x:f>IFERROR(INDEX('Items'!$AC$6:$AC$1005,MATCH(D31,'Items'!$A$6:$A$1005,0)),"MISSING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IFERROR(INDEX('Items'!$AF$6:$AF$1005,MATCH(D32,'Items'!$A$6:$A$1005,0)),"MISSING ID")</x:f>
        <x:v>T0</x:v>
      </x:c>
      <x:c r="G32" s="4" t="str">
        <x:f>IFERROR(INDEX('Items'!$C$6:$C$1005,MATCH(D32,'Items'!$A$6:$A$1005,0)),"MISSING ID")</x:f>
        <x:v>Resources</x:v>
      </x:c>
      <x:c r="H32" s="4" t="str">
        <x:f>IFERROR(INDEX('Items'!$W$6:$W$1005,MATCH(D32,'Items'!$A$6:$A$1005,0)),"MISSING ID")</x:f>
        <x:v>Raw material</x:v>
      </x:c>
      <x:c r="I32" s="4"/>
      <x:c r="J32" s="4" t="str">
        <x:v>Unspecified</x:v>
      </x:c>
      <x:c r="K32" s="4" t="str">
        <x:f>IFERROR(INDEX('Crafting recipes'!$D$6:$D$1005,MATCH(B32,'Crafting recipes'!$A$6:$A$1005,0)),"MISSING ID")</x:f>
        <x:v>Proposal</x:v>
      </x:c>
      <x:c r="L32" s="4" t="str">
        <x:f>IFERROR(INDEX('Items'!$AC$6:$AC$1005,MATCH(D32,'Items'!$A$6:$A$1005,0)),"MISSING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IFERROR(INDEX('Items'!$AF$6:$AF$1005,MATCH(D33,'Items'!$A$6:$A$1005,0)),"MISSING ID")</x:f>
        <x:v>T0</x:v>
      </x:c>
      <x:c r="G33" s="4" t="str">
        <x:f>IFERROR(INDEX('Items'!$C$6:$C$1005,MATCH(D33,'Items'!$A$6:$A$1005,0)),"MISSING ID")</x:f>
        <x:v>Resources</x:v>
      </x:c>
      <x:c r="H33" s="4" t="str">
        <x:f>IFERROR(INDEX('Items'!$W$6:$W$1005,MATCH(D33,'Items'!$A$6:$A$1005,0)),"MISSING ID")</x:f>
        <x:v>Raw material</x:v>
      </x:c>
      <x:c r="I33" s="4"/>
      <x:c r="J33" s="4" t="str">
        <x:v>Unspecified</x:v>
      </x:c>
      <x:c r="K33" s="4" t="str">
        <x:f>IFERROR(INDEX('Crafting recipes'!$D$6:$D$1005,MATCH(B33,'Crafting recipes'!$A$6:$A$1005,0)),"MISSING ID")</x:f>
        <x:v>Proposal</x:v>
      </x:c>
      <x:c r="L33" s="4" t="str">
        <x:f>IFERROR(INDEX('Items'!$AC$6:$AC$1005,MATCH(D33,'Items'!$A$6:$A$1005,0)),"MISSING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IFERROR(INDEX('Items'!$AF$6:$AF$1005,MATCH(D34,'Items'!$A$6:$A$1005,0)),"MISSING ID")</x:f>
        <x:v>T0</x:v>
      </x:c>
      <x:c r="G34" s="4" t="str">
        <x:f>IFERROR(INDEX('Items'!$C$6:$C$1005,MATCH(D34,'Items'!$A$6:$A$1005,0)),"MISSING ID")</x:f>
        <x:v>Resources</x:v>
      </x:c>
      <x:c r="H34" s="4" t="str">
        <x:f>IFERROR(INDEX('Items'!$W$6:$W$1005,MATCH(D34,'Items'!$A$6:$A$1005,0)),"MISSING ID")</x:f>
        <x:v>Raw material</x:v>
      </x:c>
      <x:c r="I34" s="4"/>
      <x:c r="J34" s="4" t="str">
        <x:v>Unspecified</x:v>
      </x:c>
      <x:c r="K34" s="4" t="str">
        <x:f>IFERROR(INDEX('Crafting recipes'!$D$6:$D$1005,MATCH(B34,'Crafting recipes'!$A$6:$A$1005,0)),"MISSING ID")</x:f>
        <x:v>Proposal</x:v>
      </x:c>
      <x:c r="L34" s="4" t="str">
        <x:f>IFERROR(INDEX('Items'!$AC$6:$AC$1005,MATCH(D34,'Items'!$A$6:$A$1005,0)),"MISSING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IFERROR(INDEX('Items'!$AF$6:$AF$1005,MATCH(D35,'Items'!$A$6:$A$1005,0)),"MISSING ID")</x:f>
        <x:v>T0</x:v>
      </x:c>
      <x:c r="G35" s="4" t="str">
        <x:f>IFERROR(INDEX('Items'!$C$6:$C$1005,MATCH(D35,'Items'!$A$6:$A$1005,0)),"MISSING ID")</x:f>
        <x:v>Resources</x:v>
      </x:c>
      <x:c r="H35" s="4" t="str">
        <x:f>IFERROR(INDEX('Items'!$W$6:$W$1005,MATCH(D35,'Items'!$A$6:$A$1005,0)),"MISSING ID")</x:f>
        <x:v>Raw material</x:v>
      </x:c>
      <x:c r="I35" s="4"/>
      <x:c r="J35" s="4" t="str">
        <x:v>Unspecified</x:v>
      </x:c>
      <x:c r="K35" s="4" t="str">
        <x:f>IFERROR(INDEX('Crafting recipes'!$D$6:$D$1005,MATCH(B35,'Crafting recipes'!$A$6:$A$1005,0)),"MISSING ID")</x:f>
        <x:v>Proposal</x:v>
      </x:c>
      <x:c r="L35" s="4" t="str">
        <x:f>IFERROR(INDEX('Items'!$AC$6:$AC$1005,MATCH(D35,'Items'!$A$6:$A$1005,0)),"MISSING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IFERROR(INDEX('Items'!$AF$6:$AF$1005,MATCH(D36,'Items'!$A$6:$A$1005,0)),"MISSING ID")</x:f>
        <x:v>T0</x:v>
      </x:c>
      <x:c r="G36" s="4" t="str">
        <x:f>IFERROR(INDEX('Items'!$C$6:$C$1005,MATCH(D36,'Items'!$A$6:$A$1005,0)),"MISSING ID")</x:f>
        <x:v>Resources</x:v>
      </x:c>
      <x:c r="H36" s="4" t="str">
        <x:f>IFERROR(INDEX('Items'!$W$6:$W$1005,MATCH(D36,'Items'!$A$6:$A$1005,0)),"MISSING ID")</x:f>
        <x:v>Raw material</x:v>
      </x:c>
      <x:c r="I36" s="4"/>
      <x:c r="J36" s="4" t="str">
        <x:v>Unspecified</x:v>
      </x:c>
      <x:c r="K36" s="4" t="str">
        <x:f>IFERROR(INDEX('Crafting recipes'!$D$6:$D$1005,MATCH(B36,'Crafting recipes'!$A$6:$A$1005,0)),"MISSING ID")</x:f>
        <x:v>Proposal</x:v>
      </x:c>
      <x:c r="L36" s="4" t="str">
        <x:f>IFERROR(INDEX('Items'!$AC$6:$AC$1005,MATCH(D36,'Items'!$A$6:$A$1005,0)),"MISSING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IFERROR(INDEX('Items'!$AF$6:$AF$1005,MATCH(D37,'Items'!$A$6:$A$1005,0)),"MISSING ID")</x:f>
        <x:v>T0</x:v>
      </x:c>
      <x:c r="G37" s="4" t="str">
        <x:f>IFERROR(INDEX('Items'!$C$6:$C$1005,MATCH(D37,'Items'!$A$6:$A$1005,0)),"MISSING ID")</x:f>
        <x:v>Resources</x:v>
      </x:c>
      <x:c r="H37" s="4" t="str">
        <x:f>IFERROR(INDEX('Items'!$W$6:$W$1005,MATCH(D37,'Items'!$A$6:$A$1005,0)),"MISSING ID")</x:f>
        <x:v>Raw material</x:v>
      </x:c>
      <x:c r="I37" s="4"/>
      <x:c r="J37" s="4" t="str">
        <x:v>Unspecified</x:v>
      </x:c>
      <x:c r="K37" s="4" t="str">
        <x:f>IFERROR(INDEX('Crafting recipes'!$D$6:$D$1005,MATCH(B37,'Crafting recipes'!$A$6:$A$1005,0)),"MISSING ID")</x:f>
        <x:v>Proposal</x:v>
      </x:c>
      <x:c r="L37" s="4" t="str">
        <x:f>IFERROR(INDEX('Items'!$AC$6:$AC$1005,MATCH(D37,'Items'!$A$6:$A$1005,0)),"MISSING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IFERROR(INDEX('Items'!$AF$6:$AF$1005,MATCH(D38,'Items'!$A$6:$A$1005,0)),"MISSING ID")</x:f>
        <x:v>T0</x:v>
      </x:c>
      <x:c r="G38" s="4" t="str">
        <x:f>IFERROR(INDEX('Items'!$C$6:$C$1005,MATCH(D38,'Items'!$A$6:$A$1005,0)),"MISSING ID")</x:f>
        <x:v>Resources</x:v>
      </x:c>
      <x:c r="H38" s="4" t="str">
        <x:f>IFERROR(INDEX('Items'!$W$6:$W$1005,MATCH(D38,'Items'!$A$6:$A$1005,0)),"MISSING ID")</x:f>
        <x:v>Raw material</x:v>
      </x:c>
      <x:c r="I38" s="4"/>
      <x:c r="J38" s="4" t="str">
        <x:v>Unspecified</x:v>
      </x:c>
      <x:c r="K38" s="4" t="str">
        <x:f>IFERROR(INDEX('Crafting recipes'!$D$6:$D$1005,MATCH(B38,'Crafting recipes'!$A$6:$A$1005,0)),"MISSING ID")</x:f>
        <x:v>Proposal</x:v>
      </x:c>
      <x:c r="L38" s="4" t="str">
        <x:f>IFERROR(INDEX('Items'!$AC$6:$AC$1005,MATCH(D38,'Items'!$A$6:$A$1005,0)),"MISSING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IFERROR(INDEX('Items'!$AF$6:$AF$1005,MATCH(D39,'Items'!$A$6:$A$1005,0)),"MISSING ID")</x:f>
        <x:v>T0</x:v>
      </x:c>
      <x:c r="G39" s="4" t="str">
        <x:f>IFERROR(INDEX('Items'!$C$6:$C$1005,MATCH(D39,'Items'!$A$6:$A$1005,0)),"MISSING ID")</x:f>
        <x:v>Resources</x:v>
      </x:c>
      <x:c r="H39" s="4" t="str">
        <x:f>IFERROR(INDEX('Items'!$W$6:$W$1005,MATCH(D39,'Items'!$A$6:$A$1005,0)),"MISSING ID")</x:f>
        <x:v>Chemical material</x:v>
      </x:c>
      <x:c r="I39" s="4"/>
      <x:c r="J39" s="4" t="str">
        <x:v>Unspecified</x:v>
      </x:c>
      <x:c r="K39" s="4" t="str">
        <x:f>IFERROR(INDEX('Crafting recipes'!$D$6:$D$1005,MATCH(B39,'Crafting recipes'!$A$6:$A$1005,0)),"MISSING ID")</x:f>
        <x:v>Proposal</x:v>
      </x:c>
      <x:c r="L39" s="4" t="str">
        <x:f>IFERROR(INDEX('Items'!$AC$6:$AC$1005,MATCH(D39,'Items'!$A$6:$A$1005,0)),"MISSING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IFERROR(INDEX('Items'!$AF$6:$AF$1005,MATCH(D40,'Items'!$A$6:$A$1005,0)),"MISSING ID")</x:f>
        <x:v>T0</x:v>
      </x:c>
      <x:c r="G40" s="4" t="str">
        <x:f>IFERROR(INDEX('Items'!$C$6:$C$1005,MATCH(D40,'Items'!$A$6:$A$1005,0)),"MISSING ID")</x:f>
        <x:v>Resources</x:v>
      </x:c>
      <x:c r="H40" s="4" t="str">
        <x:f>IFERROR(INDEX('Items'!$W$6:$W$1005,MATCH(D40,'Items'!$A$6:$A$1005,0)),"MISSING ID")</x:f>
        <x:v>Chemical material</x:v>
      </x:c>
      <x:c r="I40" s="4"/>
      <x:c r="J40" s="4" t="str">
        <x:v>Unspecified</x:v>
      </x:c>
      <x:c r="K40" s="4" t="str">
        <x:f>IFERROR(INDEX('Crafting recipes'!$D$6:$D$1005,MATCH(B40,'Crafting recipes'!$A$6:$A$1005,0)),"MISSING ID")</x:f>
        <x:v>Proposal</x:v>
      </x:c>
      <x:c r="L40" s="4" t="str">
        <x:f>IFERROR(INDEX('Items'!$AC$6:$AC$1005,MATCH(D40,'Items'!$A$6:$A$1005,0)),"MISSING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IFERROR(INDEX('Items'!$AF$6:$AF$1005,MATCH(D41,'Items'!$A$6:$A$1005,0)),"MISSING ID")</x:f>
        <x:v>T0</x:v>
      </x:c>
      <x:c r="G41" s="4" t="str">
        <x:f>IFERROR(INDEX('Items'!$C$6:$C$1005,MATCH(D41,'Items'!$A$6:$A$1005,0)),"MISSING ID")</x:f>
        <x:v>Resources</x:v>
      </x:c>
      <x:c r="H41" s="4" t="str">
        <x:f>IFERROR(INDEX('Items'!$W$6:$W$1005,MATCH(D41,'Items'!$A$6:$A$1005,0)),"MISSING ID")</x:f>
        <x:v>Chemical material</x:v>
      </x:c>
      <x:c r="I41" s="4"/>
      <x:c r="J41" s="4" t="str">
        <x:v>Unspecified</x:v>
      </x:c>
      <x:c r="K41" s="4" t="str">
        <x:f>IFERROR(INDEX('Crafting recipes'!$D$6:$D$1005,MATCH(B41,'Crafting recipes'!$A$6:$A$1005,0)),"MISSING ID")</x:f>
        <x:v>Proposal</x:v>
      </x:c>
      <x:c r="L41" s="4" t="str">
        <x:f>IFERROR(INDEX('Items'!$AC$6:$AC$1005,MATCH(D41,'Items'!$A$6:$A$1005,0)),"MISSING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IFERROR(INDEX('Items'!$AF$6:$AF$1005,MATCH(D42,'Items'!$A$6:$A$1005,0)),"MISSING ID")</x:f>
        <x:v>T0</x:v>
      </x:c>
      <x:c r="G42" s="4" t="str">
        <x:f>IFERROR(INDEX('Items'!$C$6:$C$1005,MATCH(D42,'Items'!$A$6:$A$1005,0)),"MISSING ID")</x:f>
        <x:v>Resources</x:v>
      </x:c>
      <x:c r="H42" s="4" t="str">
        <x:f>IFERROR(INDEX('Items'!$W$6:$W$1005,MATCH(D42,'Items'!$A$6:$A$1005,0)),"MISSING ID")</x:f>
        <x:v>Gem material</x:v>
      </x:c>
      <x:c r="I42" s="4"/>
      <x:c r="J42" s="4" t="str">
        <x:v>Unspecified</x:v>
      </x:c>
      <x:c r="K42" s="4" t="str">
        <x:f>IFERROR(INDEX('Crafting recipes'!$D$6:$D$1005,MATCH(B42,'Crafting recipes'!$A$6:$A$1005,0)),"MISSING ID")</x:f>
        <x:v>Proposal</x:v>
      </x:c>
      <x:c r="L42" s="4" t="str">
        <x:f>IFERROR(INDEX('Items'!$AC$6:$AC$1005,MATCH(D42,'Items'!$A$6:$A$1005,0)),"MISSING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IFERROR(INDEX('Items'!$AF$6:$AF$1005,MATCH(D43,'Items'!$A$6:$A$1005,0)),"MISSING ID")</x:f>
        <x:v>T0</x:v>
      </x:c>
      <x:c r="G43" s="4" t="str">
        <x:f>IFERROR(INDEX('Items'!$C$6:$C$1005,MATCH(D43,'Items'!$A$6:$A$1005,0)),"MISSING ID")</x:f>
        <x:v>Resources</x:v>
      </x:c>
      <x:c r="H43" s="4" t="str">
        <x:f>IFERROR(INDEX('Items'!$W$6:$W$1005,MATCH(D43,'Items'!$A$6:$A$1005,0)),"MISSING ID")</x:f>
        <x:v>Gem material</x:v>
      </x:c>
      <x:c r="I43" s="4"/>
      <x:c r="J43" s="4" t="str">
        <x:v>Unspecified</x:v>
      </x:c>
      <x:c r="K43" s="4" t="str">
        <x:f>IFERROR(INDEX('Crafting recipes'!$D$6:$D$1005,MATCH(B43,'Crafting recipes'!$A$6:$A$1005,0)),"MISSING ID")</x:f>
        <x:v>Proposal</x:v>
      </x:c>
      <x:c r="L43" s="4" t="str">
        <x:f>IFERROR(INDEX('Items'!$AC$6:$AC$1005,MATCH(D43,'Items'!$A$6:$A$1005,0)),"MISSING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IFERROR(INDEX('Items'!$AF$6:$AF$1005,MATCH(D44,'Items'!$A$6:$A$1005,0)),"MISSING ID")</x:f>
        <x:v>T0</x:v>
      </x:c>
      <x:c r="G44" s="4" t="str">
        <x:f>IFERROR(INDEX('Items'!$C$6:$C$1005,MATCH(D44,'Items'!$A$6:$A$1005,0)),"MISSING ID")</x:f>
        <x:v>Resources</x:v>
      </x:c>
      <x:c r="H44" s="4" t="str">
        <x:f>IFERROR(INDEX('Items'!$W$6:$W$1005,MATCH(D44,'Items'!$A$6:$A$1005,0)),"MISSING ID")</x:f>
        <x:v>Raw material</x:v>
      </x:c>
      <x:c r="I44" s="4"/>
      <x:c r="J44" s="4" t="str">
        <x:v>Unspecified</x:v>
      </x:c>
      <x:c r="K44" s="4" t="str">
        <x:f>IFERROR(INDEX('Crafting recipes'!$D$6:$D$1005,MATCH(B44,'Crafting recipes'!$A$6:$A$1005,0)),"MISSING ID")</x:f>
        <x:v>Proposal</x:v>
      </x:c>
      <x:c r="L44" s="4" t="str">
        <x:f>IFERROR(INDEX('Items'!$AC$6:$AC$1005,MATCH(D44,'Items'!$A$6:$A$1005,0)),"MISSING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IFERROR(INDEX('Items'!$AF$6:$AF$1005,MATCH(D45,'Items'!$A$6:$A$1005,0)),"MISSING ID")</x:f>
        <x:v>T0</x:v>
      </x:c>
      <x:c r="G45" s="4" t="str">
        <x:f>IFERROR(INDEX('Items'!$C$6:$C$1005,MATCH(D45,'Items'!$A$6:$A$1005,0)),"MISSING ID")</x:f>
        <x:v>Resources</x:v>
      </x:c>
      <x:c r="H45" s="4" t="str">
        <x:f>IFERROR(INDEX('Items'!$W$6:$W$1005,MATCH(D45,'Items'!$A$6:$A$1005,0)),"MISSING ID")</x:f>
        <x:v>Raw material</x:v>
      </x:c>
      <x:c r="I45" s="4"/>
      <x:c r="J45" s="4" t="str">
        <x:v>Unspecified</x:v>
      </x:c>
      <x:c r="K45" s="4" t="str">
        <x:f>IFERROR(INDEX('Crafting recipes'!$D$6:$D$1005,MATCH(B45,'Crafting recipes'!$A$6:$A$1005,0)),"MISSING ID")</x:f>
        <x:v>Proposal</x:v>
      </x:c>
      <x:c r="L45" s="4" t="str">
        <x:f>IFERROR(INDEX('Items'!$AC$6:$AC$1005,MATCH(D45,'Items'!$A$6:$A$1005,0)),"MISSING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IFERROR(INDEX('Items'!$AF$6:$AF$1005,MATCH(D46,'Items'!$A$6:$A$1005,0)),"MISSING ID")</x:f>
        <x:v>T1</x:v>
      </x:c>
      <x:c r="G46" s="4" t="str">
        <x:f>IFERROR(INDEX('Items'!$C$6:$C$1005,MATCH(D46,'Items'!$A$6:$A$1005,0)),"MISSING ID")</x:f>
        <x:v>Resources</x:v>
      </x:c>
      <x:c r="H46" s="4" t="str">
        <x:f>IFERROR(INDEX('Items'!$W$6:$W$1005,MATCH(D46,'Items'!$A$6:$A$1005,0)),"MISSING ID")</x:f>
        <x:v>Processed material</x:v>
      </x:c>
      <x:c r="I46" s="4"/>
      <x:c r="J46" s="4" t="str">
        <x:v>Unspecified</x:v>
      </x:c>
      <x:c r="K46" s="4" t="str">
        <x:f>IFERROR(INDEX('Crafting recipes'!$D$6:$D$1005,MATCH(B46,'Crafting recipes'!$A$6:$A$1005,0)),"MISSING ID")</x:f>
        <x:v>Proposal</x:v>
      </x:c>
      <x:c r="L46" s="4" t="str">
        <x:f>IFERROR(INDEX('Items'!$AC$6:$AC$1005,MATCH(D46,'Items'!$A$6:$A$1005,0)),"MISSING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IFERROR(INDEX('Items'!$AF$6:$AF$1005,MATCH(D47,'Items'!$A$6:$A$1005,0)),"MISSING ID")</x:f>
        <x:v>T1</x:v>
      </x:c>
      <x:c r="G47" s="4" t="str">
        <x:f>IFERROR(INDEX('Items'!$C$6:$C$1005,MATCH(D47,'Items'!$A$6:$A$1005,0)),"MISSING ID")</x:f>
        <x:v>Resources</x:v>
      </x:c>
      <x:c r="H47" s="4" t="str">
        <x:f>IFERROR(INDEX('Items'!$W$6:$W$1005,MATCH(D47,'Items'!$A$6:$A$1005,0)),"MISSING ID")</x:f>
        <x:v>Processed material</x:v>
      </x:c>
      <x:c r="I47" s="4"/>
      <x:c r="J47" s="4" t="str">
        <x:v>Unspecified</x:v>
      </x:c>
      <x:c r="K47" s="4" t="str">
        <x:f>IFERROR(INDEX('Crafting recipes'!$D$6:$D$1005,MATCH(B47,'Crafting recipes'!$A$6:$A$1005,0)),"MISSING ID")</x:f>
        <x:v>Proposal</x:v>
      </x:c>
      <x:c r="L47" s="4" t="str">
        <x:f>IFERROR(INDEX('Items'!$AC$6:$AC$1005,MATCH(D47,'Items'!$A$6:$A$1005,0)),"MISSING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IFERROR(INDEX('Items'!$AF$6:$AF$1005,MATCH(D48,'Items'!$A$6:$A$1005,0)),"MISSING ID")</x:f>
        <x:v>T1</x:v>
      </x:c>
      <x:c r="G48" s="4" t="str">
        <x:f>IFERROR(INDEX('Items'!$C$6:$C$1005,MATCH(D48,'Items'!$A$6:$A$1005,0)),"MISSING ID")</x:f>
        <x:v>Resources</x:v>
      </x:c>
      <x:c r="H48" s="4" t="str">
        <x:f>IFERROR(INDEX('Items'!$W$6:$W$1005,MATCH(D48,'Items'!$A$6:$A$1005,0)),"MISSING ID")</x:f>
        <x:v>Processed material</x:v>
      </x:c>
      <x:c r="I48" s="4"/>
      <x:c r="J48" s="4" t="str">
        <x:v>Unspecified</x:v>
      </x:c>
      <x:c r="K48" s="4" t="str">
        <x:f>IFERROR(INDEX('Crafting recipes'!$D$6:$D$1005,MATCH(B48,'Crafting recipes'!$A$6:$A$1005,0)),"MISSING ID")</x:f>
        <x:v>Proposal</x:v>
      </x:c>
      <x:c r="L48" s="4" t="str">
        <x:f>IFERROR(INDEX('Items'!$AC$6:$AC$1005,MATCH(D48,'Items'!$A$6:$A$1005,0)),"MISSING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IFERROR(INDEX('Items'!$AF$6:$AF$1005,MATCH(D49,'Items'!$A$6:$A$1005,0)),"MISSING ID")</x:f>
        <x:v>T1</x:v>
      </x:c>
      <x:c r="G49" s="4" t="str">
        <x:f>IFERROR(INDEX('Items'!$C$6:$C$1005,MATCH(D49,'Items'!$A$6:$A$1005,0)),"MISSING ID")</x:f>
        <x:v>Resources</x:v>
      </x:c>
      <x:c r="H49" s="4" t="str">
        <x:f>IFERROR(INDEX('Items'!$W$6:$W$1005,MATCH(D49,'Items'!$A$6:$A$1005,0)),"MISSING ID")</x:f>
        <x:v>Chemical material</x:v>
      </x:c>
      <x:c r="I49" s="4"/>
      <x:c r="J49" s="4" t="str">
        <x:v>Unspecified</x:v>
      </x:c>
      <x:c r="K49" s="4" t="str">
        <x:f>IFERROR(INDEX('Crafting recipes'!$D$6:$D$1005,MATCH(B49,'Crafting recipes'!$A$6:$A$1005,0)),"MISSING ID")</x:f>
        <x:v>Proposal</x:v>
      </x:c>
      <x:c r="L49" s="4" t="str">
        <x:f>IFERROR(INDEX('Items'!$AC$6:$AC$1005,MATCH(D49,'Items'!$A$6:$A$1005,0)),"MISSING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IFERROR(INDEX('Items'!$AF$6:$AF$1005,MATCH(D50,'Items'!$A$6:$A$1005,0)),"MISSING ID")</x:f>
        <x:v>T1</x:v>
      </x:c>
      <x:c r="G50" s="4" t="str">
        <x:f>IFERROR(INDEX('Items'!$C$6:$C$1005,MATCH(D50,'Items'!$A$6:$A$1005,0)),"MISSING ID")</x:f>
        <x:v>Resources</x:v>
      </x:c>
      <x:c r="H50" s="4" t="str">
        <x:f>IFERROR(INDEX('Items'!$W$6:$W$1005,MATCH(D50,'Items'!$A$6:$A$1005,0)),"MISSING ID")</x:f>
        <x:v>Chemical material</x:v>
      </x:c>
      <x:c r="I50" s="4"/>
      <x:c r="J50" s="4" t="str">
        <x:v>Unspecified</x:v>
      </x:c>
      <x:c r="K50" s="4" t="str">
        <x:f>IFERROR(INDEX('Crafting recipes'!$D$6:$D$1005,MATCH(B50,'Crafting recipes'!$A$6:$A$1005,0)),"MISSING ID")</x:f>
        <x:v>Proposal</x:v>
      </x:c>
      <x:c r="L50" s="4" t="str">
        <x:f>IFERROR(INDEX('Items'!$AC$6:$AC$1005,MATCH(D50,'Items'!$A$6:$A$1005,0)),"MISSING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IFERROR(INDEX('Items'!$AF$6:$AF$1005,MATCH(D51,'Items'!$A$6:$A$1005,0)),"MISSING ID")</x:f>
        <x:v>T1</x:v>
      </x:c>
      <x:c r="G51" s="4" t="str">
        <x:f>IFERROR(INDEX('Items'!$C$6:$C$1005,MATCH(D51,'Items'!$A$6:$A$1005,0)),"MISSING ID")</x:f>
        <x:v>Resources</x:v>
      </x:c>
      <x:c r="H51" s="4" t="str">
        <x:f>IFERROR(INDEX('Items'!$W$6:$W$1005,MATCH(D51,'Items'!$A$6:$A$1005,0)),"MISSING ID")</x:f>
        <x:v>Chemical material</x:v>
      </x:c>
      <x:c r="I51" s="4"/>
      <x:c r="J51" s="4" t="str">
        <x:v>Unspecified</x:v>
      </x:c>
      <x:c r="K51" s="4" t="str">
        <x:f>IFERROR(INDEX('Crafting recipes'!$D$6:$D$1005,MATCH(B51,'Crafting recipes'!$A$6:$A$1005,0)),"MISSING ID")</x:f>
        <x:v>Proposal</x:v>
      </x:c>
      <x:c r="L51" s="4" t="str">
        <x:f>IFERROR(INDEX('Items'!$AC$6:$AC$1005,MATCH(D51,'Items'!$A$6:$A$1005,0)),"MISSING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IFERROR(INDEX('Items'!$AF$6:$AF$1005,MATCH(D52,'Items'!$A$6:$A$1005,0)),"MISSING ID")</x:f>
        <x:v>T1</x:v>
      </x:c>
      <x:c r="G52" s="4" t="str">
        <x:f>IFERROR(INDEX('Items'!$C$6:$C$1005,MATCH(D52,'Items'!$A$6:$A$1005,0)),"MISSING ID")</x:f>
        <x:v>Resources</x:v>
      </x:c>
      <x:c r="H52" s="4" t="str">
        <x:f>IFERROR(INDEX('Items'!$W$6:$W$1005,MATCH(D52,'Items'!$A$6:$A$1005,0)),"MISSING ID")</x:f>
        <x:v>Processed material</x:v>
      </x:c>
      <x:c r="I52" s="4"/>
      <x:c r="J52" s="4" t="str">
        <x:v>Unspecified</x:v>
      </x:c>
      <x:c r="K52" s="4" t="str">
        <x:f>IFERROR(INDEX('Crafting recipes'!$D$6:$D$1005,MATCH(B52,'Crafting recipes'!$A$6:$A$1005,0)),"MISSING ID")</x:f>
        <x:v>Proposal</x:v>
      </x:c>
      <x:c r="L52" s="4" t="str">
        <x:f>IFERROR(INDEX('Items'!$AC$6:$AC$1005,MATCH(D52,'Items'!$A$6:$A$1005,0)),"MISSING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IFERROR(INDEX('Items'!$AF$6:$AF$1005,MATCH(D53,'Items'!$A$6:$A$1005,0)),"MISSING ID")</x:f>
        <x:v>T1</x:v>
      </x:c>
      <x:c r="G53" s="4" t="str">
        <x:f>IFERROR(INDEX('Items'!$C$6:$C$1005,MATCH(D53,'Items'!$A$6:$A$1005,0)),"MISSING ID")</x:f>
        <x:v>Resources</x:v>
      </x:c>
      <x:c r="H53" s="4" t="str">
        <x:f>IFERROR(INDEX('Items'!$W$6:$W$1005,MATCH(D53,'Items'!$A$6:$A$1005,0)),"MISSING ID")</x:f>
        <x:v>Processed material</x:v>
      </x:c>
      <x:c r="I53" s="4"/>
      <x:c r="J53" s="4" t="str">
        <x:v>Unspecified</x:v>
      </x:c>
      <x:c r="K53" s="4" t="str">
        <x:f>IFERROR(INDEX('Crafting recipes'!$D$6:$D$1005,MATCH(B53,'Crafting recipes'!$A$6:$A$1005,0)),"MISSING ID")</x:f>
        <x:v>Proposal</x:v>
      </x:c>
      <x:c r="L53" s="4" t="str">
        <x:f>IFERROR(INDEX('Items'!$AC$6:$AC$1005,MATCH(D53,'Items'!$A$6:$A$1005,0)),"MISSING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IFERROR(INDEX('Items'!$AF$6:$AF$1005,MATCH(D54,'Items'!$A$6:$A$1005,0)),"MISSING ID")</x:f>
        <x:v>T1</x:v>
      </x:c>
      <x:c r="G54" s="4" t="str">
        <x:f>IFERROR(INDEX('Items'!$C$6:$C$1005,MATCH(D54,'Items'!$A$6:$A$1005,0)),"MISSING ID")</x:f>
        <x:v>Resources</x:v>
      </x:c>
      <x:c r="H54" s="4" t="str">
        <x:f>IFERROR(INDEX('Items'!$W$6:$W$1005,MATCH(D54,'Items'!$A$6:$A$1005,0)),"MISSING ID")</x:f>
        <x:v>Processed material</x:v>
      </x:c>
      <x:c r="I54" s="4"/>
      <x:c r="J54" s="4" t="str">
        <x:v>Unspecified</x:v>
      </x:c>
      <x:c r="K54" s="4" t="str">
        <x:f>IFERROR(INDEX('Crafting recipes'!$D$6:$D$1005,MATCH(B54,'Crafting recipes'!$A$6:$A$1005,0)),"MISSING ID")</x:f>
        <x:v>Proposal</x:v>
      </x:c>
      <x:c r="L54" s="4" t="str">
        <x:f>IFERROR(INDEX('Items'!$AC$6:$AC$1005,MATCH(D54,'Items'!$A$6:$A$1005,0)),"MISSING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IFERROR(INDEX('Items'!$AF$6:$AF$1005,MATCH(D55,'Items'!$A$6:$A$1005,0)),"MISSING ID")</x:f>
        <x:v>T1</x:v>
      </x:c>
      <x:c r="G55" s="4" t="str">
        <x:f>IFERROR(INDEX('Items'!$C$6:$C$1005,MATCH(D55,'Items'!$A$6:$A$1005,0)),"MISSING ID")</x:f>
        <x:v>Resources</x:v>
      </x:c>
      <x:c r="H55" s="4" t="str">
        <x:f>IFERROR(INDEX('Items'!$W$6:$W$1005,MATCH(D55,'Items'!$A$6:$A$1005,0)),"MISSING ID")</x:f>
        <x:v>Processed material</x:v>
      </x:c>
      <x:c r="I55" s="4"/>
      <x:c r="J55" s="4" t="str">
        <x:v>Unspecified</x:v>
      </x:c>
      <x:c r="K55" s="4" t="str">
        <x:f>IFERROR(INDEX('Crafting recipes'!$D$6:$D$1005,MATCH(B55,'Crafting recipes'!$A$6:$A$1005,0)),"MISSING ID")</x:f>
        <x:v>Proposal</x:v>
      </x:c>
      <x:c r="L55" s="4" t="str">
        <x:f>IFERROR(INDEX('Items'!$AC$6:$AC$1005,MATCH(D55,'Items'!$A$6:$A$1005,0)),"MISSING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IFERROR(INDEX('Items'!$AF$6:$AF$1005,MATCH(D56,'Items'!$A$6:$A$1005,0)),"MISSING ID")</x:f>
        <x:v>T1</x:v>
      </x:c>
      <x:c r="G56" s="4" t="str">
        <x:f>IFERROR(INDEX('Items'!$C$6:$C$1005,MATCH(D56,'Items'!$A$6:$A$1005,0)),"MISSING ID")</x:f>
        <x:v>Resources</x:v>
      </x:c>
      <x:c r="H56" s="4" t="str">
        <x:f>IFERROR(INDEX('Items'!$W$6:$W$1005,MATCH(D56,'Items'!$A$6:$A$1005,0)),"MISSING ID")</x:f>
        <x:v>Processed material</x:v>
      </x:c>
      <x:c r="I56" s="4"/>
      <x:c r="J56" s="4" t="str">
        <x:v>Unspecified</x:v>
      </x:c>
      <x:c r="K56" s="4" t="str">
        <x:f>IFERROR(INDEX('Crafting recipes'!$D$6:$D$1005,MATCH(B56,'Crafting recipes'!$A$6:$A$1005,0)),"MISSING ID")</x:f>
        <x:v>Proposal</x:v>
      </x:c>
      <x:c r="L56" s="4" t="str">
        <x:f>IFERROR(INDEX('Items'!$AC$6:$AC$1005,MATCH(D56,'Items'!$A$6:$A$1005,0)),"MISSING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IFERROR(INDEX('Items'!$AF$6:$AF$1005,MATCH(D57,'Items'!$A$6:$A$1005,0)),"MISSING ID")</x:f>
        <x:v>T1</x:v>
      </x:c>
      <x:c r="G57" s="4" t="str">
        <x:f>IFERROR(INDEX('Items'!$C$6:$C$1005,MATCH(D57,'Items'!$A$6:$A$1005,0)),"MISSING ID")</x:f>
        <x:v>Resources</x:v>
      </x:c>
      <x:c r="H57" s="4" t="str">
        <x:f>IFERROR(INDEX('Items'!$W$6:$W$1005,MATCH(D57,'Items'!$A$6:$A$1005,0)),"MISSING ID")</x:f>
        <x:v>Processed material</x:v>
      </x:c>
      <x:c r="I57" s="4"/>
      <x:c r="J57" s="4" t="str">
        <x:v>Unspecified</x:v>
      </x:c>
      <x:c r="K57" s="4" t="str">
        <x:f>IFERROR(INDEX('Crafting recipes'!$D$6:$D$1005,MATCH(B57,'Crafting recipes'!$A$6:$A$1005,0)),"MISSING ID")</x:f>
        <x:v>Proposal</x:v>
      </x:c>
      <x:c r="L57" s="4" t="str">
        <x:f>IFERROR(INDEX('Items'!$AC$6:$AC$1005,MATCH(D57,'Items'!$A$6:$A$1005,0)),"MISSING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IFERROR(INDEX('Items'!$AF$6:$AF$1005,MATCH(D58,'Items'!$A$6:$A$1005,0)),"MISSING ID")</x:f>
        <x:v>T1</x:v>
      </x:c>
      <x:c r="G58" s="4" t="str">
        <x:f>IFERROR(INDEX('Items'!$C$6:$C$1005,MATCH(D58,'Items'!$A$6:$A$1005,0)),"MISSING ID")</x:f>
        <x:v>Resources</x:v>
      </x:c>
      <x:c r="H58" s="4" t="str">
        <x:f>IFERROR(INDEX('Items'!$W$6:$W$1005,MATCH(D58,'Items'!$A$6:$A$1005,0)),"MISSING ID")</x:f>
        <x:v>Processed material</x:v>
      </x:c>
      <x:c r="I58" s="4"/>
      <x:c r="J58" s="4" t="str">
        <x:v>Unspecified</x:v>
      </x:c>
      <x:c r="K58" s="4" t="str">
        <x:f>IFERROR(INDEX('Crafting recipes'!$D$6:$D$1005,MATCH(B58,'Crafting recipes'!$A$6:$A$1005,0)),"MISSING ID")</x:f>
        <x:v>Proposal</x:v>
      </x:c>
      <x:c r="L58" s="4" t="str">
        <x:f>IFERROR(INDEX('Items'!$AC$6:$AC$1005,MATCH(D58,'Items'!$A$6:$A$1005,0)),"MISSING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IFERROR(INDEX('Items'!$AF$6:$AF$1005,MATCH(D59,'Items'!$A$6:$A$1005,0)),"MISSING ID")</x:f>
        <x:v>T1</x:v>
      </x:c>
      <x:c r="G59" s="4" t="str">
        <x:f>IFERROR(INDEX('Items'!$C$6:$C$1005,MATCH(D59,'Items'!$A$6:$A$1005,0)),"MISSING ID")</x:f>
        <x:v>Crafting components</x:v>
      </x:c>
      <x:c r="H59" s="4" t="str">
        <x:f>IFERROR(INDEX('Items'!$W$6:$W$1005,MATCH(D59,'Items'!$A$6:$A$1005,0)),"MISSING ID")</x:f>
        <x:v>Processed material</x:v>
      </x:c>
      <x:c r="I59" s="4"/>
      <x:c r="J59" s="4" t="str">
        <x:v>Unspecified</x:v>
      </x:c>
      <x:c r="K59" s="4" t="str">
        <x:f>IFERROR(INDEX('Crafting recipes'!$D$6:$D$1005,MATCH(B59,'Crafting recipes'!$A$6:$A$1005,0)),"MISSING ID")</x:f>
        <x:v>Proposal</x:v>
      </x:c>
      <x:c r="L59" s="4" t="str">
        <x:f>IFERROR(INDEX('Items'!$AC$6:$AC$1005,MATCH(D59,'Items'!$A$6:$A$1005,0)),"MISSING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IFERROR(INDEX('Items'!$AF$6:$AF$1005,MATCH(D60,'Items'!$A$6:$A$1005,0)),"MISSING ID")</x:f>
        <x:v>T1</x:v>
      </x:c>
      <x:c r="G60" s="4" t="str">
        <x:f>IFERROR(INDEX('Items'!$C$6:$C$1005,MATCH(D60,'Items'!$A$6:$A$1005,0)),"MISSING ID")</x:f>
        <x:v>Crafting components</x:v>
      </x:c>
      <x:c r="H60" s="4" t="str">
        <x:f>IFERROR(INDEX('Items'!$W$6:$W$1005,MATCH(D60,'Items'!$A$6:$A$1005,0)),"MISSING ID")</x:f>
        <x:v>Processed material</x:v>
      </x:c>
      <x:c r="I60" s="4"/>
      <x:c r="J60" s="4" t="str">
        <x:v>Unspecified</x:v>
      </x:c>
      <x:c r="K60" s="4" t="str">
        <x:f>IFERROR(INDEX('Crafting recipes'!$D$6:$D$1005,MATCH(B60,'Crafting recipes'!$A$6:$A$1005,0)),"MISSING ID")</x:f>
        <x:v>Proposal</x:v>
      </x:c>
      <x:c r="L60" s="4" t="str">
        <x:f>IFERROR(INDEX('Items'!$AC$6:$AC$1005,MATCH(D60,'Items'!$A$6:$A$1005,0)),"MISSING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IFERROR(INDEX('Items'!$AF$6:$AF$1005,MATCH(D61,'Items'!$A$6:$A$1005,0)),"MISSING ID")</x:f>
        <x:v>T1</x:v>
      </x:c>
      <x:c r="G61" s="4" t="str">
        <x:f>IFERROR(INDEX('Items'!$C$6:$C$1005,MATCH(D61,'Items'!$A$6:$A$1005,0)),"MISSING ID")</x:f>
        <x:v>Crafting components</x:v>
      </x:c>
      <x:c r="H61" s="4" t="str">
        <x:f>IFERROR(INDEX('Items'!$W$6:$W$1005,MATCH(D61,'Items'!$A$6:$A$1005,0)),"MISSING ID")</x:f>
        <x:v>Crafting component</x:v>
      </x:c>
      <x:c r="I61" s="4"/>
      <x:c r="J61" s="4" t="str">
        <x:v>Unspecified</x:v>
      </x:c>
      <x:c r="K61" s="4" t="str">
        <x:f>IFERROR(INDEX('Crafting recipes'!$D$6:$D$1005,MATCH(B61,'Crafting recipes'!$A$6:$A$1005,0)),"MISSING ID")</x:f>
        <x:v>Proposal</x:v>
      </x:c>
      <x:c r="L61" s="4" t="str">
        <x:f>IFERROR(INDEX('Items'!$AC$6:$AC$1005,MATCH(D61,'Items'!$A$6:$A$1005,0)),"MISSING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IFERROR(INDEX('Items'!$AF$6:$AF$1005,MATCH(D62,'Items'!$A$6:$A$1005,0)),"MISSING ID")</x:f>
        <x:v>T1</x:v>
      </x:c>
      <x:c r="G62" s="4" t="str">
        <x:f>IFERROR(INDEX('Items'!$C$6:$C$1005,MATCH(D62,'Items'!$A$6:$A$1005,0)),"MISSING ID")</x:f>
        <x:v>Crafting components</x:v>
      </x:c>
      <x:c r="H62" s="4" t="str">
        <x:f>IFERROR(INDEX('Items'!$W$6:$W$1005,MATCH(D62,'Items'!$A$6:$A$1005,0)),"MISSING ID")</x:f>
        <x:v>Crafting component</x:v>
      </x:c>
      <x:c r="I62" s="4"/>
      <x:c r="J62" s="4" t="str">
        <x:v>Unspecified</x:v>
      </x:c>
      <x:c r="K62" s="4" t="str">
        <x:f>IFERROR(INDEX('Crafting recipes'!$D$6:$D$1005,MATCH(B62,'Crafting recipes'!$A$6:$A$1005,0)),"MISSING ID")</x:f>
        <x:v>Proposal</x:v>
      </x:c>
      <x:c r="L62" s="4" t="str">
        <x:f>IFERROR(INDEX('Items'!$AC$6:$AC$1005,MATCH(D62,'Items'!$A$6:$A$1005,0)),"MISSING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IFERROR(INDEX('Items'!$AF$6:$AF$1005,MATCH(D63,'Items'!$A$6:$A$1005,0)),"MISSING ID")</x:f>
        <x:v>T1</x:v>
      </x:c>
      <x:c r="G63" s="4" t="str">
        <x:f>IFERROR(INDEX('Items'!$C$6:$C$1005,MATCH(D63,'Items'!$A$6:$A$1005,0)),"MISSING ID")</x:f>
        <x:v>Crafting components</x:v>
      </x:c>
      <x:c r="H63" s="4" t="str">
        <x:f>IFERROR(INDEX('Items'!$W$6:$W$1005,MATCH(D63,'Items'!$A$6:$A$1005,0)),"MISSING ID")</x:f>
        <x:v>Processed material</x:v>
      </x:c>
      <x:c r="I63" s="4"/>
      <x:c r="J63" s="4" t="str">
        <x:v>Unspecified</x:v>
      </x:c>
      <x:c r="K63" s="4" t="str">
        <x:f>IFERROR(INDEX('Crafting recipes'!$D$6:$D$1005,MATCH(B63,'Crafting recipes'!$A$6:$A$1005,0)),"MISSING ID")</x:f>
        <x:v>Proposal</x:v>
      </x:c>
      <x:c r="L63" s="4" t="str">
        <x:f>IFERROR(INDEX('Items'!$AC$6:$AC$1005,MATCH(D63,'Items'!$A$6:$A$1005,0)),"MISSING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IFERROR(INDEX('Items'!$AF$6:$AF$1005,MATCH(D64,'Items'!$A$6:$A$1005,0)),"MISSING ID")</x:f>
        <x:v>T1</x:v>
      </x:c>
      <x:c r="G64" s="4" t="str">
        <x:f>IFERROR(INDEX('Items'!$C$6:$C$1005,MATCH(D64,'Items'!$A$6:$A$1005,0)),"MISSING ID")</x:f>
        <x:v>Crafting components</x:v>
      </x:c>
      <x:c r="H64" s="4" t="str">
        <x:f>IFERROR(INDEX('Items'!$W$6:$W$1005,MATCH(D64,'Items'!$A$6:$A$1005,0)),"MISSING ID")</x:f>
        <x:v>Crafting component</x:v>
      </x:c>
      <x:c r="I64" s="4"/>
      <x:c r="J64" s="4" t="str">
        <x:v>Unspecified</x:v>
      </x:c>
      <x:c r="K64" s="4" t="str">
        <x:f>IFERROR(INDEX('Crafting recipes'!$D$6:$D$1005,MATCH(B64,'Crafting recipes'!$A$6:$A$1005,0)),"MISSING ID")</x:f>
        <x:v>Proposal</x:v>
      </x:c>
      <x:c r="L64" s="4" t="str">
        <x:f>IFERROR(INDEX('Items'!$AC$6:$AC$1005,MATCH(D64,'Items'!$A$6:$A$1005,0)),"MISSING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IFERROR(INDEX('Items'!$AF$6:$AF$1005,MATCH(D65,'Items'!$A$6:$A$1005,0)),"MISSING ID")</x:f>
        <x:v>T1</x:v>
      </x:c>
      <x:c r="G65" s="4" t="str">
        <x:f>IFERROR(INDEX('Items'!$C$6:$C$1005,MATCH(D65,'Items'!$A$6:$A$1005,0)),"MISSING ID")</x:f>
        <x:v>Crafting components</x:v>
      </x:c>
      <x:c r="H65" s="4" t="str">
        <x:f>IFERROR(INDEX('Items'!$W$6:$W$1005,MATCH(D65,'Items'!$A$6:$A$1005,0)),"MISSING ID")</x:f>
        <x:v>Crafting component</x:v>
      </x:c>
      <x:c r="I65" s="4"/>
      <x:c r="J65" s="4" t="str">
        <x:v>Unspecified</x:v>
      </x:c>
      <x:c r="K65" s="4" t="str">
        <x:f>IFERROR(INDEX('Crafting recipes'!$D$6:$D$1005,MATCH(B65,'Crafting recipes'!$A$6:$A$1005,0)),"MISSING ID")</x:f>
        <x:v>Proposal</x:v>
      </x:c>
      <x:c r="L65" s="4" t="str">
        <x:f>IFERROR(INDEX('Items'!$AC$6:$AC$1005,MATCH(D65,'Items'!$A$6:$A$1005,0)),"MISSING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IFERROR(INDEX('Items'!$AF$6:$AF$1005,MATCH(D66,'Items'!$A$6:$A$1005,0)),"MISSING ID")</x:f>
        <x:v>T1</x:v>
      </x:c>
      <x:c r="G66" s="4" t="str">
        <x:f>IFERROR(INDEX('Items'!$C$6:$C$1005,MATCH(D66,'Items'!$A$6:$A$1005,0)),"MISSING ID")</x:f>
        <x:v>Resources</x:v>
      </x:c>
      <x:c r="H66" s="4" t="str">
        <x:f>IFERROR(INDEX('Items'!$W$6:$W$1005,MATCH(D66,'Items'!$A$6:$A$1005,0)),"MISSING ID")</x:f>
        <x:v>Chemical material</x:v>
      </x:c>
      <x:c r="I66" s="4"/>
      <x:c r="J66" s="4" t="str">
        <x:v>Unspecified</x:v>
      </x:c>
      <x:c r="K66" s="4" t="str">
        <x:f>IFERROR(INDEX('Crafting recipes'!$D$6:$D$1005,MATCH(B66,'Crafting recipes'!$A$6:$A$1005,0)),"MISSING ID")</x:f>
        <x:v>Proposal</x:v>
      </x:c>
      <x:c r="L66" s="4" t="str">
        <x:f>IFERROR(INDEX('Items'!$AC$6:$AC$1005,MATCH(D66,'Items'!$A$6:$A$1005,0)),"MISSING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IFERROR(INDEX('Items'!$AF$6:$AF$1005,MATCH(D67,'Items'!$A$6:$A$1005,0)),"MISSING ID")</x:f>
        <x:v>T1</x:v>
      </x:c>
      <x:c r="G67" s="4" t="str">
        <x:f>IFERROR(INDEX('Items'!$C$6:$C$1005,MATCH(D67,'Items'!$A$6:$A$1005,0)),"MISSING ID")</x:f>
        <x:v>Resources</x:v>
      </x:c>
      <x:c r="H67" s="4" t="str">
        <x:f>IFERROR(INDEX('Items'!$W$6:$W$1005,MATCH(D67,'Items'!$A$6:$A$1005,0)),"MISSING ID")</x:f>
        <x:v>Chemical material</x:v>
      </x:c>
      <x:c r="I67" s="4"/>
      <x:c r="J67" s="4" t="str">
        <x:v>Unspecified</x:v>
      </x:c>
      <x:c r="K67" s="4" t="str">
        <x:f>IFERROR(INDEX('Crafting recipes'!$D$6:$D$1005,MATCH(B67,'Crafting recipes'!$A$6:$A$1005,0)),"MISSING ID")</x:f>
        <x:v>Proposal</x:v>
      </x:c>
      <x:c r="L67" s="4" t="str">
        <x:f>IFERROR(INDEX('Items'!$AC$6:$AC$1005,MATCH(D67,'Items'!$A$6:$A$1005,0)),"MISSING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IFERROR(INDEX('Items'!$AF$6:$AF$1005,MATCH(D68,'Items'!$A$6:$A$1005,0)),"MISSING ID")</x:f>
        <x:v>T1</x:v>
      </x:c>
      <x:c r="G68" s="4" t="str">
        <x:f>IFERROR(INDEX('Items'!$C$6:$C$1005,MATCH(D68,'Items'!$A$6:$A$1005,0)),"MISSING ID")</x:f>
        <x:v>Resources</x:v>
      </x:c>
      <x:c r="H68" s="4" t="str">
        <x:f>IFERROR(INDEX('Items'!$W$6:$W$1005,MATCH(D68,'Items'!$A$6:$A$1005,0)),"MISSING ID")</x:f>
        <x:v>Processed material</x:v>
      </x:c>
      <x:c r="I68" s="4"/>
      <x:c r="J68" s="4" t="str">
        <x:v>Unspecified</x:v>
      </x:c>
      <x:c r="K68" s="4" t="str">
        <x:f>IFERROR(INDEX('Crafting recipes'!$D$6:$D$1005,MATCH(B68,'Crafting recipes'!$A$6:$A$1005,0)),"MISSING ID")</x:f>
        <x:v>Proposal</x:v>
      </x:c>
      <x:c r="L68" s="4" t="str">
        <x:f>IFERROR(INDEX('Items'!$AC$6:$AC$1005,MATCH(D68,'Items'!$A$6:$A$1005,0)),"MISSING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IFERROR(INDEX('Items'!$AF$6:$AF$1005,MATCH(D69,'Items'!$A$6:$A$1005,0)),"MISSING ID")</x:f>
        <x:v>T1</x:v>
      </x:c>
      <x:c r="G69" s="4" t="str">
        <x:f>IFERROR(INDEX('Items'!$C$6:$C$1005,MATCH(D69,'Items'!$A$6:$A$1005,0)),"MISSING ID")</x:f>
        <x:v>Resources</x:v>
      </x:c>
      <x:c r="H69" s="4" t="str">
        <x:f>IFERROR(INDEX('Items'!$W$6:$W$1005,MATCH(D69,'Items'!$A$6:$A$1005,0)),"MISSING ID")</x:f>
        <x:v>Processed material</x:v>
      </x:c>
      <x:c r="I69" s="4"/>
      <x:c r="J69" s="4" t="str">
        <x:v>Unspecified</x:v>
      </x:c>
      <x:c r="K69" s="4" t="str">
        <x:f>IFERROR(INDEX('Crafting recipes'!$D$6:$D$1005,MATCH(B69,'Crafting recipes'!$A$6:$A$1005,0)),"MISSING ID")</x:f>
        <x:v>Proposal</x:v>
      </x:c>
      <x:c r="L69" s="4" t="str">
        <x:f>IFERROR(INDEX('Items'!$AC$6:$AC$1005,MATCH(D69,'Items'!$A$6:$A$1005,0)),"MISSING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IFERROR(INDEX('Items'!$AF$6:$AF$1005,MATCH(D70,'Items'!$A$6:$A$1005,0)),"MISSING ID")</x:f>
        <x:v>T1</x:v>
      </x:c>
      <x:c r="G70" s="4" t="str">
        <x:f>IFERROR(INDEX('Items'!$C$6:$C$1005,MATCH(D70,'Items'!$A$6:$A$1005,0)),"MISSING ID")</x:f>
        <x:v>Resources</x:v>
      </x:c>
      <x:c r="H70" s="4" t="str">
        <x:f>IFERROR(INDEX('Items'!$W$6:$W$1005,MATCH(D70,'Items'!$A$6:$A$1005,0)),"MISSING ID")</x:f>
        <x:v>Processed material</x:v>
      </x:c>
      <x:c r="I70" s="4"/>
      <x:c r="J70" s="4" t="str">
        <x:v>Unspecified</x:v>
      </x:c>
      <x:c r="K70" s="4" t="str">
        <x:f>IFERROR(INDEX('Crafting recipes'!$D$6:$D$1005,MATCH(B70,'Crafting recipes'!$A$6:$A$1005,0)),"MISSING ID")</x:f>
        <x:v>Proposal</x:v>
      </x:c>
      <x:c r="L70" s="4" t="str">
        <x:f>IFERROR(INDEX('Items'!$AC$6:$AC$1005,MATCH(D70,'Items'!$A$6:$A$1005,0)),"MISSING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IFERROR(INDEX('Items'!$AF$6:$AF$1005,MATCH(D71,'Items'!$A$6:$A$1005,0)),"MISSING ID")</x:f>
        <x:v>T1</x:v>
      </x:c>
      <x:c r="G71" s="4" t="str">
        <x:f>IFERROR(INDEX('Items'!$C$6:$C$1005,MATCH(D71,'Items'!$A$6:$A$1005,0)),"MISSING ID")</x:f>
        <x:v>Resources</x:v>
      </x:c>
      <x:c r="H71" s="4" t="str">
        <x:f>IFERROR(INDEX('Items'!$W$6:$W$1005,MATCH(D71,'Items'!$A$6:$A$1005,0)),"MISSING ID")</x:f>
        <x:v>Processed material</x:v>
      </x:c>
      <x:c r="I71" s="4"/>
      <x:c r="J71" s="4" t="str">
        <x:v>Unspecified</x:v>
      </x:c>
      <x:c r="K71" s="4" t="str">
        <x:f>IFERROR(INDEX('Crafting recipes'!$D$6:$D$1005,MATCH(B71,'Crafting recipes'!$A$6:$A$1005,0)),"MISSING ID")</x:f>
        <x:v>Proposal</x:v>
      </x:c>
      <x:c r="L71" s="4" t="str">
        <x:f>IFERROR(INDEX('Items'!$AC$6:$AC$1005,MATCH(D71,'Items'!$A$6:$A$1005,0)),"MISSING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IFERROR(INDEX('Items'!$AF$6:$AF$1005,MATCH(D72,'Items'!$A$6:$A$1005,0)),"MISSING ID")</x:f>
        <x:v>T1</x:v>
      </x:c>
      <x:c r="G72" s="4" t="str">
        <x:f>IFERROR(INDEX('Items'!$C$6:$C$1005,MATCH(D72,'Items'!$A$6:$A$1005,0)),"MISSING ID")</x:f>
        <x:v>Resources</x:v>
      </x:c>
      <x:c r="H72" s="4" t="str">
        <x:f>IFERROR(INDEX('Items'!$W$6:$W$1005,MATCH(D72,'Items'!$A$6:$A$1005,0)),"MISSING ID")</x:f>
        <x:v>Processed material</x:v>
      </x:c>
      <x:c r="I72" s="4"/>
      <x:c r="J72" s="4" t="str">
        <x:v>Unspecified</x:v>
      </x:c>
      <x:c r="K72" s="4" t="str">
        <x:f>IFERROR(INDEX('Crafting recipes'!$D$6:$D$1005,MATCH(B72,'Crafting recipes'!$A$6:$A$1005,0)),"MISSING ID")</x:f>
        <x:v>Proposal</x:v>
      </x:c>
      <x:c r="L72" s="4" t="str">
        <x:f>IFERROR(INDEX('Items'!$AC$6:$AC$1005,MATCH(D72,'Items'!$A$6:$A$1005,0)),"MISSING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IFERROR(INDEX('Items'!$AF$6:$AF$1005,MATCH(D73,'Items'!$A$6:$A$1005,0)),"MISSING ID")</x:f>
        <x:v>T1</x:v>
      </x:c>
      <x:c r="G73" s="4" t="str">
        <x:f>IFERROR(INDEX('Items'!$C$6:$C$1005,MATCH(D73,'Items'!$A$6:$A$1005,0)),"MISSING ID")</x:f>
        <x:v>Resources</x:v>
      </x:c>
      <x:c r="H73" s="4" t="str">
        <x:f>IFERROR(INDEX('Items'!$W$6:$W$1005,MATCH(D73,'Items'!$A$6:$A$1005,0)),"MISSING ID")</x:f>
        <x:v>Processed material</x:v>
      </x:c>
      <x:c r="I73" s="4"/>
      <x:c r="J73" s="4" t="str">
        <x:v>Unspecified</x:v>
      </x:c>
      <x:c r="K73" s="4" t="str">
        <x:f>IFERROR(INDEX('Crafting recipes'!$D$6:$D$1005,MATCH(B73,'Crafting recipes'!$A$6:$A$1005,0)),"MISSING ID")</x:f>
        <x:v>Proposal</x:v>
      </x:c>
      <x:c r="L73" s="4" t="str">
        <x:f>IFERROR(INDEX('Items'!$AC$6:$AC$1005,MATCH(D73,'Items'!$A$6:$A$1005,0)),"MISSING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IFERROR(INDEX('Items'!$AF$6:$AF$1005,MATCH(D74,'Items'!$A$6:$A$1005,0)),"MISSING ID")</x:f>
        <x:v>T1</x:v>
      </x:c>
      <x:c r="G74" s="4" t="str">
        <x:f>IFERROR(INDEX('Items'!$C$6:$C$1005,MATCH(D74,'Items'!$A$6:$A$1005,0)),"MISSING ID")</x:f>
        <x:v>Resources</x:v>
      </x:c>
      <x:c r="H74" s="4" t="str">
        <x:f>IFERROR(INDEX('Items'!$W$6:$W$1005,MATCH(D74,'Items'!$A$6:$A$1005,0)),"MISSING ID")</x:f>
        <x:v>Processed material</x:v>
      </x:c>
      <x:c r="I74" s="4"/>
      <x:c r="J74" s="4" t="str">
        <x:v>Unspecified</x:v>
      </x:c>
      <x:c r="K74" s="4" t="str">
        <x:f>IFERROR(INDEX('Crafting recipes'!$D$6:$D$1005,MATCH(B74,'Crafting recipes'!$A$6:$A$1005,0)),"MISSING ID")</x:f>
        <x:v>Proposal</x:v>
      </x:c>
      <x:c r="L74" s="4" t="str">
        <x:f>IFERROR(INDEX('Items'!$AC$6:$AC$1005,MATCH(D74,'Items'!$A$6:$A$1005,0)),"MISSING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IFERROR(INDEX('Items'!$AF$6:$AF$1005,MATCH(D75,'Items'!$A$6:$A$1005,0)),"MISSING ID")</x:f>
        <x:v>T1</x:v>
      </x:c>
      <x:c r="G75" s="4" t="str">
        <x:f>IFERROR(INDEX('Items'!$C$6:$C$1005,MATCH(D75,'Items'!$A$6:$A$1005,0)),"MISSING ID")</x:f>
        <x:v>Resources</x:v>
      </x:c>
      <x:c r="H75" s="4" t="str">
        <x:f>IFERROR(INDEX('Items'!$W$6:$W$1005,MATCH(D75,'Items'!$A$6:$A$1005,0)),"MISSING ID")</x:f>
        <x:v>Processed material</x:v>
      </x:c>
      <x:c r="I75" s="4"/>
      <x:c r="J75" s="4" t="str">
        <x:v>Unspecified</x:v>
      </x:c>
      <x:c r="K75" s="4" t="str">
        <x:f>IFERROR(INDEX('Crafting recipes'!$D$6:$D$1005,MATCH(B75,'Crafting recipes'!$A$6:$A$1005,0)),"MISSING ID")</x:f>
        <x:v>Proposal</x:v>
      </x:c>
      <x:c r="L75" s="4" t="str">
        <x:f>IFERROR(INDEX('Items'!$AC$6:$AC$1005,MATCH(D75,'Items'!$A$6:$A$1005,0)),"MISSING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IFERROR(INDEX('Items'!$AF$6:$AF$1005,MATCH(D76,'Items'!$A$6:$A$1005,0)),"MISSING ID")</x:f>
        <x:v>T1</x:v>
      </x:c>
      <x:c r="G76" s="4" t="str">
        <x:f>IFERROR(INDEX('Items'!$C$6:$C$1005,MATCH(D76,'Items'!$A$6:$A$1005,0)),"MISSING ID")</x:f>
        <x:v>Resources</x:v>
      </x:c>
      <x:c r="H76" s="4" t="str">
        <x:f>IFERROR(INDEX('Items'!$W$6:$W$1005,MATCH(D76,'Items'!$A$6:$A$1005,0)),"MISSING ID")</x:f>
        <x:v>Processed material</x:v>
      </x:c>
      <x:c r="I76" s="4"/>
      <x:c r="J76" s="4" t="str">
        <x:v>Unspecified</x:v>
      </x:c>
      <x:c r="K76" s="4" t="str">
        <x:f>IFERROR(INDEX('Crafting recipes'!$D$6:$D$1005,MATCH(B76,'Crafting recipes'!$A$6:$A$1005,0)),"MISSING ID")</x:f>
        <x:v>Proposal</x:v>
      </x:c>
      <x:c r="L76" s="4" t="str">
        <x:f>IFERROR(INDEX('Items'!$AC$6:$AC$1005,MATCH(D76,'Items'!$A$6:$A$1005,0)),"MISSING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IFERROR(INDEX('Items'!$AF$6:$AF$1005,MATCH(D77,'Items'!$A$6:$A$1005,0)),"MISSING ID")</x:f>
        <x:v>T1</x:v>
      </x:c>
      <x:c r="G77" s="4" t="str">
        <x:f>IFERROR(INDEX('Items'!$C$6:$C$1005,MATCH(D77,'Items'!$A$6:$A$1005,0)),"MISSING ID")</x:f>
        <x:v>Resources</x:v>
      </x:c>
      <x:c r="H77" s="4" t="str">
        <x:f>IFERROR(INDEX('Items'!$W$6:$W$1005,MATCH(D77,'Items'!$A$6:$A$1005,0)),"MISSING ID")</x:f>
        <x:v>Processed material</x:v>
      </x:c>
      <x:c r="I77" s="4"/>
      <x:c r="J77" s="4" t="str">
        <x:v>Unspecified</x:v>
      </x:c>
      <x:c r="K77" s="4" t="str">
        <x:f>IFERROR(INDEX('Crafting recipes'!$D$6:$D$1005,MATCH(B77,'Crafting recipes'!$A$6:$A$1005,0)),"MISSING ID")</x:f>
        <x:v>Proposal</x:v>
      </x:c>
      <x:c r="L77" s="4" t="str">
        <x:f>IFERROR(INDEX('Items'!$AC$6:$AC$1005,MATCH(D77,'Items'!$A$6:$A$1005,0)),"MISSING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IFERROR(INDEX('Items'!$AF$6:$AF$1005,MATCH(D78,'Items'!$A$6:$A$1005,0)),"MISSING ID")</x:f>
        <x:v>T1</x:v>
      </x:c>
      <x:c r="G78" s="4" t="str">
        <x:f>IFERROR(INDEX('Items'!$C$6:$C$1005,MATCH(D78,'Items'!$A$6:$A$1005,0)),"MISSING ID")</x:f>
        <x:v>Resources</x:v>
      </x:c>
      <x:c r="H78" s="4" t="str">
        <x:f>IFERROR(INDEX('Items'!$W$6:$W$1005,MATCH(D78,'Items'!$A$6:$A$1005,0)),"MISSING ID")</x:f>
        <x:v>Processed material</x:v>
      </x:c>
      <x:c r="I78" s="4"/>
      <x:c r="J78" s="4" t="str">
        <x:v>Unspecified</x:v>
      </x:c>
      <x:c r="K78" s="4" t="str">
        <x:f>IFERROR(INDEX('Crafting recipes'!$D$6:$D$1005,MATCH(B78,'Crafting recipes'!$A$6:$A$1005,0)),"MISSING ID")</x:f>
        <x:v>Proposal</x:v>
      </x:c>
      <x:c r="L78" s="4" t="str">
        <x:f>IFERROR(INDEX('Items'!$AC$6:$AC$1005,MATCH(D78,'Items'!$A$6:$A$1005,0)),"MISSING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IFERROR(INDEX('Items'!$AF$6:$AF$1005,MATCH(D79,'Items'!$A$6:$A$1005,0)),"MISSING ID")</x:f>
        <x:v>T1</x:v>
      </x:c>
      <x:c r="G79" s="4" t="str">
        <x:f>IFERROR(INDEX('Items'!$C$6:$C$1005,MATCH(D79,'Items'!$A$6:$A$1005,0)),"MISSING ID")</x:f>
        <x:v>Resources</x:v>
      </x:c>
      <x:c r="H79" s="4" t="str">
        <x:f>IFERROR(INDEX('Items'!$W$6:$W$1005,MATCH(D79,'Items'!$A$6:$A$1005,0)),"MISSING ID")</x:f>
        <x:v>Processed material</x:v>
      </x:c>
      <x:c r="I79" s="4"/>
      <x:c r="J79" s="4" t="str">
        <x:v>Unspecified</x:v>
      </x:c>
      <x:c r="K79" s="4" t="str">
        <x:f>IFERROR(INDEX('Crafting recipes'!$D$6:$D$1005,MATCH(B79,'Crafting recipes'!$A$6:$A$1005,0)),"MISSING ID")</x:f>
        <x:v>Proposal</x:v>
      </x:c>
      <x:c r="L79" s="4" t="str">
        <x:f>IFERROR(INDEX('Items'!$AC$6:$AC$1005,MATCH(D79,'Items'!$A$6:$A$1005,0)),"MISSING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IFERROR(INDEX('Items'!$AF$6:$AF$1005,MATCH(D80,'Items'!$A$6:$A$1005,0)),"MISSING ID")</x:f>
        <x:v>T1</x:v>
      </x:c>
      <x:c r="G80" s="4" t="str">
        <x:f>IFERROR(INDEX('Items'!$C$6:$C$1005,MATCH(D80,'Items'!$A$6:$A$1005,0)),"MISSING ID")</x:f>
        <x:v>Resources</x:v>
      </x:c>
      <x:c r="H80" s="4" t="str">
        <x:f>IFERROR(INDEX('Items'!$W$6:$W$1005,MATCH(D80,'Items'!$A$6:$A$1005,0)),"MISSING ID")</x:f>
        <x:v>Processed material</x:v>
      </x:c>
      <x:c r="I80" s="4"/>
      <x:c r="J80" s="4" t="str">
        <x:v>Unspecified</x:v>
      </x:c>
      <x:c r="K80" s="4" t="str">
        <x:f>IFERROR(INDEX('Crafting recipes'!$D$6:$D$1005,MATCH(B80,'Crafting recipes'!$A$6:$A$1005,0)),"MISSING ID")</x:f>
        <x:v>Proposal</x:v>
      </x:c>
      <x:c r="L80" s="4" t="str">
        <x:f>IFERROR(INDEX('Items'!$AC$6:$AC$1005,MATCH(D80,'Items'!$A$6:$A$1005,0)),"MISSING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IFERROR(INDEX('Items'!$AF$6:$AF$1005,MATCH(D81,'Items'!$A$6:$A$1005,0)),"MISSING ID")</x:f>
        <x:v>T1</x:v>
      </x:c>
      <x:c r="G81" s="4" t="str">
        <x:f>IFERROR(INDEX('Items'!$C$6:$C$1005,MATCH(D81,'Items'!$A$6:$A$1005,0)),"MISSING ID")</x:f>
        <x:v>Resources</x:v>
      </x:c>
      <x:c r="H81" s="4" t="str">
        <x:f>IFERROR(INDEX('Items'!$W$6:$W$1005,MATCH(D81,'Items'!$A$6:$A$1005,0)),"MISSING ID")</x:f>
        <x:v>Processed material</x:v>
      </x:c>
      <x:c r="I81" s="4"/>
      <x:c r="J81" s="4" t="str">
        <x:v>Unspecified</x:v>
      </x:c>
      <x:c r="K81" s="4" t="str">
        <x:f>IFERROR(INDEX('Crafting recipes'!$D$6:$D$1005,MATCH(B81,'Crafting recipes'!$A$6:$A$1005,0)),"MISSING ID")</x:f>
        <x:v>Proposal</x:v>
      </x:c>
      <x:c r="L81" s="4" t="str">
        <x:f>IFERROR(INDEX('Items'!$AC$6:$AC$1005,MATCH(D81,'Items'!$A$6:$A$1005,0)),"MISSING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IFERROR(INDEX('Items'!$AF$6:$AF$1005,MATCH(D82,'Items'!$A$6:$A$1005,0)),"MISSING ID")</x:f>
        <x:v>T1</x:v>
      </x:c>
      <x:c r="G82" s="4" t="str">
        <x:f>IFERROR(INDEX('Items'!$C$6:$C$1005,MATCH(D82,'Items'!$A$6:$A$1005,0)),"MISSING ID")</x:f>
        <x:v>Resources</x:v>
      </x:c>
      <x:c r="H82" s="4" t="str">
        <x:f>IFERROR(INDEX('Items'!$W$6:$W$1005,MATCH(D82,'Items'!$A$6:$A$1005,0)),"MISSING ID")</x:f>
        <x:v>Processed material</x:v>
      </x:c>
      <x:c r="I82" s="4"/>
      <x:c r="J82" s="4" t="str">
        <x:v>Unspecified</x:v>
      </x:c>
      <x:c r="K82" s="4" t="str">
        <x:f>IFERROR(INDEX('Crafting recipes'!$D$6:$D$1005,MATCH(B82,'Crafting recipes'!$A$6:$A$1005,0)),"MISSING ID")</x:f>
        <x:v>Proposal</x:v>
      </x:c>
      <x:c r="L82" s="4" t="str">
        <x:f>IFERROR(INDEX('Items'!$AC$6:$AC$1005,MATCH(D82,'Items'!$A$6:$A$1005,0)),"MISSING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IFERROR(INDEX('Items'!$AF$6:$AF$1005,MATCH(D83,'Items'!$A$6:$A$1005,0)),"MISSING ID")</x:f>
        <x:v>T1</x:v>
      </x:c>
      <x:c r="G83" s="4" t="str">
        <x:f>IFERROR(INDEX('Items'!$C$6:$C$1005,MATCH(D83,'Items'!$A$6:$A$1005,0)),"MISSING ID")</x:f>
        <x:v>Resources</x:v>
      </x:c>
      <x:c r="H83" s="4" t="str">
        <x:f>IFERROR(INDEX('Items'!$W$6:$W$1005,MATCH(D83,'Items'!$A$6:$A$1005,0)),"MISSING ID")</x:f>
        <x:v>Processed material</x:v>
      </x:c>
      <x:c r="I83" s="4"/>
      <x:c r="J83" s="4" t="str">
        <x:v>Unspecified</x:v>
      </x:c>
      <x:c r="K83" s="4" t="str">
        <x:f>IFERROR(INDEX('Crafting recipes'!$D$6:$D$1005,MATCH(B83,'Crafting recipes'!$A$6:$A$1005,0)),"MISSING ID")</x:f>
        <x:v>Proposal</x:v>
      </x:c>
      <x:c r="L83" s="4" t="str">
        <x:f>IFERROR(INDEX('Items'!$AC$6:$AC$1005,MATCH(D83,'Items'!$A$6:$A$1005,0)),"MISSING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IFERROR(INDEX('Items'!$AF$6:$AF$1005,MATCH(D84,'Items'!$A$6:$A$1005,0)),"MISSING ID")</x:f>
        <x:v>T1</x:v>
      </x:c>
      <x:c r="G84" s="4" t="str">
        <x:f>IFERROR(INDEX('Items'!$C$6:$C$1005,MATCH(D84,'Items'!$A$6:$A$1005,0)),"MISSING ID")</x:f>
        <x:v>Resources</x:v>
      </x:c>
      <x:c r="H84" s="4" t="str">
        <x:f>IFERROR(INDEX('Items'!$W$6:$W$1005,MATCH(D84,'Items'!$A$6:$A$1005,0)),"MISSING ID")</x:f>
        <x:v>Processed material</x:v>
      </x:c>
      <x:c r="I84" s="4"/>
      <x:c r="J84" s="4" t="str">
        <x:v>Unspecified</x:v>
      </x:c>
      <x:c r="K84" s="4" t="str">
        <x:f>IFERROR(INDEX('Crafting recipes'!$D$6:$D$1005,MATCH(B84,'Crafting recipes'!$A$6:$A$1005,0)),"MISSING ID")</x:f>
        <x:v>Proposal</x:v>
      </x:c>
      <x:c r="L84" s="4" t="str">
        <x:f>IFERROR(INDEX('Items'!$AC$6:$AC$1005,MATCH(D84,'Items'!$A$6:$A$1005,0)),"MISSING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IFERROR(INDEX('Items'!$AF$6:$AF$1005,MATCH(D85,'Items'!$A$6:$A$1005,0)),"MISSING ID")</x:f>
        <x:v>T1</x:v>
      </x:c>
      <x:c r="G85" s="4" t="str">
        <x:f>IFERROR(INDEX('Items'!$C$6:$C$1005,MATCH(D85,'Items'!$A$6:$A$1005,0)),"MISSING ID")</x:f>
        <x:v>Resources</x:v>
      </x:c>
      <x:c r="H85" s="4" t="str">
        <x:f>IFERROR(INDEX('Items'!$W$6:$W$1005,MATCH(D85,'Items'!$A$6:$A$1005,0)),"MISSING ID")</x:f>
        <x:v>Chemical material</x:v>
      </x:c>
      <x:c r="I85" s="4"/>
      <x:c r="J85" s="4" t="str">
        <x:v>Unspecified</x:v>
      </x:c>
      <x:c r="K85" s="4" t="str">
        <x:f>IFERROR(INDEX('Crafting recipes'!$D$6:$D$1005,MATCH(B85,'Crafting recipes'!$A$6:$A$1005,0)),"MISSING ID")</x:f>
        <x:v>Proposal</x:v>
      </x:c>
      <x:c r="L85" s="4" t="str">
        <x:f>IFERROR(INDEX('Items'!$AC$6:$AC$1005,MATCH(D85,'Items'!$A$6:$A$1005,0)),"MISSING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IFERROR(INDEX('Items'!$AF$6:$AF$1005,MATCH(D86,'Items'!$A$6:$A$1005,0)),"MISSING ID")</x:f>
        <x:v>T1</x:v>
      </x:c>
      <x:c r="G86" s="4" t="str">
        <x:f>IFERROR(INDEX('Items'!$C$6:$C$1005,MATCH(D86,'Items'!$A$6:$A$1005,0)),"MISSING ID")</x:f>
        <x:v>Resources</x:v>
      </x:c>
      <x:c r="H86" s="4" t="str">
        <x:f>IFERROR(INDEX('Items'!$W$6:$W$1005,MATCH(D86,'Items'!$A$6:$A$1005,0)),"MISSING ID")</x:f>
        <x:v>Chemical material</x:v>
      </x:c>
      <x:c r="I86" s="4"/>
      <x:c r="J86" s="4" t="str">
        <x:v>Unspecified</x:v>
      </x:c>
      <x:c r="K86" s="4" t="str">
        <x:f>IFERROR(INDEX('Crafting recipes'!$D$6:$D$1005,MATCH(B86,'Crafting recipes'!$A$6:$A$1005,0)),"MISSING ID")</x:f>
        <x:v>Proposal</x:v>
      </x:c>
      <x:c r="L86" s="4" t="str">
        <x:f>IFERROR(INDEX('Items'!$AC$6:$AC$1005,MATCH(D86,'Items'!$A$6:$A$1005,0)),"MISSING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IFERROR(INDEX('Items'!$AF$6:$AF$1005,MATCH(D87,'Items'!$A$6:$A$1005,0)),"MISSING ID")</x:f>
        <x:v>T1</x:v>
      </x:c>
      <x:c r="G87" s="4" t="str">
        <x:f>IFERROR(INDEX('Items'!$C$6:$C$1005,MATCH(D87,'Items'!$A$6:$A$1005,0)),"MISSING ID")</x:f>
        <x:v>Resources</x:v>
      </x:c>
      <x:c r="H87" s="4" t="str">
        <x:f>IFERROR(INDEX('Items'!$W$6:$W$1005,MATCH(D87,'Items'!$A$6:$A$1005,0)),"MISSING ID")</x:f>
        <x:v>Chemical material</x:v>
      </x:c>
      <x:c r="I87" s="4"/>
      <x:c r="J87" s="4" t="str">
        <x:v>Unspecified</x:v>
      </x:c>
      <x:c r="K87" s="4" t="str">
        <x:f>IFERROR(INDEX('Crafting recipes'!$D$6:$D$1005,MATCH(B87,'Crafting recipes'!$A$6:$A$1005,0)),"MISSING ID")</x:f>
        <x:v>Proposal</x:v>
      </x:c>
      <x:c r="L87" s="4" t="str">
        <x:f>IFERROR(INDEX('Items'!$AC$6:$AC$1005,MATCH(D87,'Items'!$A$6:$A$1005,0)),"MISSING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IFERROR(INDEX('Items'!$AF$6:$AF$1005,MATCH(D88,'Items'!$A$6:$A$1005,0)),"MISSING ID")</x:f>
        <x:v>T1</x:v>
      </x:c>
      <x:c r="G88" s="4" t="str">
        <x:f>IFERROR(INDEX('Items'!$C$6:$C$1005,MATCH(D88,'Items'!$A$6:$A$1005,0)),"MISSING ID")</x:f>
        <x:v>Resources</x:v>
      </x:c>
      <x:c r="H88" s="4" t="str">
        <x:f>IFERROR(INDEX('Items'!$W$6:$W$1005,MATCH(D88,'Items'!$A$6:$A$1005,0)),"MISSING ID")</x:f>
        <x:v>Processed material</x:v>
      </x:c>
      <x:c r="I88" s="4"/>
      <x:c r="J88" s="4" t="str">
        <x:v>Unspecified</x:v>
      </x:c>
      <x:c r="K88" s="4" t="str">
        <x:f>IFERROR(INDEX('Crafting recipes'!$D$6:$D$1005,MATCH(B88,'Crafting recipes'!$A$6:$A$1005,0)),"MISSING ID")</x:f>
        <x:v>Proposal</x:v>
      </x:c>
      <x:c r="L88" s="4" t="str">
        <x:f>IFERROR(INDEX('Items'!$AC$6:$AC$1005,MATCH(D88,'Items'!$A$6:$A$1005,0)),"MISSING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IFERROR(INDEX('Items'!$AF$6:$AF$1005,MATCH(D89,'Items'!$A$6:$A$1005,0)),"MISSING ID")</x:f>
        <x:v>T1</x:v>
      </x:c>
      <x:c r="G89" s="4" t="str">
        <x:f>IFERROR(INDEX('Items'!$C$6:$C$1005,MATCH(D89,'Items'!$A$6:$A$1005,0)),"MISSING ID")</x:f>
        <x:v>Resources</x:v>
      </x:c>
      <x:c r="H89" s="4" t="str">
        <x:f>IFERROR(INDEX('Items'!$W$6:$W$1005,MATCH(D89,'Items'!$A$6:$A$1005,0)),"MISSING ID")</x:f>
        <x:v>Processed material</x:v>
      </x:c>
      <x:c r="I89" s="4"/>
      <x:c r="J89" s="4" t="str">
        <x:v>Unspecified</x:v>
      </x:c>
      <x:c r="K89" s="4" t="str">
        <x:f>IFERROR(INDEX('Crafting recipes'!$D$6:$D$1005,MATCH(B89,'Crafting recipes'!$A$6:$A$1005,0)),"MISSING ID")</x:f>
        <x:v>Proposal</x:v>
      </x:c>
      <x:c r="L89" s="4" t="str">
        <x:f>IFERROR(INDEX('Items'!$AC$6:$AC$1005,MATCH(D89,'Items'!$A$6:$A$1005,0)),"MISSING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IFERROR(INDEX('Items'!$AF$6:$AF$1005,MATCH(D90,'Items'!$A$6:$A$1005,0)),"MISSING ID")</x:f>
        <x:v>T1</x:v>
      </x:c>
      <x:c r="G90" s="4" t="str">
        <x:f>IFERROR(INDEX('Items'!$C$6:$C$1005,MATCH(D90,'Items'!$A$6:$A$1005,0)),"MISSING ID")</x:f>
        <x:v>Resources</x:v>
      </x:c>
      <x:c r="H90" s="4" t="str">
        <x:f>IFERROR(INDEX('Items'!$W$6:$W$1005,MATCH(D90,'Items'!$A$6:$A$1005,0)),"MISSING ID")</x:f>
        <x:v>Processed material</x:v>
      </x:c>
      <x:c r="I90" s="4"/>
      <x:c r="J90" s="4" t="str">
        <x:v>Unspecified</x:v>
      </x:c>
      <x:c r="K90" s="4" t="str">
        <x:f>IFERROR(INDEX('Crafting recipes'!$D$6:$D$1005,MATCH(B90,'Crafting recipes'!$A$6:$A$1005,0)),"MISSING ID")</x:f>
        <x:v>Proposal</x:v>
      </x:c>
      <x:c r="L90" s="4" t="str">
        <x:f>IFERROR(INDEX('Items'!$AC$6:$AC$1005,MATCH(D90,'Items'!$A$6:$A$1005,0)),"MISSING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IFERROR(INDEX('Items'!$AF$6:$AF$1005,MATCH(D91,'Items'!$A$6:$A$1005,0)),"MISSING ID")</x:f>
        <x:v>T1</x:v>
      </x:c>
      <x:c r="G91" s="4" t="str">
        <x:f>IFERROR(INDEX('Items'!$C$6:$C$1005,MATCH(D91,'Items'!$A$6:$A$1005,0)),"MISSING ID")</x:f>
        <x:v>Resources</x:v>
      </x:c>
      <x:c r="H91" s="4" t="str">
        <x:f>IFERROR(INDEX('Items'!$W$6:$W$1005,MATCH(D91,'Items'!$A$6:$A$1005,0)),"MISSING ID")</x:f>
        <x:v>Processed material</x:v>
      </x:c>
      <x:c r="I91" s="4"/>
      <x:c r="J91" s="4" t="str">
        <x:v>Unspecified</x:v>
      </x:c>
      <x:c r="K91" s="4" t="str">
        <x:f>IFERROR(INDEX('Crafting recipes'!$D$6:$D$1005,MATCH(B91,'Crafting recipes'!$A$6:$A$1005,0)),"MISSING ID")</x:f>
        <x:v>Proposal</x:v>
      </x:c>
      <x:c r="L91" s="4" t="str">
        <x:f>IFERROR(INDEX('Items'!$AC$6:$AC$1005,MATCH(D91,'Items'!$A$6:$A$1005,0)),"MISSING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IFERROR(INDEX('Items'!$AF$6:$AF$1005,MATCH(D92,'Items'!$A$6:$A$1005,0)),"MISSING ID")</x:f>
        <x:v>T2</x:v>
      </x:c>
      <x:c r="G92" s="4" t="str">
        <x:f>IFERROR(INDEX('Items'!$C$6:$C$1005,MATCH(D92,'Items'!$A$6:$A$1005,0)),"MISSING ID")</x:f>
        <x:v>Crafting components</x:v>
      </x:c>
      <x:c r="H92" s="4" t="str">
        <x:f>IFERROR(INDEX('Items'!$W$6:$W$1005,MATCH(D92,'Items'!$A$6:$A$1005,0)),"MISSING ID")</x:f>
        <x:v>Processed material</x:v>
      </x:c>
      <x:c r="I92" s="4"/>
      <x:c r="J92" s="4" t="str">
        <x:v>Unspecified</x:v>
      </x:c>
      <x:c r="K92" s="4" t="str">
        <x:f>IFERROR(INDEX('Crafting recipes'!$D$6:$D$1005,MATCH(B92,'Crafting recipes'!$A$6:$A$1005,0)),"MISSING ID")</x:f>
        <x:v>Proposal</x:v>
      </x:c>
      <x:c r="L92" s="4" t="str">
        <x:f>IFERROR(INDEX('Items'!$AC$6:$AC$1005,MATCH(D92,'Items'!$A$6:$A$1005,0)),"MISSING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IFERROR(INDEX('Items'!$AF$6:$AF$1005,MATCH(D93,'Items'!$A$6:$A$1005,0)),"MISSING ID")</x:f>
        <x:v>T2</x:v>
      </x:c>
      <x:c r="G93" s="4" t="str">
        <x:f>IFERROR(INDEX('Items'!$C$6:$C$1005,MATCH(D93,'Items'!$A$6:$A$1005,0)),"MISSING ID")</x:f>
        <x:v>Resources</x:v>
      </x:c>
      <x:c r="H93" s="4" t="str">
        <x:f>IFERROR(INDEX('Items'!$W$6:$W$1005,MATCH(D93,'Items'!$A$6:$A$1005,0)),"MISSING ID")</x:f>
        <x:v>Processed material</x:v>
      </x:c>
      <x:c r="I93" s="4"/>
      <x:c r="J93" s="4" t="str">
        <x:v>Unspecified</x:v>
      </x:c>
      <x:c r="K93" s="4" t="str">
        <x:f>IFERROR(INDEX('Crafting recipes'!$D$6:$D$1005,MATCH(B93,'Crafting recipes'!$A$6:$A$1005,0)),"MISSING ID")</x:f>
        <x:v>Proposal</x:v>
      </x:c>
      <x:c r="L93" s="4" t="str">
        <x:f>IFERROR(INDEX('Items'!$AC$6:$AC$1005,MATCH(D93,'Items'!$A$6:$A$1005,0)),"MISSING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IFERROR(INDEX('Items'!$AF$6:$AF$1005,MATCH(D94,'Items'!$A$6:$A$1005,0)),"MISSING ID")</x:f>
        <x:v>T2</x:v>
      </x:c>
      <x:c r="G94" s="4" t="str">
        <x:f>IFERROR(INDEX('Items'!$C$6:$C$1005,MATCH(D94,'Items'!$A$6:$A$1005,0)),"MISSING ID")</x:f>
        <x:v>Crafting components</x:v>
      </x:c>
      <x:c r="H94" s="4" t="str">
        <x:f>IFERROR(INDEX('Items'!$W$6:$W$1005,MATCH(D94,'Items'!$A$6:$A$1005,0)),"MISSING ID")</x:f>
        <x:v>Crafting component</x:v>
      </x:c>
      <x:c r="I94" s="4"/>
      <x:c r="J94" s="4" t="str">
        <x:v>Unspecified</x:v>
      </x:c>
      <x:c r="K94" s="4" t="str">
        <x:f>IFERROR(INDEX('Crafting recipes'!$D$6:$D$1005,MATCH(B94,'Crafting recipes'!$A$6:$A$1005,0)),"MISSING ID")</x:f>
        <x:v>Proposal</x:v>
      </x:c>
      <x:c r="L94" s="4" t="str">
        <x:f>IFERROR(INDEX('Items'!$AC$6:$AC$1005,MATCH(D94,'Items'!$A$6:$A$1005,0)),"MISSING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IFERROR(INDEX('Items'!$AF$6:$AF$1005,MATCH(D95,'Items'!$A$6:$A$1005,0)),"MISSING ID")</x:f>
        <x:v>T2</x:v>
      </x:c>
      <x:c r="G95" s="4" t="str">
        <x:f>IFERROR(INDEX('Items'!$C$6:$C$1005,MATCH(D95,'Items'!$A$6:$A$1005,0)),"MISSING ID")</x:f>
        <x:v>Resources</x:v>
      </x:c>
      <x:c r="H95" s="4" t="str">
        <x:f>IFERROR(INDEX('Items'!$W$6:$W$1005,MATCH(D95,'Items'!$A$6:$A$1005,0)),"MISSING ID")</x:f>
        <x:v>Chemical material</x:v>
      </x:c>
      <x:c r="I95" s="4"/>
      <x:c r="J95" s="4" t="str">
        <x:v>Unspecified</x:v>
      </x:c>
      <x:c r="K95" s="4" t="str">
        <x:f>IFERROR(INDEX('Crafting recipes'!$D$6:$D$1005,MATCH(B95,'Crafting recipes'!$A$6:$A$1005,0)),"MISSING ID")</x:f>
        <x:v>Proposal</x:v>
      </x:c>
      <x:c r="L95" s="4" t="str">
        <x:f>IFERROR(INDEX('Items'!$AC$6:$AC$1005,MATCH(D95,'Items'!$A$6:$A$1005,0)),"MISSING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IFERROR(INDEX('Items'!$AF$6:$AF$1005,MATCH(D96,'Items'!$A$6:$A$1005,0)),"MISSING ID")</x:f>
        <x:v>T0</x:v>
      </x:c>
      <x:c r="G96" s="4" t="str">
        <x:f>IFERROR(INDEX('Items'!$C$6:$C$1005,MATCH(D96,'Items'!$A$6:$A$1005,0)),"MISSING ID")</x:f>
        <x:v>Resources</x:v>
      </x:c>
      <x:c r="H96" s="4" t="str">
        <x:f>IFERROR(INDEX('Items'!$W$6:$W$1005,MATCH(D96,'Items'!$A$6:$A$1005,0)),"MISSING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IFERROR(INDEX('Items'!$AC$6:$AC$1005,MATCH(D96,'Items'!$A$6:$A$1005,0)),"MISSING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IFERROR(INDEX('Items'!$AF$6:$AF$1005,MATCH(D97,'Items'!$A$6:$A$1005,0)),"MISSING ID")</x:f>
        <x:v>Not applicable</x:v>
      </x:c>
      <x:c r="G97" s="4" t="str">
        <x:f>IFERROR(INDEX('Items'!$C$6:$C$1005,MATCH(D97,'Items'!$A$6:$A$1005,0)),"MISSING ID")</x:f>
        <x:v>Field supplies</x:v>
      </x:c>
      <x:c r="H97" s="4" t="str">
        <x:f>IFERROR(INDEX('Items'!$W$6:$W$1005,MATCH(D97,'Items'!$A$6:$A$1005,0)),"MISSING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IFERROR(INDEX('Items'!$AC$6:$AC$1005,MATCH(D97,'Items'!$A$6:$A$1005,0)),"MISSING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IFERROR(INDEX('Items'!$AF$6:$AF$1005,MATCH(D98,'Items'!$A$6:$A$1005,0)),"MISSING ID")</x:f>
        <x:v>T0</x:v>
      </x:c>
      <x:c r="G98" s="4" t="str">
        <x:f>IFERROR(INDEX('Items'!$C$6:$C$1005,MATCH(D98,'Items'!$A$6:$A$1005,0)),"MISSING ID")</x:f>
        <x:v>Resources</x:v>
      </x:c>
      <x:c r="H98" s="4" t="str">
        <x:f>IFERROR(INDEX('Items'!$W$6:$W$1005,MATCH(D98,'Items'!$A$6:$A$1005,0)),"MISSING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IFERROR(INDEX('Items'!$AC$6:$AC$1005,MATCH(D98,'Items'!$A$6:$A$1005,0)),"MISSING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IFERROR(INDEX('Items'!$AF$6:$AF$1005,MATCH(D99,'Items'!$A$6:$A$1005,0)),"MISSING ID")</x:f>
        <x:v>Unassigned</x:v>
      </x:c>
      <x:c r="G99" s="4" t="str">
        <x:f>IFERROR(INDEX('Items'!$C$6:$C$1005,MATCH(D99,'Items'!$A$6:$A$1005,0)),"MISSING ID")</x:f>
        <x:v>Resources</x:v>
      </x:c>
      <x:c r="H99" s="4" t="str">
        <x:f>IFERROR(INDEX('Items'!$W$6:$W$1005,MATCH(D99,'Items'!$A$6:$A$1005,0)),"MISSING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IFERROR(INDEX('Items'!$AC$6:$AC$1005,MATCH(D99,'Items'!$A$6:$A$1005,0)),"MISSING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IFERROR(INDEX('Items'!$AF$6:$AF$1005,MATCH(D100,'Items'!$A$6:$A$1005,0)),"MISSING ID")</x:f>
        <x:v>T1</x:v>
      </x:c>
      <x:c r="G100" s="4" t="str">
        <x:f>IFERROR(INDEX('Items'!$C$6:$C$1005,MATCH(D100,'Items'!$A$6:$A$1005,0)),"MISSING ID")</x:f>
        <x:v>Resources</x:v>
      </x:c>
      <x:c r="H100" s="4" t="str">
        <x:f>IFERROR(INDEX('Items'!$W$6:$W$1005,MATCH(D100,'Items'!$A$6:$A$1005,0)),"MISSING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IFERROR(INDEX('Items'!$AC$6:$AC$1005,MATCH(D100,'Items'!$A$6:$A$1005,0)),"MISSING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IFERROR(INDEX('Items'!$AF$6:$AF$1005,MATCH(D101,'Items'!$A$6:$A$1005,0)),"MISSING ID")</x:f>
        <x:v>Unassigned</x:v>
      </x:c>
      <x:c r="G101" s="4" t="str">
        <x:f>IFERROR(INDEX('Items'!$C$6:$C$1005,MATCH(D101,'Items'!$A$6:$A$1005,0)),"MISSING ID")</x:f>
        <x:v>Resources</x:v>
      </x:c>
      <x:c r="H101" s="4" t="str">
        <x:f>IFERROR(INDEX('Items'!$W$6:$W$1005,MATCH(D101,'Items'!$A$6:$A$1005,0)),"MISSING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IFERROR(INDEX('Items'!$AC$6:$AC$1005,MATCH(D101,'Items'!$A$6:$A$1005,0)),"MISSING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IFERROR(INDEX('Items'!$AF$6:$AF$1005,MATCH(D102,'Items'!$A$6:$A$1005,0)),"MISSING ID")</x:f>
        <x:v>Unassigned</x:v>
      </x:c>
      <x:c r="G102" s="4" t="str">
        <x:f>IFERROR(INDEX('Items'!$C$6:$C$1005,MATCH(D102,'Items'!$A$6:$A$1005,0)),"MISSING ID")</x:f>
        <x:v>Resources</x:v>
      </x:c>
      <x:c r="H102" s="4" t="str">
        <x:f>IFERROR(INDEX('Items'!$W$6:$W$1005,MATCH(D102,'Items'!$A$6:$A$1005,0)),"MISSING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IFERROR(INDEX('Items'!$AC$6:$AC$1005,MATCH(D102,'Items'!$A$6:$A$1005,0)),"MISSING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IFERROR(INDEX('Items'!$AF$6:$AF$1005,MATCH(D103,'Items'!$A$6:$A$1005,0)),"MISSING ID")</x:f>
        <x:v>Not applicable</x:v>
      </x:c>
      <x:c r="G103" s="4" t="str">
        <x:f>IFERROR(INDEX('Items'!$C$6:$C$1005,MATCH(D103,'Items'!$A$6:$A$1005,0)),"MISSING ID")</x:f>
        <x:v>Field supplies</x:v>
      </x:c>
      <x:c r="H103" s="4" t="str">
        <x:f>IFERROR(INDEX('Items'!$W$6:$W$1005,MATCH(D103,'Items'!$A$6:$A$1005,0)),"MISSING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IFERROR(INDEX('Items'!$AC$6:$AC$1005,MATCH(D103,'Items'!$A$6:$A$1005,0)),"MISSING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IFERROR(INDEX('Items'!$AF$6:$AF$1005,MATCH(D104,'Items'!$A$6:$A$1005,0)),"MISSING ID")</x:f>
        <x:v>T0</x:v>
      </x:c>
      <x:c r="G104" s="4" t="str">
        <x:f>IFERROR(INDEX('Items'!$C$6:$C$1005,MATCH(D104,'Items'!$A$6:$A$1005,0)),"MISSING ID")</x:f>
        <x:v>Resources</x:v>
      </x:c>
      <x:c r="H104" s="4" t="str">
        <x:f>IFERROR(INDEX('Items'!$W$6:$W$1005,MATCH(D104,'Items'!$A$6:$A$1005,0)),"MISSING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IFERROR(INDEX('Items'!$AC$6:$AC$1005,MATCH(D104,'Items'!$A$6:$A$1005,0)),"MISSING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IFERROR(INDEX('Items'!$AF$6:$AF$1005,MATCH(D105,'Items'!$A$6:$A$1005,0)),"MISSING ID")</x:f>
        <x:v>Not applicable</x:v>
      </x:c>
      <x:c r="G105" s="4" t="str">
        <x:f>IFERROR(INDEX('Items'!$C$6:$C$1005,MATCH(D105,'Items'!$A$6:$A$1005,0)),"MISSING ID")</x:f>
        <x:v>Field supplies</x:v>
      </x:c>
      <x:c r="H105" s="4" t="str">
        <x:f>IFERROR(INDEX('Items'!$W$6:$W$1005,MATCH(D105,'Items'!$A$6:$A$1005,0)),"MISSING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IFERROR(INDEX('Items'!$AC$6:$AC$1005,MATCH(D105,'Items'!$A$6:$A$1005,0)),"MISSING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IFERROR(INDEX('Items'!$AF$6:$AF$1005,MATCH(D106,'Items'!$A$6:$A$1005,0)),"MISSING ID")</x:f>
        <x:v>T1</x:v>
      </x:c>
      <x:c r="G106" s="4" t="str">
        <x:f>IFERROR(INDEX('Items'!$C$6:$C$1005,MATCH(D106,'Items'!$A$6:$A$1005,0)),"MISSING ID")</x:f>
        <x:v>Resources</x:v>
      </x:c>
      <x:c r="H106" s="4" t="str">
        <x:f>IFERROR(INDEX('Items'!$W$6:$W$1005,MATCH(D106,'Items'!$A$6:$A$1005,0)),"MISSING ID")</x:f>
        <x:v>Processed material</x:v>
      </x:c>
      <x:c r="I106" s="4"/>
      <x:c r="J106" s="4" t="str">
        <x:v>Unspecified</x:v>
      </x:c>
      <x:c r="K106" s="4" t="str">
        <x:f>IFERROR(INDEX('Crafting recipes'!$D$6:$D$1005,MATCH(B106,'Crafting recipes'!$A$6:$A$1005,0)),"MISSING ID")</x:f>
        <x:v>Concept outline</x:v>
      </x:c>
      <x:c r="L106" s="4" t="str">
        <x:f>IFERROR(INDEX('Items'!$AC$6:$AC$1005,MATCH(D106,'Items'!$A$6:$A$1005,0)),"MISSING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IFERROR(INDEX('Items'!$AF$6:$AF$1005,MATCH(D107,'Items'!$A$6:$A$1005,0)),"MISSING ID")</x:f>
        <x:v>T2</x:v>
      </x:c>
      <x:c r="G107" s="4" t="str">
        <x:f>IFERROR(INDEX('Items'!$C$6:$C$1005,MATCH(D107,'Items'!$A$6:$A$1005,0)),"MISSING ID")</x:f>
        <x:v>Resources</x:v>
      </x:c>
      <x:c r="H107" s="4" t="str">
        <x:f>IFERROR(INDEX('Items'!$W$6:$W$1005,MATCH(D107,'Items'!$A$6:$A$1005,0)),"MISSING ID")</x:f>
        <x:v>Processed material</x:v>
      </x:c>
      <x:c r="I107" s="4"/>
      <x:c r="J107" s="4" t="str">
        <x:v>Unspecified</x:v>
      </x:c>
      <x:c r="K107" s="4" t="str">
        <x:f>IFERROR(INDEX('Crafting recipes'!$D$6:$D$1005,MATCH(B107,'Crafting recipes'!$A$6:$A$1005,0)),"MISSING ID")</x:f>
        <x:v>Concept outline</x:v>
      </x:c>
      <x:c r="L107" s="4" t="str">
        <x:f>IFERROR(INDEX('Items'!$AC$6:$AC$1005,MATCH(D107,'Items'!$A$6:$A$1005,0)),"MISSING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IFERROR(INDEX('Items'!$AF$6:$AF$1005,MATCH(D108,'Items'!$A$6:$A$1005,0)),"MISSING ID")</x:f>
        <x:v>T0</x:v>
      </x:c>
      <x:c r="G108" s="4" t="str">
        <x:f>IFERROR(INDEX('Items'!$C$6:$C$1005,MATCH(D108,'Items'!$A$6:$A$1005,0)),"MISSING ID")</x:f>
        <x:v>Resources</x:v>
      </x:c>
      <x:c r="H108" s="4" t="str">
        <x:f>IFERROR(INDEX('Items'!$W$6:$W$1005,MATCH(D108,'Items'!$A$6:$A$1005,0)),"MISSING ID")</x:f>
        <x:v>Raw material</x:v>
      </x:c>
      <x:c r="I108" s="4"/>
      <x:c r="J108" s="4" t="str">
        <x:v>Unspecified</x:v>
      </x:c>
      <x:c r="K108" s="4" t="str">
        <x:f>IFERROR(INDEX('Crafting recipes'!$D$6:$D$1005,MATCH(B108,'Crafting recipes'!$A$6:$A$1005,0)),"MISSING ID")</x:f>
        <x:v>Concept outline</x:v>
      </x:c>
      <x:c r="L108" s="4" t="str">
        <x:f>IFERROR(INDEX('Items'!$AC$6:$AC$1005,MATCH(D108,'Items'!$A$6:$A$1005,0)),"MISSING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IFERROR(INDEX('Items'!$AF$6:$AF$1005,MATCH(D109,'Items'!$A$6:$A$1005,0)),"MISSING ID")</x:f>
        <x:v>T1</x:v>
      </x:c>
      <x:c r="G109" s="4" t="str">
        <x:f>IFERROR(INDEX('Items'!$C$6:$C$1005,MATCH(D109,'Items'!$A$6:$A$1005,0)),"MISSING ID")</x:f>
        <x:v>Resources</x:v>
      </x:c>
      <x:c r="H109" s="4" t="str">
        <x:f>IFERROR(INDEX('Items'!$W$6:$W$1005,MATCH(D109,'Items'!$A$6:$A$1005,0)),"MISSING ID")</x:f>
        <x:v>Processed material</x:v>
      </x:c>
      <x:c r="I109" s="4"/>
      <x:c r="J109" s="4" t="str">
        <x:v>Unspecified</x:v>
      </x:c>
      <x:c r="K109" s="4" t="str">
        <x:f>IFERROR(INDEX('Crafting recipes'!$D$6:$D$1005,MATCH(B109,'Crafting recipes'!$A$6:$A$1005,0)),"MISSING ID")</x:f>
        <x:v>Concept outline</x:v>
      </x:c>
      <x:c r="L109" s="4" t="str">
        <x:f>IFERROR(INDEX('Items'!$AC$6:$AC$1005,MATCH(D109,'Items'!$A$6:$A$1005,0)),"MISSING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IFERROR(INDEX('Items'!$AF$6:$AF$1005,MATCH(D110,'Items'!$A$6:$A$1005,0)),"MISSING ID")</x:f>
        <x:v>T0</x:v>
      </x:c>
      <x:c r="G110" s="4" t="str">
        <x:f>IFERROR(INDEX('Items'!$C$6:$C$1005,MATCH(D110,'Items'!$A$6:$A$1005,0)),"MISSING ID")</x:f>
        <x:v>Resources</x:v>
      </x:c>
      <x:c r="H110" s="4" t="str">
        <x:f>IFERROR(INDEX('Items'!$W$6:$W$1005,MATCH(D110,'Items'!$A$6:$A$1005,0)),"MISSING ID")</x:f>
        <x:v>Raw material</x:v>
      </x:c>
      <x:c r="I110" s="4"/>
      <x:c r="J110" s="4" t="str">
        <x:v>Unspecified</x:v>
      </x:c>
      <x:c r="K110" s="4" t="str">
        <x:f>IFERROR(INDEX('Crafting recipes'!$D$6:$D$1005,MATCH(B110,'Crafting recipes'!$A$6:$A$1005,0)),"MISSING ID")</x:f>
        <x:v>Needs tier review</x:v>
      </x:c>
      <x:c r="L110" s="4" t="str">
        <x:f>IFERROR(INDEX('Items'!$AC$6:$AC$1005,MATCH(D110,'Items'!$A$6:$A$1005,0)),"MISSING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IFERROR(INDEX('Items'!$AF$6:$AF$1005,MATCH(D111,'Items'!$A$6:$A$1005,0)),"MISSING ID")</x:f>
        <x:v>T2</x:v>
      </x:c>
      <x:c r="G111" s="4" t="str">
        <x:f>IFERROR(INDEX('Items'!$C$6:$C$1005,MATCH(D111,'Items'!$A$6:$A$1005,0)),"MISSING ID")</x:f>
        <x:v>Resources</x:v>
      </x:c>
      <x:c r="H111" s="4" t="str">
        <x:f>IFERROR(INDEX('Items'!$W$6:$W$1005,MATCH(D111,'Items'!$A$6:$A$1005,0)),"MISSING ID")</x:f>
        <x:v>Processed material</x:v>
      </x:c>
      <x:c r="I111" s="4"/>
      <x:c r="J111" s="4" t="str">
        <x:v>Unspecified</x:v>
      </x:c>
      <x:c r="K111" s="4" t="str">
        <x:f>IFERROR(INDEX('Crafting recipes'!$D$6:$D$1005,MATCH(B111,'Crafting recipes'!$A$6:$A$1005,0)),"MISSING ID")</x:f>
        <x:v>Needs tier review</x:v>
      </x:c>
      <x:c r="L111" s="4" t="str">
        <x:f>IFERROR(INDEX('Items'!$AC$6:$AC$1005,MATCH(D111,'Items'!$A$6:$A$1005,0)),"MISSING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IFERROR(INDEX('Items'!$AF$6:$AF$1005,MATCH(D112,'Items'!$A$6:$A$1005,0)),"MISSING ID")</x:f>
        <x:v>T0</x:v>
      </x:c>
      <x:c r="G112" s="4" t="str">
        <x:f>IFERROR(INDEX('Items'!$C$6:$C$1005,MATCH(D112,'Items'!$A$6:$A$1005,0)),"MISSING ID")</x:f>
        <x:v>Resources</x:v>
      </x:c>
      <x:c r="H112" s="4" t="str">
        <x:f>IFERROR(INDEX('Items'!$W$6:$W$1005,MATCH(D112,'Items'!$A$6:$A$1005,0)),"MISSING ID")</x:f>
        <x:v>Raw material</x:v>
      </x:c>
      <x:c r="I112" s="4"/>
      <x:c r="J112" s="4" t="str">
        <x:v>Unspecified</x:v>
      </x:c>
      <x:c r="K112" s="4" t="str">
        <x:f>IFERROR(INDEX('Crafting recipes'!$D$6:$D$1005,MATCH(B112,'Crafting recipes'!$A$6:$A$1005,0)),"MISSING ID")</x:f>
        <x:v>Needs tier review</x:v>
      </x:c>
      <x:c r="L112" s="4" t="str">
        <x:f>IFERROR(INDEX('Items'!$AC$6:$AC$1005,MATCH(D112,'Items'!$A$6:$A$1005,0)),"MISSING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IFERROR(INDEX('Items'!$AF$6:$AF$1005,MATCH(D113,'Items'!$A$6:$A$1005,0)),"MISSING ID")</x:f>
        <x:v>T2</x:v>
      </x:c>
      <x:c r="G113" s="4" t="str">
        <x:f>IFERROR(INDEX('Items'!$C$6:$C$1005,MATCH(D113,'Items'!$A$6:$A$1005,0)),"MISSING ID")</x:f>
        <x:v>Crafting components</x:v>
      </x:c>
      <x:c r="H113" s="4" t="str">
        <x:f>IFERROR(INDEX('Items'!$W$6:$W$1005,MATCH(D113,'Items'!$A$6:$A$1005,0)),"MISSING ID")</x:f>
        <x:v>Crafting component</x:v>
      </x:c>
      <x:c r="I113" s="4"/>
      <x:c r="J113" s="4" t="str">
        <x:v>Unspecified</x:v>
      </x:c>
      <x:c r="K113" s="4" t="str">
        <x:f>IFERROR(INDEX('Crafting recipes'!$D$6:$D$1005,MATCH(B113,'Crafting recipes'!$A$6:$A$1005,0)),"MISSING ID")</x:f>
        <x:v>Needs tier review</x:v>
      </x:c>
      <x:c r="L113" s="4" t="str">
        <x:f>IFERROR(INDEX('Items'!$AC$6:$AC$1005,MATCH(D113,'Items'!$A$6:$A$1005,0)),"MISSING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IFERROR(INDEX('Items'!$AF$6:$AF$1005,MATCH(D114,'Items'!$A$6:$A$1005,0)),"MISSING ID")</x:f>
        <x:v>T0</x:v>
      </x:c>
      <x:c r="G114" s="4" t="str">
        <x:f>IFERROR(INDEX('Items'!$C$6:$C$1005,MATCH(D114,'Items'!$A$6:$A$1005,0)),"MISSING ID")</x:f>
        <x:v>Resources</x:v>
      </x:c>
      <x:c r="H114" s="4" t="str">
        <x:f>IFERROR(INDEX('Items'!$W$6:$W$1005,MATCH(D114,'Items'!$A$6:$A$1005,0)),"MISSING ID")</x:f>
        <x:v>Raw material</x:v>
      </x:c>
      <x:c r="I114" s="4"/>
      <x:c r="J114" s="4" t="str">
        <x:v>Unspecified</x:v>
      </x:c>
      <x:c r="K114" s="4" t="str">
        <x:f>IFERROR(INDEX('Crafting recipes'!$D$6:$D$1005,MATCH(B114,'Crafting recipes'!$A$6:$A$1005,0)),"MISSING ID")</x:f>
        <x:v>Concept outline</x:v>
      </x:c>
      <x:c r="L114" s="4" t="str">
        <x:f>IFERROR(INDEX('Items'!$AC$6:$AC$1005,MATCH(D114,'Items'!$A$6:$A$1005,0)),"MISSING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IFERROR(INDEX('Items'!$AF$6:$AF$1005,MATCH(D115,'Items'!$A$6:$A$1005,0)),"MISSING ID")</x:f>
        <x:v>Unassigned</x:v>
      </x:c>
      <x:c r="G115" s="4" t="str">
        <x:f>IFERROR(INDEX('Items'!$C$6:$C$1005,MATCH(D115,'Items'!$A$6:$A$1005,0)),"MISSING ID")</x:f>
        <x:v>Crafting components</x:v>
      </x:c>
      <x:c r="H115" s="4" t="str">
        <x:f>IFERROR(INDEX('Items'!$W$6:$W$1005,MATCH(D115,'Items'!$A$6:$A$1005,0)),"MISSING ID")</x:f>
        <x:v>Crafting component</x:v>
      </x:c>
      <x:c r="I115" s="4"/>
      <x:c r="J115" s="4" t="str">
        <x:v>Unspecified</x:v>
      </x:c>
      <x:c r="K115" s="4" t="str">
        <x:f>IFERROR(INDEX('Crafting recipes'!$D$6:$D$1005,MATCH(B115,'Crafting recipes'!$A$6:$A$1005,0)),"MISSING ID")</x:f>
        <x:v>Concept outline</x:v>
      </x:c>
      <x:c r="L115" s="4" t="str">
        <x:f>IFERROR(INDEX('Items'!$AC$6:$AC$1005,MATCH(D115,'Items'!$A$6:$A$1005,0)),"MISSING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IFERROR(INDEX('Items'!$AF$6:$AF$1005,MATCH(D116,'Items'!$A$6:$A$1005,0)),"MISSING ID")</x:f>
        <x:v>T0</x:v>
      </x:c>
      <x:c r="G116" s="4" t="str">
        <x:f>IFERROR(INDEX('Items'!$C$6:$C$1005,MATCH(D116,'Items'!$A$6:$A$1005,0)),"MISSING ID")</x:f>
        <x:v>Resources</x:v>
      </x:c>
      <x:c r="H116" s="4" t="str">
        <x:f>IFERROR(INDEX('Items'!$W$6:$W$1005,MATCH(D116,'Items'!$A$6:$A$1005,0)),"MISSING ID")</x:f>
        <x:v>Raw material</x:v>
      </x:c>
      <x:c r="I116" s="4"/>
      <x:c r="J116" s="4" t="str">
        <x:v>Unspecified</x:v>
      </x:c>
      <x:c r="K116" s="4" t="str">
        <x:f>IFERROR(INDEX('Crafting recipes'!$D$6:$D$1005,MATCH(B116,'Crafting recipes'!$A$6:$A$1005,0)),"MISSING ID")</x:f>
        <x:v>Concept outline</x:v>
      </x:c>
      <x:c r="L116" s="4" t="str">
        <x:f>IFERROR(INDEX('Items'!$AC$6:$AC$1005,MATCH(D116,'Items'!$A$6:$A$1005,0)),"MISSING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IFERROR(INDEX('Items'!$AF$6:$AF$1005,MATCH(D117,'Items'!$A$6:$A$1005,0)),"MISSING ID")</x:f>
        <x:v>Unassigned</x:v>
      </x:c>
      <x:c r="G117" s="4" t="str">
        <x:f>IFERROR(INDEX('Items'!$C$6:$C$1005,MATCH(D117,'Items'!$A$6:$A$1005,0)),"MISSING ID")</x:f>
        <x:v>Crafting components</x:v>
      </x:c>
      <x:c r="H117" s="4" t="str">
        <x:f>IFERROR(INDEX('Items'!$W$6:$W$1005,MATCH(D117,'Items'!$A$6:$A$1005,0)),"MISSING ID")</x:f>
        <x:v>Crafting component</x:v>
      </x:c>
      <x:c r="I117" s="4"/>
      <x:c r="J117" s="4" t="str">
        <x:v>Unspecified</x:v>
      </x:c>
      <x:c r="K117" s="4" t="str">
        <x:f>IFERROR(INDEX('Crafting recipes'!$D$6:$D$1005,MATCH(B117,'Crafting recipes'!$A$6:$A$1005,0)),"MISSING ID")</x:f>
        <x:v>Concept outline</x:v>
      </x:c>
      <x:c r="L117" s="4" t="str">
        <x:f>IFERROR(INDEX('Items'!$AC$6:$AC$1005,MATCH(D117,'Items'!$A$6:$A$1005,0)),"MISSING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IFERROR(INDEX('Items'!$AF$6:$AF$1005,MATCH(D118,'Items'!$A$6:$A$1005,0)),"MISSING ID")</x:f>
        <x:v>Unassigned</x:v>
      </x:c>
      <x:c r="G118" s="4" t="str">
        <x:f>IFERROR(INDEX('Items'!$C$6:$C$1005,MATCH(D118,'Items'!$A$6:$A$1005,0)),"MISSING ID")</x:f>
        <x:v>Resources</x:v>
      </x:c>
      <x:c r="H118" s="4" t="str">
        <x:f>IFERROR(INDEX('Items'!$W$6:$W$1005,MATCH(D118,'Items'!$A$6:$A$1005,0)),"MISSING ID")</x:f>
        <x:v>Raw material</x:v>
      </x:c>
      <x:c r="I118" s="4"/>
      <x:c r="J118" s="4" t="str">
        <x:v>Unspecified</x:v>
      </x:c>
      <x:c r="K118" s="4" t="str">
        <x:f>IFERROR(INDEX('Crafting recipes'!$D$6:$D$1005,MATCH(B118,'Crafting recipes'!$A$6:$A$1005,0)),"MISSING ID")</x:f>
        <x:v>Withheld</x:v>
      </x:c>
      <x:c r="L118" s="4" t="str">
        <x:f>IFERROR(INDEX('Items'!$AC$6:$AC$1005,MATCH(D118,'Items'!$A$6:$A$1005,0)),"MISSING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IFERROR(INDEX('Items'!$AF$6:$AF$1005,MATCH(D119,'Items'!$A$6:$A$1005,0)),"MISSING ID")</x:f>
        <x:v>Unassigned</x:v>
      </x:c>
      <x:c r="G119" s="4" t="str">
        <x:f>IFERROR(INDEX('Items'!$C$6:$C$1005,MATCH(D119,'Items'!$A$6:$A$1005,0)),"MISSING ID")</x:f>
        <x:v>Crafting components</x:v>
      </x:c>
      <x:c r="H119" s="4" t="str">
        <x:f>IFERROR(INDEX('Items'!$W$6:$W$1005,MATCH(D119,'Items'!$A$6:$A$1005,0)),"MISSING ID")</x:f>
        <x:v>Processed material</x:v>
      </x:c>
      <x:c r="I119" s="4"/>
      <x:c r="J119" s="4" t="str">
        <x:v>Unspecified</x:v>
      </x:c>
      <x:c r="K119" s="4" t="str">
        <x:f>IFERROR(INDEX('Crafting recipes'!$D$6:$D$1005,MATCH(B119,'Crafting recipes'!$A$6:$A$1005,0)),"MISSING ID")</x:f>
        <x:v>Withheld</x:v>
      </x:c>
      <x:c r="L119" s="4" t="str">
        <x:f>IFERROR(INDEX('Items'!$AC$6:$AC$1005,MATCH(D119,'Items'!$A$6:$A$1005,0)),"MISSING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IFERROR(INDEX('Items'!$AF$6:$AF$1005,MATCH(D120,'Items'!$A$6:$A$1005,0)),"MISSING ID")</x:f>
        <x:v>T0</x:v>
      </x:c>
      <x:c r="G120" s="4" t="str">
        <x:f>IFERROR(INDEX('Items'!$C$6:$C$1005,MATCH(D120,'Items'!$A$6:$A$1005,0)),"MISSING ID")</x:f>
        <x:v>Resources</x:v>
      </x:c>
      <x:c r="H120" s="4" t="str">
        <x:f>IFERROR(INDEX('Items'!$W$6:$W$1005,MATCH(D120,'Items'!$A$6:$A$1005,0)),"MISSING ID")</x:f>
        <x:v>Raw material</x:v>
      </x:c>
      <x:c r="I120" s="4"/>
      <x:c r="J120" s="4" t="str">
        <x:v>Unspecified</x:v>
      </x:c>
      <x:c r="K120" s="4" t="str">
        <x:f>IFERROR(INDEX('Crafting recipes'!$D$6:$D$1005,MATCH(B120,'Crafting recipes'!$A$6:$A$1005,0)),"MISSING ID")</x:f>
        <x:v>Concept outline</x:v>
      </x:c>
      <x:c r="L120" s="4" t="str">
        <x:f>IFERROR(INDEX('Items'!$AC$6:$AC$1005,MATCH(D120,'Items'!$A$6:$A$1005,0)),"MISSING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IFERROR(INDEX('Items'!$AF$6:$AF$1005,MATCH(D121,'Items'!$A$6:$A$1005,0)),"MISSING ID")</x:f>
        <x:v>Unassigned</x:v>
      </x:c>
      <x:c r="G121" s="4" t="str">
        <x:f>IFERROR(INDEX('Items'!$C$6:$C$1005,MATCH(D121,'Items'!$A$6:$A$1005,0)),"MISSING ID")</x:f>
        <x:v>Crafting components</x:v>
      </x:c>
      <x:c r="H121" s="4" t="str">
        <x:f>IFERROR(INDEX('Items'!$W$6:$W$1005,MATCH(D121,'Items'!$A$6:$A$1005,0)),"MISSING ID")</x:f>
        <x:v>Crafting component</x:v>
      </x:c>
      <x:c r="I121" s="4"/>
      <x:c r="J121" s="4" t="str">
        <x:v>Unspecified</x:v>
      </x:c>
      <x:c r="K121" s="4" t="str">
        <x:f>IFERROR(INDEX('Crafting recipes'!$D$6:$D$1005,MATCH(B121,'Crafting recipes'!$A$6:$A$1005,0)),"MISSING ID")</x:f>
        <x:v>Concept outline</x:v>
      </x:c>
      <x:c r="L121" s="4" t="str">
        <x:f>IFERROR(INDEX('Items'!$AC$6:$AC$1005,MATCH(D121,'Items'!$A$6:$A$1005,0)),"MISSING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IFERROR(INDEX('Items'!$AF$6:$AF$1005,MATCH(D122,'Items'!$A$6:$A$1005,0)),"MISSING ID")</x:f>
        <x:v>T0</x:v>
      </x:c>
      <x:c r="G122" s="4" t="str">
        <x:f>IFERROR(INDEX('Items'!$C$6:$C$1005,MATCH(D122,'Items'!$A$6:$A$1005,0)),"MISSING ID")</x:f>
        <x:v>Resources</x:v>
      </x:c>
      <x:c r="H122" s="4" t="str">
        <x:f>IFERROR(INDEX('Items'!$W$6:$W$1005,MATCH(D122,'Items'!$A$6:$A$1005,0)),"MISSING ID")</x:f>
        <x:v>Raw material</x:v>
      </x:c>
      <x:c r="I122" s="4"/>
      <x:c r="J122" s="4" t="str">
        <x:v>Unspecified</x:v>
      </x:c>
      <x:c r="K122" s="4" t="str">
        <x:f>IFERROR(INDEX('Crafting recipes'!$D$6:$D$1005,MATCH(B122,'Crafting recipes'!$A$6:$A$1005,0)),"MISSING ID")</x:f>
        <x:v>Concept outline</x:v>
      </x:c>
      <x:c r="L122" s="4" t="str">
        <x:f>IFERROR(INDEX('Items'!$AC$6:$AC$1005,MATCH(D122,'Items'!$A$6:$A$1005,0)),"MISSING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IFERROR(INDEX('Items'!$AF$6:$AF$1005,MATCH(D123,'Items'!$A$6:$A$1005,0)),"MISSING ID")</x:f>
        <x:v>Not applicable</x:v>
      </x:c>
      <x:c r="G123" s="4" t="str">
        <x:f>IFERROR(INDEX('Items'!$C$6:$C$1005,MATCH(D123,'Items'!$A$6:$A$1005,0)),"MISSING ID")</x:f>
        <x:v>Equipment</x:v>
      </x:c>
      <x:c r="H123" s="4" t="str">
        <x:f>IFERROR(INDEX('Items'!$W$6:$W$1005,MATCH(D123,'Items'!$A$6:$A$1005,0)),"MISSING ID")</x:f>
        <x:v>Tool</x:v>
      </x:c>
      <x:c r="I123" s="4"/>
      <x:c r="J123" s="4" t="str">
        <x:v>Unspecified</x:v>
      </x:c>
      <x:c r="K123" s="4" t="str">
        <x:f>IFERROR(INDEX('Crafting recipes'!$D$6:$D$1005,MATCH(B123,'Crafting recipes'!$A$6:$A$1005,0)),"MISSING ID")</x:f>
        <x:v>Concept outline</x:v>
      </x:c>
      <x:c r="L123" s="4" t="str">
        <x:f>IFERROR(INDEX('Items'!$AC$6:$AC$1005,MATCH(D123,'Items'!$A$6:$A$1005,0)),"MISSING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IFERROR(INDEX('Items'!$AF$6:$AF$1005,MATCH(D124,'Items'!$A$6:$A$1005,0)),"MISSING ID")</x:f>
        <x:v>T1</x:v>
      </x:c>
      <x:c r="G124" s="4" t="str">
        <x:f>IFERROR(INDEX('Items'!$C$6:$C$1005,MATCH(D124,'Items'!$A$6:$A$1005,0)),"MISSING ID")</x:f>
        <x:v>Resources</x:v>
      </x:c>
      <x:c r="H124" s="4" t="str">
        <x:f>IFERROR(INDEX('Items'!$W$6:$W$1005,MATCH(D124,'Items'!$A$6:$A$1005,0)),"MISSING ID")</x:f>
        <x:v>Processed material</x:v>
      </x:c>
      <x:c r="I124" s="4"/>
      <x:c r="J124" s="4" t="str">
        <x:v>Unspecified</x:v>
      </x:c>
      <x:c r="K124" s="4" t="str">
        <x:f>IFERROR(INDEX('Crafting recipes'!$D$6:$D$1005,MATCH(B124,'Crafting recipes'!$A$6:$A$1005,0)),"MISSING ID")</x:f>
        <x:v>Concept outline</x:v>
      </x:c>
      <x:c r="L124" s="4" t="str">
        <x:f>IFERROR(INDEX('Items'!$AC$6:$AC$1005,MATCH(D124,'Items'!$A$6:$A$1005,0)),"MISSING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IFERROR(INDEX('Items'!$AF$6:$AF$1005,MATCH(D125,'Items'!$A$6:$A$1005,0)),"MISSING ID")</x:f>
        <x:v>Not applicable</x:v>
      </x:c>
      <x:c r="G125" s="4" t="str">
        <x:f>IFERROR(INDEX('Items'!$C$6:$C$1005,MATCH(D125,'Items'!$A$6:$A$1005,0)),"MISSING ID")</x:f>
        <x:v>Equipment</x:v>
      </x:c>
      <x:c r="H125" s="4" t="str">
        <x:f>IFERROR(INDEX('Items'!$W$6:$W$1005,MATCH(D125,'Items'!$A$6:$A$1005,0)),"MISSING ID")</x:f>
        <x:v>Tool</x:v>
      </x:c>
      <x:c r="I125" s="4"/>
      <x:c r="J125" s="4" t="str">
        <x:v>Unspecified</x:v>
      </x:c>
      <x:c r="K125" s="4" t="str">
        <x:f>IFERROR(INDEX('Crafting recipes'!$D$6:$D$1005,MATCH(B125,'Crafting recipes'!$A$6:$A$1005,0)),"MISSING ID")</x:f>
        <x:v>Concept outline</x:v>
      </x:c>
      <x:c r="L125" s="4" t="str">
        <x:f>IFERROR(INDEX('Items'!$AC$6:$AC$1005,MATCH(D125,'Items'!$A$6:$A$1005,0)),"MISSING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IFERROR(INDEX('Items'!$AF$6:$AF$1005,MATCH(D126,'Items'!$A$6:$A$1005,0)),"MISSING ID")</x:f>
        <x:v>T0</x:v>
      </x:c>
      <x:c r="G126" s="4" t="str">
        <x:f>IFERROR(INDEX('Items'!$C$6:$C$1005,MATCH(D126,'Items'!$A$6:$A$1005,0)),"MISSING ID")</x:f>
        <x:v>Resources</x:v>
      </x:c>
      <x:c r="H126" s="4" t="str">
        <x:f>IFERROR(INDEX('Items'!$W$6:$W$1005,MATCH(D126,'Items'!$A$6:$A$1005,0)),"MISSING ID")</x:f>
        <x:v>Raw material</x:v>
      </x:c>
      <x:c r="I126" s="4"/>
      <x:c r="J126" s="4" t="str">
        <x:v>Unspecified</x:v>
      </x:c>
      <x:c r="K126" s="4" t="str">
        <x:f>IFERROR(INDEX('Crafting recipes'!$D$6:$D$1005,MATCH(B126,'Crafting recipes'!$A$6:$A$1005,0)),"MISSING ID")</x:f>
        <x:v>Concept outline</x:v>
      </x:c>
      <x:c r="L126" s="4" t="str">
        <x:f>IFERROR(INDEX('Items'!$AC$6:$AC$1005,MATCH(D126,'Items'!$A$6:$A$1005,0)),"MISSING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IFERROR(INDEX('Items'!$AF$6:$AF$1005,MATCH(D127,'Items'!$A$6:$A$1005,0)),"MISSING ID")</x:f>
        <x:v>Unassigned</x:v>
      </x:c>
      <x:c r="G127" s="4" t="str">
        <x:f>IFERROR(INDEX('Items'!$C$6:$C$1005,MATCH(D127,'Items'!$A$6:$A$1005,0)),"MISSING ID")</x:f>
        <x:v>Resources</x:v>
      </x:c>
      <x:c r="H127" s="4" t="str">
        <x:f>IFERROR(INDEX('Items'!$W$6:$W$1005,MATCH(D127,'Items'!$A$6:$A$1005,0)),"MISSING ID")</x:f>
        <x:v>Raw material</x:v>
      </x:c>
      <x:c r="I127" s="4"/>
      <x:c r="J127" s="4" t="str">
        <x:v>Unspecified</x:v>
      </x:c>
      <x:c r="K127" s="4" t="str">
        <x:f>IFERROR(INDEX('Crafting recipes'!$D$6:$D$1005,MATCH(B127,'Crafting recipes'!$A$6:$A$1005,0)),"MISSING ID")</x:f>
        <x:v>Concept outline</x:v>
      </x:c>
      <x:c r="L127" s="4" t="str">
        <x:f>IFERROR(INDEX('Items'!$AC$6:$AC$1005,MATCH(D127,'Items'!$A$6:$A$1005,0)),"MISSING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IFERROR(INDEX('Items'!$AF$6:$AF$1005,MATCH(D128,'Items'!$A$6:$A$1005,0)),"MISSING ID")</x:f>
        <x:v>Unassigned</x:v>
      </x:c>
      <x:c r="G128" s="4" t="str">
        <x:f>IFERROR(INDEX('Items'!$C$6:$C$1005,MATCH(D128,'Items'!$A$6:$A$1005,0)),"MISSING ID")</x:f>
        <x:v>Resources</x:v>
      </x:c>
      <x:c r="H128" s="4" t="str">
        <x:f>IFERROR(INDEX('Items'!$W$6:$W$1005,MATCH(D128,'Items'!$A$6:$A$1005,0)),"MISSING ID")</x:f>
        <x:v>Raw material</x:v>
      </x:c>
      <x:c r="I128" s="4"/>
      <x:c r="J128" s="4" t="str">
        <x:v>Unspecified</x:v>
      </x:c>
      <x:c r="K128" s="4" t="str">
        <x:f>IFERROR(INDEX('Crafting recipes'!$D$6:$D$1005,MATCH(B128,'Crafting recipes'!$A$6:$A$1005,0)),"MISSING ID")</x:f>
        <x:v>Concept outline</x:v>
      </x:c>
      <x:c r="L128" s="4" t="str">
        <x:f>IFERROR(INDEX('Items'!$AC$6:$AC$1005,MATCH(D128,'Items'!$A$6:$A$1005,0)),"MISSING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1</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IFERROR(INDEX('Items'!$AF$6:$AF$1005,MATCH(D129,'Items'!$A$6:$A$1005,0)),"MISSING ID")</x:f>
        <x:v>T0</x:v>
      </x:c>
      <x:c r="G129" s="4" t="str">
        <x:f>IFERROR(INDEX('Items'!$C$6:$C$1005,MATCH(D129,'Items'!$A$6:$A$1005,0)),"MISSING ID")</x:f>
        <x:v>Resources</x:v>
      </x:c>
      <x:c r="H129" s="4" t="str">
        <x:f>IFERROR(INDEX('Items'!$W$6:$W$1005,MATCH(D129,'Items'!$A$6:$A$1005,0)),"MISSING ID")</x:f>
        <x:v>Processed material</x:v>
      </x:c>
      <x:c r="I129" s="4"/>
      <x:c r="J129" s="4" t="str">
        <x:v>Unspecified</x:v>
      </x:c>
      <x:c r="K129" s="4" t="str">
        <x:f>IFERROR(INDEX('Crafting recipes'!$D$6:$D$1005,MATCH(B129,'Crafting recipes'!$A$6:$A$1005,0)),"MISSING ID")</x:f>
        <x:v>Concept outline</x:v>
      </x:c>
      <x:c r="L129" s="4" t="str">
        <x:f>IFERROR(INDEX('Items'!$AC$6:$AC$1005,MATCH(D129,'Items'!$A$6:$A$1005,0)),"MISSING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IFERROR(INDEX('Items'!$AF$6:$AF$1005,MATCH(D130,'Items'!$A$6:$A$1005,0)),"MISSING ID")</x:f>
        <x:v>T0</x:v>
      </x:c>
      <x:c r="G130" s="4" t="str">
        <x:f>IFERROR(INDEX('Items'!$C$6:$C$1005,MATCH(D130,'Items'!$A$6:$A$1005,0)),"MISSING ID")</x:f>
        <x:v>Resources</x:v>
      </x:c>
      <x:c r="H130" s="4" t="str">
        <x:f>IFERROR(INDEX('Items'!$W$6:$W$1005,MATCH(D130,'Items'!$A$6:$A$1005,0)),"MISSING ID")</x:f>
        <x:v>Raw material</x:v>
      </x:c>
      <x:c r="I130" s="4"/>
      <x:c r="J130" s="4" t="str">
        <x:v>Unspecified</x:v>
      </x:c>
      <x:c r="K130" s="4" t="str">
        <x:f>IFERROR(INDEX('Crafting recipes'!$D$6:$D$1005,MATCH(B130,'Crafting recipes'!$A$6:$A$1005,0)),"MISSING ID")</x:f>
        <x:v>Needs tier review</x:v>
      </x:c>
      <x:c r="L130" s="4" t="str">
        <x:f>IFERROR(INDEX('Items'!$AC$6:$AC$1005,MATCH(D130,'Items'!$A$6:$A$1005,0)),"MISSING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IFERROR(INDEX('Items'!$AF$6:$AF$1005,MATCH(D131,'Items'!$A$6:$A$1005,0)),"MISSING ID")</x:f>
        <x:v>T0</x:v>
      </x:c>
      <x:c r="G131" s="4" t="str">
        <x:f>IFERROR(INDEX('Items'!$C$6:$C$1005,MATCH(D131,'Items'!$A$6:$A$1005,0)),"MISSING ID")</x:f>
        <x:v>Resources</x:v>
      </x:c>
      <x:c r="H131" s="4" t="str">
        <x:f>IFERROR(INDEX('Items'!$W$6:$W$1005,MATCH(D131,'Items'!$A$6:$A$1005,0)),"MISSING ID")</x:f>
        <x:v>Processed material</x:v>
      </x:c>
      <x:c r="I131" s="4"/>
      <x:c r="J131" s="4" t="str">
        <x:v>Unspecified</x:v>
      </x:c>
      <x:c r="K131" s="4" t="str">
        <x:f>IFERROR(INDEX('Crafting recipes'!$D$6:$D$1005,MATCH(B131,'Crafting recipes'!$A$6:$A$1005,0)),"MISSING ID")</x:f>
        <x:v>Needs tier review</x:v>
      </x:c>
      <x:c r="L131" s="4" t="str">
        <x:f>IFERROR(INDEX('Items'!$AC$6:$AC$1005,MATCH(D131,'Items'!$A$6:$A$1005,0)),"MISSING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IFERROR(INDEX('Items'!$AF$6:$AF$1005,MATCH(D132,'Items'!$A$6:$A$1005,0)),"MISSING ID")</x:f>
        <x:v>T0</x:v>
      </x:c>
      <x:c r="G132" s="4" t="str">
        <x:f>IFERROR(INDEX('Items'!$C$6:$C$1005,MATCH(D132,'Items'!$A$6:$A$1005,0)),"MISSING ID")</x:f>
        <x:v>Resources</x:v>
      </x:c>
      <x:c r="H132" s="4" t="str">
        <x:f>IFERROR(INDEX('Items'!$W$6:$W$1005,MATCH(D132,'Items'!$A$6:$A$1005,0)),"MISSING ID")</x:f>
        <x:v>Raw material</x:v>
      </x:c>
      <x:c r="I132" s="4"/>
      <x:c r="J132" s="4" t="str">
        <x:v>Unspecified</x:v>
      </x:c>
      <x:c r="K132" s="4" t="str">
        <x:f>IFERROR(INDEX('Crafting recipes'!$D$6:$D$1005,MATCH(B132,'Crafting recipes'!$A$6:$A$1005,0)),"MISSING ID")</x:f>
        <x:v>Concept outline</x:v>
      </x:c>
      <x:c r="L132" s="4" t="str">
        <x:f>IFERROR(INDEX('Items'!$AC$6:$AC$1005,MATCH(D132,'Items'!$A$6:$A$1005,0)),"MISSING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IFERROR(INDEX('Items'!$AF$6:$AF$1005,MATCH(D133,'Items'!$A$6:$A$1005,0)),"MISSING ID")</x:f>
        <x:v>T1</x:v>
      </x:c>
      <x:c r="G133" s="4" t="str">
        <x:f>IFERROR(INDEX('Items'!$C$6:$C$1005,MATCH(D133,'Items'!$A$6:$A$1005,0)),"MISSING ID")</x:f>
        <x:v>Resources</x:v>
      </x:c>
      <x:c r="H133" s="4" t="str">
        <x:f>IFERROR(INDEX('Items'!$W$6:$W$1005,MATCH(D133,'Items'!$A$6:$A$1005,0)),"MISSING ID")</x:f>
        <x:v>Processed material</x:v>
      </x:c>
      <x:c r="I133" s="4"/>
      <x:c r="J133" s="4" t="str">
        <x:v>Unspecified</x:v>
      </x:c>
      <x:c r="K133" s="4" t="str">
        <x:f>IFERROR(INDEX('Crafting recipes'!$D$6:$D$1005,MATCH(B133,'Crafting recipes'!$A$6:$A$1005,0)),"MISSING ID")</x:f>
        <x:v>Concept outline</x:v>
      </x:c>
      <x:c r="L133" s="4" t="str">
        <x:f>IFERROR(INDEX('Items'!$AC$6:$AC$1005,MATCH(D133,'Items'!$A$6:$A$1005,0)),"MISSING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IFERROR(INDEX('Items'!$AF$6:$AF$1005,MATCH(D134,'Items'!$A$6:$A$1005,0)),"MISSING ID")</x:f>
        <x:v>T0</x:v>
      </x:c>
      <x:c r="G134" s="4" t="str">
        <x:f>IFERROR(INDEX('Items'!$C$6:$C$1005,MATCH(D134,'Items'!$A$6:$A$1005,0)),"MISSING ID")</x:f>
        <x:v>Resources</x:v>
      </x:c>
      <x:c r="H134" s="4" t="str">
        <x:f>IFERROR(INDEX('Items'!$W$6:$W$1005,MATCH(D134,'Items'!$A$6:$A$1005,0)),"MISSING ID")</x:f>
        <x:v>Raw material</x:v>
      </x:c>
      <x:c r="I134" s="4"/>
      <x:c r="J134" s="4" t="str">
        <x:v>Unspecified</x:v>
      </x:c>
      <x:c r="K134" s="4" t="str">
        <x:f>IFERROR(INDEX('Crafting recipes'!$D$6:$D$1005,MATCH(B134,'Crafting recipes'!$A$6:$A$1005,0)),"MISSING ID")</x:f>
        <x:v>Concept outline</x:v>
      </x:c>
      <x:c r="L134" s="4" t="str">
        <x:f>IFERROR(INDEX('Items'!$AC$6:$AC$1005,MATCH(D134,'Items'!$A$6:$A$1005,0)),"MISSING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IFERROR(INDEX('Items'!$AF$6:$AF$1005,MATCH(D135,'Items'!$A$6:$A$1005,0)),"MISSING ID")</x:f>
        <x:v>Unassigned</x:v>
      </x:c>
      <x:c r="G135" s="4" t="str">
        <x:f>IFERROR(INDEX('Items'!$C$6:$C$1005,MATCH(D135,'Items'!$A$6:$A$1005,0)),"MISSING ID")</x:f>
        <x:v>Resources</x:v>
      </x:c>
      <x:c r="H135" s="4" t="str">
        <x:f>IFERROR(INDEX('Items'!$W$6:$W$1005,MATCH(D135,'Items'!$A$6:$A$1005,0)),"MISSING ID")</x:f>
        <x:v>Processed material</x:v>
      </x:c>
      <x:c r="I135" s="4"/>
      <x:c r="J135" s="4" t="str">
        <x:v>Unspecified</x:v>
      </x:c>
      <x:c r="K135" s="4" t="str">
        <x:f>IFERROR(INDEX('Crafting recipes'!$D$6:$D$1005,MATCH(B135,'Crafting recipes'!$A$6:$A$1005,0)),"MISSING ID")</x:f>
        <x:v>Concept outline</x:v>
      </x:c>
      <x:c r="L135" s="4" t="str">
        <x:f>IFERROR(INDEX('Items'!$AC$6:$AC$1005,MATCH(D135,'Items'!$A$6:$A$1005,0)),"MISSING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IFERROR(INDEX('Items'!$AF$6:$AF$1005,MATCH(D136,'Items'!$A$6:$A$1005,0)),"MISSING ID")</x:f>
        <x:v>T0</x:v>
      </x:c>
      <x:c r="G136" s="4" t="str">
        <x:f>IFERROR(INDEX('Items'!$C$6:$C$1005,MATCH(D136,'Items'!$A$6:$A$1005,0)),"MISSING ID")</x:f>
        <x:v>Resources</x:v>
      </x:c>
      <x:c r="H136" s="4" t="str">
        <x:f>IFERROR(INDEX('Items'!$W$6:$W$1005,MATCH(D136,'Items'!$A$6:$A$1005,0)),"MISSING ID")</x:f>
        <x:v>Processed material</x:v>
      </x:c>
      <x:c r="I136" s="4"/>
      <x:c r="J136" s="4" t="str">
        <x:v>Unspecified</x:v>
      </x:c>
      <x:c r="K136" s="4" t="str">
        <x:f>IFERROR(INDEX('Crafting recipes'!$D$6:$D$1005,MATCH(B136,'Crafting recipes'!$A$6:$A$1005,0)),"MISSING ID")</x:f>
        <x:v>Concept outline</x:v>
      </x:c>
      <x:c r="L136" s="4" t="str">
        <x:f>IFERROR(INDEX('Items'!$AC$6:$AC$1005,MATCH(D136,'Items'!$A$6:$A$1005,0)),"MISSING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IFERROR(INDEX('Items'!$AF$6:$AF$1005,MATCH(D137,'Items'!$A$6:$A$1005,0)),"MISSING ID")</x:f>
        <x:v>Not applicable</x:v>
      </x:c>
      <x:c r="G137" s="4" t="str">
        <x:f>IFERROR(INDEX('Items'!$C$6:$C$1005,MATCH(D137,'Items'!$A$6:$A$1005,0)),"MISSING ID")</x:f>
        <x:v>Equipment</x:v>
      </x:c>
      <x:c r="H137" s="4" t="str">
        <x:f>IFERROR(INDEX('Items'!$W$6:$W$1005,MATCH(D137,'Items'!$A$6:$A$1005,0)),"MISSING ID")</x:f>
        <x:v>Tool</x:v>
      </x:c>
      <x:c r="I137" s="4"/>
      <x:c r="J137" s="4" t="str">
        <x:v>Unspecified</x:v>
      </x:c>
      <x:c r="K137" s="4" t="str">
        <x:f>IFERROR(INDEX('Crafting recipes'!$D$6:$D$1005,MATCH(B137,'Crafting recipes'!$A$6:$A$1005,0)),"MISSING ID")</x:f>
        <x:v>Concept outline</x:v>
      </x:c>
      <x:c r="L137" s="4" t="str">
        <x:f>IFERROR(INDEX('Items'!$AC$6:$AC$1005,MATCH(D137,'Items'!$A$6:$A$1005,0)),"MISSING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IFERROR(INDEX('Items'!$AF$6:$AF$1005,MATCH(D138,'Items'!$A$6:$A$1005,0)),"MISSING ID")</x:f>
        <x:v>T0</x:v>
      </x:c>
      <x:c r="G138" s="4" t="str">
        <x:f>IFERROR(INDEX('Items'!$C$6:$C$1005,MATCH(D138,'Items'!$A$6:$A$1005,0)),"MISSING ID")</x:f>
        <x:v>Resources</x:v>
      </x:c>
      <x:c r="H138" s="4" t="str">
        <x:f>IFERROR(INDEX('Items'!$W$6:$W$1005,MATCH(D138,'Items'!$A$6:$A$1005,0)),"MISSING ID")</x:f>
        <x:v>Raw material</x:v>
      </x:c>
      <x:c r="I138" s="4"/>
      <x:c r="J138" s="4" t="str">
        <x:v>Unspecified</x:v>
      </x:c>
      <x:c r="K138" s="4" t="str">
        <x:f>IFERROR(INDEX('Crafting recipes'!$D$6:$D$1005,MATCH(B138,'Crafting recipes'!$A$6:$A$1005,0)),"MISSING ID")</x:f>
        <x:v>Concept outline</x:v>
      </x:c>
      <x:c r="L138" s="4" t="str">
        <x:f>IFERROR(INDEX('Items'!$AC$6:$AC$1005,MATCH(D138,'Items'!$A$6:$A$1005,0)),"MISSING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IFERROR(INDEX('Items'!$AF$6:$AF$1005,MATCH(D139,'Items'!$A$6:$A$1005,0)),"MISSING ID")</x:f>
        <x:v>T0</x:v>
      </x:c>
      <x:c r="G139" s="4" t="str">
        <x:f>IFERROR(INDEX('Items'!$C$6:$C$1005,MATCH(D139,'Items'!$A$6:$A$1005,0)),"MISSING ID")</x:f>
        <x:v>Resources</x:v>
      </x:c>
      <x:c r="H139" s="4" t="str">
        <x:f>IFERROR(INDEX('Items'!$W$6:$W$1005,MATCH(D139,'Items'!$A$6:$A$1005,0)),"MISSING ID")</x:f>
        <x:v>Raw material</x:v>
      </x:c>
      <x:c r="I139" s="4"/>
      <x:c r="J139" s="4" t="str">
        <x:v>Unspecified</x:v>
      </x:c>
      <x:c r="K139" s="4" t="str">
        <x:f>IFERROR(INDEX('Crafting recipes'!$D$6:$D$1005,MATCH(B139,'Crafting recipes'!$A$6:$A$1005,0)),"MISSING ID")</x:f>
        <x:v>Concept outline</x:v>
      </x:c>
      <x:c r="L139" s="4" t="str">
        <x:f>IFERROR(INDEX('Items'!$AC$6:$AC$1005,MATCH(D139,'Items'!$A$6:$A$1005,0)),"MISSING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IFERROR(INDEX('Items'!$AF$6:$AF$1005,MATCH(D140,'Items'!$A$6:$A$1005,0)),"MISSING ID")</x:f>
        <x:v>T0</x:v>
      </x:c>
      <x:c r="G140" s="4" t="str">
        <x:f>IFERROR(INDEX('Items'!$C$6:$C$1005,MATCH(D140,'Items'!$A$6:$A$1005,0)),"MISSING ID")</x:f>
        <x:v>Resources</x:v>
      </x:c>
      <x:c r="H140" s="4" t="str">
        <x:f>IFERROR(INDEX('Items'!$W$6:$W$1005,MATCH(D140,'Items'!$A$6:$A$1005,0)),"MISSING ID")</x:f>
        <x:v>Raw material</x:v>
      </x:c>
      <x:c r="I140" s="4"/>
      <x:c r="J140" s="4" t="str">
        <x:v>Unspecified</x:v>
      </x:c>
      <x:c r="K140" s="4" t="str">
        <x:f>IFERROR(INDEX('Crafting recipes'!$D$6:$D$1005,MATCH(B140,'Crafting recipes'!$A$6:$A$1005,0)),"MISSING ID")</x:f>
        <x:v>Concept outline</x:v>
      </x:c>
      <x:c r="L140" s="4" t="str">
        <x:f>IFERROR(INDEX('Items'!$AC$6:$AC$1005,MATCH(D140,'Items'!$A$6:$A$1005,0)),"MISSING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IFERROR(INDEX('Items'!$AF$6:$AF$1005,MATCH(D141,'Items'!$A$6:$A$1005,0)),"MISSING ID")</x:f>
        <x:v>T0</x:v>
      </x:c>
      <x:c r="G141" s="4" t="str">
        <x:f>IFERROR(INDEX('Items'!$C$6:$C$1005,MATCH(D141,'Items'!$A$6:$A$1005,0)),"MISSING ID")</x:f>
        <x:v>Resources</x:v>
      </x:c>
      <x:c r="H141" s="4" t="str">
        <x:f>IFERROR(INDEX('Items'!$W$6:$W$1005,MATCH(D141,'Items'!$A$6:$A$1005,0)),"MISSING ID")</x:f>
        <x:v>Raw material</x:v>
      </x:c>
      <x:c r="I141" s="4"/>
      <x:c r="J141" s="4" t="str">
        <x:v>Unspecified</x:v>
      </x:c>
      <x:c r="K141" s="4" t="str">
        <x:f>IFERROR(INDEX('Crafting recipes'!$D$6:$D$1005,MATCH(B141,'Crafting recipes'!$A$6:$A$1005,0)),"MISSING ID")</x:f>
        <x:v>Concept outline</x:v>
      </x:c>
      <x:c r="L141" s="4" t="str">
        <x:f>IFERROR(INDEX('Items'!$AC$6:$AC$1005,MATCH(D141,'Items'!$A$6:$A$1005,0)),"MISSING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IFERROR(INDEX('Items'!$AF$6:$AF$1005,MATCH(D142,'Items'!$A$6:$A$1005,0)),"MISSING ID")</x:f>
        <x:v>T0</x:v>
      </x:c>
      <x:c r="G142" s="4" t="str">
        <x:f>IFERROR(INDEX('Items'!$C$6:$C$1005,MATCH(D142,'Items'!$A$6:$A$1005,0)),"MISSING ID")</x:f>
        <x:v>Resources</x:v>
      </x:c>
      <x:c r="H142" s="4" t="str">
        <x:f>IFERROR(INDEX('Items'!$W$6:$W$1005,MATCH(D142,'Items'!$A$6:$A$1005,0)),"MISSING ID")</x:f>
        <x:v>Raw material</x:v>
      </x:c>
      <x:c r="I142" s="4"/>
      <x:c r="J142" s="4" t="str">
        <x:v>Unspecified</x:v>
      </x:c>
      <x:c r="K142" s="4" t="str">
        <x:f>IFERROR(INDEX('Crafting recipes'!$D$6:$D$1005,MATCH(B142,'Crafting recipes'!$A$6:$A$1005,0)),"MISSING ID")</x:f>
        <x:v>Needs tier review</x:v>
      </x:c>
      <x:c r="L142" s="4" t="str">
        <x:f>IFERROR(INDEX('Items'!$AC$6:$AC$1005,MATCH(D142,'Items'!$A$6:$A$1005,0)),"MISSING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IFERROR(INDEX('Items'!$AF$6:$AF$1005,MATCH(D143,'Items'!$A$6:$A$1005,0)),"MISSING ID")</x:f>
        <x:v>T2</x:v>
      </x:c>
      <x:c r="G143" s="4" t="str">
        <x:f>IFERROR(INDEX('Items'!$C$6:$C$1005,MATCH(D143,'Items'!$A$6:$A$1005,0)),"MISSING ID")</x:f>
        <x:v>Crafting components</x:v>
      </x:c>
      <x:c r="H143" s="4" t="str">
        <x:f>IFERROR(INDEX('Items'!$W$6:$W$1005,MATCH(D143,'Items'!$A$6:$A$1005,0)),"MISSING ID")</x:f>
        <x:v>Processed material</x:v>
      </x:c>
      <x:c r="I143" s="4"/>
      <x:c r="J143" s="4" t="str">
        <x:v>Unspecified</x:v>
      </x:c>
      <x:c r="K143" s="4" t="str">
        <x:f>IFERROR(INDEX('Crafting recipes'!$D$6:$D$1005,MATCH(B143,'Crafting recipes'!$A$6:$A$1005,0)),"MISSING ID")</x:f>
        <x:v>Needs tier review</x:v>
      </x:c>
      <x:c r="L143" s="4" t="str">
        <x:f>IFERROR(INDEX('Items'!$AC$6:$AC$1005,MATCH(D143,'Items'!$A$6:$A$1005,0)),"MISSING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IFERROR(INDEX('Items'!$AF$6:$AF$1005,MATCH(D144,'Items'!$A$6:$A$1005,0)),"MISSING ID")</x:f>
        <x:v>T0</x:v>
      </x:c>
      <x:c r="G144" s="4" t="str">
        <x:f>IFERROR(INDEX('Items'!$C$6:$C$1005,MATCH(D144,'Items'!$A$6:$A$1005,0)),"MISSING ID")</x:f>
        <x:v>Resources</x:v>
      </x:c>
      <x:c r="H144" s="4" t="str">
        <x:f>IFERROR(INDEX('Items'!$W$6:$W$1005,MATCH(D144,'Items'!$A$6:$A$1005,0)),"MISSING ID")</x:f>
        <x:v>Raw material</x:v>
      </x:c>
      <x:c r="I144" s="4"/>
      <x:c r="J144" s="4" t="str">
        <x:v>Unspecified</x:v>
      </x:c>
      <x:c r="K144" s="4" t="str">
        <x:f>IFERROR(INDEX('Crafting recipes'!$D$6:$D$1005,MATCH(B144,'Crafting recipes'!$A$6:$A$1005,0)),"MISSING ID")</x:f>
        <x:v>Needs tier review</x:v>
      </x:c>
      <x:c r="L144" s="4" t="str">
        <x:f>IFERROR(INDEX('Items'!$AC$6:$AC$1005,MATCH(D144,'Items'!$A$6:$A$1005,0)),"MISSING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IFERROR(INDEX('Items'!$AF$6:$AF$1005,MATCH(D145,'Items'!$A$6:$A$1005,0)),"MISSING ID")</x:f>
        <x:v>T2</x:v>
      </x:c>
      <x:c r="G145" s="4" t="str">
        <x:f>IFERROR(INDEX('Items'!$C$6:$C$1005,MATCH(D145,'Items'!$A$6:$A$1005,0)),"MISSING ID")</x:f>
        <x:v>Crafting components</x:v>
      </x:c>
      <x:c r="H145" s="4" t="str">
        <x:f>IFERROR(INDEX('Items'!$W$6:$W$1005,MATCH(D145,'Items'!$A$6:$A$1005,0)),"MISSING ID")</x:f>
        <x:v>Processed material</x:v>
      </x:c>
      <x:c r="I145" s="4"/>
      <x:c r="J145" s="4" t="str">
        <x:v>Unspecified</x:v>
      </x:c>
      <x:c r="K145" s="4" t="str">
        <x:f>IFERROR(INDEX('Crafting recipes'!$D$6:$D$1005,MATCH(B145,'Crafting recipes'!$A$6:$A$1005,0)),"MISSING ID")</x:f>
        <x:v>Needs tier review</x:v>
      </x:c>
      <x:c r="L145" s="4" t="str">
        <x:f>IFERROR(INDEX('Items'!$AC$6:$AC$1005,MATCH(D145,'Items'!$A$6:$A$1005,0)),"MISSING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IFERROR(INDEX('Items'!$AF$6:$AF$1005,MATCH(D146,'Items'!$A$6:$A$1005,0)),"MISSING ID")</x:f>
        <x:v>T0</x:v>
      </x:c>
      <x:c r="G146" s="4" t="str">
        <x:f>IFERROR(INDEX('Items'!$C$6:$C$1005,MATCH(D146,'Items'!$A$6:$A$1005,0)),"MISSING ID")</x:f>
        <x:v>Resources</x:v>
      </x:c>
      <x:c r="H146" s="4" t="str">
        <x:f>IFERROR(INDEX('Items'!$W$6:$W$1005,MATCH(D146,'Items'!$A$6:$A$1005,0)),"MISSING ID")</x:f>
        <x:v>Raw material</x:v>
      </x:c>
      <x:c r="I146" s="4"/>
      <x:c r="J146" s="4" t="str">
        <x:v>Unspecified</x:v>
      </x:c>
      <x:c r="K146" s="4" t="str">
        <x:f>IFERROR(INDEX('Crafting recipes'!$D$6:$D$1005,MATCH(B146,'Crafting recipes'!$A$6:$A$1005,0)),"MISSING ID")</x:f>
        <x:v>Concept outline</x:v>
      </x:c>
      <x:c r="L146" s="4" t="str">
        <x:f>IFERROR(INDEX('Items'!$AC$6:$AC$1005,MATCH(D146,'Items'!$A$6:$A$1005,0)),"MISSING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IFERROR(INDEX('Items'!$AF$6:$AF$1005,MATCH(D147,'Items'!$A$6:$A$1005,0)),"MISSING ID")</x:f>
        <x:v>T1</x:v>
      </x:c>
      <x:c r="G147" s="4" t="str">
        <x:f>IFERROR(INDEX('Items'!$C$6:$C$1005,MATCH(D147,'Items'!$A$6:$A$1005,0)),"MISSING ID")</x:f>
        <x:v>Crafting components</x:v>
      </x:c>
      <x:c r="H147" s="4" t="str">
        <x:f>IFERROR(INDEX('Items'!$W$6:$W$1005,MATCH(D147,'Items'!$A$6:$A$1005,0)),"MISSING ID")</x:f>
        <x:v>Processed material</x:v>
      </x:c>
      <x:c r="I147" s="4"/>
      <x:c r="J147" s="4" t="str">
        <x:v>Unspecified</x:v>
      </x:c>
      <x:c r="K147" s="4" t="str">
        <x:f>IFERROR(INDEX('Crafting recipes'!$D$6:$D$1005,MATCH(B147,'Crafting recipes'!$A$6:$A$1005,0)),"MISSING ID")</x:f>
        <x:v>Concept outline</x:v>
      </x:c>
      <x:c r="L147" s="4" t="str">
        <x:f>IFERROR(INDEX('Items'!$AC$6:$AC$1005,MATCH(D147,'Items'!$A$6:$A$1005,0)),"MISSING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IFERROR(INDEX('Items'!$AF$6:$AF$1005,MATCH(D148,'Items'!$A$6:$A$1005,0)),"MISSING ID")</x:f>
        <x:v>T2</x:v>
      </x:c>
      <x:c r="G148" s="4" t="str">
        <x:f>IFERROR(INDEX('Items'!$C$6:$C$1005,MATCH(D148,'Items'!$A$6:$A$1005,0)),"MISSING ID")</x:f>
        <x:v>Crafting components</x:v>
      </x:c>
      <x:c r="H148" s="4" t="str">
        <x:f>IFERROR(INDEX('Items'!$W$6:$W$1005,MATCH(D148,'Items'!$A$6:$A$1005,0)),"MISSING ID")</x:f>
        <x:v>Processed material</x:v>
      </x:c>
      <x:c r="I148" s="4"/>
      <x:c r="J148" s="4" t="str">
        <x:v>Unspecified</x:v>
      </x:c>
      <x:c r="K148" s="4" t="str">
        <x:f>IFERROR(INDEX('Crafting recipes'!$D$6:$D$1005,MATCH(B148,'Crafting recipes'!$A$6:$A$1005,0)),"MISSING ID")</x:f>
        <x:v>Proposal</x:v>
      </x:c>
      <x:c r="L148" s="4" t="str">
        <x:f>IFERROR(INDEX('Items'!$AC$6:$AC$1005,MATCH(D148,'Items'!$A$6:$A$1005,0)),"MISSING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IFERROR(INDEX('Items'!$AF$6:$AF$1005,MATCH(D149,'Items'!$A$6:$A$1005,0)),"MISSING ID")</x:f>
        <x:v>Not applicable</x:v>
      </x:c>
      <x:c r="G149" s="4" t="str">
        <x:f>IFERROR(INDEX('Items'!$C$6:$C$1005,MATCH(D149,'Items'!$A$6:$A$1005,0)),"MISSING ID")</x:f>
        <x:v>Cultural objects</x:v>
      </x:c>
      <x:c r="H149" s="4" t="str">
        <x:f>IFERROR(INDEX('Items'!$W$6:$W$1005,MATCH(D149,'Items'!$A$6:$A$1005,0)),"MISSING ID")</x:f>
        <x:v>Document</x:v>
      </x:c>
      <x:c r="I149" s="4"/>
      <x:c r="J149" s="4" t="str">
        <x:v>Unspecified</x:v>
      </x:c>
      <x:c r="K149" s="4" t="str">
        <x:f>IFERROR(INDEX('Crafting recipes'!$D$6:$D$1005,MATCH(B149,'Crafting recipes'!$A$6:$A$1005,0)),"MISSING ID")</x:f>
        <x:v>Proposal</x:v>
      </x:c>
      <x:c r="L149" s="4" t="str">
        <x:f>IFERROR(INDEX('Items'!$AC$6:$AC$1005,MATCH(D149,'Items'!$A$6:$A$1005,0)),"MISSING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IFERROR(INDEX('Items'!$AF$6:$AF$1005,MATCH(D150,'Items'!$A$6:$A$1005,0)),"MISSING ID")</x:f>
        <x:v>T2</x:v>
      </x:c>
      <x:c r="G150" s="4" t="str">
        <x:f>IFERROR(INDEX('Items'!$C$6:$C$1005,MATCH(D150,'Items'!$A$6:$A$1005,0)),"MISSING ID")</x:f>
        <x:v>Crafting components</x:v>
      </x:c>
      <x:c r="H150" s="4" t="str">
        <x:f>IFERROR(INDEX('Items'!$W$6:$W$1005,MATCH(D150,'Items'!$A$6:$A$1005,0)),"MISSING ID")</x:f>
        <x:v>Crafting component</x:v>
      </x:c>
      <x:c r="I150" s="4"/>
      <x:c r="J150" s="4" t="str">
        <x:v>Unspecified</x:v>
      </x:c>
      <x:c r="K150" s="4" t="str">
        <x:f>IFERROR(INDEX('Crafting recipes'!$D$6:$D$1005,MATCH(B150,'Crafting recipes'!$A$6:$A$1005,0)),"MISSING ID")</x:f>
        <x:v>Proposal</x:v>
      </x:c>
      <x:c r="L150" s="4" t="str">
        <x:f>IFERROR(INDEX('Items'!$AC$6:$AC$1005,MATCH(D150,'Items'!$A$6:$A$1005,0)),"MISSING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IFERROR(INDEX('Items'!$AF$6:$AF$1005,MATCH(D151,'Items'!$A$6:$A$1005,0)),"MISSING ID")</x:f>
        <x:v>Not applicable</x:v>
      </x:c>
      <x:c r="G151" s="4" t="str">
        <x:f>IFERROR(INDEX('Items'!$C$6:$C$1005,MATCH(D151,'Items'!$A$6:$A$1005,0)),"MISSING ID")</x:f>
        <x:v>Equipment</x:v>
      </x:c>
      <x:c r="H151" s="4" t="str">
        <x:f>IFERROR(INDEX('Items'!$W$6:$W$1005,MATCH(D151,'Items'!$A$6:$A$1005,0)),"MISSING ID")</x:f>
        <x:v>Armor</x:v>
      </x:c>
      <x:c r="I151" s="4"/>
      <x:c r="J151" s="4" t="str">
        <x:v>Unspecified</x:v>
      </x:c>
      <x:c r="K151" s="4" t="str">
        <x:f>IFERROR(INDEX('Crafting recipes'!$D$6:$D$1005,MATCH(B151,'Crafting recipes'!$A$6:$A$1005,0)),"MISSING ID")</x:f>
        <x:v>Proposal</x:v>
      </x:c>
      <x:c r="L151" s="4" t="str">
        <x:f>IFERROR(INDEX('Items'!$AC$6:$AC$1005,MATCH(D151,'Items'!$A$6:$A$1005,0)),"MISSING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IFERROR(INDEX('Items'!$AF$6:$AF$1005,MATCH(D152,'Items'!$A$6:$A$1005,0)),"MISSING ID")</x:f>
        <x:v>T1</x:v>
      </x:c>
      <x:c r="G152" s="4" t="str">
        <x:f>IFERROR(INDEX('Items'!$C$6:$C$1005,MATCH(D152,'Items'!$A$6:$A$1005,0)),"MISSING ID")</x:f>
        <x:v>Resources</x:v>
      </x:c>
      <x:c r="H152" s="4" t="str">
        <x:f>IFERROR(INDEX('Items'!$W$6:$W$1005,MATCH(D152,'Items'!$A$6:$A$1005,0)),"MISSING ID")</x:f>
        <x:v>Processed material</x:v>
      </x:c>
      <x:c r="I152" s="4"/>
      <x:c r="J152" s="4" t="str">
        <x:v>Unspecified</x:v>
      </x:c>
      <x:c r="K152" s="4" t="str">
        <x:f>IFERROR(INDEX('Crafting recipes'!$D$6:$D$1005,MATCH(B152,'Crafting recipes'!$A$6:$A$1005,0)),"MISSING ID")</x:f>
        <x:v>Proposal</x:v>
      </x:c>
      <x:c r="L152" s="4" t="str">
        <x:f>IFERROR(INDEX('Items'!$AC$6:$AC$1005,MATCH(D152,'Items'!$A$6:$A$1005,0)),"MISSING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IFERROR(INDEX('Items'!$AF$6:$AF$1005,MATCH(D153,'Items'!$A$6:$A$1005,0)),"MISSING ID")</x:f>
        <x:v>Not applicable</x:v>
      </x:c>
      <x:c r="G153" s="4" t="str">
        <x:f>IFERROR(INDEX('Items'!$C$6:$C$1005,MATCH(D153,'Items'!$A$6:$A$1005,0)),"MISSING ID")</x:f>
        <x:v>Everyday objects</x:v>
      </x:c>
      <x:c r="H153" s="4" t="str">
        <x:f>IFERROR(INDEX('Items'!$W$6:$W$1005,MATCH(D153,'Items'!$A$6:$A$1005,0)),"MISSING ID")</x:f>
        <x:v>Household utensil</x:v>
      </x:c>
      <x:c r="I153" s="4"/>
      <x:c r="J153" s="4" t="str">
        <x:v>Unspecified</x:v>
      </x:c>
      <x:c r="K153" s="4" t="str">
        <x:f>IFERROR(INDEX('Crafting recipes'!$D$6:$D$1005,MATCH(B153,'Crafting recipes'!$A$6:$A$1005,0)),"MISSING ID")</x:f>
        <x:v>Proposal</x:v>
      </x:c>
      <x:c r="L153" s="4" t="str">
        <x:f>IFERROR(INDEX('Items'!$AC$6:$AC$1005,MATCH(D153,'Items'!$A$6:$A$1005,0)),"MISSING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IFERROR(INDEX('Items'!$AF$6:$AF$1005,MATCH(D154,'Items'!$A$6:$A$1005,0)),"MISSING ID")</x:f>
        <x:v>T2</x:v>
      </x:c>
      <x:c r="G154" s="4" t="str">
        <x:f>IFERROR(INDEX('Items'!$C$6:$C$1005,MATCH(D154,'Items'!$A$6:$A$1005,0)),"MISSING ID")</x:f>
        <x:v>Resources</x:v>
      </x:c>
      <x:c r="H154" s="4" t="str">
        <x:f>IFERROR(INDEX('Items'!$W$6:$W$1005,MATCH(D154,'Items'!$A$6:$A$1005,0)),"MISSING ID")</x:f>
        <x:v>Processed material</x:v>
      </x:c>
      <x:c r="I154" s="4"/>
      <x:c r="J154" s="4" t="str">
        <x:v>Unspecified</x:v>
      </x:c>
      <x:c r="K154" s="4" t="str">
        <x:f>IFERROR(INDEX('Crafting recipes'!$D$6:$D$1005,MATCH(B154,'Crafting recipes'!$A$6:$A$1005,0)),"MISSING ID")</x:f>
        <x:v>Proposal</x:v>
      </x:c>
      <x:c r="L154" s="4" t="str">
        <x:f>IFERROR(INDEX('Items'!$AC$6:$AC$1005,MATCH(D154,'Items'!$A$6:$A$1005,0)),"MISSING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IFERROR(INDEX('Items'!$AF$6:$AF$1005,MATCH(D155,'Items'!$A$6:$A$1005,0)),"MISSING ID")</x:f>
        <x:v>Not applicable</x:v>
      </x:c>
      <x:c r="G155" s="4" t="str">
        <x:f>IFERROR(INDEX('Items'!$C$6:$C$1005,MATCH(D155,'Items'!$A$6:$A$1005,0)),"MISSING ID")</x:f>
        <x:v>Equipment</x:v>
      </x:c>
      <x:c r="H155" s="4" t="str">
        <x:f>IFERROR(INDEX('Items'!$W$6:$W$1005,MATCH(D155,'Items'!$A$6:$A$1005,0)),"MISSING ID")</x:f>
        <x:v>Tool</x:v>
      </x:c>
      <x:c r="I155" s="4"/>
      <x:c r="J155" s="4" t="str">
        <x:v>Unspecified</x:v>
      </x:c>
      <x:c r="K155" s="4" t="str">
        <x:f>IFERROR(INDEX('Crafting recipes'!$D$6:$D$1005,MATCH(B155,'Crafting recipes'!$A$6:$A$1005,0)),"MISSING ID")</x:f>
        <x:v>Proposal</x:v>
      </x:c>
      <x:c r="L155" s="4" t="str">
        <x:f>IFERROR(INDEX('Items'!$AC$6:$AC$1005,MATCH(D155,'Items'!$A$6:$A$1005,0)),"MISSING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IFERROR(INDEX('Items'!$AF$6:$AF$1005,MATCH(D156,'Items'!$A$6:$A$1005,0)),"MISSING ID")</x:f>
        <x:v>Not applicable</x:v>
      </x:c>
      <x:c r="G156" s="4" t="str">
        <x:f>IFERROR(INDEX('Items'!$C$6:$C$1005,MATCH(D156,'Items'!$A$6:$A$1005,0)),"MISSING ID")</x:f>
        <x:v>Equipment</x:v>
      </x:c>
      <x:c r="H156" s="4" t="str">
        <x:f>IFERROR(INDEX('Items'!$W$6:$W$1005,MATCH(D156,'Items'!$A$6:$A$1005,0)),"MISSING ID")</x:f>
        <x:v>Tool</x:v>
      </x:c>
      <x:c r="I156" s="4"/>
      <x:c r="J156" s="4" t="str">
        <x:v>Unspecified</x:v>
      </x:c>
      <x:c r="K156" s="4" t="str">
        <x:f>IFERROR(INDEX('Crafting recipes'!$D$6:$D$1005,MATCH(B156,'Crafting recipes'!$A$6:$A$1005,0)),"MISSING ID")</x:f>
        <x:v>Proposal</x:v>
      </x:c>
      <x:c r="L156" s="4" t="str">
        <x:f>IFERROR(INDEX('Items'!$AC$6:$AC$1005,MATCH(D156,'Items'!$A$6:$A$1005,0)),"MISSING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IFERROR(INDEX('Items'!$AF$6:$AF$1005,MATCH(D157,'Items'!$A$6:$A$1005,0)),"MISSING ID")</x:f>
        <x:v>T0</x:v>
      </x:c>
      <x:c r="G157" s="4" t="str">
        <x:f>IFERROR(INDEX('Items'!$C$6:$C$1005,MATCH(D157,'Items'!$A$6:$A$1005,0)),"MISSING ID")</x:f>
        <x:v>Resources</x:v>
      </x:c>
      <x:c r="H157" s="4" t="str">
        <x:f>IFERROR(INDEX('Items'!$W$6:$W$1005,MATCH(D157,'Items'!$A$6:$A$1005,0)),"MISSING ID")</x:f>
        <x:v>Raw material</x:v>
      </x:c>
      <x:c r="I157" s="4"/>
      <x:c r="J157" s="4" t="str">
        <x:v>Unspecified</x:v>
      </x:c>
      <x:c r="K157" s="4" t="str">
        <x:f>IFERROR(INDEX('Crafting recipes'!$D$6:$D$1005,MATCH(B157,'Crafting recipes'!$A$6:$A$1005,0)),"MISSING ID")</x:f>
        <x:v>Proposal</x:v>
      </x:c>
      <x:c r="L157" s="4" t="str">
        <x:f>IFERROR(INDEX('Items'!$AC$6:$AC$1005,MATCH(D157,'Items'!$A$6:$A$1005,0)),"MISSING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IFERROR(INDEX('Items'!$AF$6:$AF$1005,MATCH(D158,'Items'!$A$6:$A$1005,0)),"MISSING ID")</x:f>
        <x:v>T0</x:v>
      </x:c>
      <x:c r="G158" s="4" t="str">
        <x:f>IFERROR(INDEX('Items'!$C$6:$C$1005,MATCH(D158,'Items'!$A$6:$A$1005,0)),"MISSING ID")</x:f>
        <x:v>Resources</x:v>
      </x:c>
      <x:c r="H158" s="4" t="str">
        <x:f>IFERROR(INDEX('Items'!$W$6:$W$1005,MATCH(D158,'Items'!$A$6:$A$1005,0)),"MISSING ID")</x:f>
        <x:v>Raw material</x:v>
      </x:c>
      <x:c r="I158" s="4"/>
      <x:c r="J158" s="4" t="str">
        <x:v>Unspecified</x:v>
      </x:c>
      <x:c r="K158" s="4" t="str">
        <x:f>IFERROR(INDEX('Crafting recipes'!$D$6:$D$1005,MATCH(B158,'Crafting recipes'!$A$6:$A$1005,0)),"MISSING ID")</x:f>
        <x:v>Proposal</x:v>
      </x:c>
      <x:c r="L158" s="4" t="str">
        <x:f>IFERROR(INDEX('Items'!$AC$6:$AC$1005,MATCH(D158,'Items'!$A$6:$A$1005,0)),"MISSING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IFERROR(INDEX('Items'!$AF$6:$AF$1005,MATCH(D159,'Items'!$A$6:$A$1005,0)),"MISSING ID")</x:f>
        <x:v>T1</x:v>
      </x:c>
      <x:c r="G159" s="4" t="str">
        <x:f>IFERROR(INDEX('Items'!$C$6:$C$1005,MATCH(D159,'Items'!$A$6:$A$1005,0)),"MISSING ID")</x:f>
        <x:v>Resources</x:v>
      </x:c>
      <x:c r="H159" s="4" t="str">
        <x:f>IFERROR(INDEX('Items'!$W$6:$W$1005,MATCH(D159,'Items'!$A$6:$A$1005,0)),"MISSING ID")</x:f>
        <x:v>Processed material</x:v>
      </x:c>
      <x:c r="I159" s="4"/>
      <x:c r="J159" s="4" t="str">
        <x:v>Unspecified</x:v>
      </x:c>
      <x:c r="K159" s="4" t="str">
        <x:f>IFERROR(INDEX('Crafting recipes'!$D$6:$D$1005,MATCH(B159,'Crafting recipes'!$A$6:$A$1005,0)),"MISSING ID")</x:f>
        <x:v>Proposal</x:v>
      </x:c>
      <x:c r="L159" s="4" t="str">
        <x:f>IFERROR(INDEX('Items'!$AC$6:$AC$1005,MATCH(D159,'Items'!$A$6:$A$1005,0)),"MISSING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IFERROR(INDEX('Items'!$AF$6:$AF$1005,MATCH(D160,'Items'!$A$6:$A$1005,0)),"MISSING ID")</x:f>
        <x:v>T0</x:v>
      </x:c>
      <x:c r="G160" s="4" t="str">
        <x:f>IFERROR(INDEX('Items'!$C$6:$C$1005,MATCH(D160,'Items'!$A$6:$A$1005,0)),"MISSING ID")</x:f>
        <x:v>Resources</x:v>
      </x:c>
      <x:c r="H160" s="4" t="str">
        <x:f>IFERROR(INDEX('Items'!$W$6:$W$1005,MATCH(D160,'Items'!$A$6:$A$1005,0)),"MISSING ID")</x:f>
        <x:v>Raw material</x:v>
      </x:c>
      <x:c r="I160" s="4"/>
      <x:c r="J160" s="4" t="str">
        <x:v>Unspecified</x:v>
      </x:c>
      <x:c r="K160" s="4" t="str">
        <x:f>IFERROR(INDEX('Crafting recipes'!$D$6:$D$1005,MATCH(B160,'Crafting recipes'!$A$6:$A$1005,0)),"MISSING ID")</x:f>
        <x:v>Proposal</x:v>
      </x:c>
      <x:c r="L160" s="4" t="str">
        <x:f>IFERROR(INDEX('Items'!$AC$6:$AC$1005,MATCH(D160,'Items'!$A$6:$A$1005,0)),"MISSING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IFERROR(INDEX('Items'!$AF$6:$AF$1005,MATCH(D161,'Items'!$A$6:$A$1005,0)),"MISSING ID")</x:f>
        <x:v>T1</x:v>
      </x:c>
      <x:c r="G161" s="4" t="str">
        <x:f>IFERROR(INDEX('Items'!$C$6:$C$1005,MATCH(D161,'Items'!$A$6:$A$1005,0)),"MISSING ID")</x:f>
        <x:v>Resources</x:v>
      </x:c>
      <x:c r="H161" s="4" t="str">
        <x:f>IFERROR(INDEX('Items'!$W$6:$W$1005,MATCH(D161,'Items'!$A$6:$A$1005,0)),"MISSING ID")</x:f>
        <x:v>Processed material</x:v>
      </x:c>
      <x:c r="I161" s="4"/>
      <x:c r="J161" s="4" t="str">
        <x:v>Unspecified</x:v>
      </x:c>
      <x:c r="K161" s="4" t="str">
        <x:f>IFERROR(INDEX('Crafting recipes'!$D$6:$D$1005,MATCH(B161,'Crafting recipes'!$A$6:$A$1005,0)),"MISSING ID")</x:f>
        <x:v>Proposal</x:v>
      </x:c>
      <x:c r="L161" s="4" t="str">
        <x:f>IFERROR(INDEX('Items'!$AC$6:$AC$1005,MATCH(D161,'Items'!$A$6:$A$1005,0)),"MISSING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IFERROR(INDEX('Items'!$AF$6:$AF$1005,MATCH(D162,'Items'!$A$6:$A$1005,0)),"MISSING ID")</x:f>
        <x:v>T0</x:v>
      </x:c>
      <x:c r="G162" s="4" t="str">
        <x:f>IFERROR(INDEX('Items'!$C$6:$C$1005,MATCH(D162,'Items'!$A$6:$A$1005,0)),"MISSING ID")</x:f>
        <x:v>Resources</x:v>
      </x:c>
      <x:c r="H162" s="4" t="str">
        <x:f>IFERROR(INDEX('Items'!$W$6:$W$1005,MATCH(D162,'Items'!$A$6:$A$1005,0)),"MISSING ID")</x:f>
        <x:v>Raw material</x:v>
      </x:c>
      <x:c r="I162" s="4"/>
      <x:c r="J162" s="4" t="str">
        <x:v>Unspecified</x:v>
      </x:c>
      <x:c r="K162" s="4" t="str">
        <x:f>IFERROR(INDEX('Crafting recipes'!$D$6:$D$1005,MATCH(B162,'Crafting recipes'!$A$6:$A$1005,0)),"MISSING ID")</x:f>
        <x:v>Proposal</x:v>
      </x:c>
      <x:c r="L162" s="4" t="str">
        <x:f>IFERROR(INDEX('Items'!$AC$6:$AC$1005,MATCH(D162,'Items'!$A$6:$A$1005,0)),"MISSING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IFERROR(INDEX('Items'!$AF$6:$AF$1005,MATCH(D163,'Items'!$A$6:$A$1005,0)),"MISSING ID")</x:f>
        <x:v>T1</x:v>
      </x:c>
      <x:c r="G163" s="4" t="str">
        <x:f>IFERROR(INDEX('Items'!$C$6:$C$1005,MATCH(D163,'Items'!$A$6:$A$1005,0)),"MISSING ID")</x:f>
        <x:v>Resources</x:v>
      </x:c>
      <x:c r="H163" s="4" t="str">
        <x:f>IFERROR(INDEX('Items'!$W$6:$W$1005,MATCH(D163,'Items'!$A$6:$A$1005,0)),"MISSING ID")</x:f>
        <x:v>Processed material</x:v>
      </x:c>
      <x:c r="I163" s="4"/>
      <x:c r="J163" s="4" t="str">
        <x:v>Unspecified</x:v>
      </x:c>
      <x:c r="K163" s="4" t="str">
        <x:f>IFERROR(INDEX('Crafting recipes'!$D$6:$D$1005,MATCH(B163,'Crafting recipes'!$A$6:$A$1005,0)),"MISSING ID")</x:f>
        <x:v>Proposal</x:v>
      </x:c>
      <x:c r="L163" s="4" t="str">
        <x:f>IFERROR(INDEX('Items'!$AC$6:$AC$1005,MATCH(D163,'Items'!$A$6:$A$1005,0)),"MISSING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IFERROR(INDEX('Items'!$AF$6:$AF$1005,MATCH(D164,'Items'!$A$6:$A$1005,0)),"MISSING ID")</x:f>
        <x:v>T0</x:v>
      </x:c>
      <x:c r="G164" s="4" t="str">
        <x:f>IFERROR(INDEX('Items'!$C$6:$C$1005,MATCH(D164,'Items'!$A$6:$A$1005,0)),"MISSING ID")</x:f>
        <x:v>Resources</x:v>
      </x:c>
      <x:c r="H164" s="4" t="str">
        <x:f>IFERROR(INDEX('Items'!$W$6:$W$1005,MATCH(D164,'Items'!$A$6:$A$1005,0)),"MISSING ID")</x:f>
        <x:v>Chemical material</x:v>
      </x:c>
      <x:c r="I164" s="4"/>
      <x:c r="J164" s="4" t="str">
        <x:v>Unspecified</x:v>
      </x:c>
      <x:c r="K164" s="4" t="str">
        <x:f>IFERROR(INDEX('Crafting recipes'!$D$6:$D$1005,MATCH(B164,'Crafting recipes'!$A$6:$A$1005,0)),"MISSING ID")</x:f>
        <x:v>Proposal</x:v>
      </x:c>
      <x:c r="L164" s="4" t="str">
        <x:f>IFERROR(INDEX('Items'!$AC$6:$AC$1005,MATCH(D164,'Items'!$A$6:$A$1005,0)),"MISSING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IFERROR(INDEX('Items'!$AF$6:$AF$1005,MATCH(D165,'Items'!$A$6:$A$1005,0)),"MISSING ID")</x:f>
        <x:v>T1</x:v>
      </x:c>
      <x:c r="G165" s="4" t="str">
        <x:f>IFERROR(INDEX('Items'!$C$6:$C$1005,MATCH(D165,'Items'!$A$6:$A$1005,0)),"MISSING ID")</x:f>
        <x:v>Resources</x:v>
      </x:c>
      <x:c r="H165" s="4" t="str">
        <x:f>IFERROR(INDEX('Items'!$W$6:$W$1005,MATCH(D165,'Items'!$A$6:$A$1005,0)),"MISSING ID")</x:f>
        <x:v>Chemical material</x:v>
      </x:c>
      <x:c r="I165" s="4"/>
      <x:c r="J165" s="4" t="str">
        <x:v>Unspecified</x:v>
      </x:c>
      <x:c r="K165" s="4" t="str">
        <x:f>IFERROR(INDEX('Crafting recipes'!$D$6:$D$1005,MATCH(B165,'Crafting recipes'!$A$6:$A$1005,0)),"MISSING ID")</x:f>
        <x:v>Proposal</x:v>
      </x:c>
      <x:c r="L165" s="4" t="str">
        <x:f>IFERROR(INDEX('Items'!$AC$6:$AC$1005,MATCH(D165,'Items'!$A$6:$A$1005,0)),"MISSING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IFERROR(INDEX('Items'!$AF$6:$AF$1005,MATCH(D166,'Items'!$A$6:$A$1005,0)),"MISSING ID")</x:f>
        <x:v>T0</x:v>
      </x:c>
      <x:c r="G166" s="4" t="str">
        <x:f>IFERROR(INDEX('Items'!$C$6:$C$1005,MATCH(D166,'Items'!$A$6:$A$1005,0)),"MISSING ID")</x:f>
        <x:v>Resources</x:v>
      </x:c>
      <x:c r="H166" s="4" t="str">
        <x:f>IFERROR(INDEX('Items'!$W$6:$W$1005,MATCH(D166,'Items'!$A$6:$A$1005,0)),"MISSING ID")</x:f>
        <x:v>Chemical material</x:v>
      </x:c>
      <x:c r="I166" s="4"/>
      <x:c r="J166" s="4" t="str">
        <x:v>Unspecified</x:v>
      </x:c>
      <x:c r="K166" s="4" t="str">
        <x:f>IFERROR(INDEX('Crafting recipes'!$D$6:$D$1005,MATCH(B166,'Crafting recipes'!$A$6:$A$1005,0)),"MISSING ID")</x:f>
        <x:v>Proposal</x:v>
      </x:c>
      <x:c r="L166" s="4" t="str">
        <x:f>IFERROR(INDEX('Items'!$AC$6:$AC$1005,MATCH(D166,'Items'!$A$6:$A$1005,0)),"MISSING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IFERROR(INDEX('Items'!$AF$6:$AF$1005,MATCH(D167,'Items'!$A$6:$A$1005,0)),"MISSING ID")</x:f>
        <x:v>T1</x:v>
      </x:c>
      <x:c r="G167" s="4" t="str">
        <x:f>IFERROR(INDEX('Items'!$C$6:$C$1005,MATCH(D167,'Items'!$A$6:$A$1005,0)),"MISSING ID")</x:f>
        <x:v>Resources</x:v>
      </x:c>
      <x:c r="H167" s="4" t="str">
        <x:f>IFERROR(INDEX('Items'!$W$6:$W$1005,MATCH(D167,'Items'!$A$6:$A$1005,0)),"MISSING ID")</x:f>
        <x:v>Chemical material</x:v>
      </x:c>
      <x:c r="I167" s="4"/>
      <x:c r="J167" s="4" t="str">
        <x:v>Unspecified</x:v>
      </x:c>
      <x:c r="K167" s="4" t="str">
        <x:f>IFERROR(INDEX('Crafting recipes'!$D$6:$D$1005,MATCH(B167,'Crafting recipes'!$A$6:$A$1005,0)),"MISSING ID")</x:f>
        <x:v>Proposal</x:v>
      </x:c>
      <x:c r="L167" s="4" t="str">
        <x:f>IFERROR(INDEX('Items'!$AC$6:$AC$1005,MATCH(D167,'Items'!$A$6:$A$1005,0)),"MISSING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IFERROR(INDEX('Items'!$AF$6:$AF$1005,MATCH(D168,'Items'!$A$6:$A$1005,0)),"MISSING ID")</x:f>
        <x:v>T1</x:v>
      </x:c>
      <x:c r="G168" s="4" t="str">
        <x:f>IFERROR(INDEX('Items'!$C$6:$C$1005,MATCH(D168,'Items'!$A$6:$A$1005,0)),"MISSING ID")</x:f>
        <x:v>Resources</x:v>
      </x:c>
      <x:c r="H168" s="4" t="str">
        <x:f>IFERROR(INDEX('Items'!$W$6:$W$1005,MATCH(D168,'Items'!$A$6:$A$1005,0)),"MISSING ID")</x:f>
        <x:v>Processed material</x:v>
      </x:c>
      <x:c r="I168" s="4"/>
      <x:c r="J168" s="4" t="str">
        <x:v>Unspecified</x:v>
      </x:c>
      <x:c r="K168" s="4" t="str">
        <x:f>IFERROR(INDEX('Crafting recipes'!$D$6:$D$1005,MATCH(B168,'Crafting recipes'!$A$6:$A$1005,0)),"MISSING ID")</x:f>
        <x:v>Proposal</x:v>
      </x:c>
      <x:c r="L168" s="4" t="str">
        <x:f>IFERROR(INDEX('Items'!$AC$6:$AC$1005,MATCH(D168,'Items'!$A$6:$A$1005,0)),"MISSING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IFERROR(INDEX('Items'!$AF$6:$AF$1005,MATCH(D169,'Items'!$A$6:$A$1005,0)),"MISSING ID")</x:f>
        <x:v>T1</x:v>
      </x:c>
      <x:c r="G169" s="4" t="str">
        <x:f>IFERROR(INDEX('Items'!$C$6:$C$1005,MATCH(D169,'Items'!$A$6:$A$1005,0)),"MISSING ID")</x:f>
        <x:v>Resources</x:v>
      </x:c>
      <x:c r="H169" s="4" t="str">
        <x:f>IFERROR(INDEX('Items'!$W$6:$W$1005,MATCH(D169,'Items'!$A$6:$A$1005,0)),"MISSING ID")</x:f>
        <x:v>Processed material</x:v>
      </x:c>
      <x:c r="I169" s="4"/>
      <x:c r="J169" s="4" t="str">
        <x:v>Unspecified</x:v>
      </x:c>
      <x:c r="K169" s="4" t="str">
        <x:f>IFERROR(INDEX('Crafting recipes'!$D$6:$D$1005,MATCH(B169,'Crafting recipes'!$A$6:$A$1005,0)),"MISSING ID")</x:f>
        <x:v>Proposal</x:v>
      </x:c>
      <x:c r="L169" s="4" t="str">
        <x:f>IFERROR(INDEX('Items'!$AC$6:$AC$1005,MATCH(D169,'Items'!$A$6:$A$1005,0)),"MISSING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IFERROR(INDEX('Items'!$AF$6:$AF$1005,MATCH(D170,'Items'!$A$6:$A$1005,0)),"MISSING ID")</x:f>
        <x:v>T1</x:v>
      </x:c>
      <x:c r="G170" s="4" t="str">
        <x:f>IFERROR(INDEX('Items'!$C$6:$C$1005,MATCH(D170,'Items'!$A$6:$A$1005,0)),"MISSING ID")</x:f>
        <x:v>Resources</x:v>
      </x:c>
      <x:c r="H170" s="4" t="str">
        <x:f>IFERROR(INDEX('Items'!$W$6:$W$1005,MATCH(D170,'Items'!$A$6:$A$1005,0)),"MISSING ID")</x:f>
        <x:v>Processed material</x:v>
      </x:c>
      <x:c r="I170" s="4"/>
      <x:c r="J170" s="4" t="str">
        <x:v>Unspecified</x:v>
      </x:c>
      <x:c r="K170" s="4" t="str">
        <x:f>IFERROR(INDEX('Crafting recipes'!$D$6:$D$1005,MATCH(B170,'Crafting recipes'!$A$6:$A$1005,0)),"MISSING ID")</x:f>
        <x:v>Proposal</x:v>
      </x:c>
      <x:c r="L170" s="4" t="str">
        <x:f>IFERROR(INDEX('Items'!$AC$6:$AC$1005,MATCH(D170,'Items'!$A$6:$A$1005,0)),"MISSING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IFERROR(INDEX('Items'!$AF$6:$AF$1005,MATCH(D171,'Items'!$A$6:$A$1005,0)),"MISSING ID")</x:f>
        <x:v>T2</x:v>
      </x:c>
      <x:c r="G171" s="4" t="str">
        <x:f>IFERROR(INDEX('Items'!$C$6:$C$1005,MATCH(D171,'Items'!$A$6:$A$1005,0)),"MISSING ID")</x:f>
        <x:v>Resources</x:v>
      </x:c>
      <x:c r="H171" s="4" t="str">
        <x:f>IFERROR(INDEX('Items'!$W$6:$W$1005,MATCH(D171,'Items'!$A$6:$A$1005,0)),"MISSING ID")</x:f>
        <x:v>Processed material</x:v>
      </x:c>
      <x:c r="I171" s="4"/>
      <x:c r="J171" s="4" t="str">
        <x:v>Unspecified</x:v>
      </x:c>
      <x:c r="K171" s="4" t="str">
        <x:f>IFERROR(INDEX('Crafting recipes'!$D$6:$D$1005,MATCH(B171,'Crafting recipes'!$A$6:$A$1005,0)),"MISSING ID")</x:f>
        <x:v>Proposal</x:v>
      </x:c>
      <x:c r="L171" s="4" t="str">
        <x:f>IFERROR(INDEX('Items'!$AC$6:$AC$1005,MATCH(D171,'Items'!$A$6:$A$1005,0)),"MISSING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IFERROR(INDEX('Items'!$AF$6:$AF$1005,MATCH(D172,'Items'!$A$6:$A$1005,0)),"MISSING ID")</x:f>
        <x:v>T1</x:v>
      </x:c>
      <x:c r="G172" s="4" t="str">
        <x:f>IFERROR(INDEX('Items'!$C$6:$C$1005,MATCH(D172,'Items'!$A$6:$A$1005,0)),"MISSING ID")</x:f>
        <x:v>Resources</x:v>
      </x:c>
      <x:c r="H172" s="4" t="str">
        <x:f>IFERROR(INDEX('Items'!$W$6:$W$1005,MATCH(D172,'Items'!$A$6:$A$1005,0)),"MISSING ID")</x:f>
        <x:v>Processed material</x:v>
      </x:c>
      <x:c r="I172" s="4"/>
      <x:c r="J172" s="4" t="str">
        <x:v>Unspecified</x:v>
      </x:c>
      <x:c r="K172" s="4" t="str">
        <x:f>IFERROR(INDEX('Crafting recipes'!$D$6:$D$1005,MATCH(B172,'Crafting recipes'!$A$6:$A$1005,0)),"MISSING ID")</x:f>
        <x:v>Proposal</x:v>
      </x:c>
      <x:c r="L172" s="4" t="str">
        <x:f>IFERROR(INDEX('Items'!$AC$6:$AC$1005,MATCH(D172,'Items'!$A$6:$A$1005,0)),"MISSING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IFERROR(INDEX('Items'!$AF$6:$AF$1005,MATCH(D173,'Items'!$A$6:$A$1005,0)),"MISSING ID")</x:f>
        <x:v>T1</x:v>
      </x:c>
      <x:c r="G173" s="4" t="str">
        <x:f>IFERROR(INDEX('Items'!$C$6:$C$1005,MATCH(D173,'Items'!$A$6:$A$1005,0)),"MISSING ID")</x:f>
        <x:v>Resources</x:v>
      </x:c>
      <x:c r="H173" s="4" t="str">
        <x:f>IFERROR(INDEX('Items'!$W$6:$W$1005,MATCH(D173,'Items'!$A$6:$A$1005,0)),"MISSING ID")</x:f>
        <x:v>Processed material</x:v>
      </x:c>
      <x:c r="I173" s="4"/>
      <x:c r="J173" s="4" t="str">
        <x:v>Unspecified</x:v>
      </x:c>
      <x:c r="K173" s="4" t="str">
        <x:f>IFERROR(INDEX('Crafting recipes'!$D$6:$D$1005,MATCH(B173,'Crafting recipes'!$A$6:$A$1005,0)),"MISSING ID")</x:f>
        <x:v>Proposal</x:v>
      </x:c>
      <x:c r="L173" s="4" t="str">
        <x:f>IFERROR(INDEX('Items'!$AC$6:$AC$1005,MATCH(D173,'Items'!$A$6:$A$1005,0)),"MISSING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IFERROR(INDEX('Items'!$AF$6:$AF$1005,MATCH(D174,'Items'!$A$6:$A$1005,0)),"MISSING ID")</x:f>
        <x:v>T1</x:v>
      </x:c>
      <x:c r="G174" s="4" t="str">
        <x:f>IFERROR(INDEX('Items'!$C$6:$C$1005,MATCH(D174,'Items'!$A$6:$A$1005,0)),"MISSING ID")</x:f>
        <x:v>Resources</x:v>
      </x:c>
      <x:c r="H174" s="4" t="str">
        <x:f>IFERROR(INDEX('Items'!$W$6:$W$1005,MATCH(D174,'Items'!$A$6:$A$1005,0)),"MISSING ID")</x:f>
        <x:v>Processed material</x:v>
      </x:c>
      <x:c r="I174" s="4"/>
      <x:c r="J174" s="4" t="str">
        <x:v>Unspecified</x:v>
      </x:c>
      <x:c r="K174" s="4" t="str">
        <x:f>IFERROR(INDEX('Crafting recipes'!$D$6:$D$1005,MATCH(B174,'Crafting recipes'!$A$6:$A$1005,0)),"MISSING ID")</x:f>
        <x:v>Proposal</x:v>
      </x:c>
      <x:c r="L174" s="4" t="str">
        <x:f>IFERROR(INDEX('Items'!$AC$6:$AC$1005,MATCH(D174,'Items'!$A$6:$A$1005,0)),"MISSING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IFERROR(INDEX('Items'!$AF$6:$AF$1005,MATCH(D175,'Items'!$A$6:$A$1005,0)),"MISSING ID")</x:f>
        <x:v>T2</x:v>
      </x:c>
      <x:c r="G175" s="4" t="str">
        <x:f>IFERROR(INDEX('Items'!$C$6:$C$1005,MATCH(D175,'Items'!$A$6:$A$1005,0)),"MISSING ID")</x:f>
        <x:v>Resources</x:v>
      </x:c>
      <x:c r="H175" s="4" t="str">
        <x:f>IFERROR(INDEX('Items'!$W$6:$W$1005,MATCH(D175,'Items'!$A$6:$A$1005,0)),"MISSING ID")</x:f>
        <x:v>Processed material</x:v>
      </x:c>
      <x:c r="I175" s="4"/>
      <x:c r="J175" s="4" t="str">
        <x:v>Unspecified</x:v>
      </x:c>
      <x:c r="K175" s="4" t="str">
        <x:f>IFERROR(INDEX('Crafting recipes'!$D$6:$D$1005,MATCH(B175,'Crafting recipes'!$A$6:$A$1005,0)),"MISSING ID")</x:f>
        <x:v>Proposal</x:v>
      </x:c>
      <x:c r="L175" s="4" t="str">
        <x:f>IFERROR(INDEX('Items'!$AC$6:$AC$1005,MATCH(D175,'Items'!$A$6:$A$1005,0)),"MISSING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IFERROR(INDEX('Items'!$AF$6:$AF$1005,MATCH(D176,'Items'!$A$6:$A$1005,0)),"MISSING ID")</x:f>
        <x:v>T1</x:v>
      </x:c>
      <x:c r="G176" s="4" t="str">
        <x:f>IFERROR(INDEX('Items'!$C$6:$C$1005,MATCH(D176,'Items'!$A$6:$A$1005,0)),"MISSING ID")</x:f>
        <x:v>Resources</x:v>
      </x:c>
      <x:c r="H176" s="4" t="str">
        <x:f>IFERROR(INDEX('Items'!$W$6:$W$1005,MATCH(D176,'Items'!$A$6:$A$1005,0)),"MISSING ID")</x:f>
        <x:v>Processed material</x:v>
      </x:c>
      <x:c r="I176" s="4"/>
      <x:c r="J176" s="4" t="str">
        <x:v>Unspecified</x:v>
      </x:c>
      <x:c r="K176" s="4" t="str">
        <x:f>IFERROR(INDEX('Crafting recipes'!$D$6:$D$1005,MATCH(B176,'Crafting recipes'!$A$6:$A$1005,0)),"MISSING ID")</x:f>
        <x:v>Proposal</x:v>
      </x:c>
      <x:c r="L176" s="4" t="str">
        <x:f>IFERROR(INDEX('Items'!$AC$6:$AC$1005,MATCH(D176,'Items'!$A$6:$A$1005,0)),"MISSING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IFERROR(INDEX('Items'!$AF$6:$AF$1005,MATCH(D177,'Items'!$A$6:$A$1005,0)),"MISSING ID")</x:f>
        <x:v>T2</x:v>
      </x:c>
      <x:c r="G177" s="4" t="str">
        <x:f>IFERROR(INDEX('Items'!$C$6:$C$1005,MATCH(D177,'Items'!$A$6:$A$1005,0)),"MISSING ID")</x:f>
        <x:v>Resources</x:v>
      </x:c>
      <x:c r="H177" s="4" t="str">
        <x:f>IFERROR(INDEX('Items'!$W$6:$W$1005,MATCH(D177,'Items'!$A$6:$A$1005,0)),"MISSING ID")</x:f>
        <x:v>Processed material</x:v>
      </x:c>
      <x:c r="I177" s="4"/>
      <x:c r="J177" s="4" t="str">
        <x:v>Unspecified</x:v>
      </x:c>
      <x:c r="K177" s="4" t="str">
        <x:f>IFERROR(INDEX('Crafting recipes'!$D$6:$D$1005,MATCH(B177,'Crafting recipes'!$A$6:$A$1005,0)),"MISSING ID")</x:f>
        <x:v>Proposal</x:v>
      </x:c>
      <x:c r="L177" s="4" t="str">
        <x:f>IFERROR(INDEX('Items'!$AC$6:$AC$1005,MATCH(D177,'Items'!$A$6:$A$1005,0)),"MISSING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IFERROR(INDEX('Items'!$AF$6:$AF$1005,MATCH(D178,'Items'!$A$6:$A$1005,0)),"MISSING ID")</x:f>
        <x:v>T1</x:v>
      </x:c>
      <x:c r="G178" s="4" t="str">
        <x:f>IFERROR(INDEX('Items'!$C$6:$C$1005,MATCH(D178,'Items'!$A$6:$A$1005,0)),"MISSING ID")</x:f>
        <x:v>Resources</x:v>
      </x:c>
      <x:c r="H178" s="4" t="str">
        <x:f>IFERROR(INDEX('Items'!$W$6:$W$1005,MATCH(D178,'Items'!$A$6:$A$1005,0)),"MISSING ID")</x:f>
        <x:v>Processed material</x:v>
      </x:c>
      <x:c r="I178" s="4"/>
      <x:c r="J178" s="4" t="str">
        <x:v>Unspecified</x:v>
      </x:c>
      <x:c r="K178" s="4" t="str">
        <x:f>IFERROR(INDEX('Crafting recipes'!$D$6:$D$1005,MATCH(B178,'Crafting recipes'!$A$6:$A$1005,0)),"MISSING ID")</x:f>
        <x:v>Proposal</x:v>
      </x:c>
      <x:c r="L178" s="4" t="str">
        <x:f>IFERROR(INDEX('Items'!$AC$6:$AC$1005,MATCH(D178,'Items'!$A$6:$A$1005,0)),"MISSING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IFERROR(INDEX('Items'!$AF$6:$AF$1005,MATCH(D179,'Items'!$A$6:$A$1005,0)),"MISSING ID")</x:f>
        <x:v>T2</x:v>
      </x:c>
      <x:c r="G179" s="4" t="str">
        <x:f>IFERROR(INDEX('Items'!$C$6:$C$1005,MATCH(D179,'Items'!$A$6:$A$1005,0)),"MISSING ID")</x:f>
        <x:v>Resources</x:v>
      </x:c>
      <x:c r="H179" s="4" t="str">
        <x:f>IFERROR(INDEX('Items'!$W$6:$W$1005,MATCH(D179,'Items'!$A$6:$A$1005,0)),"MISSING ID")</x:f>
        <x:v>Processed material</x:v>
      </x:c>
      <x:c r="I179" s="4"/>
      <x:c r="J179" s="4" t="str">
        <x:v>Unspecified</x:v>
      </x:c>
      <x:c r="K179" s="4" t="str">
        <x:f>IFERROR(INDEX('Crafting recipes'!$D$6:$D$1005,MATCH(B179,'Crafting recipes'!$A$6:$A$1005,0)),"MISSING ID")</x:f>
        <x:v>Proposal</x:v>
      </x:c>
      <x:c r="L179" s="4" t="str">
        <x:f>IFERROR(INDEX('Items'!$AC$6:$AC$1005,MATCH(D179,'Items'!$A$6:$A$1005,0)),"MISSING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IFERROR(INDEX('Items'!$AF$6:$AF$1005,MATCH(D180,'Items'!$A$6:$A$1005,0)),"MISSING ID")</x:f>
        <x:v>T1</x:v>
      </x:c>
      <x:c r="G180" s="4" t="str">
        <x:f>IFERROR(INDEX('Items'!$C$6:$C$1005,MATCH(D180,'Items'!$A$6:$A$1005,0)),"MISSING ID")</x:f>
        <x:v>Resources</x:v>
      </x:c>
      <x:c r="H180" s="4" t="str">
        <x:f>IFERROR(INDEX('Items'!$W$6:$W$1005,MATCH(D180,'Items'!$A$6:$A$1005,0)),"MISSING ID")</x:f>
        <x:v>Processed material</x:v>
      </x:c>
      <x:c r="I180" s="4"/>
      <x:c r="J180" s="4" t="str">
        <x:v>Unspecified</x:v>
      </x:c>
      <x:c r="K180" s="4" t="str">
        <x:f>IFERROR(INDEX('Crafting recipes'!$D$6:$D$1005,MATCH(B180,'Crafting recipes'!$A$6:$A$1005,0)),"MISSING ID")</x:f>
        <x:v>Proposal</x:v>
      </x:c>
      <x:c r="L180" s="4" t="str">
        <x:f>IFERROR(INDEX('Items'!$AC$6:$AC$1005,MATCH(D180,'Items'!$A$6:$A$1005,0)),"MISSING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IFERROR(INDEX('Items'!$AF$6:$AF$1005,MATCH(D181,'Items'!$A$6:$A$1005,0)),"MISSING ID")</x:f>
        <x:v>T1</x:v>
      </x:c>
      <x:c r="G181" s="4" t="str">
        <x:f>IFERROR(INDEX('Items'!$C$6:$C$1005,MATCH(D181,'Items'!$A$6:$A$1005,0)),"MISSING ID")</x:f>
        <x:v>Resources</x:v>
      </x:c>
      <x:c r="H181" s="4" t="str">
        <x:f>IFERROR(INDEX('Items'!$W$6:$W$1005,MATCH(D181,'Items'!$A$6:$A$1005,0)),"MISSING ID")</x:f>
        <x:v>Processed material</x:v>
      </x:c>
      <x:c r="I181" s="4"/>
      <x:c r="J181" s="4" t="str">
        <x:v>Unspecified</x:v>
      </x:c>
      <x:c r="K181" s="4" t="str">
        <x:f>IFERROR(INDEX('Crafting recipes'!$D$6:$D$1005,MATCH(B181,'Crafting recipes'!$A$6:$A$1005,0)),"MISSING ID")</x:f>
        <x:v>Proposal</x:v>
      </x:c>
      <x:c r="L181" s="4" t="str">
        <x:f>IFERROR(INDEX('Items'!$AC$6:$AC$1005,MATCH(D181,'Items'!$A$6:$A$1005,0)),"MISSING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IFERROR(INDEX('Items'!$AF$6:$AF$1005,MATCH(D182,'Items'!$A$6:$A$1005,0)),"MISSING ID")</x:f>
        <x:v>T2</x:v>
      </x:c>
      <x:c r="G182" s="4" t="str">
        <x:f>IFERROR(INDEX('Items'!$C$6:$C$1005,MATCH(D182,'Items'!$A$6:$A$1005,0)),"MISSING ID")</x:f>
        <x:v>Resources</x:v>
      </x:c>
      <x:c r="H182" s="4" t="str">
        <x:f>IFERROR(INDEX('Items'!$W$6:$W$1005,MATCH(D182,'Items'!$A$6:$A$1005,0)),"MISSING ID")</x:f>
        <x:v>Processed material</x:v>
      </x:c>
      <x:c r="I182" s="4"/>
      <x:c r="J182" s="4" t="str">
        <x:v>Unspecified</x:v>
      </x:c>
      <x:c r="K182" s="4" t="str">
        <x:f>IFERROR(INDEX('Crafting recipes'!$D$6:$D$1005,MATCH(B182,'Crafting recipes'!$A$6:$A$1005,0)),"MISSING ID")</x:f>
        <x:v>Proposal</x:v>
      </x:c>
      <x:c r="L182" s="4" t="str">
        <x:f>IFERROR(INDEX('Items'!$AC$6:$AC$1005,MATCH(D182,'Items'!$A$6:$A$1005,0)),"MISSING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IFERROR(INDEX('Items'!$AF$6:$AF$1005,MATCH(D183,'Items'!$A$6:$A$1005,0)),"MISSING ID")</x:f>
        <x:v>T1</x:v>
      </x:c>
      <x:c r="G183" s="4" t="str">
        <x:f>IFERROR(INDEX('Items'!$C$6:$C$1005,MATCH(D183,'Items'!$A$6:$A$1005,0)),"MISSING ID")</x:f>
        <x:v>Resources</x:v>
      </x:c>
      <x:c r="H183" s="4" t="str">
        <x:f>IFERROR(INDEX('Items'!$W$6:$W$1005,MATCH(D183,'Items'!$A$6:$A$1005,0)),"MISSING ID")</x:f>
        <x:v>Processed material</x:v>
      </x:c>
      <x:c r="I183" s="4"/>
      <x:c r="J183" s="4" t="str">
        <x:v>Unspecified</x:v>
      </x:c>
      <x:c r="K183" s="4" t="str">
        <x:f>IFERROR(INDEX('Crafting recipes'!$D$6:$D$1005,MATCH(B183,'Crafting recipes'!$A$6:$A$1005,0)),"MISSING ID")</x:f>
        <x:v>Proposal</x:v>
      </x:c>
      <x:c r="L183" s="4" t="str">
        <x:f>IFERROR(INDEX('Items'!$AC$6:$AC$1005,MATCH(D183,'Items'!$A$6:$A$1005,0)),"MISSING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IFERROR(INDEX('Items'!$AF$6:$AF$1005,MATCH(D184,'Items'!$A$6:$A$1005,0)),"MISSING ID")</x:f>
        <x:v>T1</x:v>
      </x:c>
      <x:c r="G184" s="4" t="str">
        <x:f>IFERROR(INDEX('Items'!$C$6:$C$1005,MATCH(D184,'Items'!$A$6:$A$1005,0)),"MISSING ID")</x:f>
        <x:v>Resources</x:v>
      </x:c>
      <x:c r="H184" s="4" t="str">
        <x:f>IFERROR(INDEX('Items'!$W$6:$W$1005,MATCH(D184,'Items'!$A$6:$A$1005,0)),"MISSING ID")</x:f>
        <x:v>Processed material</x:v>
      </x:c>
      <x:c r="I184" s="4"/>
      <x:c r="J184" s="4" t="str">
        <x:v>Unspecified</x:v>
      </x:c>
      <x:c r="K184" s="4" t="str">
        <x:f>IFERROR(INDEX('Crafting recipes'!$D$6:$D$1005,MATCH(B184,'Crafting recipes'!$A$6:$A$1005,0)),"MISSING ID")</x:f>
        <x:v>Proposal</x:v>
      </x:c>
      <x:c r="L184" s="4" t="str">
        <x:f>IFERROR(INDEX('Items'!$AC$6:$AC$1005,MATCH(D184,'Items'!$A$6:$A$1005,0)),"MISSING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IFERROR(INDEX('Items'!$AF$6:$AF$1005,MATCH(D185,'Items'!$A$6:$A$1005,0)),"MISSING ID")</x:f>
        <x:v>T1</x:v>
      </x:c>
      <x:c r="G185" s="4" t="str">
        <x:f>IFERROR(INDEX('Items'!$C$6:$C$1005,MATCH(D185,'Items'!$A$6:$A$1005,0)),"MISSING ID")</x:f>
        <x:v>Resources</x:v>
      </x:c>
      <x:c r="H185" s="4" t="str">
        <x:f>IFERROR(INDEX('Items'!$W$6:$W$1005,MATCH(D185,'Items'!$A$6:$A$1005,0)),"MISSING ID")</x:f>
        <x:v>Processed material</x:v>
      </x:c>
      <x:c r="I185" s="4"/>
      <x:c r="J185" s="4" t="str">
        <x:v>Unspecified</x:v>
      </x:c>
      <x:c r="K185" s="4" t="str">
        <x:f>IFERROR(INDEX('Crafting recipes'!$D$6:$D$1005,MATCH(B185,'Crafting recipes'!$A$6:$A$1005,0)),"MISSING ID")</x:f>
        <x:v>Proposal</x:v>
      </x:c>
      <x:c r="L185" s="4" t="str">
        <x:f>IFERROR(INDEX('Items'!$AC$6:$AC$1005,MATCH(D185,'Items'!$A$6:$A$1005,0)),"MISSING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IFERROR(INDEX('Items'!$AF$6:$AF$1005,MATCH(D186,'Items'!$A$6:$A$1005,0)),"MISSING ID")</x:f>
        <x:v>T2</x:v>
      </x:c>
      <x:c r="G186" s="4" t="str">
        <x:f>IFERROR(INDEX('Items'!$C$6:$C$1005,MATCH(D186,'Items'!$A$6:$A$1005,0)),"MISSING ID")</x:f>
        <x:v>Resources</x:v>
      </x:c>
      <x:c r="H186" s="4" t="str">
        <x:f>IFERROR(INDEX('Items'!$W$6:$W$1005,MATCH(D186,'Items'!$A$6:$A$1005,0)),"MISSING ID")</x:f>
        <x:v>Processed material</x:v>
      </x:c>
      <x:c r="I186" s="4"/>
      <x:c r="J186" s="4" t="str">
        <x:v>Unspecified</x:v>
      </x:c>
      <x:c r="K186" s="4" t="str">
        <x:f>IFERROR(INDEX('Crafting recipes'!$D$6:$D$1005,MATCH(B186,'Crafting recipes'!$A$6:$A$1005,0)),"MISSING ID")</x:f>
        <x:v>Proposal</x:v>
      </x:c>
      <x:c r="L186" s="4" t="str">
        <x:f>IFERROR(INDEX('Items'!$AC$6:$AC$1005,MATCH(D186,'Items'!$A$6:$A$1005,0)),"MISSING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IFERROR(INDEX('Items'!$AF$6:$AF$1005,MATCH(D187,'Items'!$A$6:$A$1005,0)),"MISSING ID")</x:f>
        <x:v>T1</x:v>
      </x:c>
      <x:c r="G187" s="4" t="str">
        <x:f>IFERROR(INDEX('Items'!$C$6:$C$1005,MATCH(D187,'Items'!$A$6:$A$1005,0)),"MISSING ID")</x:f>
        <x:v>Resources</x:v>
      </x:c>
      <x:c r="H187" s="4" t="str">
        <x:f>IFERROR(INDEX('Items'!$W$6:$W$1005,MATCH(D187,'Items'!$A$6:$A$1005,0)),"MISSING ID")</x:f>
        <x:v>Processed material</x:v>
      </x:c>
      <x:c r="I187" s="4"/>
      <x:c r="J187" s="4" t="str">
        <x:v>Unspecified</x:v>
      </x:c>
      <x:c r="K187" s="4" t="str">
        <x:f>IFERROR(INDEX('Crafting recipes'!$D$6:$D$1005,MATCH(B187,'Crafting recipes'!$A$6:$A$1005,0)),"MISSING ID")</x:f>
        <x:v>Proposal</x:v>
      </x:c>
      <x:c r="L187" s="4" t="str">
        <x:f>IFERROR(INDEX('Items'!$AC$6:$AC$1005,MATCH(D187,'Items'!$A$6:$A$1005,0)),"MISSING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IFERROR(INDEX('Items'!$AF$6:$AF$1005,MATCH(D188,'Items'!$A$6:$A$1005,0)),"MISSING ID")</x:f>
        <x:v>T2</x:v>
      </x:c>
      <x:c r="G188" s="4" t="str">
        <x:f>IFERROR(INDEX('Items'!$C$6:$C$1005,MATCH(D188,'Items'!$A$6:$A$1005,0)),"MISSING ID")</x:f>
        <x:v>Resources</x:v>
      </x:c>
      <x:c r="H188" s="4" t="str">
        <x:f>IFERROR(INDEX('Items'!$W$6:$W$1005,MATCH(D188,'Items'!$A$6:$A$1005,0)),"MISSING ID")</x:f>
        <x:v>Processed material</x:v>
      </x:c>
      <x:c r="I188" s="4"/>
      <x:c r="J188" s="4" t="str">
        <x:v>Unspecified</x:v>
      </x:c>
      <x:c r="K188" s="4" t="str">
        <x:f>IFERROR(INDEX('Crafting recipes'!$D$6:$D$1005,MATCH(B188,'Crafting recipes'!$A$6:$A$1005,0)),"MISSING ID")</x:f>
        <x:v>Proposal</x:v>
      </x:c>
      <x:c r="L188" s="4" t="str">
        <x:f>IFERROR(INDEX('Items'!$AC$6:$AC$1005,MATCH(D188,'Items'!$A$6:$A$1005,0)),"MISSING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IFERROR(INDEX('Items'!$AF$6:$AF$1005,MATCH(D189,'Items'!$A$6:$A$1005,0)),"MISSING ID")</x:f>
        <x:v>T1</x:v>
      </x:c>
      <x:c r="G189" s="4" t="str">
        <x:f>IFERROR(INDEX('Items'!$C$6:$C$1005,MATCH(D189,'Items'!$A$6:$A$1005,0)),"MISSING ID")</x:f>
        <x:v>Resources</x:v>
      </x:c>
      <x:c r="H189" s="4" t="str">
        <x:f>IFERROR(INDEX('Items'!$W$6:$W$1005,MATCH(D189,'Items'!$A$6:$A$1005,0)),"MISSING ID")</x:f>
        <x:v>Processed material</x:v>
      </x:c>
      <x:c r="I189" s="4"/>
      <x:c r="J189" s="4" t="str">
        <x:v>Unspecified</x:v>
      </x:c>
      <x:c r="K189" s="4" t="str">
        <x:f>IFERROR(INDEX('Crafting recipes'!$D$6:$D$1005,MATCH(B189,'Crafting recipes'!$A$6:$A$1005,0)),"MISSING ID")</x:f>
        <x:v>Proposal</x:v>
      </x:c>
      <x:c r="L189" s="4" t="str">
        <x:f>IFERROR(INDEX('Items'!$AC$6:$AC$1005,MATCH(D189,'Items'!$A$6:$A$1005,0)),"MISSING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IFERROR(INDEX('Items'!$AF$6:$AF$1005,MATCH(D190,'Items'!$A$6:$A$1005,0)),"MISSING ID")</x:f>
        <x:v>T2</x:v>
      </x:c>
      <x:c r="G190" s="4" t="str">
        <x:f>IFERROR(INDEX('Items'!$C$6:$C$1005,MATCH(D190,'Items'!$A$6:$A$1005,0)),"MISSING ID")</x:f>
        <x:v>Resources</x:v>
      </x:c>
      <x:c r="H190" s="4" t="str">
        <x:f>IFERROR(INDEX('Items'!$W$6:$W$1005,MATCH(D190,'Items'!$A$6:$A$1005,0)),"MISSING ID")</x:f>
        <x:v>Processed material</x:v>
      </x:c>
      <x:c r="I190" s="4"/>
      <x:c r="J190" s="4" t="str">
        <x:v>Unspecified</x:v>
      </x:c>
      <x:c r="K190" s="4" t="str">
        <x:f>IFERROR(INDEX('Crafting recipes'!$D$6:$D$1005,MATCH(B190,'Crafting recipes'!$A$6:$A$1005,0)),"MISSING ID")</x:f>
        <x:v>Proposal</x:v>
      </x:c>
      <x:c r="L190" s="4" t="str">
        <x:f>IFERROR(INDEX('Items'!$AC$6:$AC$1005,MATCH(D190,'Items'!$A$6:$A$1005,0)),"MISSING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IFERROR(INDEX('Items'!$AF$6:$AF$1005,MATCH(D191,'Items'!$A$6:$A$1005,0)),"MISSING ID")</x:f>
        <x:v>T1</x:v>
      </x:c>
      <x:c r="G191" s="4" t="str">
        <x:f>IFERROR(INDEX('Items'!$C$6:$C$1005,MATCH(D191,'Items'!$A$6:$A$1005,0)),"MISSING ID")</x:f>
        <x:v>Crafting components</x:v>
      </x:c>
      <x:c r="H191" s="4" t="str">
        <x:f>IFERROR(INDEX('Items'!$W$6:$W$1005,MATCH(D191,'Items'!$A$6:$A$1005,0)),"MISSING ID")</x:f>
        <x:v>Processed material</x:v>
      </x:c>
      <x:c r="I191" s="4"/>
      <x:c r="J191" s="4" t="str">
        <x:v>Unspecified</x:v>
      </x:c>
      <x:c r="K191" s="4" t="str">
        <x:f>IFERROR(INDEX('Crafting recipes'!$D$6:$D$1005,MATCH(B191,'Crafting recipes'!$A$6:$A$1005,0)),"MISSING ID")</x:f>
        <x:v>Proposal</x:v>
      </x:c>
      <x:c r="L191" s="4" t="str">
        <x:f>IFERROR(INDEX('Items'!$AC$6:$AC$1005,MATCH(D191,'Items'!$A$6:$A$1005,0)),"MISSING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IFERROR(INDEX('Items'!$AF$6:$AF$1005,MATCH(D192,'Items'!$A$6:$A$1005,0)),"MISSING ID")</x:f>
        <x:v>T1</x:v>
      </x:c>
      <x:c r="G192" s="4" t="str">
        <x:f>IFERROR(INDEX('Items'!$C$6:$C$1005,MATCH(D192,'Items'!$A$6:$A$1005,0)),"MISSING ID")</x:f>
        <x:v>Resources</x:v>
      </x:c>
      <x:c r="H192" s="4" t="str">
        <x:f>IFERROR(INDEX('Items'!$W$6:$W$1005,MATCH(D192,'Items'!$A$6:$A$1005,0)),"MISSING ID")</x:f>
        <x:v>Chemical material</x:v>
      </x:c>
      <x:c r="I192" s="4"/>
      <x:c r="J192" s="4" t="str">
        <x:v>Unspecified</x:v>
      </x:c>
      <x:c r="K192" s="4" t="str">
        <x:f>IFERROR(INDEX('Crafting recipes'!$D$6:$D$1005,MATCH(B192,'Crafting recipes'!$A$6:$A$1005,0)),"MISSING ID")</x:f>
        <x:v>Proposal</x:v>
      </x:c>
      <x:c r="L192" s="4" t="str">
        <x:f>IFERROR(INDEX('Items'!$AC$6:$AC$1005,MATCH(D192,'Items'!$A$6:$A$1005,0)),"MISSING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IFERROR(INDEX('Items'!$AF$6:$AF$1005,MATCH(D193,'Items'!$A$6:$A$1005,0)),"MISSING ID")</x:f>
        <x:v>T2</x:v>
      </x:c>
      <x:c r="G193" s="4" t="str">
        <x:f>IFERROR(INDEX('Items'!$C$6:$C$1005,MATCH(D193,'Items'!$A$6:$A$1005,0)),"MISSING ID")</x:f>
        <x:v>Resources</x:v>
      </x:c>
      <x:c r="H193" s="4" t="str">
        <x:f>IFERROR(INDEX('Items'!$W$6:$W$1005,MATCH(D193,'Items'!$A$6:$A$1005,0)),"MISSING ID")</x:f>
        <x:v>Processed material</x:v>
      </x:c>
      <x:c r="I193" s="4"/>
      <x:c r="J193" s="4" t="str">
        <x:v>Unspecified</x:v>
      </x:c>
      <x:c r="K193" s="4" t="str">
        <x:f>IFERROR(INDEX('Crafting recipes'!$D$6:$D$1005,MATCH(B193,'Crafting recipes'!$A$6:$A$1005,0)),"MISSING ID")</x:f>
        <x:v>Proposal</x:v>
      </x:c>
      <x:c r="L193" s="4" t="str">
        <x:f>IFERROR(INDEX('Items'!$AC$6:$AC$1005,MATCH(D193,'Items'!$A$6:$A$1005,0)),"MISSING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IFERROR(INDEX('Items'!$AF$6:$AF$1005,MATCH(D194,'Items'!$A$6:$A$1005,0)),"MISSING ID")</x:f>
        <x:v>T1</x:v>
      </x:c>
      <x:c r="G194" s="4" t="str">
        <x:f>IFERROR(INDEX('Items'!$C$6:$C$1005,MATCH(D194,'Items'!$A$6:$A$1005,0)),"MISSING ID")</x:f>
        <x:v>Crafting components</x:v>
      </x:c>
      <x:c r="H194" s="4" t="str">
        <x:f>IFERROR(INDEX('Items'!$W$6:$W$1005,MATCH(D194,'Items'!$A$6:$A$1005,0)),"MISSING ID")</x:f>
        <x:v>Crafting component</x:v>
      </x:c>
      <x:c r="I194" s="4"/>
      <x:c r="J194" s="4" t="str">
        <x:v>Unspecified</x:v>
      </x:c>
      <x:c r="K194" s="4" t="str">
        <x:f>IFERROR(INDEX('Crafting recipes'!$D$6:$D$1005,MATCH(B194,'Crafting recipes'!$A$6:$A$1005,0)),"MISSING ID")</x:f>
        <x:v>Proposal</x:v>
      </x:c>
      <x:c r="L194" s="4" t="str">
        <x:f>IFERROR(INDEX('Items'!$AC$6:$AC$1005,MATCH(D194,'Items'!$A$6:$A$1005,0)),"MISSING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IFERROR(INDEX('Items'!$AF$6:$AF$1005,MATCH(D195,'Items'!$A$6:$A$1005,0)),"MISSING ID")</x:f>
        <x:v>T1</x:v>
      </x:c>
      <x:c r="G195" s="4" t="str">
        <x:f>IFERROR(INDEX('Items'!$C$6:$C$1005,MATCH(D195,'Items'!$A$6:$A$1005,0)),"MISSING ID")</x:f>
        <x:v>Crafting components</x:v>
      </x:c>
      <x:c r="H195" s="4" t="str">
        <x:f>IFERROR(INDEX('Items'!$W$6:$W$1005,MATCH(D195,'Items'!$A$6:$A$1005,0)),"MISSING ID")</x:f>
        <x:v>Crafting component</x:v>
      </x:c>
      <x:c r="I195" s="4"/>
      <x:c r="J195" s="4" t="str">
        <x:v>Unspecified</x:v>
      </x:c>
      <x:c r="K195" s="4" t="str">
        <x:f>IFERROR(INDEX('Crafting recipes'!$D$6:$D$1005,MATCH(B195,'Crafting recipes'!$A$6:$A$1005,0)),"MISSING ID")</x:f>
        <x:v>Proposal</x:v>
      </x:c>
      <x:c r="L195" s="4" t="str">
        <x:f>IFERROR(INDEX('Items'!$AC$6:$AC$1005,MATCH(D195,'Items'!$A$6:$A$1005,0)),"MISSING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IFERROR(INDEX('Items'!$AF$6:$AF$1005,MATCH(D196,'Items'!$A$6:$A$1005,0)),"MISSING ID")</x:f>
        <x:v>T1</x:v>
      </x:c>
      <x:c r="G196" s="4" t="str">
        <x:f>IFERROR(INDEX('Items'!$C$6:$C$1005,MATCH(D196,'Items'!$A$6:$A$1005,0)),"MISSING ID")</x:f>
        <x:v>Resources</x:v>
      </x:c>
      <x:c r="H196" s="4" t="str">
        <x:f>IFERROR(INDEX('Items'!$W$6:$W$1005,MATCH(D196,'Items'!$A$6:$A$1005,0)),"MISSING ID")</x:f>
        <x:v>Chemical material</x:v>
      </x:c>
      <x:c r="I196" s="4"/>
      <x:c r="J196" s="4" t="str">
        <x:v>Unspecified</x:v>
      </x:c>
      <x:c r="K196" s="4" t="str">
        <x:f>IFERROR(INDEX('Crafting recipes'!$D$6:$D$1005,MATCH(B196,'Crafting recipes'!$A$6:$A$1005,0)),"MISSING ID")</x:f>
        <x:v>Proposal</x:v>
      </x:c>
      <x:c r="L196" s="4" t="str">
        <x:f>IFERROR(INDEX('Items'!$AC$6:$AC$1005,MATCH(D196,'Items'!$A$6:$A$1005,0)),"MISSING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IFERROR(INDEX('Items'!$AF$6:$AF$1005,MATCH(D197,'Items'!$A$6:$A$1005,0)),"MISSING ID")</x:f>
        <x:v>T2</x:v>
      </x:c>
      <x:c r="G197" s="4" t="str">
        <x:f>IFERROR(INDEX('Items'!$C$6:$C$1005,MATCH(D197,'Items'!$A$6:$A$1005,0)),"MISSING ID")</x:f>
        <x:v>Resources</x:v>
      </x:c>
      <x:c r="H197" s="4" t="str">
        <x:f>IFERROR(INDEX('Items'!$W$6:$W$1005,MATCH(D197,'Items'!$A$6:$A$1005,0)),"MISSING ID")</x:f>
        <x:v>Processed material</x:v>
      </x:c>
      <x:c r="I197" s="4"/>
      <x:c r="J197" s="4" t="str">
        <x:v>Unspecified</x:v>
      </x:c>
      <x:c r="K197" s="4" t="str">
        <x:f>IFERROR(INDEX('Crafting recipes'!$D$6:$D$1005,MATCH(B197,'Crafting recipes'!$A$6:$A$1005,0)),"MISSING ID")</x:f>
        <x:v>Proposal</x:v>
      </x:c>
      <x:c r="L197" s="4" t="str">
        <x:f>IFERROR(INDEX('Items'!$AC$6:$AC$1005,MATCH(D197,'Items'!$A$6:$A$1005,0)),"MISSING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IFERROR(INDEX('Items'!$AF$6:$AF$1005,MATCH(D198,'Items'!$A$6:$A$1005,0)),"MISSING ID")</x:f>
        <x:v>T1</x:v>
      </x:c>
      <x:c r="G198" s="4" t="str">
        <x:f>IFERROR(INDEX('Items'!$C$6:$C$1005,MATCH(D198,'Items'!$A$6:$A$1005,0)),"MISSING ID")</x:f>
        <x:v>Resources</x:v>
      </x:c>
      <x:c r="H198" s="4" t="str">
        <x:f>IFERROR(INDEX('Items'!$W$6:$W$1005,MATCH(D198,'Items'!$A$6:$A$1005,0)),"MISSING ID")</x:f>
        <x:v>Chemical material</x:v>
      </x:c>
      <x:c r="I198" s="4"/>
      <x:c r="J198" s="4" t="str">
        <x:v>Unspecified</x:v>
      </x:c>
      <x:c r="K198" s="4" t="str">
        <x:f>IFERROR(INDEX('Crafting recipes'!$D$6:$D$1005,MATCH(B198,'Crafting recipes'!$A$6:$A$1005,0)),"MISSING ID")</x:f>
        <x:v>Proposal</x:v>
      </x:c>
      <x:c r="L198" s="4" t="str">
        <x:f>IFERROR(INDEX('Items'!$AC$6:$AC$1005,MATCH(D198,'Items'!$A$6:$A$1005,0)),"MISSING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IFERROR(INDEX('Items'!$AF$6:$AF$1005,MATCH(D199,'Items'!$A$6:$A$1005,0)),"MISSING ID")</x:f>
        <x:v>T1</x:v>
      </x:c>
      <x:c r="G199" s="4" t="str">
        <x:f>IFERROR(INDEX('Items'!$C$6:$C$1005,MATCH(D199,'Items'!$A$6:$A$1005,0)),"MISSING ID")</x:f>
        <x:v>Resources</x:v>
      </x:c>
      <x:c r="H199" s="4" t="str">
        <x:f>IFERROR(INDEX('Items'!$W$6:$W$1005,MATCH(D199,'Items'!$A$6:$A$1005,0)),"MISSING ID")</x:f>
        <x:v>Processed material</x:v>
      </x:c>
      <x:c r="I199" s="4"/>
      <x:c r="J199" s="4" t="str">
        <x:v>Unspecified</x:v>
      </x:c>
      <x:c r="K199" s="4" t="str">
        <x:f>IFERROR(INDEX('Crafting recipes'!$D$6:$D$1005,MATCH(B199,'Crafting recipes'!$A$6:$A$1005,0)),"MISSING ID")</x:f>
        <x:v>Proposal</x:v>
      </x:c>
      <x:c r="L199" s="4" t="str">
        <x:f>IFERROR(INDEX('Items'!$AC$6:$AC$1005,MATCH(D199,'Items'!$A$6:$A$1005,0)),"MISSING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IFERROR(INDEX('Items'!$AF$6:$AF$1005,MATCH(D200,'Items'!$A$6:$A$1005,0)),"MISSING ID")</x:f>
        <x:v>T2</x:v>
      </x:c>
      <x:c r="G200" s="4" t="str">
        <x:f>IFERROR(INDEX('Items'!$C$6:$C$1005,MATCH(D200,'Items'!$A$6:$A$1005,0)),"MISSING ID")</x:f>
        <x:v>Resources</x:v>
      </x:c>
      <x:c r="H200" s="4" t="str">
        <x:f>IFERROR(INDEX('Items'!$W$6:$W$1005,MATCH(D200,'Items'!$A$6:$A$1005,0)),"MISSING ID")</x:f>
        <x:v>Chemical material</x:v>
      </x:c>
      <x:c r="I200" s="4"/>
      <x:c r="J200" s="4" t="str">
        <x:v>Unspecified</x:v>
      </x:c>
      <x:c r="K200" s="4" t="str">
        <x:f>IFERROR(INDEX('Crafting recipes'!$D$6:$D$1005,MATCH(B200,'Crafting recipes'!$A$6:$A$1005,0)),"MISSING ID")</x:f>
        <x:v>Proposal</x:v>
      </x:c>
      <x:c r="L200" s="4" t="str">
        <x:f>IFERROR(INDEX('Items'!$AC$6:$AC$1005,MATCH(D200,'Items'!$A$6:$A$1005,0)),"MISSING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IFERROR(INDEX('Items'!$AF$6:$AF$1005,MATCH(D201,'Items'!$A$6:$A$1005,0)),"MISSING ID")</x:f>
        <x:v>T1</x:v>
      </x:c>
      <x:c r="G201" s="4" t="str">
        <x:f>IFERROR(INDEX('Items'!$C$6:$C$1005,MATCH(D201,'Items'!$A$6:$A$1005,0)),"MISSING ID")</x:f>
        <x:v>Resources</x:v>
      </x:c>
      <x:c r="H201" s="4" t="str">
        <x:f>IFERROR(INDEX('Items'!$W$6:$W$1005,MATCH(D201,'Items'!$A$6:$A$1005,0)),"MISSING ID")</x:f>
        <x:v>Chemical material</x:v>
      </x:c>
      <x:c r="I201" s="4"/>
      <x:c r="J201" s="4" t="str">
        <x:v>Unspecified</x:v>
      </x:c>
      <x:c r="K201" s="4" t="str">
        <x:f>IFERROR(INDEX('Crafting recipes'!$D$6:$D$1005,MATCH(B201,'Crafting recipes'!$A$6:$A$1005,0)),"MISSING ID")</x:f>
        <x:v>Proposal</x:v>
      </x:c>
      <x:c r="L201" s="4" t="str">
        <x:f>IFERROR(INDEX('Items'!$AC$6:$AC$1005,MATCH(D201,'Items'!$A$6:$A$1005,0)),"MISSING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IFERROR(INDEX('Items'!$AF$6:$AF$1005,MATCH(D202,'Items'!$A$6:$A$1005,0)),"MISSING ID")</x:f>
        <x:v>T1</x:v>
      </x:c>
      <x:c r="G202" s="4" t="str">
        <x:f>IFERROR(INDEX('Items'!$C$6:$C$1005,MATCH(D202,'Items'!$A$6:$A$1005,0)),"MISSING ID")</x:f>
        <x:v>Resources</x:v>
      </x:c>
      <x:c r="H202" s="4" t="str">
        <x:f>IFERROR(INDEX('Items'!$W$6:$W$1005,MATCH(D202,'Items'!$A$6:$A$1005,0)),"MISSING ID")</x:f>
        <x:v>Chemical material</x:v>
      </x:c>
      <x:c r="I202" s="4"/>
      <x:c r="J202" s="4" t="str">
        <x:v>Unspecified</x:v>
      </x:c>
      <x:c r="K202" s="4" t="str">
        <x:f>IFERROR(INDEX('Crafting recipes'!$D$6:$D$1005,MATCH(B202,'Crafting recipes'!$A$6:$A$1005,0)),"MISSING ID")</x:f>
        <x:v>Proposal</x:v>
      </x:c>
      <x:c r="L202" s="4" t="str">
        <x:f>IFERROR(INDEX('Items'!$AC$6:$AC$1005,MATCH(D202,'Items'!$A$6:$A$1005,0)),"MISSING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IFERROR(INDEX('Items'!$AF$6:$AF$1005,MATCH(D203,'Items'!$A$6:$A$1005,0)),"MISSING ID")</x:f>
        <x:v>T2</x:v>
      </x:c>
      <x:c r="G203" s="4" t="str">
        <x:f>IFERROR(INDEX('Items'!$C$6:$C$1005,MATCH(D203,'Items'!$A$6:$A$1005,0)),"MISSING ID")</x:f>
        <x:v>Resources</x:v>
      </x:c>
      <x:c r="H203" s="4" t="str">
        <x:f>IFERROR(INDEX('Items'!$W$6:$W$1005,MATCH(D203,'Items'!$A$6:$A$1005,0)),"MISSING ID")</x:f>
        <x:v>Chemical material</x:v>
      </x:c>
      <x:c r="I203" s="4"/>
      <x:c r="J203" s="4" t="str">
        <x:v>Unspecified</x:v>
      </x:c>
      <x:c r="K203" s="4" t="str">
        <x:f>IFERROR(INDEX('Crafting recipes'!$D$6:$D$1005,MATCH(B203,'Crafting recipes'!$A$6:$A$1005,0)),"MISSING ID")</x:f>
        <x:v>Proposal</x:v>
      </x:c>
      <x:c r="L203" s="4" t="str">
        <x:f>IFERROR(INDEX('Items'!$AC$6:$AC$1005,MATCH(D203,'Items'!$A$6:$A$1005,0)),"MISSING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IFERROR(INDEX('Items'!$AF$6:$AF$1005,MATCH(D204,'Items'!$A$6:$A$1005,0)),"MISSING ID")</x:f>
        <x:v>T1</x:v>
      </x:c>
      <x:c r="G204" s="4" t="str">
        <x:f>IFERROR(INDEX('Items'!$C$6:$C$1005,MATCH(D204,'Items'!$A$6:$A$1005,0)),"MISSING ID")</x:f>
        <x:v>Resources</x:v>
      </x:c>
      <x:c r="H204" s="4" t="str">
        <x:f>IFERROR(INDEX('Items'!$W$6:$W$1005,MATCH(D204,'Items'!$A$6:$A$1005,0)),"MISSING ID")</x:f>
        <x:v>Processed material</x:v>
      </x:c>
      <x:c r="I204" s="4"/>
      <x:c r="J204" s="4" t="str">
        <x:v>Unspecified</x:v>
      </x:c>
      <x:c r="K204" s="4" t="str">
        <x:f>IFERROR(INDEX('Crafting recipes'!$D$6:$D$1005,MATCH(B204,'Crafting recipes'!$A$6:$A$1005,0)),"MISSING ID")</x:f>
        <x:v>Proposal</x:v>
      </x:c>
      <x:c r="L204" s="4" t="str">
        <x:f>IFERROR(INDEX('Items'!$AC$6:$AC$1005,MATCH(D204,'Items'!$A$6:$A$1005,0)),"MISSING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IFERROR(INDEX('Items'!$AF$6:$AF$1005,MATCH(D205,'Items'!$A$6:$A$1005,0)),"MISSING ID")</x:f>
        <x:v>T1</x:v>
      </x:c>
      <x:c r="G205" s="4" t="str">
        <x:f>IFERROR(INDEX('Items'!$C$6:$C$1005,MATCH(D205,'Items'!$A$6:$A$1005,0)),"MISSING ID")</x:f>
        <x:v>Resources</x:v>
      </x:c>
      <x:c r="H205" s="4" t="str">
        <x:f>IFERROR(INDEX('Items'!$W$6:$W$1005,MATCH(D205,'Items'!$A$6:$A$1005,0)),"MISSING ID")</x:f>
        <x:v>Chemical material</x:v>
      </x:c>
      <x:c r="I205" s="4"/>
      <x:c r="J205" s="4" t="str">
        <x:v>Unspecified</x:v>
      </x:c>
      <x:c r="K205" s="4" t="str">
        <x:f>IFERROR(INDEX('Crafting recipes'!$D$6:$D$1005,MATCH(B205,'Crafting recipes'!$A$6:$A$1005,0)),"MISSING ID")</x:f>
        <x:v>Proposal</x:v>
      </x:c>
      <x:c r="L205" s="4" t="str">
        <x:f>IFERROR(INDEX('Items'!$AC$6:$AC$1005,MATCH(D205,'Items'!$A$6:$A$1005,0)),"MISSING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IFERROR(INDEX('Items'!$AF$6:$AF$1005,MATCH(D206,'Items'!$A$6:$A$1005,0)),"MISSING ID")</x:f>
        <x:v>T2</x:v>
      </x:c>
      <x:c r="G206" s="4" t="str">
        <x:f>IFERROR(INDEX('Items'!$C$6:$C$1005,MATCH(D206,'Items'!$A$6:$A$1005,0)),"MISSING ID")</x:f>
        <x:v>Resources</x:v>
      </x:c>
      <x:c r="H206" s="4" t="str">
        <x:f>IFERROR(INDEX('Items'!$W$6:$W$1005,MATCH(D206,'Items'!$A$6:$A$1005,0)),"MISSING ID")</x:f>
        <x:v>Processed material</x:v>
      </x:c>
      <x:c r="I206" s="4"/>
      <x:c r="J206" s="4" t="str">
        <x:v>Unspecified</x:v>
      </x:c>
      <x:c r="K206" s="4" t="str">
        <x:f>IFERROR(INDEX('Crafting recipes'!$D$6:$D$1005,MATCH(B206,'Crafting recipes'!$A$6:$A$1005,0)),"MISSING ID")</x:f>
        <x:v>Proposal</x:v>
      </x:c>
      <x:c r="L206" s="4" t="str">
        <x:f>IFERROR(INDEX('Items'!$AC$6:$AC$1005,MATCH(D206,'Items'!$A$6:$A$1005,0)),"MISSING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IFERROR(INDEX('Items'!$AF$6:$AF$1005,MATCH(D207,'Items'!$A$6:$A$1005,0)),"MISSING ID")</x:f>
        <x:v>T1</x:v>
      </x:c>
      <x:c r="G207" s="4" t="str">
        <x:f>IFERROR(INDEX('Items'!$C$6:$C$1005,MATCH(D207,'Items'!$A$6:$A$1005,0)),"MISSING ID")</x:f>
        <x:v>Resources</x:v>
      </x:c>
      <x:c r="H207" s="4" t="str">
        <x:f>IFERROR(INDEX('Items'!$W$6:$W$1005,MATCH(D207,'Items'!$A$6:$A$1005,0)),"MISSING ID")</x:f>
        <x:v>Chemical material</x:v>
      </x:c>
      <x:c r="I207" s="4"/>
      <x:c r="J207" s="4" t="str">
        <x:v>Unspecified</x:v>
      </x:c>
      <x:c r="K207" s="4" t="str">
        <x:f>IFERROR(INDEX('Crafting recipes'!$D$6:$D$1005,MATCH(B207,'Crafting recipes'!$A$6:$A$1005,0)),"MISSING ID")</x:f>
        <x:v>Proposal</x:v>
      </x:c>
      <x:c r="L207" s="4" t="str">
        <x:f>IFERROR(INDEX('Items'!$AC$6:$AC$1005,MATCH(D207,'Items'!$A$6:$A$1005,0)),"MISSING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IFERROR(INDEX('Items'!$AF$6:$AF$1005,MATCH(D208,'Items'!$A$6:$A$1005,0)),"MISSING ID")</x:f>
        <x:v>T1</x:v>
      </x:c>
      <x:c r="G208" s="4" t="str">
        <x:f>IFERROR(INDEX('Items'!$C$6:$C$1005,MATCH(D208,'Items'!$A$6:$A$1005,0)),"MISSING ID")</x:f>
        <x:v>Resources</x:v>
      </x:c>
      <x:c r="H208" s="4" t="str">
        <x:f>IFERROR(INDEX('Items'!$W$6:$W$1005,MATCH(D208,'Items'!$A$6:$A$1005,0)),"MISSING ID")</x:f>
        <x:v>Processed material</x:v>
      </x:c>
      <x:c r="I208" s="4"/>
      <x:c r="J208" s="4" t="str">
        <x:v>Unspecified</x:v>
      </x:c>
      <x:c r="K208" s="4" t="str">
        <x:f>IFERROR(INDEX('Crafting recipes'!$D$6:$D$1005,MATCH(B208,'Crafting recipes'!$A$6:$A$1005,0)),"MISSING ID")</x:f>
        <x:v>Proposal</x:v>
      </x:c>
      <x:c r="L208" s="4" t="str">
        <x:f>IFERROR(INDEX('Items'!$AC$6:$AC$1005,MATCH(D208,'Items'!$A$6:$A$1005,0)),"MISSING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IFERROR(INDEX('Items'!$AF$6:$AF$1005,MATCH(D209,'Items'!$A$6:$A$1005,0)),"MISSING ID")</x:f>
        <x:v>T2</x:v>
      </x:c>
      <x:c r="G209" s="4" t="str">
        <x:f>IFERROR(INDEX('Items'!$C$6:$C$1005,MATCH(D209,'Items'!$A$6:$A$1005,0)),"MISSING ID")</x:f>
        <x:v>Resources</x:v>
      </x:c>
      <x:c r="H209" s="4" t="str">
        <x:f>IFERROR(INDEX('Items'!$W$6:$W$1005,MATCH(D209,'Items'!$A$6:$A$1005,0)),"MISSING ID")</x:f>
        <x:v>Chemical material</x:v>
      </x:c>
      <x:c r="I209" s="4"/>
      <x:c r="J209" s="4" t="str">
        <x:v>Unspecified</x:v>
      </x:c>
      <x:c r="K209" s="4" t="str">
        <x:f>IFERROR(INDEX('Crafting recipes'!$D$6:$D$1005,MATCH(B209,'Crafting recipes'!$A$6:$A$1005,0)),"MISSING ID")</x:f>
        <x:v>Proposal</x:v>
      </x:c>
      <x:c r="L209" s="4" t="str">
        <x:f>IFERROR(INDEX('Items'!$AC$6:$AC$1005,MATCH(D209,'Items'!$A$6:$A$1005,0)),"MISSING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IFERROR(INDEX('Items'!$AF$6:$AF$1005,MATCH(D210,'Items'!$A$6:$A$1005,0)),"MISSING ID")</x:f>
        <x:v>T1</x:v>
      </x:c>
      <x:c r="G210" s="4" t="str">
        <x:f>IFERROR(INDEX('Items'!$C$6:$C$1005,MATCH(D210,'Items'!$A$6:$A$1005,0)),"MISSING ID")</x:f>
        <x:v>Resources</x:v>
      </x:c>
      <x:c r="H210" s="4" t="str">
        <x:f>IFERROR(INDEX('Items'!$W$6:$W$1005,MATCH(D210,'Items'!$A$6:$A$1005,0)),"MISSING ID")</x:f>
        <x:v>Processed material</x:v>
      </x:c>
      <x:c r="I210" s="4"/>
      <x:c r="J210" s="4" t="str">
        <x:v>Unspecified</x:v>
      </x:c>
      <x:c r="K210" s="4" t="str">
        <x:f>IFERROR(INDEX('Crafting recipes'!$D$6:$D$1005,MATCH(B210,'Crafting recipes'!$A$6:$A$1005,0)),"MISSING ID")</x:f>
        <x:v>Proposal</x:v>
      </x:c>
      <x:c r="L210" s="4" t="str">
        <x:f>IFERROR(INDEX('Items'!$AC$6:$AC$1005,MATCH(D210,'Items'!$A$6:$A$1005,0)),"MISSING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IFERROR(INDEX('Items'!$AF$6:$AF$1005,MATCH(D211,'Items'!$A$6:$A$1005,0)),"MISSING ID")</x:f>
        <x:v>T1</x:v>
      </x:c>
      <x:c r="G211" s="4" t="str">
        <x:f>IFERROR(INDEX('Items'!$C$6:$C$1005,MATCH(D211,'Items'!$A$6:$A$1005,0)),"MISSING ID")</x:f>
        <x:v>Resources</x:v>
      </x:c>
      <x:c r="H211" s="4" t="str">
        <x:f>IFERROR(INDEX('Items'!$W$6:$W$1005,MATCH(D211,'Items'!$A$6:$A$1005,0)),"MISSING ID")</x:f>
        <x:v>Chemical material</x:v>
      </x:c>
      <x:c r="I211" s="4"/>
      <x:c r="J211" s="4" t="str">
        <x:v>Unspecified</x:v>
      </x:c>
      <x:c r="K211" s="4" t="str">
        <x:f>IFERROR(INDEX('Crafting recipes'!$D$6:$D$1005,MATCH(B211,'Crafting recipes'!$A$6:$A$1005,0)),"MISSING ID")</x:f>
        <x:v>Proposal</x:v>
      </x:c>
      <x:c r="L211" s="4" t="str">
        <x:f>IFERROR(INDEX('Items'!$AC$6:$AC$1005,MATCH(D211,'Items'!$A$6:$A$1005,0)),"MISSING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IFERROR(INDEX('Items'!$AF$6:$AF$1005,MATCH(D212,'Items'!$A$6:$A$1005,0)),"MISSING ID")</x:f>
        <x:v>T2</x:v>
      </x:c>
      <x:c r="G212" s="4" t="str">
        <x:f>IFERROR(INDEX('Items'!$C$6:$C$1005,MATCH(D212,'Items'!$A$6:$A$1005,0)),"MISSING ID")</x:f>
        <x:v>Resources</x:v>
      </x:c>
      <x:c r="H212" s="4" t="str">
        <x:f>IFERROR(INDEX('Items'!$W$6:$W$1005,MATCH(D212,'Items'!$A$6:$A$1005,0)),"MISSING ID")</x:f>
        <x:v>Processed material</x:v>
      </x:c>
      <x:c r="I212" s="4"/>
      <x:c r="J212" s="4" t="str">
        <x:v>Unspecified</x:v>
      </x:c>
      <x:c r="K212" s="4" t="str">
        <x:f>IFERROR(INDEX('Crafting recipes'!$D$6:$D$1005,MATCH(B212,'Crafting recipes'!$A$6:$A$1005,0)),"MISSING ID")</x:f>
        <x:v>Proposal</x:v>
      </x:c>
      <x:c r="L212" s="4" t="str">
        <x:f>IFERROR(INDEX('Items'!$AC$6:$AC$1005,MATCH(D212,'Items'!$A$6:$A$1005,0)),"MISSING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IFERROR(INDEX('Items'!$AF$6:$AF$1005,MATCH(D213,'Items'!$A$6:$A$1005,0)),"MISSING ID")</x:f>
        <x:v>T1</x:v>
      </x:c>
      <x:c r="G213" s="4" t="str">
        <x:f>IFERROR(INDEX('Items'!$C$6:$C$1005,MATCH(D213,'Items'!$A$6:$A$1005,0)),"MISSING ID")</x:f>
        <x:v>Resources</x:v>
      </x:c>
      <x:c r="H213" s="4" t="str">
        <x:f>IFERROR(INDEX('Items'!$W$6:$W$1005,MATCH(D213,'Items'!$A$6:$A$1005,0)),"MISSING ID")</x:f>
        <x:v>Processed material</x:v>
      </x:c>
      <x:c r="I213" s="4"/>
      <x:c r="J213" s="4" t="str">
        <x:v>Unspecified</x:v>
      </x:c>
      <x:c r="K213" s="4" t="str">
        <x:f>IFERROR(INDEX('Crafting recipes'!$D$6:$D$1005,MATCH(B213,'Crafting recipes'!$A$6:$A$1005,0)),"MISSING ID")</x:f>
        <x:v>Proposal</x:v>
      </x:c>
      <x:c r="L213" s="4" t="str">
        <x:f>IFERROR(INDEX('Items'!$AC$6:$AC$1005,MATCH(D213,'Items'!$A$6:$A$1005,0)),"MISSING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IFERROR(INDEX('Items'!$AF$6:$AF$1005,MATCH(D214,'Items'!$A$6:$A$1005,0)),"MISSING ID")</x:f>
        <x:v>T1</x:v>
      </x:c>
      <x:c r="G214" s="4" t="str">
        <x:f>IFERROR(INDEX('Items'!$C$6:$C$1005,MATCH(D214,'Items'!$A$6:$A$1005,0)),"MISSING ID")</x:f>
        <x:v>Resources</x:v>
      </x:c>
      <x:c r="H214" s="4" t="str">
        <x:f>IFERROR(INDEX('Items'!$W$6:$W$1005,MATCH(D214,'Items'!$A$6:$A$1005,0)),"MISSING ID")</x:f>
        <x:v>Processed material</x:v>
      </x:c>
      <x:c r="I214" s="4"/>
      <x:c r="J214" s="4" t="str">
        <x:v>Unspecified</x:v>
      </x:c>
      <x:c r="K214" s="4" t="str">
        <x:f>IFERROR(INDEX('Crafting recipes'!$D$6:$D$1005,MATCH(B214,'Crafting recipes'!$A$6:$A$1005,0)),"MISSING ID")</x:f>
        <x:v>Proposal</x:v>
      </x:c>
      <x:c r="L214" s="4" t="str">
        <x:f>IFERROR(INDEX('Items'!$AC$6:$AC$1005,MATCH(D214,'Items'!$A$6:$A$1005,0)),"MISSING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IFERROR(INDEX('Items'!$AF$6:$AF$1005,MATCH(D215,'Items'!$A$6:$A$1005,0)),"MISSING ID")</x:f>
        <x:v>T2</x:v>
      </x:c>
      <x:c r="G215" s="4" t="str">
        <x:f>IFERROR(INDEX('Items'!$C$6:$C$1005,MATCH(D215,'Items'!$A$6:$A$1005,0)),"MISSING ID")</x:f>
        <x:v>Resources</x:v>
      </x:c>
      <x:c r="H215" s="4" t="str">
        <x:f>IFERROR(INDEX('Items'!$W$6:$W$1005,MATCH(D215,'Items'!$A$6:$A$1005,0)),"MISSING ID")</x:f>
        <x:v>Processed material</x:v>
      </x:c>
      <x:c r="I215" s="4"/>
      <x:c r="J215" s="4" t="str">
        <x:v>Unspecified</x:v>
      </x:c>
      <x:c r="K215" s="4" t="str">
        <x:f>IFERROR(INDEX('Crafting recipes'!$D$6:$D$1005,MATCH(B215,'Crafting recipes'!$A$6:$A$1005,0)),"MISSING ID")</x:f>
        <x:v>Proposal</x:v>
      </x:c>
      <x:c r="L215" s="4" t="str">
        <x:f>IFERROR(INDEX('Items'!$AC$6:$AC$1005,MATCH(D215,'Items'!$A$6:$A$1005,0)),"MISSING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IFERROR(INDEX('Items'!$AF$6:$AF$1005,MATCH(D216,'Items'!$A$6:$A$1005,0)),"MISSING ID")</x:f>
        <x:v>T1</x:v>
      </x:c>
      <x:c r="G216" s="4" t="str">
        <x:f>IFERROR(INDEX('Items'!$C$6:$C$1005,MATCH(D216,'Items'!$A$6:$A$1005,0)),"MISSING ID")</x:f>
        <x:v>Resources</x:v>
      </x:c>
      <x:c r="H216" s="4" t="str">
        <x:f>IFERROR(INDEX('Items'!$W$6:$W$1005,MATCH(D216,'Items'!$A$6:$A$1005,0)),"MISSING ID")</x:f>
        <x:v>Processed material</x:v>
      </x:c>
      <x:c r="I216" s="4"/>
      <x:c r="J216" s="4" t="str">
        <x:v>Unspecified</x:v>
      </x:c>
      <x:c r="K216" s="4" t="str">
        <x:f>IFERROR(INDEX('Crafting recipes'!$D$6:$D$1005,MATCH(B216,'Crafting recipes'!$A$6:$A$1005,0)),"MISSING ID")</x:f>
        <x:v>Proposal</x:v>
      </x:c>
      <x:c r="L216" s="4" t="str">
        <x:f>IFERROR(INDEX('Items'!$AC$6:$AC$1005,MATCH(D216,'Items'!$A$6:$A$1005,0)),"MISSING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IFERROR(INDEX('Items'!$AF$6:$AF$1005,MATCH(D217,'Items'!$A$6:$A$1005,0)),"MISSING ID")</x:f>
        <x:v>T1</x:v>
      </x:c>
      <x:c r="G217" s="4" t="str">
        <x:f>IFERROR(INDEX('Items'!$C$6:$C$1005,MATCH(D217,'Items'!$A$6:$A$1005,0)),"MISSING ID")</x:f>
        <x:v>Resources</x:v>
      </x:c>
      <x:c r="H217" s="4" t="str">
        <x:f>IFERROR(INDEX('Items'!$W$6:$W$1005,MATCH(D217,'Items'!$A$6:$A$1005,0)),"MISSING ID")</x:f>
        <x:v>Processed material</x:v>
      </x:c>
      <x:c r="I217" s="4"/>
      <x:c r="J217" s="4" t="str">
        <x:v>Unspecified</x:v>
      </x:c>
      <x:c r="K217" s="4" t="str">
        <x:f>IFERROR(INDEX('Crafting recipes'!$D$6:$D$1005,MATCH(B217,'Crafting recipes'!$A$6:$A$1005,0)),"MISSING ID")</x:f>
        <x:v>Proposal</x:v>
      </x:c>
      <x:c r="L217" s="4" t="str">
        <x:f>IFERROR(INDEX('Items'!$AC$6:$AC$1005,MATCH(D217,'Items'!$A$6:$A$1005,0)),"MISSING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IFERROR(INDEX('Items'!$AF$6:$AF$1005,MATCH(D218,'Items'!$A$6:$A$1005,0)),"MISSING ID")</x:f>
        <x:v>T2</x:v>
      </x:c>
      <x:c r="G218" s="4" t="str">
        <x:f>IFERROR(INDEX('Items'!$C$6:$C$1005,MATCH(D218,'Items'!$A$6:$A$1005,0)),"MISSING ID")</x:f>
        <x:v>Resources</x:v>
      </x:c>
      <x:c r="H218" s="4" t="str">
        <x:f>IFERROR(INDEX('Items'!$W$6:$W$1005,MATCH(D218,'Items'!$A$6:$A$1005,0)),"MISSING ID")</x:f>
        <x:v>Processed material</x:v>
      </x:c>
      <x:c r="I218" s="4"/>
      <x:c r="J218" s="4" t="str">
        <x:v>Unspecified</x:v>
      </x:c>
      <x:c r="K218" s="4" t="str">
        <x:f>IFERROR(INDEX('Crafting recipes'!$D$6:$D$1005,MATCH(B218,'Crafting recipes'!$A$6:$A$1005,0)),"MISSING ID")</x:f>
        <x:v>Proposal</x:v>
      </x:c>
      <x:c r="L218" s="4" t="str">
        <x:f>IFERROR(INDEX('Items'!$AC$6:$AC$1005,MATCH(D218,'Items'!$A$6:$A$1005,0)),"MISSING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IFERROR(INDEX('Items'!$AF$6:$AF$1005,MATCH(D219,'Items'!$A$6:$A$1005,0)),"MISSING ID")</x:f>
        <x:v>T1</x:v>
      </x:c>
      <x:c r="G219" s="4" t="str">
        <x:f>IFERROR(INDEX('Items'!$C$6:$C$1005,MATCH(D219,'Items'!$A$6:$A$1005,0)),"MISSING ID")</x:f>
        <x:v>Resources</x:v>
      </x:c>
      <x:c r="H219" s="4" t="str">
        <x:f>IFERROR(INDEX('Items'!$W$6:$W$1005,MATCH(D219,'Items'!$A$6:$A$1005,0)),"MISSING ID")</x:f>
        <x:v>Chemical material</x:v>
      </x:c>
      <x:c r="I219" s="4"/>
      <x:c r="J219" s="4" t="str">
        <x:v>Unspecified</x:v>
      </x:c>
      <x:c r="K219" s="4" t="str">
        <x:f>IFERROR(INDEX('Crafting recipes'!$D$6:$D$1005,MATCH(B219,'Crafting recipes'!$A$6:$A$1005,0)),"MISSING ID")</x:f>
        <x:v>Proposal</x:v>
      </x:c>
      <x:c r="L219" s="4" t="str">
        <x:f>IFERROR(INDEX('Items'!$AC$6:$AC$1005,MATCH(D219,'Items'!$A$6:$A$1005,0)),"MISSING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IFERROR(INDEX('Items'!$AF$6:$AF$1005,MATCH(D220,'Items'!$A$6:$A$1005,0)),"MISSING ID")</x:f>
        <x:v>T1</x:v>
      </x:c>
      <x:c r="G220" s="4" t="str">
        <x:f>IFERROR(INDEX('Items'!$C$6:$C$1005,MATCH(D220,'Items'!$A$6:$A$1005,0)),"MISSING ID")</x:f>
        <x:v>Resources</x:v>
      </x:c>
      <x:c r="H220" s="4" t="str">
        <x:f>IFERROR(INDEX('Items'!$W$6:$W$1005,MATCH(D220,'Items'!$A$6:$A$1005,0)),"MISSING ID")</x:f>
        <x:v>Chemical material</x:v>
      </x:c>
      <x:c r="I220" s="4"/>
      <x:c r="J220" s="4" t="str">
        <x:v>Unspecified</x:v>
      </x:c>
      <x:c r="K220" s="4" t="str">
        <x:f>IFERROR(INDEX('Crafting recipes'!$D$6:$D$1005,MATCH(B220,'Crafting recipes'!$A$6:$A$1005,0)),"MISSING ID")</x:f>
        <x:v>Proposal</x:v>
      </x:c>
      <x:c r="L220" s="4" t="str">
        <x:f>IFERROR(INDEX('Items'!$AC$6:$AC$1005,MATCH(D220,'Items'!$A$6:$A$1005,0)),"MISSING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IFERROR(INDEX('Items'!$AF$6:$AF$1005,MATCH(D221,'Items'!$A$6:$A$1005,0)),"MISSING ID")</x:f>
        <x:v>T1</x:v>
      </x:c>
      <x:c r="G221" s="4" t="str">
        <x:f>IFERROR(INDEX('Items'!$C$6:$C$1005,MATCH(D221,'Items'!$A$6:$A$1005,0)),"MISSING ID")</x:f>
        <x:v>Resources</x:v>
      </x:c>
      <x:c r="H221" s="4" t="str">
        <x:f>IFERROR(INDEX('Items'!$W$6:$W$1005,MATCH(D221,'Items'!$A$6:$A$1005,0)),"MISSING ID")</x:f>
        <x:v>Processed material</x:v>
      </x:c>
      <x:c r="I221" s="4"/>
      <x:c r="J221" s="4" t="str">
        <x:v>Unspecified</x:v>
      </x:c>
      <x:c r="K221" s="4" t="str">
        <x:f>IFERROR(INDEX('Crafting recipes'!$D$6:$D$1005,MATCH(B221,'Crafting recipes'!$A$6:$A$1005,0)),"MISSING ID")</x:f>
        <x:v>Proposal</x:v>
      </x:c>
      <x:c r="L221" s="4" t="str">
        <x:f>IFERROR(INDEX('Items'!$AC$6:$AC$1005,MATCH(D221,'Items'!$A$6:$A$1005,0)),"MISSING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IFERROR(INDEX('Items'!$AF$6:$AF$1005,MATCH(D222,'Items'!$A$6:$A$1005,0)),"MISSING ID")</x:f>
        <x:v>T2</x:v>
      </x:c>
      <x:c r="G222" s="4" t="str">
        <x:f>IFERROR(INDEX('Items'!$C$6:$C$1005,MATCH(D222,'Items'!$A$6:$A$1005,0)),"MISSING ID")</x:f>
        <x:v>Resources</x:v>
      </x:c>
      <x:c r="H222" s="4" t="str">
        <x:f>IFERROR(INDEX('Items'!$W$6:$W$1005,MATCH(D222,'Items'!$A$6:$A$1005,0)),"MISSING ID")</x:f>
        <x:v>Chemical material</x:v>
      </x:c>
      <x:c r="I222" s="4"/>
      <x:c r="J222" s="4" t="str">
        <x:v>Unspecified</x:v>
      </x:c>
      <x:c r="K222" s="4" t="str">
        <x:f>IFERROR(INDEX('Crafting recipes'!$D$6:$D$1005,MATCH(B222,'Crafting recipes'!$A$6:$A$1005,0)),"MISSING ID")</x:f>
        <x:v>Proposal</x:v>
      </x:c>
      <x:c r="L222" s="4" t="str">
        <x:f>IFERROR(INDEX('Items'!$AC$6:$AC$1005,MATCH(D222,'Items'!$A$6:$A$1005,0)),"MISSING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IFERROR(INDEX('Items'!$AF$6:$AF$1005,MATCH(D223,'Items'!$A$6:$A$1005,0)),"MISSING ID")</x:f>
        <x:v>T1</x:v>
      </x:c>
      <x:c r="G223" s="4" t="str">
        <x:f>IFERROR(INDEX('Items'!$C$6:$C$1005,MATCH(D223,'Items'!$A$6:$A$1005,0)),"MISSING ID")</x:f>
        <x:v>Resources</x:v>
      </x:c>
      <x:c r="H223" s="4" t="str">
        <x:f>IFERROR(INDEX('Items'!$W$6:$W$1005,MATCH(D223,'Items'!$A$6:$A$1005,0)),"MISSING ID")</x:f>
        <x:v>Chemical material</x:v>
      </x:c>
      <x:c r="I223" s="4"/>
      <x:c r="J223" s="4" t="str">
        <x:v>Unspecified</x:v>
      </x:c>
      <x:c r="K223" s="4" t="str">
        <x:f>IFERROR(INDEX('Crafting recipes'!$D$6:$D$1005,MATCH(B223,'Crafting recipes'!$A$6:$A$1005,0)),"MISSING ID")</x:f>
        <x:v>Proposal</x:v>
      </x:c>
      <x:c r="L223" s="4" t="str">
        <x:f>IFERROR(INDEX('Items'!$AC$6:$AC$1005,MATCH(D223,'Items'!$A$6:$A$1005,0)),"MISSING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IFERROR(INDEX('Items'!$AF$6:$AF$1005,MATCH(D224,'Items'!$A$6:$A$1005,0)),"MISSING ID")</x:f>
        <x:v>T1</x:v>
      </x:c>
      <x:c r="G224" s="4" t="str">
        <x:f>IFERROR(INDEX('Items'!$C$6:$C$1005,MATCH(D224,'Items'!$A$6:$A$1005,0)),"MISSING ID")</x:f>
        <x:v>Resources</x:v>
      </x:c>
      <x:c r="H224" s="4" t="str">
        <x:f>IFERROR(INDEX('Items'!$W$6:$W$1005,MATCH(D224,'Items'!$A$6:$A$1005,0)),"MISSING ID")</x:f>
        <x:v>Chemical material</x:v>
      </x:c>
      <x:c r="I224" s="4"/>
      <x:c r="J224" s="4" t="str">
        <x:v>Unspecified</x:v>
      </x:c>
      <x:c r="K224" s="4" t="str">
        <x:f>IFERROR(INDEX('Crafting recipes'!$D$6:$D$1005,MATCH(B224,'Crafting recipes'!$A$6:$A$1005,0)),"MISSING ID")</x:f>
        <x:v>Proposal</x:v>
      </x:c>
      <x:c r="L224" s="4" t="str">
        <x:f>IFERROR(INDEX('Items'!$AC$6:$AC$1005,MATCH(D224,'Items'!$A$6:$A$1005,0)),"MISSING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IFERROR(INDEX('Items'!$AF$6:$AF$1005,MATCH(D225,'Items'!$A$6:$A$1005,0)),"MISSING ID")</x:f>
        <x:v>T2</x:v>
      </x:c>
      <x:c r="G225" s="4" t="str">
        <x:f>IFERROR(INDEX('Items'!$C$6:$C$1005,MATCH(D225,'Items'!$A$6:$A$1005,0)),"MISSING ID")</x:f>
        <x:v>Resources</x:v>
      </x:c>
      <x:c r="H225" s="4" t="str">
        <x:f>IFERROR(INDEX('Items'!$W$6:$W$1005,MATCH(D225,'Items'!$A$6:$A$1005,0)),"MISSING ID")</x:f>
        <x:v>Chemical material</x:v>
      </x:c>
      <x:c r="I225" s="4"/>
      <x:c r="J225" s="4" t="str">
        <x:v>Unspecified</x:v>
      </x:c>
      <x:c r="K225" s="4" t="str">
        <x:f>IFERROR(INDEX('Crafting recipes'!$D$6:$D$1005,MATCH(B225,'Crafting recipes'!$A$6:$A$1005,0)),"MISSING ID")</x:f>
        <x:v>Proposal</x:v>
      </x:c>
      <x:c r="L225" s="4" t="str">
        <x:f>IFERROR(INDEX('Items'!$AC$6:$AC$1005,MATCH(D225,'Items'!$A$6:$A$1005,0)),"MISSING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IFERROR(INDEX('Items'!$AF$6:$AF$1005,MATCH(D226,'Items'!$A$6:$A$1005,0)),"MISSING ID")</x:f>
        <x:v>T1</x:v>
      </x:c>
      <x:c r="G226" s="4" t="str">
        <x:f>IFERROR(INDEX('Items'!$C$6:$C$1005,MATCH(D226,'Items'!$A$6:$A$1005,0)),"MISSING ID")</x:f>
        <x:v>Resources</x:v>
      </x:c>
      <x:c r="H226" s="4" t="str">
        <x:f>IFERROR(INDEX('Items'!$W$6:$W$1005,MATCH(D226,'Items'!$A$6:$A$1005,0)),"MISSING ID")</x:f>
        <x:v>Chemical material</x:v>
      </x:c>
      <x:c r="I226" s="4"/>
      <x:c r="J226" s="4" t="str">
        <x:v>Unspecified</x:v>
      </x:c>
      <x:c r="K226" s="4" t="str">
        <x:f>IFERROR(INDEX('Crafting recipes'!$D$6:$D$1005,MATCH(B226,'Crafting recipes'!$A$6:$A$1005,0)),"MISSING ID")</x:f>
        <x:v>Proposal</x:v>
      </x:c>
      <x:c r="L226" s="4" t="str">
        <x:f>IFERROR(INDEX('Items'!$AC$6:$AC$1005,MATCH(D226,'Items'!$A$6:$A$1005,0)),"MISSING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IFERROR(INDEX('Items'!$AF$6:$AF$1005,MATCH(D227,'Items'!$A$6:$A$1005,0)),"MISSING ID")</x:f>
        <x:v>T1</x:v>
      </x:c>
      <x:c r="G227" s="4" t="str">
        <x:f>IFERROR(INDEX('Items'!$C$6:$C$1005,MATCH(D227,'Items'!$A$6:$A$1005,0)),"MISSING ID")</x:f>
        <x:v>Resources</x:v>
      </x:c>
      <x:c r="H227" s="4" t="str">
        <x:f>IFERROR(INDEX('Items'!$W$6:$W$1005,MATCH(D227,'Items'!$A$6:$A$1005,0)),"MISSING ID")</x:f>
        <x:v>Chemical material</x:v>
      </x:c>
      <x:c r="I227" s="4"/>
      <x:c r="J227" s="4" t="str">
        <x:v>Unspecified</x:v>
      </x:c>
      <x:c r="K227" s="4" t="str">
        <x:f>IFERROR(INDEX('Crafting recipes'!$D$6:$D$1005,MATCH(B227,'Crafting recipes'!$A$6:$A$1005,0)),"MISSING ID")</x:f>
        <x:v>Proposal</x:v>
      </x:c>
      <x:c r="L227" s="4" t="str">
        <x:f>IFERROR(INDEX('Items'!$AC$6:$AC$1005,MATCH(D227,'Items'!$A$6:$A$1005,0)),"MISSING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IFERROR(INDEX('Items'!$AF$6:$AF$1005,MATCH(D228,'Items'!$A$6:$A$1005,0)),"MISSING ID")</x:f>
        <x:v>T1</x:v>
      </x:c>
      <x:c r="G228" s="4" t="str">
        <x:f>IFERROR(INDEX('Items'!$C$6:$C$1005,MATCH(D228,'Items'!$A$6:$A$1005,0)),"MISSING ID")</x:f>
        <x:v>Resources</x:v>
      </x:c>
      <x:c r="H228" s="4" t="str">
        <x:f>IFERROR(INDEX('Items'!$W$6:$W$1005,MATCH(D228,'Items'!$A$6:$A$1005,0)),"MISSING ID")</x:f>
        <x:v>Processed material</x:v>
      </x:c>
      <x:c r="I228" s="4"/>
      <x:c r="J228" s="4" t="str">
        <x:v>Unspecified</x:v>
      </x:c>
      <x:c r="K228" s="4" t="str">
        <x:f>IFERROR(INDEX('Crafting recipes'!$D$6:$D$1005,MATCH(B228,'Crafting recipes'!$A$6:$A$1005,0)),"MISSING ID")</x:f>
        <x:v>Proposal</x:v>
      </x:c>
      <x:c r="L228" s="4" t="str">
        <x:f>IFERROR(INDEX('Items'!$AC$6:$AC$1005,MATCH(D228,'Items'!$A$6:$A$1005,0)),"MISSING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IFERROR(INDEX('Items'!$AF$6:$AF$1005,MATCH(D229,'Items'!$A$6:$A$1005,0)),"MISSING ID")</x:f>
        <x:v>T2</x:v>
      </x:c>
      <x:c r="G229" s="4" t="str">
        <x:f>IFERROR(INDEX('Items'!$C$6:$C$1005,MATCH(D229,'Items'!$A$6:$A$1005,0)),"MISSING ID")</x:f>
        <x:v>Resources</x:v>
      </x:c>
      <x:c r="H229" s="4" t="str">
        <x:f>IFERROR(INDEX('Items'!$W$6:$W$1005,MATCH(D229,'Items'!$A$6:$A$1005,0)),"MISSING ID")</x:f>
        <x:v>Chemical material</x:v>
      </x:c>
      <x:c r="I229" s="4"/>
      <x:c r="J229" s="4" t="str">
        <x:v>Unspecified</x:v>
      </x:c>
      <x:c r="K229" s="4" t="str">
        <x:f>IFERROR(INDEX('Crafting recipes'!$D$6:$D$1005,MATCH(B229,'Crafting recipes'!$A$6:$A$1005,0)),"MISSING ID")</x:f>
        <x:v>Proposal</x:v>
      </x:c>
      <x:c r="L229" s="4" t="str">
        <x:f>IFERROR(INDEX('Items'!$AC$6:$AC$1005,MATCH(D229,'Items'!$A$6:$A$1005,0)),"MISSING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IFERROR(INDEX('Items'!$AF$6:$AF$1005,MATCH(D230,'Items'!$A$6:$A$1005,0)),"MISSING ID")</x:f>
        <x:v>T2</x:v>
      </x:c>
      <x:c r="G230" s="4" t="str">
        <x:f>IFERROR(INDEX('Items'!$C$6:$C$1005,MATCH(D230,'Items'!$A$6:$A$1005,0)),"MISSING ID")</x:f>
        <x:v>Resources</x:v>
      </x:c>
      <x:c r="H230" s="4" t="str">
        <x:f>IFERROR(INDEX('Items'!$W$6:$W$1005,MATCH(D230,'Items'!$A$6:$A$1005,0)),"MISSING ID")</x:f>
        <x:v>Processed material</x:v>
      </x:c>
      <x:c r="I230" s="4"/>
      <x:c r="J230" s="4" t="str">
        <x:v>Unspecified</x:v>
      </x:c>
      <x:c r="K230" s="4" t="str">
        <x:f>IFERROR(INDEX('Crafting recipes'!$D$6:$D$1005,MATCH(B230,'Crafting recipes'!$A$6:$A$1005,0)),"MISSING ID")</x:f>
        <x:v>Proposal</x:v>
      </x:c>
      <x:c r="L230" s="4" t="str">
        <x:f>IFERROR(INDEX('Items'!$AC$6:$AC$1005,MATCH(D230,'Items'!$A$6:$A$1005,0)),"MISSING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IFERROR(INDEX('Items'!$AF$6:$AF$1005,MATCH(D231,'Items'!$A$6:$A$1005,0)),"MISSING ID")</x:f>
        <x:v>T2</x:v>
      </x:c>
      <x:c r="G231" s="4" t="str">
        <x:f>IFERROR(INDEX('Items'!$C$6:$C$1005,MATCH(D231,'Items'!$A$6:$A$1005,0)),"MISSING ID")</x:f>
        <x:v>Crafting components</x:v>
      </x:c>
      <x:c r="H231" s="4" t="str">
        <x:f>IFERROR(INDEX('Items'!$W$6:$W$1005,MATCH(D231,'Items'!$A$6:$A$1005,0)),"MISSING ID")</x:f>
        <x:v>Crafting component</x:v>
      </x:c>
      <x:c r="I231" s="4"/>
      <x:c r="J231" s="4" t="str">
        <x:v>Unspecified</x:v>
      </x:c>
      <x:c r="K231" s="4" t="str">
        <x:f>IFERROR(INDEX('Crafting recipes'!$D$6:$D$1005,MATCH(B231,'Crafting recipes'!$A$6:$A$1005,0)),"MISSING ID")</x:f>
        <x:v>Proposal</x:v>
      </x:c>
      <x:c r="L231" s="4" t="str">
        <x:f>IFERROR(INDEX('Items'!$AC$6:$AC$1005,MATCH(D231,'Items'!$A$6:$A$1005,0)),"MISSING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IFERROR(INDEX('Items'!$AF$6:$AF$1005,MATCH(D232,'Items'!$A$6:$A$1005,0)),"MISSING ID")</x:f>
        <x:v>T2</x:v>
      </x:c>
      <x:c r="G232" s="4" t="str">
        <x:f>IFERROR(INDEX('Items'!$C$6:$C$1005,MATCH(D232,'Items'!$A$6:$A$1005,0)),"MISSING ID")</x:f>
        <x:v>Resources</x:v>
      </x:c>
      <x:c r="H232" s="4" t="str">
        <x:f>IFERROR(INDEX('Items'!$W$6:$W$1005,MATCH(D232,'Items'!$A$6:$A$1005,0)),"MISSING ID")</x:f>
        <x:v>Chemical material</x:v>
      </x:c>
      <x:c r="I232" s="4"/>
      <x:c r="J232" s="4" t="str">
        <x:v>Unspecified</x:v>
      </x:c>
      <x:c r="K232" s="4" t="str">
        <x:f>IFERROR(INDEX('Crafting recipes'!$D$6:$D$1005,MATCH(B232,'Crafting recipes'!$A$6:$A$1005,0)),"MISSING ID")</x:f>
        <x:v>Proposal</x:v>
      </x:c>
      <x:c r="L232" s="4" t="str">
        <x:f>IFERROR(INDEX('Items'!$AC$6:$AC$1005,MATCH(D232,'Items'!$A$6:$A$1005,0)),"MISSING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IFERROR(INDEX('Items'!$AF$6:$AF$1005,MATCH(D233,'Items'!$A$6:$A$1005,0)),"MISSING ID")</x:f>
        <x:v>T3</x:v>
      </x:c>
      <x:c r="G233" s="4" t="str">
        <x:f>IFERROR(INDEX('Items'!$C$6:$C$1005,MATCH(D233,'Items'!$A$6:$A$1005,0)),"MISSING ID")</x:f>
        <x:v>Resources</x:v>
      </x:c>
      <x:c r="H233" s="4" t="str">
        <x:f>IFERROR(INDEX('Items'!$W$6:$W$1005,MATCH(D233,'Items'!$A$6:$A$1005,0)),"MISSING ID")</x:f>
        <x:v>Processed material</x:v>
      </x:c>
      <x:c r="I233" s="4"/>
      <x:c r="J233" s="4" t="str">
        <x:v>Unspecified</x:v>
      </x:c>
      <x:c r="K233" s="4" t="str">
        <x:f>IFERROR(INDEX('Crafting recipes'!$D$6:$D$1005,MATCH(B233,'Crafting recipes'!$A$6:$A$1005,0)),"MISSING ID")</x:f>
        <x:v>Proposal</x:v>
      </x:c>
      <x:c r="L233" s="4" t="str">
        <x:f>IFERROR(INDEX('Items'!$AC$6:$AC$1005,MATCH(D233,'Items'!$A$6:$A$1005,0)),"MISSING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IFERROR(INDEX('Items'!$AF$6:$AF$1005,MATCH(D234,'Items'!$A$6:$A$1005,0)),"MISSING ID")</x:f>
        <x:v>T2</x:v>
      </x:c>
      <x:c r="G234" s="4" t="str">
        <x:f>IFERROR(INDEX('Items'!$C$6:$C$1005,MATCH(D234,'Items'!$A$6:$A$1005,0)),"MISSING ID")</x:f>
        <x:v>Resources</x:v>
      </x:c>
      <x:c r="H234" s="4" t="str">
        <x:f>IFERROR(INDEX('Items'!$W$6:$W$1005,MATCH(D234,'Items'!$A$6:$A$1005,0)),"MISSING ID")</x:f>
        <x:v>Processed material</x:v>
      </x:c>
      <x:c r="I234" s="4"/>
      <x:c r="J234" s="4" t="str">
        <x:v>Unspecified</x:v>
      </x:c>
      <x:c r="K234" s="4" t="str">
        <x:f>IFERROR(INDEX('Crafting recipes'!$D$6:$D$1005,MATCH(B234,'Crafting recipes'!$A$6:$A$1005,0)),"MISSING ID")</x:f>
        <x:v>Proposal</x:v>
      </x:c>
      <x:c r="L234" s="4" t="str">
        <x:f>IFERROR(INDEX('Items'!$AC$6:$AC$1005,MATCH(D234,'Items'!$A$6:$A$1005,0)),"MISSING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IFERROR(INDEX('Items'!$AF$6:$AF$1005,MATCH(D235,'Items'!$A$6:$A$1005,0)),"MISSING ID")</x:f>
        <x:v>T2</x:v>
      </x:c>
      <x:c r="G235" s="4" t="str">
        <x:f>IFERROR(INDEX('Items'!$C$6:$C$1005,MATCH(D235,'Items'!$A$6:$A$1005,0)),"MISSING ID")</x:f>
        <x:v>Resources</x:v>
      </x:c>
      <x:c r="H235" s="4" t="str">
        <x:f>IFERROR(INDEX('Items'!$W$6:$W$1005,MATCH(D235,'Items'!$A$6:$A$1005,0)),"MISSING ID")</x:f>
        <x:v>Processed material</x:v>
      </x:c>
      <x:c r="I235" s="4"/>
      <x:c r="J235" s="4" t="str">
        <x:v>Unspecified</x:v>
      </x:c>
      <x:c r="K235" s="4" t="str">
        <x:f>IFERROR(INDEX('Crafting recipes'!$D$6:$D$1005,MATCH(B235,'Crafting recipes'!$A$6:$A$1005,0)),"MISSING ID")</x:f>
        <x:v>Proposal</x:v>
      </x:c>
      <x:c r="L235" s="4" t="str">
        <x:f>IFERROR(INDEX('Items'!$AC$6:$AC$1005,MATCH(D235,'Items'!$A$6:$A$1005,0)),"MISSING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IFERROR(INDEX('Items'!$AF$6:$AF$1005,MATCH(D236,'Items'!$A$6:$A$1005,0)),"MISSING ID")</x:f>
        <x:v>T1</x:v>
      </x:c>
      <x:c r="G236" s="4" t="str">
        <x:f>IFERROR(INDEX('Items'!$C$6:$C$1005,MATCH(D236,'Items'!$A$6:$A$1005,0)),"MISSING ID")</x:f>
        <x:v>Resources</x:v>
      </x:c>
      <x:c r="H236" s="4" t="str">
        <x:f>IFERROR(INDEX('Items'!$W$6:$W$1005,MATCH(D236,'Items'!$A$6:$A$1005,0)),"MISSING ID")</x:f>
        <x:v>Processed material</x:v>
      </x:c>
      <x:c r="I236" s="4"/>
      <x:c r="J236" s="4" t="str">
        <x:v>Unspecified</x:v>
      </x:c>
      <x:c r="K236" s="4" t="str">
        <x:f>IFERROR(INDEX('Crafting recipes'!$D$6:$D$1005,MATCH(B236,'Crafting recipes'!$A$6:$A$1005,0)),"MISSING ID")</x:f>
        <x:v>Proposal</x:v>
      </x:c>
      <x:c r="L236" s="4" t="str">
        <x:f>IFERROR(INDEX('Items'!$AC$6:$AC$1005,MATCH(D236,'Items'!$A$6:$A$1005,0)),"MISSING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IFERROR(INDEX('Items'!$AF$6:$AF$1005,MATCH(D237,'Items'!$A$6:$A$1005,0)),"MISSING ID")</x:f>
        <x:v>T3</x:v>
      </x:c>
      <x:c r="G237" s="4" t="str">
        <x:f>IFERROR(INDEX('Items'!$C$6:$C$1005,MATCH(D237,'Items'!$A$6:$A$1005,0)),"MISSING ID")</x:f>
        <x:v>Resources</x:v>
      </x:c>
      <x:c r="H237" s="4" t="str">
        <x:f>IFERROR(INDEX('Items'!$W$6:$W$1005,MATCH(D237,'Items'!$A$6:$A$1005,0)),"MISSING ID")</x:f>
        <x:v>Processed material</x:v>
      </x:c>
      <x:c r="I237" s="4"/>
      <x:c r="J237" s="4" t="str">
        <x:v>Unspecified</x:v>
      </x:c>
      <x:c r="K237" s="4" t="str">
        <x:f>IFERROR(INDEX('Crafting recipes'!$D$6:$D$1005,MATCH(B237,'Crafting recipes'!$A$6:$A$1005,0)),"MISSING ID")</x:f>
        <x:v>Proposal</x:v>
      </x:c>
      <x:c r="L237" s="4" t="str">
        <x:f>IFERROR(INDEX('Items'!$AC$6:$AC$1005,MATCH(D237,'Items'!$A$6:$A$1005,0)),"MISSING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IFERROR(INDEX('Items'!$AF$6:$AF$1005,MATCH(D238,'Items'!$A$6:$A$1005,0)),"MISSING ID")</x:f>
        <x:v>T2</x:v>
      </x:c>
      <x:c r="G238" s="4" t="str">
        <x:f>IFERROR(INDEX('Items'!$C$6:$C$1005,MATCH(D238,'Items'!$A$6:$A$1005,0)),"MISSING ID")</x:f>
        <x:v>Resources</x:v>
      </x:c>
      <x:c r="H238" s="4" t="str">
        <x:f>IFERROR(INDEX('Items'!$W$6:$W$1005,MATCH(D238,'Items'!$A$6:$A$1005,0)),"MISSING ID")</x:f>
        <x:v>Processed material</x:v>
      </x:c>
      <x:c r="I238" s="4"/>
      <x:c r="J238" s="4" t="str">
        <x:v>Unspecified</x:v>
      </x:c>
      <x:c r="K238" s="4" t="str">
        <x:f>IFERROR(INDEX('Crafting recipes'!$D$6:$D$1005,MATCH(B238,'Crafting recipes'!$A$6:$A$1005,0)),"MISSING ID")</x:f>
        <x:v>Proposal</x:v>
      </x:c>
      <x:c r="L238" s="4" t="str">
        <x:f>IFERROR(INDEX('Items'!$AC$6:$AC$1005,MATCH(D238,'Items'!$A$6:$A$1005,0)),"MISSING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IFERROR(INDEX('Items'!$AF$6:$AF$1005,MATCH(D239,'Items'!$A$6:$A$1005,0)),"MISSING ID")</x:f>
        <x:v>T2</x:v>
      </x:c>
      <x:c r="G239" s="4" t="str">
        <x:f>IFERROR(INDEX('Items'!$C$6:$C$1005,MATCH(D239,'Items'!$A$6:$A$1005,0)),"MISSING ID")</x:f>
        <x:v>Resources</x:v>
      </x:c>
      <x:c r="H239" s="4" t="str">
        <x:f>IFERROR(INDEX('Items'!$W$6:$W$1005,MATCH(D239,'Items'!$A$6:$A$1005,0)),"MISSING ID")</x:f>
        <x:v>Processed material</x:v>
      </x:c>
      <x:c r="I239" s="4"/>
      <x:c r="J239" s="4" t="str">
        <x:v>Unspecified</x:v>
      </x:c>
      <x:c r="K239" s="4" t="str">
        <x:f>IFERROR(INDEX('Crafting recipes'!$D$6:$D$1005,MATCH(B239,'Crafting recipes'!$A$6:$A$1005,0)),"MISSING ID")</x:f>
        <x:v>Proposal</x:v>
      </x:c>
      <x:c r="L239" s="4" t="str">
        <x:f>IFERROR(INDEX('Items'!$AC$6:$AC$1005,MATCH(D239,'Items'!$A$6:$A$1005,0)),"MISSING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IFERROR(INDEX('Items'!$AF$6:$AF$1005,MATCH(D240,'Items'!$A$6:$A$1005,0)),"MISSING ID")</x:f>
        <x:v>T2</x:v>
      </x:c>
      <x:c r="G240" s="4" t="str">
        <x:f>IFERROR(INDEX('Items'!$C$6:$C$1005,MATCH(D240,'Items'!$A$6:$A$1005,0)),"MISSING ID")</x:f>
        <x:v>Resources</x:v>
      </x:c>
      <x:c r="H240" s="4" t="str">
        <x:f>IFERROR(INDEX('Items'!$W$6:$W$1005,MATCH(D240,'Items'!$A$6:$A$1005,0)),"MISSING ID")</x:f>
        <x:v>Chemical material</x:v>
      </x:c>
      <x:c r="I240" s="4"/>
      <x:c r="J240" s="4" t="str">
        <x:v>Unspecified</x:v>
      </x:c>
      <x:c r="K240" s="4" t="str">
        <x:f>IFERROR(INDEX('Crafting recipes'!$D$6:$D$1005,MATCH(B240,'Crafting recipes'!$A$6:$A$1005,0)),"MISSING ID")</x:f>
        <x:v>Proposal</x:v>
      </x:c>
      <x:c r="L240" s="4" t="str">
        <x:f>IFERROR(INDEX('Items'!$AC$6:$AC$1005,MATCH(D240,'Items'!$A$6:$A$1005,0)),"MISSING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IFERROR(INDEX('Items'!$AF$6:$AF$1005,MATCH(D241,'Items'!$A$6:$A$1005,0)),"MISSING ID")</x:f>
        <x:v>T3</x:v>
      </x:c>
      <x:c r="G241" s="4" t="str">
        <x:f>IFERROR(INDEX('Items'!$C$6:$C$1005,MATCH(D241,'Items'!$A$6:$A$1005,0)),"MISSING ID")</x:f>
        <x:v>Resources</x:v>
      </x:c>
      <x:c r="H241" s="4" t="str">
        <x:f>IFERROR(INDEX('Items'!$W$6:$W$1005,MATCH(D241,'Items'!$A$6:$A$1005,0)),"MISSING ID")</x:f>
        <x:v>Processed material</x:v>
      </x:c>
      <x:c r="I241" s="4"/>
      <x:c r="J241" s="4" t="str">
        <x:v>Unspecified</x:v>
      </x:c>
      <x:c r="K241" s="4" t="str">
        <x:f>IFERROR(INDEX('Crafting recipes'!$D$6:$D$1005,MATCH(B241,'Crafting recipes'!$A$6:$A$1005,0)),"MISSING ID")</x:f>
        <x:v>Proposal</x:v>
      </x:c>
      <x:c r="L241" s="4" t="str">
        <x:f>IFERROR(INDEX('Items'!$AC$6:$AC$1005,MATCH(D241,'Items'!$A$6:$A$1005,0)),"MISSING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IFERROR(INDEX('Items'!$AF$6:$AF$1005,MATCH(D242,'Items'!$A$6:$A$1005,0)),"MISSING ID")</x:f>
        <x:v>T2</x:v>
      </x:c>
      <x:c r="G242" s="4" t="str">
        <x:f>IFERROR(INDEX('Items'!$C$6:$C$1005,MATCH(D242,'Items'!$A$6:$A$1005,0)),"MISSING ID")</x:f>
        <x:v>Resources</x:v>
      </x:c>
      <x:c r="H242" s="4" t="str">
        <x:f>IFERROR(INDEX('Items'!$W$6:$W$1005,MATCH(D242,'Items'!$A$6:$A$1005,0)),"MISSING ID")</x:f>
        <x:v>Processed material</x:v>
      </x:c>
      <x:c r="I242" s="4"/>
      <x:c r="J242" s="4" t="str">
        <x:v>Unspecified</x:v>
      </x:c>
      <x:c r="K242" s="4" t="str">
        <x:f>IFERROR(INDEX('Crafting recipes'!$D$6:$D$1005,MATCH(B242,'Crafting recipes'!$A$6:$A$1005,0)),"MISSING ID")</x:f>
        <x:v>Proposal</x:v>
      </x:c>
      <x:c r="L242" s="4" t="str">
        <x:f>IFERROR(INDEX('Items'!$AC$6:$AC$1005,MATCH(D242,'Items'!$A$6:$A$1005,0)),"MISSING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IFERROR(INDEX('Items'!$AF$6:$AF$1005,MATCH(D243,'Items'!$A$6:$A$1005,0)),"MISSING ID")</x:f>
        <x:v>T2</x:v>
      </x:c>
      <x:c r="G243" s="4" t="str">
        <x:f>IFERROR(INDEX('Items'!$C$6:$C$1005,MATCH(D243,'Items'!$A$6:$A$1005,0)),"MISSING ID")</x:f>
        <x:v>Crafting components</x:v>
      </x:c>
      <x:c r="H243" s="4" t="str">
        <x:f>IFERROR(INDEX('Items'!$W$6:$W$1005,MATCH(D243,'Items'!$A$6:$A$1005,0)),"MISSING ID")</x:f>
        <x:v>Crafting component</x:v>
      </x:c>
      <x:c r="I243" s="4"/>
      <x:c r="J243" s="4" t="str">
        <x:v>Unspecified</x:v>
      </x:c>
      <x:c r="K243" s="4" t="str">
        <x:f>IFERROR(INDEX('Crafting recipes'!$D$6:$D$1005,MATCH(B243,'Crafting recipes'!$A$6:$A$1005,0)),"MISSING ID")</x:f>
        <x:v>Proposal</x:v>
      </x:c>
      <x:c r="L243" s="4" t="str">
        <x:f>IFERROR(INDEX('Items'!$AC$6:$AC$1005,MATCH(D243,'Items'!$A$6:$A$1005,0)),"MISSING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IFERROR(INDEX('Items'!$AF$6:$AF$1005,MATCH(D244,'Items'!$A$6:$A$1005,0)),"MISSING ID")</x:f>
        <x:v>T2</x:v>
      </x:c>
      <x:c r="G244" s="4" t="str">
        <x:f>IFERROR(INDEX('Items'!$C$6:$C$1005,MATCH(D244,'Items'!$A$6:$A$1005,0)),"MISSING ID")</x:f>
        <x:v>Resources</x:v>
      </x:c>
      <x:c r="H244" s="4" t="str">
        <x:f>IFERROR(INDEX('Items'!$W$6:$W$1005,MATCH(D244,'Items'!$A$6:$A$1005,0)),"MISSING ID")</x:f>
        <x:v>Chemical material</x:v>
      </x:c>
      <x:c r="I244" s="4"/>
      <x:c r="J244" s="4" t="str">
        <x:v>Unspecified</x:v>
      </x:c>
      <x:c r="K244" s="4" t="str">
        <x:f>IFERROR(INDEX('Crafting recipes'!$D$6:$D$1005,MATCH(B244,'Crafting recipes'!$A$6:$A$1005,0)),"MISSING ID")</x:f>
        <x:v>Proposal</x:v>
      </x:c>
      <x:c r="L244" s="4" t="str">
        <x:f>IFERROR(INDEX('Items'!$AC$6:$AC$1005,MATCH(D244,'Items'!$A$6:$A$1005,0)),"MISSING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IFERROR(INDEX('Items'!$AF$6:$AF$1005,MATCH(D245,'Items'!$A$6:$A$1005,0)),"MISSING ID")</x:f>
        <x:v>T3</x:v>
      </x:c>
      <x:c r="G245" s="4" t="str">
        <x:f>IFERROR(INDEX('Items'!$C$6:$C$1005,MATCH(D245,'Items'!$A$6:$A$1005,0)),"MISSING ID")</x:f>
        <x:v>Resources</x:v>
      </x:c>
      <x:c r="H245" s="4" t="str">
        <x:f>IFERROR(INDEX('Items'!$W$6:$W$1005,MATCH(D245,'Items'!$A$6:$A$1005,0)),"MISSING ID")</x:f>
        <x:v>Processed material</x:v>
      </x:c>
      <x:c r="I245" s="4"/>
      <x:c r="J245" s="4" t="str">
        <x:v>Unspecified</x:v>
      </x:c>
      <x:c r="K245" s="4" t="str">
        <x:f>IFERROR(INDEX('Crafting recipes'!$D$6:$D$1005,MATCH(B245,'Crafting recipes'!$A$6:$A$1005,0)),"MISSING ID")</x:f>
        <x:v>Proposal</x:v>
      </x:c>
      <x:c r="L245" s="4" t="str">
        <x:f>IFERROR(INDEX('Items'!$AC$6:$AC$1005,MATCH(D245,'Items'!$A$6:$A$1005,0)),"MISSING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IFERROR(INDEX('Items'!$AF$6:$AF$1005,MATCH(D246,'Items'!$A$6:$A$1005,0)),"MISSING ID")</x:f>
        <x:v>T2</x:v>
      </x:c>
      <x:c r="G246" s="4" t="str">
        <x:f>IFERROR(INDEX('Items'!$C$6:$C$1005,MATCH(D246,'Items'!$A$6:$A$1005,0)),"MISSING ID")</x:f>
        <x:v>Resources</x:v>
      </x:c>
      <x:c r="H246" s="4" t="str">
        <x:f>IFERROR(INDEX('Items'!$W$6:$W$1005,MATCH(D246,'Items'!$A$6:$A$1005,0)),"MISSING ID")</x:f>
        <x:v>Processed material</x:v>
      </x:c>
      <x:c r="I246" s="4"/>
      <x:c r="J246" s="4" t="str">
        <x:v>Unspecified</x:v>
      </x:c>
      <x:c r="K246" s="4" t="str">
        <x:f>IFERROR(INDEX('Crafting recipes'!$D$6:$D$1005,MATCH(B246,'Crafting recipes'!$A$6:$A$1005,0)),"MISSING ID")</x:f>
        <x:v>Proposal</x:v>
      </x:c>
      <x:c r="L246" s="4" t="str">
        <x:f>IFERROR(INDEX('Items'!$AC$6:$AC$1005,MATCH(D246,'Items'!$A$6:$A$1005,0)),"MISSING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IFERROR(INDEX('Items'!$AF$6:$AF$1005,MATCH(D247,'Items'!$A$6:$A$1005,0)),"MISSING ID")</x:f>
        <x:v>T1</x:v>
      </x:c>
      <x:c r="G247" s="4" t="str">
        <x:f>IFERROR(INDEX('Items'!$C$6:$C$1005,MATCH(D247,'Items'!$A$6:$A$1005,0)),"MISSING ID")</x:f>
        <x:v>Resources</x:v>
      </x:c>
      <x:c r="H247" s="4" t="str">
        <x:f>IFERROR(INDEX('Items'!$W$6:$W$1005,MATCH(D247,'Items'!$A$6:$A$1005,0)),"MISSING ID")</x:f>
        <x:v>Processed material</x:v>
      </x:c>
      <x:c r="I247" s="4"/>
      <x:c r="J247" s="4" t="str">
        <x:v>Unspecified</x:v>
      </x:c>
      <x:c r="K247" s="4" t="str">
        <x:f>IFERROR(INDEX('Crafting recipes'!$D$6:$D$1005,MATCH(B247,'Crafting recipes'!$A$6:$A$1005,0)),"MISSING ID")</x:f>
        <x:v>Proposal</x:v>
      </x:c>
      <x:c r="L247" s="4" t="str">
        <x:f>IFERROR(INDEX('Items'!$AC$6:$AC$1005,MATCH(D247,'Items'!$A$6:$A$1005,0)),"MISSING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IFERROR(INDEX('Items'!$AF$6:$AF$1005,MATCH(D248,'Items'!$A$6:$A$1005,0)),"MISSING ID")</x:f>
        <x:v>T3</x:v>
      </x:c>
      <x:c r="G248" s="4" t="str">
        <x:f>IFERROR(INDEX('Items'!$C$6:$C$1005,MATCH(D248,'Items'!$A$6:$A$1005,0)),"MISSING ID")</x:f>
        <x:v>Resources</x:v>
      </x:c>
      <x:c r="H248" s="4" t="str">
        <x:f>IFERROR(INDEX('Items'!$W$6:$W$1005,MATCH(D248,'Items'!$A$6:$A$1005,0)),"MISSING ID")</x:f>
        <x:v>Processed material</x:v>
      </x:c>
      <x:c r="I248" s="4"/>
      <x:c r="J248" s="4" t="str">
        <x:v>Unspecified</x:v>
      </x:c>
      <x:c r="K248" s="4" t="str">
        <x:f>IFERROR(INDEX('Crafting recipes'!$D$6:$D$1005,MATCH(B248,'Crafting recipes'!$A$6:$A$1005,0)),"MISSING ID")</x:f>
        <x:v>Proposal</x:v>
      </x:c>
      <x:c r="L248" s="4" t="str">
        <x:f>IFERROR(INDEX('Items'!$AC$6:$AC$1005,MATCH(D248,'Items'!$A$6:$A$1005,0)),"MISSING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IFERROR(INDEX('Items'!$AF$6:$AF$1005,MATCH(D249,'Items'!$A$6:$A$1005,0)),"MISSING ID")</x:f>
        <x:v>T2</x:v>
      </x:c>
      <x:c r="G249" s="4" t="str">
        <x:f>IFERROR(INDEX('Items'!$C$6:$C$1005,MATCH(D249,'Items'!$A$6:$A$1005,0)),"MISSING ID")</x:f>
        <x:v>Resources</x:v>
      </x:c>
      <x:c r="H249" s="4" t="str">
        <x:f>IFERROR(INDEX('Items'!$W$6:$W$1005,MATCH(D249,'Items'!$A$6:$A$1005,0)),"MISSING ID")</x:f>
        <x:v>Processed material</x:v>
      </x:c>
      <x:c r="I249" s="4"/>
      <x:c r="J249" s="4" t="str">
        <x:v>Unspecified</x:v>
      </x:c>
      <x:c r="K249" s="4" t="str">
        <x:f>IFERROR(INDEX('Crafting recipes'!$D$6:$D$1005,MATCH(B249,'Crafting recipes'!$A$6:$A$1005,0)),"MISSING ID")</x:f>
        <x:v>Proposal</x:v>
      </x:c>
      <x:c r="L249" s="4" t="str">
        <x:f>IFERROR(INDEX('Items'!$AC$6:$AC$1005,MATCH(D249,'Items'!$A$6:$A$1005,0)),"MISSING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IFERROR(INDEX('Items'!$AF$6:$AF$1005,MATCH(D250,'Items'!$A$6:$A$1005,0)),"MISSING ID")</x:f>
        <x:v>T2</x:v>
      </x:c>
      <x:c r="G250" s="4" t="str">
        <x:f>IFERROR(INDEX('Items'!$C$6:$C$1005,MATCH(D250,'Items'!$A$6:$A$1005,0)),"MISSING ID")</x:f>
        <x:v>Resources</x:v>
      </x:c>
      <x:c r="H250" s="4" t="str">
        <x:f>IFERROR(INDEX('Items'!$W$6:$W$1005,MATCH(D250,'Items'!$A$6:$A$1005,0)),"MISSING ID")</x:f>
        <x:v>Chemical material</x:v>
      </x:c>
      <x:c r="I250" s="4"/>
      <x:c r="J250" s="4" t="str">
        <x:v>Unspecified</x:v>
      </x:c>
      <x:c r="K250" s="4" t="str">
        <x:f>IFERROR(INDEX('Crafting recipes'!$D$6:$D$1005,MATCH(B250,'Crafting recipes'!$A$6:$A$1005,0)),"MISSING ID")</x:f>
        <x:v>Proposal</x:v>
      </x:c>
      <x:c r="L250" s="4" t="str">
        <x:f>IFERROR(INDEX('Items'!$AC$6:$AC$1005,MATCH(D250,'Items'!$A$6:$A$1005,0)),"MISSING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IFERROR(INDEX('Items'!$AF$6:$AF$1005,MATCH(D251,'Items'!$A$6:$A$1005,0)),"MISSING ID")</x:f>
        <x:v>T3</x:v>
      </x:c>
      <x:c r="G251" s="4" t="str">
        <x:f>IFERROR(INDEX('Items'!$C$6:$C$1005,MATCH(D251,'Items'!$A$6:$A$1005,0)),"MISSING ID")</x:f>
        <x:v>Resources</x:v>
      </x:c>
      <x:c r="H251" s="4" t="str">
        <x:f>IFERROR(INDEX('Items'!$W$6:$W$1005,MATCH(D251,'Items'!$A$6:$A$1005,0)),"MISSING ID")</x:f>
        <x:v>Processed material</x:v>
      </x:c>
      <x:c r="I251" s="4"/>
      <x:c r="J251" s="4" t="str">
        <x:v>Unspecified</x:v>
      </x:c>
      <x:c r="K251" s="4" t="str">
        <x:f>IFERROR(INDEX('Crafting recipes'!$D$6:$D$1005,MATCH(B251,'Crafting recipes'!$A$6:$A$1005,0)),"MISSING ID")</x:f>
        <x:v>Proposal</x:v>
      </x:c>
      <x:c r="L251" s="4" t="str">
        <x:f>IFERROR(INDEX('Items'!$AC$6:$AC$1005,MATCH(D251,'Items'!$A$6:$A$1005,0)),"MISSING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IFERROR(INDEX('Items'!$AF$6:$AF$1005,MATCH(D252,'Items'!$A$6:$A$1005,0)),"MISSING ID")</x:f>
        <x:v>T2</x:v>
      </x:c>
      <x:c r="G252" s="4" t="str">
        <x:f>IFERROR(INDEX('Items'!$C$6:$C$1005,MATCH(D252,'Items'!$A$6:$A$1005,0)),"MISSING ID")</x:f>
        <x:v>Resources</x:v>
      </x:c>
      <x:c r="H252" s="4" t="str">
        <x:f>IFERROR(INDEX('Items'!$W$6:$W$1005,MATCH(D252,'Items'!$A$6:$A$1005,0)),"MISSING ID")</x:f>
        <x:v>Chemical material</x:v>
      </x:c>
      <x:c r="I252" s="4"/>
      <x:c r="J252" s="4" t="str">
        <x:v>Unspecified</x:v>
      </x:c>
      <x:c r="K252" s="4" t="str">
        <x:f>IFERROR(INDEX('Crafting recipes'!$D$6:$D$1005,MATCH(B252,'Crafting recipes'!$A$6:$A$1005,0)),"MISSING ID")</x:f>
        <x:v>Proposal</x:v>
      </x:c>
      <x:c r="L252" s="4" t="str">
        <x:f>IFERROR(INDEX('Items'!$AC$6:$AC$1005,MATCH(D252,'Items'!$A$6:$A$1005,0)),"MISSING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IFERROR(INDEX('Items'!$AF$6:$AF$1005,MATCH(D253,'Items'!$A$6:$A$1005,0)),"MISSING ID")</x:f>
        <x:v>T2</x:v>
      </x:c>
      <x:c r="G253" s="4" t="str">
        <x:f>IFERROR(INDEX('Items'!$C$6:$C$1005,MATCH(D253,'Items'!$A$6:$A$1005,0)),"MISSING ID")</x:f>
        <x:v>Resources</x:v>
      </x:c>
      <x:c r="H253" s="4" t="str">
        <x:f>IFERROR(INDEX('Items'!$W$6:$W$1005,MATCH(D253,'Items'!$A$6:$A$1005,0)),"MISSING ID")</x:f>
        <x:v>Processed material</x:v>
      </x:c>
      <x:c r="I253" s="4"/>
      <x:c r="J253" s="4" t="str">
        <x:v>Unspecified</x:v>
      </x:c>
      <x:c r="K253" s="4" t="str">
        <x:f>IFERROR(INDEX('Crafting recipes'!$D$6:$D$1005,MATCH(B253,'Crafting recipes'!$A$6:$A$1005,0)),"MISSING ID")</x:f>
        <x:v>Proposal</x:v>
      </x:c>
      <x:c r="L253" s="4" t="str">
        <x:f>IFERROR(INDEX('Items'!$AC$6:$AC$1005,MATCH(D253,'Items'!$A$6:$A$1005,0)),"MISSING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IFERROR(INDEX('Items'!$AF$6:$AF$1005,MATCH(D254,'Items'!$A$6:$A$1005,0)),"MISSING ID")</x:f>
        <x:v>T2</x:v>
      </x:c>
      <x:c r="G254" s="4" t="str">
        <x:f>IFERROR(INDEX('Items'!$C$6:$C$1005,MATCH(D254,'Items'!$A$6:$A$1005,0)),"MISSING ID")</x:f>
        <x:v>Resources</x:v>
      </x:c>
      <x:c r="H254" s="4" t="str">
        <x:f>IFERROR(INDEX('Items'!$W$6:$W$1005,MATCH(D254,'Items'!$A$6:$A$1005,0)),"MISSING ID")</x:f>
        <x:v>Chemical material</x:v>
      </x:c>
      <x:c r="I254" s="4"/>
      <x:c r="J254" s="4" t="str">
        <x:v>Unspecified</x:v>
      </x:c>
      <x:c r="K254" s="4" t="str">
        <x:f>IFERROR(INDEX('Crafting recipes'!$D$6:$D$1005,MATCH(B254,'Crafting recipes'!$A$6:$A$1005,0)),"MISSING ID")</x:f>
        <x:v>Proposal</x:v>
      </x:c>
      <x:c r="L254" s="4" t="str">
        <x:f>IFERROR(INDEX('Items'!$AC$6:$AC$1005,MATCH(D254,'Items'!$A$6:$A$1005,0)),"MISSING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IFERROR(INDEX('Items'!$AF$6:$AF$1005,MATCH(D255,'Items'!$A$6:$A$1005,0)),"MISSING ID")</x:f>
        <x:v>T3</x:v>
      </x:c>
      <x:c r="G255" s="4" t="str">
        <x:f>IFERROR(INDEX('Items'!$C$6:$C$1005,MATCH(D255,'Items'!$A$6:$A$1005,0)),"MISSING ID")</x:f>
        <x:v>Resources</x:v>
      </x:c>
      <x:c r="H255" s="4" t="str">
        <x:f>IFERROR(INDEX('Items'!$W$6:$W$1005,MATCH(D255,'Items'!$A$6:$A$1005,0)),"MISSING ID")</x:f>
        <x:v>Processed material</x:v>
      </x:c>
      <x:c r="I255" s="4"/>
      <x:c r="J255" s="4" t="str">
        <x:v>Unspecified</x:v>
      </x:c>
      <x:c r="K255" s="4" t="str">
        <x:f>IFERROR(INDEX('Crafting recipes'!$D$6:$D$1005,MATCH(B255,'Crafting recipes'!$A$6:$A$1005,0)),"MISSING ID")</x:f>
        <x:v>Proposal</x:v>
      </x:c>
      <x:c r="L255" s="4" t="str">
        <x:f>IFERROR(INDEX('Items'!$AC$6:$AC$1005,MATCH(D255,'Items'!$A$6:$A$1005,0)),"MISSING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IFERROR(INDEX('Items'!$AF$6:$AF$1005,MATCH(D256,'Items'!$A$6:$A$1005,0)),"MISSING ID")</x:f>
        <x:v>T2</x:v>
      </x:c>
      <x:c r="G256" s="4" t="str">
        <x:f>IFERROR(INDEX('Items'!$C$6:$C$1005,MATCH(D256,'Items'!$A$6:$A$1005,0)),"MISSING ID")</x:f>
        <x:v>Crafting components</x:v>
      </x:c>
      <x:c r="H256" s="4" t="str">
        <x:f>IFERROR(INDEX('Items'!$W$6:$W$1005,MATCH(D256,'Items'!$A$6:$A$1005,0)),"MISSING ID")</x:f>
        <x:v>Processed material</x:v>
      </x:c>
      <x:c r="I256" s="4"/>
      <x:c r="J256" s="4" t="str">
        <x:v>Unspecified</x:v>
      </x:c>
      <x:c r="K256" s="4" t="str">
        <x:f>IFERROR(INDEX('Crafting recipes'!$D$6:$D$1005,MATCH(B256,'Crafting recipes'!$A$6:$A$1005,0)),"MISSING ID")</x:f>
        <x:v>Proposal</x:v>
      </x:c>
      <x:c r="L256" s="4" t="str">
        <x:f>IFERROR(INDEX('Items'!$AC$6:$AC$1005,MATCH(D256,'Items'!$A$6:$A$1005,0)),"MISSING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IFERROR(INDEX('Items'!$AF$6:$AF$1005,MATCH(D257,'Items'!$A$6:$A$1005,0)),"MISSING ID")</x:f>
        <x:v>T2</x:v>
      </x:c>
      <x:c r="G257" s="4" t="str">
        <x:f>IFERROR(INDEX('Items'!$C$6:$C$1005,MATCH(D257,'Items'!$A$6:$A$1005,0)),"MISSING ID")</x:f>
        <x:v>Resources</x:v>
      </x:c>
      <x:c r="H257" s="4" t="str">
        <x:f>IFERROR(INDEX('Items'!$W$6:$W$1005,MATCH(D257,'Items'!$A$6:$A$1005,0)),"MISSING ID")</x:f>
        <x:v>Processed material</x:v>
      </x:c>
      <x:c r="I257" s="4"/>
      <x:c r="J257" s="4" t="str">
        <x:v>Unspecified</x:v>
      </x:c>
      <x:c r="K257" s="4" t="str">
        <x:f>IFERROR(INDEX('Crafting recipes'!$D$6:$D$1005,MATCH(B257,'Crafting recipes'!$A$6:$A$1005,0)),"MISSING ID")</x:f>
        <x:v>Proposal</x:v>
      </x:c>
      <x:c r="L257" s="4" t="str">
        <x:f>IFERROR(INDEX('Items'!$AC$6:$AC$1005,MATCH(D257,'Items'!$A$6:$A$1005,0)),"MISSING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IFERROR(INDEX('Items'!$AF$6:$AF$1005,MATCH(D258,'Items'!$A$6:$A$1005,0)),"MISSING ID")</x:f>
        <x:v>T3</x:v>
      </x:c>
      <x:c r="G258" s="4" t="str">
        <x:f>IFERROR(INDEX('Items'!$C$6:$C$1005,MATCH(D258,'Items'!$A$6:$A$1005,0)),"MISSING ID")</x:f>
        <x:v>Resources</x:v>
      </x:c>
      <x:c r="H258" s="4" t="str">
        <x:f>IFERROR(INDEX('Items'!$W$6:$W$1005,MATCH(D258,'Items'!$A$6:$A$1005,0)),"MISSING ID")</x:f>
        <x:v>Processed material</x:v>
      </x:c>
      <x:c r="I258" s="4"/>
      <x:c r="J258" s="4" t="str">
        <x:v>Unspecified</x:v>
      </x:c>
      <x:c r="K258" s="4" t="str">
        <x:f>IFERROR(INDEX('Crafting recipes'!$D$6:$D$1005,MATCH(B258,'Crafting recipes'!$A$6:$A$1005,0)),"MISSING ID")</x:f>
        <x:v>Proposal</x:v>
      </x:c>
      <x:c r="L258" s="4" t="str">
        <x:f>IFERROR(INDEX('Items'!$AC$6:$AC$1005,MATCH(D258,'Items'!$A$6:$A$1005,0)),"MISSING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IFERROR(INDEX('Items'!$AF$6:$AF$1005,MATCH(D259,'Items'!$A$6:$A$1005,0)),"MISSING ID")</x:f>
        <x:v>T2</x:v>
      </x:c>
      <x:c r="G259" s="4" t="str">
        <x:f>IFERROR(INDEX('Items'!$C$6:$C$1005,MATCH(D259,'Items'!$A$6:$A$1005,0)),"MISSING ID")</x:f>
        <x:v>Resources</x:v>
      </x:c>
      <x:c r="H259" s="4" t="str">
        <x:f>IFERROR(INDEX('Items'!$W$6:$W$1005,MATCH(D259,'Items'!$A$6:$A$1005,0)),"MISSING ID")</x:f>
        <x:v>Chemical material</x:v>
      </x:c>
      <x:c r="I259" s="4"/>
      <x:c r="J259" s="4" t="str">
        <x:v>Unspecified</x:v>
      </x:c>
      <x:c r="K259" s="4" t="str">
        <x:f>IFERROR(INDEX('Crafting recipes'!$D$6:$D$1005,MATCH(B259,'Crafting recipes'!$A$6:$A$1005,0)),"MISSING ID")</x:f>
        <x:v>Proposal</x:v>
      </x:c>
      <x:c r="L259" s="4" t="str">
        <x:f>IFERROR(INDEX('Items'!$AC$6:$AC$1005,MATCH(D259,'Items'!$A$6:$A$1005,0)),"MISSING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IFERROR(INDEX('Items'!$AF$6:$AF$1005,MATCH(D260,'Items'!$A$6:$A$1005,0)),"MISSING ID")</x:f>
        <x:v>T2</x:v>
      </x:c>
      <x:c r="G260" s="4" t="str">
        <x:f>IFERROR(INDEX('Items'!$C$6:$C$1005,MATCH(D260,'Items'!$A$6:$A$1005,0)),"MISSING ID")</x:f>
        <x:v>Resources</x:v>
      </x:c>
      <x:c r="H260" s="4" t="str">
        <x:f>IFERROR(INDEX('Items'!$W$6:$W$1005,MATCH(D260,'Items'!$A$6:$A$1005,0)),"MISSING ID")</x:f>
        <x:v>Chemical material</x:v>
      </x:c>
      <x:c r="I260" s="4"/>
      <x:c r="J260" s="4" t="str">
        <x:v>Unspecified</x:v>
      </x:c>
      <x:c r="K260" s="4" t="str">
        <x:f>IFERROR(INDEX('Crafting recipes'!$D$6:$D$1005,MATCH(B260,'Crafting recipes'!$A$6:$A$1005,0)),"MISSING ID")</x:f>
        <x:v>Proposal</x:v>
      </x:c>
      <x:c r="L260" s="4" t="str">
        <x:f>IFERROR(INDEX('Items'!$AC$6:$AC$1005,MATCH(D260,'Items'!$A$6:$A$1005,0)),"MISSING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IFERROR(INDEX('Items'!$AF$6:$AF$1005,MATCH(D261,'Items'!$A$6:$A$1005,0)),"MISSING ID")</x:f>
        <x:v>T3</x:v>
      </x:c>
      <x:c r="G261" s="4" t="str">
        <x:f>IFERROR(INDEX('Items'!$C$6:$C$1005,MATCH(D261,'Items'!$A$6:$A$1005,0)),"MISSING ID")</x:f>
        <x:v>Crafting components</x:v>
      </x:c>
      <x:c r="H261" s="4" t="str">
        <x:f>IFERROR(INDEX('Items'!$W$6:$W$1005,MATCH(D261,'Items'!$A$6:$A$1005,0)),"MISSING ID")</x:f>
        <x:v>Chemical material</x:v>
      </x:c>
      <x:c r="I261" s="4"/>
      <x:c r="J261" s="4" t="str">
        <x:v>Unspecified</x:v>
      </x:c>
      <x:c r="K261" s="4" t="str">
        <x:f>IFERROR(INDEX('Crafting recipes'!$D$6:$D$1005,MATCH(B261,'Crafting recipes'!$A$6:$A$1005,0)),"MISSING ID")</x:f>
        <x:v>Proposal</x:v>
      </x:c>
      <x:c r="L261" s="4" t="str">
        <x:f>IFERROR(INDEX('Items'!$AC$6:$AC$1005,MATCH(D261,'Items'!$A$6:$A$1005,0)),"MISSING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IFERROR(INDEX('Items'!$AF$6:$AF$1005,MATCH(D262,'Items'!$A$6:$A$1005,0)),"MISSING ID")</x:f>
        <x:v>T3</x:v>
      </x:c>
      <x:c r="G262" s="4" t="str">
        <x:f>IFERROR(INDEX('Items'!$C$6:$C$1005,MATCH(D262,'Items'!$A$6:$A$1005,0)),"MISSING ID")</x:f>
        <x:v>Resources</x:v>
      </x:c>
      <x:c r="H262" s="4" t="str">
        <x:f>IFERROR(INDEX('Items'!$W$6:$W$1005,MATCH(D262,'Items'!$A$6:$A$1005,0)),"MISSING ID")</x:f>
        <x:v>Processed material</x:v>
      </x:c>
      <x:c r="I262" s="4"/>
      <x:c r="J262" s="4" t="str">
        <x:v>Unspecified</x:v>
      </x:c>
      <x:c r="K262" s="4" t="str">
        <x:f>IFERROR(INDEX('Crafting recipes'!$D$6:$D$1005,MATCH(B262,'Crafting recipes'!$A$6:$A$1005,0)),"MISSING ID")</x:f>
        <x:v>Proposal</x:v>
      </x:c>
      <x:c r="L262" s="4" t="str">
        <x:f>IFERROR(INDEX('Items'!$AC$6:$AC$1005,MATCH(D262,'Items'!$A$6:$A$1005,0)),"MISSING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IFERROR(INDEX('Items'!$AF$6:$AF$1005,MATCH(D263,'Items'!$A$6:$A$1005,0)),"MISSING ID")</x:f>
        <x:v>T3</x:v>
      </x:c>
      <x:c r="G263" s="4" t="str">
        <x:f>IFERROR(INDEX('Items'!$C$6:$C$1005,MATCH(D263,'Items'!$A$6:$A$1005,0)),"MISSING ID")</x:f>
        <x:v>Resources</x:v>
      </x:c>
      <x:c r="H263" s="4" t="str">
        <x:f>IFERROR(INDEX('Items'!$W$6:$W$1005,MATCH(D263,'Items'!$A$6:$A$1005,0)),"MISSING ID")</x:f>
        <x:v>Processed material</x:v>
      </x:c>
      <x:c r="I263" s="4"/>
      <x:c r="J263" s="4" t="str">
        <x:v>Unspecified</x:v>
      </x:c>
      <x:c r="K263" s="4" t="str">
        <x:f>IFERROR(INDEX('Crafting recipes'!$D$6:$D$1005,MATCH(B263,'Crafting recipes'!$A$6:$A$1005,0)),"MISSING ID")</x:f>
        <x:v>Proposal</x:v>
      </x:c>
      <x:c r="L263" s="4" t="str">
        <x:f>IFERROR(INDEX('Items'!$AC$6:$AC$1005,MATCH(D263,'Items'!$A$6:$A$1005,0)),"MISSING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IFERROR(INDEX('Items'!$AF$6:$AF$1005,MATCH(D264,'Items'!$A$6:$A$1005,0)),"MISSING ID")</x:f>
        <x:v>T2</x:v>
      </x:c>
      <x:c r="G264" s="4" t="str">
        <x:f>IFERROR(INDEX('Items'!$C$6:$C$1005,MATCH(D264,'Items'!$A$6:$A$1005,0)),"MISSING ID")</x:f>
        <x:v>Resources</x:v>
      </x:c>
      <x:c r="H264" s="4" t="str">
        <x:f>IFERROR(INDEX('Items'!$W$6:$W$1005,MATCH(D264,'Items'!$A$6:$A$1005,0)),"MISSING ID")</x:f>
        <x:v>Chemical material</x:v>
      </x:c>
      <x:c r="I264" s="4"/>
      <x:c r="J264" s="4" t="str">
        <x:v>Unspecified</x:v>
      </x:c>
      <x:c r="K264" s="4" t="str">
        <x:f>IFERROR(INDEX('Crafting recipes'!$D$6:$D$1005,MATCH(B264,'Crafting recipes'!$A$6:$A$1005,0)),"MISSING ID")</x:f>
        <x:v>Proposal</x:v>
      </x:c>
      <x:c r="L264" s="4" t="str">
        <x:f>IFERROR(INDEX('Items'!$AC$6:$AC$1005,MATCH(D264,'Items'!$A$6:$A$1005,0)),"MISSING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IFERROR(INDEX('Items'!$AF$6:$AF$1005,MATCH(D265,'Items'!$A$6:$A$1005,0)),"MISSING ID")</x:f>
        <x:v>T4</x:v>
      </x:c>
      <x:c r="G265" s="4" t="str">
        <x:f>IFERROR(INDEX('Items'!$C$6:$C$1005,MATCH(D265,'Items'!$A$6:$A$1005,0)),"MISSING ID")</x:f>
        <x:v>Resources</x:v>
      </x:c>
      <x:c r="H265" s="4" t="str">
        <x:f>IFERROR(INDEX('Items'!$W$6:$W$1005,MATCH(D265,'Items'!$A$6:$A$1005,0)),"MISSING ID")</x:f>
        <x:v>Processed material</x:v>
      </x:c>
      <x:c r="I265" s="4"/>
      <x:c r="J265" s="4" t="str">
        <x:v>Unspecified</x:v>
      </x:c>
      <x:c r="K265" s="4" t="str">
        <x:f>IFERROR(INDEX('Crafting recipes'!$D$6:$D$1005,MATCH(B265,'Crafting recipes'!$A$6:$A$1005,0)),"MISSING ID")</x:f>
        <x:v>Proposal</x:v>
      </x:c>
      <x:c r="L265" s="4" t="str">
        <x:f>IFERROR(INDEX('Items'!$AC$6:$AC$1005,MATCH(D265,'Items'!$A$6:$A$1005,0)),"MISSING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IFERROR(INDEX('Items'!$AF$6:$AF$1005,MATCH(D266,'Items'!$A$6:$A$1005,0)),"MISSING ID")</x:f>
        <x:v>T3</x:v>
      </x:c>
      <x:c r="G266" s="4" t="str">
        <x:f>IFERROR(INDEX('Items'!$C$6:$C$1005,MATCH(D266,'Items'!$A$6:$A$1005,0)),"MISSING ID")</x:f>
        <x:v>Resources</x:v>
      </x:c>
      <x:c r="H266" s="4" t="str">
        <x:f>IFERROR(INDEX('Items'!$W$6:$W$1005,MATCH(D266,'Items'!$A$6:$A$1005,0)),"MISSING ID")</x:f>
        <x:v>Processed material</x:v>
      </x:c>
      <x:c r="I266" s="4"/>
      <x:c r="J266" s="4" t="str">
        <x:v>Unspecified</x:v>
      </x:c>
      <x:c r="K266" s="4" t="str">
        <x:f>IFERROR(INDEX('Crafting recipes'!$D$6:$D$1005,MATCH(B266,'Crafting recipes'!$A$6:$A$1005,0)),"MISSING ID")</x:f>
        <x:v>Proposal</x:v>
      </x:c>
      <x:c r="L266" s="4" t="str">
        <x:f>IFERROR(INDEX('Items'!$AC$6:$AC$1005,MATCH(D266,'Items'!$A$6:$A$1005,0)),"MISSING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IFERROR(INDEX('Items'!$AF$6:$AF$1005,MATCH(D267,'Items'!$A$6:$A$1005,0)),"MISSING ID")</x:f>
        <x:v>T3</x:v>
      </x:c>
      <x:c r="G267" s="4" t="str">
        <x:f>IFERROR(INDEX('Items'!$C$6:$C$1005,MATCH(D267,'Items'!$A$6:$A$1005,0)),"MISSING ID")</x:f>
        <x:v>Resources</x:v>
      </x:c>
      <x:c r="H267" s="4" t="str">
        <x:f>IFERROR(INDEX('Items'!$W$6:$W$1005,MATCH(D267,'Items'!$A$6:$A$1005,0)),"MISSING ID")</x:f>
        <x:v>Processed material</x:v>
      </x:c>
      <x:c r="I267" s="4"/>
      <x:c r="J267" s="4" t="str">
        <x:v>Unspecified</x:v>
      </x:c>
      <x:c r="K267" s="4" t="str">
        <x:f>IFERROR(INDEX('Crafting recipes'!$D$6:$D$1005,MATCH(B267,'Crafting recipes'!$A$6:$A$1005,0)),"MISSING ID")</x:f>
        <x:v>Proposal</x:v>
      </x:c>
      <x:c r="L267" s="4" t="str">
        <x:f>IFERROR(INDEX('Items'!$AC$6:$AC$1005,MATCH(D267,'Items'!$A$6:$A$1005,0)),"MISSING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IFERROR(INDEX('Items'!$AF$6:$AF$1005,MATCH(D268,'Items'!$A$6:$A$1005,0)),"MISSING ID")</x:f>
        <x:v>T2</x:v>
      </x:c>
      <x:c r="G268" s="4" t="str">
        <x:f>IFERROR(INDEX('Items'!$C$6:$C$1005,MATCH(D268,'Items'!$A$6:$A$1005,0)),"MISSING ID")</x:f>
        <x:v>Resources</x:v>
      </x:c>
      <x:c r="H268" s="4" t="str">
        <x:f>IFERROR(INDEX('Items'!$W$6:$W$1005,MATCH(D268,'Items'!$A$6:$A$1005,0)),"MISSING ID")</x:f>
        <x:v>Processed material</x:v>
      </x:c>
      <x:c r="I268" s="4"/>
      <x:c r="J268" s="4" t="str">
        <x:v>Unspecified</x:v>
      </x:c>
      <x:c r="K268" s="4" t="str">
        <x:f>IFERROR(INDEX('Crafting recipes'!$D$6:$D$1005,MATCH(B268,'Crafting recipes'!$A$6:$A$1005,0)),"MISSING ID")</x:f>
        <x:v>Proposal</x:v>
      </x:c>
      <x:c r="L268" s="4" t="str">
        <x:f>IFERROR(INDEX('Items'!$AC$6:$AC$1005,MATCH(D268,'Items'!$A$6:$A$1005,0)),"MISSING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IFERROR(INDEX('Items'!$AF$6:$AF$1005,MATCH(D269,'Items'!$A$6:$A$1005,0)),"MISSING ID")</x:f>
        <x:v>T4</x:v>
      </x:c>
      <x:c r="G269" s="4" t="str">
        <x:f>IFERROR(INDEX('Items'!$C$6:$C$1005,MATCH(D269,'Items'!$A$6:$A$1005,0)),"MISSING ID")</x:f>
        <x:v>Resources</x:v>
      </x:c>
      <x:c r="H269" s="4" t="str">
        <x:f>IFERROR(INDEX('Items'!$W$6:$W$1005,MATCH(D269,'Items'!$A$6:$A$1005,0)),"MISSING ID")</x:f>
        <x:v>Processed material</x:v>
      </x:c>
      <x:c r="I269" s="4"/>
      <x:c r="J269" s="4" t="str">
        <x:v>Unspecified</x:v>
      </x:c>
      <x:c r="K269" s="4" t="str">
        <x:f>IFERROR(INDEX('Crafting recipes'!$D$6:$D$1005,MATCH(B269,'Crafting recipes'!$A$6:$A$1005,0)),"MISSING ID")</x:f>
        <x:v>Proposal</x:v>
      </x:c>
      <x:c r="L269" s="4" t="str">
        <x:f>IFERROR(INDEX('Items'!$AC$6:$AC$1005,MATCH(D269,'Items'!$A$6:$A$1005,0)),"MISSING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IFERROR(INDEX('Items'!$AF$6:$AF$1005,MATCH(D270,'Items'!$A$6:$A$1005,0)),"MISSING ID")</x:f>
        <x:v>T3</x:v>
      </x:c>
      <x:c r="G270" s="4" t="str">
        <x:f>IFERROR(INDEX('Items'!$C$6:$C$1005,MATCH(D270,'Items'!$A$6:$A$1005,0)),"MISSING ID")</x:f>
        <x:v>Resources</x:v>
      </x:c>
      <x:c r="H270" s="4" t="str">
        <x:f>IFERROR(INDEX('Items'!$W$6:$W$1005,MATCH(D270,'Items'!$A$6:$A$1005,0)),"MISSING ID")</x:f>
        <x:v>Processed material</x:v>
      </x:c>
      <x:c r="I270" s="4"/>
      <x:c r="J270" s="4" t="str">
        <x:v>Unspecified</x:v>
      </x:c>
      <x:c r="K270" s="4" t="str">
        <x:f>IFERROR(INDEX('Crafting recipes'!$D$6:$D$1005,MATCH(B270,'Crafting recipes'!$A$6:$A$1005,0)),"MISSING ID")</x:f>
        <x:v>Proposal</x:v>
      </x:c>
      <x:c r="L270" s="4" t="str">
        <x:f>IFERROR(INDEX('Items'!$AC$6:$AC$1005,MATCH(D270,'Items'!$A$6:$A$1005,0)),"MISSING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IFERROR(INDEX('Items'!$AF$6:$AF$1005,MATCH(D271,'Items'!$A$6:$A$1005,0)),"MISSING ID")</x:f>
        <x:v>T3</x:v>
      </x:c>
      <x:c r="G271" s="4" t="str">
        <x:f>IFERROR(INDEX('Items'!$C$6:$C$1005,MATCH(D271,'Items'!$A$6:$A$1005,0)),"MISSING ID")</x:f>
        <x:v>Resources</x:v>
      </x:c>
      <x:c r="H271" s="4" t="str">
        <x:f>IFERROR(INDEX('Items'!$W$6:$W$1005,MATCH(D271,'Items'!$A$6:$A$1005,0)),"MISSING ID")</x:f>
        <x:v>Processed material</x:v>
      </x:c>
      <x:c r="I271" s="4"/>
      <x:c r="J271" s="4" t="str">
        <x:v>Unspecified</x:v>
      </x:c>
      <x:c r="K271" s="4" t="str">
        <x:f>IFERROR(INDEX('Crafting recipes'!$D$6:$D$1005,MATCH(B271,'Crafting recipes'!$A$6:$A$1005,0)),"MISSING ID")</x:f>
        <x:v>Proposal</x:v>
      </x:c>
      <x:c r="L271" s="4" t="str">
        <x:f>IFERROR(INDEX('Items'!$AC$6:$AC$1005,MATCH(D271,'Items'!$A$6:$A$1005,0)),"MISSING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IFERROR(INDEX('Items'!$AF$6:$AF$1005,MATCH(D272,'Items'!$A$6:$A$1005,0)),"MISSING ID")</x:f>
        <x:v>T2</x:v>
      </x:c>
      <x:c r="G272" s="4" t="str">
        <x:f>IFERROR(INDEX('Items'!$C$6:$C$1005,MATCH(D272,'Items'!$A$6:$A$1005,0)),"MISSING ID")</x:f>
        <x:v>Resources</x:v>
      </x:c>
      <x:c r="H272" s="4" t="str">
        <x:f>IFERROR(INDEX('Items'!$W$6:$W$1005,MATCH(D272,'Items'!$A$6:$A$1005,0)),"MISSING ID")</x:f>
        <x:v>Processed material</x:v>
      </x:c>
      <x:c r="I272" s="4"/>
      <x:c r="J272" s="4" t="str">
        <x:v>Unspecified</x:v>
      </x:c>
      <x:c r="K272" s="4" t="str">
        <x:f>IFERROR(INDEX('Crafting recipes'!$D$6:$D$1005,MATCH(B272,'Crafting recipes'!$A$6:$A$1005,0)),"MISSING ID")</x:f>
        <x:v>Proposal</x:v>
      </x:c>
      <x:c r="L272" s="4" t="str">
        <x:f>IFERROR(INDEX('Items'!$AC$6:$AC$1005,MATCH(D272,'Items'!$A$6:$A$1005,0)),"MISSING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IFERROR(INDEX('Items'!$AF$6:$AF$1005,MATCH(D273,'Items'!$A$6:$A$1005,0)),"MISSING ID")</x:f>
        <x:v>T4</x:v>
      </x:c>
      <x:c r="G273" s="4" t="str">
        <x:f>IFERROR(INDEX('Items'!$C$6:$C$1005,MATCH(D273,'Items'!$A$6:$A$1005,0)),"MISSING ID")</x:f>
        <x:v>Crafting components</x:v>
      </x:c>
      <x:c r="H273" s="4" t="str">
        <x:f>IFERROR(INDEX('Items'!$W$6:$W$1005,MATCH(D273,'Items'!$A$6:$A$1005,0)),"MISSING ID")</x:f>
        <x:v>Crafting component</x:v>
      </x:c>
      <x:c r="I273" s="4"/>
      <x:c r="J273" s="4" t="str">
        <x:v>Unspecified</x:v>
      </x:c>
      <x:c r="K273" s="4" t="str">
        <x:f>IFERROR(INDEX('Crafting recipes'!$D$6:$D$1005,MATCH(B273,'Crafting recipes'!$A$6:$A$1005,0)),"MISSING ID")</x:f>
        <x:v>Proposal</x:v>
      </x:c>
      <x:c r="L273" s="4" t="str">
        <x:f>IFERROR(INDEX('Items'!$AC$6:$AC$1005,MATCH(D273,'Items'!$A$6:$A$1005,0)),"MISSING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IFERROR(INDEX('Items'!$AF$6:$AF$1005,MATCH(D274,'Items'!$A$6:$A$1005,0)),"MISSING ID")</x:f>
        <x:v>T3</x:v>
      </x:c>
      <x:c r="G274" s="4" t="str">
        <x:f>IFERROR(INDEX('Items'!$C$6:$C$1005,MATCH(D274,'Items'!$A$6:$A$1005,0)),"MISSING ID")</x:f>
        <x:v>Resources</x:v>
      </x:c>
      <x:c r="H274" s="4" t="str">
        <x:f>IFERROR(INDEX('Items'!$W$6:$W$1005,MATCH(D274,'Items'!$A$6:$A$1005,0)),"MISSING ID")</x:f>
        <x:v>Processed material</x:v>
      </x:c>
      <x:c r="I274" s="4"/>
      <x:c r="J274" s="4" t="str">
        <x:v>Unspecified</x:v>
      </x:c>
      <x:c r="K274" s="4" t="str">
        <x:f>IFERROR(INDEX('Crafting recipes'!$D$6:$D$1005,MATCH(B274,'Crafting recipes'!$A$6:$A$1005,0)),"MISSING ID")</x:f>
        <x:v>Proposal</x:v>
      </x:c>
      <x:c r="L274" s="4" t="str">
        <x:f>IFERROR(INDEX('Items'!$AC$6:$AC$1005,MATCH(D274,'Items'!$A$6:$A$1005,0)),"MISSING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IFERROR(INDEX('Items'!$AF$6:$AF$1005,MATCH(D275,'Items'!$A$6:$A$1005,0)),"MISSING ID")</x:f>
        <x:v>T3</x:v>
      </x:c>
      <x:c r="G275" s="4" t="str">
        <x:f>IFERROR(INDEX('Items'!$C$6:$C$1005,MATCH(D275,'Items'!$A$6:$A$1005,0)),"MISSING ID")</x:f>
        <x:v>Resources</x:v>
      </x:c>
      <x:c r="H275" s="4" t="str">
        <x:f>IFERROR(INDEX('Items'!$W$6:$W$1005,MATCH(D275,'Items'!$A$6:$A$1005,0)),"MISSING ID")</x:f>
        <x:v>Processed material</x:v>
      </x:c>
      <x:c r="I275" s="4"/>
      <x:c r="J275" s="4" t="str">
        <x:v>Unspecified</x:v>
      </x:c>
      <x:c r="K275" s="4" t="str">
        <x:f>IFERROR(INDEX('Crafting recipes'!$D$6:$D$1005,MATCH(B275,'Crafting recipes'!$A$6:$A$1005,0)),"MISSING ID")</x:f>
        <x:v>Proposal</x:v>
      </x:c>
      <x:c r="L275" s="4" t="str">
        <x:f>IFERROR(INDEX('Items'!$AC$6:$AC$1005,MATCH(D275,'Items'!$A$6:$A$1005,0)),"MISSING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IFERROR(INDEX('Items'!$AF$6:$AF$1005,MATCH(D276,'Items'!$A$6:$A$1005,0)),"MISSING ID")</x:f>
        <x:v>T4</x:v>
      </x:c>
      <x:c r="G276" s="4" t="str">
        <x:f>IFERROR(INDEX('Items'!$C$6:$C$1005,MATCH(D276,'Items'!$A$6:$A$1005,0)),"MISSING ID")</x:f>
        <x:v>Resources</x:v>
      </x:c>
      <x:c r="H276" s="4" t="str">
        <x:f>IFERROR(INDEX('Items'!$W$6:$W$1005,MATCH(D276,'Items'!$A$6:$A$1005,0)),"MISSING ID")</x:f>
        <x:v>Processed material</x:v>
      </x:c>
      <x:c r="I276" s="4"/>
      <x:c r="J276" s="4" t="str">
        <x:v>Unspecified</x:v>
      </x:c>
      <x:c r="K276" s="4" t="str">
        <x:f>IFERROR(INDEX('Crafting recipes'!$D$6:$D$1005,MATCH(B276,'Crafting recipes'!$A$6:$A$1005,0)),"MISSING ID")</x:f>
        <x:v>Proposal</x:v>
      </x:c>
      <x:c r="L276" s="4" t="str">
        <x:f>IFERROR(INDEX('Items'!$AC$6:$AC$1005,MATCH(D276,'Items'!$A$6:$A$1005,0)),"MISSING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IFERROR(INDEX('Items'!$AF$6:$AF$1005,MATCH(D277,'Items'!$A$6:$A$1005,0)),"MISSING ID")</x:f>
        <x:v>T3</x:v>
      </x:c>
      <x:c r="G277" s="4" t="str">
        <x:f>IFERROR(INDEX('Items'!$C$6:$C$1005,MATCH(D277,'Items'!$A$6:$A$1005,0)),"MISSING ID")</x:f>
        <x:v>Resources</x:v>
      </x:c>
      <x:c r="H277" s="4" t="str">
        <x:f>IFERROR(INDEX('Items'!$W$6:$W$1005,MATCH(D277,'Items'!$A$6:$A$1005,0)),"MISSING ID")</x:f>
        <x:v>Processed material</x:v>
      </x:c>
      <x:c r="I277" s="4"/>
      <x:c r="J277" s="4" t="str">
        <x:v>Unspecified</x:v>
      </x:c>
      <x:c r="K277" s="4" t="str">
        <x:f>IFERROR(INDEX('Crafting recipes'!$D$6:$D$1005,MATCH(B277,'Crafting recipes'!$A$6:$A$1005,0)),"MISSING ID")</x:f>
        <x:v>Proposal</x:v>
      </x:c>
      <x:c r="L277" s="4" t="str">
        <x:f>IFERROR(INDEX('Items'!$AC$6:$AC$1005,MATCH(D277,'Items'!$A$6:$A$1005,0)),"MISSING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IFERROR(INDEX('Items'!$AF$6:$AF$1005,MATCH(D278,'Items'!$A$6:$A$1005,0)),"MISSING ID")</x:f>
        <x:v>T2</x:v>
      </x:c>
      <x:c r="G278" s="4" t="str">
        <x:f>IFERROR(INDEX('Items'!$C$6:$C$1005,MATCH(D278,'Items'!$A$6:$A$1005,0)),"MISSING ID")</x:f>
        <x:v>Resources</x:v>
      </x:c>
      <x:c r="H278" s="4" t="str">
        <x:f>IFERROR(INDEX('Items'!$W$6:$W$1005,MATCH(D278,'Items'!$A$6:$A$1005,0)),"MISSING ID")</x:f>
        <x:v>Processed material</x:v>
      </x:c>
      <x:c r="I278" s="4"/>
      <x:c r="J278" s="4" t="str">
        <x:v>Unspecified</x:v>
      </x:c>
      <x:c r="K278" s="4" t="str">
        <x:f>IFERROR(INDEX('Crafting recipes'!$D$6:$D$1005,MATCH(B278,'Crafting recipes'!$A$6:$A$1005,0)),"MISSING ID")</x:f>
        <x:v>Proposal</x:v>
      </x:c>
      <x:c r="L278" s="4" t="str">
        <x:f>IFERROR(INDEX('Items'!$AC$6:$AC$1005,MATCH(D278,'Items'!$A$6:$A$1005,0)),"MISSING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IFERROR(INDEX('Items'!$AF$6:$AF$1005,MATCH(D279,'Items'!$A$6:$A$1005,0)),"MISSING ID")</x:f>
        <x:v>T2</x:v>
      </x:c>
      <x:c r="G279" s="4" t="str">
        <x:f>IFERROR(INDEX('Items'!$C$6:$C$1005,MATCH(D279,'Items'!$A$6:$A$1005,0)),"MISSING ID")</x:f>
        <x:v>Resources</x:v>
      </x:c>
      <x:c r="H279" s="4" t="str">
        <x:f>IFERROR(INDEX('Items'!$W$6:$W$1005,MATCH(D279,'Items'!$A$6:$A$1005,0)),"MISSING ID")</x:f>
        <x:v>Chemical material</x:v>
      </x:c>
      <x:c r="I279" s="4"/>
      <x:c r="J279" s="4" t="str">
        <x:v>Unspecified</x:v>
      </x:c>
      <x:c r="K279" s="4" t="str">
        <x:f>IFERROR(INDEX('Crafting recipes'!$D$6:$D$1005,MATCH(B279,'Crafting recipes'!$A$6:$A$1005,0)),"MISSING ID")</x:f>
        <x:v>Proposal</x:v>
      </x:c>
      <x:c r="L279" s="4" t="str">
        <x:f>IFERROR(INDEX('Items'!$AC$6:$AC$1005,MATCH(D279,'Items'!$A$6:$A$1005,0)),"MISSING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IFERROR(INDEX('Items'!$AF$6:$AF$1005,MATCH(D280,'Items'!$A$6:$A$1005,0)),"MISSING ID")</x:f>
        <x:v>T4</x:v>
      </x:c>
      <x:c r="G280" s="4" t="str">
        <x:f>IFERROR(INDEX('Items'!$C$6:$C$1005,MATCH(D280,'Items'!$A$6:$A$1005,0)),"MISSING ID")</x:f>
        <x:v>Crafting components</x:v>
      </x:c>
      <x:c r="H280" s="4" t="str">
        <x:f>IFERROR(INDEX('Items'!$W$6:$W$1005,MATCH(D280,'Items'!$A$6:$A$1005,0)),"MISSING ID")</x:f>
        <x:v>Crafting component</x:v>
      </x:c>
      <x:c r="I280" s="4"/>
      <x:c r="J280" s="4" t="str">
        <x:v>Unspecified</x:v>
      </x:c>
      <x:c r="K280" s="4" t="str">
        <x:f>IFERROR(INDEX('Crafting recipes'!$D$6:$D$1005,MATCH(B280,'Crafting recipes'!$A$6:$A$1005,0)),"MISSING ID")</x:f>
        <x:v>Proposal</x:v>
      </x:c>
      <x:c r="L280" s="4" t="str">
        <x:f>IFERROR(INDEX('Items'!$AC$6:$AC$1005,MATCH(D280,'Items'!$A$6:$A$1005,0)),"MISSING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IFERROR(INDEX('Items'!$AF$6:$AF$1005,MATCH(D281,'Items'!$A$6:$A$1005,0)),"MISSING ID")</x:f>
        <x:v>T2</x:v>
      </x:c>
      <x:c r="G281" s="4" t="str">
        <x:f>IFERROR(INDEX('Items'!$C$6:$C$1005,MATCH(D281,'Items'!$A$6:$A$1005,0)),"MISSING ID")</x:f>
        <x:v>Resources</x:v>
      </x:c>
      <x:c r="H281" s="4" t="str">
        <x:f>IFERROR(INDEX('Items'!$W$6:$W$1005,MATCH(D281,'Items'!$A$6:$A$1005,0)),"MISSING ID")</x:f>
        <x:v>Processed material</x:v>
      </x:c>
      <x:c r="I281" s="4"/>
      <x:c r="J281" s="4" t="str">
        <x:v>Unspecified</x:v>
      </x:c>
      <x:c r="K281" s="4" t="str">
        <x:f>IFERROR(INDEX('Crafting recipes'!$D$6:$D$1005,MATCH(B281,'Crafting recipes'!$A$6:$A$1005,0)),"MISSING ID")</x:f>
        <x:v>Proposal</x:v>
      </x:c>
      <x:c r="L281" s="4" t="str">
        <x:f>IFERROR(INDEX('Items'!$AC$6:$AC$1005,MATCH(D281,'Items'!$A$6:$A$1005,0)),"MISSING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IFERROR(INDEX('Items'!$AF$6:$AF$1005,MATCH(D282,'Items'!$A$6:$A$1005,0)),"MISSING ID")</x:f>
        <x:v>Not applicable</x:v>
      </x:c>
      <x:c r="G282" s="4" t="str">
        <x:f>IFERROR(INDEX('Items'!$C$6:$C$1005,MATCH(D282,'Items'!$A$6:$A$1005,0)),"MISSING ID")</x:f>
        <x:v>Equipment</x:v>
      </x:c>
      <x:c r="H282" s="4" t="str">
        <x:f>IFERROR(INDEX('Items'!$W$6:$W$1005,MATCH(D282,'Items'!$A$6:$A$1005,0)),"MISSING ID")</x:f>
        <x:v>Tool</x:v>
      </x:c>
      <x:c r="I282" s="4"/>
      <x:c r="J282" s="4" t="str">
        <x:v>Unspecified</x:v>
      </x:c>
      <x:c r="K282" s="4" t="str">
        <x:f>IFERROR(INDEX('Crafting recipes'!$D$6:$D$1005,MATCH(B282,'Crafting recipes'!$A$6:$A$1005,0)),"MISSING ID")</x:f>
        <x:v>Proposal</x:v>
      </x:c>
      <x:c r="L282" s="4" t="str">
        <x:f>IFERROR(INDEX('Items'!$AC$6:$AC$1005,MATCH(D282,'Items'!$A$6:$A$1005,0)),"MISSING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IFERROR(INDEX('Items'!$AF$6:$AF$1005,MATCH(D283,'Items'!$A$6:$A$1005,0)),"MISSING ID")</x:f>
        <x:v>T2</x:v>
      </x:c>
      <x:c r="G283" s="4" t="str">
        <x:f>IFERROR(INDEX('Items'!$C$6:$C$1005,MATCH(D283,'Items'!$A$6:$A$1005,0)),"MISSING ID")</x:f>
        <x:v>Resources</x:v>
      </x:c>
      <x:c r="H283" s="4" t="str">
        <x:f>IFERROR(INDEX('Items'!$W$6:$W$1005,MATCH(D283,'Items'!$A$6:$A$1005,0)),"MISSING ID")</x:f>
        <x:v>Processed material</x:v>
      </x:c>
      <x:c r="I283" s="4"/>
      <x:c r="J283" s="4" t="str">
        <x:v>Unspecified</x:v>
      </x:c>
      <x:c r="K283" s="4" t="str">
        <x:f>IFERROR(INDEX('Crafting recipes'!$D$6:$D$1005,MATCH(B283,'Crafting recipes'!$A$6:$A$1005,0)),"MISSING ID")</x:f>
        <x:v>Proposal</x:v>
      </x:c>
      <x:c r="L283" s="4" t="str">
        <x:f>IFERROR(INDEX('Items'!$AC$6:$AC$1005,MATCH(D283,'Items'!$A$6:$A$1005,0)),"MISSING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IFERROR(INDEX('Items'!$AF$6:$AF$1005,MATCH(D284,'Items'!$A$6:$A$1005,0)),"MISSING ID")</x:f>
        <x:v>T2</x:v>
      </x:c>
      <x:c r="G284" s="4" t="str">
        <x:f>IFERROR(INDEX('Items'!$C$6:$C$1005,MATCH(D284,'Items'!$A$6:$A$1005,0)),"MISSING ID")</x:f>
        <x:v>Resources</x:v>
      </x:c>
      <x:c r="H284" s="4" t="str">
        <x:f>IFERROR(INDEX('Items'!$W$6:$W$1005,MATCH(D284,'Items'!$A$6:$A$1005,0)),"MISSING ID")</x:f>
        <x:v>Chemical material</x:v>
      </x:c>
      <x:c r="I284" s="4"/>
      <x:c r="J284" s="4" t="str">
        <x:v>Unspecified</x:v>
      </x:c>
      <x:c r="K284" s="4" t="str">
        <x:f>IFERROR(INDEX('Crafting recipes'!$D$6:$D$1005,MATCH(B284,'Crafting recipes'!$A$6:$A$1005,0)),"MISSING ID")</x:f>
        <x:v>Proposal</x:v>
      </x:c>
      <x:c r="L284" s="4" t="str">
        <x:f>IFERROR(INDEX('Items'!$AC$6:$AC$1005,MATCH(D284,'Items'!$A$6:$A$1005,0)),"MISSING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IFERROR(INDEX('Items'!$AF$6:$AF$1005,MATCH(D285,'Items'!$A$6:$A$1005,0)),"MISSING ID")</x:f>
        <x:v>T2</x:v>
      </x:c>
      <x:c r="G285" s="4" t="str">
        <x:f>IFERROR(INDEX('Items'!$C$6:$C$1005,MATCH(D285,'Items'!$A$6:$A$1005,0)),"MISSING ID")</x:f>
        <x:v>Resources</x:v>
      </x:c>
      <x:c r="H285" s="4" t="str">
        <x:f>IFERROR(INDEX('Items'!$W$6:$W$1005,MATCH(D285,'Items'!$A$6:$A$1005,0)),"MISSING ID")</x:f>
        <x:v>Processed material</x:v>
      </x:c>
      <x:c r="I285" s="4"/>
      <x:c r="J285" s="4" t="str">
        <x:v>Unspecified</x:v>
      </x:c>
      <x:c r="K285" s="4" t="str">
        <x:f>IFERROR(INDEX('Crafting recipes'!$D$6:$D$1005,MATCH(B285,'Crafting recipes'!$A$6:$A$1005,0)),"MISSING ID")</x:f>
        <x:v>Proposal</x:v>
      </x:c>
      <x:c r="L285" s="4" t="str">
        <x:f>IFERROR(INDEX('Items'!$AC$6:$AC$1005,MATCH(D285,'Items'!$A$6:$A$1005,0)),"MISSING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IFERROR(INDEX('Items'!$AF$6:$AF$1005,MATCH(D286,'Items'!$A$6:$A$1005,0)),"MISSING ID")</x:f>
        <x:v>Not applicable</x:v>
      </x:c>
      <x:c r="G286" s="4" t="str">
        <x:f>IFERROR(INDEX('Items'!$C$6:$C$1005,MATCH(D286,'Items'!$A$6:$A$1005,0)),"MISSING ID")</x:f>
        <x:v>Equipment</x:v>
      </x:c>
      <x:c r="H286" s="4" t="str">
        <x:f>IFERROR(INDEX('Items'!$W$6:$W$1005,MATCH(D286,'Items'!$A$6:$A$1005,0)),"MISSING ID")</x:f>
        <x:v>Wearable</x:v>
      </x:c>
      <x:c r="I286" s="4"/>
      <x:c r="J286" s="4" t="str">
        <x:v>Unspecified</x:v>
      </x:c>
      <x:c r="K286" s="4" t="str">
        <x:f>IFERROR(INDEX('Crafting recipes'!$D$6:$D$1005,MATCH(B286,'Crafting recipes'!$A$6:$A$1005,0)),"MISSING ID")</x:f>
        <x:v>Proposal</x:v>
      </x:c>
      <x:c r="L286" s="4" t="str">
        <x:f>IFERROR(INDEX('Items'!$AC$6:$AC$1005,MATCH(D286,'Items'!$A$6:$A$1005,0)),"MISSING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sheetData>
  <x:dataValidations count="3">
    <x:dataValidation type="list" sqref="B6:B1005">
      <x:formula1>'Crafting recipes'!$A$6:$A$118</x:formula1>
    </x:dataValidation>
    <x:dataValidation type="list" sqref="D6:D1005">
      <x:formula1>'Items'!$A$6:$A$447</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da4d593131784a1c"/>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0a09be0d2ae040f7"/>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x:v>
      </x:c>
    </x:row>
    <x:row r="57" ht="85" customHeight="1">
      <x:c r="A57" s="4" t="str">
        <x:v>outline.resource_chain.14</x:v>
      </x:c>
      <x:c r="B57" s="4" t="str">
        <x:v>Bristle brush strips contribution outline</x:v>
      </x:c>
      <x:c r="C57" s="4" t="str">
        <x:v>Material refinement</x:v>
      </x:c>
      <x:c r="D57" s="4" t="str">
        <x:v>Concept outline</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x:v>
      </x:c>
    </x:row>
    <x:row r="58" ht="85" customHeight="1">
      <x:c r="A58" s="4" t="str">
        <x:v>outline.resource_chain.16</x:v>
      </x:c>
      <x:c r="B58" s="4" t="str">
        <x:v>Jaw cutting insert contribution outline</x:v>
      </x:c>
      <x:c r="C58" s="4" t="str">
        <x:v>Material refinement</x:v>
      </x:c>
      <x:c r="D58" s="4" t="str">
        <x:v>Concept outline</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Concept outline</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Unassigned</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T2</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routes'!$Q$6:$Q$1005,'Material routes'!$B$6:$B$1005,A78)&gt;0,"Unassigned","T"&amp;_xlfn.MAXIFS('Material routes'!$P$6:$P$1005,'Material routes'!$B$6:$B$1005,A78)))</x:f>
        <x:v>T0</x:v>
      </x:c>
      <x:c r="I78" s="4" t="n">
        <x:f>SUM(COUNTIFS('Material routes'!$B$6:$B$1005,A78,'Material routes'!$C$6:$C$1005,"Ingredient candidate"),COUNTIFS('Material routes'!$B$6:$B$1005,A78,'Material routes'!$C$6:$C$1005,"Consumed input"),COUNTIFS('Material routes'!$B$6:$B$1005,A78,'Material routes'!$C$6:$C$1005,"Contained input"),COUNTIFS('Material routes'!$B$6:$B$1005,A78,'Material routes'!$C$6:$C$1005,"Transform input"))</x:f>
        <x:v>2</x:v>
      </x:c>
      <x:c r="J78" s="4" t="n">
        <x:f>COUNTIFS('Material routes'!$B$6:$B$1005,A78,'Material routes'!$C$6:$C$1005,"Output")</x:f>
        <x:v>1</x:v>
      </x:c>
      <x:c r="K78" s="4" t="n">
        <x:f>COUNTIFS('Material routes'!$B$6:$B$1005,A78,'Material routes'!$C$6:$C$1005,"Tool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routes'!$Q$6:$Q$1005,'Material routes'!$B$6:$B$1005,A79)&gt;0,"Unassigned","T"&amp;_xlfn.MAXIFS('Material routes'!$P$6:$P$1005,'Material routes'!$B$6:$B$1005,A79)))</x:f>
        <x:v>T0</x:v>
      </x:c>
      <x:c r="I79" s="4" t="n">
        <x:f>SUM(COUNTIFS('Material routes'!$B$6:$B$1005,A79,'Material routes'!$C$6:$C$1005,"Ingredient candidate"),COUNTIFS('Material routes'!$B$6:$B$1005,A79,'Material routes'!$C$6:$C$1005,"Consumed input"),COUNTIFS('Material routes'!$B$6:$B$1005,A79,'Material routes'!$C$6:$C$1005,"Contained input"),COUNTIFS('Material routes'!$B$6:$B$1005,A79,'Material routes'!$C$6:$C$1005,"Transform input"))</x:f>
        <x:v>1</x:v>
      </x:c>
      <x:c r="J79" s="4" t="n">
        <x:f>COUNTIFS('Material routes'!$B$6:$B$1005,A79,'Material routes'!$C$6:$C$1005,"Output")</x:f>
        <x:v>1</x:v>
      </x:c>
      <x:c r="K79" s="4" t="n">
        <x:f>COUNTIFS('Material routes'!$B$6:$B$1005,A79,'Material routes'!$C$6:$C$1005,"Tool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routes'!$Q$6:$Q$1005,'Material routes'!$B$6:$B$1005,A80)&gt;0,"Unassigned","T"&amp;_xlfn.MAXIFS('Material routes'!$P$6:$P$1005,'Material routes'!$B$6:$B$1005,A80)))</x:f>
        <x:v>T0</x:v>
      </x:c>
      <x:c r="I80" s="4" t="n">
        <x:f>SUM(COUNTIFS('Material routes'!$B$6:$B$1005,A80,'Material routes'!$C$6:$C$1005,"Ingredient candidate"),COUNTIFS('Material routes'!$B$6:$B$1005,A80,'Material routes'!$C$6:$C$1005,"Consumed input"),COUNTIFS('Material routes'!$B$6:$B$1005,A80,'Material routes'!$C$6:$C$1005,"Contained input"),COUNTIFS('Material routes'!$B$6:$B$1005,A80,'Material routes'!$C$6:$C$1005,"Transform input"))</x:f>
        <x:v>1</x:v>
      </x:c>
      <x:c r="J80" s="4" t="n">
        <x:f>COUNTIFS('Material routes'!$B$6:$B$1005,A80,'Material routes'!$C$6:$C$1005,"Output")</x:f>
        <x:v>1</x:v>
      </x:c>
      <x:c r="K80" s="4" t="n">
        <x:f>COUNTIFS('Material routes'!$B$6:$B$1005,A80,'Material routes'!$C$6:$C$1005,"Tool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routes'!$Q$6:$Q$1005,'Material routes'!$B$6:$B$1005,A81)&gt;0,"Unassigned","T"&amp;_xlfn.MAXIFS('Material routes'!$P$6:$P$1005,'Material routes'!$B$6:$B$1005,A81)))</x:f>
        <x:v>T0</x:v>
      </x:c>
      <x:c r="I81" s="4" t="n">
        <x:f>SUM(COUNTIFS('Material routes'!$B$6:$B$1005,A81,'Material routes'!$C$6:$C$1005,"Ingredient candidate"),COUNTIFS('Material routes'!$B$6:$B$1005,A81,'Material routes'!$C$6:$C$1005,"Consumed input"),COUNTIFS('Material routes'!$B$6:$B$1005,A81,'Material routes'!$C$6:$C$1005,"Contained input"),COUNTIFS('Material routes'!$B$6:$B$1005,A81,'Material routes'!$C$6:$C$1005,"Transform input"))</x:f>
        <x:v>1</x:v>
      </x:c>
      <x:c r="J81" s="4" t="n">
        <x:f>COUNTIFS('Material routes'!$B$6:$B$1005,A81,'Material routes'!$C$6:$C$1005,"Output")</x:f>
        <x:v>1</x:v>
      </x:c>
      <x:c r="K81" s="4" t="n">
        <x:f>COUNTIFS('Material routes'!$B$6:$B$1005,A81,'Material routes'!$C$6:$C$1005,"Tool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routes'!$Q$6:$Q$1005,'Material routes'!$B$6:$B$1005,A82)&gt;0,"Unassigned","T"&amp;_xlfn.MAXIFS('Material routes'!$P$6:$P$1005,'Material routes'!$B$6:$B$1005,A82)))</x:f>
        <x:v>T0</x:v>
      </x:c>
      <x:c r="I82" s="4" t="n">
        <x:f>SUM(COUNTIFS('Material routes'!$B$6:$B$1005,A82,'Material routes'!$C$6:$C$1005,"Ingredient candidate"),COUNTIFS('Material routes'!$B$6:$B$1005,A82,'Material routes'!$C$6:$C$1005,"Consumed input"),COUNTIFS('Material routes'!$B$6:$B$1005,A82,'Material routes'!$C$6:$C$1005,"Contained input"),COUNTIFS('Material routes'!$B$6:$B$1005,A82,'Material routes'!$C$6:$C$1005,"Transform input"))</x:f>
        <x:v>1</x:v>
      </x:c>
      <x:c r="J82" s="4" t="n">
        <x:f>COUNTIFS('Material routes'!$B$6:$B$1005,A82,'Material routes'!$C$6:$C$1005,"Output")</x:f>
        <x:v>1</x:v>
      </x:c>
      <x:c r="K82" s="4" t="n">
        <x:f>COUNTIFS('Material routes'!$B$6:$B$1005,A82,'Material routes'!$C$6:$C$1005,"Tool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routes'!$Q$6:$Q$1005,'Material routes'!$B$6:$B$1005,A83)&gt;0,"Unassigned","T"&amp;_xlfn.MAXIFS('Material routes'!$P$6:$P$1005,'Material routes'!$B$6:$B$1005,A83)))</x:f>
        <x:v>T1</x:v>
      </x:c>
      <x:c r="I83" s="4" t="n">
        <x:f>SUM(COUNTIFS('Material routes'!$B$6:$B$1005,A83,'Material routes'!$C$6:$C$1005,"Ingredient candidate"),COUNTIFS('Material routes'!$B$6:$B$1005,A83,'Material routes'!$C$6:$C$1005,"Consumed input"),COUNTIFS('Material routes'!$B$6:$B$1005,A83,'Material routes'!$C$6:$C$1005,"Contained input"),COUNTIFS('Material routes'!$B$6:$B$1005,A83,'Material routes'!$C$6:$C$1005,"Transform input"))</x:f>
        <x:v>3</x:v>
      </x:c>
      <x:c r="J83" s="4" t="n">
        <x:f>COUNTIFS('Material routes'!$B$6:$B$1005,A83,'Material routes'!$C$6:$C$1005,"Output")</x:f>
        <x:v>1</x:v>
      </x:c>
      <x:c r="K83" s="4" t="n">
        <x:f>COUNTIFS('Material routes'!$B$6:$B$1005,A83,'Material routes'!$C$6:$C$1005,"Tool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routes'!$Q$6:$Q$1005,'Material routes'!$B$6:$B$1005,A84)&gt;0,"Unassigned","T"&amp;_xlfn.MAXIFS('Material routes'!$P$6:$P$1005,'Material routes'!$B$6:$B$1005,A84)))</x:f>
        <x:v>T1</x:v>
      </x:c>
      <x:c r="I84" s="4" t="n">
        <x:f>SUM(COUNTIFS('Material routes'!$B$6:$B$1005,A84,'Material routes'!$C$6:$C$1005,"Ingredient candidate"),COUNTIFS('Material routes'!$B$6:$B$1005,A84,'Material routes'!$C$6:$C$1005,"Consumed input"),COUNTIFS('Material routes'!$B$6:$B$1005,A84,'Material routes'!$C$6:$C$1005,"Contained input"),COUNTIFS('Material routes'!$B$6:$B$1005,A84,'Material routes'!$C$6:$C$1005,"Transform input"))</x:f>
        <x:v>3</x:v>
      </x:c>
      <x:c r="J84" s="4" t="n">
        <x:f>COUNTIFS('Material routes'!$B$6:$B$1005,A84,'Material routes'!$C$6:$C$1005,"Output")</x:f>
        <x:v>1</x:v>
      </x:c>
      <x:c r="K84" s="4" t="n">
        <x:f>COUNTIFS('Material routes'!$B$6:$B$1005,A84,'Material routes'!$C$6:$C$1005,"Tool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routes'!$Q$6:$Q$1005,'Material routes'!$B$6:$B$1005,A85)&gt;0,"Unassigned","T"&amp;_xlfn.MAXIFS('Material routes'!$P$6:$P$1005,'Material routes'!$B$6:$B$1005,A85)))</x:f>
        <x:v>T1</x:v>
      </x:c>
      <x:c r="I85" s="4" t="n">
        <x:f>SUM(COUNTIFS('Material routes'!$B$6:$B$1005,A85,'Material routes'!$C$6:$C$1005,"Ingredient candidate"),COUNTIFS('Material routes'!$B$6:$B$1005,A85,'Material routes'!$C$6:$C$1005,"Consumed input"),COUNTIFS('Material routes'!$B$6:$B$1005,A85,'Material routes'!$C$6:$C$1005,"Contained input"),COUNTIFS('Material routes'!$B$6:$B$1005,A85,'Material routes'!$C$6:$C$1005,"Transform input"))</x:f>
        <x:v>1</x:v>
      </x:c>
      <x:c r="J85" s="4" t="n">
        <x:f>COUNTIFS('Material routes'!$B$6:$B$1005,A85,'Material routes'!$C$6:$C$1005,"Output")</x:f>
        <x:v>1</x:v>
      </x:c>
      <x:c r="K85" s="4" t="n">
        <x:f>COUNTIFS('Material routes'!$B$6:$B$1005,A85,'Material routes'!$C$6:$C$1005,"Tool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routes'!$Q$6:$Q$1005,'Material routes'!$B$6:$B$1005,A86)&gt;0,"Unassigned","T"&amp;_xlfn.MAXIFS('Material routes'!$P$6:$P$1005,'Material routes'!$B$6:$B$1005,A86)))</x:f>
        <x:v>T1</x:v>
      </x:c>
      <x:c r="I86" s="4" t="n">
        <x:f>SUM(COUNTIFS('Material routes'!$B$6:$B$1005,A86,'Material routes'!$C$6:$C$1005,"Ingredient candidate"),COUNTIFS('Material routes'!$B$6:$B$1005,A86,'Material routes'!$C$6:$C$1005,"Consumed input"),COUNTIFS('Material routes'!$B$6:$B$1005,A86,'Material routes'!$C$6:$C$1005,"Contained input"),COUNTIFS('Material routes'!$B$6:$B$1005,A86,'Material routes'!$C$6:$C$1005,"Transform input"))</x:f>
        <x:v>1</x:v>
      </x:c>
      <x:c r="J86" s="4" t="n">
        <x:f>COUNTIFS('Material routes'!$B$6:$B$1005,A86,'Material routes'!$C$6:$C$1005,"Output")</x:f>
        <x:v>1</x:v>
      </x:c>
      <x:c r="K86" s="4" t="n">
        <x:f>COUNTIFS('Material routes'!$B$6:$B$1005,A86,'Material routes'!$C$6:$C$1005,"Tool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routes'!$Q$6:$Q$1005,'Material routes'!$B$6:$B$1005,A87)&gt;0,"Unassigned","T"&amp;_xlfn.MAXIFS('Material routes'!$P$6:$P$1005,'Material routes'!$B$6:$B$1005,A87)))</x:f>
        <x:v>T1</x:v>
      </x:c>
      <x:c r="I87" s="4" t="n">
        <x:f>SUM(COUNTIFS('Material routes'!$B$6:$B$1005,A87,'Material routes'!$C$6:$C$1005,"Ingredient candidate"),COUNTIFS('Material routes'!$B$6:$B$1005,A87,'Material routes'!$C$6:$C$1005,"Consumed input"),COUNTIFS('Material routes'!$B$6:$B$1005,A87,'Material routes'!$C$6:$C$1005,"Contained input"),COUNTIFS('Material routes'!$B$6:$B$1005,A87,'Material routes'!$C$6:$C$1005,"Transform input"))</x:f>
        <x:v>2</x:v>
      </x:c>
      <x:c r="J87" s="4" t="n">
        <x:f>COUNTIFS('Material routes'!$B$6:$B$1005,A87,'Material routes'!$C$6:$C$1005,"Output")</x:f>
        <x:v>1</x:v>
      </x:c>
      <x:c r="K87" s="4" t="n">
        <x:f>COUNTIFS('Material routes'!$B$6:$B$1005,A87,'Material routes'!$C$6:$C$1005,"Tool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routes'!$Q$6:$Q$1005,'Material routes'!$B$6:$B$1005,A88)&gt;0,"Unassigned","T"&amp;_xlfn.MAXIFS('Material routes'!$P$6:$P$1005,'Material routes'!$B$6:$B$1005,A88)))</x:f>
        <x:v>T1</x:v>
      </x:c>
      <x:c r="I88" s="4" t="n">
        <x:f>SUM(COUNTIFS('Material routes'!$B$6:$B$1005,A88,'Material routes'!$C$6:$C$1005,"Ingredient candidate"),COUNTIFS('Material routes'!$B$6:$B$1005,A88,'Material routes'!$C$6:$C$1005,"Consumed input"),COUNTIFS('Material routes'!$B$6:$B$1005,A88,'Material routes'!$C$6:$C$1005,"Contained input"),COUNTIFS('Material routes'!$B$6:$B$1005,A88,'Material routes'!$C$6:$C$1005,"Transform input"))</x:f>
        <x:v>3</x:v>
      </x:c>
      <x:c r="J88" s="4" t="n">
        <x:f>COUNTIFS('Material routes'!$B$6:$B$1005,A88,'Material routes'!$C$6:$C$1005,"Output")</x:f>
        <x:v>1</x:v>
      </x:c>
      <x:c r="K88" s="4" t="n">
        <x:f>COUNTIFS('Material routes'!$B$6:$B$1005,A88,'Material routes'!$C$6:$C$1005,"Tool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routes'!$Q$6:$Q$1005,'Material routes'!$B$6:$B$1005,A89)&gt;0,"Unassigned","T"&amp;_xlfn.MAXIFS('Material routes'!$P$6:$P$1005,'Material routes'!$B$6:$B$1005,A89)))</x:f>
        <x:v>T1</x:v>
      </x:c>
      <x:c r="I89" s="4" t="n">
        <x:f>SUM(COUNTIFS('Material routes'!$B$6:$B$1005,A89,'Material routes'!$C$6:$C$1005,"Ingredient candidate"),COUNTIFS('Material routes'!$B$6:$B$1005,A89,'Material routes'!$C$6:$C$1005,"Consumed input"),COUNTIFS('Material routes'!$B$6:$B$1005,A89,'Material routes'!$C$6:$C$1005,"Contained input"),COUNTIFS('Material routes'!$B$6:$B$1005,A89,'Material routes'!$C$6:$C$1005,"Transform input"))</x:f>
        <x:v>1</x:v>
      </x:c>
      <x:c r="J89" s="4" t="n">
        <x:f>COUNTIFS('Material routes'!$B$6:$B$1005,A89,'Material routes'!$C$6:$C$1005,"Output")</x:f>
        <x:v>1</x:v>
      </x:c>
      <x:c r="K89" s="4" t="n">
        <x:f>COUNTIFS('Material routes'!$B$6:$B$1005,A89,'Material routes'!$C$6:$C$1005,"Tool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routes'!$Q$6:$Q$1005,'Material routes'!$B$6:$B$1005,A90)&gt;0,"Unassigned","T"&amp;_xlfn.MAXIFS('Material routes'!$P$6:$P$1005,'Material routes'!$B$6:$B$1005,A90)))</x:f>
        <x:v>T1</x:v>
      </x:c>
      <x:c r="I90" s="4" t="n">
        <x:f>SUM(COUNTIFS('Material routes'!$B$6:$B$1005,A90,'Material routes'!$C$6:$C$1005,"Ingredient candidate"),COUNTIFS('Material routes'!$B$6:$B$1005,A90,'Material routes'!$C$6:$C$1005,"Consumed input"),COUNTIFS('Material routes'!$B$6:$B$1005,A90,'Material routes'!$C$6:$C$1005,"Contained input"),COUNTIFS('Material routes'!$B$6:$B$1005,A90,'Material routes'!$C$6:$C$1005,"Transform input"))</x:f>
        <x:v>1</x:v>
      </x:c>
      <x:c r="J90" s="4" t="n">
        <x:f>COUNTIFS('Material routes'!$B$6:$B$1005,A90,'Material routes'!$C$6:$C$1005,"Output")</x:f>
        <x:v>1</x:v>
      </x:c>
      <x:c r="K90" s="4" t="n">
        <x:f>COUNTIFS('Material routes'!$B$6:$B$1005,A90,'Material routes'!$C$6:$C$1005,"Tool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routes'!$Q$6:$Q$1005,'Material routes'!$B$6:$B$1005,A91)&gt;0,"Unassigned","T"&amp;_xlfn.MAXIFS('Material routes'!$P$6:$P$1005,'Material routes'!$B$6:$B$1005,A91)))</x:f>
        <x:v>T1</x:v>
      </x:c>
      <x:c r="I91" s="4" t="n">
        <x:f>SUM(COUNTIFS('Material routes'!$B$6:$B$1005,A91,'Material routes'!$C$6:$C$1005,"Ingredient candidate"),COUNTIFS('Material routes'!$B$6:$B$1005,A91,'Material routes'!$C$6:$C$1005,"Consumed input"),COUNTIFS('Material routes'!$B$6:$B$1005,A91,'Material routes'!$C$6:$C$1005,"Contained input"),COUNTIFS('Material routes'!$B$6:$B$1005,A91,'Material routes'!$C$6:$C$1005,"Transform input"))</x:f>
        <x:v>2</x:v>
      </x:c>
      <x:c r="J91" s="4" t="n">
        <x:f>COUNTIFS('Material routes'!$B$6:$B$1005,A91,'Material routes'!$C$6:$C$1005,"Output")</x:f>
        <x:v>1</x:v>
      </x:c>
      <x:c r="K91" s="4" t="n">
        <x:f>COUNTIFS('Material routes'!$B$6:$B$1005,A91,'Material routes'!$C$6:$C$1005,"Tool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routes'!$Q$6:$Q$1005,'Material routes'!$B$6:$B$1005,A92)&gt;0,"Unassigned","T"&amp;_xlfn.MAXIFS('Material routes'!$P$6:$P$1005,'Material routes'!$B$6:$B$1005,A92)))</x:f>
        <x:v>T1</x:v>
      </x:c>
      <x:c r="I92" s="4" t="n">
        <x:f>SUM(COUNTIFS('Material routes'!$B$6:$B$1005,A92,'Material routes'!$C$6:$C$1005,"Ingredient candidate"),COUNTIFS('Material routes'!$B$6:$B$1005,A92,'Material routes'!$C$6:$C$1005,"Consumed input"),COUNTIFS('Material routes'!$B$6:$B$1005,A92,'Material routes'!$C$6:$C$1005,"Contained input"),COUNTIFS('Material routes'!$B$6:$B$1005,A92,'Material routes'!$C$6:$C$1005,"Transform input"))</x:f>
        <x:v>3</x:v>
      </x:c>
      <x:c r="J92" s="4" t="n">
        <x:f>COUNTIFS('Material routes'!$B$6:$B$1005,A92,'Material routes'!$C$6:$C$1005,"Output")</x:f>
        <x:v>1</x:v>
      </x:c>
      <x:c r="K92" s="4" t="n">
        <x:f>COUNTIFS('Material routes'!$B$6:$B$1005,A92,'Material routes'!$C$6:$C$1005,"Tool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routes'!$Q$6:$Q$1005,'Material routes'!$B$6:$B$1005,A93)&gt;0,"Unassigned","T"&amp;_xlfn.MAXIFS('Material routes'!$P$6:$P$1005,'Material routes'!$B$6:$B$1005,A93)))</x:f>
        <x:v>T1</x:v>
      </x:c>
      <x:c r="I93" s="4" t="n">
        <x:f>SUM(COUNTIFS('Material routes'!$B$6:$B$1005,A93,'Material routes'!$C$6:$C$1005,"Ingredient candidate"),COUNTIFS('Material routes'!$B$6:$B$1005,A93,'Material routes'!$C$6:$C$1005,"Consumed input"),COUNTIFS('Material routes'!$B$6:$B$1005,A93,'Material routes'!$C$6:$C$1005,"Contained input"),COUNTIFS('Material routes'!$B$6:$B$1005,A93,'Material routes'!$C$6:$C$1005,"Transform input"))</x:f>
        <x:v>2</x:v>
      </x:c>
      <x:c r="J93" s="4" t="n">
        <x:f>COUNTIFS('Material routes'!$B$6:$B$1005,A93,'Material routes'!$C$6:$C$1005,"Output")</x:f>
        <x:v>1</x:v>
      </x:c>
      <x:c r="K93" s="4" t="n">
        <x:f>COUNTIFS('Material routes'!$B$6:$B$1005,A93,'Material routes'!$C$6:$C$1005,"Tool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routes'!$Q$6:$Q$1005,'Material routes'!$B$6:$B$1005,A94)&gt;0,"Unassigned","T"&amp;_xlfn.MAXIFS('Material routes'!$P$6:$P$1005,'Material routes'!$B$6:$B$1005,A94)))</x:f>
        <x:v>T1</x:v>
      </x:c>
      <x:c r="I94" s="4" t="n">
        <x:f>SUM(COUNTIFS('Material routes'!$B$6:$B$1005,A94,'Material routes'!$C$6:$C$1005,"Ingredient candidate"),COUNTIFS('Material routes'!$B$6:$B$1005,A94,'Material routes'!$C$6:$C$1005,"Consumed input"),COUNTIFS('Material routes'!$B$6:$B$1005,A94,'Material routes'!$C$6:$C$1005,"Contained input"),COUNTIFS('Material routes'!$B$6:$B$1005,A94,'Material routes'!$C$6:$C$1005,"Transform input"))</x:f>
        <x:v>2</x:v>
      </x:c>
      <x:c r="J94" s="4" t="n">
        <x:f>COUNTIFS('Material routes'!$B$6:$B$1005,A94,'Material routes'!$C$6:$C$1005,"Output")</x:f>
        <x:v>1</x:v>
      </x:c>
      <x:c r="K94" s="4" t="n">
        <x:f>COUNTIFS('Material routes'!$B$6:$B$1005,A94,'Material routes'!$C$6:$C$1005,"Tool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routes'!$Q$6:$Q$1005,'Material routes'!$B$6:$B$1005,A95)&gt;0,"Unassigned","T"&amp;_xlfn.MAXIFS('Material routes'!$P$6:$P$1005,'Material routes'!$B$6:$B$1005,A95)))</x:f>
        <x:v>T1</x:v>
      </x:c>
      <x:c r="I95" s="4" t="n">
        <x:f>SUM(COUNTIFS('Material routes'!$B$6:$B$1005,A95,'Material routes'!$C$6:$C$1005,"Ingredient candidate"),COUNTIFS('Material routes'!$B$6:$B$1005,A95,'Material routes'!$C$6:$C$1005,"Consumed input"),COUNTIFS('Material routes'!$B$6:$B$1005,A95,'Material routes'!$C$6:$C$1005,"Contained input"),COUNTIFS('Material routes'!$B$6:$B$1005,A95,'Material routes'!$C$6:$C$1005,"Transform input"))</x:f>
        <x:v>2</x:v>
      </x:c>
      <x:c r="J95" s="4" t="n">
        <x:f>COUNTIFS('Material routes'!$B$6:$B$1005,A95,'Material routes'!$C$6:$C$1005,"Output")</x:f>
        <x:v>1</x:v>
      </x:c>
      <x:c r="K95" s="4" t="n">
        <x:f>COUNTIFS('Material routes'!$B$6:$B$1005,A95,'Material routes'!$C$6:$C$1005,"Tool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routes'!$Q$6:$Q$1005,'Material routes'!$B$6:$B$1005,A96)&gt;0,"Unassigned","T"&amp;_xlfn.MAXIFS('Material routes'!$P$6:$P$1005,'Material routes'!$B$6:$B$1005,A96)))</x:f>
        <x:v>T1</x:v>
      </x:c>
      <x:c r="I96" s="4" t="n">
        <x:f>SUM(COUNTIFS('Material routes'!$B$6:$B$1005,A96,'Material routes'!$C$6:$C$1005,"Ingredient candidate"),COUNTIFS('Material routes'!$B$6:$B$1005,A96,'Material routes'!$C$6:$C$1005,"Consumed input"),COUNTIFS('Material routes'!$B$6:$B$1005,A96,'Material routes'!$C$6:$C$1005,"Contained input"),COUNTIFS('Material routes'!$B$6:$B$1005,A96,'Material routes'!$C$6:$C$1005,"Transform input"))</x:f>
        <x:v>2</x:v>
      </x:c>
      <x:c r="J96" s="4" t="n">
        <x:f>COUNTIFS('Material routes'!$B$6:$B$1005,A96,'Material routes'!$C$6:$C$1005,"Output")</x:f>
        <x:v>1</x:v>
      </x:c>
      <x:c r="K96" s="4" t="n">
        <x:f>COUNTIFS('Material routes'!$B$6:$B$1005,A96,'Material routes'!$C$6:$C$1005,"Tool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routes'!$Q$6:$Q$1005,'Material routes'!$B$6:$B$1005,A97)&gt;0,"Unassigned","T"&amp;_xlfn.MAXIFS('Material routes'!$P$6:$P$1005,'Material routes'!$B$6:$B$1005,A97)))</x:f>
        <x:v>T1</x:v>
      </x:c>
      <x:c r="I97" s="4" t="n">
        <x:f>SUM(COUNTIFS('Material routes'!$B$6:$B$1005,A97,'Material routes'!$C$6:$C$1005,"Ingredient candidate"),COUNTIFS('Material routes'!$B$6:$B$1005,A97,'Material routes'!$C$6:$C$1005,"Consumed input"),COUNTIFS('Material routes'!$B$6:$B$1005,A97,'Material routes'!$C$6:$C$1005,"Contained input"),COUNTIFS('Material routes'!$B$6:$B$1005,A97,'Material routes'!$C$6:$C$1005,"Transform input"))</x:f>
        <x:v>2</x:v>
      </x:c>
      <x:c r="J97" s="4" t="n">
        <x:f>COUNTIFS('Material routes'!$B$6:$B$1005,A97,'Material routes'!$C$6:$C$1005,"Output")</x:f>
        <x:v>1</x:v>
      </x:c>
      <x:c r="K97" s="4" t="n">
        <x:f>COUNTIFS('Material routes'!$B$6:$B$1005,A97,'Material routes'!$C$6:$C$1005,"Tool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routes'!$Q$6:$Q$1005,'Material routes'!$B$6:$B$1005,A98)&gt;0,"Unassigned","T"&amp;_xlfn.MAXIFS('Material routes'!$P$6:$P$1005,'Material routes'!$B$6:$B$1005,A98)))</x:f>
        <x:v>T1</x:v>
      </x:c>
      <x:c r="I98" s="4" t="n">
        <x:f>SUM(COUNTIFS('Material routes'!$B$6:$B$1005,A98,'Material routes'!$C$6:$C$1005,"Ingredient candidate"),COUNTIFS('Material routes'!$B$6:$B$1005,A98,'Material routes'!$C$6:$C$1005,"Consumed input"),COUNTIFS('Material routes'!$B$6:$B$1005,A98,'Material routes'!$C$6:$C$1005,"Contained input"),COUNTIFS('Material routes'!$B$6:$B$1005,A98,'Material routes'!$C$6:$C$1005,"Transform input"))</x:f>
        <x:v>2</x:v>
      </x:c>
      <x:c r="J98" s="4" t="n">
        <x:f>COUNTIFS('Material routes'!$B$6:$B$1005,A98,'Material routes'!$C$6:$C$1005,"Output")</x:f>
        <x:v>1</x:v>
      </x:c>
      <x:c r="K98" s="4" t="n">
        <x:f>COUNTIFS('Material routes'!$B$6:$B$1005,A98,'Material routes'!$C$6:$C$1005,"Tool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routes'!$Q$6:$Q$1005,'Material routes'!$B$6:$B$1005,A99)&gt;0,"Unassigned","T"&amp;_xlfn.MAXIFS('Material routes'!$P$6:$P$1005,'Material routes'!$B$6:$B$1005,A99)))</x:f>
        <x:v>T1</x:v>
      </x:c>
      <x:c r="I99" s="4" t="n">
        <x:f>SUM(COUNTIFS('Material routes'!$B$6:$B$1005,A99,'Material routes'!$C$6:$C$1005,"Ingredient candidate"),COUNTIFS('Material routes'!$B$6:$B$1005,A99,'Material routes'!$C$6:$C$1005,"Consumed input"),COUNTIFS('Material routes'!$B$6:$B$1005,A99,'Material routes'!$C$6:$C$1005,"Contained input"),COUNTIFS('Material routes'!$B$6:$B$1005,A99,'Material routes'!$C$6:$C$1005,"Transform input"))</x:f>
        <x:v>2</x:v>
      </x:c>
      <x:c r="J99" s="4" t="n">
        <x:f>COUNTIFS('Material routes'!$B$6:$B$1005,A99,'Material routes'!$C$6:$C$1005,"Output")</x:f>
        <x:v>1</x:v>
      </x:c>
      <x:c r="K99" s="4" t="n">
        <x:f>COUNTIFS('Material routes'!$B$6:$B$1005,A99,'Material routes'!$C$6:$C$1005,"Tool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routes'!$Q$6:$Q$1005,'Material routes'!$B$6:$B$1005,A100)&gt;0,"Unassigned","T"&amp;_xlfn.MAXIFS('Material routes'!$P$6:$P$1005,'Material routes'!$B$6:$B$1005,A100)))</x:f>
        <x:v>T1</x:v>
      </x:c>
      <x:c r="I100" s="4" t="n">
        <x:f>SUM(COUNTIFS('Material routes'!$B$6:$B$1005,A100,'Material routes'!$C$6:$C$1005,"Ingredient candidate"),COUNTIFS('Material routes'!$B$6:$B$1005,A100,'Material routes'!$C$6:$C$1005,"Consumed input"),COUNTIFS('Material routes'!$B$6:$B$1005,A100,'Material routes'!$C$6:$C$1005,"Contained input"),COUNTIFS('Material routes'!$B$6:$B$1005,A100,'Material routes'!$C$6:$C$1005,"Transform input"))</x:f>
        <x:v>3</x:v>
      </x:c>
      <x:c r="J100" s="4" t="n">
        <x:f>COUNTIFS('Material routes'!$B$6:$B$1005,A100,'Material routes'!$C$6:$C$1005,"Output")</x:f>
        <x:v>1</x:v>
      </x:c>
      <x:c r="K100" s="4" t="n">
        <x:f>COUNTIFS('Material routes'!$B$6:$B$1005,A100,'Material routes'!$C$6:$C$1005,"Tool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routes'!$Q$6:$Q$1005,'Material routes'!$B$6:$B$1005,A101)&gt;0,"Unassigned","T"&amp;_xlfn.MAXIFS('Material routes'!$P$6:$P$1005,'Material routes'!$B$6:$B$1005,A101)))</x:f>
        <x:v>T1</x:v>
      </x:c>
      <x:c r="I101" s="4" t="n">
        <x:f>SUM(COUNTIFS('Material routes'!$B$6:$B$1005,A101,'Material routes'!$C$6:$C$1005,"Ingredient candidate"),COUNTIFS('Material routes'!$B$6:$B$1005,A101,'Material routes'!$C$6:$C$1005,"Consumed input"),COUNTIFS('Material routes'!$B$6:$B$1005,A101,'Material routes'!$C$6:$C$1005,"Contained input"),COUNTIFS('Material routes'!$B$6:$B$1005,A101,'Material routes'!$C$6:$C$1005,"Transform input"))</x:f>
        <x:v>2</x:v>
      </x:c>
      <x:c r="J101" s="4" t="n">
        <x:f>COUNTIFS('Material routes'!$B$6:$B$1005,A101,'Material routes'!$C$6:$C$1005,"Output")</x:f>
        <x:v>1</x:v>
      </x:c>
      <x:c r="K101" s="4" t="n">
        <x:f>COUNTIFS('Material routes'!$B$6:$B$1005,A101,'Material routes'!$C$6:$C$1005,"Tool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routes'!$Q$6:$Q$1005,'Material routes'!$B$6:$B$1005,A102)&gt;0,"Unassigned","T"&amp;_xlfn.MAXIFS('Material routes'!$P$6:$P$1005,'Material routes'!$B$6:$B$1005,A102)))</x:f>
        <x:v>T1</x:v>
      </x:c>
      <x:c r="I102" s="4" t="n">
        <x:f>SUM(COUNTIFS('Material routes'!$B$6:$B$1005,A102,'Material routes'!$C$6:$C$1005,"Ingredient candidate"),COUNTIFS('Material routes'!$B$6:$B$1005,A102,'Material routes'!$C$6:$C$1005,"Consumed input"),COUNTIFS('Material routes'!$B$6:$B$1005,A102,'Material routes'!$C$6:$C$1005,"Contained input"),COUNTIFS('Material routes'!$B$6:$B$1005,A102,'Material routes'!$C$6:$C$1005,"Transform input"))</x:f>
        <x:v>3</x:v>
      </x:c>
      <x:c r="J102" s="4" t="n">
        <x:f>COUNTIFS('Material routes'!$B$6:$B$1005,A102,'Material routes'!$C$6:$C$1005,"Output")</x:f>
        <x:v>1</x:v>
      </x:c>
      <x:c r="K102" s="4" t="n">
        <x:f>COUNTIFS('Material routes'!$B$6:$B$1005,A102,'Material routes'!$C$6:$C$1005,"Tool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routes'!$Q$6:$Q$1005,'Material routes'!$B$6:$B$1005,A103)&gt;0,"Unassigned","T"&amp;_xlfn.MAXIFS('Material routes'!$P$6:$P$1005,'Material routes'!$B$6:$B$1005,A103)))</x:f>
        <x:v>T2</x:v>
      </x:c>
      <x:c r="I103" s="4" t="n">
        <x:f>SUM(COUNTIFS('Material routes'!$B$6:$B$1005,A103,'Material routes'!$C$6:$C$1005,"Ingredient candidate"),COUNTIFS('Material routes'!$B$6:$B$1005,A103,'Material routes'!$C$6:$C$1005,"Consumed input"),COUNTIFS('Material routes'!$B$6:$B$1005,A103,'Material routes'!$C$6:$C$1005,"Contained input"),COUNTIFS('Material routes'!$B$6:$B$1005,A103,'Material routes'!$C$6:$C$1005,"Transform input"))</x:f>
        <x:v>3</x:v>
      </x:c>
      <x:c r="J103" s="4" t="n">
        <x:f>COUNTIFS('Material routes'!$B$6:$B$1005,A103,'Material routes'!$C$6:$C$1005,"Output")</x:f>
        <x:v>1</x:v>
      </x:c>
      <x:c r="K103" s="4" t="n">
        <x:f>COUNTIFS('Material routes'!$B$6:$B$1005,A103,'Material routes'!$C$6:$C$1005,"Tool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routes'!$Q$6:$Q$1005,'Material routes'!$B$6:$B$1005,A104)&gt;0,"Unassigned","T"&amp;_xlfn.MAXIFS('Material routes'!$P$6:$P$1005,'Material routes'!$B$6:$B$1005,A104)))</x:f>
        <x:v>T2</x:v>
      </x:c>
      <x:c r="I104" s="4" t="n">
        <x:f>SUM(COUNTIFS('Material routes'!$B$6:$B$1005,A104,'Material routes'!$C$6:$C$1005,"Ingredient candidate"),COUNTIFS('Material routes'!$B$6:$B$1005,A104,'Material routes'!$C$6:$C$1005,"Consumed input"),COUNTIFS('Material routes'!$B$6:$B$1005,A104,'Material routes'!$C$6:$C$1005,"Contained input"),COUNTIFS('Material routes'!$B$6:$B$1005,A104,'Material routes'!$C$6:$C$1005,"Transform input"))</x:f>
        <x:v>3</x:v>
      </x:c>
      <x:c r="J104" s="4" t="n">
        <x:f>COUNTIFS('Material routes'!$B$6:$B$1005,A104,'Material routes'!$C$6:$C$1005,"Output")</x:f>
        <x:v>1</x:v>
      </x:c>
      <x:c r="K104" s="4" t="n">
        <x:f>COUNTIFS('Material routes'!$B$6:$B$1005,A104,'Material routes'!$C$6:$C$1005,"Tool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routes'!$Q$6:$Q$1005,'Material routes'!$B$6:$B$1005,A105)&gt;0,"Unassigned","T"&amp;_xlfn.MAXIFS('Material routes'!$P$6:$P$1005,'Material routes'!$B$6:$B$1005,A105)))</x:f>
        <x:v>T2</x:v>
      </x:c>
      <x:c r="I105" s="4" t="n">
        <x:f>SUM(COUNTIFS('Material routes'!$B$6:$B$1005,A105,'Material routes'!$C$6:$C$1005,"Ingredient candidate"),COUNTIFS('Material routes'!$B$6:$B$1005,A105,'Material routes'!$C$6:$C$1005,"Consumed input"),COUNTIFS('Material routes'!$B$6:$B$1005,A105,'Material routes'!$C$6:$C$1005,"Contained input"),COUNTIFS('Material routes'!$B$6:$B$1005,A105,'Material routes'!$C$6:$C$1005,"Transform input"))</x:f>
        <x:v>3</x:v>
      </x:c>
      <x:c r="J105" s="4" t="n">
        <x:f>COUNTIFS('Material routes'!$B$6:$B$1005,A105,'Material routes'!$C$6:$C$1005,"Output")</x:f>
        <x:v>1</x:v>
      </x:c>
      <x:c r="K105" s="4" t="n">
        <x:f>COUNTIFS('Material routes'!$B$6:$B$1005,A105,'Material routes'!$C$6:$C$1005,"Tool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routes'!$Q$6:$Q$1005,'Material routes'!$B$6:$B$1005,A106)&gt;0,"Unassigned","T"&amp;_xlfn.MAXIFS('Material routes'!$P$6:$P$1005,'Material routes'!$B$6:$B$1005,A106)))</x:f>
        <x:v>T2</x:v>
      </x:c>
      <x:c r="I106" s="4" t="n">
        <x:f>SUM(COUNTIFS('Material routes'!$B$6:$B$1005,A106,'Material routes'!$C$6:$C$1005,"Ingredient candidate"),COUNTIFS('Material routes'!$B$6:$B$1005,A106,'Material routes'!$C$6:$C$1005,"Consumed input"),COUNTIFS('Material routes'!$B$6:$B$1005,A106,'Material routes'!$C$6:$C$1005,"Contained input"),COUNTIFS('Material routes'!$B$6:$B$1005,A106,'Material routes'!$C$6:$C$1005,"Transform input"))</x:f>
        <x:v>3</x:v>
      </x:c>
      <x:c r="J106" s="4" t="n">
        <x:f>COUNTIFS('Material routes'!$B$6:$B$1005,A106,'Material routes'!$C$6:$C$1005,"Output")</x:f>
        <x:v>1</x:v>
      </x:c>
      <x:c r="K106" s="4" t="n">
        <x:f>COUNTIFS('Material routes'!$B$6:$B$1005,A106,'Material routes'!$C$6:$C$1005,"Tool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routes'!$Q$6:$Q$1005,'Material routes'!$B$6:$B$1005,A107)&gt;0,"Unassigned","T"&amp;_xlfn.MAXIFS('Material routes'!$P$6:$P$1005,'Material routes'!$B$6:$B$1005,A107)))</x:f>
        <x:v>T2</x:v>
      </x:c>
      <x:c r="I107" s="4" t="n">
        <x:f>SUM(COUNTIFS('Material routes'!$B$6:$B$1005,A107,'Material routes'!$C$6:$C$1005,"Ingredient candidate"),COUNTIFS('Material routes'!$B$6:$B$1005,A107,'Material routes'!$C$6:$C$1005,"Consumed input"),COUNTIFS('Material routes'!$B$6:$B$1005,A107,'Material routes'!$C$6:$C$1005,"Contained input"),COUNTIFS('Material routes'!$B$6:$B$1005,A107,'Material routes'!$C$6:$C$1005,"Transform input"))</x:f>
        <x:v>2</x:v>
      </x:c>
      <x:c r="J107" s="4" t="n">
        <x:f>COUNTIFS('Material routes'!$B$6:$B$1005,A107,'Material routes'!$C$6:$C$1005,"Output")</x:f>
        <x:v>1</x:v>
      </x:c>
      <x:c r="K107" s="4" t="n">
        <x:f>COUNTIFS('Material routes'!$B$6:$B$1005,A107,'Material routes'!$C$6:$C$1005,"Tool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routes'!$Q$6:$Q$1005,'Material routes'!$B$6:$B$1005,A108)&gt;0,"Unassigned","T"&amp;_xlfn.MAXIFS('Material routes'!$P$6:$P$1005,'Material routes'!$B$6:$B$1005,A108)))</x:f>
        <x:v>T2</x:v>
      </x:c>
      <x:c r="I108" s="4" t="n">
        <x:f>SUM(COUNTIFS('Material routes'!$B$6:$B$1005,A108,'Material routes'!$C$6:$C$1005,"Ingredient candidate"),COUNTIFS('Material routes'!$B$6:$B$1005,A108,'Material routes'!$C$6:$C$1005,"Consumed input"),COUNTIFS('Material routes'!$B$6:$B$1005,A108,'Material routes'!$C$6:$C$1005,"Contained input"),COUNTIFS('Material routes'!$B$6:$B$1005,A108,'Material routes'!$C$6:$C$1005,"Transform input"))</x:f>
        <x:v>2</x:v>
      </x:c>
      <x:c r="J108" s="4" t="n">
        <x:f>COUNTIFS('Material routes'!$B$6:$B$1005,A108,'Material routes'!$C$6:$C$1005,"Output")</x:f>
        <x:v>1</x:v>
      </x:c>
      <x:c r="K108" s="4" t="n">
        <x:f>COUNTIFS('Material routes'!$B$6:$B$1005,A108,'Material routes'!$C$6:$C$1005,"Tool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routes'!$Q$6:$Q$1005,'Material routes'!$B$6:$B$1005,A109)&gt;0,"Unassigned","T"&amp;_xlfn.MAXIFS('Material routes'!$P$6:$P$1005,'Material routes'!$B$6:$B$1005,A109)))</x:f>
        <x:v>T2</x:v>
      </x:c>
      <x:c r="I109" s="4" t="n">
        <x:f>SUM(COUNTIFS('Material routes'!$B$6:$B$1005,A109,'Material routes'!$C$6:$C$1005,"Ingredient candidate"),COUNTIFS('Material routes'!$B$6:$B$1005,A109,'Material routes'!$C$6:$C$1005,"Consumed input"),COUNTIFS('Material routes'!$B$6:$B$1005,A109,'Material routes'!$C$6:$C$1005,"Contained input"),COUNTIFS('Material routes'!$B$6:$B$1005,A109,'Material routes'!$C$6:$C$1005,"Transform input"))</x:f>
        <x:v>3</x:v>
      </x:c>
      <x:c r="J109" s="4" t="n">
        <x:f>COUNTIFS('Material routes'!$B$6:$B$1005,A109,'Material routes'!$C$6:$C$1005,"Output")</x:f>
        <x:v>1</x:v>
      </x:c>
      <x:c r="K109" s="4" t="n">
        <x:f>COUNTIFS('Material routes'!$B$6:$B$1005,A109,'Material routes'!$C$6:$C$1005,"Tool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routes'!$Q$6:$Q$1005,'Material routes'!$B$6:$B$1005,A110)&gt;0,"Unassigned","T"&amp;_xlfn.MAXIFS('Material routes'!$P$6:$P$1005,'Material routes'!$B$6:$B$1005,A110)))</x:f>
        <x:v>T2</x:v>
      </x:c>
      <x:c r="I110" s="4" t="n">
        <x:f>SUM(COUNTIFS('Material routes'!$B$6:$B$1005,A110,'Material routes'!$C$6:$C$1005,"Ingredient candidate"),COUNTIFS('Material routes'!$B$6:$B$1005,A110,'Material routes'!$C$6:$C$1005,"Consumed input"),COUNTIFS('Material routes'!$B$6:$B$1005,A110,'Material routes'!$C$6:$C$1005,"Contained input"),COUNTIFS('Material routes'!$B$6:$B$1005,A110,'Material routes'!$C$6:$C$1005,"Transform input"))</x:f>
        <x:v>2</x:v>
      </x:c>
      <x:c r="J110" s="4" t="n">
        <x:f>COUNTIFS('Material routes'!$B$6:$B$1005,A110,'Material routes'!$C$6:$C$1005,"Output")</x:f>
        <x:v>1</x:v>
      </x:c>
      <x:c r="K110" s="4" t="n">
        <x:f>COUNTIFS('Material routes'!$B$6:$B$1005,A110,'Material routes'!$C$6:$C$1005,"Tool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routes'!$Q$6:$Q$1005,'Material routes'!$B$6:$B$1005,A111)&gt;0,"Unassigned","T"&amp;_xlfn.MAXIFS('Material routes'!$P$6:$P$1005,'Material routes'!$B$6:$B$1005,A111)))</x:f>
        <x:v>T2</x:v>
      </x:c>
      <x:c r="I111" s="4" t="n">
        <x:f>SUM(COUNTIFS('Material routes'!$B$6:$B$1005,A111,'Material routes'!$C$6:$C$1005,"Ingredient candidate"),COUNTIFS('Material routes'!$B$6:$B$1005,A111,'Material routes'!$C$6:$C$1005,"Consumed input"),COUNTIFS('Material routes'!$B$6:$B$1005,A111,'Material routes'!$C$6:$C$1005,"Contained input"),COUNTIFS('Material routes'!$B$6:$B$1005,A111,'Material routes'!$C$6:$C$1005,"Transform input"))</x:f>
        <x:v>2</x:v>
      </x:c>
      <x:c r="J111" s="4" t="n">
        <x:f>COUNTIFS('Material routes'!$B$6:$B$1005,A111,'Material routes'!$C$6:$C$1005,"Output")</x:f>
        <x:v>1</x:v>
      </x:c>
      <x:c r="K111" s="4" t="n">
        <x:f>COUNTIFS('Material routes'!$B$6:$B$1005,A111,'Material routes'!$C$6:$C$1005,"Tool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routes'!$Q$6:$Q$1005,'Material routes'!$B$6:$B$1005,A112)&gt;0,"Unassigned","T"&amp;_xlfn.MAXIFS('Material routes'!$P$6:$P$1005,'Material routes'!$B$6:$B$1005,A112)))</x:f>
        <x:v>T3</x:v>
      </x:c>
      <x:c r="I112" s="4" t="n">
        <x:f>SUM(COUNTIFS('Material routes'!$B$6:$B$1005,A112,'Material routes'!$C$6:$C$1005,"Ingredient candidate"),COUNTIFS('Material routes'!$B$6:$B$1005,A112,'Material routes'!$C$6:$C$1005,"Consumed input"),COUNTIFS('Material routes'!$B$6:$B$1005,A112,'Material routes'!$C$6:$C$1005,"Contained input"),COUNTIFS('Material routes'!$B$6:$B$1005,A112,'Material routes'!$C$6:$C$1005,"Transform input"))</x:f>
        <x:v>3</x:v>
      </x:c>
      <x:c r="J112" s="4" t="n">
        <x:f>COUNTIFS('Material routes'!$B$6:$B$1005,A112,'Material routes'!$C$6:$C$1005,"Output")</x:f>
        <x:v>1</x:v>
      </x:c>
      <x:c r="K112" s="4" t="n">
        <x:f>COUNTIFS('Material routes'!$B$6:$B$1005,A112,'Material routes'!$C$6:$C$1005,"Tool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routes'!$Q$6:$Q$1005,'Material routes'!$B$6:$B$1005,A113)&gt;0,"Unassigned","T"&amp;_xlfn.MAXIFS('Material routes'!$P$6:$P$1005,'Material routes'!$B$6:$B$1005,A113)))</x:f>
        <x:v>T3</x:v>
      </x:c>
      <x:c r="I113" s="4" t="n">
        <x:f>SUM(COUNTIFS('Material routes'!$B$6:$B$1005,A113,'Material routes'!$C$6:$C$1005,"Ingredient candidate"),COUNTIFS('Material routes'!$B$6:$B$1005,A113,'Material routes'!$C$6:$C$1005,"Consumed input"),COUNTIFS('Material routes'!$B$6:$B$1005,A113,'Material routes'!$C$6:$C$1005,"Contained input"),COUNTIFS('Material routes'!$B$6:$B$1005,A113,'Material routes'!$C$6:$C$1005,"Transform input"))</x:f>
        <x:v>3</x:v>
      </x:c>
      <x:c r="J113" s="4" t="n">
        <x:f>COUNTIFS('Material routes'!$B$6:$B$1005,A113,'Material routes'!$C$6:$C$1005,"Output")</x:f>
        <x:v>1</x:v>
      </x:c>
      <x:c r="K113" s="4" t="n">
        <x:f>COUNTIFS('Material routes'!$B$6:$B$1005,A113,'Material routes'!$C$6:$C$1005,"Tool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routes'!$Q$6:$Q$1005,'Material routes'!$B$6:$B$1005,A114)&gt;0,"Unassigned","T"&amp;_xlfn.MAXIFS('Material routes'!$P$6:$P$1005,'Material routes'!$B$6:$B$1005,A114)))</x:f>
        <x:v>T3</x:v>
      </x:c>
      <x:c r="I114" s="4" t="n">
        <x:f>SUM(COUNTIFS('Material routes'!$B$6:$B$1005,A114,'Material routes'!$C$6:$C$1005,"Ingredient candidate"),COUNTIFS('Material routes'!$B$6:$B$1005,A114,'Material routes'!$C$6:$C$1005,"Consumed input"),COUNTIFS('Material routes'!$B$6:$B$1005,A114,'Material routes'!$C$6:$C$1005,"Contained input"),COUNTIFS('Material routes'!$B$6:$B$1005,A114,'Material routes'!$C$6:$C$1005,"Transform input"))</x:f>
        <x:v>3</x:v>
      </x:c>
      <x:c r="J114" s="4" t="n">
        <x:f>COUNTIFS('Material routes'!$B$6:$B$1005,A114,'Material routes'!$C$6:$C$1005,"Output")</x:f>
        <x:v>1</x:v>
      </x:c>
      <x:c r="K114" s="4" t="n">
        <x:f>COUNTIFS('Material routes'!$B$6:$B$1005,A114,'Material routes'!$C$6:$C$1005,"Tool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routes'!$Q$6:$Q$1005,'Material routes'!$B$6:$B$1005,A115)&gt;0,"Unassigned","T"&amp;_xlfn.MAXIFS('Material routes'!$P$6:$P$1005,'Material routes'!$B$6:$B$1005,A115)))</x:f>
        <x:v>T3</x:v>
      </x:c>
      <x:c r="I115" s="4" t="n">
        <x:f>SUM(COUNTIFS('Material routes'!$B$6:$B$1005,A115,'Material routes'!$C$6:$C$1005,"Ingredient candidate"),COUNTIFS('Material routes'!$B$6:$B$1005,A115,'Material routes'!$C$6:$C$1005,"Consumed input"),COUNTIFS('Material routes'!$B$6:$B$1005,A115,'Material routes'!$C$6:$C$1005,"Contained input"),COUNTIFS('Material routes'!$B$6:$B$1005,A115,'Material routes'!$C$6:$C$1005,"Transform input"))</x:f>
        <x:v>2</x:v>
      </x:c>
      <x:c r="J115" s="4" t="n">
        <x:f>COUNTIFS('Material routes'!$B$6:$B$1005,A115,'Material routes'!$C$6:$C$1005,"Output")</x:f>
        <x:v>1</x:v>
      </x:c>
      <x:c r="K115" s="4" t="n">
        <x:f>COUNTIFS('Material routes'!$B$6:$B$1005,A115,'Material routes'!$C$6:$C$1005,"Tool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routes'!$Q$6:$Q$1005,'Material routes'!$B$6:$B$1005,A116)&gt;0,"Unassigned","T"&amp;_xlfn.MAXIFS('Material routes'!$P$6:$P$1005,'Material routes'!$B$6:$B$1005,A116)))</x:f>
        <x:v>T3</x:v>
      </x:c>
      <x:c r="I116" s="4" t="n">
        <x:f>SUM(COUNTIFS('Material routes'!$B$6:$B$1005,A116,'Material routes'!$C$6:$C$1005,"Ingredient candidate"),COUNTIFS('Material routes'!$B$6:$B$1005,A116,'Material routes'!$C$6:$C$1005,"Consumed input"),COUNTIFS('Material routes'!$B$6:$B$1005,A116,'Material routes'!$C$6:$C$1005,"Contained input"),COUNTIFS('Material routes'!$B$6:$B$1005,A116,'Material routes'!$C$6:$C$1005,"Transform input"))</x:f>
        <x:v>3</x:v>
      </x:c>
      <x:c r="J116" s="4" t="n">
        <x:f>COUNTIFS('Material routes'!$B$6:$B$1005,A116,'Material routes'!$C$6:$C$1005,"Output")</x:f>
        <x:v>1</x:v>
      </x:c>
      <x:c r="K116" s="4" t="n">
        <x:f>COUNTIFS('Material routes'!$B$6:$B$1005,A116,'Material routes'!$C$6:$C$1005,"Tool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routes'!$Q$6:$Q$1005,'Material routes'!$B$6:$B$1005,A117)&gt;0,"Unassigned","T"&amp;_xlfn.MAXIFS('Material routes'!$P$6:$P$1005,'Material routes'!$B$6:$B$1005,A117)))</x:f>
        <x:v>T2</x:v>
      </x:c>
      <x:c r="I117" s="4" t="n">
        <x:f>SUM(COUNTIFS('Material routes'!$B$6:$B$1005,A117,'Material routes'!$C$6:$C$1005,"Ingredient candidate"),COUNTIFS('Material routes'!$B$6:$B$1005,A117,'Material routes'!$C$6:$C$1005,"Consumed input"),COUNTIFS('Material routes'!$B$6:$B$1005,A117,'Material routes'!$C$6:$C$1005,"Contained input"),COUNTIFS('Material routes'!$B$6:$B$1005,A117,'Material routes'!$C$6:$C$1005,"Transform input"))</x:f>
        <x:v>1</x:v>
      </x:c>
      <x:c r="J117" s="4" t="n">
        <x:f>COUNTIFS('Material routes'!$B$6:$B$1005,A117,'Material routes'!$C$6:$C$1005,"Output")</x:f>
        <x:v>1</x:v>
      </x:c>
      <x:c r="K117" s="4" t="n">
        <x:f>COUNTIFS('Material routes'!$B$6:$B$1005,A117,'Material routes'!$C$6:$C$1005,"Tool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routes'!$Q$6:$Q$1005,'Material routes'!$B$6:$B$1005,A118)&gt;0,"Unassigned","T"&amp;_xlfn.MAXIFS('Material routes'!$P$6:$P$1005,'Material routes'!$B$6:$B$1005,A118)))</x:f>
        <x:v>T2</x:v>
      </x:c>
      <x:c r="I118" s="4" t="n">
        <x:f>SUM(COUNTIFS('Material routes'!$B$6:$B$1005,A118,'Material routes'!$C$6:$C$1005,"Ingredient candidate"),COUNTIFS('Material routes'!$B$6:$B$1005,A118,'Material routes'!$C$6:$C$1005,"Consumed input"),COUNTIFS('Material routes'!$B$6:$B$1005,A118,'Material routes'!$C$6:$C$1005,"Contained input"),COUNTIFS('Material routes'!$B$6:$B$1005,A118,'Material routes'!$C$6:$C$1005,"Transform input"))</x:f>
        <x:v>3</x:v>
      </x:c>
      <x:c r="J118" s="4" t="n">
        <x:f>COUNTIFS('Material routes'!$B$6:$B$1005,A118,'Material routes'!$C$6:$C$1005,"Output")</x:f>
        <x:v>1</x:v>
      </x:c>
      <x:c r="K118" s="4" t="n">
        <x:f>COUNTIFS('Material routes'!$B$6:$B$1005,A118,'Material routes'!$C$6:$C$1005,"Tool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84fc72cb06ec40ec"/>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Resources</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applicable","Finished endpoint",IF(OR(IFERROR(INDEX('Crafting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Resources</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applicable","Finished endpoint",IF(OR(IFERROR(INDEX('Crafting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Resources</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applicable","Finished endpoint",IF(OR(IFERROR(INDEX('Crafting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Resources</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applicable","Finished endpoint",IF(OR(IFERROR(INDEX('Crafting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Resources</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Resources</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applicable","Finished endpoint",IF(OR(IFERROR(INDEX('Crafting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Resources</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applicable","Finished endpoint",IF(OR(IFERROR(INDEX('Crafting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Resources</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applicable","Finished endpoint",IF(OR(IFERROR(INDEX('Crafting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applicable","Finished endpoint",IF(OR(IFERROR(INDEX('Crafting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applicable","Finished endpoint",IF(OR(IFERROR(INDEX('Crafting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applicable","Finished endpoint",IF(OR(IFERROR(INDEX('Crafting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applicable","Finished endpoint",IF(OR(IFERROR(INDEX('Crafting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applicable","Finished endpoint",IF(OR(IFERROR(INDEX('Crafting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applicable","Finished endpoint",IF(OR(IFERROR(INDEX('Crafting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applicable","Finished endpoint",IF(OR(IFERROR(INDEX('Crafting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Resources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applicable","Finished endpoint",IF(OR(IFERROR(INDEX('Crafting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Resources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applicable","Finished endpoint",IF(OR(IFERROR(INDEX('Crafting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Resources</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applicable","Finished endpoint",IF(OR(IFERROR(INDEX('Crafting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Resources</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applicable","Finished endpoint",IF(OR(IFERROR(INDEX('Crafting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Resources</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Resources</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applicable","Finished endpoint",IF(OR(IFERROR(INDEX('Crafting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Resources</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Resources</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applicable","Finished endpoint",IF(OR(IFERROR(INDEX('Crafting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Resources</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applicable","Finished endpoint",IF(OR(IFERROR(INDEX('Crafting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Resources</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applicable","Finished endpoint",IF(OR(IFERROR(INDEX('Crafting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Resources</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applicable","Finished endpoint",IF(OR(IFERROR(INDEX('Crafting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Resources</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applicable","Finished endpoint",IF(OR(IFERROR(INDEX('Crafting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Resources</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applicable","Finished endpoint",IF(OR(IFERROR(INDEX('Crafting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Resources</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applicable","Finished endpoint",IF(OR(IFERROR(INDEX('Crafting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Resources</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Resources</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applicable","Finished endpoint",IF(OR(IFERROR(INDEX('Crafting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Resources</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applicable","Finished endpoint",IF(OR(IFERROR(INDEX('Crafting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Resources</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applicable","Finished endpoint",IF(OR(IFERROR(INDEX('Crafting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Resources</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applicable","Finished endpoint",IF(OR(IFERROR(INDEX('Crafting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Resources</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applicable","Finished endpoint",IF(OR(IFERROR(INDEX('Crafting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Resources</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applicable","Finished endpoint",IF(OR(IFERROR(INDEX('Crafting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Resources</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applicable","Finished endpoint",IF(OR(IFERROR(INDEX('Crafting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Resources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applicable","Finished endpoint",IF(OR(IFERROR(INDEX('Crafting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Resources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applicable","Finished endpoint",IF(OR(IFERROR(INDEX('Crafting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Resources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applicable","Finished endpoint",IF(OR(IFERROR(INDEX('Crafting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Resources</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applicable","Finished endpoint",IF(OR(IFERROR(INDEX('Crafting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Resources</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applicable","Finished endpoint",IF(OR(IFERROR(INDEX('Crafting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Resources</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applicable","Finished endpoint",IF(OR(IFERROR(INDEX('Crafting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Resources</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applicable","Finished endpoint",IF(OR(IFERROR(INDEX('Crafting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Resources</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applicable","Finished endpoint",IF(OR(IFERROR(INDEX('Crafting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Resources</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Resources</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applicable","Finished endpoint",IF(OR(IFERROR(INDEX('Crafting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Resources</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applicable","Finished endpoint",IF(OR(IFERROR(INDEX('Crafting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Resources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applicable","Finished endpoint",IF(OR(IFERROR(INDEX('Crafting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Resources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Resources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applicable","Finished endpoint",IF(OR(IFERROR(INDEX('Crafting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Resources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Resources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applicable","Finished endpoint",IF(OR(IFERROR(INDEX('Crafting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applicable","Finished endpoint",IF(OR(IFERROR(INDEX('Crafting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Unassigned</x:v>
      </x:c>
      <x:c r="H53" s="4" t="str">
        <x:f>IFERROR(INDEX('Material routes'!$H$6:$H$1005,MATCH(V53,'Material routes'!$A$6:$A$1005,0)),"MISSING ID")</x:f>
        <x:v>Processed material</x:v>
      </x:c>
      <x:c r="I53" s="4" t="str">
        <x:f>IFERROR(INDEX('Material routes'!$G$6:$G$1005,MATCH(V53,'Material routes'!$A$6:$A$1005,0)),"MISSING ID")</x:f>
        <x:v>Resources</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applicable","Finished endpoint",IF(OR(IFERROR(INDEX('Crafting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Tier unresolved</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Resources</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applicable","Finished endpoint",IF(OR(IFERROR(INDEX('Crafting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Unassigned</x:v>
      </x:c>
      <x:c r="H55" s="4" t="str">
        <x:f>IFERROR(INDEX('Material routes'!$H$6:$H$1005,MATCH(V55,'Material routes'!$A$6:$A$1005,0)),"MISSING ID")</x:f>
        <x:v>Processed material</x:v>
      </x:c>
      <x:c r="I55" s="4" t="str">
        <x:f>IFERROR(INDEX('Material routes'!$G$6:$G$1005,MATCH(V55,'Material routes'!$A$6:$A$1005,0)),"MISSING ID")</x:f>
        <x:v>Resources</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applicable","Finished endpoint",IF(OR(IFERROR(INDEX('Crafting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Tier unresolved</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Unassigned</x:v>
      </x:c>
      <x:c r="H56" s="4" t="str">
        <x:f>IFERROR(INDEX('Material routes'!$H$6:$H$1005,MATCH(V56,'Material routes'!$A$6:$A$1005,0)),"MISSING ID")</x:f>
        <x:v>Processed material</x:v>
      </x:c>
      <x:c r="I56" s="4" t="str">
        <x:f>IFERROR(INDEX('Material routes'!$G$6:$G$1005,MATCH(V56,'Material routes'!$A$6:$A$1005,0)),"MISSING ID")</x:f>
        <x:v>Resources</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applicable","Finished endpoint",IF(OR(IFERROR(INDEX('Crafting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Tier unresolved</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applicable","Finished endpoint",IF(OR(IFERROR(INDEX('Crafting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applicable","Finished endpoint",IF(OR(IFERROR(INDEX('Crafting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Resources</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Resources</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applicable","Finished endpoint",IF(OR(IFERROR(INDEX('Crafting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Resources</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applicable","Finished endpoint",IF(OR(IFERROR(INDEX('Crafting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T2</x:v>
      </x:c>
      <x:c r="H61" s="4" t="str">
        <x:f>IFERROR(INDEX('Material routes'!$H$6:$H$1005,MATCH(V61,'Material routes'!$A$6:$A$1005,0)),"MISSING ID")</x:f>
        <x:v>Processed material</x:v>
      </x:c>
      <x:c r="I61" s="4" t="str">
        <x:f>IFERROR(INDEX('Material routes'!$G$6:$G$1005,MATCH(V61,'Material routes'!$A$6:$A$1005,0)),"MISSING ID")</x:f>
        <x:v>Resources</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Needs tier review</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applicable","Finished endpoint",IF(OR(IFERROR(INDEX('Crafting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applicable","Finished endpoint",IF(OR(IFERROR(INDEX('Crafting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Unassigned</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Concept outline</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applicable","Finished endpoint",IF(OR(IFERROR(INDEX('Crafting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Tier unresolved</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Unassigned</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Concept outline</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applicable","Finished endpoint",IF(OR(IFERROR(INDEX('Crafting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Tier unresolved</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applicable","Finished endpoint",IF(OR(IFERROR(INDEX('Crafting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Unassigned</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applicable","Finished endpoint",IF(OR(IFERROR(INDEX('Crafting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Tier unresolved</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applicable","Finished endpoint",IF(OR(IFERROR(INDEX('Crafting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Resources</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applicable","Finished endpoint",IF(OR(IFERROR(INDEX('Crafting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Unassigned</x:v>
      </x:c>
      <x:c r="H69" s="4" t="str">
        <x:f>IFERROR(INDEX('Material routes'!$H$6:$H$1005,MATCH(V69,'Material routes'!$A$6:$A$1005,0)),"MISSING ID")</x:f>
        <x:v>Raw material</x:v>
      </x:c>
      <x:c r="I69" s="4" t="str">
        <x:f>IFERROR(INDEX('Material routes'!$G$6:$G$1005,MATCH(V69,'Material routes'!$A$6:$A$1005,0)),"MISSING ID")</x:f>
        <x:v>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applicable","Finished endpoint",IF(OR(IFERROR(INDEX('Crafting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Tier unresolved</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Unassigned</x:v>
      </x:c>
      <x:c r="C70" s="4" t="str">
        <x:f>IFERROR(INDEX('Material routes'!$H$6:$H$1005,MATCH(U70,'Material routes'!$A$6:$A$1005,0)),"MISSING ID")</x:f>
        <x:v>Raw material</x:v>
      </x:c>
      <x:c r="D70" s="4" t="str">
        <x:f>IFERROR(INDEX('Material routes'!$G$6:$G$1005,MATCH(U70,'Material routes'!$A$6:$A$1005,0)),"MISSING ID")</x:f>
        <x:v>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Concept outline</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applicable","Finished endpoint",IF(OR(IFERROR(INDEX('Crafting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Tier unresolved</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applicable","Finished endpoint",IF(OR(IFERROR(INDEX('Crafting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Resources</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applicable","Finished endpoint",IF(OR(IFERROR(INDEX('Crafting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Unassigned</x:v>
      </x:c>
      <x:c r="H73" s="4" t="str">
        <x:f>IFERROR(INDEX('Material routes'!$H$6:$H$1005,MATCH(V73,'Material routes'!$A$6:$A$1005,0)),"MISSING ID")</x:f>
        <x:v>Processed material</x:v>
      </x:c>
      <x:c r="I73" s="4" t="str">
        <x:f>IFERROR(INDEX('Material routes'!$G$6:$G$1005,MATCH(V73,'Material routes'!$A$6:$A$1005,0)),"MISSING ID")</x:f>
        <x:v>Resources</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applicable","Finished endpoint",IF(OR(IFERROR(INDEX('Crafting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Tier unresolved</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applicable","Finished endpoint",IF(OR(IFERROR(INDEX('Crafting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applicable","Finished endpoint",IF(OR(IFERROR(INDEX('Crafting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applicable","Finished endpoint",IF(OR(IFERROR(INDEX('Crafting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applicable","Finished endpoint",IF(OR(IFERROR(INDEX('Crafting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applicable","Finished endpoint",IF(OR(IFERROR(INDEX('Crafting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applicable","Finished endpoint",IF(OR(IFERROR(INDEX('Crafting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applicable","Finished endpoint",IF(OR(IFERROR(INDEX('Crafting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applicable","Finished endpoint",IF(OR(IFERROR(INDEX('Crafting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Resources</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applicable","Finished endpoint",IF(OR(IFERROR(INDEX('Crafting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T2</x:v>
      </x:c>
      <x:c r="C83" s="4" t="str">
        <x:f>IFERROR(INDEX('Material routes'!$H$6:$H$1005,MATCH(U83,'Material routes'!$A$6:$A$1005,0)),"MISSING ID")</x:f>
        <x:v>Processed material</x:v>
      </x:c>
      <x:c r="D83" s="4" t="str">
        <x:f>IFERROR(INDEX('Material routes'!$G$6:$G$1005,MATCH(U83,'Material routes'!$A$6:$A$1005,0)),"MISSING ID")</x:f>
        <x:v>Resources</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applicable","Finished endpoint",IF(OR(IFERROR(INDEX('Crafting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applicable","Finished endpoint",IF(OR(IFERROR(INDEX('Crafting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row r="85" ht="105" customHeight="1">
      <x:c r="A85" s="4" t="str">
        <x:f>IFERROR(INDEX('Material routes'!$E$6:$E$1005,MATCH(U85,'Material routes'!$A$6:$A$1005,0)),"MISSING ID")</x:f>
        <x:v>Raw borate minerals</x:v>
      </x:c>
      <x:c r="B85" s="4" t="str">
        <x:f>IFERROR(INDEX('Material routes'!$F$6:$F$1005,MATCH(U85,'Material routes'!$A$6:$A$1005,0)),"MISSING ID")</x:f>
        <x:v>T0</x:v>
      </x:c>
      <x:c r="C85" s="4" t="str">
        <x:f>IFERROR(INDEX('Material routes'!$H$6:$H$1005,MATCH(U85,'Material routes'!$A$6:$A$1005,0)),"MISSING ID")</x:f>
        <x:v>Raw material</x:v>
      </x:c>
      <x:c r="D85" s="4" t="str">
        <x:f>IFERROR(INDEX('Material routes'!$G$6:$G$1005,MATCH(U85,'Material routes'!$A$6:$A$1005,0)),"MISSING ID")</x:f>
        <x:v>Resources</x:v>
      </x:c>
      <x:c r="E85" s="4" t="str">
        <x:f>IFERROR(INDEX('Material routes'!$C$6:$C$1005,MATCH(U85,'Material routes'!$A$6:$A$1005,0)),"MISSING ID")</x:f>
        <x:v>Ingredient candidate</x:v>
      </x:c>
      <x:c r="F85" s="4" t="str">
        <x:f>IFERROR(INDEX('Material routes'!$E$6:$E$1005,MATCH(V85,'Material routes'!$A$6:$A$1005,0)),"MISSING ID")</x:f>
        <x:v>Prepared metallurgical flux</x:v>
      </x:c>
      <x:c r="G85" s="4" t="str">
        <x:f>IFERROR(INDEX('Material routes'!$F$6:$F$1005,MATCH(V85,'Material routes'!$A$6:$A$1005,0)),"MISSING ID")</x:f>
        <x:v>T1</x:v>
      </x:c>
      <x:c r="H85" s="4" t="str">
        <x:f>IFERROR(INDEX('Material routes'!$H$6:$H$1005,MATCH(V85,'Material routes'!$A$6:$A$1005,0)),"MISSING ID")</x:f>
        <x:v>Processed material</x:v>
      </x:c>
      <x:c r="I85" s="4" t="str">
        <x:f>IFERROR(INDEX('Material routes'!$G$6:$G$1005,MATCH(V85,'Material routes'!$A$6:$A$1005,0)),"MISSING ID")</x:f>
        <x:v>Resources</x:v>
      </x:c>
      <x:c r="J85" s="4" t="str">
        <x:f>IFERROR(INDEX('Material routes'!$B$6:$B$1005,MATCH(U85,'Material routes'!$A$6:$A$1005,0)),"MISSING ID")</x:f>
        <x:v>design.branch.branch.flux</x:v>
      </x:c>
      <x:c r="K85" s="4" t="str">
        <x:f>IFERROR(INDEX('Crafting recipes'!$C$6:$C$1005,MATCH(J85,'Crafting recipes'!$A$6:$A$1005,0)),"MISSING ID")</x:f>
        <x:v>Material refinement</x:v>
      </x:c>
      <x:c r="L85" s="4" t="str">
        <x:f>IFERROR(INDEX('Material routes'!$K$6:$K$1005,MATCH(U85,'Material routes'!$A$6:$A$1005,0)),"MISSING ID")</x:f>
        <x:v>Proposal</x:v>
      </x:c>
      <x:c r="M85" s="4" t="str">
        <x:f>IFERROR(INDEX('Material routes'!$M$6:$M$1005,MATCH(U85,'Material routes'!$A$6:$A$1005,0)),"MISSING ID")</x:f>
        <x:v>Partial proposal</x:v>
      </x:c>
      <x:c r="N85" s="4" t="str">
        <x:f>IF(IFERROR(INDEX('Material routes'!$I$6:$I$1005,MATCH(U85,'Material routes'!$A$6:$A$1005,0)),"MISSING ID")=0,"",IFERROR(INDEX('Material routes'!$I$6:$I$1005,MATCH(U85,'Material routes'!$A$6:$A$1005,0)),"MISSING ID"))</x:f>
      </x:c>
      <x:c r="O85" s="4" t="str">
        <x:f>IFERROR(INDEX('Material routes'!$J$6:$J$1005,MATCH(U85,'Material routes'!$A$6:$A$1005,0)),"MISSING ID")</x:f>
        <x:v>Unspecified</x:v>
      </x:c>
      <x:c r="P85" s="4" t="str">
        <x:f>IF(IFERROR(INDEX('Material routes'!$I$6:$I$1005,MATCH(V85,'Material routes'!$A$6:$A$1005,0)),"MISSING ID")=0,"",IFERROR(INDEX('Material routes'!$I$6:$I$1005,MATCH(V85,'Material routes'!$A$6:$A$1005,0)),"MISSING ID"))</x:f>
      </x:c>
      <x:c r="Q85" s="4" t="str">
        <x:f>IFERROR(INDEX('Material routes'!$J$6:$J$1005,MATCH(V85,'Material routes'!$A$6:$A$1005,0)),"MISSING ID")</x:f>
        <x:v>Unspecified</x:v>
      </x:c>
      <x:c r="R85" s="4" t="str">
        <x:f>IF(L85="Withheld","Withheld premise",IF(E85="Tool candidate","Reusable prerequisite",IF(K85="Raw entry preparation","Entry-resource preparation",IF(G85="Not applicable","Finished endpoint",IF(OR(IFERROR(INDEX('Crafting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routes'!$D$6:$D$1005,MATCH(U85,'Material routes'!$A$6:$A$1005,0)),"MISSING ID")</x:f>
        <x:v>proposal.natural.borate</x:v>
      </x:c>
      <x:c r="T85" s="4" t="str">
        <x:f>IFERROR(INDEX('Material routes'!$D$6:$D$1005,MATCH(V85,'Material routes'!$A$6:$A$1005,0)),"MISSING ID")</x:f>
        <x:v>proposal.branch.flux</x:v>
      </x:c>
      <x:c r="U85" s="4" t="str">
        <x:v>design.branch.branch.flux.in.1</x:v>
      </x:c>
      <x:c r="V85" s="4" t="str">
        <x:v>design.branch.branch.flux.out</x:v>
      </x:c>
    </x:row>
    <x:row r="86" ht="105" customHeight="1">
      <x:c r="A86" s="4" t="str">
        <x:f>IFERROR(INDEX('Material routes'!$E$6:$E$1005,MATCH(U86,'Material routes'!$A$6:$A$1005,0)),"MISSING ID")</x:f>
        <x:v>Carbonate stone</x:v>
      </x:c>
      <x:c r="B86" s="4" t="str">
        <x:f>IFERROR(INDEX('Material routes'!$F$6:$F$1005,MATCH(U86,'Material routes'!$A$6:$A$1005,0)),"MISSING ID")</x:f>
        <x:v>T0</x:v>
      </x:c>
      <x:c r="C86" s="4" t="str">
        <x:f>IFERROR(INDEX('Material routes'!$H$6:$H$1005,MATCH(U86,'Material routes'!$A$6:$A$1005,0)),"MISSING ID")</x:f>
        <x:v>Raw material</x:v>
      </x:c>
      <x:c r="D86" s="4" t="str">
        <x:f>IFERROR(INDEX('Material routes'!$G$6:$G$1005,MATCH(U86,'Material routes'!$A$6:$A$1005,0)),"MISSING ID")</x:f>
        <x:v>Resources</x:v>
      </x:c>
      <x:c r="E86" s="4" t="str">
        <x:f>IFERROR(INDEX('Material routes'!$C$6:$C$1005,MATCH(U86,'Material routes'!$A$6:$A$1005,0)),"MISSING ID")</x:f>
        <x:v>Ingredient candidate</x:v>
      </x:c>
      <x:c r="F86" s="4" t="str">
        <x:f>IFERROR(INDEX('Material routes'!$E$6:$E$1005,MATCH(V86,'Material routes'!$A$6:$A$1005,0)),"MISSING ID")</x:f>
        <x:v>Prepared metallurgical flux</x:v>
      </x:c>
      <x:c r="G86" s="4" t="str">
        <x:f>IFERROR(INDEX('Material routes'!$F$6:$F$1005,MATCH(V86,'Material routes'!$A$6:$A$1005,0)),"MISSING ID")</x:f>
        <x:v>T1</x:v>
      </x:c>
      <x:c r="H86" s="4" t="str">
        <x:f>IFERROR(INDEX('Material routes'!$H$6:$H$1005,MATCH(V86,'Material routes'!$A$6:$A$1005,0)),"MISSING ID")</x:f>
        <x:v>Processed material</x:v>
      </x:c>
      <x:c r="I86" s="4" t="str">
        <x:f>IFERROR(INDEX('Material routes'!$G$6:$G$1005,MATCH(V86,'Material routes'!$A$6:$A$1005,0)),"MISSING ID")</x:f>
        <x:v>Resources</x:v>
      </x:c>
      <x:c r="J86" s="4" t="str">
        <x:f>IFERROR(INDEX('Material routes'!$B$6:$B$1005,MATCH(U86,'Material routes'!$A$6:$A$1005,0)),"MISSING ID")</x:f>
        <x:v>design.branch.branch.flux</x:v>
      </x:c>
      <x:c r="K86" s="4" t="str">
        <x:f>IFERROR(INDEX('Crafting recipes'!$C$6:$C$1005,MATCH(J86,'Crafting recipes'!$A$6:$A$1005,0)),"MISSING ID")</x:f>
        <x:v>Material refinement</x:v>
      </x:c>
      <x:c r="L86" s="4" t="str">
        <x:f>IFERROR(INDEX('Material routes'!$K$6:$K$1005,MATCH(U86,'Material routes'!$A$6:$A$1005,0)),"MISSING ID")</x:f>
        <x:v>Proposal</x:v>
      </x:c>
      <x:c r="M86" s="4" t="str">
        <x:f>IFERROR(INDEX('Material routes'!$M$6:$M$1005,MATCH(U86,'Material routes'!$A$6:$A$1005,0)),"MISSING ID")</x:f>
        <x:v>Partial proposal</x:v>
      </x:c>
      <x:c r="N86" s="4" t="str">
        <x:f>IF(IFERROR(INDEX('Material routes'!$I$6:$I$1005,MATCH(U86,'Material routes'!$A$6:$A$1005,0)),"MISSING ID")=0,"",IFERROR(INDEX('Material routes'!$I$6:$I$1005,MATCH(U86,'Material routes'!$A$6:$A$1005,0)),"MISSING ID"))</x:f>
      </x:c>
      <x:c r="O86" s="4" t="str">
        <x:f>IFERROR(INDEX('Material routes'!$J$6:$J$1005,MATCH(U86,'Material routes'!$A$6:$A$1005,0)),"MISSING ID")</x:f>
        <x:v>Unspecified</x:v>
      </x:c>
      <x:c r="P86" s="4" t="str">
        <x:f>IF(IFERROR(INDEX('Material routes'!$I$6:$I$1005,MATCH(V86,'Material routes'!$A$6:$A$1005,0)),"MISSING ID")=0,"",IFERROR(INDEX('Material routes'!$I$6:$I$1005,MATCH(V86,'Material routes'!$A$6:$A$1005,0)),"MISSING ID"))</x:f>
      </x:c>
      <x:c r="Q86" s="4" t="str">
        <x:f>IFERROR(INDEX('Material routes'!$J$6:$J$1005,MATCH(V86,'Material routes'!$A$6:$A$1005,0)),"MISSING ID")</x:f>
        <x:v>Unspecified</x:v>
      </x:c>
      <x:c r="R86" s="4" t="str">
        <x:f>IF(L86="Withheld","Withheld premise",IF(E86="Tool candidate","Reusable prerequisite",IF(K86="Raw entry preparation","Entry-resource preparation",IF(G86="Not applicable","Finished endpoint",IF(OR(IFERROR(INDEX('Crafting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routes'!$D$6:$D$1005,MATCH(U86,'Material routes'!$A$6:$A$1005,0)),"MISSING ID")</x:f>
        <x:v>proposal.natural.carbonate</x:v>
      </x:c>
      <x:c r="T86" s="4" t="str">
        <x:f>IFERROR(INDEX('Material routes'!$D$6:$D$1005,MATCH(V86,'Material routes'!$A$6:$A$1005,0)),"MISSING ID")</x:f>
        <x:v>proposal.branch.flux</x:v>
      </x:c>
      <x:c r="U86" s="4" t="str">
        <x:v>design.branch.branch.flux.in.2</x:v>
      </x:c>
      <x:c r="V86" s="4" t="str">
        <x:v>design.branch.branch.flux.out</x:v>
      </x:c>
    </x:row>
    <x:row r="87" ht="105" customHeight="1">
      <x:c r="A87" s="4" t="str">
        <x:f>IFERROR(INDEX('Material routes'!$E$6:$E$1005,MATCH(U87,'Material routes'!$A$6:$A$1005,0)),"MISSING ID")</x:f>
        <x:v>Alumina-rich rock</x:v>
      </x:c>
      <x:c r="B87" s="4" t="str">
        <x:f>IFERROR(INDEX('Material routes'!$F$6:$F$1005,MATCH(U87,'Material routes'!$A$6:$A$1005,0)),"MISSING ID")</x:f>
        <x:v>T0</x:v>
      </x:c>
      <x:c r="C87" s="4" t="str">
        <x:f>IFERROR(INDEX('Material routes'!$H$6:$H$1005,MATCH(U87,'Material routes'!$A$6:$A$1005,0)),"MISSING ID")</x:f>
        <x:v>Raw material</x:v>
      </x:c>
      <x:c r="D87" s="4" t="str">
        <x:f>IFERROR(INDEX('Material routes'!$G$6:$G$1005,MATCH(U87,'Material routes'!$A$6:$A$1005,0)),"MISSING ID")</x:f>
        <x:v>Resources</x:v>
      </x:c>
      <x:c r="E87" s="4" t="str">
        <x:f>IFERROR(INDEX('Material routes'!$C$6:$C$1005,MATCH(U87,'Material routes'!$A$6:$A$1005,0)),"MISSING ID")</x:f>
        <x:v>Ingredient candidate</x:v>
      </x:c>
      <x:c r="F87" s="4" t="str">
        <x:f>IFERROR(INDEX('Material routes'!$E$6:$E$1005,MATCH(V87,'Material routes'!$A$6:$A$1005,0)),"MISSING ID")</x:f>
        <x:v>Graded refractory mineral feed</x:v>
      </x:c>
      <x:c r="G87" s="4" t="str">
        <x:f>IFERROR(INDEX('Material routes'!$F$6:$F$1005,MATCH(V87,'Material routes'!$A$6:$A$1005,0)),"MISSING ID")</x:f>
        <x:v>T1</x:v>
      </x:c>
      <x:c r="H87" s="4" t="str">
        <x:f>IFERROR(INDEX('Material routes'!$H$6:$H$1005,MATCH(V87,'Material routes'!$A$6:$A$1005,0)),"MISSING ID")</x:f>
        <x:v>Processed material</x:v>
      </x:c>
      <x:c r="I87" s="4" t="str">
        <x:f>IFERROR(INDEX('Material routes'!$G$6:$G$1005,MATCH(V87,'Material routes'!$A$6:$A$1005,0)),"MISSING ID")</x:f>
        <x:v>Resources</x:v>
      </x:c>
      <x:c r="J87" s="4" t="str">
        <x:f>IFERROR(INDEX('Material routes'!$B$6:$B$1005,MATCH(U87,'Material routes'!$A$6:$A$1005,0)),"MISSING ID")</x:f>
        <x:v>design.branch.branch.refractory_feed</x:v>
      </x:c>
      <x:c r="K87" s="4" t="str">
        <x:f>IFERROR(INDEX('Crafting recipes'!$C$6:$C$1005,MATCH(J87,'Crafting recipes'!$A$6:$A$1005,0)),"MISSING ID")</x:f>
        <x:v>Material refinement</x:v>
      </x:c>
      <x:c r="L87" s="4" t="str">
        <x:f>IFERROR(INDEX('Material routes'!$K$6:$K$1005,MATCH(U87,'Material routes'!$A$6:$A$1005,0)),"MISSING ID")</x:f>
        <x:v>Proposal</x:v>
      </x:c>
      <x:c r="M87" s="4" t="str">
        <x:f>IFERROR(INDEX('Material routes'!$M$6:$M$1005,MATCH(U87,'Material routes'!$A$6:$A$1005,0)),"MISSING ID")</x:f>
        <x:v>Partial proposal</x:v>
      </x:c>
      <x:c r="N87" s="4" t="str">
        <x:f>IF(IFERROR(INDEX('Material routes'!$I$6:$I$1005,MATCH(U87,'Material routes'!$A$6:$A$1005,0)),"MISSING ID")=0,"",IFERROR(INDEX('Material routes'!$I$6:$I$1005,MATCH(U87,'Material routes'!$A$6:$A$1005,0)),"MISSING ID"))</x:f>
      </x:c>
      <x:c r="O87" s="4" t="str">
        <x:f>IFERROR(INDEX('Material routes'!$J$6:$J$1005,MATCH(U87,'Material routes'!$A$6:$A$1005,0)),"MISSING ID")</x:f>
        <x:v>Unspecified</x:v>
      </x:c>
      <x:c r="P87" s="4" t="str">
        <x:f>IF(IFERROR(INDEX('Material routes'!$I$6:$I$1005,MATCH(V87,'Material routes'!$A$6:$A$1005,0)),"MISSING ID")=0,"",IFERROR(INDEX('Material routes'!$I$6:$I$1005,MATCH(V87,'Material routes'!$A$6:$A$1005,0)),"MISSING ID"))</x:f>
      </x:c>
      <x:c r="Q87" s="4" t="str">
        <x:f>IFERROR(INDEX('Material routes'!$J$6:$J$1005,MATCH(V87,'Material routes'!$A$6:$A$1005,0)),"MISSING ID")</x:f>
        <x:v>Unspecified</x:v>
      </x:c>
      <x:c r="R87" s="4" t="str">
        <x:f>IF(L87="Withheld","Withheld premise",IF(E87="Tool candidate","Reusable prerequisite",IF(K87="Raw entry preparation","Entry-resource preparation",IF(G87="Not applicable","Finished endpoint",IF(OR(IFERROR(INDEX('Crafting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routes'!$D$6:$D$1005,MATCH(U87,'Material routes'!$A$6:$A$1005,0)),"MISSING ID")</x:f>
        <x:v>proposal.natural.alumina</x:v>
      </x:c>
      <x:c r="T87" s="4" t="str">
        <x:f>IFERROR(INDEX('Material routes'!$D$6:$D$1005,MATCH(V87,'Material routes'!$A$6:$A$1005,0)),"MISSING ID")</x:f>
        <x:v>proposal.branch.refractory_feed</x:v>
      </x:c>
      <x:c r="U87" s="4" t="str">
        <x:v>design.branch.branch.refractory_feed.in.1</x:v>
      </x:c>
      <x:c r="V87" s="4" t="str">
        <x:v>design.branch.branch.refractory_feed.out</x:v>
      </x:c>
    </x:row>
    <x:row r="88" ht="105" customHeight="1">
      <x:c r="A88" s="4" t="str">
        <x:f>IFERROR(INDEX('Material routes'!$E$6:$E$1005,MATCH(U88,'Material routes'!$A$6:$A$1005,0)),"MISSING ID")</x:f>
        <x:v>Manganese-bearing ore</x:v>
      </x:c>
      <x:c r="B88" s="4" t="str">
        <x:f>IFERROR(INDEX('Material routes'!$F$6:$F$1005,MATCH(U88,'Material routes'!$A$6:$A$1005,0)),"MISSING ID")</x:f>
        <x:v>T0</x:v>
      </x:c>
      <x:c r="C88" s="4" t="str">
        <x:f>IFERROR(INDEX('Material routes'!$H$6:$H$1005,MATCH(U88,'Material routes'!$A$6:$A$1005,0)),"MISSING ID")</x:f>
        <x:v>Raw material</x:v>
      </x:c>
      <x:c r="D88" s="4" t="str">
        <x:f>IFERROR(INDEX('Material routes'!$G$6:$G$1005,MATCH(U88,'Material routes'!$A$6:$A$1005,0)),"MISSING ID")</x:f>
        <x:v>Resources</x:v>
      </x:c>
      <x:c r="E88" s="4" t="str">
        <x:f>IFERROR(INDEX('Material routes'!$C$6:$C$1005,MATCH(U88,'Material routes'!$A$6:$A$1005,0)),"MISSING ID")</x:f>
        <x:v>Ingredient candidate</x:v>
      </x:c>
      <x:c r="F88" s="4" t="str">
        <x:f>IFERROR(INDEX('Material routes'!$E$6:$E$1005,MATCH(V88,'Material routes'!$A$6:$A$1005,0)),"MISSING ID")</x:f>
        <x:v>Manganese-bearing alloy feed</x:v>
      </x:c>
      <x:c r="G88" s="4" t="str">
        <x:f>IFERROR(INDEX('Material routes'!$F$6:$F$1005,MATCH(V88,'Material routes'!$A$6:$A$1005,0)),"MISSING ID")</x:f>
        <x:v>T1</x:v>
      </x:c>
      <x:c r="H88" s="4" t="str">
        <x:f>IFERROR(INDEX('Material routes'!$H$6:$H$1005,MATCH(V88,'Material routes'!$A$6:$A$1005,0)),"MISSING ID")</x:f>
        <x:v>Processed material</x:v>
      </x:c>
      <x:c r="I88" s="4" t="str">
        <x:f>IFERROR(INDEX('Material routes'!$G$6:$G$1005,MATCH(V88,'Material routes'!$A$6:$A$1005,0)),"MISSING ID")</x:f>
        <x:v>Resources</x:v>
      </x:c>
      <x:c r="J88" s="4" t="str">
        <x:f>IFERROR(INDEX('Material routes'!$B$6:$B$1005,MATCH(U88,'Material routes'!$A$6:$A$1005,0)),"MISSING ID")</x:f>
        <x:v>design.branch.branch.manganese_feed</x:v>
      </x:c>
      <x:c r="K88" s="4" t="str">
        <x:f>IFERROR(INDEX('Crafting recipes'!$C$6:$C$1005,MATCH(J88,'Crafting recipes'!$A$6:$A$1005,0)),"MISSING ID")</x:f>
        <x:v>Material refinement</x:v>
      </x:c>
      <x:c r="L88" s="4" t="str">
        <x:f>IFERROR(INDEX('Material routes'!$K$6:$K$1005,MATCH(U88,'Material routes'!$A$6:$A$1005,0)),"MISSING ID")</x:f>
        <x:v>Proposal</x:v>
      </x:c>
      <x:c r="M88" s="4" t="str">
        <x:f>IFERROR(INDEX('Material routes'!$M$6:$M$1005,MATCH(U88,'Material routes'!$A$6:$A$1005,0)),"MISSING ID")</x:f>
        <x:v>Partial proposal</x:v>
      </x:c>
      <x:c r="N88" s="4" t="str">
        <x:f>IF(IFERROR(INDEX('Material routes'!$I$6:$I$1005,MATCH(U88,'Material routes'!$A$6:$A$1005,0)),"MISSING ID")=0,"",IFERROR(INDEX('Material routes'!$I$6:$I$1005,MATCH(U88,'Material routes'!$A$6:$A$1005,0)),"MISSING ID"))</x:f>
      </x:c>
      <x:c r="O88" s="4" t="str">
        <x:f>IFERROR(INDEX('Material routes'!$J$6:$J$1005,MATCH(U88,'Material routes'!$A$6:$A$1005,0)),"MISSING ID")</x:f>
        <x:v>Unspecified</x:v>
      </x:c>
      <x:c r="P88" s="4" t="str">
        <x:f>IF(IFERROR(INDEX('Material routes'!$I$6:$I$1005,MATCH(V88,'Material routes'!$A$6:$A$1005,0)),"MISSING ID")=0,"",IFERROR(INDEX('Material routes'!$I$6:$I$1005,MATCH(V88,'Material routes'!$A$6:$A$1005,0)),"MISSING ID"))</x:f>
      </x:c>
      <x:c r="Q88" s="4" t="str">
        <x:f>IFERROR(INDEX('Material routes'!$J$6:$J$1005,MATCH(V88,'Material routes'!$A$6:$A$1005,0)),"MISSING ID")</x:f>
        <x:v>Unspecified</x:v>
      </x:c>
      <x:c r="R88" s="4" t="str">
        <x:f>IF(L88="Withheld","Withheld premise",IF(E88="Tool candidate","Reusable prerequisite",IF(K88="Raw entry preparation","Entry-resource preparation",IF(G88="Not applicable","Finished endpoint",IF(OR(IFERROR(INDEX('Crafting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routes'!$D$6:$D$1005,MATCH(U88,'Material routes'!$A$6:$A$1005,0)),"MISSING ID")</x:f>
        <x:v>proposal.natural.manganese_ore</x:v>
      </x:c>
      <x:c r="T88" s="4" t="str">
        <x:f>IFERROR(INDEX('Material routes'!$D$6:$D$1005,MATCH(V88,'Material routes'!$A$6:$A$1005,0)),"MISSING ID")</x:f>
        <x:v>proposal.branch.manganese_feed</x:v>
      </x:c>
      <x:c r="U88" s="4" t="str">
        <x:v>design.branch.branch.manganese_feed.in.1</x:v>
      </x:c>
      <x:c r="V88" s="4" t="str">
        <x:v>design.branch.branch.manganese_feed.out</x:v>
      </x:c>
    </x:row>
    <x:row r="89" ht="105" customHeight="1">
      <x:c r="A89" s="4" t="str">
        <x:f>IFERROR(INDEX('Material routes'!$E$6:$E$1005,MATCH(U89,'Material routes'!$A$6:$A$1005,0)),"MISSING ID")</x:f>
        <x:v>Elastic-joint secretion</x:v>
      </x:c>
      <x:c r="B89" s="4" t="str">
        <x:f>IFERROR(INDEX('Material routes'!$F$6:$F$1005,MATCH(U89,'Material routes'!$A$6:$A$1005,0)),"MISSING ID")</x:f>
        <x:v>T0</x:v>
      </x:c>
      <x:c r="C89" s="4" t="str">
        <x:f>IFERROR(INDEX('Material routes'!$H$6:$H$1005,MATCH(U89,'Material routes'!$A$6:$A$1005,0)),"MISSING ID")</x:f>
        <x:v>Chemical material</x:v>
      </x:c>
      <x:c r="D89" s="4" t="str">
        <x:f>IFERROR(INDEX('Material routes'!$G$6:$G$1005,MATCH(U89,'Material routes'!$A$6:$A$1005,0)),"MISSING ID")</x:f>
        <x:v>Resources</x:v>
      </x:c>
      <x:c r="E89" s="4" t="str">
        <x:f>IFERROR(INDEX('Material routes'!$C$6:$C$1005,MATCH(U89,'Material routes'!$A$6:$A$1005,0)),"MISSING ID")</x:f>
        <x:v>Ingredient candidate</x:v>
      </x:c>
      <x:c r="F89" s="4" t="str">
        <x:f>IFERROR(INDEX('Material routes'!$E$6:$E$1005,MATCH(V89,'Material routes'!$A$6:$A$1005,0)),"MISSING ID")</x:f>
        <x:v>Prepared flexible faunal binder</x:v>
      </x:c>
      <x:c r="G89" s="4" t="str">
        <x:f>IFERROR(INDEX('Material routes'!$F$6:$F$1005,MATCH(V89,'Material routes'!$A$6:$A$1005,0)),"MISSING ID")</x:f>
        <x:v>T1</x:v>
      </x:c>
      <x:c r="H89" s="4" t="str">
        <x:f>IFERROR(INDEX('Material routes'!$H$6:$H$1005,MATCH(V89,'Material routes'!$A$6:$A$1005,0)),"MISSING ID")</x:f>
        <x:v>Chemical material</x:v>
      </x:c>
      <x:c r="I89" s="4" t="str">
        <x:f>IFERROR(INDEX('Material routes'!$G$6:$G$1005,MATCH(V89,'Material routes'!$A$6:$A$1005,0)),"MISSING ID")</x:f>
        <x:v>Resources</x:v>
      </x:c>
      <x:c r="J89" s="4" t="str">
        <x:f>IFERROR(INDEX('Material routes'!$B$6:$B$1005,MATCH(U89,'Material routes'!$A$6:$A$1005,0)),"MISSING ID")</x:f>
        <x:v>design.branch.branch.flex_binder</x:v>
      </x:c>
      <x:c r="K89" s="4" t="str">
        <x:f>IFERROR(INDEX('Crafting recipes'!$C$6:$C$1005,MATCH(J89,'Crafting recipes'!$A$6:$A$1005,0)),"MISSING ID")</x:f>
        <x:v>Material refinement</x:v>
      </x:c>
      <x:c r="L89" s="4" t="str">
        <x:f>IFERROR(INDEX('Material routes'!$K$6:$K$1005,MATCH(U89,'Material routes'!$A$6:$A$1005,0)),"MISSING ID")</x:f>
        <x:v>Proposal</x:v>
      </x:c>
      <x:c r="M89" s="4" t="str">
        <x:f>IFERROR(INDEX('Material routes'!$M$6:$M$1005,MATCH(U89,'Material routes'!$A$6:$A$1005,0)),"MISSING ID")</x:f>
        <x:v>Partial proposal</x:v>
      </x:c>
      <x:c r="N89" s="4" t="str">
        <x:f>IF(IFERROR(INDEX('Material routes'!$I$6:$I$1005,MATCH(U89,'Material routes'!$A$6:$A$1005,0)),"MISSING ID")=0,"",IFERROR(INDEX('Material routes'!$I$6:$I$1005,MATCH(U89,'Material routes'!$A$6:$A$1005,0)),"MISSING ID"))</x:f>
      </x:c>
      <x:c r="O89" s="4" t="str">
        <x:f>IFERROR(INDEX('Material routes'!$J$6:$J$1005,MATCH(U89,'Material routes'!$A$6:$A$1005,0)),"MISSING ID")</x:f>
        <x:v>Unspecified</x:v>
      </x:c>
      <x:c r="P89" s="4" t="str">
        <x:f>IF(IFERROR(INDEX('Material routes'!$I$6:$I$1005,MATCH(V89,'Material routes'!$A$6:$A$1005,0)),"MISSING ID")=0,"",IFERROR(INDEX('Material routes'!$I$6:$I$1005,MATCH(V89,'Material routes'!$A$6:$A$1005,0)),"MISSING ID"))</x:f>
      </x:c>
      <x:c r="Q89" s="4" t="str">
        <x:f>IFERROR(INDEX('Material routes'!$J$6:$J$1005,MATCH(V89,'Material routes'!$A$6:$A$1005,0)),"MISSING ID")</x:f>
        <x:v>Unspecified</x:v>
      </x:c>
      <x:c r="R89" s="4" t="str">
        <x:f>IF(L89="Withheld","Withheld premise",IF(E89="Tool candidate","Reusable prerequisite",IF(K89="Raw entry preparation","Entry-resource preparation",IF(G89="Not applicable","Finished endpoint",IF(OR(IFERROR(INDEX('Crafting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routes'!$D$6:$D$1005,MATCH(U89,'Material routes'!$A$6:$A$1005,0)),"MISSING ID")</x:f>
        <x:v>proposal.branch.elastic_secretion</x:v>
      </x:c>
      <x:c r="T89" s="4" t="str">
        <x:f>IFERROR(INDEX('Material routes'!$D$6:$D$1005,MATCH(V89,'Material routes'!$A$6:$A$1005,0)),"MISSING ID")</x:f>
        <x:v>proposal.branch.flex_binder</x:v>
      </x:c>
      <x:c r="U89" s="4" t="str">
        <x:v>design.branch.branch.flex_binder.in.1</x:v>
      </x:c>
      <x:c r="V89" s="4" t="str">
        <x:v>design.branch.branch.flex_binder.out</x:v>
      </x:c>
    </x:row>
    <x:row r="90" ht="105" customHeight="1">
      <x:c r="A90" s="4" t="str">
        <x:f>IFERROR(INDEX('Material routes'!$E$6:$E$1005,MATCH(U90,'Material routes'!$A$6:$A$1005,0)),"MISSING ID")</x:f>
        <x:v>Digestive etchant</x:v>
      </x:c>
      <x:c r="B90" s="4" t="str">
        <x:f>IFERROR(INDEX('Material routes'!$F$6:$F$1005,MATCH(U90,'Material routes'!$A$6:$A$1005,0)),"MISSING ID")</x:f>
        <x:v>T0</x:v>
      </x:c>
      <x:c r="C90" s="4" t="str">
        <x:f>IFERROR(INDEX('Material routes'!$H$6:$H$1005,MATCH(U90,'Material routes'!$A$6:$A$1005,0)),"MISSING ID")</x:f>
        <x:v>Chemical material</x:v>
      </x:c>
      <x:c r="D90" s="4" t="str">
        <x:f>IFERROR(INDEX('Material routes'!$G$6:$G$1005,MATCH(U90,'Material routes'!$A$6:$A$1005,0)),"MISSING ID")</x:f>
        <x:v>Resources</x:v>
      </x:c>
      <x:c r="E90" s="4" t="str">
        <x:f>IFERROR(INDEX('Material routes'!$C$6:$C$1005,MATCH(U90,'Material routes'!$A$6:$A$1005,0)),"MISSING ID")</x:f>
        <x:v>Ingredient candidate</x:v>
      </x:c>
      <x:c r="F90" s="4" t="str">
        <x:f>IFERROR(INDEX('Material routes'!$E$6:$E$1005,MATCH(V90,'Material routes'!$A$6:$A$1005,0)),"MISSING ID")</x:f>
        <x:v>Conditioned faunal etchant</x:v>
      </x:c>
      <x:c r="G90" s="4" t="str">
        <x:f>IFERROR(INDEX('Material routes'!$F$6:$F$1005,MATCH(V90,'Material routes'!$A$6:$A$1005,0)),"MISSING ID")</x:f>
        <x:v>T1</x:v>
      </x:c>
      <x:c r="H90" s="4" t="str">
        <x:f>IFERROR(INDEX('Material routes'!$H$6:$H$1005,MATCH(V90,'Material routes'!$A$6:$A$1005,0)),"MISSING ID")</x:f>
        <x:v>Chemical material</x:v>
      </x:c>
      <x:c r="I90" s="4" t="str">
        <x:f>IFERROR(INDEX('Material routes'!$G$6:$G$1005,MATCH(V90,'Material routes'!$A$6:$A$1005,0)),"MISSING ID")</x:f>
        <x:v>Resources</x:v>
      </x:c>
      <x:c r="J90" s="4" t="str">
        <x:f>IFERROR(INDEX('Material routes'!$B$6:$B$1005,MATCH(U90,'Material routes'!$A$6:$A$1005,0)),"MISSING ID")</x:f>
        <x:v>design.branch.branch.etchant</x:v>
      </x:c>
      <x:c r="K90" s="4" t="str">
        <x:f>IFERROR(INDEX('Crafting recipes'!$C$6:$C$1005,MATCH(J90,'Crafting recipes'!$A$6:$A$1005,0)),"MISSING ID")</x:f>
        <x:v>Material refinement</x:v>
      </x:c>
      <x:c r="L90" s="4" t="str">
        <x:f>IFERROR(INDEX('Material routes'!$K$6:$K$1005,MATCH(U90,'Material routes'!$A$6:$A$1005,0)),"MISSING ID")</x:f>
        <x:v>Proposal</x:v>
      </x:c>
      <x:c r="M90" s="4" t="str">
        <x:f>IFERROR(INDEX('Material routes'!$M$6:$M$1005,MATCH(U90,'Material routes'!$A$6:$A$1005,0)),"MISSING ID")</x:f>
        <x:v>Partial proposal</x:v>
      </x:c>
      <x:c r="N90" s="4" t="str">
        <x:f>IF(IFERROR(INDEX('Material routes'!$I$6:$I$1005,MATCH(U90,'Material routes'!$A$6:$A$1005,0)),"MISSING ID")=0,"",IFERROR(INDEX('Material routes'!$I$6:$I$1005,MATCH(U90,'Material routes'!$A$6:$A$1005,0)),"MISSING ID"))</x:f>
      </x:c>
      <x:c r="O90" s="4" t="str">
        <x:f>IFERROR(INDEX('Material routes'!$J$6:$J$1005,MATCH(U90,'Material routes'!$A$6:$A$1005,0)),"MISSING ID")</x:f>
        <x:v>Unspecified</x:v>
      </x:c>
      <x:c r="P90" s="4" t="str">
        <x:f>IF(IFERROR(INDEX('Material routes'!$I$6:$I$1005,MATCH(V90,'Material routes'!$A$6:$A$1005,0)),"MISSING ID")=0,"",IFERROR(INDEX('Material routes'!$I$6:$I$1005,MATCH(V90,'Material routes'!$A$6:$A$1005,0)),"MISSING ID"))</x:f>
      </x:c>
      <x:c r="Q90" s="4" t="str">
        <x:f>IFERROR(INDEX('Material routes'!$J$6:$J$1005,MATCH(V90,'Material routes'!$A$6:$A$1005,0)),"MISSING ID")</x:f>
        <x:v>Unspecified</x:v>
      </x:c>
      <x:c r="R90" s="4" t="str">
        <x:f>IF(L90="Withheld","Withheld premise",IF(E90="Tool candidate","Reusable prerequisite",IF(K90="Raw entry preparation","Entry-resource preparation",IF(G90="Not applicable","Finished endpoint",IF(OR(IFERROR(INDEX('Crafting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routes'!$D$6:$D$1005,MATCH(U90,'Material routes'!$A$6:$A$1005,0)),"MISSING ID")</x:f>
        <x:v>proposal.chemical.digestive_etchant</x:v>
      </x:c>
      <x:c r="T90" s="4" t="str">
        <x:f>IFERROR(INDEX('Material routes'!$D$6:$D$1005,MATCH(V90,'Material routes'!$A$6:$A$1005,0)),"MISSING ID")</x:f>
        <x:v>proposal.branch.etchant</x:v>
      </x:c>
      <x:c r="U90" s="4" t="str">
        <x:v>design.branch.branch.etchant.in.1</x:v>
      </x:c>
      <x:c r="V90" s="4" t="str">
        <x:v>design.branch.branch.etchant.out</x:v>
      </x:c>
    </x:row>
    <x:row r="91" ht="105" customHeight="1">
      <x:c r="A91" s="4" t="str">
        <x:f>IFERROR(INDEX('Material routes'!$E$6:$E$1005,MATCH(U91,'Material routes'!$A$6:$A$1005,0)),"MISSING ID")</x:f>
        <x:v>Smelted iron bloom</x:v>
      </x:c>
      <x:c r="B91" s="4" t="str">
        <x:f>IFERROR(INDEX('Material routes'!$F$6:$F$1005,MATCH(U91,'Material routes'!$A$6:$A$1005,0)),"MISSING ID")</x:f>
        <x:v>T1</x:v>
      </x:c>
      <x:c r="C91" s="4" t="str">
        <x:f>IFERROR(INDEX('Material routes'!$H$6:$H$1005,MATCH(U91,'Material routes'!$A$6:$A$1005,0)),"MISSING ID")</x:f>
        <x:v>Processed material</x:v>
      </x:c>
      <x:c r="D91" s="4" t="str">
        <x:f>IFERROR(INDEX('Material routes'!$G$6:$G$1005,MATCH(U91,'Material routes'!$A$6:$A$1005,0)),"MISSING ID")</x:f>
        <x:v>Resources</x:v>
      </x:c>
      <x:c r="E91" s="4" t="str">
        <x:f>IFERROR(INDEX('Material routes'!$C$6:$C$1005,MATCH(U91,'Material routes'!$A$6:$A$1005,0)),"MISSING ID")</x:f>
        <x:v>Ingredient candidate</x:v>
      </x:c>
      <x:c r="F91" s="4" t="str">
        <x:f>IFERROR(INDEX('Material routes'!$E$6:$E$1005,MATCH(V91,'Material routes'!$A$6:$A$1005,0)),"MISSING ID")</x:f>
        <x:v>Steel stock</x:v>
      </x:c>
      <x:c r="G91" s="4" t="str">
        <x:f>IFERROR(INDEX('Material routes'!$F$6:$F$1005,MATCH(V91,'Material routes'!$A$6:$A$1005,0)),"MISSING ID")</x:f>
        <x:v>T2</x:v>
      </x:c>
      <x:c r="H91" s="4" t="str">
        <x:f>IFERROR(INDEX('Material routes'!$H$6:$H$1005,MATCH(V91,'Material routes'!$A$6:$A$1005,0)),"MISSING ID")</x:f>
        <x:v>Processed material</x:v>
      </x:c>
      <x:c r="I91" s="4" t="str">
        <x:f>IFERROR(INDEX('Material routes'!$G$6:$G$1005,MATCH(V91,'Material routes'!$A$6:$A$1005,0)),"MISSING ID")</x:f>
        <x:v>Resources</x:v>
      </x:c>
      <x:c r="J91" s="4" t="str">
        <x:f>IFERROR(INDEX('Material routes'!$B$6:$B$1005,MATCH(U91,'Material routes'!$A$6:$A$1005,0)),"MISSING ID")</x:f>
        <x:v>design.branch.metallurgy.steel_stock</x:v>
      </x:c>
      <x:c r="K91" s="4" t="str">
        <x:f>IFERROR(INDEX('Crafting recipes'!$C$6:$C$1005,MATCH(J91,'Crafting recipes'!$A$6:$A$1005,0)),"MISSING ID")</x:f>
        <x:v>Material refinement</x:v>
      </x:c>
      <x:c r="L91" s="4" t="str">
        <x:f>IFERROR(INDEX('Material routes'!$K$6:$K$1005,MATCH(U91,'Material routes'!$A$6:$A$1005,0)),"MISSING ID")</x:f>
        <x:v>Proposal</x:v>
      </x:c>
      <x:c r="M91" s="4" t="str">
        <x:f>IFERROR(INDEX('Material routes'!$M$6:$M$1005,MATCH(U91,'Material routes'!$A$6:$A$1005,0)),"MISSING ID")</x:f>
        <x:v>Partial proposal</x:v>
      </x:c>
      <x:c r="N91" s="4" t="str">
        <x:f>IF(IFERROR(INDEX('Material routes'!$I$6:$I$1005,MATCH(U91,'Material routes'!$A$6:$A$1005,0)),"MISSING ID")=0,"",IFERROR(INDEX('Material routes'!$I$6:$I$1005,MATCH(U91,'Material routes'!$A$6:$A$1005,0)),"MISSING ID"))</x:f>
      </x:c>
      <x:c r="O91" s="4" t="str">
        <x:f>IFERROR(INDEX('Material routes'!$J$6:$J$1005,MATCH(U91,'Material routes'!$A$6:$A$1005,0)),"MISSING ID")</x:f>
        <x:v>Unspecified</x:v>
      </x:c>
      <x:c r="P91" s="4" t="str">
        <x:f>IF(IFERROR(INDEX('Material routes'!$I$6:$I$1005,MATCH(V91,'Material routes'!$A$6:$A$1005,0)),"MISSING ID")=0,"",IFERROR(INDEX('Material routes'!$I$6:$I$1005,MATCH(V91,'Material routes'!$A$6:$A$1005,0)),"MISSING ID"))</x:f>
      </x:c>
      <x:c r="Q91" s="4" t="str">
        <x:f>IFERROR(INDEX('Material routes'!$J$6:$J$1005,MATCH(V91,'Material routes'!$A$6:$A$1005,0)),"MISSING ID")</x:f>
        <x:v>Unspecified</x:v>
      </x:c>
      <x:c r="R91" s="4" t="str">
        <x:f>IF(L91="Withheld","Withheld premise",IF(E91="Tool candidate","Reusable prerequisite",IF(K91="Raw entry preparation","Entry-resource preparation",IF(G91="Not applicable","Finished endpoint",IF(OR(IFERROR(INDEX('Crafting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routes'!$D$6:$D$1005,MATCH(U91,'Material routes'!$A$6:$A$1005,0)),"MISSING ID")</x:f>
        <x:v>proposal.t1.iron_bloom</x:v>
      </x:c>
      <x:c r="T91" s="4" t="str">
        <x:f>IFERROR(INDEX('Material routes'!$D$6:$D$1005,MATCH(V91,'Material routes'!$A$6:$A$1005,0)),"MISSING ID")</x:f>
        <x:v>author.metallurgy.steel_stock</x:v>
      </x:c>
      <x:c r="U91" s="4" t="str">
        <x:v>design.branch.metallurgy.steel_stock.in.1</x:v>
      </x:c>
      <x:c r="V91" s="4" t="str">
        <x:v>design.branch.metallurgy.steel_stock.out</x:v>
      </x:c>
    </x:row>
    <x:row r="92" ht="105" customHeight="1">
      <x:c r="A92" s="4" t="str">
        <x:f>IFERROR(INDEX('Material routes'!$E$6:$E$1005,MATCH(U92,'Material routes'!$A$6:$A$1005,0)),"MISSING ID")</x:f>
        <x:v>Graded graphite flakes</x:v>
      </x:c>
      <x:c r="B92" s="4" t="str">
        <x:f>IFERROR(INDEX('Material routes'!$F$6:$F$1005,MATCH(U92,'Material routes'!$A$6:$A$1005,0)),"MISSING ID")</x:f>
        <x:v>T1</x:v>
      </x:c>
      <x:c r="C92" s="4" t="str">
        <x:f>IFERROR(INDEX('Material routes'!$H$6:$H$1005,MATCH(U92,'Material routes'!$A$6:$A$1005,0)),"MISSING ID")</x:f>
        <x:v>Processed material</x:v>
      </x:c>
      <x:c r="D92" s="4" t="str">
        <x:f>IFERROR(INDEX('Material routes'!$G$6:$G$1005,MATCH(U92,'Material routes'!$A$6:$A$1005,0)),"MISSING ID")</x:f>
        <x:v>Resources</x:v>
      </x:c>
      <x:c r="E92" s="4" t="str">
        <x:f>IFERROR(INDEX('Material routes'!$C$6:$C$1005,MATCH(U92,'Material routes'!$A$6:$A$1005,0)),"MISSING ID")</x:f>
        <x:v>Ingredient candidate</x:v>
      </x:c>
      <x:c r="F92" s="4" t="str">
        <x:f>IFERROR(INDEX('Material routes'!$E$6:$E$1005,MATCH(V92,'Material routes'!$A$6:$A$1005,0)),"MISSING ID")</x:f>
        <x:v>Steel stock</x:v>
      </x:c>
      <x:c r="G92" s="4" t="str">
        <x:f>IFERROR(INDEX('Material routes'!$F$6:$F$1005,MATCH(V92,'Material routes'!$A$6:$A$1005,0)),"MISSING ID")</x:f>
        <x:v>T2</x:v>
      </x:c>
      <x:c r="H92" s="4" t="str">
        <x:f>IFERROR(INDEX('Material routes'!$H$6:$H$1005,MATCH(V92,'Material routes'!$A$6:$A$1005,0)),"MISSING ID")</x:f>
        <x:v>Processed material</x:v>
      </x:c>
      <x:c r="I92" s="4" t="str">
        <x:f>IFERROR(INDEX('Material routes'!$G$6:$G$1005,MATCH(V92,'Material routes'!$A$6:$A$1005,0)),"MISSING ID")</x:f>
        <x:v>Resources</x:v>
      </x:c>
      <x:c r="J92" s="4" t="str">
        <x:f>IFERROR(INDEX('Material routes'!$B$6:$B$1005,MATCH(U92,'Material routes'!$A$6:$A$1005,0)),"MISSING ID")</x:f>
        <x:v>design.branch.metallurgy.steel_stock</x:v>
      </x:c>
      <x:c r="K92" s="4" t="str">
        <x:f>IFERROR(INDEX('Crafting recipes'!$C$6:$C$1005,MATCH(J92,'Crafting recipes'!$A$6:$A$1005,0)),"MISSING ID")</x:f>
        <x:v>Material refinement</x:v>
      </x:c>
      <x:c r="L92" s="4" t="str">
        <x:f>IFERROR(INDEX('Material routes'!$K$6:$K$1005,MATCH(U92,'Material routes'!$A$6:$A$1005,0)),"MISSING ID")</x:f>
        <x:v>Proposal</x:v>
      </x:c>
      <x:c r="M92" s="4" t="str">
        <x:f>IFERROR(INDEX('Material routes'!$M$6:$M$1005,MATCH(U92,'Material routes'!$A$6:$A$1005,0)),"MISSING ID")</x:f>
        <x:v>Partial proposal</x:v>
      </x:c>
      <x:c r="N92" s="4" t="str">
        <x:f>IF(IFERROR(INDEX('Material routes'!$I$6:$I$1005,MATCH(U92,'Material routes'!$A$6:$A$1005,0)),"MISSING ID")=0,"",IFERROR(INDEX('Material routes'!$I$6:$I$1005,MATCH(U92,'Material routes'!$A$6:$A$1005,0)),"MISSING ID"))</x:f>
      </x:c>
      <x:c r="O92" s="4" t="str">
        <x:f>IFERROR(INDEX('Material routes'!$J$6:$J$1005,MATCH(U92,'Material routes'!$A$6:$A$1005,0)),"MISSING ID")</x:f>
        <x:v>Unspecified</x:v>
      </x:c>
      <x:c r="P92" s="4" t="str">
        <x:f>IF(IFERROR(INDEX('Material routes'!$I$6:$I$1005,MATCH(V92,'Material routes'!$A$6:$A$1005,0)),"MISSING ID")=0,"",IFERROR(INDEX('Material routes'!$I$6:$I$1005,MATCH(V92,'Material routes'!$A$6:$A$1005,0)),"MISSING ID"))</x:f>
      </x:c>
      <x:c r="Q92" s="4" t="str">
        <x:f>IFERROR(INDEX('Material routes'!$J$6:$J$1005,MATCH(V92,'Material routes'!$A$6:$A$1005,0)),"MISSING ID")</x:f>
        <x:v>Unspecified</x:v>
      </x:c>
      <x:c r="R92" s="4" t="str">
        <x:f>IF(L92="Withheld","Withheld premise",IF(E92="Tool candidate","Reusable prerequisite",IF(K92="Raw entry preparation","Entry-resource preparation",IF(G92="Not applicable","Finished endpoint",IF(OR(IFERROR(INDEX('Crafting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routes'!$D$6:$D$1005,MATCH(U92,'Material routes'!$A$6:$A$1005,0)),"MISSING ID")</x:f>
        <x:v>proposal.natural.carbon</x:v>
      </x:c>
      <x:c r="T92" s="4" t="str">
        <x:f>IFERROR(INDEX('Material routes'!$D$6:$D$1005,MATCH(V92,'Material routes'!$A$6:$A$1005,0)),"MISSING ID")</x:f>
        <x:v>author.metallurgy.steel_stock</x:v>
      </x:c>
      <x:c r="U92" s="4" t="str">
        <x:v>design.branch.metallurgy.steel_stock.in.2</x:v>
      </x:c>
      <x:c r="V92" s="4" t="str">
        <x:v>design.branch.metallurgy.steel_stock.out</x:v>
      </x:c>
    </x:row>
    <x:row r="93" ht="105" customHeight="1">
      <x:c r="A93" s="4" t="str">
        <x:f>IFERROR(INDEX('Material routes'!$E$6:$E$1005,MATCH(U93,'Material routes'!$A$6:$A$1005,0)),"MISSING ID")</x:f>
        <x:v>Prepared metallurgical flux</x:v>
      </x:c>
      <x:c r="B93" s="4" t="str">
        <x:f>IFERROR(INDEX('Material routes'!$F$6:$F$1005,MATCH(U93,'Material routes'!$A$6:$A$1005,0)),"MISSING ID")</x:f>
        <x:v>T1</x:v>
      </x:c>
      <x:c r="C93" s="4" t="str">
        <x:f>IFERROR(INDEX('Material routes'!$H$6:$H$1005,MATCH(U93,'Material routes'!$A$6:$A$1005,0)),"MISSING ID")</x:f>
        <x:v>Processed material</x:v>
      </x:c>
      <x:c r="D93" s="4" t="str">
        <x:f>IFERROR(INDEX('Material routes'!$G$6:$G$1005,MATCH(U93,'Material routes'!$A$6:$A$1005,0)),"MISSING ID")</x:f>
        <x:v>Resources</x:v>
      </x:c>
      <x:c r="E93" s="4" t="str">
        <x:f>IFERROR(INDEX('Material routes'!$C$6:$C$1005,MATCH(U93,'Material routes'!$A$6:$A$1005,0)),"MISSING ID")</x:f>
        <x:v>Ingredient candidate</x:v>
      </x:c>
      <x:c r="F93" s="4" t="str">
        <x:f>IFERROR(INDEX('Material routes'!$E$6:$E$1005,MATCH(V93,'Material routes'!$A$6:$A$1005,0)),"MISSING ID")</x:f>
        <x:v>Steel stock</x:v>
      </x:c>
      <x:c r="G93" s="4" t="str">
        <x:f>IFERROR(INDEX('Material routes'!$F$6:$F$1005,MATCH(V93,'Material routes'!$A$6:$A$1005,0)),"MISSING ID")</x:f>
        <x:v>T2</x:v>
      </x:c>
      <x:c r="H93" s="4" t="str">
        <x:f>IFERROR(INDEX('Material routes'!$H$6:$H$1005,MATCH(V93,'Material routes'!$A$6:$A$1005,0)),"MISSING ID")</x:f>
        <x:v>Processed material</x:v>
      </x:c>
      <x:c r="I93" s="4" t="str">
        <x:f>IFERROR(INDEX('Material routes'!$G$6:$G$1005,MATCH(V93,'Material routes'!$A$6:$A$1005,0)),"MISSING ID")</x:f>
        <x:v>Resources</x:v>
      </x:c>
      <x:c r="J93" s="4" t="str">
        <x:f>IFERROR(INDEX('Material routes'!$B$6:$B$1005,MATCH(U93,'Material routes'!$A$6:$A$1005,0)),"MISSING ID")</x:f>
        <x:v>design.branch.metallurgy.steel_stock</x:v>
      </x:c>
      <x:c r="K93" s="4" t="str">
        <x:f>IFERROR(INDEX('Crafting recipes'!$C$6:$C$1005,MATCH(J93,'Crafting recipes'!$A$6:$A$1005,0)),"MISSING ID")</x:f>
        <x:v>Material refinement</x:v>
      </x:c>
      <x:c r="L93" s="4" t="str">
        <x:f>IFERROR(INDEX('Material routes'!$K$6:$K$1005,MATCH(U93,'Material routes'!$A$6:$A$1005,0)),"MISSING ID")</x:f>
        <x:v>Proposal</x:v>
      </x:c>
      <x:c r="M93" s="4" t="str">
        <x:f>IFERROR(INDEX('Material routes'!$M$6:$M$1005,MATCH(U93,'Material routes'!$A$6:$A$1005,0)),"MISSING ID")</x:f>
        <x:v>Partial proposal</x:v>
      </x:c>
      <x:c r="N93" s="4" t="str">
        <x:f>IF(IFERROR(INDEX('Material routes'!$I$6:$I$1005,MATCH(U93,'Material routes'!$A$6:$A$1005,0)),"MISSING ID")=0,"",IFERROR(INDEX('Material routes'!$I$6:$I$1005,MATCH(U93,'Material routes'!$A$6:$A$1005,0)),"MISSING ID"))</x:f>
      </x:c>
      <x:c r="O93" s="4" t="str">
        <x:f>IFERROR(INDEX('Material routes'!$J$6:$J$1005,MATCH(U93,'Material routes'!$A$6:$A$1005,0)),"MISSING ID")</x:f>
        <x:v>Unspecified</x:v>
      </x:c>
      <x:c r="P93" s="4" t="str">
        <x:f>IF(IFERROR(INDEX('Material routes'!$I$6:$I$1005,MATCH(V93,'Material routes'!$A$6:$A$1005,0)),"MISSING ID")=0,"",IFERROR(INDEX('Material routes'!$I$6:$I$1005,MATCH(V93,'Material routes'!$A$6:$A$1005,0)),"MISSING ID"))</x:f>
      </x:c>
      <x:c r="Q93" s="4" t="str">
        <x:f>IFERROR(INDEX('Material routes'!$J$6:$J$1005,MATCH(V93,'Material routes'!$A$6:$A$1005,0)),"MISSING ID")</x:f>
        <x:v>Unspecified</x:v>
      </x:c>
      <x:c r="R93" s="4" t="str">
        <x:f>IF(L93="Withheld","Withheld premise",IF(E93="Tool candidate","Reusable prerequisite",IF(K93="Raw entry preparation","Entry-resource preparation",IF(G93="Not applicable","Finished endpoint",IF(OR(IFERROR(INDEX('Crafting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routes'!$D$6:$D$1005,MATCH(U93,'Material routes'!$A$6:$A$1005,0)),"MISSING ID")</x:f>
        <x:v>proposal.branch.flux</x:v>
      </x:c>
      <x:c r="T93" s="4" t="str">
        <x:f>IFERROR(INDEX('Material routes'!$D$6:$D$1005,MATCH(V93,'Material routes'!$A$6:$A$1005,0)),"MISSING ID")</x:f>
        <x:v>author.metallurgy.steel_stock</x:v>
      </x:c>
      <x:c r="U93" s="4" t="str">
        <x:v>design.branch.metallurgy.steel_stock.in.3</x:v>
      </x:c>
      <x:c r="V93" s="4" t="str">
        <x:v>design.branch.metallurgy.steel_stock.out</x:v>
      </x:c>
    </x:row>
    <x:row r="94" ht="105" customHeight="1">
      <x:c r="A94" s="4" t="str">
        <x:f>IFERROR(INDEX('Material routes'!$E$6:$E$1005,MATCH(U94,'Material routes'!$A$6:$A$1005,0)),"MISSING ID")</x:f>
        <x:v>Manganese-bearing alloy feed</x:v>
      </x:c>
      <x:c r="B94" s="4" t="str">
        <x:f>IFERROR(INDEX('Material routes'!$F$6:$F$1005,MATCH(U94,'Material routes'!$A$6:$A$1005,0)),"MISSING ID")</x:f>
        <x:v>T1</x:v>
      </x:c>
      <x:c r="C94" s="4" t="str">
        <x:f>IFERROR(INDEX('Material routes'!$H$6:$H$1005,MATCH(U94,'Material routes'!$A$6:$A$1005,0)),"MISSING ID")</x:f>
        <x:v>Processed material</x:v>
      </x:c>
      <x:c r="D94" s="4" t="str">
        <x:f>IFERROR(INDEX('Material routes'!$G$6:$G$1005,MATCH(U94,'Material routes'!$A$6:$A$1005,0)),"MISSING ID")</x:f>
        <x:v>Resources</x:v>
      </x:c>
      <x:c r="E94" s="4" t="str">
        <x:f>IFERROR(INDEX('Material routes'!$C$6:$C$1005,MATCH(U94,'Material routes'!$A$6:$A$1005,0)),"MISSING ID")</x:f>
        <x:v>Ingredient candidate</x:v>
      </x:c>
      <x:c r="F94" s="4" t="str">
        <x:f>IFERROR(INDEX('Material routes'!$E$6:$E$1005,MATCH(V94,'Material routes'!$A$6:$A$1005,0)),"MISSING ID")</x:f>
        <x:v>Prepared manganese alloying stock</x:v>
      </x:c>
      <x:c r="G94" s="4" t="str">
        <x:f>IFERROR(INDEX('Material routes'!$F$6:$F$1005,MATCH(V94,'Material routes'!$A$6:$A$1005,0)),"MISSING ID")</x:f>
        <x:v>T2</x:v>
      </x:c>
      <x:c r="H94" s="4" t="str">
        <x:f>IFERROR(INDEX('Material routes'!$H$6:$H$1005,MATCH(V94,'Material routes'!$A$6:$A$1005,0)),"MISSING ID")</x:f>
        <x:v>Processed material</x:v>
      </x:c>
      <x:c r="I94" s="4" t="str">
        <x:f>IFERROR(INDEX('Material routes'!$G$6:$G$1005,MATCH(V94,'Material routes'!$A$6:$A$1005,0)),"MISSING ID")</x:f>
        <x:v>Resources</x:v>
      </x:c>
      <x:c r="J94" s="4" t="str">
        <x:f>IFERROR(INDEX('Material routes'!$B$6:$B$1005,MATCH(U94,'Material routes'!$A$6:$A$1005,0)),"MISSING ID")</x:f>
        <x:v>design.branch.branch.alloy_addition</x:v>
      </x:c>
      <x:c r="K94" s="4" t="str">
        <x:f>IFERROR(INDEX('Crafting recipes'!$C$6:$C$1005,MATCH(J94,'Crafting recipes'!$A$6:$A$1005,0)),"MISSING ID")</x:f>
        <x:v>Material refinement</x:v>
      </x:c>
      <x:c r="L94" s="4" t="str">
        <x:f>IFERROR(INDEX('Material routes'!$K$6:$K$1005,MATCH(U94,'Material routes'!$A$6:$A$1005,0)),"MISSING ID")</x:f>
        <x:v>Proposal</x:v>
      </x:c>
      <x:c r="M94" s="4" t="str">
        <x:f>IFERROR(INDEX('Material routes'!$M$6:$M$1005,MATCH(U94,'Material routes'!$A$6:$A$1005,0)),"MISSING ID")</x:f>
        <x:v>Partial proposal</x:v>
      </x:c>
      <x:c r="N94" s="4" t="str">
        <x:f>IF(IFERROR(INDEX('Material routes'!$I$6:$I$1005,MATCH(U94,'Material routes'!$A$6:$A$1005,0)),"MISSING ID")=0,"",IFERROR(INDEX('Material routes'!$I$6:$I$1005,MATCH(U94,'Material routes'!$A$6:$A$1005,0)),"MISSING ID"))</x:f>
      </x:c>
      <x:c r="O94" s="4" t="str">
        <x:f>IFERROR(INDEX('Material routes'!$J$6:$J$1005,MATCH(U94,'Material routes'!$A$6:$A$1005,0)),"MISSING ID")</x:f>
        <x:v>Unspecified</x:v>
      </x:c>
      <x:c r="P94" s="4" t="str">
        <x:f>IF(IFERROR(INDEX('Material routes'!$I$6:$I$1005,MATCH(V94,'Material routes'!$A$6:$A$1005,0)),"MISSING ID")=0,"",IFERROR(INDEX('Material routes'!$I$6:$I$1005,MATCH(V94,'Material routes'!$A$6:$A$1005,0)),"MISSING ID"))</x:f>
      </x:c>
      <x:c r="Q94" s="4" t="str">
        <x:f>IFERROR(INDEX('Material routes'!$J$6:$J$1005,MATCH(V94,'Material routes'!$A$6:$A$1005,0)),"MISSING ID")</x:f>
        <x:v>Unspecified</x:v>
      </x:c>
      <x:c r="R94" s="4" t="str">
        <x:f>IF(L94="Withheld","Withheld premise",IF(E94="Tool candidate","Reusable prerequisite",IF(K94="Raw entry preparation","Entry-resource preparation",IF(G94="Not applicable","Finished endpoint",IF(OR(IFERROR(INDEX('Crafting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routes'!$D$6:$D$1005,MATCH(U94,'Material routes'!$A$6:$A$1005,0)),"MISSING ID")</x:f>
        <x:v>proposal.branch.manganese_feed</x:v>
      </x:c>
      <x:c r="T94" s="4" t="str">
        <x:f>IFERROR(INDEX('Material routes'!$D$6:$D$1005,MATCH(V94,'Material routes'!$A$6:$A$1005,0)),"MISSING ID")</x:f>
        <x:v>proposal.branch.alloy_addition</x:v>
      </x:c>
      <x:c r="U94" s="4" t="str">
        <x:v>design.branch.branch.alloy_addition.in.1</x:v>
      </x:c>
      <x:c r="V94" s="4" t="str">
        <x:v>design.branch.branch.alloy_addition.out</x:v>
      </x:c>
    </x:row>
    <x:row r="95" ht="105" customHeight="1">
      <x:c r="A95" s="4" t="str">
        <x:f>IFERROR(INDEX('Material routes'!$E$6:$E$1005,MATCH(U95,'Material routes'!$A$6:$A$1005,0)),"MISSING ID")</x:f>
        <x:v>Graded graphite flakes</x:v>
      </x:c>
      <x:c r="B95" s="4" t="str">
        <x:f>IFERROR(INDEX('Material routes'!$F$6:$F$1005,MATCH(U95,'Material routes'!$A$6:$A$1005,0)),"MISSING ID")</x:f>
        <x:v>T1</x:v>
      </x:c>
      <x:c r="C95" s="4" t="str">
        <x:f>IFERROR(INDEX('Material routes'!$H$6:$H$1005,MATCH(U95,'Material routes'!$A$6:$A$1005,0)),"MISSING ID")</x:f>
        <x:v>Processed material</x:v>
      </x:c>
      <x:c r="D95" s="4" t="str">
        <x:f>IFERROR(INDEX('Material routes'!$G$6:$G$1005,MATCH(U95,'Material routes'!$A$6:$A$1005,0)),"MISSING ID")</x:f>
        <x:v>Resources</x:v>
      </x:c>
      <x:c r="E95" s="4" t="str">
        <x:f>IFERROR(INDEX('Material routes'!$C$6:$C$1005,MATCH(U95,'Material routes'!$A$6:$A$1005,0)),"MISSING ID")</x:f>
        <x:v>Ingredient candidate</x:v>
      </x:c>
      <x:c r="F95" s="4" t="str">
        <x:f>IFERROR(INDEX('Material routes'!$E$6:$E$1005,MATCH(V95,'Material routes'!$A$6:$A$1005,0)),"MISSING ID")</x:f>
        <x:v>Prepared manganese alloying stock</x:v>
      </x:c>
      <x:c r="G95" s="4" t="str">
        <x:f>IFERROR(INDEX('Material routes'!$F$6:$F$1005,MATCH(V95,'Material routes'!$A$6:$A$1005,0)),"MISSING ID")</x:f>
        <x:v>T2</x:v>
      </x:c>
      <x:c r="H95" s="4" t="str">
        <x:f>IFERROR(INDEX('Material routes'!$H$6:$H$1005,MATCH(V95,'Material routes'!$A$6:$A$1005,0)),"MISSING ID")</x:f>
        <x:v>Processed material</x:v>
      </x:c>
      <x:c r="I95" s="4" t="str">
        <x:f>IFERROR(INDEX('Material routes'!$G$6:$G$1005,MATCH(V95,'Material routes'!$A$6:$A$1005,0)),"MISSING ID")</x:f>
        <x:v>Resources</x:v>
      </x:c>
      <x:c r="J95" s="4" t="str">
        <x:f>IFERROR(INDEX('Material routes'!$B$6:$B$1005,MATCH(U95,'Material routes'!$A$6:$A$1005,0)),"MISSING ID")</x:f>
        <x:v>design.branch.branch.alloy_addition</x:v>
      </x:c>
      <x:c r="K95" s="4" t="str">
        <x:f>IFERROR(INDEX('Crafting recipes'!$C$6:$C$1005,MATCH(J95,'Crafting recipes'!$A$6:$A$1005,0)),"MISSING ID")</x:f>
        <x:v>Material refinement</x:v>
      </x:c>
      <x:c r="L95" s="4" t="str">
        <x:f>IFERROR(INDEX('Material routes'!$K$6:$K$1005,MATCH(U95,'Material routes'!$A$6:$A$1005,0)),"MISSING ID")</x:f>
        <x:v>Proposal</x:v>
      </x:c>
      <x:c r="M95" s="4" t="str">
        <x:f>IFERROR(INDEX('Material routes'!$M$6:$M$1005,MATCH(U95,'Material routes'!$A$6:$A$1005,0)),"MISSING ID")</x:f>
        <x:v>Partial proposal</x:v>
      </x:c>
      <x:c r="N95" s="4" t="str">
        <x:f>IF(IFERROR(INDEX('Material routes'!$I$6:$I$1005,MATCH(U95,'Material routes'!$A$6:$A$1005,0)),"MISSING ID")=0,"",IFERROR(INDEX('Material routes'!$I$6:$I$1005,MATCH(U95,'Material routes'!$A$6:$A$1005,0)),"MISSING ID"))</x:f>
      </x:c>
      <x:c r="O95" s="4" t="str">
        <x:f>IFERROR(INDEX('Material routes'!$J$6:$J$1005,MATCH(U95,'Material routes'!$A$6:$A$1005,0)),"MISSING ID")</x:f>
        <x:v>Unspecified</x:v>
      </x:c>
      <x:c r="P95" s="4" t="str">
        <x:f>IF(IFERROR(INDEX('Material routes'!$I$6:$I$1005,MATCH(V95,'Material routes'!$A$6:$A$1005,0)),"MISSING ID")=0,"",IFERROR(INDEX('Material routes'!$I$6:$I$1005,MATCH(V95,'Material routes'!$A$6:$A$1005,0)),"MISSING ID"))</x:f>
      </x:c>
      <x:c r="Q95" s="4" t="str">
        <x:f>IFERROR(INDEX('Material routes'!$J$6:$J$1005,MATCH(V95,'Material routes'!$A$6:$A$1005,0)),"MISSING ID")</x:f>
        <x:v>Unspecified</x:v>
      </x:c>
      <x:c r="R95" s="4" t="str">
        <x:f>IF(L95="Withheld","Withheld premise",IF(E95="Tool candidate","Reusable prerequisite",IF(K95="Raw entry preparation","Entry-resource preparation",IF(G95="Not applicable","Finished endpoint",IF(OR(IFERROR(INDEX('Crafting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routes'!$D$6:$D$1005,MATCH(U95,'Material routes'!$A$6:$A$1005,0)),"MISSING ID")</x:f>
        <x:v>proposal.natural.carbon</x:v>
      </x:c>
      <x:c r="T95" s="4" t="str">
        <x:f>IFERROR(INDEX('Material routes'!$D$6:$D$1005,MATCH(V95,'Material routes'!$A$6:$A$1005,0)),"MISSING ID")</x:f>
        <x:v>proposal.branch.alloy_addition</x:v>
      </x:c>
      <x:c r="U95" s="4" t="str">
        <x:v>design.branch.branch.alloy_addition.in.2</x:v>
      </x:c>
      <x:c r="V95" s="4" t="str">
        <x:v>design.branch.branch.alloy_addition.out</x:v>
      </x:c>
    </x:row>
    <x:row r="96" ht="105" customHeight="1">
      <x:c r="A96" s="4" t="str">
        <x:f>IFERROR(INDEX('Material routes'!$E$6:$E$1005,MATCH(U96,'Material routes'!$A$6:$A$1005,0)),"MISSING ID")</x:f>
        <x:v>Prepared metallurgical flux</x:v>
      </x:c>
      <x:c r="B96" s="4" t="str">
        <x:f>IFERROR(INDEX('Material routes'!$F$6:$F$1005,MATCH(U96,'Material routes'!$A$6:$A$1005,0)),"MISSING ID")</x:f>
        <x:v>T1</x:v>
      </x:c>
      <x:c r="C96" s="4" t="str">
        <x:f>IFERROR(INDEX('Material routes'!$H$6:$H$1005,MATCH(U96,'Material routes'!$A$6:$A$1005,0)),"MISSING ID")</x:f>
        <x:v>Processed material</x:v>
      </x:c>
      <x:c r="D96" s="4" t="str">
        <x:f>IFERROR(INDEX('Material routes'!$G$6:$G$1005,MATCH(U96,'Material routes'!$A$6:$A$1005,0)),"MISSING ID")</x:f>
        <x:v>Resources</x:v>
      </x:c>
      <x:c r="E96" s="4" t="str">
        <x:f>IFERROR(INDEX('Material routes'!$C$6:$C$1005,MATCH(U96,'Material routes'!$A$6:$A$1005,0)),"MISSING ID")</x:f>
        <x:v>Ingredient candidate</x:v>
      </x:c>
      <x:c r="F96" s="4" t="str">
        <x:f>IFERROR(INDEX('Material routes'!$E$6:$E$1005,MATCH(V96,'Material routes'!$A$6:$A$1005,0)),"MISSING ID")</x:f>
        <x:v>Prepared manganese alloying stock</x:v>
      </x:c>
      <x:c r="G96" s="4" t="str">
        <x:f>IFERROR(INDEX('Material routes'!$F$6:$F$1005,MATCH(V96,'Material routes'!$A$6:$A$1005,0)),"MISSING ID")</x:f>
        <x:v>T2</x:v>
      </x:c>
      <x:c r="H96" s="4" t="str">
        <x:f>IFERROR(INDEX('Material routes'!$H$6:$H$1005,MATCH(V96,'Material routes'!$A$6:$A$1005,0)),"MISSING ID")</x:f>
        <x:v>Processed material</x:v>
      </x:c>
      <x:c r="I96" s="4" t="str">
        <x:f>IFERROR(INDEX('Material routes'!$G$6:$G$1005,MATCH(V96,'Material routes'!$A$6:$A$1005,0)),"MISSING ID")</x:f>
        <x:v>Resources</x:v>
      </x:c>
      <x:c r="J96" s="4" t="str">
        <x:f>IFERROR(INDEX('Material routes'!$B$6:$B$1005,MATCH(U96,'Material routes'!$A$6:$A$1005,0)),"MISSING ID")</x:f>
        <x:v>design.branch.branch.alloy_addition</x:v>
      </x:c>
      <x:c r="K96" s="4" t="str">
        <x:f>IFERROR(INDEX('Crafting recipes'!$C$6:$C$1005,MATCH(J96,'Crafting recipes'!$A$6:$A$1005,0)),"MISSING ID")</x:f>
        <x:v>Material refinement</x:v>
      </x:c>
      <x:c r="L96" s="4" t="str">
        <x:f>IFERROR(INDEX('Material routes'!$K$6:$K$1005,MATCH(U96,'Material routes'!$A$6:$A$1005,0)),"MISSING ID")</x:f>
        <x:v>Proposal</x:v>
      </x:c>
      <x:c r="M96" s="4" t="str">
        <x:f>IFERROR(INDEX('Material routes'!$M$6:$M$1005,MATCH(U96,'Material routes'!$A$6:$A$1005,0)),"MISSING ID")</x:f>
        <x:v>Partial proposal</x:v>
      </x:c>
      <x:c r="N96" s="4" t="str">
        <x:f>IF(IFERROR(INDEX('Material routes'!$I$6:$I$1005,MATCH(U96,'Material routes'!$A$6:$A$1005,0)),"MISSING ID")=0,"",IFERROR(INDEX('Material routes'!$I$6:$I$1005,MATCH(U96,'Material routes'!$A$6:$A$1005,0)),"MISSING ID"))</x:f>
      </x:c>
      <x:c r="O96" s="4" t="str">
        <x:f>IFERROR(INDEX('Material routes'!$J$6:$J$1005,MATCH(U96,'Material routes'!$A$6:$A$1005,0)),"MISSING ID")</x:f>
        <x:v>Unspecified</x:v>
      </x:c>
      <x:c r="P96" s="4" t="str">
        <x:f>IF(IFERROR(INDEX('Material routes'!$I$6:$I$1005,MATCH(V96,'Material routes'!$A$6:$A$1005,0)),"MISSING ID")=0,"",IFERROR(INDEX('Material routes'!$I$6:$I$1005,MATCH(V96,'Material routes'!$A$6:$A$1005,0)),"MISSING ID"))</x:f>
      </x:c>
      <x:c r="Q96" s="4" t="str">
        <x:f>IFERROR(INDEX('Material routes'!$J$6:$J$1005,MATCH(V96,'Material routes'!$A$6:$A$1005,0)),"MISSING ID")</x:f>
        <x:v>Unspecified</x:v>
      </x:c>
      <x:c r="R96" s="4" t="str">
        <x:f>IF(L96="Withheld","Withheld premise",IF(E96="Tool candidate","Reusable prerequisite",IF(K96="Raw entry preparation","Entry-resource preparation",IF(G96="Not applicable","Finished endpoint",IF(OR(IFERROR(INDEX('Crafting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routes'!$D$6:$D$1005,MATCH(U96,'Material routes'!$A$6:$A$1005,0)),"MISSING ID")</x:f>
        <x:v>proposal.branch.flux</x:v>
      </x:c>
      <x:c r="T96" s="4" t="str">
        <x:f>IFERROR(INDEX('Material routes'!$D$6:$D$1005,MATCH(V96,'Material routes'!$A$6:$A$1005,0)),"MISSING ID")</x:f>
        <x:v>proposal.branch.alloy_addition</x:v>
      </x:c>
      <x:c r="U96" s="4" t="str">
        <x:v>design.branch.branch.alloy_addition.in.3</x:v>
      </x:c>
      <x:c r="V96" s="4" t="str">
        <x:v>design.branch.branch.alloy_addition.out</x:v>
      </x:c>
    </x:row>
    <x:row r="97" ht="105" customHeight="1">
      <x:c r="A97" s="4" t="str">
        <x:f>IFERROR(INDEX('Material routes'!$E$6:$E$1005,MATCH(U97,'Material routes'!$A$6:$A$1005,0)),"MISSING ID")</x:f>
        <x:v>Refined copper cake</x:v>
      </x:c>
      <x:c r="B97" s="4" t="str">
        <x:f>IFERROR(INDEX('Material routes'!$F$6:$F$1005,MATCH(U97,'Material routes'!$A$6:$A$1005,0)),"MISSING ID")</x:f>
        <x:v>T1</x:v>
      </x:c>
      <x:c r="C97" s="4" t="str">
        <x:f>IFERROR(INDEX('Material routes'!$H$6:$H$1005,MATCH(U97,'Material routes'!$A$6:$A$1005,0)),"MISSING ID")</x:f>
        <x:v>Processed material</x:v>
      </x:c>
      <x:c r="D97" s="4" t="str">
        <x:f>IFERROR(INDEX('Material routes'!$G$6:$G$1005,MATCH(U97,'Material routes'!$A$6:$A$1005,0)),"MISSING ID")</x:f>
        <x:v>Resources</x:v>
      </x:c>
      <x:c r="E97" s="4" t="str">
        <x:f>IFERROR(INDEX('Material routes'!$C$6:$C$1005,MATCH(U97,'Material routes'!$A$6:$A$1005,0)),"MISSING ID")</x:f>
        <x:v>Ingredient candidate</x:v>
      </x:c>
      <x:c r="F97" s="4" t="str">
        <x:f>IFERROR(INDEX('Material routes'!$E$6:$E$1005,MATCH(V97,'Material routes'!$A$6:$A$1005,0)),"MISSING ID")</x:f>
        <x:v>Drawn copper stock</x:v>
      </x:c>
      <x:c r="G97" s="4" t="str">
        <x:f>IFERROR(INDEX('Material routes'!$F$6:$F$1005,MATCH(V97,'Material routes'!$A$6:$A$1005,0)),"MISSING ID")</x:f>
        <x:v>T2</x:v>
      </x:c>
      <x:c r="H97" s="4" t="str">
        <x:f>IFERROR(INDEX('Material routes'!$H$6:$H$1005,MATCH(V97,'Material routes'!$A$6:$A$1005,0)),"MISSING ID")</x:f>
        <x:v>Processed material</x:v>
      </x:c>
      <x:c r="I97" s="4" t="str">
        <x:f>IFERROR(INDEX('Material routes'!$G$6:$G$1005,MATCH(V97,'Material routes'!$A$6:$A$1005,0)),"MISSING ID")</x:f>
        <x:v>Resources</x:v>
      </x:c>
      <x:c r="J97" s="4" t="str">
        <x:f>IFERROR(INDEX('Material routes'!$B$6:$B$1005,MATCH(U97,'Material routes'!$A$6:$A$1005,0)),"MISSING ID")</x:f>
        <x:v>design.branch.branch.drawn_copper</x:v>
      </x:c>
      <x:c r="K97" s="4" t="str">
        <x:f>IFERROR(INDEX('Crafting recipes'!$C$6:$C$1005,MATCH(J97,'Crafting recipes'!$A$6:$A$1005,0)),"MISSING ID")</x:f>
        <x:v>Material refinement</x:v>
      </x:c>
      <x:c r="L97" s="4" t="str">
        <x:f>IFERROR(INDEX('Material routes'!$K$6:$K$1005,MATCH(U97,'Material routes'!$A$6:$A$1005,0)),"MISSING ID")</x:f>
        <x:v>Proposal</x:v>
      </x:c>
      <x:c r="M97" s="4" t="str">
        <x:f>IFERROR(INDEX('Material routes'!$M$6:$M$1005,MATCH(U97,'Material routes'!$A$6:$A$1005,0)),"MISSING ID")</x:f>
        <x:v>Partial proposal</x:v>
      </x:c>
      <x:c r="N97" s="4" t="str">
        <x:f>IF(IFERROR(INDEX('Material routes'!$I$6:$I$1005,MATCH(U97,'Material routes'!$A$6:$A$1005,0)),"MISSING ID")=0,"",IFERROR(INDEX('Material routes'!$I$6:$I$1005,MATCH(U97,'Material routes'!$A$6:$A$1005,0)),"MISSING ID"))</x:f>
      </x:c>
      <x:c r="O97" s="4" t="str">
        <x:f>IFERROR(INDEX('Material routes'!$J$6:$J$1005,MATCH(U97,'Material routes'!$A$6:$A$1005,0)),"MISSING ID")</x:f>
        <x:v>Unspecified</x:v>
      </x:c>
      <x:c r="P97" s="4" t="str">
        <x:f>IF(IFERROR(INDEX('Material routes'!$I$6:$I$1005,MATCH(V97,'Material routes'!$A$6:$A$1005,0)),"MISSING ID")=0,"",IFERROR(INDEX('Material routes'!$I$6:$I$1005,MATCH(V97,'Material routes'!$A$6:$A$1005,0)),"MISSING ID"))</x:f>
      </x:c>
      <x:c r="Q97" s="4" t="str">
        <x:f>IFERROR(INDEX('Material routes'!$J$6:$J$1005,MATCH(V97,'Material routes'!$A$6:$A$1005,0)),"MISSING ID")</x:f>
        <x:v>Unspecified</x:v>
      </x:c>
      <x:c r="R97" s="4" t="str">
        <x:f>IF(L97="Withheld","Withheld premise",IF(E97="Tool candidate","Reusable prerequisite",IF(K97="Raw entry preparation","Entry-resource preparation",IF(G97="Not applicable","Finished endpoint",IF(OR(IFERROR(INDEX('Crafting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routes'!$D$6:$D$1005,MATCH(U97,'Material routes'!$A$6:$A$1005,0)),"MISSING ID")</x:f>
        <x:v>proposal.t1.copper_cake</x:v>
      </x:c>
      <x:c r="T97" s="4" t="str">
        <x:f>IFERROR(INDEX('Material routes'!$D$6:$D$1005,MATCH(V97,'Material routes'!$A$6:$A$1005,0)),"MISSING ID")</x:f>
        <x:v>proposal.branch.drawn_copper</x:v>
      </x:c>
      <x:c r="U97" s="4" t="str">
        <x:v>design.branch.branch.drawn_copper.in.1</x:v>
      </x:c>
      <x:c r="V97" s="4" t="str">
        <x:v>design.branch.branch.drawn_copper.out</x:v>
      </x:c>
    </x:row>
    <x:row r="98" ht="105" customHeight="1">
      <x:c r="A98" s="4" t="str">
        <x:f>IFERROR(INDEX('Material routes'!$E$6:$E$1005,MATCH(U98,'Material routes'!$A$6:$A$1005,0)),"MISSING ID")</x:f>
        <x:v>Reclaimed bronze billet</x:v>
      </x:c>
      <x:c r="B98" s="4" t="str">
        <x:f>IFERROR(INDEX('Material routes'!$F$6:$F$1005,MATCH(U98,'Material routes'!$A$6:$A$1005,0)),"MISSING ID")</x:f>
        <x:v>T1</x:v>
      </x:c>
      <x:c r="C98" s="4" t="str">
        <x:f>IFERROR(INDEX('Material routes'!$H$6:$H$1005,MATCH(U98,'Material routes'!$A$6:$A$1005,0)),"MISSING ID")</x:f>
        <x:v>Processed material</x:v>
      </x:c>
      <x:c r="D98" s="4" t="str">
        <x:f>IFERROR(INDEX('Material routes'!$G$6:$G$1005,MATCH(U98,'Material routes'!$A$6:$A$1005,0)),"MISSING ID")</x:f>
        <x:v>Resources</x:v>
      </x:c>
      <x:c r="E98" s="4" t="str">
        <x:f>IFERROR(INDEX('Material routes'!$C$6:$C$1005,MATCH(U98,'Material routes'!$A$6:$A$1005,0)),"MISSING ID")</x:f>
        <x:v>Ingredient candidate</x:v>
      </x:c>
      <x:c r="F98" s="4" t="str">
        <x:f>IFERROR(INDEX('Material routes'!$E$6:$E$1005,MATCH(V98,'Material routes'!$A$6:$A$1005,0)),"MISSING ID")</x:f>
        <x:v>Prepared bronze bearing stock</x:v>
      </x:c>
      <x:c r="G98" s="4" t="str">
        <x:f>IFERROR(INDEX('Material routes'!$F$6:$F$1005,MATCH(V98,'Material routes'!$A$6:$A$1005,0)),"MISSING ID")</x:f>
        <x:v>T2</x:v>
      </x:c>
      <x:c r="H98" s="4" t="str">
        <x:f>IFERROR(INDEX('Material routes'!$H$6:$H$1005,MATCH(V98,'Material routes'!$A$6:$A$1005,0)),"MISSING ID")</x:f>
        <x:v>Processed material</x:v>
      </x:c>
      <x:c r="I98" s="4" t="str">
        <x:f>IFERROR(INDEX('Material routes'!$G$6:$G$1005,MATCH(V98,'Material routes'!$A$6:$A$1005,0)),"MISSING ID")</x:f>
        <x:v>Resources</x:v>
      </x:c>
      <x:c r="J98" s="4" t="str">
        <x:f>IFERROR(INDEX('Material routes'!$B$6:$B$1005,MATCH(U98,'Material routes'!$A$6:$A$1005,0)),"MISSING ID")</x:f>
        <x:v>design.branch.branch.bearing_bronze</x:v>
      </x:c>
      <x:c r="K98" s="4" t="str">
        <x:f>IFERROR(INDEX('Crafting recipes'!$C$6:$C$1005,MATCH(J98,'Crafting recipes'!$A$6:$A$1005,0)),"MISSING ID")</x:f>
        <x:v>Material refinement</x:v>
      </x:c>
      <x:c r="L98" s="4" t="str">
        <x:f>IFERROR(INDEX('Material routes'!$K$6:$K$1005,MATCH(U98,'Material routes'!$A$6:$A$1005,0)),"MISSING ID")</x:f>
        <x:v>Proposal</x:v>
      </x:c>
      <x:c r="M98" s="4" t="str">
        <x:f>IFERROR(INDEX('Material routes'!$M$6:$M$1005,MATCH(U98,'Material routes'!$A$6:$A$1005,0)),"MISSING ID")</x:f>
        <x:v>Partial proposal</x:v>
      </x:c>
      <x:c r="N98" s="4" t="str">
        <x:f>IF(IFERROR(INDEX('Material routes'!$I$6:$I$1005,MATCH(U98,'Material routes'!$A$6:$A$1005,0)),"MISSING ID")=0,"",IFERROR(INDEX('Material routes'!$I$6:$I$1005,MATCH(U98,'Material routes'!$A$6:$A$1005,0)),"MISSING ID"))</x:f>
      </x:c>
      <x:c r="O98" s="4" t="str">
        <x:f>IFERROR(INDEX('Material routes'!$J$6:$J$1005,MATCH(U98,'Material routes'!$A$6:$A$1005,0)),"MISSING ID")</x:f>
        <x:v>Unspecified</x:v>
      </x:c>
      <x:c r="P98" s="4" t="str">
        <x:f>IF(IFERROR(INDEX('Material routes'!$I$6:$I$1005,MATCH(V98,'Material routes'!$A$6:$A$1005,0)),"MISSING ID")=0,"",IFERROR(INDEX('Material routes'!$I$6:$I$1005,MATCH(V98,'Material routes'!$A$6:$A$1005,0)),"MISSING ID"))</x:f>
      </x:c>
      <x:c r="Q98" s="4" t="str">
        <x:f>IFERROR(INDEX('Material routes'!$J$6:$J$1005,MATCH(V98,'Material routes'!$A$6:$A$1005,0)),"MISSING ID")</x:f>
        <x:v>Unspecified</x:v>
      </x:c>
      <x:c r="R98" s="4" t="str">
        <x:f>IF(L98="Withheld","Withheld premise",IF(E98="Tool candidate","Reusable prerequisite",IF(K98="Raw entry preparation","Entry-resource preparation",IF(G98="Not applicable","Finished endpoint",IF(OR(IFERROR(INDEX('Crafting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routes'!$D$6:$D$1005,MATCH(U98,'Material routes'!$A$6:$A$1005,0)),"MISSING ID")</x:f>
        <x:v>proposal.t1.bronze_billet</x:v>
      </x:c>
      <x:c r="T98" s="4" t="str">
        <x:f>IFERROR(INDEX('Material routes'!$D$6:$D$1005,MATCH(V98,'Material routes'!$A$6:$A$1005,0)),"MISSING ID")</x:f>
        <x:v>proposal.branch.bearing_bronze</x:v>
      </x:c>
      <x:c r="U98" s="4" t="str">
        <x:v>design.branch.branch.bearing_bronze.in.1</x:v>
      </x:c>
      <x:c r="V98" s="4" t="str">
        <x:v>design.branch.branch.bearing_bronze.out</x:v>
      </x:c>
    </x:row>
    <x:row r="99" ht="105" customHeight="1">
      <x:c r="A99" s="4" t="str">
        <x:f>IFERROR(INDEX('Material routes'!$E$6:$E$1005,MATCH(U99,'Material routes'!$A$6:$A$1005,0)),"MISSING ID")</x:f>
        <x:v>Prepared ceramic body feed</x:v>
      </x:c>
      <x:c r="B99" s="4" t="str">
        <x:f>IFERROR(INDEX('Material routes'!$F$6:$F$1005,MATCH(U99,'Material routes'!$A$6:$A$1005,0)),"MISSING ID")</x:f>
        <x:v>T1</x:v>
      </x:c>
      <x:c r="C99" s="4" t="str">
        <x:f>IFERROR(INDEX('Material routes'!$H$6:$H$1005,MATCH(U99,'Material routes'!$A$6:$A$1005,0)),"MISSING ID")</x:f>
        <x:v>Processed material</x:v>
      </x:c>
      <x:c r="D99" s="4" t="str">
        <x:f>IFERROR(INDEX('Material routes'!$G$6:$G$1005,MATCH(U99,'Material routes'!$A$6:$A$1005,0)),"MISSING ID")</x:f>
        <x:v>Resources</x:v>
      </x:c>
      <x:c r="E99" s="4" t="str">
        <x:f>IFERROR(INDEX('Material routes'!$C$6:$C$1005,MATCH(U99,'Material routes'!$A$6:$A$1005,0)),"MISSING ID")</x:f>
        <x:v>Ingredient candidate</x:v>
      </x:c>
      <x:c r="F99" s="4" t="str">
        <x:f>IFERROR(INDEX('Material routes'!$E$6:$E$1005,MATCH(V99,'Material routes'!$A$6:$A$1005,0)),"MISSING ID")</x:f>
        <x:v>Insulating ceramic blanks</x:v>
      </x:c>
      <x:c r="G99" s="4" t="str">
        <x:f>IFERROR(INDEX('Material routes'!$F$6:$F$1005,MATCH(V99,'Material routes'!$A$6:$A$1005,0)),"MISSING ID")</x:f>
        <x:v>T2</x:v>
      </x:c>
      <x:c r="H99" s="4" t="str">
        <x:f>IFERROR(INDEX('Material routes'!$H$6:$H$1005,MATCH(V99,'Material routes'!$A$6:$A$1005,0)),"MISSING ID")</x:f>
        <x:v>Processed material</x:v>
      </x:c>
      <x:c r="I99" s="4" t="str">
        <x:f>IFERROR(INDEX('Material routes'!$G$6:$G$1005,MATCH(V99,'Material routes'!$A$6:$A$1005,0)),"MISSING ID")</x:f>
        <x:v>Resources</x:v>
      </x:c>
      <x:c r="J99" s="4" t="str">
        <x:f>IFERROR(INDEX('Material routes'!$B$6:$B$1005,MATCH(U99,'Material routes'!$A$6:$A$1005,0)),"MISSING ID")</x:f>
        <x:v>design.branch.natural.ceramic</x:v>
      </x:c>
      <x:c r="K99" s="4" t="str">
        <x:f>IFERROR(INDEX('Crafting recipes'!$C$6:$C$1005,MATCH(J99,'Crafting recipes'!$A$6:$A$1005,0)),"MISSING ID")</x:f>
        <x:v>Material refinement</x:v>
      </x:c>
      <x:c r="L99" s="4" t="str">
        <x:f>IFERROR(INDEX('Material routes'!$K$6:$K$1005,MATCH(U99,'Material routes'!$A$6:$A$1005,0)),"MISSING ID")</x:f>
        <x:v>Proposal</x:v>
      </x:c>
      <x:c r="M99" s="4" t="str">
        <x:f>IFERROR(INDEX('Material routes'!$M$6:$M$1005,MATCH(U99,'Material routes'!$A$6:$A$1005,0)),"MISSING ID")</x:f>
        <x:v>Partial proposal</x:v>
      </x:c>
      <x:c r="N99" s="4" t="str">
        <x:f>IF(IFERROR(INDEX('Material routes'!$I$6:$I$1005,MATCH(U99,'Material routes'!$A$6:$A$1005,0)),"MISSING ID")=0,"",IFERROR(INDEX('Material routes'!$I$6:$I$1005,MATCH(U99,'Material routes'!$A$6:$A$1005,0)),"MISSING ID"))</x:f>
      </x:c>
      <x:c r="O99" s="4" t="str">
        <x:f>IFERROR(INDEX('Material routes'!$J$6:$J$1005,MATCH(U99,'Material routes'!$A$6:$A$1005,0)),"MISSING ID")</x:f>
        <x:v>Unspecified</x:v>
      </x:c>
      <x:c r="P99" s="4" t="str">
        <x:f>IF(IFERROR(INDEX('Material routes'!$I$6:$I$1005,MATCH(V99,'Material routes'!$A$6:$A$1005,0)),"MISSING ID")=0,"",IFERROR(INDEX('Material routes'!$I$6:$I$1005,MATCH(V99,'Material routes'!$A$6:$A$1005,0)),"MISSING ID"))</x:f>
      </x:c>
      <x:c r="Q99" s="4" t="str">
        <x:f>IFERROR(INDEX('Material routes'!$J$6:$J$1005,MATCH(V99,'Material routes'!$A$6:$A$1005,0)),"MISSING ID")</x:f>
        <x:v>Unspecified</x:v>
      </x:c>
      <x:c r="R99" s="4" t="str">
        <x:f>IF(L99="Withheld","Withheld premise",IF(E99="Tool candidate","Reusable prerequisite",IF(K99="Raw entry preparation","Entry-resource preparation",IF(G99="Not applicable","Finished endpoint",IF(OR(IFERROR(INDEX('Crafting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routes'!$D$6:$D$1005,MATCH(U99,'Material routes'!$A$6:$A$1005,0)),"MISSING ID")</x:f>
        <x:v>proposal.ceramic.body_feed</x:v>
      </x:c>
      <x:c r="T99" s="4" t="str">
        <x:f>IFERROR(INDEX('Material routes'!$D$6:$D$1005,MATCH(V99,'Material routes'!$A$6:$A$1005,0)),"MISSING ID")</x:f>
        <x:v>proposal.natural.ceramic</x:v>
      </x:c>
      <x:c r="U99" s="4" t="str">
        <x:v>design.branch.natural.ceramic.in.1</x:v>
      </x:c>
      <x:c r="V99" s="4" t="str">
        <x:v>design.branch.natural.ceramic.out</x:v>
      </x:c>
    </x:row>
    <x:row r="100" ht="105" customHeight="1">
      <x:c r="A100" s="4" t="str">
        <x:f>IFERROR(INDEX('Material routes'!$E$6:$E$1005,MATCH(U100,'Material routes'!$A$6:$A$1005,0)),"MISSING ID")</x:f>
        <x:v>Prepared glaze feed</x:v>
      </x:c>
      <x:c r="B100" s="4" t="str">
        <x:f>IFERROR(INDEX('Material routes'!$F$6:$F$1005,MATCH(U100,'Material routes'!$A$6:$A$1005,0)),"MISSING ID")</x:f>
        <x:v>T1</x:v>
      </x:c>
      <x:c r="C100" s="4" t="str">
        <x:f>IFERROR(INDEX('Material routes'!$H$6:$H$1005,MATCH(U100,'Material routes'!$A$6:$A$1005,0)),"MISSING ID")</x:f>
        <x:v>Processed material</x:v>
      </x:c>
      <x:c r="D100" s="4" t="str">
        <x:f>IFERROR(INDEX('Material routes'!$G$6:$G$1005,MATCH(U100,'Material routes'!$A$6:$A$1005,0)),"MISSING ID")</x:f>
        <x:v>Resources</x:v>
      </x:c>
      <x:c r="E100" s="4" t="str">
        <x:f>IFERROR(INDEX('Material routes'!$C$6:$C$1005,MATCH(U100,'Material routes'!$A$6:$A$1005,0)),"MISSING ID")</x:f>
        <x:v>Ingredient candidate</x:v>
      </x:c>
      <x:c r="F100" s="4" t="str">
        <x:f>IFERROR(INDEX('Material routes'!$E$6:$E$1005,MATCH(V100,'Material routes'!$A$6:$A$1005,0)),"MISSING ID")</x:f>
        <x:v>Insulating ceramic blanks</x:v>
      </x:c>
      <x:c r="G100" s="4" t="str">
        <x:f>IFERROR(INDEX('Material routes'!$F$6:$F$1005,MATCH(V100,'Material routes'!$A$6:$A$1005,0)),"MISSING ID")</x:f>
        <x:v>T2</x:v>
      </x:c>
      <x:c r="H100" s="4" t="str">
        <x:f>IFERROR(INDEX('Material routes'!$H$6:$H$1005,MATCH(V100,'Material routes'!$A$6:$A$1005,0)),"MISSING ID")</x:f>
        <x:v>Processed material</x:v>
      </x:c>
      <x:c r="I100" s="4" t="str">
        <x:f>IFERROR(INDEX('Material routes'!$G$6:$G$1005,MATCH(V100,'Material routes'!$A$6:$A$1005,0)),"MISSING ID")</x:f>
        <x:v>Resources</x:v>
      </x:c>
      <x:c r="J100" s="4" t="str">
        <x:f>IFERROR(INDEX('Material routes'!$B$6:$B$1005,MATCH(U100,'Material routes'!$A$6:$A$1005,0)),"MISSING ID")</x:f>
        <x:v>design.branch.natural.ceramic</x:v>
      </x:c>
      <x:c r="K100" s="4" t="str">
        <x:f>IFERROR(INDEX('Crafting recipes'!$C$6:$C$1005,MATCH(J100,'Crafting recipes'!$A$6:$A$1005,0)),"MISSING ID")</x:f>
        <x:v>Material refinement</x:v>
      </x:c>
      <x:c r="L100" s="4" t="str">
        <x:f>IFERROR(INDEX('Material routes'!$K$6:$K$1005,MATCH(U100,'Material routes'!$A$6:$A$1005,0)),"MISSING ID")</x:f>
        <x:v>Proposal</x:v>
      </x:c>
      <x:c r="M100" s="4" t="str">
        <x:f>IFERROR(INDEX('Material routes'!$M$6:$M$1005,MATCH(U100,'Material routes'!$A$6:$A$1005,0)),"MISSING ID")</x:f>
        <x:v>Partial proposal</x:v>
      </x:c>
      <x:c r="N100" s="4" t="str">
        <x:f>IF(IFERROR(INDEX('Material routes'!$I$6:$I$1005,MATCH(U100,'Material routes'!$A$6:$A$1005,0)),"MISSING ID")=0,"",IFERROR(INDEX('Material routes'!$I$6:$I$1005,MATCH(U100,'Material routes'!$A$6:$A$1005,0)),"MISSING ID"))</x:f>
      </x:c>
      <x:c r="O100" s="4" t="str">
        <x:f>IFERROR(INDEX('Material routes'!$J$6:$J$1005,MATCH(U100,'Material routes'!$A$6:$A$1005,0)),"MISSING ID")</x:f>
        <x:v>Unspecified</x:v>
      </x:c>
      <x:c r="P100" s="4" t="str">
        <x:f>IF(IFERROR(INDEX('Material routes'!$I$6:$I$1005,MATCH(V100,'Material routes'!$A$6:$A$1005,0)),"MISSING ID")=0,"",IFERROR(INDEX('Material routes'!$I$6:$I$1005,MATCH(V100,'Material routes'!$A$6:$A$1005,0)),"MISSING ID"))</x:f>
      </x:c>
      <x:c r="Q100" s="4" t="str">
        <x:f>IFERROR(INDEX('Material routes'!$J$6:$J$1005,MATCH(V100,'Material routes'!$A$6:$A$1005,0)),"MISSING ID")</x:f>
        <x:v>Unspecified</x:v>
      </x:c>
      <x:c r="R100" s="4" t="str">
        <x:f>IF(L100="Withheld","Withheld premise",IF(E100="Tool candidate","Reusable prerequisite",IF(K100="Raw entry preparation","Entry-resource preparation",IF(G100="Not applicable","Finished endpoint",IF(OR(IFERROR(INDEX('Crafting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routes'!$D$6:$D$1005,MATCH(U100,'Material routes'!$A$6:$A$1005,0)),"MISSING ID")</x:f>
        <x:v>proposal.ceramic.glaze_feed</x:v>
      </x:c>
      <x:c r="T100" s="4" t="str">
        <x:f>IFERROR(INDEX('Material routes'!$D$6:$D$1005,MATCH(V100,'Material routes'!$A$6:$A$1005,0)),"MISSING ID")</x:f>
        <x:v>proposal.natural.ceramic</x:v>
      </x:c>
      <x:c r="U100" s="4" t="str">
        <x:v>design.branch.natural.ceramic.in.2</x:v>
      </x:c>
      <x:c r="V100" s="4" t="str">
        <x:v>design.branch.natural.ceramic.out</x:v>
      </x:c>
    </x:row>
    <x:row r="101" ht="105" customHeight="1">
      <x:c r="A101" s="4" t="str">
        <x:f>IFERROR(INDEX('Material routes'!$E$6:$E$1005,MATCH(U101,'Material routes'!$A$6:$A$1005,0)),"MISSING ID")</x:f>
        <x:v>Graded refractory mineral feed</x:v>
      </x:c>
      <x:c r="B101" s="4" t="str">
        <x:f>IFERROR(INDEX('Material routes'!$F$6:$F$1005,MATCH(U101,'Material routes'!$A$6:$A$1005,0)),"MISSING ID")</x:f>
        <x:v>T1</x:v>
      </x:c>
      <x:c r="C101" s="4" t="str">
        <x:f>IFERROR(INDEX('Material routes'!$H$6:$H$1005,MATCH(U101,'Material routes'!$A$6:$A$1005,0)),"MISSING ID")</x:f>
        <x:v>Processed material</x:v>
      </x:c>
      <x:c r="D101" s="4" t="str">
        <x:f>IFERROR(INDEX('Material routes'!$G$6:$G$1005,MATCH(U101,'Material routes'!$A$6:$A$1005,0)),"MISSING ID")</x:f>
        <x:v>Resources</x:v>
      </x:c>
      <x:c r="E101" s="4" t="str">
        <x:f>IFERROR(INDEX('Material routes'!$C$6:$C$1005,MATCH(U101,'Material routes'!$A$6:$A$1005,0)),"MISSING ID")</x:f>
        <x:v>Ingredient candidate</x:v>
      </x:c>
      <x:c r="F101" s="4" t="str">
        <x:f>IFERROR(INDEX('Material routes'!$E$6:$E$1005,MATCH(V101,'Material routes'!$A$6:$A$1005,0)),"MISSING ID")</x:f>
        <x:v>Refractory ceramic stock</x:v>
      </x:c>
      <x:c r="G101" s="4" t="str">
        <x:f>IFERROR(INDEX('Material routes'!$F$6:$F$1005,MATCH(V101,'Material routes'!$A$6:$A$1005,0)),"MISSING ID")</x:f>
        <x:v>T2</x:v>
      </x:c>
      <x:c r="H101" s="4" t="str">
        <x:f>IFERROR(INDEX('Material routes'!$H$6:$H$1005,MATCH(V101,'Material routes'!$A$6:$A$1005,0)),"MISSING ID")</x:f>
        <x:v>Processed material</x:v>
      </x:c>
      <x:c r="I101" s="4" t="str">
        <x:f>IFERROR(INDEX('Material routes'!$G$6:$G$1005,MATCH(V101,'Material routes'!$A$6:$A$1005,0)),"MISSING ID")</x:f>
        <x:v>Resources</x:v>
      </x:c>
      <x:c r="J101" s="4" t="str">
        <x:f>IFERROR(INDEX('Material routes'!$B$6:$B$1005,MATCH(U101,'Material routes'!$A$6:$A$1005,0)),"MISSING ID")</x:f>
        <x:v>design.branch.branch.refractory_ceramic</x:v>
      </x:c>
      <x:c r="K101" s="4" t="str">
        <x:f>IFERROR(INDEX('Crafting recipes'!$C$6:$C$1005,MATCH(J101,'Crafting recipes'!$A$6:$A$1005,0)),"MISSING ID")</x:f>
        <x:v>Material refinement</x:v>
      </x:c>
      <x:c r="L101" s="4" t="str">
        <x:f>IFERROR(INDEX('Material routes'!$K$6:$K$1005,MATCH(U101,'Material routes'!$A$6:$A$1005,0)),"MISSING ID")</x:f>
        <x:v>Proposal</x:v>
      </x:c>
      <x:c r="M101" s="4" t="str">
        <x:f>IFERROR(INDEX('Material routes'!$M$6:$M$1005,MATCH(U101,'Material routes'!$A$6:$A$1005,0)),"MISSING ID")</x:f>
        <x:v>Partial proposal</x:v>
      </x:c>
      <x:c r="N101" s="4" t="str">
        <x:f>IF(IFERROR(INDEX('Material routes'!$I$6:$I$1005,MATCH(U101,'Material routes'!$A$6:$A$1005,0)),"MISSING ID")=0,"",IFERROR(INDEX('Material routes'!$I$6:$I$1005,MATCH(U101,'Material routes'!$A$6:$A$1005,0)),"MISSING ID"))</x:f>
      </x:c>
      <x:c r="O101" s="4" t="str">
        <x:f>IFERROR(INDEX('Material routes'!$J$6:$J$1005,MATCH(U101,'Material routes'!$A$6:$A$1005,0)),"MISSING ID")</x:f>
        <x:v>Unspecified</x:v>
      </x:c>
      <x:c r="P101" s="4" t="str">
        <x:f>IF(IFERROR(INDEX('Material routes'!$I$6:$I$1005,MATCH(V101,'Material routes'!$A$6:$A$1005,0)),"MISSING ID")=0,"",IFERROR(INDEX('Material routes'!$I$6:$I$1005,MATCH(V101,'Material routes'!$A$6:$A$1005,0)),"MISSING ID"))</x:f>
      </x:c>
      <x:c r="Q101" s="4" t="str">
        <x:f>IFERROR(INDEX('Material routes'!$J$6:$J$1005,MATCH(V101,'Material routes'!$A$6:$A$1005,0)),"MISSING ID")</x:f>
        <x:v>Unspecified</x:v>
      </x:c>
      <x:c r="R101" s="4" t="str">
        <x:f>IF(L101="Withheld","Withheld premise",IF(E101="Tool candidate","Reusable prerequisite",IF(K101="Raw entry preparation","Entry-resource preparation",IF(G101="Not applicable","Finished endpoint",IF(OR(IFERROR(INDEX('Crafting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routes'!$D$6:$D$1005,MATCH(U101,'Material routes'!$A$6:$A$1005,0)),"MISSING ID")</x:f>
        <x:v>proposal.branch.refractory_feed</x:v>
      </x:c>
      <x:c r="T101" s="4" t="str">
        <x:f>IFERROR(INDEX('Material routes'!$D$6:$D$1005,MATCH(V101,'Material routes'!$A$6:$A$1005,0)),"MISSING ID")</x:f>
        <x:v>proposal.branch.refractory_ceramic</x:v>
      </x:c>
      <x:c r="U101" s="4" t="str">
        <x:v>design.branch.branch.refractory_ceramic.in.1</x:v>
      </x:c>
      <x:c r="V101" s="4" t="str">
        <x:v>design.branch.branch.refractory_ceramic.out</x:v>
      </x:c>
    </x:row>
    <x:row r="102" ht="105" customHeight="1">
      <x:c r="A102" s="4" t="str">
        <x:f>IFERROR(INDEX('Material routes'!$E$6:$E$1005,MATCH(U102,'Material routes'!$A$6:$A$1005,0)),"MISSING ID")</x:f>
        <x:v>Crushed fired ceramic grit</x:v>
      </x:c>
      <x:c r="B102" s="4" t="str">
        <x:f>IFERROR(INDEX('Material routes'!$F$6:$F$1005,MATCH(U102,'Material routes'!$A$6:$A$1005,0)),"MISSING ID")</x:f>
        <x:v>T1</x:v>
      </x:c>
      <x:c r="C102" s="4" t="str">
        <x:f>IFERROR(INDEX('Material routes'!$H$6:$H$1005,MATCH(U102,'Material routes'!$A$6:$A$1005,0)),"MISSING ID")</x:f>
        <x:v>Processed material</x:v>
      </x:c>
      <x:c r="D102" s="4" t="str">
        <x:f>IFERROR(INDEX('Material routes'!$G$6:$G$1005,MATCH(U102,'Material routes'!$A$6:$A$1005,0)),"MISSING ID")</x:f>
        <x:v>Resources</x:v>
      </x:c>
      <x:c r="E102" s="4" t="str">
        <x:f>IFERROR(INDEX('Material routes'!$C$6:$C$1005,MATCH(U102,'Material routes'!$A$6:$A$1005,0)),"MISSING ID")</x:f>
        <x:v>Ingredient candidate</x:v>
      </x:c>
      <x:c r="F102" s="4" t="str">
        <x:f>IFERROR(INDEX('Material routes'!$E$6:$E$1005,MATCH(V102,'Material routes'!$A$6:$A$1005,0)),"MISSING ID")</x:f>
        <x:v>Refractory ceramic stock</x:v>
      </x:c>
      <x:c r="G102" s="4" t="str">
        <x:f>IFERROR(INDEX('Material routes'!$F$6:$F$1005,MATCH(V102,'Material routes'!$A$6:$A$1005,0)),"MISSING ID")</x:f>
        <x:v>T2</x:v>
      </x:c>
      <x:c r="H102" s="4" t="str">
        <x:f>IFERROR(INDEX('Material routes'!$H$6:$H$1005,MATCH(V102,'Material routes'!$A$6:$A$1005,0)),"MISSING ID")</x:f>
        <x:v>Processed material</x:v>
      </x:c>
      <x:c r="I102" s="4" t="str">
        <x:f>IFERROR(INDEX('Material routes'!$G$6:$G$1005,MATCH(V102,'Material routes'!$A$6:$A$1005,0)),"MISSING ID")</x:f>
        <x:v>Resources</x:v>
      </x:c>
      <x:c r="J102" s="4" t="str">
        <x:f>IFERROR(INDEX('Material routes'!$B$6:$B$1005,MATCH(U102,'Material routes'!$A$6:$A$1005,0)),"MISSING ID")</x:f>
        <x:v>design.branch.branch.refractory_ceramic</x:v>
      </x:c>
      <x:c r="K102" s="4" t="str">
        <x:f>IFERROR(INDEX('Crafting recipes'!$C$6:$C$1005,MATCH(J102,'Crafting recipes'!$A$6:$A$1005,0)),"MISSING ID")</x:f>
        <x:v>Material refinement</x:v>
      </x:c>
      <x:c r="L102" s="4" t="str">
        <x:f>IFERROR(INDEX('Material routes'!$K$6:$K$1005,MATCH(U102,'Material routes'!$A$6:$A$1005,0)),"MISSING ID")</x:f>
        <x:v>Proposal</x:v>
      </x:c>
      <x:c r="M102" s="4" t="str">
        <x:f>IFERROR(INDEX('Material routes'!$M$6:$M$1005,MATCH(U102,'Material routes'!$A$6:$A$1005,0)),"MISSING ID")</x:f>
        <x:v>Partial proposal</x:v>
      </x:c>
      <x:c r="N102" s="4" t="str">
        <x:f>IF(IFERROR(INDEX('Material routes'!$I$6:$I$1005,MATCH(U102,'Material routes'!$A$6:$A$1005,0)),"MISSING ID")=0,"",IFERROR(INDEX('Material routes'!$I$6:$I$1005,MATCH(U102,'Material routes'!$A$6:$A$1005,0)),"MISSING ID"))</x:f>
      </x:c>
      <x:c r="O102" s="4" t="str">
        <x:f>IFERROR(INDEX('Material routes'!$J$6:$J$1005,MATCH(U102,'Material routes'!$A$6:$A$1005,0)),"MISSING ID")</x:f>
        <x:v>Unspecified</x:v>
      </x:c>
      <x:c r="P102" s="4" t="str">
        <x:f>IF(IFERROR(INDEX('Material routes'!$I$6:$I$1005,MATCH(V102,'Material routes'!$A$6:$A$1005,0)),"MISSING ID")=0,"",IFERROR(INDEX('Material routes'!$I$6:$I$1005,MATCH(V102,'Material routes'!$A$6:$A$1005,0)),"MISSING ID"))</x:f>
      </x:c>
      <x:c r="Q102" s="4" t="str">
        <x:f>IFERROR(INDEX('Material routes'!$J$6:$J$1005,MATCH(V102,'Material routes'!$A$6:$A$1005,0)),"MISSING ID")</x:f>
        <x:v>Unspecified</x:v>
      </x:c>
      <x:c r="R102" s="4" t="str">
        <x:f>IF(L102="Withheld","Withheld premise",IF(E102="Tool candidate","Reusable prerequisite",IF(K102="Raw entry preparation","Entry-resource preparation",IF(G102="Not applicable","Finished endpoint",IF(OR(IFERROR(INDEX('Crafting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routes'!$D$6:$D$1005,MATCH(U102,'Material routes'!$A$6:$A$1005,0)),"MISSING ID")</x:f>
        <x:v>proposal.ceramic.grog</x:v>
      </x:c>
      <x:c r="T102" s="4" t="str">
        <x:f>IFERROR(INDEX('Material routes'!$D$6:$D$1005,MATCH(V102,'Material routes'!$A$6:$A$1005,0)),"MISSING ID")</x:f>
        <x:v>proposal.branch.refractory_ceramic</x:v>
      </x:c>
      <x:c r="U102" s="4" t="str">
        <x:v>design.branch.branch.refractory_ceramic.in.2</x:v>
      </x:c>
      <x:c r="V102" s="4" t="str">
        <x:v>design.branch.branch.refractory_ceramic.out</x:v>
      </x:c>
    </x:row>
    <x:row r="103" ht="105" customHeight="1">
      <x:c r="A103" s="4" t="str">
        <x:f>IFERROR(INDEX('Material routes'!$E$6:$E$1005,MATCH(U103,'Material routes'!$A$6:$A$1005,0)),"MISSING ID")</x:f>
        <x:v>Calcined mineral binder</x:v>
      </x:c>
      <x:c r="B103" s="4" t="str">
        <x:f>IFERROR(INDEX('Material routes'!$F$6:$F$1005,MATCH(U103,'Material routes'!$A$6:$A$1005,0)),"MISSING ID")</x:f>
        <x:v>T1</x:v>
      </x:c>
      <x:c r="C103" s="4" t="str">
        <x:f>IFERROR(INDEX('Material routes'!$H$6:$H$1005,MATCH(U103,'Material routes'!$A$6:$A$1005,0)),"MISSING ID")</x:f>
        <x:v>Processed material</x:v>
      </x:c>
      <x:c r="D103" s="4" t="str">
        <x:f>IFERROR(INDEX('Material routes'!$G$6:$G$1005,MATCH(U103,'Material routes'!$A$6:$A$1005,0)),"MISSING ID")</x:f>
        <x:v>Resources</x:v>
      </x:c>
      <x:c r="E103" s="4" t="str">
        <x:f>IFERROR(INDEX('Material routes'!$C$6:$C$1005,MATCH(U103,'Material routes'!$A$6:$A$1005,0)),"MISSING ID")</x:f>
        <x:v>Ingredient candidate</x:v>
      </x:c>
      <x:c r="F103" s="4" t="str">
        <x:f>IFERROR(INDEX('Material routes'!$E$6:$E$1005,MATCH(V103,'Material routes'!$A$6:$A$1005,0)),"MISSING ID")</x:f>
        <x:v>Refractory ceramic stock</x:v>
      </x:c>
      <x:c r="G103" s="4" t="str">
        <x:f>IFERROR(INDEX('Material routes'!$F$6:$F$1005,MATCH(V103,'Material routes'!$A$6:$A$1005,0)),"MISSING ID")</x:f>
        <x:v>T2</x:v>
      </x:c>
      <x:c r="H103" s="4" t="str">
        <x:f>IFERROR(INDEX('Material routes'!$H$6:$H$1005,MATCH(V103,'Material routes'!$A$6:$A$1005,0)),"MISSING ID")</x:f>
        <x:v>Processed material</x:v>
      </x:c>
      <x:c r="I103" s="4" t="str">
        <x:f>IFERROR(INDEX('Material routes'!$G$6:$G$1005,MATCH(V103,'Material routes'!$A$6:$A$1005,0)),"MISSING ID")</x:f>
        <x:v>Resources</x:v>
      </x:c>
      <x:c r="J103" s="4" t="str">
        <x:f>IFERROR(INDEX('Material routes'!$B$6:$B$1005,MATCH(U103,'Material routes'!$A$6:$A$1005,0)),"MISSING ID")</x:f>
        <x:v>design.branch.branch.refractory_ceramic</x:v>
      </x:c>
      <x:c r="K103" s="4" t="str">
        <x:f>IFERROR(INDEX('Crafting recipes'!$C$6:$C$1005,MATCH(J103,'Crafting recipes'!$A$6:$A$1005,0)),"MISSING ID")</x:f>
        <x:v>Material refinement</x:v>
      </x:c>
      <x:c r="L103" s="4" t="str">
        <x:f>IFERROR(INDEX('Material routes'!$K$6:$K$1005,MATCH(U103,'Material routes'!$A$6:$A$1005,0)),"MISSING ID")</x:f>
        <x:v>Proposal</x:v>
      </x:c>
      <x:c r="M103" s="4" t="str">
        <x:f>IFERROR(INDEX('Material routes'!$M$6:$M$1005,MATCH(U103,'Material routes'!$A$6:$A$1005,0)),"MISSING ID")</x:f>
        <x:v>Partial proposal</x:v>
      </x:c>
      <x:c r="N103" s="4" t="str">
        <x:f>IF(IFERROR(INDEX('Material routes'!$I$6:$I$1005,MATCH(U103,'Material routes'!$A$6:$A$1005,0)),"MISSING ID")=0,"",IFERROR(INDEX('Material routes'!$I$6:$I$1005,MATCH(U103,'Material routes'!$A$6:$A$1005,0)),"MISSING ID"))</x:f>
      </x:c>
      <x:c r="O103" s="4" t="str">
        <x:f>IFERROR(INDEX('Material routes'!$J$6:$J$1005,MATCH(U103,'Material routes'!$A$6:$A$1005,0)),"MISSING ID")</x:f>
        <x:v>Unspecified</x:v>
      </x:c>
      <x:c r="P103" s="4" t="str">
        <x:f>IF(IFERROR(INDEX('Material routes'!$I$6:$I$1005,MATCH(V103,'Material routes'!$A$6:$A$1005,0)),"MISSING ID")=0,"",IFERROR(INDEX('Material routes'!$I$6:$I$1005,MATCH(V103,'Material routes'!$A$6:$A$1005,0)),"MISSING ID"))</x:f>
      </x:c>
      <x:c r="Q103" s="4" t="str">
        <x:f>IFERROR(INDEX('Material routes'!$J$6:$J$1005,MATCH(V103,'Material routes'!$A$6:$A$1005,0)),"MISSING ID")</x:f>
        <x:v>Unspecified</x:v>
      </x:c>
      <x:c r="R103" s="4" t="str">
        <x:f>IF(L103="Withheld","Withheld premise",IF(E103="Tool candidate","Reusable prerequisite",IF(K103="Raw entry preparation","Entry-resource preparation",IF(G103="Not applicable","Finished endpoint",IF(OR(IFERROR(INDEX('Crafting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routes'!$D$6:$D$1005,MATCH(U103,'Material routes'!$A$6:$A$1005,0)),"MISSING ID")</x:f>
        <x:v>proposal.natural.lime</x:v>
      </x:c>
      <x:c r="T103" s="4" t="str">
        <x:f>IFERROR(INDEX('Material routes'!$D$6:$D$1005,MATCH(V103,'Material routes'!$A$6:$A$1005,0)),"MISSING ID")</x:f>
        <x:v>proposal.branch.refractory_ceramic</x:v>
      </x:c>
      <x:c r="U103" s="4" t="str">
        <x:v>design.branch.branch.refractory_ceramic.in.3</x:v>
      </x:c>
      <x:c r="V103" s="4" t="str">
        <x:v>design.branch.branch.refractory_ceramic.out</x:v>
      </x:c>
    </x:row>
    <x:row r="104" ht="105" customHeight="1">
      <x:c r="A104" s="4" t="str">
        <x:f>IFERROR(INDEX('Material routes'!$E$6:$E$1005,MATCH(U104,'Material routes'!$A$6:$A$1005,0)),"MISSING ID")</x:f>
        <x:v>Opaque mineral-glass stock</x:v>
      </x:c>
      <x:c r="B104" s="4" t="str">
        <x:f>IFERROR(INDEX('Material routes'!$F$6:$F$1005,MATCH(U104,'Material routes'!$A$6:$A$1005,0)),"MISSING ID")</x:f>
        <x:v>T1</x:v>
      </x:c>
      <x:c r="C104" s="4" t="str">
        <x:f>IFERROR(INDEX('Material routes'!$H$6:$H$1005,MATCH(U104,'Material routes'!$A$6:$A$1005,0)),"MISSING ID")</x:f>
        <x:v>Processed material</x:v>
      </x:c>
      <x:c r="D104" s="4" t="str">
        <x:f>IFERROR(INDEX('Material routes'!$G$6:$G$1005,MATCH(U104,'Material routes'!$A$6:$A$1005,0)),"MISSING ID")</x:f>
        <x:v>Resources</x:v>
      </x:c>
      <x:c r="E104" s="4" t="str">
        <x:f>IFERROR(INDEX('Material routes'!$C$6:$C$1005,MATCH(U104,'Material routes'!$A$6:$A$1005,0)),"MISSING ID")</x:f>
        <x:v>Ingredient candidate</x:v>
      </x:c>
      <x:c r="F104" s="4" t="str">
        <x:f>IFERROR(INDEX('Material routes'!$E$6:$E$1005,MATCH(V104,'Material routes'!$A$6:$A$1005,0)),"MISSING ID")</x:f>
        <x:v>Formed opaque glass sheet</x:v>
      </x:c>
      <x:c r="G104" s="4" t="str">
        <x:f>IFERROR(INDEX('Material routes'!$F$6:$F$1005,MATCH(V104,'Material routes'!$A$6:$A$1005,0)),"MISSING ID")</x:f>
        <x:v>T2</x:v>
      </x:c>
      <x:c r="H104" s="4" t="str">
        <x:f>IFERROR(INDEX('Material routes'!$H$6:$H$1005,MATCH(V104,'Material routes'!$A$6:$A$1005,0)),"MISSING ID")</x:f>
        <x:v>Processed material</x:v>
      </x:c>
      <x:c r="I104" s="4" t="str">
        <x:f>IFERROR(INDEX('Material routes'!$G$6:$G$1005,MATCH(V104,'Material routes'!$A$6:$A$1005,0)),"MISSING ID")</x:f>
        <x:v>Resources</x:v>
      </x:c>
      <x:c r="J104" s="4" t="str">
        <x:f>IFERROR(INDEX('Material routes'!$B$6:$B$1005,MATCH(U104,'Material routes'!$A$6:$A$1005,0)),"MISSING ID")</x:f>
        <x:v>design.branch.branch.opaque_sheet</x:v>
      </x:c>
      <x:c r="K104" s="4" t="str">
        <x:f>IFERROR(INDEX('Crafting recipes'!$C$6:$C$1005,MATCH(J104,'Crafting recipes'!$A$6:$A$1005,0)),"MISSING ID")</x:f>
        <x:v>Material refinement</x:v>
      </x:c>
      <x:c r="L104" s="4" t="str">
        <x:f>IFERROR(INDEX('Material routes'!$K$6:$K$1005,MATCH(U104,'Material routes'!$A$6:$A$1005,0)),"MISSING ID")</x:f>
        <x:v>Proposal</x:v>
      </x:c>
      <x:c r="M104" s="4" t="str">
        <x:f>IFERROR(INDEX('Material routes'!$M$6:$M$1005,MATCH(U104,'Material routes'!$A$6:$A$1005,0)),"MISSING ID")</x:f>
        <x:v>Partial proposal</x:v>
      </x:c>
      <x:c r="N104" s="4" t="str">
        <x:f>IF(IFERROR(INDEX('Material routes'!$I$6:$I$1005,MATCH(U104,'Material routes'!$A$6:$A$1005,0)),"MISSING ID")=0,"",IFERROR(INDEX('Material routes'!$I$6:$I$1005,MATCH(U104,'Material routes'!$A$6:$A$1005,0)),"MISSING ID"))</x:f>
      </x:c>
      <x:c r="O104" s="4" t="str">
        <x:f>IFERROR(INDEX('Material routes'!$J$6:$J$1005,MATCH(U104,'Material routes'!$A$6:$A$1005,0)),"MISSING ID")</x:f>
        <x:v>Unspecified</x:v>
      </x:c>
      <x:c r="P104" s="4" t="str">
        <x:f>IF(IFERROR(INDEX('Material routes'!$I$6:$I$1005,MATCH(V104,'Material routes'!$A$6:$A$1005,0)),"MISSING ID")=0,"",IFERROR(INDEX('Material routes'!$I$6:$I$1005,MATCH(V104,'Material routes'!$A$6:$A$1005,0)),"MISSING ID"))</x:f>
      </x:c>
      <x:c r="Q104" s="4" t="str">
        <x:f>IFERROR(INDEX('Material routes'!$J$6:$J$1005,MATCH(V104,'Material routes'!$A$6:$A$1005,0)),"MISSING ID")</x:f>
        <x:v>Unspecified</x:v>
      </x:c>
      <x:c r="R104" s="4" t="str">
        <x:f>IF(L104="Withheld","Withheld premise",IF(E104="Tool candidate","Reusable prerequisite",IF(K104="Raw entry preparation","Entry-resource preparation",IF(G104="Not applicable","Finished endpoint",IF(OR(IFERROR(INDEX('Crafting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routes'!$D$6:$D$1005,MATCH(U104,'Material routes'!$A$6:$A$1005,0)),"MISSING ID")</x:f>
        <x:v>proposal.t1.opaque_glass</x:v>
      </x:c>
      <x:c r="T104" s="4" t="str">
        <x:f>IFERROR(INDEX('Material routes'!$D$6:$D$1005,MATCH(V104,'Material routes'!$A$6:$A$1005,0)),"MISSING ID")</x:f>
        <x:v>proposal.branch.opaque_sheet</x:v>
      </x:c>
      <x:c r="U104" s="4" t="str">
        <x:v>design.branch.branch.opaque_sheet.in.1</x:v>
      </x:c>
      <x:c r="V104" s="4" t="str">
        <x:v>design.branch.branch.opaque_sheet.out</x:v>
      </x:c>
    </x:row>
    <x:row r="105" ht="105" customHeight="1">
      <x:c r="A105" s="4" t="str">
        <x:f>IFERROR(INDEX('Material routes'!$E$6:$E$1005,MATCH(U105,'Material routes'!$A$6:$A$1005,0)),"MISSING ID")</x:f>
        <x:v>Rough clear-glass blank</x:v>
      </x:c>
      <x:c r="B105" s="4" t="str">
        <x:f>IFERROR(INDEX('Material routes'!$F$6:$F$1005,MATCH(U105,'Material routes'!$A$6:$A$1005,0)),"MISSING ID")</x:f>
        <x:v>T1</x:v>
      </x:c>
      <x:c r="C105" s="4" t="str">
        <x:f>IFERROR(INDEX('Material routes'!$H$6:$H$1005,MATCH(U105,'Material routes'!$A$6:$A$1005,0)),"MISSING ID")</x:f>
        <x:v>Processed material</x:v>
      </x:c>
      <x:c r="D105" s="4" t="str">
        <x:f>IFERROR(INDEX('Material routes'!$G$6:$G$1005,MATCH(U105,'Material routes'!$A$6:$A$1005,0)),"MISSING ID")</x:f>
        <x:v>Resources</x:v>
      </x:c>
      <x:c r="E105" s="4" t="str">
        <x:f>IFERROR(INDEX('Material routes'!$C$6:$C$1005,MATCH(U105,'Material routes'!$A$6:$A$1005,0)),"MISSING ID")</x:f>
        <x:v>Ingredient candidate</x:v>
      </x:c>
      <x:c r="F105" s="4" t="str">
        <x:f>IFERROR(INDEX('Material routes'!$E$6:$E$1005,MATCH(V105,'Material routes'!$A$6:$A$1005,0)),"MISSING ID")</x:f>
        <x:v>Selected viewing-glass stock</x:v>
      </x:c>
      <x:c r="G105" s="4" t="str">
        <x:f>IFERROR(INDEX('Material routes'!$F$6:$F$1005,MATCH(V105,'Material routes'!$A$6:$A$1005,0)),"MISSING ID")</x:f>
        <x:v>T2</x:v>
      </x:c>
      <x:c r="H105" s="4" t="str">
        <x:f>IFERROR(INDEX('Material routes'!$H$6:$H$1005,MATCH(V105,'Material routes'!$A$6:$A$1005,0)),"MISSING ID")</x:f>
        <x:v>Processed material</x:v>
      </x:c>
      <x:c r="I105" s="4" t="str">
        <x:f>IFERROR(INDEX('Material routes'!$G$6:$G$1005,MATCH(V105,'Material routes'!$A$6:$A$1005,0)),"MISSING ID")</x:f>
        <x:v>Resources</x:v>
      </x:c>
      <x:c r="J105" s="4" t="str">
        <x:f>IFERROR(INDEX('Material routes'!$B$6:$B$1005,MATCH(U105,'Material routes'!$A$6:$A$1005,0)),"MISSING ID")</x:f>
        <x:v>design.branch.branch.viewing_glass</x:v>
      </x:c>
      <x:c r="K105" s="4" t="str">
        <x:f>IFERROR(INDEX('Crafting recipes'!$C$6:$C$1005,MATCH(J105,'Crafting recipes'!$A$6:$A$1005,0)),"MISSING ID")</x:f>
        <x:v>Material refinement</x:v>
      </x:c>
      <x:c r="L105" s="4" t="str">
        <x:f>IFERROR(INDEX('Material routes'!$K$6:$K$1005,MATCH(U105,'Material routes'!$A$6:$A$1005,0)),"MISSING ID")</x:f>
        <x:v>Proposal</x:v>
      </x:c>
      <x:c r="M105" s="4" t="str">
        <x:f>IFERROR(INDEX('Material routes'!$M$6:$M$1005,MATCH(U105,'Material routes'!$A$6:$A$1005,0)),"MISSING ID")</x:f>
        <x:v>Partial proposal</x:v>
      </x:c>
      <x:c r="N105" s="4" t="str">
        <x:f>IF(IFERROR(INDEX('Material routes'!$I$6:$I$1005,MATCH(U105,'Material routes'!$A$6:$A$1005,0)),"MISSING ID")=0,"",IFERROR(INDEX('Material routes'!$I$6:$I$1005,MATCH(U105,'Material routes'!$A$6:$A$1005,0)),"MISSING ID"))</x:f>
      </x:c>
      <x:c r="O105" s="4" t="str">
        <x:f>IFERROR(INDEX('Material routes'!$J$6:$J$1005,MATCH(U105,'Material routes'!$A$6:$A$1005,0)),"MISSING ID")</x:f>
        <x:v>Unspecified</x:v>
      </x:c>
      <x:c r="P105" s="4" t="str">
        <x:f>IF(IFERROR(INDEX('Material routes'!$I$6:$I$1005,MATCH(V105,'Material routes'!$A$6:$A$1005,0)),"MISSING ID")=0,"",IFERROR(INDEX('Material routes'!$I$6:$I$1005,MATCH(V105,'Material routes'!$A$6:$A$1005,0)),"MISSING ID"))</x:f>
      </x:c>
      <x:c r="Q105" s="4" t="str">
        <x:f>IFERROR(INDEX('Material routes'!$J$6:$J$1005,MATCH(V105,'Material routes'!$A$6:$A$1005,0)),"MISSING ID")</x:f>
        <x:v>Unspecified</x:v>
      </x:c>
      <x:c r="R105" s="4" t="str">
        <x:f>IF(L105="Withheld","Withheld premise",IF(E105="Tool candidate","Reusable prerequisite",IF(K105="Raw entry preparation","Entry-resource preparation",IF(G105="Not applicable","Finished endpoint",IF(OR(IFERROR(INDEX('Crafting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routes'!$D$6:$D$1005,MATCH(U105,'Material routes'!$A$6:$A$1005,0)),"MISSING ID")</x:f>
        <x:v>proposal.t1.clear_glass_blank</x:v>
      </x:c>
      <x:c r="T105" s="4" t="str">
        <x:f>IFERROR(INDEX('Material routes'!$D$6:$D$1005,MATCH(V105,'Material routes'!$A$6:$A$1005,0)),"MISSING ID")</x:f>
        <x:v>proposal.branch.viewing_glass</x:v>
      </x:c>
      <x:c r="U105" s="4" t="str">
        <x:v>design.branch.branch.viewing_glass.in.1</x:v>
      </x:c>
      <x:c r="V105" s="4" t="str">
        <x:v>design.branch.branch.viewing_glass.out</x:v>
      </x:c>
    </x:row>
    <x:row r="106" ht="105" customHeight="1">
      <x:c r="A106" s="4" t="str">
        <x:f>IFERROR(INDEX('Material routes'!$E$6:$E$1005,MATCH(U106,'Material routes'!$A$6:$A$1005,0)),"MISSING ID")</x:f>
        <x:v>Pressed husk-fiber textile material</x:v>
      </x:c>
      <x:c r="B106" s="4" t="str">
        <x:f>IFERROR(INDEX('Material routes'!$F$6:$F$1005,MATCH(U106,'Material routes'!$A$6:$A$1005,0)),"MISSING ID")</x:f>
        <x:v>T1</x:v>
      </x:c>
      <x:c r="C106" s="4" t="str">
        <x:f>IFERROR(INDEX('Material routes'!$H$6:$H$1005,MATCH(U106,'Material routes'!$A$6:$A$1005,0)),"MISSING ID")</x:f>
        <x:v>Processed material</x:v>
      </x:c>
      <x:c r="D106" s="4" t="str">
        <x:f>IFERROR(INDEX('Material routes'!$G$6:$G$1005,MATCH(U106,'Material routes'!$A$6:$A$1005,0)),"MISSING ID")</x:f>
        <x:v>Crafting components</x:v>
      </x:c>
      <x:c r="E106" s="4" t="str">
        <x:f>IFERROR(INDEX('Material routes'!$C$6:$C$1005,MATCH(U106,'Material routes'!$A$6:$A$1005,0)),"MISSING ID")</x:f>
        <x:v>Ingredient candidate</x:v>
      </x:c>
      <x:c r="F106" s="4" t="str">
        <x:f>IFERROR(INDEX('Material routes'!$E$6:$E$1005,MATCH(V106,'Material routes'!$A$6:$A$1005,0)),"MISSING ID")</x:f>
        <x:v>Bonded husk sheet</x:v>
      </x:c>
      <x:c r="G106" s="4" t="str">
        <x:f>IFERROR(INDEX('Material routes'!$F$6:$F$1005,MATCH(V106,'Material routes'!$A$6:$A$1005,0)),"MISSING ID")</x:f>
        <x:v>T2</x:v>
      </x:c>
      <x:c r="H106" s="4" t="str">
        <x:f>IFERROR(INDEX('Material routes'!$H$6:$H$1005,MATCH(V106,'Material routes'!$A$6:$A$1005,0)),"MISSING ID")</x:f>
        <x:v>Processed material</x:v>
      </x:c>
      <x:c r="I106" s="4" t="str">
        <x:f>IFERROR(INDEX('Material routes'!$G$6:$G$1005,MATCH(V106,'Material routes'!$A$6:$A$1005,0)),"MISSING ID")</x:f>
        <x:v>Resources</x:v>
      </x:c>
      <x:c r="J106" s="4" t="str">
        <x:f>IFERROR(INDEX('Material routes'!$B$6:$B$1005,MATCH(U106,'Material routes'!$A$6:$A$1005,0)),"MISSING ID")</x:f>
        <x:v>design.branch.branch.husk_sheet</x:v>
      </x:c>
      <x:c r="K106" s="4" t="str">
        <x:f>IFERROR(INDEX('Crafting recipes'!$C$6:$C$1005,MATCH(J106,'Crafting recipes'!$A$6:$A$1005,0)),"MISSING ID")</x:f>
        <x:v>Material refinement</x:v>
      </x:c>
      <x:c r="L106" s="4" t="str">
        <x:f>IFERROR(INDEX('Material routes'!$K$6:$K$1005,MATCH(U106,'Material routes'!$A$6:$A$1005,0)),"MISSING ID")</x:f>
        <x:v>Proposal</x:v>
      </x:c>
      <x:c r="M106" s="4" t="str">
        <x:f>IFERROR(INDEX('Material routes'!$M$6:$M$1005,MATCH(U106,'Material routes'!$A$6:$A$1005,0)),"MISSING ID")</x:f>
        <x:v>Partial proposal</x:v>
      </x:c>
      <x:c r="N106" s="4" t="str">
        <x:f>IF(IFERROR(INDEX('Material routes'!$I$6:$I$1005,MATCH(U106,'Material routes'!$A$6:$A$1005,0)),"MISSING ID")=0,"",IFERROR(INDEX('Material routes'!$I$6:$I$1005,MATCH(U106,'Material routes'!$A$6:$A$1005,0)),"MISSING ID"))</x:f>
      </x:c>
      <x:c r="O106" s="4" t="str">
        <x:f>IFERROR(INDEX('Material routes'!$J$6:$J$1005,MATCH(U106,'Material routes'!$A$6:$A$1005,0)),"MISSING ID")</x:f>
        <x:v>Unspecified</x:v>
      </x:c>
      <x:c r="P106" s="4" t="str">
        <x:f>IF(IFERROR(INDEX('Material routes'!$I$6:$I$1005,MATCH(V106,'Material routes'!$A$6:$A$1005,0)),"MISSING ID")=0,"",IFERROR(INDEX('Material routes'!$I$6:$I$1005,MATCH(V106,'Material routes'!$A$6:$A$1005,0)),"MISSING ID"))</x:f>
      </x:c>
      <x:c r="Q106" s="4" t="str">
        <x:f>IFERROR(INDEX('Material routes'!$J$6:$J$1005,MATCH(V106,'Material routes'!$A$6:$A$1005,0)),"MISSING ID")</x:f>
        <x:v>Unspecified</x:v>
      </x:c>
      <x:c r="R106" s="4" t="str">
        <x:f>IF(L106="Withheld","Withheld premise",IF(E106="Tool candidate","Reusable prerequisite",IF(K106="Raw entry preparation","Entry-resource preparation",IF(G106="Not applicable","Finished endpoint",IF(OR(IFERROR(INDEX('Crafting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routes'!$D$6:$D$1005,MATCH(U106,'Material routes'!$A$6:$A$1005,0)),"MISSING ID")</x:f>
        <x:v>proposal.bio.pressed_husk</x:v>
      </x:c>
      <x:c r="T106" s="4" t="str">
        <x:f>IFERROR(INDEX('Material routes'!$D$6:$D$1005,MATCH(V106,'Material routes'!$A$6:$A$1005,0)),"MISSING ID")</x:f>
        <x:v>proposal.branch.husk_sheet</x:v>
      </x:c>
      <x:c r="U106" s="4" t="str">
        <x:v>design.branch.branch.husk_sheet.in.1</x:v>
      </x:c>
      <x:c r="V106" s="4" t="str">
        <x:v>design.branch.branch.husk_sheet.out</x:v>
      </x:c>
    </x:row>
    <x:row r="107" ht="105" customHeight="1">
      <x:c r="A107" s="4" t="str">
        <x:f>IFERROR(INDEX('Material routes'!$E$6:$E$1005,MATCH(U107,'Material routes'!$A$6:$A$1005,0)),"MISSING ID")</x:f>
        <x:v>Prepared shell-binding adhesive</x:v>
      </x:c>
      <x:c r="B107" s="4" t="str">
        <x:f>IFERROR(INDEX('Material routes'!$F$6:$F$1005,MATCH(U107,'Material routes'!$A$6:$A$1005,0)),"MISSING ID")</x:f>
        <x:v>T1</x:v>
      </x:c>
      <x:c r="C107" s="4" t="str">
        <x:f>IFERROR(INDEX('Material routes'!$H$6:$H$1005,MATCH(U107,'Material routes'!$A$6:$A$1005,0)),"MISSING ID")</x:f>
        <x:v>Chemical material</x:v>
      </x:c>
      <x:c r="D107" s="4" t="str">
        <x:f>IFERROR(INDEX('Material routes'!$G$6:$G$1005,MATCH(U107,'Material routes'!$A$6:$A$1005,0)),"MISSING ID")</x:f>
        <x:v>Resources</x:v>
      </x:c>
      <x:c r="E107" s="4" t="str">
        <x:f>IFERROR(INDEX('Material routes'!$C$6:$C$1005,MATCH(U107,'Material routes'!$A$6:$A$1005,0)),"MISSING ID")</x:f>
        <x:v>Ingredient candidate</x:v>
      </x:c>
      <x:c r="F107" s="4" t="str">
        <x:f>IFERROR(INDEX('Material routes'!$E$6:$E$1005,MATCH(V107,'Material routes'!$A$6:$A$1005,0)),"MISSING ID")</x:f>
        <x:v>Bonded husk sheet</x:v>
      </x:c>
      <x:c r="G107" s="4" t="str">
        <x:f>IFERROR(INDEX('Material routes'!$F$6:$F$1005,MATCH(V107,'Material routes'!$A$6:$A$1005,0)),"MISSING ID")</x:f>
        <x:v>T2</x:v>
      </x:c>
      <x:c r="H107" s="4" t="str">
        <x:f>IFERROR(INDEX('Material routes'!$H$6:$H$1005,MATCH(V107,'Material routes'!$A$6:$A$1005,0)),"MISSING ID")</x:f>
        <x:v>Processed material</x:v>
      </x:c>
      <x:c r="I107" s="4" t="str">
        <x:f>IFERROR(INDEX('Material routes'!$G$6:$G$1005,MATCH(V107,'Material routes'!$A$6:$A$1005,0)),"MISSING ID")</x:f>
        <x:v>Resources</x:v>
      </x:c>
      <x:c r="J107" s="4" t="str">
        <x:f>IFERROR(INDEX('Material routes'!$B$6:$B$1005,MATCH(U107,'Material routes'!$A$6:$A$1005,0)),"MISSING ID")</x:f>
        <x:v>design.branch.branch.husk_sheet</x:v>
      </x:c>
      <x:c r="K107" s="4" t="str">
        <x:f>IFERROR(INDEX('Crafting recipes'!$C$6:$C$1005,MATCH(J107,'Crafting recipes'!$A$6:$A$1005,0)),"MISSING ID")</x:f>
        <x:v>Material refinement</x:v>
      </x:c>
      <x:c r="L107" s="4" t="str">
        <x:f>IFERROR(INDEX('Material routes'!$K$6:$K$1005,MATCH(U107,'Material routes'!$A$6:$A$1005,0)),"MISSING ID")</x:f>
        <x:v>Proposal</x:v>
      </x:c>
      <x:c r="M107" s="4" t="str">
        <x:f>IFERROR(INDEX('Material routes'!$M$6:$M$1005,MATCH(U107,'Material routes'!$A$6:$A$1005,0)),"MISSING ID")</x:f>
        <x:v>Partial proposal</x:v>
      </x:c>
      <x:c r="N107" s="4" t="str">
        <x:f>IF(IFERROR(INDEX('Material routes'!$I$6:$I$1005,MATCH(U107,'Material routes'!$A$6:$A$1005,0)),"MISSING ID")=0,"",IFERROR(INDEX('Material routes'!$I$6:$I$1005,MATCH(U107,'Material routes'!$A$6:$A$1005,0)),"MISSING ID"))</x:f>
      </x:c>
      <x:c r="O107" s="4" t="str">
        <x:f>IFERROR(INDEX('Material routes'!$J$6:$J$1005,MATCH(U107,'Material routes'!$A$6:$A$1005,0)),"MISSING ID")</x:f>
        <x:v>Unspecified</x:v>
      </x:c>
      <x:c r="P107" s="4" t="str">
        <x:f>IF(IFERROR(INDEX('Material routes'!$I$6:$I$1005,MATCH(V107,'Material routes'!$A$6:$A$1005,0)),"MISSING ID")=0,"",IFERROR(INDEX('Material routes'!$I$6:$I$1005,MATCH(V107,'Material routes'!$A$6:$A$1005,0)),"MISSING ID"))</x:f>
      </x:c>
      <x:c r="Q107" s="4" t="str">
        <x:f>IFERROR(INDEX('Material routes'!$J$6:$J$1005,MATCH(V107,'Material routes'!$A$6:$A$1005,0)),"MISSING ID")</x:f>
        <x:v>Unspecified</x:v>
      </x:c>
      <x:c r="R107" s="4" t="str">
        <x:f>IF(L107="Withheld","Withheld premise",IF(E107="Tool candidate","Reusable prerequisite",IF(K107="Raw entry preparation","Entry-resource preparation",IF(G107="Not applicable","Finished endpoint",IF(OR(IFERROR(INDEX('Crafting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routes'!$D$6:$D$1005,MATCH(U107,'Material routes'!$A$6:$A$1005,0)),"MISSING ID")</x:f>
        <x:v>proposal.t1.shell_adhesive</x:v>
      </x:c>
      <x:c r="T107" s="4" t="str">
        <x:f>IFERROR(INDEX('Material routes'!$D$6:$D$1005,MATCH(V107,'Material routes'!$A$6:$A$1005,0)),"MISSING ID")</x:f>
        <x:v>proposal.branch.husk_sheet</x:v>
      </x:c>
      <x:c r="U107" s="4" t="str">
        <x:v>design.branch.branch.husk_sheet.in.2</x:v>
      </x:c>
      <x:c r="V107" s="4" t="str">
        <x:v>design.branch.branch.husk_sheet.out</x:v>
      </x:c>
    </x:row>
    <x:row r="108" ht="105" customHeight="1">
      <x:c r="A108" s="4" t="str">
        <x:f>IFERROR(INDEX('Material routes'!$E$6:$E$1005,MATCH(U108,'Material routes'!$A$6:$A$1005,0)),"MISSING ID")</x:f>
        <x:v>Prepared insect-wing sail panel</x:v>
      </x:c>
      <x:c r="B108" s="4" t="str">
        <x:f>IFERROR(INDEX('Material routes'!$F$6:$F$1005,MATCH(U108,'Material routes'!$A$6:$A$1005,0)),"MISSING ID")</x:f>
        <x:v>T1</x:v>
      </x:c>
      <x:c r="C108" s="4" t="str">
        <x:f>IFERROR(INDEX('Material routes'!$H$6:$H$1005,MATCH(U108,'Material routes'!$A$6:$A$1005,0)),"MISSING ID")</x:f>
        <x:v>Crafting component</x:v>
      </x:c>
      <x:c r="D108" s="4" t="str">
        <x:f>IFERROR(INDEX('Material routes'!$G$6:$G$1005,MATCH(U108,'Material routes'!$A$6:$A$1005,0)),"MISSING ID")</x:f>
        <x:v>Crafting components</x:v>
      </x:c>
      <x:c r="E108" s="4" t="str">
        <x:f>IFERROR(INDEX('Material routes'!$C$6:$C$1005,MATCH(U108,'Material routes'!$A$6:$A$1005,0)),"MISSING ID")</x:f>
        <x:v>Ingredient candidate</x:v>
      </x:c>
      <x:c r="F108" s="4" t="str">
        <x:f>IFERROR(INDEX('Material routes'!$E$6:$E$1005,MATCH(V108,'Material routes'!$A$6:$A$1005,0)),"MISSING ID")</x:f>
        <x:v>Reinforced wing membrane</x:v>
      </x:c>
      <x:c r="G108" s="4" t="str">
        <x:f>IFERROR(INDEX('Material routes'!$F$6:$F$1005,MATCH(V108,'Material routes'!$A$6:$A$1005,0)),"MISSING ID")</x:f>
        <x:v>T2</x:v>
      </x:c>
      <x:c r="H108" s="4" t="str">
        <x:f>IFERROR(INDEX('Material routes'!$H$6:$H$1005,MATCH(V108,'Material routes'!$A$6:$A$1005,0)),"MISSING ID")</x:f>
        <x:v>Processed material</x:v>
      </x:c>
      <x:c r="I108" s="4" t="str">
        <x:f>IFERROR(INDEX('Material routes'!$G$6:$G$1005,MATCH(V108,'Material routes'!$A$6:$A$1005,0)),"MISSING ID")</x:f>
        <x:v>Resources</x:v>
      </x:c>
      <x:c r="J108" s="4" t="str">
        <x:f>IFERROR(INDEX('Material routes'!$B$6:$B$1005,MATCH(U108,'Material routes'!$A$6:$A$1005,0)),"MISSING ID")</x:f>
        <x:v>design.branch.branch.wing_membrane</x:v>
      </x:c>
      <x:c r="K108" s="4" t="str">
        <x:f>IFERROR(INDEX('Crafting recipes'!$C$6:$C$1005,MATCH(J108,'Crafting recipes'!$A$6:$A$1005,0)),"MISSING ID")</x:f>
        <x:v>Material refinement</x:v>
      </x:c>
      <x:c r="L108" s="4" t="str">
        <x:f>IFERROR(INDEX('Material routes'!$K$6:$K$1005,MATCH(U108,'Material routes'!$A$6:$A$1005,0)),"MISSING ID")</x:f>
        <x:v>Proposal</x:v>
      </x:c>
      <x:c r="M108" s="4" t="str">
        <x:f>IFERROR(INDEX('Material routes'!$M$6:$M$1005,MATCH(U108,'Material routes'!$A$6:$A$1005,0)),"MISSING ID")</x:f>
        <x:v>Partial proposal</x:v>
      </x:c>
      <x:c r="N108" s="4" t="str">
        <x:f>IF(IFERROR(INDEX('Material routes'!$I$6:$I$1005,MATCH(U108,'Material routes'!$A$6:$A$1005,0)),"MISSING ID")=0,"",IFERROR(INDEX('Material routes'!$I$6:$I$1005,MATCH(U108,'Material routes'!$A$6:$A$1005,0)),"MISSING ID"))</x:f>
      </x:c>
      <x:c r="O108" s="4" t="str">
        <x:f>IFERROR(INDEX('Material routes'!$J$6:$J$1005,MATCH(U108,'Material routes'!$A$6:$A$1005,0)),"MISSING ID")</x:f>
        <x:v>Unspecified</x:v>
      </x:c>
      <x:c r="P108" s="4" t="str">
        <x:f>IF(IFERROR(INDEX('Material routes'!$I$6:$I$1005,MATCH(V108,'Material routes'!$A$6:$A$1005,0)),"MISSING ID")=0,"",IFERROR(INDEX('Material routes'!$I$6:$I$1005,MATCH(V108,'Material routes'!$A$6:$A$1005,0)),"MISSING ID"))</x:f>
      </x:c>
      <x:c r="Q108" s="4" t="str">
        <x:f>IFERROR(INDEX('Material routes'!$J$6:$J$1005,MATCH(V108,'Material routes'!$A$6:$A$1005,0)),"MISSING ID")</x:f>
        <x:v>Unspecified</x:v>
      </x:c>
      <x:c r="R108" s="4" t="str">
        <x:f>IF(L108="Withheld","Withheld premise",IF(E108="Tool candidate","Reusable prerequisite",IF(K108="Raw entry preparation","Entry-resource preparation",IF(G108="Not applicable","Finished endpoint",IF(OR(IFERROR(INDEX('Crafting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routes'!$D$6:$D$1005,MATCH(U108,'Material routes'!$A$6:$A$1005,0)),"MISSING ID")</x:f>
        <x:v>proposal.wind.sail_panel</x:v>
      </x:c>
      <x:c r="T108" s="4" t="str">
        <x:f>IFERROR(INDEX('Material routes'!$D$6:$D$1005,MATCH(V108,'Material routes'!$A$6:$A$1005,0)),"MISSING ID")</x:f>
        <x:v>proposal.branch.wing_membrane</x:v>
      </x:c>
      <x:c r="U108" s="4" t="str">
        <x:v>design.branch.branch.wing_membrane.in.1</x:v>
      </x:c>
      <x:c r="V108" s="4" t="str">
        <x:v>design.branch.branch.wing_membrane.out</x:v>
      </x:c>
    </x:row>
    <x:row r="109" ht="105" customHeight="1">
      <x:c r="A109" s="4" t="str">
        <x:f>IFERROR(INDEX('Material routes'!$E$6:$E$1005,MATCH(U109,'Material routes'!$A$6:$A$1005,0)),"MISSING ID")</x:f>
        <x:v>Tendon cord</x:v>
      </x:c>
      <x:c r="B109" s="4" t="str">
        <x:f>IFERROR(INDEX('Material routes'!$F$6:$F$1005,MATCH(U109,'Material routes'!$A$6:$A$1005,0)),"MISSING ID")</x:f>
        <x:v>T1</x:v>
      </x:c>
      <x:c r="C109" s="4" t="str">
        <x:f>IFERROR(INDEX('Material routes'!$H$6:$H$1005,MATCH(U109,'Material routes'!$A$6:$A$1005,0)),"MISSING ID")</x:f>
        <x:v>Crafting component</x:v>
      </x:c>
      <x:c r="D109" s="4" t="str">
        <x:f>IFERROR(INDEX('Material routes'!$G$6:$G$1005,MATCH(U109,'Material routes'!$A$6:$A$1005,0)),"MISSING ID")</x:f>
        <x:v>Crafting components</x:v>
      </x:c>
      <x:c r="E109" s="4" t="str">
        <x:f>IFERROR(INDEX('Material routes'!$C$6:$C$1005,MATCH(U109,'Material routes'!$A$6:$A$1005,0)),"MISSING ID")</x:f>
        <x:v>Ingredient candidate</x:v>
      </x:c>
      <x:c r="F109" s="4" t="str">
        <x:f>IFERROR(INDEX('Material routes'!$E$6:$E$1005,MATCH(V109,'Material routes'!$A$6:$A$1005,0)),"MISSING ID")</x:f>
        <x:v>Reinforced wing membrane</x:v>
      </x:c>
      <x:c r="G109" s="4" t="str">
        <x:f>IFERROR(INDEX('Material routes'!$F$6:$F$1005,MATCH(V109,'Material routes'!$A$6:$A$1005,0)),"MISSING ID")</x:f>
        <x:v>T2</x:v>
      </x:c>
      <x:c r="H109" s="4" t="str">
        <x:f>IFERROR(INDEX('Material routes'!$H$6:$H$1005,MATCH(V109,'Material routes'!$A$6:$A$1005,0)),"MISSING ID")</x:f>
        <x:v>Processed material</x:v>
      </x:c>
      <x:c r="I109" s="4" t="str">
        <x:f>IFERROR(INDEX('Material routes'!$G$6:$G$1005,MATCH(V109,'Material routes'!$A$6:$A$1005,0)),"MISSING ID")</x:f>
        <x:v>Resources</x:v>
      </x:c>
      <x:c r="J109" s="4" t="str">
        <x:f>IFERROR(INDEX('Material routes'!$B$6:$B$1005,MATCH(U109,'Material routes'!$A$6:$A$1005,0)),"MISSING ID")</x:f>
        <x:v>design.branch.branch.wing_membrane</x:v>
      </x:c>
      <x:c r="K109" s="4" t="str">
        <x:f>IFERROR(INDEX('Crafting recipes'!$C$6:$C$1005,MATCH(J109,'Crafting recipes'!$A$6:$A$1005,0)),"MISSING ID")</x:f>
        <x:v>Material refinement</x:v>
      </x:c>
      <x:c r="L109" s="4" t="str">
        <x:f>IFERROR(INDEX('Material routes'!$K$6:$K$1005,MATCH(U109,'Material routes'!$A$6:$A$1005,0)),"MISSING ID")</x:f>
        <x:v>Proposal</x:v>
      </x:c>
      <x:c r="M109" s="4" t="str">
        <x:f>IFERROR(INDEX('Material routes'!$M$6:$M$1005,MATCH(U109,'Material routes'!$A$6:$A$1005,0)),"MISSING ID")</x:f>
        <x:v>Partial proposal</x:v>
      </x:c>
      <x:c r="N109" s="4" t="str">
        <x:f>IF(IFERROR(INDEX('Material routes'!$I$6:$I$1005,MATCH(U109,'Material routes'!$A$6:$A$1005,0)),"MISSING ID")=0,"",IFERROR(INDEX('Material routes'!$I$6:$I$1005,MATCH(U109,'Material routes'!$A$6:$A$1005,0)),"MISSING ID"))</x:f>
      </x:c>
      <x:c r="O109" s="4" t="str">
        <x:f>IFERROR(INDEX('Material routes'!$J$6:$J$1005,MATCH(U109,'Material routes'!$A$6:$A$1005,0)),"MISSING ID")</x:f>
        <x:v>Unspecified</x:v>
      </x:c>
      <x:c r="P109" s="4" t="str">
        <x:f>IF(IFERROR(INDEX('Material routes'!$I$6:$I$1005,MATCH(V109,'Material routes'!$A$6:$A$1005,0)),"MISSING ID")=0,"",IFERROR(INDEX('Material routes'!$I$6:$I$1005,MATCH(V109,'Material routes'!$A$6:$A$1005,0)),"MISSING ID"))</x:f>
      </x:c>
      <x:c r="Q109" s="4" t="str">
        <x:f>IFERROR(INDEX('Material routes'!$J$6:$J$1005,MATCH(V109,'Material routes'!$A$6:$A$1005,0)),"MISSING ID")</x:f>
        <x:v>Unspecified</x:v>
      </x:c>
      <x:c r="R109" s="4" t="str">
        <x:f>IF(L109="Withheld","Withheld premise",IF(E109="Tool candidate","Reusable prerequisite",IF(K109="Raw entry preparation","Entry-resource preparation",IF(G109="Not applicable","Finished endpoint",IF(OR(IFERROR(INDEX('Crafting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routes'!$D$6:$D$1005,MATCH(U109,'Material routes'!$A$6:$A$1005,0)),"MISSING ID")</x:f>
        <x:v>proposal.bio.cord</x:v>
      </x:c>
      <x:c r="T109" s="4" t="str">
        <x:f>IFERROR(INDEX('Material routes'!$D$6:$D$1005,MATCH(V109,'Material routes'!$A$6:$A$1005,0)),"MISSING ID")</x:f>
        <x:v>proposal.branch.wing_membrane</x:v>
      </x:c>
      <x:c r="U109" s="4" t="str">
        <x:v>design.branch.branch.wing_membrane.in.2</x:v>
      </x:c>
      <x:c r="V109" s="4" t="str">
        <x:v>design.branch.branch.wing_membrane.out</x:v>
      </x:c>
    </x:row>
    <x:row r="110" ht="105" customHeight="1">
      <x:c r="A110" s="4" t="str">
        <x:f>IFERROR(INDEX('Material routes'!$E$6:$E$1005,MATCH(U110,'Material routes'!$A$6:$A$1005,0)),"MISSING ID")</x:f>
        <x:v>Prepared flexible faunal binder</x:v>
      </x:c>
      <x:c r="B110" s="4" t="str">
        <x:f>IFERROR(INDEX('Material routes'!$F$6:$F$1005,MATCH(U110,'Material routes'!$A$6:$A$1005,0)),"MISSING ID")</x:f>
        <x:v>T1</x:v>
      </x:c>
      <x:c r="C110" s="4" t="str">
        <x:f>IFERROR(INDEX('Material routes'!$H$6:$H$1005,MATCH(U110,'Material routes'!$A$6:$A$1005,0)),"MISSING ID")</x:f>
        <x:v>Chemical material</x:v>
      </x:c>
      <x:c r="D110" s="4" t="str">
        <x:f>IFERROR(INDEX('Material routes'!$G$6:$G$1005,MATCH(U110,'Material routes'!$A$6:$A$1005,0)),"MISSING ID")</x:f>
        <x:v>Resources</x:v>
      </x:c>
      <x:c r="E110" s="4" t="str">
        <x:f>IFERROR(INDEX('Material routes'!$C$6:$C$1005,MATCH(U110,'Material routes'!$A$6:$A$1005,0)),"MISSING ID")</x:f>
        <x:v>Ingredient candidate</x:v>
      </x:c>
      <x:c r="F110" s="4" t="str">
        <x:f>IFERROR(INDEX('Material routes'!$E$6:$E$1005,MATCH(V110,'Material routes'!$A$6:$A$1005,0)),"MISSING ID")</x:f>
        <x:v>Reinforced wing membrane</x:v>
      </x:c>
      <x:c r="G110" s="4" t="str">
        <x:f>IFERROR(INDEX('Material routes'!$F$6:$F$1005,MATCH(V110,'Material routes'!$A$6:$A$1005,0)),"MISSING ID")</x:f>
        <x:v>T2</x:v>
      </x:c>
      <x:c r="H110" s="4" t="str">
        <x:f>IFERROR(INDEX('Material routes'!$H$6:$H$1005,MATCH(V110,'Material routes'!$A$6:$A$1005,0)),"MISSING ID")</x:f>
        <x:v>Processed material</x:v>
      </x:c>
      <x:c r="I110" s="4" t="str">
        <x:f>IFERROR(INDEX('Material routes'!$G$6:$G$1005,MATCH(V110,'Material routes'!$A$6:$A$1005,0)),"MISSING ID")</x:f>
        <x:v>Resources</x:v>
      </x:c>
      <x:c r="J110" s="4" t="str">
        <x:f>IFERROR(INDEX('Material routes'!$B$6:$B$1005,MATCH(U110,'Material routes'!$A$6:$A$1005,0)),"MISSING ID")</x:f>
        <x:v>design.branch.branch.wing_membrane</x:v>
      </x:c>
      <x:c r="K110" s="4" t="str">
        <x:f>IFERROR(INDEX('Crafting recipes'!$C$6:$C$1005,MATCH(J110,'Crafting recipes'!$A$6:$A$1005,0)),"MISSING ID")</x:f>
        <x:v>Material refinement</x:v>
      </x:c>
      <x:c r="L110" s="4" t="str">
        <x:f>IFERROR(INDEX('Material routes'!$K$6:$K$1005,MATCH(U110,'Material routes'!$A$6:$A$1005,0)),"MISSING ID")</x:f>
        <x:v>Proposal</x:v>
      </x:c>
      <x:c r="M110" s="4" t="str">
        <x:f>IFERROR(INDEX('Material routes'!$M$6:$M$1005,MATCH(U110,'Material routes'!$A$6:$A$1005,0)),"MISSING ID")</x:f>
        <x:v>Partial proposal</x:v>
      </x:c>
      <x:c r="N110" s="4" t="str">
        <x:f>IF(IFERROR(INDEX('Material routes'!$I$6:$I$1005,MATCH(U110,'Material routes'!$A$6:$A$1005,0)),"MISSING ID")=0,"",IFERROR(INDEX('Material routes'!$I$6:$I$1005,MATCH(U110,'Material routes'!$A$6:$A$1005,0)),"MISSING ID"))</x:f>
      </x:c>
      <x:c r="O110" s="4" t="str">
        <x:f>IFERROR(INDEX('Material routes'!$J$6:$J$1005,MATCH(U110,'Material routes'!$A$6:$A$1005,0)),"MISSING ID")</x:f>
        <x:v>Unspecified</x:v>
      </x:c>
      <x:c r="P110" s="4" t="str">
        <x:f>IF(IFERROR(INDEX('Material routes'!$I$6:$I$1005,MATCH(V110,'Material routes'!$A$6:$A$1005,0)),"MISSING ID")=0,"",IFERROR(INDEX('Material routes'!$I$6:$I$1005,MATCH(V110,'Material routes'!$A$6:$A$1005,0)),"MISSING ID"))</x:f>
      </x:c>
      <x:c r="Q110" s="4" t="str">
        <x:f>IFERROR(INDEX('Material routes'!$J$6:$J$1005,MATCH(V110,'Material routes'!$A$6:$A$1005,0)),"MISSING ID")</x:f>
        <x:v>Unspecified</x:v>
      </x:c>
      <x:c r="R110" s="4" t="str">
        <x:f>IF(L110="Withheld","Withheld premise",IF(E110="Tool candidate","Reusable prerequisite",IF(K110="Raw entry preparation","Entry-resource preparation",IF(G110="Not applicable","Finished endpoint",IF(OR(IFERROR(INDEX('Crafting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routes'!$D$6:$D$1005,MATCH(U110,'Material routes'!$A$6:$A$1005,0)),"MISSING ID")</x:f>
        <x:v>proposal.branch.flex_binder</x:v>
      </x:c>
      <x:c r="T110" s="4" t="str">
        <x:f>IFERROR(INDEX('Material routes'!$D$6:$D$1005,MATCH(V110,'Material routes'!$A$6:$A$1005,0)),"MISSING ID")</x:f>
        <x:v>proposal.branch.wing_membrane</x:v>
      </x:c>
      <x:c r="U110" s="4" t="str">
        <x:v>design.branch.branch.wing_membrane.in.3</x:v>
      </x:c>
      <x:c r="V110" s="4" t="str">
        <x:v>design.branch.branch.wing_membrane.out</x:v>
      </x:c>
    </x:row>
    <x:row r="111" ht="105" customHeight="1">
      <x:c r="A111" s="4" t="str">
        <x:f>IFERROR(INDEX('Material routes'!$E$6:$E$1005,MATCH(U111,'Material routes'!$A$6:$A$1005,0)),"MISSING ID")</x:f>
        <x:v>Prepared clot-seal compound</x:v>
      </x:c>
      <x:c r="B111" s="4" t="str">
        <x:f>IFERROR(INDEX('Material routes'!$F$6:$F$1005,MATCH(U111,'Material routes'!$A$6:$A$1005,0)),"MISSING ID")</x:f>
        <x:v>T1</x:v>
      </x:c>
      <x:c r="C111" s="4" t="str">
        <x:f>IFERROR(INDEX('Material routes'!$H$6:$H$1005,MATCH(U111,'Material routes'!$A$6:$A$1005,0)),"MISSING ID")</x:f>
        <x:v>Chemical material</x:v>
      </x:c>
      <x:c r="D111" s="4" t="str">
        <x:f>IFERROR(INDEX('Material routes'!$G$6:$G$1005,MATCH(U111,'Material routes'!$A$6:$A$1005,0)),"MISSING ID")</x:f>
        <x:v>Resources</x:v>
      </x:c>
      <x:c r="E111" s="4" t="str">
        <x:f>IFERROR(INDEX('Material routes'!$C$6:$C$1005,MATCH(U111,'Material routes'!$A$6:$A$1005,0)),"MISSING ID")</x:f>
        <x:v>Ingredient candidate</x:v>
      </x:c>
      <x:c r="F111" s="4" t="str">
        <x:f>IFERROR(INDEX('Material routes'!$E$6:$E$1005,MATCH(V111,'Material routes'!$A$6:$A$1005,0)),"MISSING ID")</x:f>
        <x:v>Filled faunal seal compound</x:v>
      </x:c>
      <x:c r="G111" s="4" t="str">
        <x:f>IFERROR(INDEX('Material routes'!$F$6:$F$1005,MATCH(V111,'Material routes'!$A$6:$A$1005,0)),"MISSING ID")</x:f>
        <x:v>T2</x:v>
      </x:c>
      <x:c r="H111" s="4" t="str">
        <x:f>IFERROR(INDEX('Material routes'!$H$6:$H$1005,MATCH(V111,'Material routes'!$A$6:$A$1005,0)),"MISSING ID")</x:f>
        <x:v>Chemical material</x:v>
      </x:c>
      <x:c r="I111" s="4" t="str">
        <x:f>IFERROR(INDEX('Material routes'!$G$6:$G$1005,MATCH(V111,'Material routes'!$A$6:$A$1005,0)),"MISSING ID")</x:f>
        <x:v>Resources</x:v>
      </x:c>
      <x:c r="J111" s="4" t="str">
        <x:f>IFERROR(INDEX('Material routes'!$B$6:$B$1005,MATCH(U111,'Material routes'!$A$6:$A$1005,0)),"MISSING ID")</x:f>
        <x:v>design.branch.branch.filled_seal</x:v>
      </x:c>
      <x:c r="K111" s="4" t="str">
        <x:f>IFERROR(INDEX('Crafting recipes'!$C$6:$C$1005,MATCH(J111,'Crafting recipes'!$A$6:$A$1005,0)),"MISSING ID")</x:f>
        <x:v>Material refinement</x:v>
      </x:c>
      <x:c r="L111" s="4" t="str">
        <x:f>IFERROR(INDEX('Material routes'!$K$6:$K$1005,MATCH(U111,'Material routes'!$A$6:$A$1005,0)),"MISSING ID")</x:f>
        <x:v>Proposal</x:v>
      </x:c>
      <x:c r="M111" s="4" t="str">
        <x:f>IFERROR(INDEX('Material routes'!$M$6:$M$1005,MATCH(U111,'Material routes'!$A$6:$A$1005,0)),"MISSING ID")</x:f>
        <x:v>Partial proposal</x:v>
      </x:c>
      <x:c r="N111" s="4" t="str">
        <x:f>IF(IFERROR(INDEX('Material routes'!$I$6:$I$1005,MATCH(U111,'Material routes'!$A$6:$A$1005,0)),"MISSING ID")=0,"",IFERROR(INDEX('Material routes'!$I$6:$I$1005,MATCH(U111,'Material routes'!$A$6:$A$1005,0)),"MISSING ID"))</x:f>
      </x:c>
      <x:c r="O111" s="4" t="str">
        <x:f>IFERROR(INDEX('Material routes'!$J$6:$J$1005,MATCH(U111,'Material routes'!$A$6:$A$1005,0)),"MISSING ID")</x:f>
        <x:v>Unspecified</x:v>
      </x:c>
      <x:c r="P111" s="4" t="str">
        <x:f>IF(IFERROR(INDEX('Material routes'!$I$6:$I$1005,MATCH(V111,'Material routes'!$A$6:$A$1005,0)),"MISSING ID")=0,"",IFERROR(INDEX('Material routes'!$I$6:$I$1005,MATCH(V111,'Material routes'!$A$6:$A$1005,0)),"MISSING ID"))</x:f>
      </x:c>
      <x:c r="Q111" s="4" t="str">
        <x:f>IFERROR(INDEX('Material routes'!$J$6:$J$1005,MATCH(V111,'Material routes'!$A$6:$A$1005,0)),"MISSING ID")</x:f>
        <x:v>Unspecified</x:v>
      </x:c>
      <x:c r="R111" s="4" t="str">
        <x:f>IF(L111="Withheld","Withheld premise",IF(E111="Tool candidate","Reusable prerequisite",IF(K111="Raw entry preparation","Entry-resource preparation",IF(G111="Not applicable","Finished endpoint",IF(OR(IFERROR(INDEX('Crafting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routes'!$D$6:$D$1005,MATCH(U111,'Material routes'!$A$6:$A$1005,0)),"MISSING ID")</x:f>
        <x:v>proposal.t1.clot_seal</x:v>
      </x:c>
      <x:c r="T111" s="4" t="str">
        <x:f>IFERROR(INDEX('Material routes'!$D$6:$D$1005,MATCH(V111,'Material routes'!$A$6:$A$1005,0)),"MISSING ID")</x:f>
        <x:v>proposal.branch.filled_seal</x:v>
      </x:c>
      <x:c r="U111" s="4" t="str">
        <x:v>design.branch.branch.filled_seal.in.1</x:v>
      </x:c>
      <x:c r="V111" s="4" t="str">
        <x:v>design.branch.branch.filled_seal.out</x:v>
      </x:c>
    </x:row>
    <x:row r="112" ht="105" customHeight="1">
      <x:c r="A112" s="4" t="str">
        <x:f>IFERROR(INDEX('Material routes'!$E$6:$E$1005,MATCH(U112,'Material routes'!$A$6:$A$1005,0)),"MISSING ID")</x:f>
        <x:v>Graded mineral filler</x:v>
      </x:c>
      <x:c r="B112" s="4" t="str">
        <x:f>IFERROR(INDEX('Material routes'!$F$6:$F$1005,MATCH(U112,'Material routes'!$A$6:$A$1005,0)),"MISSING ID")</x:f>
        <x:v>T1</x:v>
      </x:c>
      <x:c r="C112" s="4" t="str">
        <x:f>IFERROR(INDEX('Material routes'!$H$6:$H$1005,MATCH(U112,'Material routes'!$A$6:$A$1005,0)),"MISSING ID")</x:f>
        <x:v>Processed material</x:v>
      </x:c>
      <x:c r="D112" s="4" t="str">
        <x:f>IFERROR(INDEX('Material routes'!$G$6:$G$1005,MATCH(U112,'Material routes'!$A$6:$A$1005,0)),"MISSING ID")</x:f>
        <x:v>Resources</x:v>
      </x:c>
      <x:c r="E112" s="4" t="str">
        <x:f>IFERROR(INDEX('Material routes'!$C$6:$C$1005,MATCH(U112,'Material routes'!$A$6:$A$1005,0)),"MISSING ID")</x:f>
        <x:v>Ingredient candidate</x:v>
      </x:c>
      <x:c r="F112" s="4" t="str">
        <x:f>IFERROR(INDEX('Material routes'!$E$6:$E$1005,MATCH(V112,'Material routes'!$A$6:$A$1005,0)),"MISSING ID")</x:f>
        <x:v>Filled faunal seal compound</x:v>
      </x:c>
      <x:c r="G112" s="4" t="str">
        <x:f>IFERROR(INDEX('Material routes'!$F$6:$F$1005,MATCH(V112,'Material routes'!$A$6:$A$1005,0)),"MISSING ID")</x:f>
        <x:v>T2</x:v>
      </x:c>
      <x:c r="H112" s="4" t="str">
        <x:f>IFERROR(INDEX('Material routes'!$H$6:$H$1005,MATCH(V112,'Material routes'!$A$6:$A$1005,0)),"MISSING ID")</x:f>
        <x:v>Chemical material</x:v>
      </x:c>
      <x:c r="I112" s="4" t="str">
        <x:f>IFERROR(INDEX('Material routes'!$G$6:$G$1005,MATCH(V112,'Material routes'!$A$6:$A$1005,0)),"MISSING ID")</x:f>
        <x:v>Resources</x:v>
      </x:c>
      <x:c r="J112" s="4" t="str">
        <x:f>IFERROR(INDEX('Material routes'!$B$6:$B$1005,MATCH(U112,'Material routes'!$A$6:$A$1005,0)),"MISSING ID")</x:f>
        <x:v>design.branch.branch.filled_seal</x:v>
      </x:c>
      <x:c r="K112" s="4" t="str">
        <x:f>IFERROR(INDEX('Crafting recipes'!$C$6:$C$1005,MATCH(J112,'Crafting recipes'!$A$6:$A$1005,0)),"MISSING ID")</x:f>
        <x:v>Material refinement</x:v>
      </x:c>
      <x:c r="L112" s="4" t="str">
        <x:f>IFERROR(INDEX('Material routes'!$K$6:$K$1005,MATCH(U112,'Material routes'!$A$6:$A$1005,0)),"MISSING ID")</x:f>
        <x:v>Proposal</x:v>
      </x:c>
      <x:c r="M112" s="4" t="str">
        <x:f>IFERROR(INDEX('Material routes'!$M$6:$M$1005,MATCH(U112,'Material routes'!$A$6:$A$1005,0)),"MISSING ID")</x:f>
        <x:v>Partial proposal</x:v>
      </x:c>
      <x:c r="N112" s="4" t="str">
        <x:f>IF(IFERROR(INDEX('Material routes'!$I$6:$I$1005,MATCH(U112,'Material routes'!$A$6:$A$1005,0)),"MISSING ID")=0,"",IFERROR(INDEX('Material routes'!$I$6:$I$1005,MATCH(U112,'Material routes'!$A$6:$A$1005,0)),"MISSING ID"))</x:f>
      </x:c>
      <x:c r="O112" s="4" t="str">
        <x:f>IFERROR(INDEX('Material routes'!$J$6:$J$1005,MATCH(U112,'Material routes'!$A$6:$A$1005,0)),"MISSING ID")</x:f>
        <x:v>Unspecified</x:v>
      </x:c>
      <x:c r="P112" s="4" t="str">
        <x:f>IF(IFERROR(INDEX('Material routes'!$I$6:$I$1005,MATCH(V112,'Material routes'!$A$6:$A$1005,0)),"MISSING ID")=0,"",IFERROR(INDEX('Material routes'!$I$6:$I$1005,MATCH(V112,'Material routes'!$A$6:$A$1005,0)),"MISSING ID"))</x:f>
      </x:c>
      <x:c r="Q112" s="4" t="str">
        <x:f>IFERROR(INDEX('Material routes'!$J$6:$J$1005,MATCH(V112,'Material routes'!$A$6:$A$1005,0)),"MISSING ID")</x:f>
        <x:v>Unspecified</x:v>
      </x:c>
      <x:c r="R112" s="4" t="str">
        <x:f>IF(L112="Withheld","Withheld premise",IF(E112="Tool candidate","Reusable prerequisite",IF(K112="Raw entry preparation","Entry-resource preparation",IF(G112="Not applicable","Finished endpoint",IF(OR(IFERROR(INDEX('Crafting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routes'!$D$6:$D$1005,MATCH(U112,'Material routes'!$A$6:$A$1005,0)),"MISSING ID")</x:f>
        <x:v>proposal.t1.mineral_filler</x:v>
      </x:c>
      <x:c r="T112" s="4" t="str">
        <x:f>IFERROR(INDEX('Material routes'!$D$6:$D$1005,MATCH(V112,'Material routes'!$A$6:$A$1005,0)),"MISSING ID")</x:f>
        <x:v>proposal.branch.filled_seal</x:v>
      </x:c>
      <x:c r="U112" s="4" t="str">
        <x:v>design.branch.branch.filled_seal.in.2</x:v>
      </x:c>
      <x:c r="V112" s="4" t="str">
        <x:v>design.branch.branch.filled_seal.out</x:v>
      </x:c>
    </x:row>
    <x:row r="113" ht="105" customHeight="1">
      <x:c r="A113" s="4" t="str">
        <x:f>IFERROR(INDEX('Material routes'!$E$6:$E$1005,MATCH(U113,'Material routes'!$A$6:$A$1005,0)),"MISSING ID")</x:f>
        <x:v>Prepared flexible faunal binder</x:v>
      </x:c>
      <x:c r="B113" s="4" t="str">
        <x:f>IFERROR(INDEX('Material routes'!$F$6:$F$1005,MATCH(U113,'Material routes'!$A$6:$A$1005,0)),"MISSING ID")</x:f>
        <x:v>T1</x:v>
      </x:c>
      <x:c r="C113" s="4" t="str">
        <x:f>IFERROR(INDEX('Material routes'!$H$6:$H$1005,MATCH(U113,'Material routes'!$A$6:$A$1005,0)),"MISSING ID")</x:f>
        <x:v>Chemical material</x:v>
      </x:c>
      <x:c r="D113" s="4" t="str">
        <x:f>IFERROR(INDEX('Material routes'!$G$6:$G$1005,MATCH(U113,'Material routes'!$A$6:$A$1005,0)),"MISSING ID")</x:f>
        <x:v>Resources</x:v>
      </x:c>
      <x:c r="E113" s="4" t="str">
        <x:f>IFERROR(INDEX('Material routes'!$C$6:$C$1005,MATCH(U113,'Material routes'!$A$6:$A$1005,0)),"MISSING ID")</x:f>
        <x:v>Ingredient candidate</x:v>
      </x:c>
      <x:c r="F113" s="4" t="str">
        <x:f>IFERROR(INDEX('Material routes'!$E$6:$E$1005,MATCH(V113,'Material routes'!$A$6:$A$1005,0)),"MISSING ID")</x:f>
        <x:v>Flexible membrane-bonding compound</x:v>
      </x:c>
      <x:c r="G113" s="4" t="str">
        <x:f>IFERROR(INDEX('Material routes'!$F$6:$F$1005,MATCH(V113,'Material routes'!$A$6:$A$1005,0)),"MISSING ID")</x:f>
        <x:v>T2</x:v>
      </x:c>
      <x:c r="H113" s="4" t="str">
        <x:f>IFERROR(INDEX('Material routes'!$H$6:$H$1005,MATCH(V113,'Material routes'!$A$6:$A$1005,0)),"MISSING ID")</x:f>
        <x:v>Chemical material</x:v>
      </x:c>
      <x:c r="I113" s="4" t="str">
        <x:f>IFERROR(INDEX('Material routes'!$G$6:$G$1005,MATCH(V113,'Material routes'!$A$6:$A$1005,0)),"MISSING ID")</x:f>
        <x:v>Resources</x:v>
      </x:c>
      <x:c r="J113" s="4" t="str">
        <x:f>IFERROR(INDEX('Material routes'!$B$6:$B$1005,MATCH(U113,'Material routes'!$A$6:$A$1005,0)),"MISSING ID")</x:f>
        <x:v>design.branch.branch.flex_bond</x:v>
      </x:c>
      <x:c r="K113" s="4" t="str">
        <x:f>IFERROR(INDEX('Crafting recipes'!$C$6:$C$1005,MATCH(J113,'Crafting recipes'!$A$6:$A$1005,0)),"MISSING ID")</x:f>
        <x:v>Material refinement</x:v>
      </x:c>
      <x:c r="L113" s="4" t="str">
        <x:f>IFERROR(INDEX('Material routes'!$K$6:$K$1005,MATCH(U113,'Material routes'!$A$6:$A$1005,0)),"MISSING ID")</x:f>
        <x:v>Proposal</x:v>
      </x:c>
      <x:c r="M113" s="4" t="str">
        <x:f>IFERROR(INDEX('Material routes'!$M$6:$M$1005,MATCH(U113,'Material routes'!$A$6:$A$1005,0)),"MISSING ID")</x:f>
        <x:v>Partial proposal</x:v>
      </x:c>
      <x:c r="N113" s="4" t="str">
        <x:f>IF(IFERROR(INDEX('Material routes'!$I$6:$I$1005,MATCH(U113,'Material routes'!$A$6:$A$1005,0)),"MISSING ID")=0,"",IFERROR(INDEX('Material routes'!$I$6:$I$1005,MATCH(U113,'Material routes'!$A$6:$A$1005,0)),"MISSING ID"))</x:f>
      </x:c>
      <x:c r="O113" s="4" t="str">
        <x:f>IFERROR(INDEX('Material routes'!$J$6:$J$1005,MATCH(U113,'Material routes'!$A$6:$A$1005,0)),"MISSING ID")</x:f>
        <x:v>Unspecified</x:v>
      </x:c>
      <x:c r="P113" s="4" t="str">
        <x:f>IF(IFERROR(INDEX('Material routes'!$I$6:$I$1005,MATCH(V113,'Material routes'!$A$6:$A$1005,0)),"MISSING ID")=0,"",IFERROR(INDEX('Material routes'!$I$6:$I$1005,MATCH(V113,'Material routes'!$A$6:$A$1005,0)),"MISSING ID"))</x:f>
      </x:c>
      <x:c r="Q113" s="4" t="str">
        <x:f>IFERROR(INDEX('Material routes'!$J$6:$J$1005,MATCH(V113,'Material routes'!$A$6:$A$1005,0)),"MISSING ID")</x:f>
        <x:v>Unspecified</x:v>
      </x:c>
      <x:c r="R113" s="4" t="str">
        <x:f>IF(L113="Withheld","Withheld premise",IF(E113="Tool candidate","Reusable prerequisite",IF(K113="Raw entry preparation","Entry-resource preparation",IF(G113="Not applicable","Finished endpoint",IF(OR(IFERROR(INDEX('Crafting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routes'!$D$6:$D$1005,MATCH(U113,'Material routes'!$A$6:$A$1005,0)),"MISSING ID")</x:f>
        <x:v>proposal.branch.flex_binder</x:v>
      </x:c>
      <x:c r="T113" s="4" t="str">
        <x:f>IFERROR(INDEX('Material routes'!$D$6:$D$1005,MATCH(V113,'Material routes'!$A$6:$A$1005,0)),"MISSING ID")</x:f>
        <x:v>proposal.branch.flex_bond</x:v>
      </x:c>
      <x:c r="U113" s="4" t="str">
        <x:v>design.branch.branch.flex_bond.in.1</x:v>
      </x:c>
      <x:c r="V113" s="4" t="str">
        <x:v>design.branch.branch.flex_bond.out</x:v>
      </x:c>
    </x:row>
    <x:row r="114" ht="105" customHeight="1">
      <x:c r="A114" s="4" t="str">
        <x:f>IFERROR(INDEX('Material routes'!$E$6:$E$1005,MATCH(U114,'Material routes'!$A$6:$A$1005,0)),"MISSING ID")</x:f>
        <x:v>Selected faunal carrier fraction</x:v>
      </x:c>
      <x:c r="B114" s="4" t="str">
        <x:f>IFERROR(INDEX('Material routes'!$F$6:$F$1005,MATCH(U114,'Material routes'!$A$6:$A$1005,0)),"MISSING ID")</x:f>
        <x:v>T1</x:v>
      </x:c>
      <x:c r="C114" s="4" t="str">
        <x:f>IFERROR(INDEX('Material routes'!$H$6:$H$1005,MATCH(U114,'Material routes'!$A$6:$A$1005,0)),"MISSING ID")</x:f>
        <x:v>Chemical material</x:v>
      </x:c>
      <x:c r="D114" s="4" t="str">
        <x:f>IFERROR(INDEX('Material routes'!$G$6:$G$1005,MATCH(U114,'Material routes'!$A$6:$A$1005,0)),"MISSING ID")</x:f>
        <x:v>Resources</x:v>
      </x:c>
      <x:c r="E114" s="4" t="str">
        <x:f>IFERROR(INDEX('Material routes'!$C$6:$C$1005,MATCH(U114,'Material routes'!$A$6:$A$1005,0)),"MISSING ID")</x:f>
        <x:v>Ingredient candidate</x:v>
      </x:c>
      <x:c r="F114" s="4" t="str">
        <x:f>IFERROR(INDEX('Material routes'!$E$6:$E$1005,MATCH(V114,'Material routes'!$A$6:$A$1005,0)),"MISSING ID")</x:f>
        <x:v>Flexible membrane-bonding compound</x:v>
      </x:c>
      <x:c r="G114" s="4" t="str">
        <x:f>IFERROR(INDEX('Material routes'!$F$6:$F$1005,MATCH(V114,'Material routes'!$A$6:$A$1005,0)),"MISSING ID")</x:f>
        <x:v>T2</x:v>
      </x:c>
      <x:c r="H114" s="4" t="str">
        <x:f>IFERROR(INDEX('Material routes'!$H$6:$H$1005,MATCH(V114,'Material routes'!$A$6:$A$1005,0)),"MISSING ID")</x:f>
        <x:v>Chemical material</x:v>
      </x:c>
      <x:c r="I114" s="4" t="str">
        <x:f>IFERROR(INDEX('Material routes'!$G$6:$G$1005,MATCH(V114,'Material routes'!$A$6:$A$1005,0)),"MISSING ID")</x:f>
        <x:v>Resources</x:v>
      </x:c>
      <x:c r="J114" s="4" t="str">
        <x:f>IFERROR(INDEX('Material routes'!$B$6:$B$1005,MATCH(U114,'Material routes'!$A$6:$A$1005,0)),"MISSING ID")</x:f>
        <x:v>design.branch.branch.flex_bond</x:v>
      </x:c>
      <x:c r="K114" s="4" t="str">
        <x:f>IFERROR(INDEX('Crafting recipes'!$C$6:$C$1005,MATCH(J114,'Crafting recipes'!$A$6:$A$1005,0)),"MISSING ID")</x:f>
        <x:v>Material refinement</x:v>
      </x:c>
      <x:c r="L114" s="4" t="str">
        <x:f>IFERROR(INDEX('Material routes'!$K$6:$K$1005,MATCH(U114,'Material routes'!$A$6:$A$1005,0)),"MISSING ID")</x:f>
        <x:v>Proposal</x:v>
      </x:c>
      <x:c r="M114" s="4" t="str">
        <x:f>IFERROR(INDEX('Material routes'!$M$6:$M$1005,MATCH(U114,'Material routes'!$A$6:$A$1005,0)),"MISSING ID")</x:f>
        <x:v>Partial proposal</x:v>
      </x:c>
      <x:c r="N114" s="4" t="str">
        <x:f>IF(IFERROR(INDEX('Material routes'!$I$6:$I$1005,MATCH(U114,'Material routes'!$A$6:$A$1005,0)),"MISSING ID")=0,"",IFERROR(INDEX('Material routes'!$I$6:$I$1005,MATCH(U114,'Material routes'!$A$6:$A$1005,0)),"MISSING ID"))</x:f>
      </x:c>
      <x:c r="O114" s="4" t="str">
        <x:f>IFERROR(INDEX('Material routes'!$J$6:$J$1005,MATCH(U114,'Material routes'!$A$6:$A$1005,0)),"MISSING ID")</x:f>
        <x:v>Unspecified</x:v>
      </x:c>
      <x:c r="P114" s="4" t="str">
        <x:f>IF(IFERROR(INDEX('Material routes'!$I$6:$I$1005,MATCH(V114,'Material routes'!$A$6:$A$1005,0)),"MISSING ID")=0,"",IFERROR(INDEX('Material routes'!$I$6:$I$1005,MATCH(V114,'Material routes'!$A$6:$A$1005,0)),"MISSING ID"))</x:f>
      </x:c>
      <x:c r="Q114" s="4" t="str">
        <x:f>IFERROR(INDEX('Material routes'!$J$6:$J$1005,MATCH(V114,'Material routes'!$A$6:$A$1005,0)),"MISSING ID")</x:f>
        <x:v>Unspecified</x:v>
      </x:c>
      <x:c r="R114" s="4" t="str">
        <x:f>IF(L114="Withheld","Withheld premise",IF(E114="Tool candidate","Reusable prerequisite",IF(K114="Raw entry preparation","Entry-resource preparation",IF(G114="Not applicable","Finished endpoint",IF(OR(IFERROR(INDEX('Crafting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routes'!$D$6:$D$1005,MATCH(U114,'Material routes'!$A$6:$A$1005,0)),"MISSING ID")</x:f>
        <x:v>proposal.t1.faunal_carrier</x:v>
      </x:c>
      <x:c r="T114" s="4" t="str">
        <x:f>IFERROR(INDEX('Material routes'!$D$6:$D$1005,MATCH(V114,'Material routes'!$A$6:$A$1005,0)),"MISSING ID")</x:f>
        <x:v>proposal.branch.flex_bond</x:v>
      </x:c>
      <x:c r="U114" s="4" t="str">
        <x:v>design.branch.branch.flex_bond.in.2</x:v>
      </x:c>
      <x:c r="V114" s="4" t="str">
        <x:v>design.branch.branch.flex_bond.out</x:v>
      </x:c>
    </x:row>
    <x:row r="115" ht="105" customHeight="1">
      <x:c r="A115" s="4" t="str">
        <x:f>IFERROR(INDEX('Material routes'!$E$6:$E$1005,MATCH(U115,'Material routes'!$A$6:$A$1005,0)),"MISSING ID")</x:f>
        <x:v>Prepared mineral pigment powder</x:v>
      </x:c>
      <x:c r="B115" s="4" t="str">
        <x:f>IFERROR(INDEX('Material routes'!$F$6:$F$1005,MATCH(U115,'Material routes'!$A$6:$A$1005,0)),"MISSING ID")</x:f>
        <x:v>T1</x:v>
      </x:c>
      <x:c r="C115" s="4" t="str">
        <x:f>IFERROR(INDEX('Material routes'!$H$6:$H$1005,MATCH(U115,'Material routes'!$A$6:$A$1005,0)),"MISSING ID")</x:f>
        <x:v>Processed material</x:v>
      </x:c>
      <x:c r="D115" s="4" t="str">
        <x:f>IFERROR(INDEX('Material routes'!$G$6:$G$1005,MATCH(U115,'Material routes'!$A$6:$A$1005,0)),"MISSING ID")</x:f>
        <x:v>Resources</x:v>
      </x:c>
      <x:c r="E115" s="4" t="str">
        <x:f>IFERROR(INDEX('Material routes'!$C$6:$C$1005,MATCH(U115,'Material routes'!$A$6:$A$1005,0)),"MISSING ID")</x:f>
        <x:v>Ingredient candidate</x:v>
      </x:c>
      <x:c r="F115" s="4" t="str">
        <x:f>IFERROR(INDEX('Material routes'!$E$6:$E$1005,MATCH(V115,'Material routes'!$A$6:$A$1005,0)),"MISSING ID")</x:f>
        <x:v>Mineral pigment coating</x:v>
      </x:c>
      <x:c r="G115" s="4" t="str">
        <x:f>IFERROR(INDEX('Material routes'!$F$6:$F$1005,MATCH(V115,'Material routes'!$A$6:$A$1005,0)),"MISSING ID")</x:f>
        <x:v>T2</x:v>
      </x:c>
      <x:c r="H115" s="4" t="str">
        <x:f>IFERROR(INDEX('Material routes'!$H$6:$H$1005,MATCH(V115,'Material routes'!$A$6:$A$1005,0)),"MISSING ID")</x:f>
        <x:v>Processed material</x:v>
      </x:c>
      <x:c r="I115" s="4" t="str">
        <x:f>IFERROR(INDEX('Material routes'!$G$6:$G$1005,MATCH(V115,'Material routes'!$A$6:$A$1005,0)),"MISSING ID")</x:f>
        <x:v>Resources</x:v>
      </x:c>
      <x:c r="J115" s="4" t="str">
        <x:f>IFERROR(INDEX('Material routes'!$B$6:$B$1005,MATCH(U115,'Material routes'!$A$6:$A$1005,0)),"MISSING ID")</x:f>
        <x:v>design.branch.branch.pigment_coating</x:v>
      </x:c>
      <x:c r="K115" s="4" t="str">
        <x:f>IFERROR(INDEX('Crafting recipes'!$C$6:$C$1005,MATCH(J115,'Crafting recipes'!$A$6:$A$1005,0)),"MISSING ID")</x:f>
        <x:v>Material refinement</x:v>
      </x:c>
      <x:c r="L115" s="4" t="str">
        <x:f>IFERROR(INDEX('Material routes'!$K$6:$K$1005,MATCH(U115,'Material routes'!$A$6:$A$1005,0)),"MISSING ID")</x:f>
        <x:v>Proposal</x:v>
      </x:c>
      <x:c r="M115" s="4" t="str">
        <x:f>IFERROR(INDEX('Material routes'!$M$6:$M$1005,MATCH(U115,'Material routes'!$A$6:$A$1005,0)),"MISSING ID")</x:f>
        <x:v>Partial proposal</x:v>
      </x:c>
      <x:c r="N115" s="4" t="str">
        <x:f>IF(IFERROR(INDEX('Material routes'!$I$6:$I$1005,MATCH(U115,'Material routes'!$A$6:$A$1005,0)),"MISSING ID")=0,"",IFERROR(INDEX('Material routes'!$I$6:$I$1005,MATCH(U115,'Material routes'!$A$6:$A$1005,0)),"MISSING ID"))</x:f>
      </x:c>
      <x:c r="O115" s="4" t="str">
        <x:f>IFERROR(INDEX('Material routes'!$J$6:$J$1005,MATCH(U115,'Material routes'!$A$6:$A$1005,0)),"MISSING ID")</x:f>
        <x:v>Unspecified</x:v>
      </x:c>
      <x:c r="P115" s="4" t="str">
        <x:f>IF(IFERROR(INDEX('Material routes'!$I$6:$I$1005,MATCH(V115,'Material routes'!$A$6:$A$1005,0)),"MISSING ID")=0,"",IFERROR(INDEX('Material routes'!$I$6:$I$1005,MATCH(V115,'Material routes'!$A$6:$A$1005,0)),"MISSING ID"))</x:f>
      </x:c>
      <x:c r="Q115" s="4" t="str">
        <x:f>IFERROR(INDEX('Material routes'!$J$6:$J$1005,MATCH(V115,'Material routes'!$A$6:$A$1005,0)),"MISSING ID")</x:f>
        <x:v>Unspecified</x:v>
      </x:c>
      <x:c r="R115" s="4" t="str">
        <x:f>IF(L115="Withheld","Withheld premise",IF(E115="Tool candidate","Reusable prerequisite",IF(K115="Raw entry preparation","Entry-resource preparation",IF(G115="Not applicable","Finished endpoint",IF(OR(IFERROR(INDEX('Crafting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routes'!$D$6:$D$1005,MATCH(U115,'Material routes'!$A$6:$A$1005,0)),"MISSING ID")</x:f>
        <x:v>proposal.t1.pigment_powder</x:v>
      </x:c>
      <x:c r="T115" s="4" t="str">
        <x:f>IFERROR(INDEX('Material routes'!$D$6:$D$1005,MATCH(V115,'Material routes'!$A$6:$A$1005,0)),"MISSING ID")</x:f>
        <x:v>proposal.branch.pigment_coating</x:v>
      </x:c>
      <x:c r="U115" s="4" t="str">
        <x:v>design.branch.branch.pigment_coating.in.1</x:v>
      </x:c>
      <x:c r="V115" s="4" t="str">
        <x:v>design.branch.branch.pigment_coating.out</x:v>
      </x:c>
    </x:row>
    <x:row r="116" ht="105" customHeight="1">
      <x:c r="A116" s="4" t="str">
        <x:f>IFERROR(INDEX('Material routes'!$E$6:$E$1005,MATCH(U116,'Material routes'!$A$6:$A$1005,0)),"MISSING ID")</x:f>
        <x:v>Selected faunal carrier fraction</x:v>
      </x:c>
      <x:c r="B116" s="4" t="str">
        <x:f>IFERROR(INDEX('Material routes'!$F$6:$F$1005,MATCH(U116,'Material routes'!$A$6:$A$1005,0)),"MISSING ID")</x:f>
        <x:v>T1</x:v>
      </x:c>
      <x:c r="C116" s="4" t="str">
        <x:f>IFERROR(INDEX('Material routes'!$H$6:$H$1005,MATCH(U116,'Material routes'!$A$6:$A$1005,0)),"MISSING ID")</x:f>
        <x:v>Chemical material</x:v>
      </x:c>
      <x:c r="D116" s="4" t="str">
        <x:f>IFERROR(INDEX('Material routes'!$G$6:$G$1005,MATCH(U116,'Material routes'!$A$6:$A$1005,0)),"MISSING ID")</x:f>
        <x:v>Resources</x:v>
      </x:c>
      <x:c r="E116" s="4" t="str">
        <x:f>IFERROR(INDEX('Material routes'!$C$6:$C$1005,MATCH(U116,'Material routes'!$A$6:$A$1005,0)),"MISSING ID")</x:f>
        <x:v>Ingredient candidate</x:v>
      </x:c>
      <x:c r="F116" s="4" t="str">
        <x:f>IFERROR(INDEX('Material routes'!$E$6:$E$1005,MATCH(V116,'Material routes'!$A$6:$A$1005,0)),"MISSING ID")</x:f>
        <x:v>Mineral pigment coating</x:v>
      </x:c>
      <x:c r="G116" s="4" t="str">
        <x:f>IFERROR(INDEX('Material routes'!$F$6:$F$1005,MATCH(V116,'Material routes'!$A$6:$A$1005,0)),"MISSING ID")</x:f>
        <x:v>T2</x:v>
      </x:c>
      <x:c r="H116" s="4" t="str">
        <x:f>IFERROR(INDEX('Material routes'!$H$6:$H$1005,MATCH(V116,'Material routes'!$A$6:$A$1005,0)),"MISSING ID")</x:f>
        <x:v>Processed material</x:v>
      </x:c>
      <x:c r="I116" s="4" t="str">
        <x:f>IFERROR(INDEX('Material routes'!$G$6:$G$1005,MATCH(V116,'Material routes'!$A$6:$A$1005,0)),"MISSING ID")</x:f>
        <x:v>Resources</x:v>
      </x:c>
      <x:c r="J116" s="4" t="str">
        <x:f>IFERROR(INDEX('Material routes'!$B$6:$B$1005,MATCH(U116,'Material routes'!$A$6:$A$1005,0)),"MISSING ID")</x:f>
        <x:v>design.branch.branch.pigment_coating</x:v>
      </x:c>
      <x:c r="K116" s="4" t="str">
        <x:f>IFERROR(INDEX('Crafting recipes'!$C$6:$C$1005,MATCH(J116,'Crafting recipes'!$A$6:$A$1005,0)),"MISSING ID")</x:f>
        <x:v>Material refinement</x:v>
      </x:c>
      <x:c r="L116" s="4" t="str">
        <x:f>IFERROR(INDEX('Material routes'!$K$6:$K$1005,MATCH(U116,'Material routes'!$A$6:$A$1005,0)),"MISSING ID")</x:f>
        <x:v>Proposal</x:v>
      </x:c>
      <x:c r="M116" s="4" t="str">
        <x:f>IFERROR(INDEX('Material routes'!$M$6:$M$1005,MATCH(U116,'Material routes'!$A$6:$A$1005,0)),"MISSING ID")</x:f>
        <x:v>Partial proposal</x:v>
      </x:c>
      <x:c r="N116" s="4" t="str">
        <x:f>IF(IFERROR(INDEX('Material routes'!$I$6:$I$1005,MATCH(U116,'Material routes'!$A$6:$A$1005,0)),"MISSING ID")=0,"",IFERROR(INDEX('Material routes'!$I$6:$I$1005,MATCH(U116,'Material routes'!$A$6:$A$1005,0)),"MISSING ID"))</x:f>
      </x:c>
      <x:c r="O116" s="4" t="str">
        <x:f>IFERROR(INDEX('Material routes'!$J$6:$J$1005,MATCH(U116,'Material routes'!$A$6:$A$1005,0)),"MISSING ID")</x:f>
        <x:v>Unspecified</x:v>
      </x:c>
      <x:c r="P116" s="4" t="str">
        <x:f>IF(IFERROR(INDEX('Material routes'!$I$6:$I$1005,MATCH(V116,'Material routes'!$A$6:$A$1005,0)),"MISSING ID")=0,"",IFERROR(INDEX('Material routes'!$I$6:$I$1005,MATCH(V116,'Material routes'!$A$6:$A$1005,0)),"MISSING ID"))</x:f>
      </x:c>
      <x:c r="Q116" s="4" t="str">
        <x:f>IFERROR(INDEX('Material routes'!$J$6:$J$1005,MATCH(V116,'Material routes'!$A$6:$A$1005,0)),"MISSING ID")</x:f>
        <x:v>Unspecified</x:v>
      </x:c>
      <x:c r="R116" s="4" t="str">
        <x:f>IF(L116="Withheld","Withheld premise",IF(E116="Tool candidate","Reusable prerequisite",IF(K116="Raw entry preparation","Entry-resource preparation",IF(G116="Not applicable","Finished endpoint",IF(OR(IFERROR(INDEX('Crafting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routes'!$D$6:$D$1005,MATCH(U116,'Material routes'!$A$6:$A$1005,0)),"MISSING ID")</x:f>
        <x:v>proposal.t1.faunal_carrier</x:v>
      </x:c>
      <x:c r="T116" s="4" t="str">
        <x:f>IFERROR(INDEX('Material routes'!$D$6:$D$1005,MATCH(V116,'Material routes'!$A$6:$A$1005,0)),"MISSING ID")</x:f>
        <x:v>proposal.branch.pigment_coating</x:v>
      </x:c>
      <x:c r="U116" s="4" t="str">
        <x:v>design.branch.branch.pigment_coating.in.2</x:v>
      </x:c>
      <x:c r="V116" s="4" t="str">
        <x:v>design.branch.branch.pigment_coating.out</x:v>
      </x:c>
    </x:row>
    <x:row r="117" ht="105" customHeight="1">
      <x:c r="A117" s="4" t="str">
        <x:f>IFERROR(INDEX('Material routes'!$E$6:$E$1005,MATCH(U117,'Material routes'!$A$6:$A$1005,0)),"MISSING ID")</x:f>
        <x:v>Prepared shell-binding adhesive</x:v>
      </x:c>
      <x:c r="B117" s="4" t="str">
        <x:f>IFERROR(INDEX('Material routes'!$F$6:$F$1005,MATCH(U117,'Material routes'!$A$6:$A$1005,0)),"MISSING ID")</x:f>
        <x:v>T1</x:v>
      </x:c>
      <x:c r="C117" s="4" t="str">
        <x:f>IFERROR(INDEX('Material routes'!$H$6:$H$1005,MATCH(U117,'Material routes'!$A$6:$A$1005,0)),"MISSING ID")</x:f>
        <x:v>Chemical material</x:v>
      </x:c>
      <x:c r="D117" s="4" t="str">
        <x:f>IFERROR(INDEX('Material routes'!$G$6:$G$1005,MATCH(U117,'Material routes'!$A$6:$A$1005,0)),"MISSING ID")</x:f>
        <x:v>Resources</x:v>
      </x:c>
      <x:c r="E117" s="4" t="str">
        <x:f>IFERROR(INDEX('Material routes'!$C$6:$C$1005,MATCH(U117,'Material routes'!$A$6:$A$1005,0)),"MISSING ID")</x:f>
        <x:v>Ingredient candidate</x:v>
      </x:c>
      <x:c r="F117" s="4" t="str">
        <x:f>IFERROR(INDEX('Material routes'!$E$6:$E$1005,MATCH(V117,'Material routes'!$A$6:$A$1005,0)),"MISSING ID")</x:f>
        <x:v>Filled shell-binding compound</x:v>
      </x:c>
      <x:c r="G117" s="4" t="str">
        <x:f>IFERROR(INDEX('Material routes'!$F$6:$F$1005,MATCH(V117,'Material routes'!$A$6:$A$1005,0)),"MISSING ID")</x:f>
        <x:v>T2</x:v>
      </x:c>
      <x:c r="H117" s="4" t="str">
        <x:f>IFERROR(INDEX('Material routes'!$H$6:$H$1005,MATCH(V117,'Material routes'!$A$6:$A$1005,0)),"MISSING ID")</x:f>
        <x:v>Chemical material</x:v>
      </x:c>
      <x:c r="I117" s="4" t="str">
        <x:f>IFERROR(INDEX('Material routes'!$G$6:$G$1005,MATCH(V117,'Material routes'!$A$6:$A$1005,0)),"MISSING ID")</x:f>
        <x:v>Resources</x:v>
      </x:c>
      <x:c r="J117" s="4" t="str">
        <x:f>IFERROR(INDEX('Material routes'!$B$6:$B$1005,MATCH(U117,'Material routes'!$A$6:$A$1005,0)),"MISSING ID")</x:f>
        <x:v>design.branch.branch.filled_binder</x:v>
      </x:c>
      <x:c r="K117" s="4" t="str">
        <x:f>IFERROR(INDEX('Crafting recipes'!$C$6:$C$1005,MATCH(J117,'Crafting recipes'!$A$6:$A$1005,0)),"MISSING ID")</x:f>
        <x:v>Material refinement</x:v>
      </x:c>
      <x:c r="L117" s="4" t="str">
        <x:f>IFERROR(INDEX('Material routes'!$K$6:$K$1005,MATCH(U117,'Material routes'!$A$6:$A$1005,0)),"MISSING ID")</x:f>
        <x:v>Proposal</x:v>
      </x:c>
      <x:c r="M117" s="4" t="str">
        <x:f>IFERROR(INDEX('Material routes'!$M$6:$M$1005,MATCH(U117,'Material routes'!$A$6:$A$1005,0)),"MISSING ID")</x:f>
        <x:v>Partial proposal</x:v>
      </x:c>
      <x:c r="N117" s="4" t="str">
        <x:f>IF(IFERROR(INDEX('Material routes'!$I$6:$I$1005,MATCH(U117,'Material routes'!$A$6:$A$1005,0)),"MISSING ID")=0,"",IFERROR(INDEX('Material routes'!$I$6:$I$1005,MATCH(U117,'Material routes'!$A$6:$A$1005,0)),"MISSING ID"))</x:f>
      </x:c>
      <x:c r="O117" s="4" t="str">
        <x:f>IFERROR(INDEX('Material routes'!$J$6:$J$1005,MATCH(U117,'Material routes'!$A$6:$A$1005,0)),"MISSING ID")</x:f>
        <x:v>Unspecified</x:v>
      </x:c>
      <x:c r="P117" s="4" t="str">
        <x:f>IF(IFERROR(INDEX('Material routes'!$I$6:$I$1005,MATCH(V117,'Material routes'!$A$6:$A$1005,0)),"MISSING ID")=0,"",IFERROR(INDEX('Material routes'!$I$6:$I$1005,MATCH(V117,'Material routes'!$A$6:$A$1005,0)),"MISSING ID"))</x:f>
      </x:c>
      <x:c r="Q117" s="4" t="str">
        <x:f>IFERROR(INDEX('Material routes'!$J$6:$J$1005,MATCH(V117,'Material routes'!$A$6:$A$1005,0)),"MISSING ID")</x:f>
        <x:v>Unspecified</x:v>
      </x:c>
      <x:c r="R117" s="4" t="str">
        <x:f>IF(L117="Withheld","Withheld premise",IF(E117="Tool candidate","Reusable prerequisite",IF(K117="Raw entry preparation","Entry-resource preparation",IF(G117="Not applicable","Finished endpoint",IF(OR(IFERROR(INDEX('Crafting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routes'!$D$6:$D$1005,MATCH(U117,'Material routes'!$A$6:$A$1005,0)),"MISSING ID")</x:f>
        <x:v>proposal.t1.shell_adhesive</x:v>
      </x:c>
      <x:c r="T117" s="4" t="str">
        <x:f>IFERROR(INDEX('Material routes'!$D$6:$D$1005,MATCH(V117,'Material routes'!$A$6:$A$1005,0)),"MISSING ID")</x:f>
        <x:v>proposal.branch.filled_binder</x:v>
      </x:c>
      <x:c r="U117" s="4" t="str">
        <x:v>design.branch.branch.filled_binder.in.1</x:v>
      </x:c>
      <x:c r="V117" s="4" t="str">
        <x:v>design.branch.branch.filled_binder.out</x:v>
      </x:c>
    </x:row>
    <x:row r="118" ht="105" customHeight="1">
      <x:c r="A118" s="4" t="str">
        <x:f>IFERROR(INDEX('Material routes'!$E$6:$E$1005,MATCH(U118,'Material routes'!$A$6:$A$1005,0)),"MISSING ID")</x:f>
        <x:v>Graded mineral filler</x:v>
      </x:c>
      <x:c r="B118" s="4" t="str">
        <x:f>IFERROR(INDEX('Material routes'!$F$6:$F$1005,MATCH(U118,'Material routes'!$A$6:$A$1005,0)),"MISSING ID")</x:f>
        <x:v>T1</x:v>
      </x:c>
      <x:c r="C118" s="4" t="str">
        <x:f>IFERROR(INDEX('Material routes'!$H$6:$H$1005,MATCH(U118,'Material routes'!$A$6:$A$1005,0)),"MISSING ID")</x:f>
        <x:v>Processed material</x:v>
      </x:c>
      <x:c r="D118" s="4" t="str">
        <x:f>IFERROR(INDEX('Material routes'!$G$6:$G$1005,MATCH(U118,'Material routes'!$A$6:$A$1005,0)),"MISSING ID")</x:f>
        <x:v>Resources</x:v>
      </x:c>
      <x:c r="E118" s="4" t="str">
        <x:f>IFERROR(INDEX('Material routes'!$C$6:$C$1005,MATCH(U118,'Material routes'!$A$6:$A$1005,0)),"MISSING ID")</x:f>
        <x:v>Ingredient candidate</x:v>
      </x:c>
      <x:c r="F118" s="4" t="str">
        <x:f>IFERROR(INDEX('Material routes'!$E$6:$E$1005,MATCH(V118,'Material routes'!$A$6:$A$1005,0)),"MISSING ID")</x:f>
        <x:v>Filled shell-binding compound</x:v>
      </x:c>
      <x:c r="G118" s="4" t="str">
        <x:f>IFERROR(INDEX('Material routes'!$F$6:$F$1005,MATCH(V118,'Material routes'!$A$6:$A$1005,0)),"MISSING ID")</x:f>
        <x:v>T2</x:v>
      </x:c>
      <x:c r="H118" s="4" t="str">
        <x:f>IFERROR(INDEX('Material routes'!$H$6:$H$1005,MATCH(V118,'Material routes'!$A$6:$A$1005,0)),"MISSING ID")</x:f>
        <x:v>Chemical material</x:v>
      </x:c>
      <x:c r="I118" s="4" t="str">
        <x:f>IFERROR(INDEX('Material routes'!$G$6:$G$1005,MATCH(V118,'Material routes'!$A$6:$A$1005,0)),"MISSING ID")</x:f>
        <x:v>Resources</x:v>
      </x:c>
      <x:c r="J118" s="4" t="str">
        <x:f>IFERROR(INDEX('Material routes'!$B$6:$B$1005,MATCH(U118,'Material routes'!$A$6:$A$1005,0)),"MISSING ID")</x:f>
        <x:v>design.branch.branch.filled_binder</x:v>
      </x:c>
      <x:c r="K118" s="4" t="str">
        <x:f>IFERROR(INDEX('Crafting recipes'!$C$6:$C$1005,MATCH(J118,'Crafting recipes'!$A$6:$A$1005,0)),"MISSING ID")</x:f>
        <x:v>Material refinement</x:v>
      </x:c>
      <x:c r="L118" s="4" t="str">
        <x:f>IFERROR(INDEX('Material routes'!$K$6:$K$1005,MATCH(U118,'Material routes'!$A$6:$A$1005,0)),"MISSING ID")</x:f>
        <x:v>Proposal</x:v>
      </x:c>
      <x:c r="M118" s="4" t="str">
        <x:f>IFERROR(INDEX('Material routes'!$M$6:$M$1005,MATCH(U118,'Material routes'!$A$6:$A$1005,0)),"MISSING ID")</x:f>
        <x:v>Partial proposal</x:v>
      </x:c>
      <x:c r="N118" s="4" t="str">
        <x:f>IF(IFERROR(INDEX('Material routes'!$I$6:$I$1005,MATCH(U118,'Material routes'!$A$6:$A$1005,0)),"MISSING ID")=0,"",IFERROR(INDEX('Material routes'!$I$6:$I$1005,MATCH(U118,'Material routes'!$A$6:$A$1005,0)),"MISSING ID"))</x:f>
      </x:c>
      <x:c r="O118" s="4" t="str">
        <x:f>IFERROR(INDEX('Material routes'!$J$6:$J$1005,MATCH(U118,'Material routes'!$A$6:$A$1005,0)),"MISSING ID")</x:f>
        <x:v>Unspecified</x:v>
      </x:c>
      <x:c r="P118" s="4" t="str">
        <x:f>IF(IFERROR(INDEX('Material routes'!$I$6:$I$1005,MATCH(V118,'Material routes'!$A$6:$A$1005,0)),"MISSING ID")=0,"",IFERROR(INDEX('Material routes'!$I$6:$I$1005,MATCH(V118,'Material routes'!$A$6:$A$1005,0)),"MISSING ID"))</x:f>
      </x:c>
      <x:c r="Q118" s="4" t="str">
        <x:f>IFERROR(INDEX('Material routes'!$J$6:$J$1005,MATCH(V118,'Material routes'!$A$6:$A$1005,0)),"MISSING ID")</x:f>
        <x:v>Unspecified</x:v>
      </x:c>
      <x:c r="R118" s="4" t="str">
        <x:f>IF(L118="Withheld","Withheld premise",IF(E118="Tool candidate","Reusable prerequisite",IF(K118="Raw entry preparation","Entry-resource preparation",IF(G118="Not applicable","Finished endpoint",IF(OR(IFERROR(INDEX('Crafting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routes'!$D$6:$D$1005,MATCH(U118,'Material routes'!$A$6:$A$1005,0)),"MISSING ID")</x:f>
        <x:v>proposal.t1.mineral_filler</x:v>
      </x:c>
      <x:c r="T118" s="4" t="str">
        <x:f>IFERROR(INDEX('Material routes'!$D$6:$D$1005,MATCH(V118,'Material routes'!$A$6:$A$1005,0)),"MISSING ID")</x:f>
        <x:v>proposal.branch.filled_binder</x:v>
      </x:c>
      <x:c r="U118" s="4" t="str">
        <x:v>design.branch.branch.filled_binder.in.2</x:v>
      </x:c>
      <x:c r="V118" s="4" t="str">
        <x:v>design.branch.branch.filled_binder.out</x:v>
      </x:c>
    </x:row>
    <x:row r="119" ht="105" customHeight="1">
      <x:c r="A119" s="4" t="str">
        <x:f>IFERROR(INDEX('Material routes'!$E$6:$E$1005,MATCH(U119,'Material routes'!$A$6:$A$1005,0)),"MISSING ID")</x:f>
        <x:v>Separated mica flake grade</x:v>
      </x:c>
      <x:c r="B119" s="4" t="str">
        <x:f>IFERROR(INDEX('Material routes'!$F$6:$F$1005,MATCH(U119,'Material routes'!$A$6:$A$1005,0)),"MISSING ID")</x:f>
        <x:v>T1</x:v>
      </x:c>
      <x:c r="C119" s="4" t="str">
        <x:f>IFERROR(INDEX('Material routes'!$H$6:$H$1005,MATCH(U119,'Material routes'!$A$6:$A$1005,0)),"MISSING ID")</x:f>
        <x:v>Processed material</x:v>
      </x:c>
      <x:c r="D119" s="4" t="str">
        <x:f>IFERROR(INDEX('Material routes'!$G$6:$G$1005,MATCH(U119,'Material routes'!$A$6:$A$1005,0)),"MISSING ID")</x:f>
        <x:v>Resources</x:v>
      </x:c>
      <x:c r="E119" s="4" t="str">
        <x:f>IFERROR(INDEX('Material routes'!$C$6:$C$1005,MATCH(U119,'Material routes'!$A$6:$A$1005,0)),"MISSING ID")</x:f>
        <x:v>Ingredient candidate</x:v>
      </x:c>
      <x:c r="F119" s="4" t="str">
        <x:f>IFERROR(INDEX('Material routes'!$E$6:$E$1005,MATCH(V119,'Material routes'!$A$6:$A$1005,0)),"MISSING ID")</x:f>
        <x:v>Mica composite sheet</x:v>
      </x:c>
      <x:c r="G119" s="4" t="str">
        <x:f>IFERROR(INDEX('Material routes'!$F$6:$F$1005,MATCH(V119,'Material routes'!$A$6:$A$1005,0)),"MISSING ID")</x:f>
        <x:v>T2</x:v>
      </x:c>
      <x:c r="H119" s="4" t="str">
        <x:f>IFERROR(INDEX('Material routes'!$H$6:$H$1005,MATCH(V119,'Material routes'!$A$6:$A$1005,0)),"MISSING ID")</x:f>
        <x:v>Processed material</x:v>
      </x:c>
      <x:c r="I119" s="4" t="str">
        <x:f>IFERROR(INDEX('Material routes'!$G$6:$G$1005,MATCH(V119,'Material routes'!$A$6:$A$1005,0)),"MISSING ID")</x:f>
        <x:v>Resources</x:v>
      </x:c>
      <x:c r="J119" s="4" t="str">
        <x:f>IFERROR(INDEX('Material routes'!$B$6:$B$1005,MATCH(U119,'Material routes'!$A$6:$A$1005,0)),"MISSING ID")</x:f>
        <x:v>design.branch.branch.mica_sheet</x:v>
      </x:c>
      <x:c r="K119" s="4" t="str">
        <x:f>IFERROR(INDEX('Crafting recipes'!$C$6:$C$1005,MATCH(J119,'Crafting recipes'!$A$6:$A$1005,0)),"MISSING ID")</x:f>
        <x:v>Material refinement</x:v>
      </x:c>
      <x:c r="L119" s="4" t="str">
        <x:f>IFERROR(INDEX('Material routes'!$K$6:$K$1005,MATCH(U119,'Material routes'!$A$6:$A$1005,0)),"MISSING ID")</x:f>
        <x:v>Proposal</x:v>
      </x:c>
      <x:c r="M119" s="4" t="str">
        <x:f>IFERROR(INDEX('Material routes'!$M$6:$M$1005,MATCH(U119,'Material routes'!$A$6:$A$1005,0)),"MISSING ID")</x:f>
        <x:v>Partial proposal</x:v>
      </x:c>
      <x:c r="N119" s="4" t="str">
        <x:f>IF(IFERROR(INDEX('Material routes'!$I$6:$I$1005,MATCH(U119,'Material routes'!$A$6:$A$1005,0)),"MISSING ID")=0,"",IFERROR(INDEX('Material routes'!$I$6:$I$1005,MATCH(U119,'Material routes'!$A$6:$A$1005,0)),"MISSING ID"))</x:f>
      </x:c>
      <x:c r="O119" s="4" t="str">
        <x:f>IFERROR(INDEX('Material routes'!$J$6:$J$1005,MATCH(U119,'Material routes'!$A$6:$A$1005,0)),"MISSING ID")</x:f>
        <x:v>Unspecified</x:v>
      </x:c>
      <x:c r="P119" s="4" t="str">
        <x:f>IF(IFERROR(INDEX('Material routes'!$I$6:$I$1005,MATCH(V119,'Material routes'!$A$6:$A$1005,0)),"MISSING ID")=0,"",IFERROR(INDEX('Material routes'!$I$6:$I$1005,MATCH(V119,'Material routes'!$A$6:$A$1005,0)),"MISSING ID"))</x:f>
      </x:c>
      <x:c r="Q119" s="4" t="str">
        <x:f>IFERROR(INDEX('Material routes'!$J$6:$J$1005,MATCH(V119,'Material routes'!$A$6:$A$1005,0)),"MISSING ID")</x:f>
        <x:v>Unspecified</x:v>
      </x:c>
      <x:c r="R119" s="4" t="str">
        <x:f>IF(L119="Withheld","Withheld premise",IF(E119="Tool candidate","Reusable prerequisite",IF(K119="Raw entry preparation","Entry-resource preparation",IF(G119="Not applicable","Finished endpoint",IF(OR(IFERROR(INDEX('Crafting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routes'!$D$6:$D$1005,MATCH(U119,'Material routes'!$A$6:$A$1005,0)),"MISSING ID")</x:f>
        <x:v>proposal.t1.mica_flakes</x:v>
      </x:c>
      <x:c r="T119" s="4" t="str">
        <x:f>IFERROR(INDEX('Material routes'!$D$6:$D$1005,MATCH(V119,'Material routes'!$A$6:$A$1005,0)),"MISSING ID")</x:f>
        <x:v>proposal.branch.mica_sheet</x:v>
      </x:c>
      <x:c r="U119" s="4" t="str">
        <x:v>design.branch.branch.mica_sheet.in.1</x:v>
      </x:c>
      <x:c r="V119" s="4" t="str">
        <x:v>design.branch.branch.mica_sheet.out</x:v>
      </x:c>
    </x:row>
    <x:row r="120" ht="105" customHeight="1">
      <x:c r="A120" s="4" t="str">
        <x:f>IFERROR(INDEX('Material routes'!$E$6:$E$1005,MATCH(U120,'Material routes'!$A$6:$A$1005,0)),"MISSING ID")</x:f>
        <x:v>Prepared shell-binding adhesive</x:v>
      </x:c>
      <x:c r="B120" s="4" t="str">
        <x:f>IFERROR(INDEX('Material routes'!$F$6:$F$1005,MATCH(U120,'Material routes'!$A$6:$A$1005,0)),"MISSING ID")</x:f>
        <x:v>T1</x:v>
      </x:c>
      <x:c r="C120" s="4" t="str">
        <x:f>IFERROR(INDEX('Material routes'!$H$6:$H$1005,MATCH(U120,'Material routes'!$A$6:$A$1005,0)),"MISSING ID")</x:f>
        <x:v>Chemical material</x:v>
      </x:c>
      <x:c r="D120" s="4" t="str">
        <x:f>IFERROR(INDEX('Material routes'!$G$6:$G$1005,MATCH(U120,'Material routes'!$A$6:$A$1005,0)),"MISSING ID")</x:f>
        <x:v>Resources</x:v>
      </x:c>
      <x:c r="E120" s="4" t="str">
        <x:f>IFERROR(INDEX('Material routes'!$C$6:$C$1005,MATCH(U120,'Material routes'!$A$6:$A$1005,0)),"MISSING ID")</x:f>
        <x:v>Ingredient candidate</x:v>
      </x:c>
      <x:c r="F120" s="4" t="str">
        <x:f>IFERROR(INDEX('Material routes'!$E$6:$E$1005,MATCH(V120,'Material routes'!$A$6:$A$1005,0)),"MISSING ID")</x:f>
        <x:v>Mica composite sheet</x:v>
      </x:c>
      <x:c r="G120" s="4" t="str">
        <x:f>IFERROR(INDEX('Material routes'!$F$6:$F$1005,MATCH(V120,'Material routes'!$A$6:$A$1005,0)),"MISSING ID")</x:f>
        <x:v>T2</x:v>
      </x:c>
      <x:c r="H120" s="4" t="str">
        <x:f>IFERROR(INDEX('Material routes'!$H$6:$H$1005,MATCH(V120,'Material routes'!$A$6:$A$1005,0)),"MISSING ID")</x:f>
        <x:v>Processed material</x:v>
      </x:c>
      <x:c r="I120" s="4" t="str">
        <x:f>IFERROR(INDEX('Material routes'!$G$6:$G$1005,MATCH(V120,'Material routes'!$A$6:$A$1005,0)),"MISSING ID")</x:f>
        <x:v>Resources</x:v>
      </x:c>
      <x:c r="J120" s="4" t="str">
        <x:f>IFERROR(INDEX('Material routes'!$B$6:$B$1005,MATCH(U120,'Material routes'!$A$6:$A$1005,0)),"MISSING ID")</x:f>
        <x:v>design.branch.branch.mica_sheet</x:v>
      </x:c>
      <x:c r="K120" s="4" t="str">
        <x:f>IFERROR(INDEX('Crafting recipes'!$C$6:$C$1005,MATCH(J120,'Crafting recipes'!$A$6:$A$1005,0)),"MISSING ID")</x:f>
        <x:v>Material refinement</x:v>
      </x:c>
      <x:c r="L120" s="4" t="str">
        <x:f>IFERROR(INDEX('Material routes'!$K$6:$K$1005,MATCH(U120,'Material routes'!$A$6:$A$1005,0)),"MISSING ID")</x:f>
        <x:v>Proposal</x:v>
      </x:c>
      <x:c r="M120" s="4" t="str">
        <x:f>IFERROR(INDEX('Material routes'!$M$6:$M$1005,MATCH(U120,'Material routes'!$A$6:$A$1005,0)),"MISSING ID")</x:f>
        <x:v>Partial proposal</x:v>
      </x:c>
      <x:c r="N120" s="4" t="str">
        <x:f>IF(IFERROR(INDEX('Material routes'!$I$6:$I$1005,MATCH(U120,'Material routes'!$A$6:$A$1005,0)),"MISSING ID")=0,"",IFERROR(INDEX('Material routes'!$I$6:$I$1005,MATCH(U120,'Material routes'!$A$6:$A$1005,0)),"MISSING ID"))</x:f>
      </x:c>
      <x:c r="O120" s="4" t="str">
        <x:f>IFERROR(INDEX('Material routes'!$J$6:$J$1005,MATCH(U120,'Material routes'!$A$6:$A$1005,0)),"MISSING ID")</x:f>
        <x:v>Unspecified</x:v>
      </x:c>
      <x:c r="P120" s="4" t="str">
        <x:f>IF(IFERROR(INDEX('Material routes'!$I$6:$I$1005,MATCH(V120,'Material routes'!$A$6:$A$1005,0)),"MISSING ID")=0,"",IFERROR(INDEX('Material routes'!$I$6:$I$1005,MATCH(V120,'Material routes'!$A$6:$A$1005,0)),"MISSING ID"))</x:f>
      </x:c>
      <x:c r="Q120" s="4" t="str">
        <x:f>IFERROR(INDEX('Material routes'!$J$6:$J$1005,MATCH(V120,'Material routes'!$A$6:$A$1005,0)),"MISSING ID")</x:f>
        <x:v>Unspecified</x:v>
      </x:c>
      <x:c r="R120" s="4" t="str">
        <x:f>IF(L120="Withheld","Withheld premise",IF(E120="Tool candidate","Reusable prerequisite",IF(K120="Raw entry preparation","Entry-resource preparation",IF(G120="Not applicable","Finished endpoint",IF(OR(IFERROR(INDEX('Crafting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routes'!$D$6:$D$1005,MATCH(U120,'Material routes'!$A$6:$A$1005,0)),"MISSING ID")</x:f>
        <x:v>proposal.t1.shell_adhesive</x:v>
      </x:c>
      <x:c r="T120" s="4" t="str">
        <x:f>IFERROR(INDEX('Material routes'!$D$6:$D$1005,MATCH(V120,'Material routes'!$A$6:$A$1005,0)),"MISSING ID")</x:f>
        <x:v>proposal.branch.mica_sheet</x:v>
      </x:c>
      <x:c r="U120" s="4" t="str">
        <x:v>design.branch.branch.mica_sheet.in.2</x:v>
      </x:c>
      <x:c r="V120" s="4" t="str">
        <x:v>design.branch.branch.mica_sheet.out</x:v>
      </x:c>
    </x:row>
    <x:row r="121" ht="105" customHeight="1">
      <x:c r="A121" s="4" t="str">
        <x:f>IFERROR(INDEX('Material routes'!$E$6:$E$1005,MATCH(U121,'Material routes'!$A$6:$A$1005,0)),"MISSING ID")</x:f>
        <x:v>Selected resonant-stone blank</x:v>
      </x:c>
      <x:c r="B121" s="4" t="str">
        <x:f>IFERROR(INDEX('Material routes'!$F$6:$F$1005,MATCH(U121,'Material routes'!$A$6:$A$1005,0)),"MISSING ID")</x:f>
        <x:v>T1</x:v>
      </x:c>
      <x:c r="C121" s="4" t="str">
        <x:f>IFERROR(INDEX('Material routes'!$H$6:$H$1005,MATCH(U121,'Material routes'!$A$6:$A$1005,0)),"MISSING ID")</x:f>
        <x:v>Processed material</x:v>
      </x:c>
      <x:c r="D121" s="4" t="str">
        <x:f>IFERROR(INDEX('Material routes'!$G$6:$G$1005,MATCH(U121,'Material routes'!$A$6:$A$1005,0)),"MISSING ID")</x:f>
        <x:v>Resources</x:v>
      </x:c>
      <x:c r="E121" s="4" t="str">
        <x:f>IFERROR(INDEX('Material routes'!$C$6:$C$1005,MATCH(U121,'Material routes'!$A$6:$A$1005,0)),"MISSING ID")</x:f>
        <x:v>Ingredient candidate</x:v>
      </x:c>
      <x:c r="F121" s="4" t="str">
        <x:f>IFERROR(INDEX('Material routes'!$E$6:$E$1005,MATCH(V121,'Material routes'!$A$6:$A$1005,0)),"MISSING ID")</x:f>
        <x:v>Tuned stone stock</x:v>
      </x:c>
      <x:c r="G121" s="4" t="str">
        <x:f>IFERROR(INDEX('Material routes'!$F$6:$F$1005,MATCH(V121,'Material routes'!$A$6:$A$1005,0)),"MISSING ID")</x:f>
        <x:v>T2</x:v>
      </x:c>
      <x:c r="H121" s="4" t="str">
        <x:f>IFERROR(INDEX('Material routes'!$H$6:$H$1005,MATCH(V121,'Material routes'!$A$6:$A$1005,0)),"MISSING ID")</x:f>
        <x:v>Processed material</x:v>
      </x:c>
      <x:c r="I121" s="4" t="str">
        <x:f>IFERROR(INDEX('Material routes'!$G$6:$G$1005,MATCH(V121,'Material routes'!$A$6:$A$1005,0)),"MISSING ID")</x:f>
        <x:v>Resources</x:v>
      </x:c>
      <x:c r="J121" s="4" t="str">
        <x:f>IFERROR(INDEX('Material routes'!$B$6:$B$1005,MATCH(U121,'Material routes'!$A$6:$A$1005,0)),"MISSING ID")</x:f>
        <x:v>design.branch.branch.tuned_stone</x:v>
      </x:c>
      <x:c r="K121" s="4" t="str">
        <x:f>IFERROR(INDEX('Crafting recipes'!$C$6:$C$1005,MATCH(J121,'Crafting recipes'!$A$6:$A$1005,0)),"MISSING ID")</x:f>
        <x:v>Material refinement</x:v>
      </x:c>
      <x:c r="L121" s="4" t="str">
        <x:f>IFERROR(INDEX('Material routes'!$K$6:$K$1005,MATCH(U121,'Material routes'!$A$6:$A$1005,0)),"MISSING ID")</x:f>
        <x:v>Proposal</x:v>
      </x:c>
      <x:c r="M121" s="4" t="str">
        <x:f>IFERROR(INDEX('Material routes'!$M$6:$M$1005,MATCH(U121,'Material routes'!$A$6:$A$1005,0)),"MISSING ID")</x:f>
        <x:v>Partial proposal</x:v>
      </x:c>
      <x:c r="N121" s="4" t="str">
        <x:f>IF(IFERROR(INDEX('Material routes'!$I$6:$I$1005,MATCH(U121,'Material routes'!$A$6:$A$1005,0)),"MISSING ID")=0,"",IFERROR(INDEX('Material routes'!$I$6:$I$1005,MATCH(U121,'Material routes'!$A$6:$A$1005,0)),"MISSING ID"))</x:f>
      </x:c>
      <x:c r="O121" s="4" t="str">
        <x:f>IFERROR(INDEX('Material routes'!$J$6:$J$1005,MATCH(U121,'Material routes'!$A$6:$A$1005,0)),"MISSING ID")</x:f>
        <x:v>Unspecified</x:v>
      </x:c>
      <x:c r="P121" s="4" t="str">
        <x:f>IF(IFERROR(INDEX('Material routes'!$I$6:$I$1005,MATCH(V121,'Material routes'!$A$6:$A$1005,0)),"MISSING ID")=0,"",IFERROR(INDEX('Material routes'!$I$6:$I$1005,MATCH(V121,'Material routes'!$A$6:$A$1005,0)),"MISSING ID"))</x:f>
      </x:c>
      <x:c r="Q121" s="4" t="str">
        <x:f>IFERROR(INDEX('Material routes'!$J$6:$J$1005,MATCH(V121,'Material routes'!$A$6:$A$1005,0)),"MISSING ID")</x:f>
        <x:v>Unspecified</x:v>
      </x:c>
      <x:c r="R121" s="4" t="str">
        <x:f>IF(L121="Withheld","Withheld premise",IF(E121="Tool candidate","Reusable prerequisite",IF(K121="Raw entry preparation","Entry-resource preparation",IF(G121="Not applicable","Finished endpoint",IF(OR(IFERROR(INDEX('Crafting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routes'!$D$6:$D$1005,MATCH(U121,'Material routes'!$A$6:$A$1005,0)),"MISSING ID")</x:f>
        <x:v>proposal.t1.resonant_blank</x:v>
      </x:c>
      <x:c r="T121" s="4" t="str">
        <x:f>IFERROR(INDEX('Material routes'!$D$6:$D$1005,MATCH(V121,'Material routes'!$A$6:$A$1005,0)),"MISSING ID")</x:f>
        <x:v>proposal.branch.tuned_stone</x:v>
      </x:c>
      <x:c r="U121" s="4" t="str">
        <x:v>design.branch.branch.tuned_stone.in.1</x:v>
      </x:c>
      <x:c r="V121" s="4" t="str">
        <x:v>design.branch.branch.tuned_stone.out</x:v>
      </x:c>
    </x:row>
    <x:row r="122" ht="105" customHeight="1">
      <x:c r="A122" s="4" t="str">
        <x:f>IFERROR(INDEX('Material routes'!$E$6:$E$1005,MATCH(U122,'Material routes'!$A$6:$A$1005,0)),"MISSING ID")</x:f>
        <x:v>Graded abrasive grit</x:v>
      </x:c>
      <x:c r="B122" s="4" t="str">
        <x:f>IFERROR(INDEX('Material routes'!$F$6:$F$1005,MATCH(U122,'Material routes'!$A$6:$A$1005,0)),"MISSING ID")</x:f>
        <x:v>T1</x:v>
      </x:c>
      <x:c r="C122" s="4" t="str">
        <x:f>IFERROR(INDEX('Material routes'!$H$6:$H$1005,MATCH(U122,'Material routes'!$A$6:$A$1005,0)),"MISSING ID")</x:f>
        <x:v>Processed material</x:v>
      </x:c>
      <x:c r="D122" s="4" t="str">
        <x:f>IFERROR(INDEX('Material routes'!$G$6:$G$1005,MATCH(U122,'Material routes'!$A$6:$A$1005,0)),"MISSING ID")</x:f>
        <x:v>Resources</x:v>
      </x:c>
      <x:c r="E122" s="4" t="str">
        <x:f>IFERROR(INDEX('Material routes'!$C$6:$C$1005,MATCH(U122,'Material routes'!$A$6:$A$1005,0)),"MISSING ID")</x:f>
        <x:v>Ingredient candidate</x:v>
      </x:c>
      <x:c r="F122" s="4" t="str">
        <x:f>IFERROR(INDEX('Material routes'!$E$6:$E$1005,MATCH(V122,'Material routes'!$A$6:$A$1005,0)),"MISSING ID")</x:f>
        <x:v>Tuned stone stock</x:v>
      </x:c>
      <x:c r="G122" s="4" t="str">
        <x:f>IFERROR(INDEX('Material routes'!$F$6:$F$1005,MATCH(V122,'Material routes'!$A$6:$A$1005,0)),"MISSING ID")</x:f>
        <x:v>T2</x:v>
      </x:c>
      <x:c r="H122" s="4" t="str">
        <x:f>IFERROR(INDEX('Material routes'!$H$6:$H$1005,MATCH(V122,'Material routes'!$A$6:$A$1005,0)),"MISSING ID")</x:f>
        <x:v>Processed material</x:v>
      </x:c>
      <x:c r="I122" s="4" t="str">
        <x:f>IFERROR(INDEX('Material routes'!$G$6:$G$1005,MATCH(V122,'Material routes'!$A$6:$A$1005,0)),"MISSING ID")</x:f>
        <x:v>Resources</x:v>
      </x:c>
      <x:c r="J122" s="4" t="str">
        <x:f>IFERROR(INDEX('Material routes'!$B$6:$B$1005,MATCH(U122,'Material routes'!$A$6:$A$1005,0)),"MISSING ID")</x:f>
        <x:v>design.branch.branch.tuned_stone</x:v>
      </x:c>
      <x:c r="K122" s="4" t="str">
        <x:f>IFERROR(INDEX('Crafting recipes'!$C$6:$C$1005,MATCH(J122,'Crafting recipes'!$A$6:$A$1005,0)),"MISSING ID")</x:f>
        <x:v>Material refinement</x:v>
      </x:c>
      <x:c r="L122" s="4" t="str">
        <x:f>IFERROR(INDEX('Material routes'!$K$6:$K$1005,MATCH(U122,'Material routes'!$A$6:$A$1005,0)),"MISSING ID")</x:f>
        <x:v>Proposal</x:v>
      </x:c>
      <x:c r="M122" s="4" t="str">
        <x:f>IFERROR(INDEX('Material routes'!$M$6:$M$1005,MATCH(U122,'Material routes'!$A$6:$A$1005,0)),"MISSING ID")</x:f>
        <x:v>Partial proposal</x:v>
      </x:c>
      <x:c r="N122" s="4" t="str">
        <x:f>IF(IFERROR(INDEX('Material routes'!$I$6:$I$1005,MATCH(U122,'Material routes'!$A$6:$A$1005,0)),"MISSING ID")=0,"",IFERROR(INDEX('Material routes'!$I$6:$I$1005,MATCH(U122,'Material routes'!$A$6:$A$1005,0)),"MISSING ID"))</x:f>
      </x:c>
      <x:c r="O122" s="4" t="str">
        <x:f>IFERROR(INDEX('Material routes'!$J$6:$J$1005,MATCH(U122,'Material routes'!$A$6:$A$1005,0)),"MISSING ID")</x:f>
        <x:v>Unspecified</x:v>
      </x:c>
      <x:c r="P122" s="4" t="str">
        <x:f>IF(IFERROR(INDEX('Material routes'!$I$6:$I$1005,MATCH(V122,'Material routes'!$A$6:$A$1005,0)),"MISSING ID")=0,"",IFERROR(INDEX('Material routes'!$I$6:$I$1005,MATCH(V122,'Material routes'!$A$6:$A$1005,0)),"MISSING ID"))</x:f>
      </x:c>
      <x:c r="Q122" s="4" t="str">
        <x:f>IFERROR(INDEX('Material routes'!$J$6:$J$1005,MATCH(V122,'Material routes'!$A$6:$A$1005,0)),"MISSING ID")</x:f>
        <x:v>Unspecified</x:v>
      </x:c>
      <x:c r="R122" s="4" t="str">
        <x:f>IF(L122="Withheld","Withheld premise",IF(E122="Tool candidate","Reusable prerequisite",IF(K122="Raw entry preparation","Entry-resource preparation",IF(G122="Not applicable","Finished endpoint",IF(OR(IFERROR(INDEX('Crafting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routes'!$D$6:$D$1005,MATCH(U122,'Material routes'!$A$6:$A$1005,0)),"MISSING ID")</x:f>
        <x:v>proposal.natural.abrasive</x:v>
      </x:c>
      <x:c r="T122" s="4" t="str">
        <x:f>IFERROR(INDEX('Material routes'!$D$6:$D$1005,MATCH(V122,'Material routes'!$A$6:$A$1005,0)),"MISSING ID")</x:f>
        <x:v>proposal.branch.tuned_stone</x:v>
      </x:c>
      <x:c r="U122" s="4" t="str">
        <x:v>design.branch.branch.tuned_stone.in.2</x:v>
      </x:c>
      <x:c r="V122" s="4" t="str">
        <x:v>design.branch.branch.tuned_stone.out</x:v>
      </x:c>
    </x:row>
    <x:row r="123" ht="105" customHeight="1">
      <x:c r="A123" s="4" t="str">
        <x:f>IFERROR(INDEX('Material routes'!$E$6:$E$1005,MATCH(U123,'Material routes'!$A$6:$A$1005,0)),"MISSING ID")</x:f>
        <x:v>Cut gemstone preform</x:v>
      </x:c>
      <x:c r="B123" s="4" t="str">
        <x:f>IFERROR(INDEX('Material routes'!$F$6:$F$1005,MATCH(U123,'Material routes'!$A$6:$A$1005,0)),"MISSING ID")</x:f>
        <x:v>T1</x:v>
      </x:c>
      <x:c r="C123" s="4" t="str">
        <x:f>IFERROR(INDEX('Material routes'!$H$6:$H$1005,MATCH(U123,'Material routes'!$A$6:$A$1005,0)),"MISSING ID")</x:f>
        <x:v>Processed material</x:v>
      </x:c>
      <x:c r="D123" s="4" t="str">
        <x:f>IFERROR(INDEX('Material routes'!$G$6:$G$1005,MATCH(U123,'Material routes'!$A$6:$A$1005,0)),"MISSING ID")</x:f>
        <x:v>Resources</x:v>
      </x:c>
      <x:c r="E123" s="4" t="str">
        <x:f>IFERROR(INDEX('Material routes'!$C$6:$C$1005,MATCH(U123,'Material routes'!$A$6:$A$1005,0)),"MISSING ID")</x:f>
        <x:v>Ingredient candidate</x:v>
      </x:c>
      <x:c r="F123" s="4" t="str">
        <x:f>IFERROR(INDEX('Material routes'!$E$6:$E$1005,MATCH(V123,'Material routes'!$A$6:$A$1005,0)),"MISSING ID")</x:f>
        <x:v>Polished gemstone blanks</x:v>
      </x:c>
      <x:c r="G123" s="4" t="str">
        <x:f>IFERROR(INDEX('Material routes'!$F$6:$F$1005,MATCH(V123,'Material routes'!$A$6:$A$1005,0)),"MISSING ID")</x:f>
        <x:v>T2</x:v>
      </x:c>
      <x:c r="H123" s="4" t="str">
        <x:f>IFERROR(INDEX('Material routes'!$H$6:$H$1005,MATCH(V123,'Material routes'!$A$6:$A$1005,0)),"MISSING ID")</x:f>
        <x:v>Processed material</x:v>
      </x:c>
      <x:c r="I123" s="4" t="str">
        <x:f>IFERROR(INDEX('Material routes'!$G$6:$G$1005,MATCH(V123,'Material routes'!$A$6:$A$1005,0)),"MISSING ID")</x:f>
        <x:v>Resources</x:v>
      </x:c>
      <x:c r="J123" s="4" t="str">
        <x:f>IFERROR(INDEX('Material routes'!$B$6:$B$1005,MATCH(U123,'Material routes'!$A$6:$A$1005,0)),"MISSING ID")</x:f>
        <x:v>design.branch.branch.polished_gem</x:v>
      </x:c>
      <x:c r="K123" s="4" t="str">
        <x:f>IFERROR(INDEX('Crafting recipes'!$C$6:$C$1005,MATCH(J123,'Crafting recipes'!$A$6:$A$1005,0)),"MISSING ID")</x:f>
        <x:v>Material refinement</x:v>
      </x:c>
      <x:c r="L123" s="4" t="str">
        <x:f>IFERROR(INDEX('Material routes'!$K$6:$K$1005,MATCH(U123,'Material routes'!$A$6:$A$1005,0)),"MISSING ID")</x:f>
        <x:v>Proposal</x:v>
      </x:c>
      <x:c r="M123" s="4" t="str">
        <x:f>IFERROR(INDEX('Material routes'!$M$6:$M$1005,MATCH(U123,'Material routes'!$A$6:$A$1005,0)),"MISSING ID")</x:f>
        <x:v>Partial proposal</x:v>
      </x:c>
      <x:c r="N123" s="4" t="str">
        <x:f>IF(IFERROR(INDEX('Material routes'!$I$6:$I$1005,MATCH(U123,'Material routes'!$A$6:$A$1005,0)),"MISSING ID")=0,"",IFERROR(INDEX('Material routes'!$I$6:$I$1005,MATCH(U123,'Material routes'!$A$6:$A$1005,0)),"MISSING ID"))</x:f>
      </x:c>
      <x:c r="O123" s="4" t="str">
        <x:f>IFERROR(INDEX('Material routes'!$J$6:$J$1005,MATCH(U123,'Material routes'!$A$6:$A$1005,0)),"MISSING ID")</x:f>
        <x:v>Unspecified</x:v>
      </x:c>
      <x:c r="P123" s="4" t="str">
        <x:f>IF(IFERROR(INDEX('Material routes'!$I$6:$I$1005,MATCH(V123,'Material routes'!$A$6:$A$1005,0)),"MISSING ID")=0,"",IFERROR(INDEX('Material routes'!$I$6:$I$1005,MATCH(V123,'Material routes'!$A$6:$A$1005,0)),"MISSING ID"))</x:f>
      </x:c>
      <x:c r="Q123" s="4" t="str">
        <x:f>IFERROR(INDEX('Material routes'!$J$6:$J$1005,MATCH(V123,'Material routes'!$A$6:$A$1005,0)),"MISSING ID")</x:f>
        <x:v>Unspecified</x:v>
      </x:c>
      <x:c r="R123" s="4" t="str">
        <x:f>IF(L123="Withheld","Withheld premise",IF(E123="Tool candidate","Reusable prerequisite",IF(K123="Raw entry preparation","Entry-resource preparation",IF(G123="Not applicable","Finished endpoint",IF(OR(IFERROR(INDEX('Crafting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routes'!$D$6:$D$1005,MATCH(U123,'Material routes'!$A$6:$A$1005,0)),"MISSING ID")</x:f>
        <x:v>proposal.t1.gem_preform</x:v>
      </x:c>
      <x:c r="T123" s="4" t="str">
        <x:f>IFERROR(INDEX('Material routes'!$D$6:$D$1005,MATCH(V123,'Material routes'!$A$6:$A$1005,0)),"MISSING ID")</x:f>
        <x:v>proposal.branch.polished_gem</x:v>
      </x:c>
      <x:c r="U123" s="4" t="str">
        <x:v>design.branch.branch.polished_gem.in.1</x:v>
      </x:c>
      <x:c r="V123" s="4" t="str">
        <x:v>design.branch.branch.polished_gem.out</x:v>
      </x:c>
    </x:row>
    <x:row r="124" ht="105" customHeight="1">
      <x:c r="A124" s="4" t="str">
        <x:f>IFERROR(INDEX('Material routes'!$E$6:$E$1005,MATCH(U124,'Material routes'!$A$6:$A$1005,0)),"MISSING ID")</x:f>
        <x:v>Graded abrasive grit</x:v>
      </x:c>
      <x:c r="B124" s="4" t="str">
        <x:f>IFERROR(INDEX('Material routes'!$F$6:$F$1005,MATCH(U124,'Material routes'!$A$6:$A$1005,0)),"MISSING ID")</x:f>
        <x:v>T1</x:v>
      </x:c>
      <x:c r="C124" s="4" t="str">
        <x:f>IFERROR(INDEX('Material routes'!$H$6:$H$1005,MATCH(U124,'Material routes'!$A$6:$A$1005,0)),"MISSING ID")</x:f>
        <x:v>Processed material</x:v>
      </x:c>
      <x:c r="D124" s="4" t="str">
        <x:f>IFERROR(INDEX('Material routes'!$G$6:$G$1005,MATCH(U124,'Material routes'!$A$6:$A$1005,0)),"MISSING ID")</x:f>
        <x:v>Resources</x:v>
      </x:c>
      <x:c r="E124" s="4" t="str">
        <x:f>IFERROR(INDEX('Material routes'!$C$6:$C$1005,MATCH(U124,'Material routes'!$A$6:$A$1005,0)),"MISSING ID")</x:f>
        <x:v>Ingredient candidate</x:v>
      </x:c>
      <x:c r="F124" s="4" t="str">
        <x:f>IFERROR(INDEX('Material routes'!$E$6:$E$1005,MATCH(V124,'Material routes'!$A$6:$A$1005,0)),"MISSING ID")</x:f>
        <x:v>Polished gemstone blanks</x:v>
      </x:c>
      <x:c r="G124" s="4" t="str">
        <x:f>IFERROR(INDEX('Material routes'!$F$6:$F$1005,MATCH(V124,'Material routes'!$A$6:$A$1005,0)),"MISSING ID")</x:f>
        <x:v>T2</x:v>
      </x:c>
      <x:c r="H124" s="4" t="str">
        <x:f>IFERROR(INDEX('Material routes'!$H$6:$H$1005,MATCH(V124,'Material routes'!$A$6:$A$1005,0)),"MISSING ID")</x:f>
        <x:v>Processed material</x:v>
      </x:c>
      <x:c r="I124" s="4" t="str">
        <x:f>IFERROR(INDEX('Material routes'!$G$6:$G$1005,MATCH(V124,'Material routes'!$A$6:$A$1005,0)),"MISSING ID")</x:f>
        <x:v>Resources</x:v>
      </x:c>
      <x:c r="J124" s="4" t="str">
        <x:f>IFERROR(INDEX('Material routes'!$B$6:$B$1005,MATCH(U124,'Material routes'!$A$6:$A$1005,0)),"MISSING ID")</x:f>
        <x:v>design.branch.branch.polished_gem</x:v>
      </x:c>
      <x:c r="K124" s="4" t="str">
        <x:f>IFERROR(INDEX('Crafting recipes'!$C$6:$C$1005,MATCH(J124,'Crafting recipes'!$A$6:$A$1005,0)),"MISSING ID")</x:f>
        <x:v>Material refinement</x:v>
      </x:c>
      <x:c r="L124" s="4" t="str">
        <x:f>IFERROR(INDEX('Material routes'!$K$6:$K$1005,MATCH(U124,'Material routes'!$A$6:$A$1005,0)),"MISSING ID")</x:f>
        <x:v>Proposal</x:v>
      </x:c>
      <x:c r="M124" s="4" t="str">
        <x:f>IFERROR(INDEX('Material routes'!$M$6:$M$1005,MATCH(U124,'Material routes'!$A$6:$A$1005,0)),"MISSING ID")</x:f>
        <x:v>Partial proposal</x:v>
      </x:c>
      <x:c r="N124" s="4" t="str">
        <x:f>IF(IFERROR(INDEX('Material routes'!$I$6:$I$1005,MATCH(U124,'Material routes'!$A$6:$A$1005,0)),"MISSING ID")=0,"",IFERROR(INDEX('Material routes'!$I$6:$I$1005,MATCH(U124,'Material routes'!$A$6:$A$1005,0)),"MISSING ID"))</x:f>
      </x:c>
      <x:c r="O124" s="4" t="str">
        <x:f>IFERROR(INDEX('Material routes'!$J$6:$J$1005,MATCH(U124,'Material routes'!$A$6:$A$1005,0)),"MISSING ID")</x:f>
        <x:v>Unspecified</x:v>
      </x:c>
      <x:c r="P124" s="4" t="str">
        <x:f>IF(IFERROR(INDEX('Material routes'!$I$6:$I$1005,MATCH(V124,'Material routes'!$A$6:$A$1005,0)),"MISSING ID")=0,"",IFERROR(INDEX('Material routes'!$I$6:$I$1005,MATCH(V124,'Material routes'!$A$6:$A$1005,0)),"MISSING ID"))</x:f>
      </x:c>
      <x:c r="Q124" s="4" t="str">
        <x:f>IFERROR(INDEX('Material routes'!$J$6:$J$1005,MATCH(V124,'Material routes'!$A$6:$A$1005,0)),"MISSING ID")</x:f>
        <x:v>Unspecified</x:v>
      </x:c>
      <x:c r="R124" s="4" t="str">
        <x:f>IF(L124="Withheld","Withheld premise",IF(E124="Tool candidate","Reusable prerequisite",IF(K124="Raw entry preparation","Entry-resource preparation",IF(G124="Not applicable","Finished endpoint",IF(OR(IFERROR(INDEX('Crafting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routes'!$D$6:$D$1005,MATCH(U124,'Material routes'!$A$6:$A$1005,0)),"MISSING ID")</x:f>
        <x:v>proposal.natural.abrasive</x:v>
      </x:c>
      <x:c r="T124" s="4" t="str">
        <x:f>IFERROR(INDEX('Material routes'!$D$6:$D$1005,MATCH(V124,'Material routes'!$A$6:$A$1005,0)),"MISSING ID")</x:f>
        <x:v>proposal.branch.polished_gem</x:v>
      </x:c>
      <x:c r="U124" s="4" t="str">
        <x:v>design.branch.branch.polished_gem.in.2</x:v>
      </x:c>
      <x:c r="V124" s="4" t="str">
        <x:v>design.branch.branch.polished_gem.out</x:v>
      </x:c>
    </x:row>
    <x:row r="125" ht="105" customHeight="1">
      <x:c r="A125" s="4" t="str">
        <x:f>IFERROR(INDEX('Material routes'!$E$6:$E$1005,MATCH(U125,'Material routes'!$A$6:$A$1005,0)),"MISSING ID")</x:f>
        <x:v>Conditioned faunal etchant</x:v>
      </x:c>
      <x:c r="B125" s="4" t="str">
        <x:f>IFERROR(INDEX('Material routes'!$F$6:$F$1005,MATCH(U125,'Material routes'!$A$6:$A$1005,0)),"MISSING ID")</x:f>
        <x:v>T1</x:v>
      </x:c>
      <x:c r="C125" s="4" t="str">
        <x:f>IFERROR(INDEX('Material routes'!$H$6:$H$1005,MATCH(U125,'Material routes'!$A$6:$A$1005,0)),"MISSING ID")</x:f>
        <x:v>Chemical material</x:v>
      </x:c>
      <x:c r="D125" s="4" t="str">
        <x:f>IFERROR(INDEX('Material routes'!$G$6:$G$1005,MATCH(U125,'Material routes'!$A$6:$A$1005,0)),"MISSING ID")</x:f>
        <x:v>Resources</x:v>
      </x:c>
      <x:c r="E125" s="4" t="str">
        <x:f>IFERROR(INDEX('Material routes'!$C$6:$C$1005,MATCH(U125,'Material routes'!$A$6:$A$1005,0)),"MISSING ID")</x:f>
        <x:v>Ingredient candidate</x:v>
      </x:c>
      <x:c r="F125" s="4" t="str">
        <x:f>IFERROR(INDEX('Material routes'!$E$6:$E$1005,MATCH(V125,'Material routes'!$A$6:$A$1005,0)),"MISSING ID")</x:f>
        <x:v>Advanced rust-removal compound</x:v>
      </x:c>
      <x:c r="G125" s="4" t="str">
        <x:f>IFERROR(INDEX('Material routes'!$F$6:$F$1005,MATCH(V125,'Material routes'!$A$6:$A$1005,0)),"MISSING ID")</x:f>
        <x:v>T2</x:v>
      </x:c>
      <x:c r="H125" s="4" t="str">
        <x:f>IFERROR(INDEX('Material routes'!$H$6:$H$1005,MATCH(V125,'Material routes'!$A$6:$A$1005,0)),"MISSING ID")</x:f>
        <x:v>Chemical material</x:v>
      </x:c>
      <x:c r="I125" s="4" t="str">
        <x:f>IFERROR(INDEX('Material routes'!$G$6:$G$1005,MATCH(V125,'Material routes'!$A$6:$A$1005,0)),"MISSING ID")</x:f>
        <x:v>Resources</x:v>
      </x:c>
      <x:c r="J125" s="4" t="str">
        <x:f>IFERROR(INDEX('Material routes'!$B$6:$B$1005,MATCH(U125,'Material routes'!$A$6:$A$1005,0)),"MISSING ID")</x:f>
        <x:v>design.branch.corrosion.advanced_remover</x:v>
      </x:c>
      <x:c r="K125" s="4" t="str">
        <x:f>IFERROR(INDEX('Crafting recipes'!$C$6:$C$1005,MATCH(J125,'Crafting recipes'!$A$6:$A$1005,0)),"MISSING ID")</x:f>
        <x:v>Material refinement</x:v>
      </x:c>
      <x:c r="L125" s="4" t="str">
        <x:f>IFERROR(INDEX('Material routes'!$K$6:$K$1005,MATCH(U125,'Material routes'!$A$6:$A$1005,0)),"MISSING ID")</x:f>
        <x:v>Proposal</x:v>
      </x:c>
      <x:c r="M125" s="4" t="str">
        <x:f>IFERROR(INDEX('Material routes'!$M$6:$M$1005,MATCH(U125,'Material routes'!$A$6:$A$1005,0)),"MISSING ID")</x:f>
        <x:v>Partial proposal</x:v>
      </x:c>
      <x:c r="N125" s="4" t="str">
        <x:f>IF(IFERROR(INDEX('Material routes'!$I$6:$I$1005,MATCH(U125,'Material routes'!$A$6:$A$1005,0)),"MISSING ID")=0,"",IFERROR(INDEX('Material routes'!$I$6:$I$1005,MATCH(U125,'Material routes'!$A$6:$A$1005,0)),"MISSING ID"))</x:f>
      </x:c>
      <x:c r="O125" s="4" t="str">
        <x:f>IFERROR(INDEX('Material routes'!$J$6:$J$1005,MATCH(U125,'Material routes'!$A$6:$A$1005,0)),"MISSING ID")</x:f>
        <x:v>Unspecified</x:v>
      </x:c>
      <x:c r="P125" s="4" t="str">
        <x:f>IF(IFERROR(INDEX('Material routes'!$I$6:$I$1005,MATCH(V125,'Material routes'!$A$6:$A$1005,0)),"MISSING ID")=0,"",IFERROR(INDEX('Material routes'!$I$6:$I$1005,MATCH(V125,'Material routes'!$A$6:$A$1005,0)),"MISSING ID"))</x:f>
      </x:c>
      <x:c r="Q125" s="4" t="str">
        <x:f>IFERROR(INDEX('Material routes'!$J$6:$J$1005,MATCH(V125,'Material routes'!$A$6:$A$1005,0)),"MISSING ID")</x:f>
        <x:v>Unspecified</x:v>
      </x:c>
      <x:c r="R125" s="4" t="str">
        <x:f>IF(L125="Withheld","Withheld premise",IF(E125="Tool candidate","Reusable prerequisite",IF(K125="Raw entry preparation","Entry-resource preparation",IF(G125="Not applicable","Finished endpoint",IF(OR(IFERROR(INDEX('Crafting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routes'!$D$6:$D$1005,MATCH(U125,'Material routes'!$A$6:$A$1005,0)),"MISSING ID")</x:f>
        <x:v>proposal.branch.etchant</x:v>
      </x:c>
      <x:c r="T125" s="4" t="str">
        <x:f>IFERROR(INDEX('Material routes'!$D$6:$D$1005,MATCH(V125,'Material routes'!$A$6:$A$1005,0)),"MISSING ID")</x:f>
        <x:v>author.corrosion.advanced_remover</x:v>
      </x:c>
      <x:c r="U125" s="4" t="str">
        <x:v>design.branch.corrosion.advanced_remover.in.1</x:v>
      </x:c>
      <x:c r="V125" s="4" t="str">
        <x:v>design.branch.corrosion.advanced_remover.out</x:v>
      </x:c>
    </x:row>
    <x:row r="126" ht="105" customHeight="1">
      <x:c r="A126" s="4" t="str">
        <x:f>IFERROR(INDEX('Material routes'!$E$6:$E$1005,MATCH(U126,'Material routes'!$A$6:$A$1005,0)),"MISSING ID")</x:f>
        <x:v>Selected faunal carrier fraction</x:v>
      </x:c>
      <x:c r="B126" s="4" t="str">
        <x:f>IFERROR(INDEX('Material routes'!$F$6:$F$1005,MATCH(U126,'Material routes'!$A$6:$A$1005,0)),"MISSING ID")</x:f>
        <x:v>T1</x:v>
      </x:c>
      <x:c r="C126" s="4" t="str">
        <x:f>IFERROR(INDEX('Material routes'!$H$6:$H$1005,MATCH(U126,'Material routes'!$A$6:$A$1005,0)),"MISSING ID")</x:f>
        <x:v>Chemical material</x:v>
      </x:c>
      <x:c r="D126" s="4" t="str">
        <x:f>IFERROR(INDEX('Material routes'!$G$6:$G$1005,MATCH(U126,'Material routes'!$A$6:$A$1005,0)),"MISSING ID")</x:f>
        <x:v>Resources</x:v>
      </x:c>
      <x:c r="E126" s="4" t="str">
        <x:f>IFERROR(INDEX('Material routes'!$C$6:$C$1005,MATCH(U126,'Material routes'!$A$6:$A$1005,0)),"MISSING ID")</x:f>
        <x:v>Ingredient candidate</x:v>
      </x:c>
      <x:c r="F126" s="4" t="str">
        <x:f>IFERROR(INDEX('Material routes'!$E$6:$E$1005,MATCH(V126,'Material routes'!$A$6:$A$1005,0)),"MISSING ID")</x:f>
        <x:v>Advanced rust-removal compound</x:v>
      </x:c>
      <x:c r="G126" s="4" t="str">
        <x:f>IFERROR(INDEX('Material routes'!$F$6:$F$1005,MATCH(V126,'Material routes'!$A$6:$A$1005,0)),"MISSING ID")</x:f>
        <x:v>T2</x:v>
      </x:c>
      <x:c r="H126" s="4" t="str">
        <x:f>IFERROR(INDEX('Material routes'!$H$6:$H$1005,MATCH(V126,'Material routes'!$A$6:$A$1005,0)),"MISSING ID")</x:f>
        <x:v>Chemical material</x:v>
      </x:c>
      <x:c r="I126" s="4" t="str">
        <x:f>IFERROR(INDEX('Material routes'!$G$6:$G$1005,MATCH(V126,'Material routes'!$A$6:$A$1005,0)),"MISSING ID")</x:f>
        <x:v>Resources</x:v>
      </x:c>
      <x:c r="J126" s="4" t="str">
        <x:f>IFERROR(INDEX('Material routes'!$B$6:$B$1005,MATCH(U126,'Material routes'!$A$6:$A$1005,0)),"MISSING ID")</x:f>
        <x:v>design.branch.corrosion.advanced_remover</x:v>
      </x:c>
      <x:c r="K126" s="4" t="str">
        <x:f>IFERROR(INDEX('Crafting recipes'!$C$6:$C$1005,MATCH(J126,'Crafting recipes'!$A$6:$A$1005,0)),"MISSING ID")</x:f>
        <x:v>Material refinement</x:v>
      </x:c>
      <x:c r="L126" s="4" t="str">
        <x:f>IFERROR(INDEX('Material routes'!$K$6:$K$1005,MATCH(U126,'Material routes'!$A$6:$A$1005,0)),"MISSING ID")</x:f>
        <x:v>Proposal</x:v>
      </x:c>
      <x:c r="M126" s="4" t="str">
        <x:f>IFERROR(INDEX('Material routes'!$M$6:$M$1005,MATCH(U126,'Material routes'!$A$6:$A$1005,0)),"MISSING ID")</x:f>
        <x:v>Partial proposal</x:v>
      </x:c>
      <x:c r="N126" s="4" t="str">
        <x:f>IF(IFERROR(INDEX('Material routes'!$I$6:$I$1005,MATCH(U126,'Material routes'!$A$6:$A$1005,0)),"MISSING ID")=0,"",IFERROR(INDEX('Material routes'!$I$6:$I$1005,MATCH(U126,'Material routes'!$A$6:$A$1005,0)),"MISSING ID"))</x:f>
      </x:c>
      <x:c r="O126" s="4" t="str">
        <x:f>IFERROR(INDEX('Material routes'!$J$6:$J$1005,MATCH(U126,'Material routes'!$A$6:$A$1005,0)),"MISSING ID")</x:f>
        <x:v>Unspecified</x:v>
      </x:c>
      <x:c r="P126" s="4" t="str">
        <x:f>IF(IFERROR(INDEX('Material routes'!$I$6:$I$1005,MATCH(V126,'Material routes'!$A$6:$A$1005,0)),"MISSING ID")=0,"",IFERROR(INDEX('Material routes'!$I$6:$I$1005,MATCH(V126,'Material routes'!$A$6:$A$1005,0)),"MISSING ID"))</x:f>
      </x:c>
      <x:c r="Q126" s="4" t="str">
        <x:f>IFERROR(INDEX('Material routes'!$J$6:$J$1005,MATCH(V126,'Material routes'!$A$6:$A$1005,0)),"MISSING ID")</x:f>
        <x:v>Unspecified</x:v>
      </x:c>
      <x:c r="R126" s="4" t="str">
        <x:f>IF(L126="Withheld","Withheld premise",IF(E126="Tool candidate","Reusable prerequisite",IF(K126="Raw entry preparation","Entry-resource preparation",IF(G126="Not applicable","Finished endpoint",IF(OR(IFERROR(INDEX('Crafting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routes'!$D$6:$D$1005,MATCH(U126,'Material routes'!$A$6:$A$1005,0)),"MISSING ID")</x:f>
        <x:v>proposal.t1.faunal_carrier</x:v>
      </x:c>
      <x:c r="T126" s="4" t="str">
        <x:f>IFERROR(INDEX('Material routes'!$D$6:$D$1005,MATCH(V126,'Material routes'!$A$6:$A$1005,0)),"MISSING ID")</x:f>
        <x:v>author.corrosion.advanced_remover</x:v>
      </x:c>
      <x:c r="U126" s="4" t="str">
        <x:v>design.branch.corrosion.advanced_remover.in.2</x:v>
      </x:c>
      <x:c r="V126" s="4" t="str">
        <x:v>design.branch.corrosion.advanced_remover.out</x:v>
      </x:c>
    </x:row>
    <x:row r="127" ht="105" customHeight="1">
      <x:c r="A127" s="4" t="str">
        <x:f>IFERROR(INDEX('Material routes'!$E$6:$E$1005,MATCH(U127,'Material routes'!$A$6:$A$1005,0)),"MISSING ID")</x:f>
        <x:v>Graded process salts</x:v>
      </x:c>
      <x:c r="B127" s="4" t="str">
        <x:f>IFERROR(INDEX('Material routes'!$F$6:$F$1005,MATCH(U127,'Material routes'!$A$6:$A$1005,0)),"MISSING ID")</x:f>
        <x:v>T1</x:v>
      </x:c>
      <x:c r="C127" s="4" t="str">
        <x:f>IFERROR(INDEX('Material routes'!$H$6:$H$1005,MATCH(U127,'Material routes'!$A$6:$A$1005,0)),"MISSING ID")</x:f>
        <x:v>Processed material</x:v>
      </x:c>
      <x:c r="D127" s="4" t="str">
        <x:f>IFERROR(INDEX('Material routes'!$G$6:$G$1005,MATCH(U127,'Material routes'!$A$6:$A$1005,0)),"MISSING ID")</x:f>
        <x:v>Resources</x:v>
      </x:c>
      <x:c r="E127" s="4" t="str">
        <x:f>IFERROR(INDEX('Material routes'!$C$6:$C$1005,MATCH(U127,'Material routes'!$A$6:$A$1005,0)),"MISSING ID")</x:f>
        <x:v>Ingredient candidate</x:v>
      </x:c>
      <x:c r="F127" s="4" t="str">
        <x:f>IFERROR(INDEX('Material routes'!$E$6:$E$1005,MATCH(V127,'Material routes'!$A$6:$A$1005,0)),"MISSING ID")</x:f>
        <x:v>Advanced rust-removal compound</x:v>
      </x:c>
      <x:c r="G127" s="4" t="str">
        <x:f>IFERROR(INDEX('Material routes'!$F$6:$F$1005,MATCH(V127,'Material routes'!$A$6:$A$1005,0)),"MISSING ID")</x:f>
        <x:v>T2</x:v>
      </x:c>
      <x:c r="H127" s="4" t="str">
        <x:f>IFERROR(INDEX('Material routes'!$H$6:$H$1005,MATCH(V127,'Material routes'!$A$6:$A$1005,0)),"MISSING ID")</x:f>
        <x:v>Chemical material</x:v>
      </x:c>
      <x:c r="I127" s="4" t="str">
        <x:f>IFERROR(INDEX('Material routes'!$G$6:$G$1005,MATCH(V127,'Material routes'!$A$6:$A$1005,0)),"MISSING ID")</x:f>
        <x:v>Resources</x:v>
      </x:c>
      <x:c r="J127" s="4" t="str">
        <x:f>IFERROR(INDEX('Material routes'!$B$6:$B$1005,MATCH(U127,'Material routes'!$A$6:$A$1005,0)),"MISSING ID")</x:f>
        <x:v>design.branch.corrosion.advanced_remover</x:v>
      </x:c>
      <x:c r="K127" s="4" t="str">
        <x:f>IFERROR(INDEX('Crafting recipes'!$C$6:$C$1005,MATCH(J127,'Crafting recipes'!$A$6:$A$1005,0)),"MISSING ID")</x:f>
        <x:v>Material refinement</x:v>
      </x:c>
      <x:c r="L127" s="4" t="str">
        <x:f>IFERROR(INDEX('Material routes'!$K$6:$K$1005,MATCH(U127,'Material routes'!$A$6:$A$1005,0)),"MISSING ID")</x:f>
        <x:v>Proposal</x:v>
      </x:c>
      <x:c r="M127" s="4" t="str">
        <x:f>IFERROR(INDEX('Material routes'!$M$6:$M$1005,MATCH(U127,'Material routes'!$A$6:$A$1005,0)),"MISSING ID")</x:f>
        <x:v>Partial proposal</x:v>
      </x:c>
      <x:c r="N127" s="4" t="str">
        <x:f>IF(IFERROR(INDEX('Material routes'!$I$6:$I$1005,MATCH(U127,'Material routes'!$A$6:$A$1005,0)),"MISSING ID")=0,"",IFERROR(INDEX('Material routes'!$I$6:$I$1005,MATCH(U127,'Material routes'!$A$6:$A$1005,0)),"MISSING ID"))</x:f>
      </x:c>
      <x:c r="O127" s="4" t="str">
        <x:f>IFERROR(INDEX('Material routes'!$J$6:$J$1005,MATCH(U127,'Material routes'!$A$6:$A$1005,0)),"MISSING ID")</x:f>
        <x:v>Unspecified</x:v>
      </x:c>
      <x:c r="P127" s="4" t="str">
        <x:f>IF(IFERROR(INDEX('Material routes'!$I$6:$I$1005,MATCH(V127,'Material routes'!$A$6:$A$1005,0)),"MISSING ID")=0,"",IFERROR(INDEX('Material routes'!$I$6:$I$1005,MATCH(V127,'Material routes'!$A$6:$A$1005,0)),"MISSING ID"))</x:f>
      </x:c>
      <x:c r="Q127" s="4" t="str">
        <x:f>IFERROR(INDEX('Material routes'!$J$6:$J$1005,MATCH(V127,'Material routes'!$A$6:$A$1005,0)),"MISSING ID")</x:f>
        <x:v>Unspecified</x:v>
      </x:c>
      <x:c r="R127" s="4" t="str">
        <x:f>IF(L127="Withheld","Withheld premise",IF(E127="Tool candidate","Reusable prerequisite",IF(K127="Raw entry preparation","Entry-resource preparation",IF(G127="Not applicable","Finished endpoint",IF(OR(IFERROR(INDEX('Crafting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routes'!$D$6:$D$1005,MATCH(U127,'Material routes'!$A$6:$A$1005,0)),"MISSING ID")</x:f>
        <x:v>proposal.t1.process_salts</x:v>
      </x:c>
      <x:c r="T127" s="4" t="str">
        <x:f>IFERROR(INDEX('Material routes'!$D$6:$D$1005,MATCH(V127,'Material routes'!$A$6:$A$1005,0)),"MISSING ID")</x:f>
        <x:v>author.corrosion.advanced_remover</x:v>
      </x:c>
      <x:c r="U127" s="4" t="str">
        <x:v>design.branch.corrosion.advanced_remover.in.3</x:v>
      </x:c>
      <x:c r="V127" s="4" t="str">
        <x:v>design.branch.corrosion.advanced_remover.out</x:v>
      </x:c>
    </x:row>
    <x:row r="128" ht="105" customHeight="1">
      <x:c r="A128" s="4" t="str">
        <x:f>IFERROR(INDEX('Material routes'!$E$6:$E$1005,MATCH(U128,'Material routes'!$A$6:$A$1005,0)),"MISSING ID")</x:f>
        <x:v>Clarified faunal lubricant base</x:v>
      </x:c>
      <x:c r="B128" s="4" t="str">
        <x:f>IFERROR(INDEX('Material routes'!$F$6:$F$1005,MATCH(U128,'Material routes'!$A$6:$A$1005,0)),"MISSING ID")</x:f>
        <x:v>T1</x:v>
      </x:c>
      <x:c r="C128" s="4" t="str">
        <x:f>IFERROR(INDEX('Material routes'!$H$6:$H$1005,MATCH(U128,'Material routes'!$A$6:$A$1005,0)),"MISSING ID")</x:f>
        <x:v>Chemical material</x:v>
      </x:c>
      <x:c r="D128" s="4" t="str">
        <x:f>IFERROR(INDEX('Material routes'!$G$6:$G$1005,MATCH(U128,'Material routes'!$A$6:$A$1005,0)),"MISSING ID")</x:f>
        <x:v>Resources</x:v>
      </x:c>
      <x:c r="E128" s="4" t="str">
        <x:f>IFERROR(INDEX('Material routes'!$C$6:$C$1005,MATCH(U128,'Material routes'!$A$6:$A$1005,0)),"MISSING ID")</x:f>
        <x:v>Ingredient candidate</x:v>
      </x:c>
      <x:c r="F128" s="4" t="str">
        <x:f>IFERROR(INDEX('Material routes'!$E$6:$E$1005,MATCH(V128,'Material routes'!$A$6:$A$1005,0)),"MISSING ID")</x:f>
        <x:v>Fine mechanism oil</x:v>
      </x:c>
      <x:c r="G128" s="4" t="str">
        <x:f>IFERROR(INDEX('Material routes'!$F$6:$F$1005,MATCH(V128,'Material routes'!$A$6:$A$1005,0)),"MISSING ID")</x:f>
        <x:v>T2</x:v>
      </x:c>
      <x:c r="H128" s="4" t="str">
        <x:f>IFERROR(INDEX('Material routes'!$H$6:$H$1005,MATCH(V128,'Material routes'!$A$6:$A$1005,0)),"MISSING ID")</x:f>
        <x:v>Chemical material</x:v>
      </x:c>
      <x:c r="I128" s="4" t="str">
        <x:f>IFERROR(INDEX('Material routes'!$G$6:$G$1005,MATCH(V128,'Material routes'!$A$6:$A$1005,0)),"MISSING ID")</x:f>
        <x:v>Resources</x:v>
      </x:c>
      <x:c r="J128" s="4" t="str">
        <x:f>IFERROR(INDEX('Material routes'!$B$6:$B$1005,MATCH(U128,'Material routes'!$A$6:$A$1005,0)),"MISSING ID")</x:f>
        <x:v>design.branch.lubricant.precision_oil</x:v>
      </x:c>
      <x:c r="K128" s="4" t="str">
        <x:f>IFERROR(INDEX('Crafting recipes'!$C$6:$C$1005,MATCH(J128,'Crafting recipes'!$A$6:$A$1005,0)),"MISSING ID")</x:f>
        <x:v>Material refinement</x:v>
      </x:c>
      <x:c r="L128" s="4" t="str">
        <x:f>IFERROR(INDEX('Material routes'!$K$6:$K$1005,MATCH(U128,'Material routes'!$A$6:$A$1005,0)),"MISSING ID")</x:f>
        <x:v>Proposal</x:v>
      </x:c>
      <x:c r="M128" s="4" t="str">
        <x:f>IFERROR(INDEX('Material routes'!$M$6:$M$1005,MATCH(U128,'Material routes'!$A$6:$A$1005,0)),"MISSING ID")</x:f>
        <x:v>Partial proposal</x:v>
      </x:c>
      <x:c r="N128" s="4" t="str">
        <x:f>IF(IFERROR(INDEX('Material routes'!$I$6:$I$1005,MATCH(U128,'Material routes'!$A$6:$A$1005,0)),"MISSING ID")=0,"",IFERROR(INDEX('Material routes'!$I$6:$I$1005,MATCH(U128,'Material routes'!$A$6:$A$1005,0)),"MISSING ID"))</x:f>
      </x:c>
      <x:c r="O128" s="4" t="str">
        <x:f>IFERROR(INDEX('Material routes'!$J$6:$J$1005,MATCH(U128,'Material routes'!$A$6:$A$1005,0)),"MISSING ID")</x:f>
        <x:v>Unspecified</x:v>
      </x:c>
      <x:c r="P128" s="4" t="str">
        <x:f>IF(IFERROR(INDEX('Material routes'!$I$6:$I$1005,MATCH(V128,'Material routes'!$A$6:$A$1005,0)),"MISSING ID")=0,"",IFERROR(INDEX('Material routes'!$I$6:$I$1005,MATCH(V128,'Material routes'!$A$6:$A$1005,0)),"MISSING ID"))</x:f>
      </x:c>
      <x:c r="Q128" s="4" t="str">
        <x:f>IFERROR(INDEX('Material routes'!$J$6:$J$1005,MATCH(V128,'Material routes'!$A$6:$A$1005,0)),"MISSING ID")</x:f>
        <x:v>Unspecified</x:v>
      </x:c>
      <x:c r="R128" s="4" t="str">
        <x:f>IF(L128="Withheld","Withheld premise",IF(E128="Tool candidate","Reusable prerequisite",IF(K128="Raw entry preparation","Entry-resource preparation",IF(G128="Not applicable","Finished endpoint",IF(OR(IFERROR(INDEX('Crafting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routes'!$D$6:$D$1005,MATCH(U128,'Material routes'!$A$6:$A$1005,0)),"MISSING ID")</x:f>
        <x:v>proposal.lubricant.base</x:v>
      </x:c>
      <x:c r="T128" s="4" t="str">
        <x:f>IFERROR(INDEX('Material routes'!$D$6:$D$1005,MATCH(V128,'Material routes'!$A$6:$A$1005,0)),"MISSING ID")</x:f>
        <x:v>proposal.lubricant.precision_oil</x:v>
      </x:c>
      <x:c r="U128" s="4" t="str">
        <x:v>design.branch.lubricant.precision_oil.in.1</x:v>
      </x:c>
      <x:c r="V128" s="4" t="str">
        <x:v>design.branch.lubricant.precision_oil.out</x:v>
      </x:c>
    </x:row>
    <x:row r="129" ht="105" customHeight="1">
      <x:c r="A129" s="4" t="str">
        <x:f>IFERROR(INDEX('Material routes'!$E$6:$E$1005,MATCH(U129,'Material routes'!$A$6:$A$1005,0)),"MISSING ID")</x:f>
        <x:v>Selected faunal carrier fraction</x:v>
      </x:c>
      <x:c r="B129" s="4" t="str">
        <x:f>IFERROR(INDEX('Material routes'!$F$6:$F$1005,MATCH(U129,'Material routes'!$A$6:$A$1005,0)),"MISSING ID")</x:f>
        <x:v>T1</x:v>
      </x:c>
      <x:c r="C129" s="4" t="str">
        <x:f>IFERROR(INDEX('Material routes'!$H$6:$H$1005,MATCH(U129,'Material routes'!$A$6:$A$1005,0)),"MISSING ID")</x:f>
        <x:v>Chemical material</x:v>
      </x:c>
      <x:c r="D129" s="4" t="str">
        <x:f>IFERROR(INDEX('Material routes'!$G$6:$G$1005,MATCH(U129,'Material routes'!$A$6:$A$1005,0)),"MISSING ID")</x:f>
        <x:v>Resources</x:v>
      </x:c>
      <x:c r="E129" s="4" t="str">
        <x:f>IFERROR(INDEX('Material routes'!$C$6:$C$1005,MATCH(U129,'Material routes'!$A$6:$A$1005,0)),"MISSING ID")</x:f>
        <x:v>Ingredient candidate</x:v>
      </x:c>
      <x:c r="F129" s="4" t="str">
        <x:f>IFERROR(INDEX('Material routes'!$E$6:$E$1005,MATCH(V129,'Material routes'!$A$6:$A$1005,0)),"MISSING ID")</x:f>
        <x:v>Fine mechanism oil</x:v>
      </x:c>
      <x:c r="G129" s="4" t="str">
        <x:f>IFERROR(INDEX('Material routes'!$F$6:$F$1005,MATCH(V129,'Material routes'!$A$6:$A$1005,0)),"MISSING ID")</x:f>
        <x:v>T2</x:v>
      </x:c>
      <x:c r="H129" s="4" t="str">
        <x:f>IFERROR(INDEX('Material routes'!$H$6:$H$1005,MATCH(V129,'Material routes'!$A$6:$A$1005,0)),"MISSING ID")</x:f>
        <x:v>Chemical material</x:v>
      </x:c>
      <x:c r="I129" s="4" t="str">
        <x:f>IFERROR(INDEX('Material routes'!$G$6:$G$1005,MATCH(V129,'Material routes'!$A$6:$A$1005,0)),"MISSING ID")</x:f>
        <x:v>Resources</x:v>
      </x:c>
      <x:c r="J129" s="4" t="str">
        <x:f>IFERROR(INDEX('Material routes'!$B$6:$B$1005,MATCH(U129,'Material routes'!$A$6:$A$1005,0)),"MISSING ID")</x:f>
        <x:v>design.branch.lubricant.precision_oil</x:v>
      </x:c>
      <x:c r="K129" s="4" t="str">
        <x:f>IFERROR(INDEX('Crafting recipes'!$C$6:$C$1005,MATCH(J129,'Crafting recipes'!$A$6:$A$1005,0)),"MISSING ID")</x:f>
        <x:v>Material refinement</x:v>
      </x:c>
      <x:c r="L129" s="4" t="str">
        <x:f>IFERROR(INDEX('Material routes'!$K$6:$K$1005,MATCH(U129,'Material routes'!$A$6:$A$1005,0)),"MISSING ID")</x:f>
        <x:v>Proposal</x:v>
      </x:c>
      <x:c r="M129" s="4" t="str">
        <x:f>IFERROR(INDEX('Material routes'!$M$6:$M$1005,MATCH(U129,'Material routes'!$A$6:$A$1005,0)),"MISSING ID")</x:f>
        <x:v>Partial proposal</x:v>
      </x:c>
      <x:c r="N129" s="4" t="str">
        <x:f>IF(IFERROR(INDEX('Material routes'!$I$6:$I$1005,MATCH(U129,'Material routes'!$A$6:$A$1005,0)),"MISSING ID")=0,"",IFERROR(INDEX('Material routes'!$I$6:$I$1005,MATCH(U129,'Material routes'!$A$6:$A$1005,0)),"MISSING ID"))</x:f>
      </x:c>
      <x:c r="O129" s="4" t="str">
        <x:f>IFERROR(INDEX('Material routes'!$J$6:$J$1005,MATCH(U129,'Material routes'!$A$6:$A$1005,0)),"MISSING ID")</x:f>
        <x:v>Unspecified</x:v>
      </x:c>
      <x:c r="P129" s="4" t="str">
        <x:f>IF(IFERROR(INDEX('Material routes'!$I$6:$I$1005,MATCH(V129,'Material routes'!$A$6:$A$1005,0)),"MISSING ID")=0,"",IFERROR(INDEX('Material routes'!$I$6:$I$1005,MATCH(V129,'Material routes'!$A$6:$A$1005,0)),"MISSING ID"))</x:f>
      </x:c>
      <x:c r="Q129" s="4" t="str">
        <x:f>IFERROR(INDEX('Material routes'!$J$6:$J$1005,MATCH(V129,'Material routes'!$A$6:$A$1005,0)),"MISSING ID")</x:f>
        <x:v>Unspecified</x:v>
      </x:c>
      <x:c r="R129" s="4" t="str">
        <x:f>IF(L129="Withheld","Withheld premise",IF(E129="Tool candidate","Reusable prerequisite",IF(K129="Raw entry preparation","Entry-resource preparation",IF(G129="Not applicable","Finished endpoint",IF(OR(IFERROR(INDEX('Crafting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routes'!$D$6:$D$1005,MATCH(U129,'Material routes'!$A$6:$A$1005,0)),"MISSING ID")</x:f>
        <x:v>proposal.t1.faunal_carrier</x:v>
      </x:c>
      <x:c r="T129" s="4" t="str">
        <x:f>IFERROR(INDEX('Material routes'!$D$6:$D$1005,MATCH(V129,'Material routes'!$A$6:$A$1005,0)),"MISSING ID")</x:f>
        <x:v>proposal.lubricant.precision_oil</x:v>
      </x:c>
      <x:c r="U129" s="4" t="str">
        <x:v>design.branch.lubricant.precision_oil.in.2</x:v>
      </x:c>
      <x:c r="V129" s="4" t="str">
        <x:v>design.branch.lubricant.precision_oil.out</x:v>
      </x:c>
    </x:row>
    <x:row r="130" ht="105" customHeight="1">
      <x:c r="A130" s="4" t="str">
        <x:f>IFERROR(INDEX('Material routes'!$E$6:$E$1005,MATCH(U130,'Material routes'!$A$6:$A$1005,0)),"MISSING ID")</x:f>
        <x:v>Clarified faunal lubricant base</x:v>
      </x:c>
      <x:c r="B130" s="4" t="str">
        <x:f>IFERROR(INDEX('Material routes'!$F$6:$F$1005,MATCH(U130,'Material routes'!$A$6:$A$1005,0)),"MISSING ID")</x:f>
        <x:v>T1</x:v>
      </x:c>
      <x:c r="C130" s="4" t="str">
        <x:f>IFERROR(INDEX('Material routes'!$H$6:$H$1005,MATCH(U130,'Material routes'!$A$6:$A$1005,0)),"MISSING ID")</x:f>
        <x:v>Chemical material</x:v>
      </x:c>
      <x:c r="D130" s="4" t="str">
        <x:f>IFERROR(INDEX('Material routes'!$G$6:$G$1005,MATCH(U130,'Material routes'!$A$6:$A$1005,0)),"MISSING ID")</x:f>
        <x:v>Resources</x:v>
      </x:c>
      <x:c r="E130" s="4" t="str">
        <x:f>IFERROR(INDEX('Material routes'!$C$6:$C$1005,MATCH(U130,'Material routes'!$A$6:$A$1005,0)),"MISSING ID")</x:f>
        <x:v>Ingredient candidate</x:v>
      </x:c>
      <x:c r="F130" s="4" t="str">
        <x:f>IFERROR(INDEX('Material routes'!$E$6:$E$1005,MATCH(V130,'Material routes'!$A$6:$A$1005,0)),"MISSING ID")</x:f>
        <x:v>Graphite faunal grease</x:v>
      </x:c>
      <x:c r="G130" s="4" t="str">
        <x:f>IFERROR(INDEX('Material routes'!$F$6:$F$1005,MATCH(V130,'Material routes'!$A$6:$A$1005,0)),"MISSING ID")</x:f>
        <x:v>T2</x:v>
      </x:c>
      <x:c r="H130" s="4" t="str">
        <x:f>IFERROR(INDEX('Material routes'!$H$6:$H$1005,MATCH(V130,'Material routes'!$A$6:$A$1005,0)),"MISSING ID")</x:f>
        <x:v>Chemical material</x:v>
      </x:c>
      <x:c r="I130" s="4" t="str">
        <x:f>IFERROR(INDEX('Material routes'!$G$6:$G$1005,MATCH(V130,'Material routes'!$A$6:$A$1005,0)),"MISSING ID")</x:f>
        <x:v>Resources</x:v>
      </x:c>
      <x:c r="J130" s="4" t="str">
        <x:f>IFERROR(INDEX('Material routes'!$B$6:$B$1005,MATCH(U130,'Material routes'!$A$6:$A$1005,0)),"MISSING ID")</x:f>
        <x:v>design.branch.lubricant.graphite_grease</x:v>
      </x:c>
      <x:c r="K130" s="4" t="str">
        <x:f>IFERROR(INDEX('Crafting recipes'!$C$6:$C$1005,MATCH(J130,'Crafting recipes'!$A$6:$A$1005,0)),"MISSING ID")</x:f>
        <x:v>Material refinement</x:v>
      </x:c>
      <x:c r="L130" s="4" t="str">
        <x:f>IFERROR(INDEX('Material routes'!$K$6:$K$1005,MATCH(U130,'Material routes'!$A$6:$A$1005,0)),"MISSING ID")</x:f>
        <x:v>Proposal</x:v>
      </x:c>
      <x:c r="M130" s="4" t="str">
        <x:f>IFERROR(INDEX('Material routes'!$M$6:$M$1005,MATCH(U130,'Material routes'!$A$6:$A$1005,0)),"MISSING ID")</x:f>
        <x:v>Partial proposal</x:v>
      </x:c>
      <x:c r="N130" s="4" t="str">
        <x:f>IF(IFERROR(INDEX('Material routes'!$I$6:$I$1005,MATCH(U130,'Material routes'!$A$6:$A$1005,0)),"MISSING ID")=0,"",IFERROR(INDEX('Material routes'!$I$6:$I$1005,MATCH(U130,'Material routes'!$A$6:$A$1005,0)),"MISSING ID"))</x:f>
      </x:c>
      <x:c r="O130" s="4" t="str">
        <x:f>IFERROR(INDEX('Material routes'!$J$6:$J$1005,MATCH(U130,'Material routes'!$A$6:$A$1005,0)),"MISSING ID")</x:f>
        <x:v>Unspecified</x:v>
      </x:c>
      <x:c r="P130" s="4" t="str">
        <x:f>IF(IFERROR(INDEX('Material routes'!$I$6:$I$1005,MATCH(V130,'Material routes'!$A$6:$A$1005,0)),"MISSING ID")=0,"",IFERROR(INDEX('Material routes'!$I$6:$I$1005,MATCH(V130,'Material routes'!$A$6:$A$1005,0)),"MISSING ID"))</x:f>
      </x:c>
      <x:c r="Q130" s="4" t="str">
        <x:f>IFERROR(INDEX('Material routes'!$J$6:$J$1005,MATCH(V130,'Material routes'!$A$6:$A$1005,0)),"MISSING ID")</x:f>
        <x:v>Unspecified</x:v>
      </x:c>
      <x:c r="R130" s="4" t="str">
        <x:f>IF(L130="Withheld","Withheld premise",IF(E130="Tool candidate","Reusable prerequisite",IF(K130="Raw entry preparation","Entry-resource preparation",IF(G130="Not applicable","Finished endpoint",IF(OR(IFERROR(INDEX('Crafting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routes'!$D$6:$D$1005,MATCH(U130,'Material routes'!$A$6:$A$1005,0)),"MISSING ID")</x:f>
        <x:v>proposal.lubricant.base</x:v>
      </x:c>
      <x:c r="T130" s="4" t="str">
        <x:f>IFERROR(INDEX('Material routes'!$D$6:$D$1005,MATCH(V130,'Material routes'!$A$6:$A$1005,0)),"MISSING ID")</x:f>
        <x:v>proposal.lubricant.graphite_grease</x:v>
      </x:c>
      <x:c r="U130" s="4" t="str">
        <x:v>design.branch.lubricant.graphite_grease.in.1</x:v>
      </x:c>
      <x:c r="V130" s="4" t="str">
        <x:v>design.branch.lubricant.graphite_grease.out</x:v>
      </x:c>
    </x:row>
    <x:row r="131" ht="105" customHeight="1">
      <x:c r="A131" s="4" t="str">
        <x:f>IFERROR(INDEX('Material routes'!$E$6:$E$1005,MATCH(U131,'Material routes'!$A$6:$A$1005,0)),"MISSING ID")</x:f>
        <x:v>Prepared secretion thickener</x:v>
      </x:c>
      <x:c r="B131" s="4" t="str">
        <x:f>IFERROR(INDEX('Material routes'!$F$6:$F$1005,MATCH(U131,'Material routes'!$A$6:$A$1005,0)),"MISSING ID")</x:f>
        <x:v>T1</x:v>
      </x:c>
      <x:c r="C131" s="4" t="str">
        <x:f>IFERROR(INDEX('Material routes'!$H$6:$H$1005,MATCH(U131,'Material routes'!$A$6:$A$1005,0)),"MISSING ID")</x:f>
        <x:v>Chemical material</x:v>
      </x:c>
      <x:c r="D131" s="4" t="str">
        <x:f>IFERROR(INDEX('Material routes'!$G$6:$G$1005,MATCH(U131,'Material routes'!$A$6:$A$1005,0)),"MISSING ID")</x:f>
        <x:v>Resources</x:v>
      </x:c>
      <x:c r="E131" s="4" t="str">
        <x:f>IFERROR(INDEX('Material routes'!$C$6:$C$1005,MATCH(U131,'Material routes'!$A$6:$A$1005,0)),"MISSING ID")</x:f>
        <x:v>Ingredient candidate</x:v>
      </x:c>
      <x:c r="F131" s="4" t="str">
        <x:f>IFERROR(INDEX('Material routes'!$E$6:$E$1005,MATCH(V131,'Material routes'!$A$6:$A$1005,0)),"MISSING ID")</x:f>
        <x:v>Graphite faunal grease</x:v>
      </x:c>
      <x:c r="G131" s="4" t="str">
        <x:f>IFERROR(INDEX('Material routes'!$F$6:$F$1005,MATCH(V131,'Material routes'!$A$6:$A$1005,0)),"MISSING ID")</x:f>
        <x:v>T2</x:v>
      </x:c>
      <x:c r="H131" s="4" t="str">
        <x:f>IFERROR(INDEX('Material routes'!$H$6:$H$1005,MATCH(V131,'Material routes'!$A$6:$A$1005,0)),"MISSING ID")</x:f>
        <x:v>Chemical material</x:v>
      </x:c>
      <x:c r="I131" s="4" t="str">
        <x:f>IFERROR(INDEX('Material routes'!$G$6:$G$1005,MATCH(V131,'Material routes'!$A$6:$A$1005,0)),"MISSING ID")</x:f>
        <x:v>Resources</x:v>
      </x:c>
      <x:c r="J131" s="4" t="str">
        <x:f>IFERROR(INDEX('Material routes'!$B$6:$B$1005,MATCH(U131,'Material routes'!$A$6:$A$1005,0)),"MISSING ID")</x:f>
        <x:v>design.branch.lubricant.graphite_grease</x:v>
      </x:c>
      <x:c r="K131" s="4" t="str">
        <x:f>IFERROR(INDEX('Crafting recipes'!$C$6:$C$1005,MATCH(J131,'Crafting recipes'!$A$6:$A$1005,0)),"MISSING ID")</x:f>
        <x:v>Material refinement</x:v>
      </x:c>
      <x:c r="L131" s="4" t="str">
        <x:f>IFERROR(INDEX('Material routes'!$K$6:$K$1005,MATCH(U131,'Material routes'!$A$6:$A$1005,0)),"MISSING ID")</x:f>
        <x:v>Proposal</x:v>
      </x:c>
      <x:c r="M131" s="4" t="str">
        <x:f>IFERROR(INDEX('Material routes'!$M$6:$M$1005,MATCH(U131,'Material routes'!$A$6:$A$1005,0)),"MISSING ID")</x:f>
        <x:v>Partial proposal</x:v>
      </x:c>
      <x:c r="N131" s="4" t="str">
        <x:f>IF(IFERROR(INDEX('Material routes'!$I$6:$I$1005,MATCH(U131,'Material routes'!$A$6:$A$1005,0)),"MISSING ID")=0,"",IFERROR(INDEX('Material routes'!$I$6:$I$1005,MATCH(U131,'Material routes'!$A$6:$A$1005,0)),"MISSING ID"))</x:f>
      </x:c>
      <x:c r="O131" s="4" t="str">
        <x:f>IFERROR(INDEX('Material routes'!$J$6:$J$1005,MATCH(U131,'Material routes'!$A$6:$A$1005,0)),"MISSING ID")</x:f>
        <x:v>Unspecified</x:v>
      </x:c>
      <x:c r="P131" s="4" t="str">
        <x:f>IF(IFERROR(INDEX('Material routes'!$I$6:$I$1005,MATCH(V131,'Material routes'!$A$6:$A$1005,0)),"MISSING ID")=0,"",IFERROR(INDEX('Material routes'!$I$6:$I$1005,MATCH(V131,'Material routes'!$A$6:$A$1005,0)),"MISSING ID"))</x:f>
      </x:c>
      <x:c r="Q131" s="4" t="str">
        <x:f>IFERROR(INDEX('Material routes'!$J$6:$J$1005,MATCH(V131,'Material routes'!$A$6:$A$1005,0)),"MISSING ID")</x:f>
        <x:v>Unspecified</x:v>
      </x:c>
      <x:c r="R131" s="4" t="str">
        <x:f>IF(L131="Withheld","Withheld premise",IF(E131="Tool candidate","Reusable prerequisite",IF(K131="Raw entry preparation","Entry-resource preparation",IF(G131="Not applicable","Finished endpoint",IF(OR(IFERROR(INDEX('Crafting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routes'!$D$6:$D$1005,MATCH(U131,'Material routes'!$A$6:$A$1005,0)),"MISSING ID")</x:f>
        <x:v>proposal.lubricant.thickener</x:v>
      </x:c>
      <x:c r="T131" s="4" t="str">
        <x:f>IFERROR(INDEX('Material routes'!$D$6:$D$1005,MATCH(V131,'Material routes'!$A$6:$A$1005,0)),"MISSING ID")</x:f>
        <x:v>proposal.lubricant.graphite_grease</x:v>
      </x:c>
      <x:c r="U131" s="4" t="str">
        <x:v>design.branch.lubricant.graphite_grease.in.2</x:v>
      </x:c>
      <x:c r="V131" s="4" t="str">
        <x:v>design.branch.lubricant.graphite_grease.out</x:v>
      </x:c>
    </x:row>
    <x:row r="132" ht="105" customHeight="1">
      <x:c r="A132" s="4" t="str">
        <x:f>IFERROR(INDEX('Material routes'!$E$6:$E$1005,MATCH(U132,'Material routes'!$A$6:$A$1005,0)),"MISSING ID")</x:f>
        <x:v>Graded graphite flakes</x:v>
      </x:c>
      <x:c r="B132" s="4" t="str">
        <x:f>IFERROR(INDEX('Material routes'!$F$6:$F$1005,MATCH(U132,'Material routes'!$A$6:$A$1005,0)),"MISSING ID")</x:f>
        <x:v>T1</x:v>
      </x:c>
      <x:c r="C132" s="4" t="str">
        <x:f>IFERROR(INDEX('Material routes'!$H$6:$H$1005,MATCH(U132,'Material routes'!$A$6:$A$1005,0)),"MISSING ID")</x:f>
        <x:v>Processed material</x:v>
      </x:c>
      <x:c r="D132" s="4" t="str">
        <x:f>IFERROR(INDEX('Material routes'!$G$6:$G$1005,MATCH(U132,'Material routes'!$A$6:$A$1005,0)),"MISSING ID")</x:f>
        <x:v>Resources</x:v>
      </x:c>
      <x:c r="E132" s="4" t="str">
        <x:f>IFERROR(INDEX('Material routes'!$C$6:$C$1005,MATCH(U132,'Material routes'!$A$6:$A$1005,0)),"MISSING ID")</x:f>
        <x:v>Ingredient candidate</x:v>
      </x:c>
      <x:c r="F132" s="4" t="str">
        <x:f>IFERROR(INDEX('Material routes'!$E$6:$E$1005,MATCH(V132,'Material routes'!$A$6:$A$1005,0)),"MISSING ID")</x:f>
        <x:v>Graphite faunal grease</x:v>
      </x:c>
      <x:c r="G132" s="4" t="str">
        <x:f>IFERROR(INDEX('Material routes'!$F$6:$F$1005,MATCH(V132,'Material routes'!$A$6:$A$1005,0)),"MISSING ID")</x:f>
        <x:v>T2</x:v>
      </x:c>
      <x:c r="H132" s="4" t="str">
        <x:f>IFERROR(INDEX('Material routes'!$H$6:$H$1005,MATCH(V132,'Material routes'!$A$6:$A$1005,0)),"MISSING ID")</x:f>
        <x:v>Chemical material</x:v>
      </x:c>
      <x:c r="I132" s="4" t="str">
        <x:f>IFERROR(INDEX('Material routes'!$G$6:$G$1005,MATCH(V132,'Material routes'!$A$6:$A$1005,0)),"MISSING ID")</x:f>
        <x:v>Resources</x:v>
      </x:c>
      <x:c r="J132" s="4" t="str">
        <x:f>IFERROR(INDEX('Material routes'!$B$6:$B$1005,MATCH(U132,'Material routes'!$A$6:$A$1005,0)),"MISSING ID")</x:f>
        <x:v>design.branch.lubricant.graphite_grease</x:v>
      </x:c>
      <x:c r="K132" s="4" t="str">
        <x:f>IFERROR(INDEX('Crafting recipes'!$C$6:$C$1005,MATCH(J132,'Crafting recipes'!$A$6:$A$1005,0)),"MISSING ID")</x:f>
        <x:v>Material refinement</x:v>
      </x:c>
      <x:c r="L132" s="4" t="str">
        <x:f>IFERROR(INDEX('Material routes'!$K$6:$K$1005,MATCH(U132,'Material routes'!$A$6:$A$1005,0)),"MISSING ID")</x:f>
        <x:v>Proposal</x:v>
      </x:c>
      <x:c r="M132" s="4" t="str">
        <x:f>IFERROR(INDEX('Material routes'!$M$6:$M$1005,MATCH(U132,'Material routes'!$A$6:$A$1005,0)),"MISSING ID")</x:f>
        <x:v>Partial proposal</x:v>
      </x:c>
      <x:c r="N132" s="4" t="str">
        <x:f>IF(IFERROR(INDEX('Material routes'!$I$6:$I$1005,MATCH(U132,'Material routes'!$A$6:$A$1005,0)),"MISSING ID")=0,"",IFERROR(INDEX('Material routes'!$I$6:$I$1005,MATCH(U132,'Material routes'!$A$6:$A$1005,0)),"MISSING ID"))</x:f>
      </x:c>
      <x:c r="O132" s="4" t="str">
        <x:f>IFERROR(INDEX('Material routes'!$J$6:$J$1005,MATCH(U132,'Material routes'!$A$6:$A$1005,0)),"MISSING ID")</x:f>
        <x:v>Unspecified</x:v>
      </x:c>
      <x:c r="P132" s="4" t="str">
        <x:f>IF(IFERROR(INDEX('Material routes'!$I$6:$I$1005,MATCH(V132,'Material routes'!$A$6:$A$1005,0)),"MISSING ID")=0,"",IFERROR(INDEX('Material routes'!$I$6:$I$1005,MATCH(V132,'Material routes'!$A$6:$A$1005,0)),"MISSING ID"))</x:f>
      </x:c>
      <x:c r="Q132" s="4" t="str">
        <x:f>IFERROR(INDEX('Material routes'!$J$6:$J$1005,MATCH(V132,'Material routes'!$A$6:$A$1005,0)),"MISSING ID")</x:f>
        <x:v>Unspecified</x:v>
      </x:c>
      <x:c r="R132" s="4" t="str">
        <x:f>IF(L132="Withheld","Withheld premise",IF(E132="Tool candidate","Reusable prerequisite",IF(K132="Raw entry preparation","Entry-resource preparation",IF(G132="Not applicable","Finished endpoint",IF(OR(IFERROR(INDEX('Crafting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routes'!$D$6:$D$1005,MATCH(U132,'Material routes'!$A$6:$A$1005,0)),"MISSING ID")</x:f>
        <x:v>proposal.natural.carbon</x:v>
      </x:c>
      <x:c r="T132" s="4" t="str">
        <x:f>IFERROR(INDEX('Material routes'!$D$6:$D$1005,MATCH(V132,'Material routes'!$A$6:$A$1005,0)),"MISSING ID")</x:f>
        <x:v>proposal.lubricant.graphite_grease</x:v>
      </x:c>
      <x:c r="U132" s="4" t="str">
        <x:v>design.branch.lubricant.graphite_grease.in.3</x:v>
      </x:c>
      <x:c r="V132" s="4" t="str">
        <x:v>design.branch.lubricant.graphite_grease.out</x:v>
      </x:c>
    </x:row>
    <x:row r="133" ht="105" customHeight="1">
      <x:c r="A133" s="4" t="str">
        <x:f>IFERROR(INDEX('Material routes'!$E$6:$E$1005,MATCH(U133,'Material routes'!$A$6:$A$1005,0)),"MISSING ID")</x:f>
        <x:v>Steel stock</x:v>
      </x:c>
      <x:c r="B133" s="4" t="str">
        <x:f>IFERROR(INDEX('Material routes'!$F$6:$F$1005,MATCH(U133,'Material routes'!$A$6:$A$1005,0)),"MISSING ID")</x:f>
        <x:v>T2</x:v>
      </x:c>
      <x:c r="C133" s="4" t="str">
        <x:f>IFERROR(INDEX('Material routes'!$H$6:$H$1005,MATCH(U133,'Material routes'!$A$6:$A$1005,0)),"MISSING ID")</x:f>
        <x:v>Processed material</x:v>
      </x:c>
      <x:c r="D133" s="4" t="str">
        <x:f>IFERROR(INDEX('Material routes'!$G$6:$G$1005,MATCH(U133,'Material routes'!$A$6:$A$1005,0)),"MISSING ID")</x:f>
        <x:v>Resources</x:v>
      </x:c>
      <x:c r="E133" s="4" t="str">
        <x:f>IFERROR(INDEX('Material routes'!$C$6:$C$1005,MATCH(U133,'Material routes'!$A$6:$A$1005,0)),"MISSING ID")</x:f>
        <x:v>Ingredient candidate</x:v>
      </x:c>
      <x:c r="F133" s="4" t="str">
        <x:f>IFERROR(INDEX('Material routes'!$E$6:$E$1005,MATCH(V133,'Material routes'!$A$6:$A$1005,0)),"MISSING ID")</x:f>
        <x:v>Steel-faced shell composite</x:v>
      </x:c>
      <x:c r="G133" s="4" t="str">
        <x:f>IFERROR(INDEX('Material routes'!$F$6:$F$1005,MATCH(V133,'Material routes'!$A$6:$A$1005,0)),"MISSING ID")</x:f>
        <x:v>T3</x:v>
      </x:c>
      <x:c r="H133" s="4" t="str">
        <x:f>IFERROR(INDEX('Material routes'!$H$6:$H$1005,MATCH(V133,'Material routes'!$A$6:$A$1005,0)),"MISSING ID")</x:f>
        <x:v>Processed material</x:v>
      </x:c>
      <x:c r="I133" s="4" t="str">
        <x:f>IFERROR(INDEX('Material routes'!$G$6:$G$1005,MATCH(V133,'Material routes'!$A$6:$A$1005,0)),"MISSING ID")</x:f>
        <x:v>Resources</x:v>
      </x:c>
      <x:c r="J133" s="4" t="str">
        <x:f>IFERROR(INDEX('Material routes'!$B$6:$B$1005,MATCH(U133,'Material routes'!$A$6:$A$1005,0)),"MISSING ID")</x:f>
        <x:v>design.branch.branch.steel_shell</x:v>
      </x:c>
      <x:c r="K133" s="4" t="str">
        <x:f>IFERROR(INDEX('Crafting recipes'!$C$6:$C$1005,MATCH(J133,'Crafting recipes'!$A$6:$A$1005,0)),"MISSING ID")</x:f>
        <x:v>Material refinement</x:v>
      </x:c>
      <x:c r="L133" s="4" t="str">
        <x:f>IFERROR(INDEX('Material routes'!$K$6:$K$1005,MATCH(U133,'Material routes'!$A$6:$A$1005,0)),"MISSING ID")</x:f>
        <x:v>Proposal</x:v>
      </x:c>
      <x:c r="M133" s="4" t="str">
        <x:f>IFERROR(INDEX('Material routes'!$M$6:$M$1005,MATCH(U133,'Material routes'!$A$6:$A$1005,0)),"MISSING ID")</x:f>
        <x:v>Partial proposal</x:v>
      </x:c>
      <x:c r="N133" s="4" t="str">
        <x:f>IF(IFERROR(INDEX('Material routes'!$I$6:$I$1005,MATCH(U133,'Material routes'!$A$6:$A$1005,0)),"MISSING ID")=0,"",IFERROR(INDEX('Material routes'!$I$6:$I$1005,MATCH(U133,'Material routes'!$A$6:$A$1005,0)),"MISSING ID"))</x:f>
      </x:c>
      <x:c r="O133" s="4" t="str">
        <x:f>IFERROR(INDEX('Material routes'!$J$6:$J$1005,MATCH(U133,'Material routes'!$A$6:$A$1005,0)),"MISSING ID")</x:f>
        <x:v>Unspecified</x:v>
      </x:c>
      <x:c r="P133" s="4" t="str">
        <x:f>IF(IFERROR(INDEX('Material routes'!$I$6:$I$1005,MATCH(V133,'Material routes'!$A$6:$A$1005,0)),"MISSING ID")=0,"",IFERROR(INDEX('Material routes'!$I$6:$I$1005,MATCH(V133,'Material routes'!$A$6:$A$1005,0)),"MISSING ID"))</x:f>
      </x:c>
      <x:c r="Q133" s="4" t="str">
        <x:f>IFERROR(INDEX('Material routes'!$J$6:$J$1005,MATCH(V133,'Material routes'!$A$6:$A$1005,0)),"MISSING ID")</x:f>
        <x:v>Unspecified</x:v>
      </x:c>
      <x:c r="R133" s="4" t="str">
        <x:f>IF(L133="Withheld","Withheld premise",IF(E133="Tool candidate","Reusable prerequisite",IF(K133="Raw entry preparation","Entry-resource preparation",IF(G133="Not applicable","Finished endpoint",IF(OR(IFERROR(INDEX('Crafting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routes'!$D$6:$D$1005,MATCH(U133,'Material routes'!$A$6:$A$1005,0)),"MISSING ID")</x:f>
        <x:v>author.metallurgy.steel_stock</x:v>
      </x:c>
      <x:c r="T133" s="4" t="str">
        <x:f>IFERROR(INDEX('Material routes'!$D$6:$D$1005,MATCH(V133,'Material routes'!$A$6:$A$1005,0)),"MISSING ID")</x:f>
        <x:v>proposal.branch.steel_shell</x:v>
      </x:c>
      <x:c r="U133" s="4" t="str">
        <x:v>design.branch.branch.steel_shell.in.1</x:v>
      </x:c>
      <x:c r="V133" s="4" t="str">
        <x:v>design.branch.branch.steel_shell.out</x:v>
      </x:c>
    </x:row>
    <x:row r="134" ht="105" customHeight="1">
      <x:c r="A134" s="4" t="str">
        <x:f>IFERROR(INDEX('Material routes'!$E$6:$E$1005,MATCH(U134,'Material routes'!$A$6:$A$1005,0)),"MISSING ID")</x:f>
        <x:v>Shell laminate</x:v>
      </x:c>
      <x:c r="B134" s="4" t="str">
        <x:f>IFERROR(INDEX('Material routes'!$F$6:$F$1005,MATCH(U134,'Material routes'!$A$6:$A$1005,0)),"MISSING ID")</x:f>
        <x:v>T2</x:v>
      </x:c>
      <x:c r="C134" s="4" t="str">
        <x:f>IFERROR(INDEX('Material routes'!$H$6:$H$1005,MATCH(U134,'Material routes'!$A$6:$A$1005,0)),"MISSING ID")</x:f>
        <x:v>Crafting component</x:v>
      </x:c>
      <x:c r="D134" s="4" t="str">
        <x:f>IFERROR(INDEX('Material routes'!$G$6:$G$1005,MATCH(U134,'Material routes'!$A$6:$A$1005,0)),"MISSING ID")</x:f>
        <x:v>Crafting components</x:v>
      </x:c>
      <x:c r="E134" s="4" t="str">
        <x:f>IFERROR(INDEX('Material routes'!$C$6:$C$1005,MATCH(U134,'Material routes'!$A$6:$A$1005,0)),"MISSING ID")</x:f>
        <x:v>Ingredient candidate</x:v>
      </x:c>
      <x:c r="F134" s="4" t="str">
        <x:f>IFERROR(INDEX('Material routes'!$E$6:$E$1005,MATCH(V134,'Material routes'!$A$6:$A$1005,0)),"MISSING ID")</x:f>
        <x:v>Steel-faced shell composite</x:v>
      </x:c>
      <x:c r="G134" s="4" t="str">
        <x:f>IFERROR(INDEX('Material routes'!$F$6:$F$1005,MATCH(V134,'Material routes'!$A$6:$A$1005,0)),"MISSING ID")</x:f>
        <x:v>T3</x:v>
      </x:c>
      <x:c r="H134" s="4" t="str">
        <x:f>IFERROR(INDEX('Material routes'!$H$6:$H$1005,MATCH(V134,'Material routes'!$A$6:$A$1005,0)),"MISSING ID")</x:f>
        <x:v>Processed material</x:v>
      </x:c>
      <x:c r="I134" s="4" t="str">
        <x:f>IFERROR(INDEX('Material routes'!$G$6:$G$1005,MATCH(V134,'Material routes'!$A$6:$A$1005,0)),"MISSING ID")</x:f>
        <x:v>Resources</x:v>
      </x:c>
      <x:c r="J134" s="4" t="str">
        <x:f>IFERROR(INDEX('Material routes'!$B$6:$B$1005,MATCH(U134,'Material routes'!$A$6:$A$1005,0)),"MISSING ID")</x:f>
        <x:v>design.branch.branch.steel_shell</x:v>
      </x:c>
      <x:c r="K134" s="4" t="str">
        <x:f>IFERROR(INDEX('Crafting recipes'!$C$6:$C$1005,MATCH(J134,'Crafting recipes'!$A$6:$A$1005,0)),"MISSING ID")</x:f>
        <x:v>Material refinement</x:v>
      </x:c>
      <x:c r="L134" s="4" t="str">
        <x:f>IFERROR(INDEX('Material routes'!$K$6:$K$1005,MATCH(U134,'Material routes'!$A$6:$A$1005,0)),"MISSING ID")</x:f>
        <x:v>Proposal</x:v>
      </x:c>
      <x:c r="M134" s="4" t="str">
        <x:f>IFERROR(INDEX('Material routes'!$M$6:$M$1005,MATCH(U134,'Material routes'!$A$6:$A$1005,0)),"MISSING ID")</x:f>
        <x:v>Partial proposal</x:v>
      </x:c>
      <x:c r="N134" s="4" t="str">
        <x:f>IF(IFERROR(INDEX('Material routes'!$I$6:$I$1005,MATCH(U134,'Material routes'!$A$6:$A$1005,0)),"MISSING ID")=0,"",IFERROR(INDEX('Material routes'!$I$6:$I$1005,MATCH(U134,'Material routes'!$A$6:$A$1005,0)),"MISSING ID"))</x:f>
      </x:c>
      <x:c r="O134" s="4" t="str">
        <x:f>IFERROR(INDEX('Material routes'!$J$6:$J$1005,MATCH(U134,'Material routes'!$A$6:$A$1005,0)),"MISSING ID")</x:f>
        <x:v>Unspecified</x:v>
      </x:c>
      <x:c r="P134" s="4" t="str">
        <x:f>IF(IFERROR(INDEX('Material routes'!$I$6:$I$1005,MATCH(V134,'Material routes'!$A$6:$A$1005,0)),"MISSING ID")=0,"",IFERROR(INDEX('Material routes'!$I$6:$I$1005,MATCH(V134,'Material routes'!$A$6:$A$1005,0)),"MISSING ID"))</x:f>
      </x:c>
      <x:c r="Q134" s="4" t="str">
        <x:f>IFERROR(INDEX('Material routes'!$J$6:$J$1005,MATCH(V134,'Material routes'!$A$6:$A$1005,0)),"MISSING ID")</x:f>
        <x:v>Unspecified</x:v>
      </x:c>
      <x:c r="R134" s="4" t="str">
        <x:f>IF(L134="Withheld","Withheld premise",IF(E134="Tool candidate","Reusable prerequisite",IF(K134="Raw entry preparation","Entry-resource preparation",IF(G134="Not applicable","Finished endpoint",IF(OR(IFERROR(INDEX('Crafting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routes'!$D$6:$D$1005,MATCH(U134,'Material routes'!$A$6:$A$1005,0)),"MISSING ID")</x:f>
        <x:v>proposal.bio.laminate</x:v>
      </x:c>
      <x:c r="T134" s="4" t="str">
        <x:f>IFERROR(INDEX('Material routes'!$D$6:$D$1005,MATCH(V134,'Material routes'!$A$6:$A$1005,0)),"MISSING ID")</x:f>
        <x:v>proposal.branch.steel_shell</x:v>
      </x:c>
      <x:c r="U134" s="4" t="str">
        <x:v>design.branch.branch.steel_shell.in.2</x:v>
      </x:c>
      <x:c r="V134" s="4" t="str">
        <x:v>design.branch.branch.steel_shell.out</x:v>
      </x:c>
    </x:row>
    <x:row r="135" ht="105" customHeight="1">
      <x:c r="A135" s="4" t="str">
        <x:f>IFERROR(INDEX('Material routes'!$E$6:$E$1005,MATCH(U135,'Material routes'!$A$6:$A$1005,0)),"MISSING ID")</x:f>
        <x:v>Filled shell-binding compound</x:v>
      </x:c>
      <x:c r="B135" s="4" t="str">
        <x:f>IFERROR(INDEX('Material routes'!$F$6:$F$1005,MATCH(U135,'Material routes'!$A$6:$A$1005,0)),"MISSING ID")</x:f>
        <x:v>T2</x:v>
      </x:c>
      <x:c r="C135" s="4" t="str">
        <x:f>IFERROR(INDEX('Material routes'!$H$6:$H$1005,MATCH(U135,'Material routes'!$A$6:$A$1005,0)),"MISSING ID")</x:f>
        <x:v>Chemical material</x:v>
      </x:c>
      <x:c r="D135" s="4" t="str">
        <x:f>IFERROR(INDEX('Material routes'!$G$6:$G$1005,MATCH(U135,'Material routes'!$A$6:$A$1005,0)),"MISSING ID")</x:f>
        <x:v>Resources</x:v>
      </x:c>
      <x:c r="E135" s="4" t="str">
        <x:f>IFERROR(INDEX('Material routes'!$C$6:$C$1005,MATCH(U135,'Material routes'!$A$6:$A$1005,0)),"MISSING ID")</x:f>
        <x:v>Ingredient candidate</x:v>
      </x:c>
      <x:c r="F135" s="4" t="str">
        <x:f>IFERROR(INDEX('Material routes'!$E$6:$E$1005,MATCH(V135,'Material routes'!$A$6:$A$1005,0)),"MISSING ID")</x:f>
        <x:v>Steel-faced shell composite</x:v>
      </x:c>
      <x:c r="G135" s="4" t="str">
        <x:f>IFERROR(INDEX('Material routes'!$F$6:$F$1005,MATCH(V135,'Material routes'!$A$6:$A$1005,0)),"MISSING ID")</x:f>
        <x:v>T3</x:v>
      </x:c>
      <x:c r="H135" s="4" t="str">
        <x:f>IFERROR(INDEX('Material routes'!$H$6:$H$1005,MATCH(V135,'Material routes'!$A$6:$A$1005,0)),"MISSING ID")</x:f>
        <x:v>Processed material</x:v>
      </x:c>
      <x:c r="I135" s="4" t="str">
        <x:f>IFERROR(INDEX('Material routes'!$G$6:$G$1005,MATCH(V135,'Material routes'!$A$6:$A$1005,0)),"MISSING ID")</x:f>
        <x:v>Resources</x:v>
      </x:c>
      <x:c r="J135" s="4" t="str">
        <x:f>IFERROR(INDEX('Material routes'!$B$6:$B$1005,MATCH(U135,'Material routes'!$A$6:$A$1005,0)),"MISSING ID")</x:f>
        <x:v>design.branch.branch.steel_shell</x:v>
      </x:c>
      <x:c r="K135" s="4" t="str">
        <x:f>IFERROR(INDEX('Crafting recipes'!$C$6:$C$1005,MATCH(J135,'Crafting recipes'!$A$6:$A$1005,0)),"MISSING ID")</x:f>
        <x:v>Material refinement</x:v>
      </x:c>
      <x:c r="L135" s="4" t="str">
        <x:f>IFERROR(INDEX('Material routes'!$K$6:$K$1005,MATCH(U135,'Material routes'!$A$6:$A$1005,0)),"MISSING ID")</x:f>
        <x:v>Proposal</x:v>
      </x:c>
      <x:c r="M135" s="4" t="str">
        <x:f>IFERROR(INDEX('Material routes'!$M$6:$M$1005,MATCH(U135,'Material routes'!$A$6:$A$1005,0)),"MISSING ID")</x:f>
        <x:v>Partial proposal</x:v>
      </x:c>
      <x:c r="N135" s="4" t="str">
        <x:f>IF(IFERROR(INDEX('Material routes'!$I$6:$I$1005,MATCH(U135,'Material routes'!$A$6:$A$1005,0)),"MISSING ID")=0,"",IFERROR(INDEX('Material routes'!$I$6:$I$1005,MATCH(U135,'Material routes'!$A$6:$A$1005,0)),"MISSING ID"))</x:f>
      </x:c>
      <x:c r="O135" s="4" t="str">
        <x:f>IFERROR(INDEX('Material routes'!$J$6:$J$1005,MATCH(U135,'Material routes'!$A$6:$A$1005,0)),"MISSING ID")</x:f>
        <x:v>Unspecified</x:v>
      </x:c>
      <x:c r="P135" s="4" t="str">
        <x:f>IF(IFERROR(INDEX('Material routes'!$I$6:$I$1005,MATCH(V135,'Material routes'!$A$6:$A$1005,0)),"MISSING ID")=0,"",IFERROR(INDEX('Material routes'!$I$6:$I$1005,MATCH(V135,'Material routes'!$A$6:$A$1005,0)),"MISSING ID"))</x:f>
      </x:c>
      <x:c r="Q135" s="4" t="str">
        <x:f>IFERROR(INDEX('Material routes'!$J$6:$J$1005,MATCH(V135,'Material routes'!$A$6:$A$1005,0)),"MISSING ID")</x:f>
        <x:v>Unspecified</x:v>
      </x:c>
      <x:c r="R135" s="4" t="str">
        <x:f>IF(L135="Withheld","Withheld premise",IF(E135="Tool candidate","Reusable prerequisite",IF(K135="Raw entry preparation","Entry-resource preparation",IF(G135="Not applicable","Finished endpoint",IF(OR(IFERROR(INDEX('Crafting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routes'!$D$6:$D$1005,MATCH(U135,'Material routes'!$A$6:$A$1005,0)),"MISSING ID")</x:f>
        <x:v>proposal.branch.filled_binder</x:v>
      </x:c>
      <x:c r="T135" s="4" t="str">
        <x:f>IFERROR(INDEX('Material routes'!$D$6:$D$1005,MATCH(V135,'Material routes'!$A$6:$A$1005,0)),"MISSING ID")</x:f>
        <x:v>proposal.branch.steel_shell</x:v>
      </x:c>
      <x:c r="U135" s="4" t="str">
        <x:v>design.branch.branch.steel_shell.in.3</x:v>
      </x:c>
      <x:c r="V135" s="4" t="str">
        <x:v>design.branch.branch.steel_shell.out</x:v>
      </x:c>
    </x:row>
    <x:row r="136" ht="105" customHeight="1">
      <x:c r="A136" s="4" t="str">
        <x:f>IFERROR(INDEX('Material routes'!$E$6:$E$1005,MATCH(U136,'Material routes'!$A$6:$A$1005,0)),"MISSING ID")</x:f>
        <x:v>Steel stock</x:v>
      </x:c>
      <x:c r="B136" s="4" t="str">
        <x:f>IFERROR(INDEX('Material routes'!$F$6:$F$1005,MATCH(U136,'Material routes'!$A$6:$A$1005,0)),"MISSING ID")</x:f>
        <x:v>T2</x:v>
      </x:c>
      <x:c r="C136" s="4" t="str">
        <x:f>IFERROR(INDEX('Material routes'!$H$6:$H$1005,MATCH(U136,'Material routes'!$A$6:$A$1005,0)),"MISSING ID")</x:f>
        <x:v>Processed material</x:v>
      </x:c>
      <x:c r="D136" s="4" t="str">
        <x:f>IFERROR(INDEX('Material routes'!$G$6:$G$1005,MATCH(U136,'Material routes'!$A$6:$A$1005,0)),"MISSING ID")</x:f>
        <x:v>Resources</x:v>
      </x:c>
      <x:c r="E136" s="4" t="str">
        <x:f>IFERROR(INDEX('Material routes'!$C$6:$C$1005,MATCH(U136,'Material routes'!$A$6:$A$1005,0)),"MISSING ID")</x:f>
        <x:v>Ingredient candidate</x:v>
      </x:c>
      <x:c r="F136" s="4" t="str">
        <x:f>IFERROR(INDEX('Material routes'!$E$6:$E$1005,MATCH(V136,'Material routes'!$A$6:$A$1005,0)),"MISSING ID")</x:f>
        <x:v>Spring-grade steel stock</x:v>
      </x:c>
      <x:c r="G136" s="4" t="str">
        <x:f>IFERROR(INDEX('Material routes'!$F$6:$F$1005,MATCH(V136,'Material routes'!$A$6:$A$1005,0)),"MISSING ID")</x:f>
        <x:v>T3</x:v>
      </x:c>
      <x:c r="H136" s="4" t="str">
        <x:f>IFERROR(INDEX('Material routes'!$H$6:$H$1005,MATCH(V136,'Material routes'!$A$6:$A$1005,0)),"MISSING ID")</x:f>
        <x:v>Processed material</x:v>
      </x:c>
      <x:c r="I136" s="4" t="str">
        <x:f>IFERROR(INDEX('Material routes'!$G$6:$G$1005,MATCH(V136,'Material routes'!$A$6:$A$1005,0)),"MISSING ID")</x:f>
        <x:v>Resources</x:v>
      </x:c>
      <x:c r="J136" s="4" t="str">
        <x:f>IFERROR(INDEX('Material routes'!$B$6:$B$1005,MATCH(U136,'Material routes'!$A$6:$A$1005,0)),"MISSING ID")</x:f>
        <x:v>design.branch.branch.spring_steel</x:v>
      </x:c>
      <x:c r="K136" s="4" t="str">
        <x:f>IFERROR(INDEX('Crafting recipes'!$C$6:$C$1005,MATCH(J136,'Crafting recipes'!$A$6:$A$1005,0)),"MISSING ID")</x:f>
        <x:v>Material refinement</x:v>
      </x:c>
      <x:c r="L136" s="4" t="str">
        <x:f>IFERROR(INDEX('Material routes'!$K$6:$K$1005,MATCH(U136,'Material routes'!$A$6:$A$1005,0)),"MISSING ID")</x:f>
        <x:v>Proposal</x:v>
      </x:c>
      <x:c r="M136" s="4" t="str">
        <x:f>IFERROR(INDEX('Material routes'!$M$6:$M$1005,MATCH(U136,'Material routes'!$A$6:$A$1005,0)),"MISSING ID")</x:f>
        <x:v>Partial proposal</x:v>
      </x:c>
      <x:c r="N136" s="4" t="str">
        <x:f>IF(IFERROR(INDEX('Material routes'!$I$6:$I$1005,MATCH(U136,'Material routes'!$A$6:$A$1005,0)),"MISSING ID")=0,"",IFERROR(INDEX('Material routes'!$I$6:$I$1005,MATCH(U136,'Material routes'!$A$6:$A$1005,0)),"MISSING ID"))</x:f>
      </x:c>
      <x:c r="O136" s="4" t="str">
        <x:f>IFERROR(INDEX('Material routes'!$J$6:$J$1005,MATCH(U136,'Material routes'!$A$6:$A$1005,0)),"MISSING ID")</x:f>
        <x:v>Unspecified</x:v>
      </x:c>
      <x:c r="P136" s="4" t="str">
        <x:f>IF(IFERROR(INDEX('Material routes'!$I$6:$I$1005,MATCH(V136,'Material routes'!$A$6:$A$1005,0)),"MISSING ID")=0,"",IFERROR(INDEX('Material routes'!$I$6:$I$1005,MATCH(V136,'Material routes'!$A$6:$A$1005,0)),"MISSING ID"))</x:f>
      </x:c>
      <x:c r="Q136" s="4" t="str">
        <x:f>IFERROR(INDEX('Material routes'!$J$6:$J$1005,MATCH(V136,'Material routes'!$A$6:$A$1005,0)),"MISSING ID")</x:f>
        <x:v>Unspecified</x:v>
      </x:c>
      <x:c r="R136" s="4" t="str">
        <x:f>IF(L136="Withheld","Withheld premise",IF(E136="Tool candidate","Reusable prerequisite",IF(K136="Raw entry preparation","Entry-resource preparation",IF(G136="Not applicable","Finished endpoint",IF(OR(IFERROR(INDEX('Crafting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routes'!$D$6:$D$1005,MATCH(U136,'Material routes'!$A$6:$A$1005,0)),"MISSING ID")</x:f>
        <x:v>author.metallurgy.steel_stock</x:v>
      </x:c>
      <x:c r="T136" s="4" t="str">
        <x:f>IFERROR(INDEX('Material routes'!$D$6:$D$1005,MATCH(V136,'Material routes'!$A$6:$A$1005,0)),"MISSING ID")</x:f>
        <x:v>proposal.branch.spring_steel</x:v>
      </x:c>
      <x:c r="U136" s="4" t="str">
        <x:v>design.branch.branch.spring_steel.in.1</x:v>
      </x:c>
      <x:c r="V136" s="4" t="str">
        <x:v>design.branch.branch.spring_steel.out</x:v>
      </x:c>
    </x:row>
    <x:row r="137" ht="105" customHeight="1">
      <x:c r="A137" s="4" t="str">
        <x:f>IFERROR(INDEX('Material routes'!$E$6:$E$1005,MATCH(U137,'Material routes'!$A$6:$A$1005,0)),"MISSING ID")</x:f>
        <x:v>Prepared manganese alloying stock</x:v>
      </x:c>
      <x:c r="B137" s="4" t="str">
        <x:f>IFERROR(INDEX('Material routes'!$F$6:$F$1005,MATCH(U137,'Material routes'!$A$6:$A$1005,0)),"MISSING ID")</x:f>
        <x:v>T2</x:v>
      </x:c>
      <x:c r="C137" s="4" t="str">
        <x:f>IFERROR(INDEX('Material routes'!$H$6:$H$1005,MATCH(U137,'Material routes'!$A$6:$A$1005,0)),"MISSING ID")</x:f>
        <x:v>Processed material</x:v>
      </x:c>
      <x:c r="D137" s="4" t="str">
        <x:f>IFERROR(INDEX('Material routes'!$G$6:$G$1005,MATCH(U137,'Material routes'!$A$6:$A$1005,0)),"MISSING ID")</x:f>
        <x:v>Resources</x:v>
      </x:c>
      <x:c r="E137" s="4" t="str">
        <x:f>IFERROR(INDEX('Material routes'!$C$6:$C$1005,MATCH(U137,'Material routes'!$A$6:$A$1005,0)),"MISSING ID")</x:f>
        <x:v>Ingredient candidate</x:v>
      </x:c>
      <x:c r="F137" s="4" t="str">
        <x:f>IFERROR(INDEX('Material routes'!$E$6:$E$1005,MATCH(V137,'Material routes'!$A$6:$A$1005,0)),"MISSING ID")</x:f>
        <x:v>Spring-grade steel stock</x:v>
      </x:c>
      <x:c r="G137" s="4" t="str">
        <x:f>IFERROR(INDEX('Material routes'!$F$6:$F$1005,MATCH(V137,'Material routes'!$A$6:$A$1005,0)),"MISSING ID")</x:f>
        <x:v>T3</x:v>
      </x:c>
      <x:c r="H137" s="4" t="str">
        <x:f>IFERROR(INDEX('Material routes'!$H$6:$H$1005,MATCH(V137,'Material routes'!$A$6:$A$1005,0)),"MISSING ID")</x:f>
        <x:v>Processed material</x:v>
      </x:c>
      <x:c r="I137" s="4" t="str">
        <x:f>IFERROR(INDEX('Material routes'!$G$6:$G$1005,MATCH(V137,'Material routes'!$A$6:$A$1005,0)),"MISSING ID")</x:f>
        <x:v>Resources</x:v>
      </x:c>
      <x:c r="J137" s="4" t="str">
        <x:f>IFERROR(INDEX('Material routes'!$B$6:$B$1005,MATCH(U137,'Material routes'!$A$6:$A$1005,0)),"MISSING ID")</x:f>
        <x:v>design.branch.branch.spring_steel</x:v>
      </x:c>
      <x:c r="K137" s="4" t="str">
        <x:f>IFERROR(INDEX('Crafting recipes'!$C$6:$C$1005,MATCH(J137,'Crafting recipes'!$A$6:$A$1005,0)),"MISSING ID")</x:f>
        <x:v>Material refinement</x:v>
      </x:c>
      <x:c r="L137" s="4" t="str">
        <x:f>IFERROR(INDEX('Material routes'!$K$6:$K$1005,MATCH(U137,'Material routes'!$A$6:$A$1005,0)),"MISSING ID")</x:f>
        <x:v>Proposal</x:v>
      </x:c>
      <x:c r="M137" s="4" t="str">
        <x:f>IFERROR(INDEX('Material routes'!$M$6:$M$1005,MATCH(U137,'Material routes'!$A$6:$A$1005,0)),"MISSING ID")</x:f>
        <x:v>Partial proposal</x:v>
      </x:c>
      <x:c r="N137" s="4" t="str">
        <x:f>IF(IFERROR(INDEX('Material routes'!$I$6:$I$1005,MATCH(U137,'Material routes'!$A$6:$A$1005,0)),"MISSING ID")=0,"",IFERROR(INDEX('Material routes'!$I$6:$I$1005,MATCH(U137,'Material routes'!$A$6:$A$1005,0)),"MISSING ID"))</x:f>
      </x:c>
      <x:c r="O137" s="4" t="str">
        <x:f>IFERROR(INDEX('Material routes'!$J$6:$J$1005,MATCH(U137,'Material routes'!$A$6:$A$1005,0)),"MISSING ID")</x:f>
        <x:v>Unspecified</x:v>
      </x:c>
      <x:c r="P137" s="4" t="str">
        <x:f>IF(IFERROR(INDEX('Material routes'!$I$6:$I$1005,MATCH(V137,'Material routes'!$A$6:$A$1005,0)),"MISSING ID")=0,"",IFERROR(INDEX('Material routes'!$I$6:$I$1005,MATCH(V137,'Material routes'!$A$6:$A$1005,0)),"MISSING ID"))</x:f>
      </x:c>
      <x:c r="Q137" s="4" t="str">
        <x:f>IFERROR(INDEX('Material routes'!$J$6:$J$1005,MATCH(V137,'Material routes'!$A$6:$A$1005,0)),"MISSING ID")</x:f>
        <x:v>Unspecified</x:v>
      </x:c>
      <x:c r="R137" s="4" t="str">
        <x:f>IF(L137="Withheld","Withheld premise",IF(E137="Tool candidate","Reusable prerequisite",IF(K137="Raw entry preparation","Entry-resource preparation",IF(G137="Not applicable","Finished endpoint",IF(OR(IFERROR(INDEX('Crafting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routes'!$D$6:$D$1005,MATCH(U137,'Material routes'!$A$6:$A$1005,0)),"MISSING ID")</x:f>
        <x:v>proposal.branch.alloy_addition</x:v>
      </x:c>
      <x:c r="T137" s="4" t="str">
        <x:f>IFERROR(INDEX('Material routes'!$D$6:$D$1005,MATCH(V137,'Material routes'!$A$6:$A$1005,0)),"MISSING ID")</x:f>
        <x:v>proposal.branch.spring_steel</x:v>
      </x:c>
      <x:c r="U137" s="4" t="str">
        <x:v>design.branch.branch.spring_steel.in.2</x:v>
      </x:c>
      <x:c r="V137" s="4" t="str">
        <x:v>design.branch.branch.spring_steel.out</x:v>
      </x:c>
    </x:row>
    <x:row r="138" ht="105" customHeight="1">
      <x:c r="A138" s="4" t="str">
        <x:f>IFERROR(INDEX('Material routes'!$E$6:$E$1005,MATCH(U138,'Material routes'!$A$6:$A$1005,0)),"MISSING ID")</x:f>
        <x:v>Prepared metallurgical flux</x:v>
      </x:c>
      <x:c r="B138" s="4" t="str">
        <x:f>IFERROR(INDEX('Material routes'!$F$6:$F$1005,MATCH(U138,'Material routes'!$A$6:$A$1005,0)),"MISSING ID")</x:f>
        <x:v>T1</x:v>
      </x:c>
      <x:c r="C138" s="4" t="str">
        <x:f>IFERROR(INDEX('Material routes'!$H$6:$H$1005,MATCH(U138,'Material routes'!$A$6:$A$1005,0)),"MISSING ID")</x:f>
        <x:v>Processed material</x:v>
      </x:c>
      <x:c r="D138" s="4" t="str">
        <x:f>IFERROR(INDEX('Material routes'!$G$6:$G$1005,MATCH(U138,'Material routes'!$A$6:$A$1005,0)),"MISSING ID")</x:f>
        <x:v>Resources</x:v>
      </x:c>
      <x:c r="E138" s="4" t="str">
        <x:f>IFERROR(INDEX('Material routes'!$C$6:$C$1005,MATCH(U138,'Material routes'!$A$6:$A$1005,0)),"MISSING ID")</x:f>
        <x:v>Ingredient candidate</x:v>
      </x:c>
      <x:c r="F138" s="4" t="str">
        <x:f>IFERROR(INDEX('Material routes'!$E$6:$E$1005,MATCH(V138,'Material routes'!$A$6:$A$1005,0)),"MISSING ID")</x:f>
        <x:v>Spring-grade steel stock</x:v>
      </x:c>
      <x:c r="G138" s="4" t="str">
        <x:f>IFERROR(INDEX('Material routes'!$F$6:$F$1005,MATCH(V138,'Material routes'!$A$6:$A$1005,0)),"MISSING ID")</x:f>
        <x:v>T3</x:v>
      </x:c>
      <x:c r="H138" s="4" t="str">
        <x:f>IFERROR(INDEX('Material routes'!$H$6:$H$1005,MATCH(V138,'Material routes'!$A$6:$A$1005,0)),"MISSING ID")</x:f>
        <x:v>Processed material</x:v>
      </x:c>
      <x:c r="I138" s="4" t="str">
        <x:f>IFERROR(INDEX('Material routes'!$G$6:$G$1005,MATCH(V138,'Material routes'!$A$6:$A$1005,0)),"MISSING ID")</x:f>
        <x:v>Resources</x:v>
      </x:c>
      <x:c r="J138" s="4" t="str">
        <x:f>IFERROR(INDEX('Material routes'!$B$6:$B$1005,MATCH(U138,'Material routes'!$A$6:$A$1005,0)),"MISSING ID")</x:f>
        <x:v>design.branch.branch.spring_steel</x:v>
      </x:c>
      <x:c r="K138" s="4" t="str">
        <x:f>IFERROR(INDEX('Crafting recipes'!$C$6:$C$1005,MATCH(J138,'Crafting recipes'!$A$6:$A$1005,0)),"MISSING ID")</x:f>
        <x:v>Material refinement</x:v>
      </x:c>
      <x:c r="L138" s="4" t="str">
        <x:f>IFERROR(INDEX('Material routes'!$K$6:$K$1005,MATCH(U138,'Material routes'!$A$6:$A$1005,0)),"MISSING ID")</x:f>
        <x:v>Proposal</x:v>
      </x:c>
      <x:c r="M138" s="4" t="str">
        <x:f>IFERROR(INDEX('Material routes'!$M$6:$M$1005,MATCH(U138,'Material routes'!$A$6:$A$1005,0)),"MISSING ID")</x:f>
        <x:v>Partial proposal</x:v>
      </x:c>
      <x:c r="N138" s="4" t="str">
        <x:f>IF(IFERROR(INDEX('Material routes'!$I$6:$I$1005,MATCH(U138,'Material routes'!$A$6:$A$1005,0)),"MISSING ID")=0,"",IFERROR(INDEX('Material routes'!$I$6:$I$1005,MATCH(U138,'Material routes'!$A$6:$A$1005,0)),"MISSING ID"))</x:f>
      </x:c>
      <x:c r="O138" s="4" t="str">
        <x:f>IFERROR(INDEX('Material routes'!$J$6:$J$1005,MATCH(U138,'Material routes'!$A$6:$A$1005,0)),"MISSING ID")</x:f>
        <x:v>Unspecified</x:v>
      </x:c>
      <x:c r="P138" s="4" t="str">
        <x:f>IF(IFERROR(INDEX('Material routes'!$I$6:$I$1005,MATCH(V138,'Material routes'!$A$6:$A$1005,0)),"MISSING ID")=0,"",IFERROR(INDEX('Material routes'!$I$6:$I$1005,MATCH(V138,'Material routes'!$A$6:$A$1005,0)),"MISSING ID"))</x:f>
      </x:c>
      <x:c r="Q138" s="4" t="str">
        <x:f>IFERROR(INDEX('Material routes'!$J$6:$J$1005,MATCH(V138,'Material routes'!$A$6:$A$1005,0)),"MISSING ID")</x:f>
        <x:v>Unspecified</x:v>
      </x:c>
      <x:c r="R138" s="4" t="str">
        <x:f>IF(L138="Withheld","Withheld premise",IF(E138="Tool candidate","Reusable prerequisite",IF(K138="Raw entry preparation","Entry-resource preparation",IF(G138="Not applicable","Finished endpoint",IF(OR(IFERROR(INDEX('Crafting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routes'!$D$6:$D$1005,MATCH(U138,'Material routes'!$A$6:$A$1005,0)),"MISSING ID")</x:f>
        <x:v>proposal.branch.flux</x:v>
      </x:c>
      <x:c r="T138" s="4" t="str">
        <x:f>IFERROR(INDEX('Material routes'!$D$6:$D$1005,MATCH(V138,'Material routes'!$A$6:$A$1005,0)),"MISSING ID")</x:f>
        <x:v>proposal.branch.spring_steel</x:v>
      </x:c>
      <x:c r="U138" s="4" t="str">
        <x:v>design.branch.branch.spring_steel.in.3</x:v>
      </x:c>
      <x:c r="V138" s="4" t="str">
        <x:v>design.branch.branch.spring_steel.out</x:v>
      </x:c>
    </x:row>
    <x:row r="139" ht="105" customHeight="1">
      <x:c r="A139" s="4" t="str">
        <x:f>IFERROR(INDEX('Material routes'!$E$6:$E$1005,MATCH(U139,'Material routes'!$A$6:$A$1005,0)),"MISSING ID")</x:f>
        <x:v>Drawn copper stock</x:v>
      </x:c>
      <x:c r="B139" s="4" t="str">
        <x:f>IFERROR(INDEX('Material routes'!$F$6:$F$1005,MATCH(U139,'Material routes'!$A$6:$A$1005,0)),"MISSING ID")</x:f>
        <x:v>T2</x:v>
      </x:c>
      <x:c r="C139" s="4" t="str">
        <x:f>IFERROR(INDEX('Material routes'!$H$6:$H$1005,MATCH(U139,'Material routes'!$A$6:$A$1005,0)),"MISSING ID")</x:f>
        <x:v>Processed material</x:v>
      </x:c>
      <x:c r="D139" s="4" t="str">
        <x:f>IFERROR(INDEX('Material routes'!$G$6:$G$1005,MATCH(U139,'Material routes'!$A$6:$A$1005,0)),"MISSING ID")</x:f>
        <x:v>Resources</x:v>
      </x:c>
      <x:c r="E139" s="4" t="str">
        <x:f>IFERROR(INDEX('Material routes'!$C$6:$C$1005,MATCH(U139,'Material routes'!$A$6:$A$1005,0)),"MISSING ID")</x:f>
        <x:v>Ingredient candidate</x:v>
      </x:c>
      <x:c r="F139" s="4" t="str">
        <x:f>IFERROR(INDEX('Material routes'!$E$6:$E$1005,MATCH(V139,'Material routes'!$A$6:$A$1005,0)),"MISSING ID")</x:f>
        <x:v>Insulated conductor stock</x:v>
      </x:c>
      <x:c r="G139" s="4" t="str">
        <x:f>IFERROR(INDEX('Material routes'!$F$6:$F$1005,MATCH(V139,'Material routes'!$A$6:$A$1005,0)),"MISSING ID")</x:f>
        <x:v>T3</x:v>
      </x:c>
      <x:c r="H139" s="4" t="str">
        <x:f>IFERROR(INDEX('Material routes'!$H$6:$H$1005,MATCH(V139,'Material routes'!$A$6:$A$1005,0)),"MISSING ID")</x:f>
        <x:v>Processed material</x:v>
      </x:c>
      <x:c r="I139" s="4" t="str">
        <x:f>IFERROR(INDEX('Material routes'!$G$6:$G$1005,MATCH(V139,'Material routes'!$A$6:$A$1005,0)),"MISSING ID")</x:f>
        <x:v>Resources</x:v>
      </x:c>
      <x:c r="J139" s="4" t="str">
        <x:f>IFERROR(INDEX('Material routes'!$B$6:$B$1005,MATCH(U139,'Material routes'!$A$6:$A$1005,0)),"MISSING ID")</x:f>
        <x:v>design.branch.branch.insulated_conductor</x:v>
      </x:c>
      <x:c r="K139" s="4" t="str">
        <x:f>IFERROR(INDEX('Crafting recipes'!$C$6:$C$1005,MATCH(J139,'Crafting recipes'!$A$6:$A$1005,0)),"MISSING ID")</x:f>
        <x:v>Material refinement</x:v>
      </x:c>
      <x:c r="L139" s="4" t="str">
        <x:f>IFERROR(INDEX('Material routes'!$K$6:$K$1005,MATCH(U139,'Material routes'!$A$6:$A$1005,0)),"MISSING ID")</x:f>
        <x:v>Proposal</x:v>
      </x:c>
      <x:c r="M139" s="4" t="str">
        <x:f>IFERROR(INDEX('Material routes'!$M$6:$M$1005,MATCH(U139,'Material routes'!$A$6:$A$1005,0)),"MISSING ID")</x:f>
        <x:v>Partial proposal</x:v>
      </x:c>
      <x:c r="N139" s="4" t="str">
        <x:f>IF(IFERROR(INDEX('Material routes'!$I$6:$I$1005,MATCH(U139,'Material routes'!$A$6:$A$1005,0)),"MISSING ID")=0,"",IFERROR(INDEX('Material routes'!$I$6:$I$1005,MATCH(U139,'Material routes'!$A$6:$A$1005,0)),"MISSING ID"))</x:f>
      </x:c>
      <x:c r="O139" s="4" t="str">
        <x:f>IFERROR(INDEX('Material routes'!$J$6:$J$1005,MATCH(U139,'Material routes'!$A$6:$A$1005,0)),"MISSING ID")</x:f>
        <x:v>Unspecified</x:v>
      </x:c>
      <x:c r="P139" s="4" t="str">
        <x:f>IF(IFERROR(INDEX('Material routes'!$I$6:$I$1005,MATCH(V139,'Material routes'!$A$6:$A$1005,0)),"MISSING ID")=0,"",IFERROR(INDEX('Material routes'!$I$6:$I$1005,MATCH(V139,'Material routes'!$A$6:$A$1005,0)),"MISSING ID"))</x:f>
      </x:c>
      <x:c r="Q139" s="4" t="str">
        <x:f>IFERROR(INDEX('Material routes'!$J$6:$J$1005,MATCH(V139,'Material routes'!$A$6:$A$1005,0)),"MISSING ID")</x:f>
        <x:v>Unspecified</x:v>
      </x:c>
      <x:c r="R139" s="4" t="str">
        <x:f>IF(L139="Withheld","Withheld premise",IF(E139="Tool candidate","Reusable prerequisite",IF(K139="Raw entry preparation","Entry-resource preparation",IF(G139="Not applicable","Finished endpoint",IF(OR(IFERROR(INDEX('Crafting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routes'!$D$6:$D$1005,MATCH(U139,'Material routes'!$A$6:$A$1005,0)),"MISSING ID")</x:f>
        <x:v>proposal.branch.drawn_copper</x:v>
      </x:c>
      <x:c r="T139" s="4" t="str">
        <x:f>IFERROR(INDEX('Material routes'!$D$6:$D$1005,MATCH(V139,'Material routes'!$A$6:$A$1005,0)),"MISSING ID")</x:f>
        <x:v>proposal.branch.insulated_conductor</x:v>
      </x:c>
      <x:c r="U139" s="4" t="str">
        <x:v>design.branch.branch.insulated_conductor.in.1</x:v>
      </x:c>
      <x:c r="V139" s="4" t="str">
        <x:v>design.branch.branch.insulated_conductor.out</x:v>
      </x:c>
    </x:row>
    <x:row r="140" ht="105" customHeight="1">
      <x:c r="A140" s="4" t="str">
        <x:f>IFERROR(INDEX('Material routes'!$E$6:$E$1005,MATCH(U140,'Material routes'!$A$6:$A$1005,0)),"MISSING ID")</x:f>
        <x:v>Mica composite sheet</x:v>
      </x:c>
      <x:c r="B140" s="4" t="str">
        <x:f>IFERROR(INDEX('Material routes'!$F$6:$F$1005,MATCH(U140,'Material routes'!$A$6:$A$1005,0)),"MISSING ID")</x:f>
        <x:v>T2</x:v>
      </x:c>
      <x:c r="C140" s="4" t="str">
        <x:f>IFERROR(INDEX('Material routes'!$H$6:$H$1005,MATCH(U140,'Material routes'!$A$6:$A$1005,0)),"MISSING ID")</x:f>
        <x:v>Processed material</x:v>
      </x:c>
      <x:c r="D140" s="4" t="str">
        <x:f>IFERROR(INDEX('Material routes'!$G$6:$G$1005,MATCH(U140,'Material routes'!$A$6:$A$1005,0)),"MISSING ID")</x:f>
        <x:v>Resources</x:v>
      </x:c>
      <x:c r="E140" s="4" t="str">
        <x:f>IFERROR(INDEX('Material routes'!$C$6:$C$1005,MATCH(U140,'Material routes'!$A$6:$A$1005,0)),"MISSING ID")</x:f>
        <x:v>Ingredient candidate</x:v>
      </x:c>
      <x:c r="F140" s="4" t="str">
        <x:f>IFERROR(INDEX('Material routes'!$E$6:$E$1005,MATCH(V140,'Material routes'!$A$6:$A$1005,0)),"MISSING ID")</x:f>
        <x:v>Insulated conductor stock</x:v>
      </x:c>
      <x:c r="G140" s="4" t="str">
        <x:f>IFERROR(INDEX('Material routes'!$F$6:$F$1005,MATCH(V140,'Material routes'!$A$6:$A$1005,0)),"MISSING ID")</x:f>
        <x:v>T3</x:v>
      </x:c>
      <x:c r="H140" s="4" t="str">
        <x:f>IFERROR(INDEX('Material routes'!$H$6:$H$1005,MATCH(V140,'Material routes'!$A$6:$A$1005,0)),"MISSING ID")</x:f>
        <x:v>Processed material</x:v>
      </x:c>
      <x:c r="I140" s="4" t="str">
        <x:f>IFERROR(INDEX('Material routes'!$G$6:$G$1005,MATCH(V140,'Material routes'!$A$6:$A$1005,0)),"MISSING ID")</x:f>
        <x:v>Resources</x:v>
      </x:c>
      <x:c r="J140" s="4" t="str">
        <x:f>IFERROR(INDEX('Material routes'!$B$6:$B$1005,MATCH(U140,'Material routes'!$A$6:$A$1005,0)),"MISSING ID")</x:f>
        <x:v>design.branch.branch.insulated_conductor</x:v>
      </x:c>
      <x:c r="K140" s="4" t="str">
        <x:f>IFERROR(INDEX('Crafting recipes'!$C$6:$C$1005,MATCH(J140,'Crafting recipes'!$A$6:$A$1005,0)),"MISSING ID")</x:f>
        <x:v>Material refinement</x:v>
      </x:c>
      <x:c r="L140" s="4" t="str">
        <x:f>IFERROR(INDEX('Material routes'!$K$6:$K$1005,MATCH(U140,'Material routes'!$A$6:$A$1005,0)),"MISSING ID")</x:f>
        <x:v>Proposal</x:v>
      </x:c>
      <x:c r="M140" s="4" t="str">
        <x:f>IFERROR(INDEX('Material routes'!$M$6:$M$1005,MATCH(U140,'Material routes'!$A$6:$A$1005,0)),"MISSING ID")</x:f>
        <x:v>Partial proposal</x:v>
      </x:c>
      <x:c r="N140" s="4" t="str">
        <x:f>IF(IFERROR(INDEX('Material routes'!$I$6:$I$1005,MATCH(U140,'Material routes'!$A$6:$A$1005,0)),"MISSING ID")=0,"",IFERROR(INDEX('Material routes'!$I$6:$I$1005,MATCH(U140,'Material routes'!$A$6:$A$1005,0)),"MISSING ID"))</x:f>
      </x:c>
      <x:c r="O140" s="4" t="str">
        <x:f>IFERROR(INDEX('Material routes'!$J$6:$J$1005,MATCH(U140,'Material routes'!$A$6:$A$1005,0)),"MISSING ID")</x:f>
        <x:v>Unspecified</x:v>
      </x:c>
      <x:c r="P140" s="4" t="str">
        <x:f>IF(IFERROR(INDEX('Material routes'!$I$6:$I$1005,MATCH(V140,'Material routes'!$A$6:$A$1005,0)),"MISSING ID")=0,"",IFERROR(INDEX('Material routes'!$I$6:$I$1005,MATCH(V140,'Material routes'!$A$6:$A$1005,0)),"MISSING ID"))</x:f>
      </x:c>
      <x:c r="Q140" s="4" t="str">
        <x:f>IFERROR(INDEX('Material routes'!$J$6:$J$1005,MATCH(V140,'Material routes'!$A$6:$A$1005,0)),"MISSING ID")</x:f>
        <x:v>Unspecified</x:v>
      </x:c>
      <x:c r="R140" s="4" t="str">
        <x:f>IF(L140="Withheld","Withheld premise",IF(E140="Tool candidate","Reusable prerequisite",IF(K140="Raw entry preparation","Entry-resource preparation",IF(G140="Not applicable","Finished endpoint",IF(OR(IFERROR(INDEX('Crafting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routes'!$D$6:$D$1005,MATCH(U140,'Material routes'!$A$6:$A$1005,0)),"MISSING ID")</x:f>
        <x:v>proposal.branch.mica_sheet</x:v>
      </x:c>
      <x:c r="T140" s="4" t="str">
        <x:f>IFERROR(INDEX('Material routes'!$D$6:$D$1005,MATCH(V140,'Material routes'!$A$6:$A$1005,0)),"MISSING ID")</x:f>
        <x:v>proposal.branch.insulated_conductor</x:v>
      </x:c>
      <x:c r="U140" s="4" t="str">
        <x:v>design.branch.branch.insulated_conductor.in.2</x:v>
      </x:c>
      <x:c r="V140" s="4" t="str">
        <x:v>design.branch.branch.insulated_conductor.out</x:v>
      </x:c>
    </x:row>
    <x:row r="141" ht="105" customHeight="1">
      <x:c r="A141" s="4" t="str">
        <x:f>IFERROR(INDEX('Material routes'!$E$6:$E$1005,MATCH(U141,'Material routes'!$A$6:$A$1005,0)),"MISSING ID")</x:f>
        <x:v>Flexible membrane-bonding compound</x:v>
      </x:c>
      <x:c r="B141" s="4" t="str">
        <x:f>IFERROR(INDEX('Material routes'!$F$6:$F$1005,MATCH(U141,'Material routes'!$A$6:$A$1005,0)),"MISSING ID")</x:f>
        <x:v>T2</x:v>
      </x:c>
      <x:c r="C141" s="4" t="str">
        <x:f>IFERROR(INDEX('Material routes'!$H$6:$H$1005,MATCH(U141,'Material routes'!$A$6:$A$1005,0)),"MISSING ID")</x:f>
        <x:v>Chemical material</x:v>
      </x:c>
      <x:c r="D141" s="4" t="str">
        <x:f>IFERROR(INDEX('Material routes'!$G$6:$G$1005,MATCH(U141,'Material routes'!$A$6:$A$1005,0)),"MISSING ID")</x:f>
        <x:v>Resources</x:v>
      </x:c>
      <x:c r="E141" s="4" t="str">
        <x:f>IFERROR(INDEX('Material routes'!$C$6:$C$1005,MATCH(U141,'Material routes'!$A$6:$A$1005,0)),"MISSING ID")</x:f>
        <x:v>Ingredient candidate</x:v>
      </x:c>
      <x:c r="F141" s="4" t="str">
        <x:f>IFERROR(INDEX('Material routes'!$E$6:$E$1005,MATCH(V141,'Material routes'!$A$6:$A$1005,0)),"MISSING ID")</x:f>
        <x:v>Insulated conductor stock</x:v>
      </x:c>
      <x:c r="G141" s="4" t="str">
        <x:f>IFERROR(INDEX('Material routes'!$F$6:$F$1005,MATCH(V141,'Material routes'!$A$6:$A$1005,0)),"MISSING ID")</x:f>
        <x:v>T3</x:v>
      </x:c>
      <x:c r="H141" s="4" t="str">
        <x:f>IFERROR(INDEX('Material routes'!$H$6:$H$1005,MATCH(V141,'Material routes'!$A$6:$A$1005,0)),"MISSING ID")</x:f>
        <x:v>Processed material</x:v>
      </x:c>
      <x:c r="I141" s="4" t="str">
        <x:f>IFERROR(INDEX('Material routes'!$G$6:$G$1005,MATCH(V141,'Material routes'!$A$6:$A$1005,0)),"MISSING ID")</x:f>
        <x:v>Resources</x:v>
      </x:c>
      <x:c r="J141" s="4" t="str">
        <x:f>IFERROR(INDEX('Material routes'!$B$6:$B$1005,MATCH(U141,'Material routes'!$A$6:$A$1005,0)),"MISSING ID")</x:f>
        <x:v>design.branch.branch.insulated_conductor</x:v>
      </x:c>
      <x:c r="K141" s="4" t="str">
        <x:f>IFERROR(INDEX('Crafting recipes'!$C$6:$C$1005,MATCH(J141,'Crafting recipes'!$A$6:$A$1005,0)),"MISSING ID")</x:f>
        <x:v>Material refinement</x:v>
      </x:c>
      <x:c r="L141" s="4" t="str">
        <x:f>IFERROR(INDEX('Material routes'!$K$6:$K$1005,MATCH(U141,'Material routes'!$A$6:$A$1005,0)),"MISSING ID")</x:f>
        <x:v>Proposal</x:v>
      </x:c>
      <x:c r="M141" s="4" t="str">
        <x:f>IFERROR(INDEX('Material routes'!$M$6:$M$1005,MATCH(U141,'Material routes'!$A$6:$A$1005,0)),"MISSING ID")</x:f>
        <x:v>Partial proposal</x:v>
      </x:c>
      <x:c r="N141" s="4" t="str">
        <x:f>IF(IFERROR(INDEX('Material routes'!$I$6:$I$1005,MATCH(U141,'Material routes'!$A$6:$A$1005,0)),"MISSING ID")=0,"",IFERROR(INDEX('Material routes'!$I$6:$I$1005,MATCH(U141,'Material routes'!$A$6:$A$1005,0)),"MISSING ID"))</x:f>
      </x:c>
      <x:c r="O141" s="4" t="str">
        <x:f>IFERROR(INDEX('Material routes'!$J$6:$J$1005,MATCH(U141,'Material routes'!$A$6:$A$1005,0)),"MISSING ID")</x:f>
        <x:v>Unspecified</x:v>
      </x:c>
      <x:c r="P141" s="4" t="str">
        <x:f>IF(IFERROR(INDEX('Material routes'!$I$6:$I$1005,MATCH(V141,'Material routes'!$A$6:$A$1005,0)),"MISSING ID")=0,"",IFERROR(INDEX('Material routes'!$I$6:$I$1005,MATCH(V141,'Material routes'!$A$6:$A$1005,0)),"MISSING ID"))</x:f>
      </x:c>
      <x:c r="Q141" s="4" t="str">
        <x:f>IFERROR(INDEX('Material routes'!$J$6:$J$1005,MATCH(V141,'Material routes'!$A$6:$A$1005,0)),"MISSING ID")</x:f>
        <x:v>Unspecified</x:v>
      </x:c>
      <x:c r="R141" s="4" t="str">
        <x:f>IF(L141="Withheld","Withheld premise",IF(E141="Tool candidate","Reusable prerequisite",IF(K141="Raw entry preparation","Entry-resource preparation",IF(G141="Not applicable","Finished endpoint",IF(OR(IFERROR(INDEX('Crafting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routes'!$D$6:$D$1005,MATCH(U141,'Material routes'!$A$6:$A$1005,0)),"MISSING ID")</x:f>
        <x:v>proposal.branch.flex_bond</x:v>
      </x:c>
      <x:c r="T141" s="4" t="str">
        <x:f>IFERROR(INDEX('Material routes'!$D$6:$D$1005,MATCH(V141,'Material routes'!$A$6:$A$1005,0)),"MISSING ID")</x:f>
        <x:v>proposal.branch.insulated_conductor</x:v>
      </x:c>
      <x:c r="U141" s="4" t="str">
        <x:v>design.branch.branch.insulated_conductor.in.3</x:v>
      </x:c>
      <x:c r="V141" s="4" t="str">
        <x:v>design.branch.branch.insulated_conductor.out</x:v>
      </x:c>
    </x:row>
    <x:row r="142" ht="105" customHeight="1">
      <x:c r="A142" s="4" t="str">
        <x:f>IFERROR(INDEX('Material routes'!$E$6:$E$1005,MATCH(U142,'Material routes'!$A$6:$A$1005,0)),"MISSING ID")</x:f>
        <x:v>Insulating ceramic blanks</x:v>
      </x:c>
      <x:c r="B142" s="4" t="str">
        <x:f>IFERROR(INDEX('Material routes'!$F$6:$F$1005,MATCH(U142,'Material routes'!$A$6:$A$1005,0)),"MISSING ID")</x:f>
        <x:v>T2</x:v>
      </x:c>
      <x:c r="C142" s="4" t="str">
        <x:f>IFERROR(INDEX('Material routes'!$H$6:$H$1005,MATCH(U142,'Material routes'!$A$6:$A$1005,0)),"MISSING ID")</x:f>
        <x:v>Processed material</x:v>
      </x:c>
      <x:c r="D142" s="4" t="str">
        <x:f>IFERROR(INDEX('Material routes'!$G$6:$G$1005,MATCH(U142,'Material routes'!$A$6:$A$1005,0)),"MISSING ID")</x:f>
        <x:v>Resources</x:v>
      </x:c>
      <x:c r="E142" s="4" t="str">
        <x:f>IFERROR(INDEX('Material routes'!$C$6:$C$1005,MATCH(U142,'Material routes'!$A$6:$A$1005,0)),"MISSING ID")</x:f>
        <x:v>Ingredient candidate</x:v>
      </x:c>
      <x:c r="F142" s="4" t="str">
        <x:f>IFERROR(INDEX('Material routes'!$E$6:$E$1005,MATCH(V142,'Material routes'!$A$6:$A$1005,0)),"MISSING ID")</x:f>
        <x:v>Bonded ceramic-shell composite</x:v>
      </x:c>
      <x:c r="G142" s="4" t="str">
        <x:f>IFERROR(INDEX('Material routes'!$F$6:$F$1005,MATCH(V142,'Material routes'!$A$6:$A$1005,0)),"MISSING ID")</x:f>
        <x:v>T3</x:v>
      </x:c>
      <x:c r="H142" s="4" t="str">
        <x:f>IFERROR(INDEX('Material routes'!$H$6:$H$1005,MATCH(V142,'Material routes'!$A$6:$A$1005,0)),"MISSING ID")</x:f>
        <x:v>Processed material</x:v>
      </x:c>
      <x:c r="I142" s="4" t="str">
        <x:f>IFERROR(INDEX('Material routes'!$G$6:$G$1005,MATCH(V142,'Material routes'!$A$6:$A$1005,0)),"MISSING ID")</x:f>
        <x:v>Resources</x:v>
      </x:c>
      <x:c r="J142" s="4" t="str">
        <x:f>IFERROR(INDEX('Material routes'!$B$6:$B$1005,MATCH(U142,'Material routes'!$A$6:$A$1005,0)),"MISSING ID")</x:f>
        <x:v>design.branch.branch.ceramic_shell</x:v>
      </x:c>
      <x:c r="K142" s="4" t="str">
        <x:f>IFERROR(INDEX('Crafting recipes'!$C$6:$C$1005,MATCH(J142,'Crafting recipes'!$A$6:$A$1005,0)),"MISSING ID")</x:f>
        <x:v>Material refinement</x:v>
      </x:c>
      <x:c r="L142" s="4" t="str">
        <x:f>IFERROR(INDEX('Material routes'!$K$6:$K$1005,MATCH(U142,'Material routes'!$A$6:$A$1005,0)),"MISSING ID")</x:f>
        <x:v>Proposal</x:v>
      </x:c>
      <x:c r="M142" s="4" t="str">
        <x:f>IFERROR(INDEX('Material routes'!$M$6:$M$1005,MATCH(U142,'Material routes'!$A$6:$A$1005,0)),"MISSING ID")</x:f>
        <x:v>Partial proposal</x:v>
      </x:c>
      <x:c r="N142" s="4" t="str">
        <x:f>IF(IFERROR(INDEX('Material routes'!$I$6:$I$1005,MATCH(U142,'Material routes'!$A$6:$A$1005,0)),"MISSING ID")=0,"",IFERROR(INDEX('Material routes'!$I$6:$I$1005,MATCH(U142,'Material routes'!$A$6:$A$1005,0)),"MISSING ID"))</x:f>
      </x:c>
      <x:c r="O142" s="4" t="str">
        <x:f>IFERROR(INDEX('Material routes'!$J$6:$J$1005,MATCH(U142,'Material routes'!$A$6:$A$1005,0)),"MISSING ID")</x:f>
        <x:v>Unspecified</x:v>
      </x:c>
      <x:c r="P142" s="4" t="str">
        <x:f>IF(IFERROR(INDEX('Material routes'!$I$6:$I$1005,MATCH(V142,'Material routes'!$A$6:$A$1005,0)),"MISSING ID")=0,"",IFERROR(INDEX('Material routes'!$I$6:$I$1005,MATCH(V142,'Material routes'!$A$6:$A$1005,0)),"MISSING ID"))</x:f>
      </x:c>
      <x:c r="Q142" s="4" t="str">
        <x:f>IFERROR(INDEX('Material routes'!$J$6:$J$1005,MATCH(V142,'Material routes'!$A$6:$A$1005,0)),"MISSING ID")</x:f>
        <x:v>Unspecified</x:v>
      </x:c>
      <x:c r="R142" s="4" t="str">
        <x:f>IF(L142="Withheld","Withheld premise",IF(E142="Tool candidate","Reusable prerequisite",IF(K142="Raw entry preparation","Entry-resource preparation",IF(G142="Not applicable","Finished endpoint",IF(OR(IFERROR(INDEX('Crafting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routes'!$D$6:$D$1005,MATCH(U142,'Material routes'!$A$6:$A$1005,0)),"MISSING ID")</x:f>
        <x:v>proposal.natural.ceramic</x:v>
      </x:c>
      <x:c r="T142" s="4" t="str">
        <x:f>IFERROR(INDEX('Material routes'!$D$6:$D$1005,MATCH(V142,'Material routes'!$A$6:$A$1005,0)),"MISSING ID")</x:f>
        <x:v>proposal.branch.ceramic_shell</x:v>
      </x:c>
      <x:c r="U142" s="4" t="str">
        <x:v>design.branch.branch.ceramic_shell.in.1</x:v>
      </x:c>
      <x:c r="V142" s="4" t="str">
        <x:v>design.branch.branch.ceramic_shell.out</x:v>
      </x:c>
    </x:row>
    <x:row r="143" ht="105" customHeight="1">
      <x:c r="A143" s="4" t="str">
        <x:f>IFERROR(INDEX('Material routes'!$E$6:$E$1005,MATCH(U143,'Material routes'!$A$6:$A$1005,0)),"MISSING ID")</x:f>
        <x:v>Shell laminate</x:v>
      </x:c>
      <x:c r="B143" s="4" t="str">
        <x:f>IFERROR(INDEX('Material routes'!$F$6:$F$1005,MATCH(U143,'Material routes'!$A$6:$A$1005,0)),"MISSING ID")</x:f>
        <x:v>T2</x:v>
      </x:c>
      <x:c r="C143" s="4" t="str">
        <x:f>IFERROR(INDEX('Material routes'!$H$6:$H$1005,MATCH(U143,'Material routes'!$A$6:$A$1005,0)),"MISSING ID")</x:f>
        <x:v>Crafting component</x:v>
      </x:c>
      <x:c r="D143" s="4" t="str">
        <x:f>IFERROR(INDEX('Material routes'!$G$6:$G$1005,MATCH(U143,'Material routes'!$A$6:$A$1005,0)),"MISSING ID")</x:f>
        <x:v>Crafting components</x:v>
      </x:c>
      <x:c r="E143" s="4" t="str">
        <x:f>IFERROR(INDEX('Material routes'!$C$6:$C$1005,MATCH(U143,'Material routes'!$A$6:$A$1005,0)),"MISSING ID")</x:f>
        <x:v>Ingredient candidate</x:v>
      </x:c>
      <x:c r="F143" s="4" t="str">
        <x:f>IFERROR(INDEX('Material routes'!$E$6:$E$1005,MATCH(V143,'Material routes'!$A$6:$A$1005,0)),"MISSING ID")</x:f>
        <x:v>Bonded ceramic-shell composite</x:v>
      </x:c>
      <x:c r="G143" s="4" t="str">
        <x:f>IFERROR(INDEX('Material routes'!$F$6:$F$1005,MATCH(V143,'Material routes'!$A$6:$A$1005,0)),"MISSING ID")</x:f>
        <x:v>T3</x:v>
      </x:c>
      <x:c r="H143" s="4" t="str">
        <x:f>IFERROR(INDEX('Material routes'!$H$6:$H$1005,MATCH(V143,'Material routes'!$A$6:$A$1005,0)),"MISSING ID")</x:f>
        <x:v>Processed material</x:v>
      </x:c>
      <x:c r="I143" s="4" t="str">
        <x:f>IFERROR(INDEX('Material routes'!$G$6:$G$1005,MATCH(V143,'Material routes'!$A$6:$A$1005,0)),"MISSING ID")</x:f>
        <x:v>Resources</x:v>
      </x:c>
      <x:c r="J143" s="4" t="str">
        <x:f>IFERROR(INDEX('Material routes'!$B$6:$B$1005,MATCH(U143,'Material routes'!$A$6:$A$1005,0)),"MISSING ID")</x:f>
        <x:v>design.branch.branch.ceramic_shell</x:v>
      </x:c>
      <x:c r="K143" s="4" t="str">
        <x:f>IFERROR(INDEX('Crafting recipes'!$C$6:$C$1005,MATCH(J143,'Crafting recipes'!$A$6:$A$1005,0)),"MISSING ID")</x:f>
        <x:v>Material refinement</x:v>
      </x:c>
      <x:c r="L143" s="4" t="str">
        <x:f>IFERROR(INDEX('Material routes'!$K$6:$K$1005,MATCH(U143,'Material routes'!$A$6:$A$1005,0)),"MISSING ID")</x:f>
        <x:v>Proposal</x:v>
      </x:c>
      <x:c r="M143" s="4" t="str">
        <x:f>IFERROR(INDEX('Material routes'!$M$6:$M$1005,MATCH(U143,'Material routes'!$A$6:$A$1005,0)),"MISSING ID")</x:f>
        <x:v>Partial proposal</x:v>
      </x:c>
      <x:c r="N143" s="4" t="str">
        <x:f>IF(IFERROR(INDEX('Material routes'!$I$6:$I$1005,MATCH(U143,'Material routes'!$A$6:$A$1005,0)),"MISSING ID")=0,"",IFERROR(INDEX('Material routes'!$I$6:$I$1005,MATCH(U143,'Material routes'!$A$6:$A$1005,0)),"MISSING ID"))</x:f>
      </x:c>
      <x:c r="O143" s="4" t="str">
        <x:f>IFERROR(INDEX('Material routes'!$J$6:$J$1005,MATCH(U143,'Material routes'!$A$6:$A$1005,0)),"MISSING ID")</x:f>
        <x:v>Unspecified</x:v>
      </x:c>
      <x:c r="P143" s="4" t="str">
        <x:f>IF(IFERROR(INDEX('Material routes'!$I$6:$I$1005,MATCH(V143,'Material routes'!$A$6:$A$1005,0)),"MISSING ID")=0,"",IFERROR(INDEX('Material routes'!$I$6:$I$1005,MATCH(V143,'Material routes'!$A$6:$A$1005,0)),"MISSING ID"))</x:f>
      </x:c>
      <x:c r="Q143" s="4" t="str">
        <x:f>IFERROR(INDEX('Material routes'!$J$6:$J$1005,MATCH(V143,'Material routes'!$A$6:$A$1005,0)),"MISSING ID")</x:f>
        <x:v>Unspecified</x:v>
      </x:c>
      <x:c r="R143" s="4" t="str">
        <x:f>IF(L143="Withheld","Withheld premise",IF(E143="Tool candidate","Reusable prerequisite",IF(K143="Raw entry preparation","Entry-resource preparation",IF(G143="Not applicable","Finished endpoint",IF(OR(IFERROR(INDEX('Crafting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routes'!$D$6:$D$1005,MATCH(U143,'Material routes'!$A$6:$A$1005,0)),"MISSING ID")</x:f>
        <x:v>proposal.bio.laminate</x:v>
      </x:c>
      <x:c r="T143" s="4" t="str">
        <x:f>IFERROR(INDEX('Material routes'!$D$6:$D$1005,MATCH(V143,'Material routes'!$A$6:$A$1005,0)),"MISSING ID")</x:f>
        <x:v>proposal.branch.ceramic_shell</x:v>
      </x:c>
      <x:c r="U143" s="4" t="str">
        <x:v>design.branch.branch.ceramic_shell.in.2</x:v>
      </x:c>
      <x:c r="V143" s="4" t="str">
        <x:v>design.branch.branch.ceramic_shell.out</x:v>
      </x:c>
    </x:row>
    <x:row r="144" ht="105" customHeight="1">
      <x:c r="A144" s="4" t="str">
        <x:f>IFERROR(INDEX('Material routes'!$E$6:$E$1005,MATCH(U144,'Material routes'!$A$6:$A$1005,0)),"MISSING ID")</x:f>
        <x:v>Filled shell-binding compound</x:v>
      </x:c>
      <x:c r="B144" s="4" t="str">
        <x:f>IFERROR(INDEX('Material routes'!$F$6:$F$1005,MATCH(U144,'Material routes'!$A$6:$A$1005,0)),"MISSING ID")</x:f>
        <x:v>T2</x:v>
      </x:c>
      <x:c r="C144" s="4" t="str">
        <x:f>IFERROR(INDEX('Material routes'!$H$6:$H$1005,MATCH(U144,'Material routes'!$A$6:$A$1005,0)),"MISSING ID")</x:f>
        <x:v>Chemical material</x:v>
      </x:c>
      <x:c r="D144" s="4" t="str">
        <x:f>IFERROR(INDEX('Material routes'!$G$6:$G$1005,MATCH(U144,'Material routes'!$A$6:$A$1005,0)),"MISSING ID")</x:f>
        <x:v>Resources</x:v>
      </x:c>
      <x:c r="E144" s="4" t="str">
        <x:f>IFERROR(INDEX('Material routes'!$C$6:$C$1005,MATCH(U144,'Material routes'!$A$6:$A$1005,0)),"MISSING ID")</x:f>
        <x:v>Ingredient candidate</x:v>
      </x:c>
      <x:c r="F144" s="4" t="str">
        <x:f>IFERROR(INDEX('Material routes'!$E$6:$E$1005,MATCH(V144,'Material routes'!$A$6:$A$1005,0)),"MISSING ID")</x:f>
        <x:v>Bonded ceramic-shell composite</x:v>
      </x:c>
      <x:c r="G144" s="4" t="str">
        <x:f>IFERROR(INDEX('Material routes'!$F$6:$F$1005,MATCH(V144,'Material routes'!$A$6:$A$1005,0)),"MISSING ID")</x:f>
        <x:v>T3</x:v>
      </x:c>
      <x:c r="H144" s="4" t="str">
        <x:f>IFERROR(INDEX('Material routes'!$H$6:$H$1005,MATCH(V144,'Material routes'!$A$6:$A$1005,0)),"MISSING ID")</x:f>
        <x:v>Processed material</x:v>
      </x:c>
      <x:c r="I144" s="4" t="str">
        <x:f>IFERROR(INDEX('Material routes'!$G$6:$G$1005,MATCH(V144,'Material routes'!$A$6:$A$1005,0)),"MISSING ID")</x:f>
        <x:v>Resources</x:v>
      </x:c>
      <x:c r="J144" s="4" t="str">
        <x:f>IFERROR(INDEX('Material routes'!$B$6:$B$1005,MATCH(U144,'Material routes'!$A$6:$A$1005,0)),"MISSING ID")</x:f>
        <x:v>design.branch.branch.ceramic_shell</x:v>
      </x:c>
      <x:c r="K144" s="4" t="str">
        <x:f>IFERROR(INDEX('Crafting recipes'!$C$6:$C$1005,MATCH(J144,'Crafting recipes'!$A$6:$A$1005,0)),"MISSING ID")</x:f>
        <x:v>Material refinement</x:v>
      </x:c>
      <x:c r="L144" s="4" t="str">
        <x:f>IFERROR(INDEX('Material routes'!$K$6:$K$1005,MATCH(U144,'Material routes'!$A$6:$A$1005,0)),"MISSING ID")</x:f>
        <x:v>Proposal</x:v>
      </x:c>
      <x:c r="M144" s="4" t="str">
        <x:f>IFERROR(INDEX('Material routes'!$M$6:$M$1005,MATCH(U144,'Material routes'!$A$6:$A$1005,0)),"MISSING ID")</x:f>
        <x:v>Partial proposal</x:v>
      </x:c>
      <x:c r="N144" s="4" t="str">
        <x:f>IF(IFERROR(INDEX('Material routes'!$I$6:$I$1005,MATCH(U144,'Material routes'!$A$6:$A$1005,0)),"MISSING ID")=0,"",IFERROR(INDEX('Material routes'!$I$6:$I$1005,MATCH(U144,'Material routes'!$A$6:$A$1005,0)),"MISSING ID"))</x:f>
      </x:c>
      <x:c r="O144" s="4" t="str">
        <x:f>IFERROR(INDEX('Material routes'!$J$6:$J$1005,MATCH(U144,'Material routes'!$A$6:$A$1005,0)),"MISSING ID")</x:f>
        <x:v>Unspecified</x:v>
      </x:c>
      <x:c r="P144" s="4" t="str">
        <x:f>IF(IFERROR(INDEX('Material routes'!$I$6:$I$1005,MATCH(V144,'Material routes'!$A$6:$A$1005,0)),"MISSING ID")=0,"",IFERROR(INDEX('Material routes'!$I$6:$I$1005,MATCH(V144,'Material routes'!$A$6:$A$1005,0)),"MISSING ID"))</x:f>
      </x:c>
      <x:c r="Q144" s="4" t="str">
        <x:f>IFERROR(INDEX('Material routes'!$J$6:$J$1005,MATCH(V144,'Material routes'!$A$6:$A$1005,0)),"MISSING ID")</x:f>
        <x:v>Unspecified</x:v>
      </x:c>
      <x:c r="R144" s="4" t="str">
        <x:f>IF(L144="Withheld","Withheld premise",IF(E144="Tool candidate","Reusable prerequisite",IF(K144="Raw entry preparation","Entry-resource preparation",IF(G144="Not applicable","Finished endpoint",IF(OR(IFERROR(INDEX('Crafting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routes'!$D$6:$D$1005,MATCH(U144,'Material routes'!$A$6:$A$1005,0)),"MISSING ID")</x:f>
        <x:v>proposal.branch.filled_binder</x:v>
      </x:c>
      <x:c r="T144" s="4" t="str">
        <x:f>IFERROR(INDEX('Material routes'!$D$6:$D$1005,MATCH(V144,'Material routes'!$A$6:$A$1005,0)),"MISSING ID")</x:f>
        <x:v>proposal.branch.ceramic_shell</x:v>
      </x:c>
      <x:c r="U144" s="4" t="str">
        <x:v>design.branch.branch.ceramic_shell.in.3</x:v>
      </x:c>
      <x:c r="V144" s="4" t="str">
        <x:v>design.branch.branch.ceramic_shell.out</x:v>
      </x:c>
    </x:row>
    <x:row r="145" ht="105" customHeight="1">
      <x:c r="A145" s="4" t="str">
        <x:f>IFERROR(INDEX('Material routes'!$E$6:$E$1005,MATCH(U145,'Material routes'!$A$6:$A$1005,0)),"MISSING ID")</x:f>
        <x:v>Selected viewing-glass stock</x:v>
      </x:c>
      <x:c r="B145" s="4" t="str">
        <x:f>IFERROR(INDEX('Material routes'!$F$6:$F$1005,MATCH(U145,'Material routes'!$A$6:$A$1005,0)),"MISSING ID")</x:f>
        <x:v>T2</x:v>
      </x:c>
      <x:c r="C145" s="4" t="str">
        <x:f>IFERROR(INDEX('Material routes'!$H$6:$H$1005,MATCH(U145,'Material routes'!$A$6:$A$1005,0)),"MISSING ID")</x:f>
        <x:v>Processed material</x:v>
      </x:c>
      <x:c r="D145" s="4" t="str">
        <x:f>IFERROR(INDEX('Material routes'!$G$6:$G$1005,MATCH(U145,'Material routes'!$A$6:$A$1005,0)),"MISSING ID")</x:f>
        <x:v>Resources</x:v>
      </x:c>
      <x:c r="E145" s="4" t="str">
        <x:f>IFERROR(INDEX('Material routes'!$C$6:$C$1005,MATCH(U145,'Material routes'!$A$6:$A$1005,0)),"MISSING ID")</x:f>
        <x:v>Ingredient candidate</x:v>
      </x:c>
      <x:c r="F145" s="4" t="str">
        <x:f>IFERROR(INDEX('Material routes'!$E$6:$E$1005,MATCH(V145,'Material routes'!$A$6:$A$1005,0)),"MISSING ID")</x:f>
        <x:v>Ground optical glass stock</x:v>
      </x:c>
      <x:c r="G145" s="4" t="str">
        <x:f>IFERROR(INDEX('Material routes'!$F$6:$F$1005,MATCH(V145,'Material routes'!$A$6:$A$1005,0)),"MISSING ID")</x:f>
        <x:v>T3</x:v>
      </x:c>
      <x:c r="H145" s="4" t="str">
        <x:f>IFERROR(INDEX('Material routes'!$H$6:$H$1005,MATCH(V145,'Material routes'!$A$6:$A$1005,0)),"MISSING ID")</x:f>
        <x:v>Processed material</x:v>
      </x:c>
      <x:c r="I145" s="4" t="str">
        <x:f>IFERROR(INDEX('Material routes'!$G$6:$G$1005,MATCH(V145,'Material routes'!$A$6:$A$1005,0)),"MISSING ID")</x:f>
        <x:v>Resources</x:v>
      </x:c>
      <x:c r="J145" s="4" t="str">
        <x:f>IFERROR(INDEX('Material routes'!$B$6:$B$1005,MATCH(U145,'Material routes'!$A$6:$A$1005,0)),"MISSING ID")</x:f>
        <x:v>design.branch.branch.optical_glass</x:v>
      </x:c>
      <x:c r="K145" s="4" t="str">
        <x:f>IFERROR(INDEX('Crafting recipes'!$C$6:$C$1005,MATCH(J145,'Crafting recipes'!$A$6:$A$1005,0)),"MISSING ID")</x:f>
        <x:v>Material refinement</x:v>
      </x:c>
      <x:c r="L145" s="4" t="str">
        <x:f>IFERROR(INDEX('Material routes'!$K$6:$K$1005,MATCH(U145,'Material routes'!$A$6:$A$1005,0)),"MISSING ID")</x:f>
        <x:v>Proposal</x:v>
      </x:c>
      <x:c r="M145" s="4" t="str">
        <x:f>IFERROR(INDEX('Material routes'!$M$6:$M$1005,MATCH(U145,'Material routes'!$A$6:$A$1005,0)),"MISSING ID")</x:f>
        <x:v>Partial proposal</x:v>
      </x:c>
      <x:c r="N145" s="4" t="str">
        <x:f>IF(IFERROR(INDEX('Material routes'!$I$6:$I$1005,MATCH(U145,'Material routes'!$A$6:$A$1005,0)),"MISSING ID")=0,"",IFERROR(INDEX('Material routes'!$I$6:$I$1005,MATCH(U145,'Material routes'!$A$6:$A$1005,0)),"MISSING ID"))</x:f>
      </x:c>
      <x:c r="O145" s="4" t="str">
        <x:f>IFERROR(INDEX('Material routes'!$J$6:$J$1005,MATCH(U145,'Material routes'!$A$6:$A$1005,0)),"MISSING ID")</x:f>
        <x:v>Unspecified</x:v>
      </x:c>
      <x:c r="P145" s="4" t="str">
        <x:f>IF(IFERROR(INDEX('Material routes'!$I$6:$I$1005,MATCH(V145,'Material routes'!$A$6:$A$1005,0)),"MISSING ID")=0,"",IFERROR(INDEX('Material routes'!$I$6:$I$1005,MATCH(V145,'Material routes'!$A$6:$A$1005,0)),"MISSING ID"))</x:f>
      </x:c>
      <x:c r="Q145" s="4" t="str">
        <x:f>IFERROR(INDEX('Material routes'!$J$6:$J$1005,MATCH(V145,'Material routes'!$A$6:$A$1005,0)),"MISSING ID")</x:f>
        <x:v>Unspecified</x:v>
      </x:c>
      <x:c r="R145" s="4" t="str">
        <x:f>IF(L145="Withheld","Withheld premise",IF(E145="Tool candidate","Reusable prerequisite",IF(K145="Raw entry preparation","Entry-resource preparation",IF(G145="Not applicable","Finished endpoint",IF(OR(IFERROR(INDEX('Crafting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routes'!$D$6:$D$1005,MATCH(U145,'Material routes'!$A$6:$A$1005,0)),"MISSING ID")</x:f>
        <x:v>proposal.branch.viewing_glass</x:v>
      </x:c>
      <x:c r="T145" s="4" t="str">
        <x:f>IFERROR(INDEX('Material routes'!$D$6:$D$1005,MATCH(V145,'Material routes'!$A$6:$A$1005,0)),"MISSING ID")</x:f>
        <x:v>proposal.branch.optical_glass</x:v>
      </x:c>
      <x:c r="U145" s="4" t="str">
        <x:v>design.branch.branch.optical_glass.in.1</x:v>
      </x:c>
      <x:c r="V145" s="4" t="str">
        <x:v>design.branch.branch.optical_glass.out</x:v>
      </x:c>
    </x:row>
    <x:row r="146" ht="105" customHeight="1">
      <x:c r="A146" s="4" t="str">
        <x:f>IFERROR(INDEX('Material routes'!$E$6:$E$1005,MATCH(U146,'Material routes'!$A$6:$A$1005,0)),"MISSING ID")</x:f>
        <x:v>Graded abrasive grit</x:v>
      </x:c>
      <x:c r="B146" s="4" t="str">
        <x:f>IFERROR(INDEX('Material routes'!$F$6:$F$1005,MATCH(U146,'Material routes'!$A$6:$A$1005,0)),"MISSING ID")</x:f>
        <x:v>T1</x:v>
      </x:c>
      <x:c r="C146" s="4" t="str">
        <x:f>IFERROR(INDEX('Material routes'!$H$6:$H$1005,MATCH(U146,'Material routes'!$A$6:$A$1005,0)),"MISSING ID")</x:f>
        <x:v>Processed material</x:v>
      </x:c>
      <x:c r="D146" s="4" t="str">
        <x:f>IFERROR(INDEX('Material routes'!$G$6:$G$1005,MATCH(U146,'Material routes'!$A$6:$A$1005,0)),"MISSING ID")</x:f>
        <x:v>Resources</x:v>
      </x:c>
      <x:c r="E146" s="4" t="str">
        <x:f>IFERROR(INDEX('Material routes'!$C$6:$C$1005,MATCH(U146,'Material routes'!$A$6:$A$1005,0)),"MISSING ID")</x:f>
        <x:v>Ingredient candidate</x:v>
      </x:c>
      <x:c r="F146" s="4" t="str">
        <x:f>IFERROR(INDEX('Material routes'!$E$6:$E$1005,MATCH(V146,'Material routes'!$A$6:$A$1005,0)),"MISSING ID")</x:f>
        <x:v>Ground optical glass stock</x:v>
      </x:c>
      <x:c r="G146" s="4" t="str">
        <x:f>IFERROR(INDEX('Material routes'!$F$6:$F$1005,MATCH(V146,'Material routes'!$A$6:$A$1005,0)),"MISSING ID")</x:f>
        <x:v>T3</x:v>
      </x:c>
      <x:c r="H146" s="4" t="str">
        <x:f>IFERROR(INDEX('Material routes'!$H$6:$H$1005,MATCH(V146,'Material routes'!$A$6:$A$1005,0)),"MISSING ID")</x:f>
        <x:v>Processed material</x:v>
      </x:c>
      <x:c r="I146" s="4" t="str">
        <x:f>IFERROR(INDEX('Material routes'!$G$6:$G$1005,MATCH(V146,'Material routes'!$A$6:$A$1005,0)),"MISSING ID")</x:f>
        <x:v>Resources</x:v>
      </x:c>
      <x:c r="J146" s="4" t="str">
        <x:f>IFERROR(INDEX('Material routes'!$B$6:$B$1005,MATCH(U146,'Material routes'!$A$6:$A$1005,0)),"MISSING ID")</x:f>
        <x:v>design.branch.branch.optical_glass</x:v>
      </x:c>
      <x:c r="K146" s="4" t="str">
        <x:f>IFERROR(INDEX('Crafting recipes'!$C$6:$C$1005,MATCH(J146,'Crafting recipes'!$A$6:$A$1005,0)),"MISSING ID")</x:f>
        <x:v>Material refinement</x:v>
      </x:c>
      <x:c r="L146" s="4" t="str">
        <x:f>IFERROR(INDEX('Material routes'!$K$6:$K$1005,MATCH(U146,'Material routes'!$A$6:$A$1005,0)),"MISSING ID")</x:f>
        <x:v>Proposal</x:v>
      </x:c>
      <x:c r="M146" s="4" t="str">
        <x:f>IFERROR(INDEX('Material routes'!$M$6:$M$1005,MATCH(U146,'Material routes'!$A$6:$A$1005,0)),"MISSING ID")</x:f>
        <x:v>Partial proposal</x:v>
      </x:c>
      <x:c r="N146" s="4" t="str">
        <x:f>IF(IFERROR(INDEX('Material routes'!$I$6:$I$1005,MATCH(U146,'Material routes'!$A$6:$A$1005,0)),"MISSING ID")=0,"",IFERROR(INDEX('Material routes'!$I$6:$I$1005,MATCH(U146,'Material routes'!$A$6:$A$1005,0)),"MISSING ID"))</x:f>
      </x:c>
      <x:c r="O146" s="4" t="str">
        <x:f>IFERROR(INDEX('Material routes'!$J$6:$J$1005,MATCH(U146,'Material routes'!$A$6:$A$1005,0)),"MISSING ID")</x:f>
        <x:v>Unspecified</x:v>
      </x:c>
      <x:c r="P146" s="4" t="str">
        <x:f>IF(IFERROR(INDEX('Material routes'!$I$6:$I$1005,MATCH(V146,'Material routes'!$A$6:$A$1005,0)),"MISSING ID")=0,"",IFERROR(INDEX('Material routes'!$I$6:$I$1005,MATCH(V146,'Material routes'!$A$6:$A$1005,0)),"MISSING ID"))</x:f>
      </x:c>
      <x:c r="Q146" s="4" t="str">
        <x:f>IFERROR(INDEX('Material routes'!$J$6:$J$1005,MATCH(V146,'Material routes'!$A$6:$A$1005,0)),"MISSING ID")</x:f>
        <x:v>Unspecified</x:v>
      </x:c>
      <x:c r="R146" s="4" t="str">
        <x:f>IF(L146="Withheld","Withheld premise",IF(E146="Tool candidate","Reusable prerequisite",IF(K146="Raw entry preparation","Entry-resource preparation",IF(G146="Not applicable","Finished endpoint",IF(OR(IFERROR(INDEX('Crafting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routes'!$D$6:$D$1005,MATCH(U146,'Material routes'!$A$6:$A$1005,0)),"MISSING ID")</x:f>
        <x:v>proposal.natural.abrasive</x:v>
      </x:c>
      <x:c r="T146" s="4" t="str">
        <x:f>IFERROR(INDEX('Material routes'!$D$6:$D$1005,MATCH(V146,'Material routes'!$A$6:$A$1005,0)),"MISSING ID")</x:f>
        <x:v>proposal.branch.optical_glass</x:v>
      </x:c>
      <x:c r="U146" s="4" t="str">
        <x:v>design.branch.branch.optical_glass.in.2</x:v>
      </x:c>
      <x:c r="V146" s="4" t="str">
        <x:v>design.branch.branch.optical_glass.out</x:v>
      </x:c>
    </x:row>
    <x:row r="147" ht="105" customHeight="1">
      <x:c r="A147" s="4" t="str">
        <x:f>IFERROR(INDEX('Material routes'!$E$6:$E$1005,MATCH(U147,'Material routes'!$A$6:$A$1005,0)),"MISSING ID")</x:f>
        <x:v>Bonded husk sheet</x:v>
      </x:c>
      <x:c r="B147" s="4" t="str">
        <x:f>IFERROR(INDEX('Material routes'!$F$6:$F$1005,MATCH(U147,'Material routes'!$A$6:$A$1005,0)),"MISSING ID")</x:f>
        <x:v>T2</x:v>
      </x:c>
      <x:c r="C147" s="4" t="str">
        <x:f>IFERROR(INDEX('Material routes'!$H$6:$H$1005,MATCH(U147,'Material routes'!$A$6:$A$1005,0)),"MISSING ID")</x:f>
        <x:v>Processed material</x:v>
      </x:c>
      <x:c r="D147" s="4" t="str">
        <x:f>IFERROR(INDEX('Material routes'!$G$6:$G$1005,MATCH(U147,'Material routes'!$A$6:$A$1005,0)),"MISSING ID")</x:f>
        <x:v>Resources</x:v>
      </x:c>
      <x:c r="E147" s="4" t="str">
        <x:f>IFERROR(INDEX('Material routes'!$C$6:$C$1005,MATCH(U147,'Material routes'!$A$6:$A$1005,0)),"MISSING ID")</x:f>
        <x:v>Ingredient candidate</x:v>
      </x:c>
      <x:c r="F147" s="4" t="str">
        <x:f>IFERROR(INDEX('Material routes'!$E$6:$E$1005,MATCH(V147,'Material routes'!$A$6:$A$1005,0)),"MISSING ID")</x:f>
        <x:v>Layered husk composite stock</x:v>
      </x:c>
      <x:c r="G147" s="4" t="str">
        <x:f>IFERROR(INDEX('Material routes'!$F$6:$F$1005,MATCH(V147,'Material routes'!$A$6:$A$1005,0)),"MISSING ID")</x:f>
        <x:v>T3</x:v>
      </x:c>
      <x:c r="H147" s="4" t="str">
        <x:f>IFERROR(INDEX('Material routes'!$H$6:$H$1005,MATCH(V147,'Material routes'!$A$6:$A$1005,0)),"MISSING ID")</x:f>
        <x:v>Processed material</x:v>
      </x:c>
      <x:c r="I147" s="4" t="str">
        <x:f>IFERROR(INDEX('Material routes'!$G$6:$G$1005,MATCH(V147,'Material routes'!$A$6:$A$1005,0)),"MISSING ID")</x:f>
        <x:v>Resources</x:v>
      </x:c>
      <x:c r="J147" s="4" t="str">
        <x:f>IFERROR(INDEX('Material routes'!$B$6:$B$1005,MATCH(U147,'Material routes'!$A$6:$A$1005,0)),"MISSING ID")</x:f>
        <x:v>design.branch.branch.husk_composite</x:v>
      </x:c>
      <x:c r="K147" s="4" t="str">
        <x:f>IFERROR(INDEX('Crafting recipes'!$C$6:$C$1005,MATCH(J147,'Crafting recipes'!$A$6:$A$1005,0)),"MISSING ID")</x:f>
        <x:v>Material refinement</x:v>
      </x:c>
      <x:c r="L147" s="4" t="str">
        <x:f>IFERROR(INDEX('Material routes'!$K$6:$K$1005,MATCH(U147,'Material routes'!$A$6:$A$1005,0)),"MISSING ID")</x:f>
        <x:v>Proposal</x:v>
      </x:c>
      <x:c r="M147" s="4" t="str">
        <x:f>IFERROR(INDEX('Material routes'!$M$6:$M$1005,MATCH(U147,'Material routes'!$A$6:$A$1005,0)),"MISSING ID")</x:f>
        <x:v>Partial proposal</x:v>
      </x:c>
      <x:c r="N147" s="4" t="str">
        <x:f>IF(IFERROR(INDEX('Material routes'!$I$6:$I$1005,MATCH(U147,'Material routes'!$A$6:$A$1005,0)),"MISSING ID")=0,"",IFERROR(INDEX('Material routes'!$I$6:$I$1005,MATCH(U147,'Material routes'!$A$6:$A$1005,0)),"MISSING ID"))</x:f>
      </x:c>
      <x:c r="O147" s="4" t="str">
        <x:f>IFERROR(INDEX('Material routes'!$J$6:$J$1005,MATCH(U147,'Material routes'!$A$6:$A$1005,0)),"MISSING ID")</x:f>
        <x:v>Unspecified</x:v>
      </x:c>
      <x:c r="P147" s="4" t="str">
        <x:f>IF(IFERROR(INDEX('Material routes'!$I$6:$I$1005,MATCH(V147,'Material routes'!$A$6:$A$1005,0)),"MISSING ID")=0,"",IFERROR(INDEX('Material routes'!$I$6:$I$1005,MATCH(V147,'Material routes'!$A$6:$A$1005,0)),"MISSING ID"))</x:f>
      </x:c>
      <x:c r="Q147" s="4" t="str">
        <x:f>IFERROR(INDEX('Material routes'!$J$6:$J$1005,MATCH(V147,'Material routes'!$A$6:$A$1005,0)),"MISSING ID")</x:f>
        <x:v>Unspecified</x:v>
      </x:c>
      <x:c r="R147" s="4" t="str">
        <x:f>IF(L147="Withheld","Withheld premise",IF(E147="Tool candidate","Reusable prerequisite",IF(K147="Raw entry preparation","Entry-resource preparation",IF(G147="Not applicable","Finished endpoint",IF(OR(IFERROR(INDEX('Crafting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routes'!$D$6:$D$1005,MATCH(U147,'Material routes'!$A$6:$A$1005,0)),"MISSING ID")</x:f>
        <x:v>proposal.branch.husk_sheet</x:v>
      </x:c>
      <x:c r="T147" s="4" t="str">
        <x:f>IFERROR(INDEX('Material routes'!$D$6:$D$1005,MATCH(V147,'Material routes'!$A$6:$A$1005,0)),"MISSING ID")</x:f>
        <x:v>proposal.branch.husk_composite</x:v>
      </x:c>
      <x:c r="U147" s="4" t="str">
        <x:v>design.branch.branch.husk_composite.in.1</x:v>
      </x:c>
      <x:c r="V147" s="4" t="str">
        <x:v>design.branch.branch.husk_composite.out</x:v>
      </x:c>
    </x:row>
    <x:row r="148" ht="105" customHeight="1">
      <x:c r="A148" s="4" t="str">
        <x:f>IFERROR(INDEX('Material routes'!$E$6:$E$1005,MATCH(U148,'Material routes'!$A$6:$A$1005,0)),"MISSING ID")</x:f>
        <x:v>Filled shell-binding compound</x:v>
      </x:c>
      <x:c r="B148" s="4" t="str">
        <x:f>IFERROR(INDEX('Material routes'!$F$6:$F$1005,MATCH(U148,'Material routes'!$A$6:$A$1005,0)),"MISSING ID")</x:f>
        <x:v>T2</x:v>
      </x:c>
      <x:c r="C148" s="4" t="str">
        <x:f>IFERROR(INDEX('Material routes'!$H$6:$H$1005,MATCH(U148,'Material routes'!$A$6:$A$1005,0)),"MISSING ID")</x:f>
        <x:v>Chemical material</x:v>
      </x:c>
      <x:c r="D148" s="4" t="str">
        <x:f>IFERROR(INDEX('Material routes'!$G$6:$G$1005,MATCH(U148,'Material routes'!$A$6:$A$1005,0)),"MISSING ID")</x:f>
        <x:v>Resources</x:v>
      </x:c>
      <x:c r="E148" s="4" t="str">
        <x:f>IFERROR(INDEX('Material routes'!$C$6:$C$1005,MATCH(U148,'Material routes'!$A$6:$A$1005,0)),"MISSING ID")</x:f>
        <x:v>Ingredient candidate</x:v>
      </x:c>
      <x:c r="F148" s="4" t="str">
        <x:f>IFERROR(INDEX('Material routes'!$E$6:$E$1005,MATCH(V148,'Material routes'!$A$6:$A$1005,0)),"MISSING ID")</x:f>
        <x:v>Layered husk composite stock</x:v>
      </x:c>
      <x:c r="G148" s="4" t="str">
        <x:f>IFERROR(INDEX('Material routes'!$F$6:$F$1005,MATCH(V148,'Material routes'!$A$6:$A$1005,0)),"MISSING ID")</x:f>
        <x:v>T3</x:v>
      </x:c>
      <x:c r="H148" s="4" t="str">
        <x:f>IFERROR(INDEX('Material routes'!$H$6:$H$1005,MATCH(V148,'Material routes'!$A$6:$A$1005,0)),"MISSING ID")</x:f>
        <x:v>Processed material</x:v>
      </x:c>
      <x:c r="I148" s="4" t="str">
        <x:f>IFERROR(INDEX('Material routes'!$G$6:$G$1005,MATCH(V148,'Material routes'!$A$6:$A$1005,0)),"MISSING ID")</x:f>
        <x:v>Resources</x:v>
      </x:c>
      <x:c r="J148" s="4" t="str">
        <x:f>IFERROR(INDEX('Material routes'!$B$6:$B$1005,MATCH(U148,'Material routes'!$A$6:$A$1005,0)),"MISSING ID")</x:f>
        <x:v>design.branch.branch.husk_composite</x:v>
      </x:c>
      <x:c r="K148" s="4" t="str">
        <x:f>IFERROR(INDEX('Crafting recipes'!$C$6:$C$1005,MATCH(J148,'Crafting recipes'!$A$6:$A$1005,0)),"MISSING ID")</x:f>
        <x:v>Material refinement</x:v>
      </x:c>
      <x:c r="L148" s="4" t="str">
        <x:f>IFERROR(INDEX('Material routes'!$K$6:$K$1005,MATCH(U148,'Material routes'!$A$6:$A$1005,0)),"MISSING ID")</x:f>
        <x:v>Proposal</x:v>
      </x:c>
      <x:c r="M148" s="4" t="str">
        <x:f>IFERROR(INDEX('Material routes'!$M$6:$M$1005,MATCH(U148,'Material routes'!$A$6:$A$1005,0)),"MISSING ID")</x:f>
        <x:v>Partial proposal</x:v>
      </x:c>
      <x:c r="N148" s="4" t="str">
        <x:f>IF(IFERROR(INDEX('Material routes'!$I$6:$I$1005,MATCH(U148,'Material routes'!$A$6:$A$1005,0)),"MISSING ID")=0,"",IFERROR(INDEX('Material routes'!$I$6:$I$1005,MATCH(U148,'Material routes'!$A$6:$A$1005,0)),"MISSING ID"))</x:f>
      </x:c>
      <x:c r="O148" s="4" t="str">
        <x:f>IFERROR(INDEX('Material routes'!$J$6:$J$1005,MATCH(U148,'Material routes'!$A$6:$A$1005,0)),"MISSING ID")</x:f>
        <x:v>Unspecified</x:v>
      </x:c>
      <x:c r="P148" s="4" t="str">
        <x:f>IF(IFERROR(INDEX('Material routes'!$I$6:$I$1005,MATCH(V148,'Material routes'!$A$6:$A$1005,0)),"MISSING ID")=0,"",IFERROR(INDEX('Material routes'!$I$6:$I$1005,MATCH(V148,'Material routes'!$A$6:$A$1005,0)),"MISSING ID"))</x:f>
      </x:c>
      <x:c r="Q148" s="4" t="str">
        <x:f>IFERROR(INDEX('Material routes'!$J$6:$J$1005,MATCH(V148,'Material routes'!$A$6:$A$1005,0)),"MISSING ID")</x:f>
        <x:v>Unspecified</x:v>
      </x:c>
      <x:c r="R148" s="4" t="str">
        <x:f>IF(L148="Withheld","Withheld premise",IF(E148="Tool candidate","Reusable prerequisite",IF(K148="Raw entry preparation","Entry-resource preparation",IF(G148="Not applicable","Finished endpoint",IF(OR(IFERROR(INDEX('Crafting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routes'!$D$6:$D$1005,MATCH(U148,'Material routes'!$A$6:$A$1005,0)),"MISSING ID")</x:f>
        <x:v>proposal.branch.filled_binder</x:v>
      </x:c>
      <x:c r="T148" s="4" t="str">
        <x:f>IFERROR(INDEX('Material routes'!$D$6:$D$1005,MATCH(V148,'Material routes'!$A$6:$A$1005,0)),"MISSING ID")</x:f>
        <x:v>proposal.branch.husk_composite</x:v>
      </x:c>
      <x:c r="U148" s="4" t="str">
        <x:v>design.branch.branch.husk_composite.in.2</x:v>
      </x:c>
      <x:c r="V148" s="4" t="str">
        <x:v>design.branch.branch.husk_composite.out</x:v>
      </x:c>
    </x:row>
    <x:row r="149" ht="105" customHeight="1">
      <x:c r="A149" s="4" t="str">
        <x:f>IFERROR(INDEX('Material routes'!$E$6:$E$1005,MATCH(U149,'Material routes'!$A$6:$A$1005,0)),"MISSING ID")</x:f>
        <x:v>Filled faunal seal compound</x:v>
      </x:c>
      <x:c r="B149" s="4" t="str">
        <x:f>IFERROR(INDEX('Material routes'!$F$6:$F$1005,MATCH(U149,'Material routes'!$A$6:$A$1005,0)),"MISSING ID")</x:f>
        <x:v>T2</x:v>
      </x:c>
      <x:c r="C149" s="4" t="str">
        <x:f>IFERROR(INDEX('Material routes'!$H$6:$H$1005,MATCH(U149,'Material routes'!$A$6:$A$1005,0)),"MISSING ID")</x:f>
        <x:v>Chemical material</x:v>
      </x:c>
      <x:c r="D149" s="4" t="str">
        <x:f>IFERROR(INDEX('Material routes'!$G$6:$G$1005,MATCH(U149,'Material routes'!$A$6:$A$1005,0)),"MISSING ID")</x:f>
        <x:v>Resources</x:v>
      </x:c>
      <x:c r="E149" s="4" t="str">
        <x:f>IFERROR(INDEX('Material routes'!$C$6:$C$1005,MATCH(U149,'Material routes'!$A$6:$A$1005,0)),"MISSING ID")</x:f>
        <x:v>Ingredient candidate</x:v>
      </x:c>
      <x:c r="F149" s="4" t="str">
        <x:f>IFERROR(INDEX('Material routes'!$E$6:$E$1005,MATCH(V149,'Material routes'!$A$6:$A$1005,0)),"MISSING ID")</x:f>
        <x:v>Reinforced sealing sheet</x:v>
      </x:c>
      <x:c r="G149" s="4" t="str">
        <x:f>IFERROR(INDEX('Material routes'!$F$6:$F$1005,MATCH(V149,'Material routes'!$A$6:$A$1005,0)),"MISSING ID")</x:f>
        <x:v>T3</x:v>
      </x:c>
      <x:c r="H149" s="4" t="str">
        <x:f>IFERROR(INDEX('Material routes'!$H$6:$H$1005,MATCH(V149,'Material routes'!$A$6:$A$1005,0)),"MISSING ID")</x:f>
        <x:v>Processed material</x:v>
      </x:c>
      <x:c r="I149" s="4" t="str">
        <x:f>IFERROR(INDEX('Material routes'!$G$6:$G$1005,MATCH(V149,'Material routes'!$A$6:$A$1005,0)),"MISSING ID")</x:f>
        <x:v>Resources</x:v>
      </x:c>
      <x:c r="J149" s="4" t="str">
        <x:f>IFERROR(INDEX('Material routes'!$B$6:$B$1005,MATCH(U149,'Material routes'!$A$6:$A$1005,0)),"MISSING ID")</x:f>
        <x:v>design.branch.branch.sealing_sheet</x:v>
      </x:c>
      <x:c r="K149" s="4" t="str">
        <x:f>IFERROR(INDEX('Crafting recipes'!$C$6:$C$1005,MATCH(J149,'Crafting recipes'!$A$6:$A$1005,0)),"MISSING ID")</x:f>
        <x:v>Material refinement</x:v>
      </x:c>
      <x:c r="L149" s="4" t="str">
        <x:f>IFERROR(INDEX('Material routes'!$K$6:$K$1005,MATCH(U149,'Material routes'!$A$6:$A$1005,0)),"MISSING ID")</x:f>
        <x:v>Proposal</x:v>
      </x:c>
      <x:c r="M149" s="4" t="str">
        <x:f>IFERROR(INDEX('Material routes'!$M$6:$M$1005,MATCH(U149,'Material routes'!$A$6:$A$1005,0)),"MISSING ID")</x:f>
        <x:v>Partial proposal</x:v>
      </x:c>
      <x:c r="N149" s="4" t="str">
        <x:f>IF(IFERROR(INDEX('Material routes'!$I$6:$I$1005,MATCH(U149,'Material routes'!$A$6:$A$1005,0)),"MISSING ID")=0,"",IFERROR(INDEX('Material routes'!$I$6:$I$1005,MATCH(U149,'Material routes'!$A$6:$A$1005,0)),"MISSING ID"))</x:f>
      </x:c>
      <x:c r="O149" s="4" t="str">
        <x:f>IFERROR(INDEX('Material routes'!$J$6:$J$1005,MATCH(U149,'Material routes'!$A$6:$A$1005,0)),"MISSING ID")</x:f>
        <x:v>Unspecified</x:v>
      </x:c>
      <x:c r="P149" s="4" t="str">
        <x:f>IF(IFERROR(INDEX('Material routes'!$I$6:$I$1005,MATCH(V149,'Material routes'!$A$6:$A$1005,0)),"MISSING ID")=0,"",IFERROR(INDEX('Material routes'!$I$6:$I$1005,MATCH(V149,'Material routes'!$A$6:$A$1005,0)),"MISSING ID"))</x:f>
      </x:c>
      <x:c r="Q149" s="4" t="str">
        <x:f>IFERROR(INDEX('Material routes'!$J$6:$J$1005,MATCH(V149,'Material routes'!$A$6:$A$1005,0)),"MISSING ID")</x:f>
        <x:v>Unspecified</x:v>
      </x:c>
      <x:c r="R149" s="4" t="str">
        <x:f>IF(L149="Withheld","Withheld premise",IF(E149="Tool candidate","Reusable prerequisite",IF(K149="Raw entry preparation","Entry-resource preparation",IF(G149="Not applicable","Finished endpoint",IF(OR(IFERROR(INDEX('Crafting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routes'!$D$6:$D$1005,MATCH(U149,'Material routes'!$A$6:$A$1005,0)),"MISSING ID")</x:f>
        <x:v>proposal.branch.filled_seal</x:v>
      </x:c>
      <x:c r="T149" s="4" t="str">
        <x:f>IFERROR(INDEX('Material routes'!$D$6:$D$1005,MATCH(V149,'Material routes'!$A$6:$A$1005,0)),"MISSING ID")</x:f>
        <x:v>proposal.branch.sealing_sheet</x:v>
      </x:c>
      <x:c r="U149" s="4" t="str">
        <x:v>design.branch.branch.sealing_sheet.in.1</x:v>
      </x:c>
      <x:c r="V149" s="4" t="str">
        <x:v>design.branch.branch.sealing_sheet.out</x:v>
      </x:c>
    </x:row>
    <x:row r="150" ht="105" customHeight="1">
      <x:c r="A150" s="4" t="str">
        <x:f>IFERROR(INDEX('Material routes'!$E$6:$E$1005,MATCH(U150,'Material routes'!$A$6:$A$1005,0)),"MISSING ID")</x:f>
        <x:v>Mica composite sheet</x:v>
      </x:c>
      <x:c r="B150" s="4" t="str">
        <x:f>IFERROR(INDEX('Material routes'!$F$6:$F$1005,MATCH(U150,'Material routes'!$A$6:$A$1005,0)),"MISSING ID")</x:f>
        <x:v>T2</x:v>
      </x:c>
      <x:c r="C150" s="4" t="str">
        <x:f>IFERROR(INDEX('Material routes'!$H$6:$H$1005,MATCH(U150,'Material routes'!$A$6:$A$1005,0)),"MISSING ID")</x:f>
        <x:v>Processed material</x:v>
      </x:c>
      <x:c r="D150" s="4" t="str">
        <x:f>IFERROR(INDEX('Material routes'!$G$6:$G$1005,MATCH(U150,'Material routes'!$A$6:$A$1005,0)),"MISSING ID")</x:f>
        <x:v>Resources</x:v>
      </x:c>
      <x:c r="E150" s="4" t="str">
        <x:f>IFERROR(INDEX('Material routes'!$C$6:$C$1005,MATCH(U150,'Material routes'!$A$6:$A$1005,0)),"MISSING ID")</x:f>
        <x:v>Ingredient candidate</x:v>
      </x:c>
      <x:c r="F150" s="4" t="str">
        <x:f>IFERROR(INDEX('Material routes'!$E$6:$E$1005,MATCH(V150,'Material routes'!$A$6:$A$1005,0)),"MISSING ID")</x:f>
        <x:v>Reinforced sealing sheet</x:v>
      </x:c>
      <x:c r="G150" s="4" t="str">
        <x:f>IFERROR(INDEX('Material routes'!$F$6:$F$1005,MATCH(V150,'Material routes'!$A$6:$A$1005,0)),"MISSING ID")</x:f>
        <x:v>T3</x:v>
      </x:c>
      <x:c r="H150" s="4" t="str">
        <x:f>IFERROR(INDEX('Material routes'!$H$6:$H$1005,MATCH(V150,'Material routes'!$A$6:$A$1005,0)),"MISSING ID")</x:f>
        <x:v>Processed material</x:v>
      </x:c>
      <x:c r="I150" s="4" t="str">
        <x:f>IFERROR(INDEX('Material routes'!$G$6:$G$1005,MATCH(V150,'Material routes'!$A$6:$A$1005,0)),"MISSING ID")</x:f>
        <x:v>Resources</x:v>
      </x:c>
      <x:c r="J150" s="4" t="str">
        <x:f>IFERROR(INDEX('Material routes'!$B$6:$B$1005,MATCH(U150,'Material routes'!$A$6:$A$1005,0)),"MISSING ID")</x:f>
        <x:v>design.branch.branch.sealing_sheet</x:v>
      </x:c>
      <x:c r="K150" s="4" t="str">
        <x:f>IFERROR(INDEX('Crafting recipes'!$C$6:$C$1005,MATCH(J150,'Crafting recipes'!$A$6:$A$1005,0)),"MISSING ID")</x:f>
        <x:v>Material refinement</x:v>
      </x:c>
      <x:c r="L150" s="4" t="str">
        <x:f>IFERROR(INDEX('Material routes'!$K$6:$K$1005,MATCH(U150,'Material routes'!$A$6:$A$1005,0)),"MISSING ID")</x:f>
        <x:v>Proposal</x:v>
      </x:c>
      <x:c r="M150" s="4" t="str">
        <x:f>IFERROR(INDEX('Material routes'!$M$6:$M$1005,MATCH(U150,'Material routes'!$A$6:$A$1005,0)),"MISSING ID")</x:f>
        <x:v>Partial proposal</x:v>
      </x:c>
      <x:c r="N150" s="4" t="str">
        <x:f>IF(IFERROR(INDEX('Material routes'!$I$6:$I$1005,MATCH(U150,'Material routes'!$A$6:$A$1005,0)),"MISSING ID")=0,"",IFERROR(INDEX('Material routes'!$I$6:$I$1005,MATCH(U150,'Material routes'!$A$6:$A$1005,0)),"MISSING ID"))</x:f>
      </x:c>
      <x:c r="O150" s="4" t="str">
        <x:f>IFERROR(INDEX('Material routes'!$J$6:$J$1005,MATCH(U150,'Material routes'!$A$6:$A$1005,0)),"MISSING ID")</x:f>
        <x:v>Unspecified</x:v>
      </x:c>
      <x:c r="P150" s="4" t="str">
        <x:f>IF(IFERROR(INDEX('Material routes'!$I$6:$I$1005,MATCH(V150,'Material routes'!$A$6:$A$1005,0)),"MISSING ID")=0,"",IFERROR(INDEX('Material routes'!$I$6:$I$1005,MATCH(V150,'Material routes'!$A$6:$A$1005,0)),"MISSING ID"))</x:f>
      </x:c>
      <x:c r="Q150" s="4" t="str">
        <x:f>IFERROR(INDEX('Material routes'!$J$6:$J$1005,MATCH(V150,'Material routes'!$A$6:$A$1005,0)),"MISSING ID")</x:f>
        <x:v>Unspecified</x:v>
      </x:c>
      <x:c r="R150" s="4" t="str">
        <x:f>IF(L150="Withheld","Withheld premise",IF(E150="Tool candidate","Reusable prerequisite",IF(K150="Raw entry preparation","Entry-resource preparation",IF(G150="Not applicable","Finished endpoint",IF(OR(IFERROR(INDEX('Crafting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routes'!$D$6:$D$1005,MATCH(U150,'Material routes'!$A$6:$A$1005,0)),"MISSING ID")</x:f>
        <x:v>proposal.branch.mica_sheet</x:v>
      </x:c>
      <x:c r="T150" s="4" t="str">
        <x:f>IFERROR(INDEX('Material routes'!$D$6:$D$1005,MATCH(V150,'Material routes'!$A$6:$A$1005,0)),"MISSING ID")</x:f>
        <x:v>proposal.branch.sealing_sheet</x:v>
      </x:c>
      <x:c r="U150" s="4" t="str">
        <x:v>design.branch.branch.sealing_sheet.in.2</x:v>
      </x:c>
      <x:c r="V150" s="4" t="str">
        <x:v>design.branch.branch.sealing_sheet.out</x:v>
      </x:c>
    </x:row>
    <x:row r="151" ht="105" customHeight="1">
      <x:c r="A151" s="4" t="str">
        <x:f>IFERROR(INDEX('Material routes'!$E$6:$E$1005,MATCH(U151,'Material routes'!$A$6:$A$1005,0)),"MISSING ID")</x:f>
        <x:v>Flexible membrane-bonding compound</x:v>
      </x:c>
      <x:c r="B151" s="4" t="str">
        <x:f>IFERROR(INDEX('Material routes'!$F$6:$F$1005,MATCH(U151,'Material routes'!$A$6:$A$1005,0)),"MISSING ID")</x:f>
        <x:v>T2</x:v>
      </x:c>
      <x:c r="C151" s="4" t="str">
        <x:f>IFERROR(INDEX('Material routes'!$H$6:$H$1005,MATCH(U151,'Material routes'!$A$6:$A$1005,0)),"MISSING ID")</x:f>
        <x:v>Chemical material</x:v>
      </x:c>
      <x:c r="D151" s="4" t="str">
        <x:f>IFERROR(INDEX('Material routes'!$G$6:$G$1005,MATCH(U151,'Material routes'!$A$6:$A$1005,0)),"MISSING ID")</x:f>
        <x:v>Resources</x:v>
      </x:c>
      <x:c r="E151" s="4" t="str">
        <x:f>IFERROR(INDEX('Material routes'!$C$6:$C$1005,MATCH(U151,'Material routes'!$A$6:$A$1005,0)),"MISSING ID")</x:f>
        <x:v>Ingredient candidate</x:v>
      </x:c>
      <x:c r="F151" s="4" t="str">
        <x:f>IFERROR(INDEX('Material routes'!$E$6:$E$1005,MATCH(V151,'Material routes'!$A$6:$A$1005,0)),"MISSING ID")</x:f>
        <x:v>Reinforced sealing sheet</x:v>
      </x:c>
      <x:c r="G151" s="4" t="str">
        <x:f>IFERROR(INDEX('Material routes'!$F$6:$F$1005,MATCH(V151,'Material routes'!$A$6:$A$1005,0)),"MISSING ID")</x:f>
        <x:v>T3</x:v>
      </x:c>
      <x:c r="H151" s="4" t="str">
        <x:f>IFERROR(INDEX('Material routes'!$H$6:$H$1005,MATCH(V151,'Material routes'!$A$6:$A$1005,0)),"MISSING ID")</x:f>
        <x:v>Processed material</x:v>
      </x:c>
      <x:c r="I151" s="4" t="str">
        <x:f>IFERROR(INDEX('Material routes'!$G$6:$G$1005,MATCH(V151,'Material routes'!$A$6:$A$1005,0)),"MISSING ID")</x:f>
        <x:v>Resources</x:v>
      </x:c>
      <x:c r="J151" s="4" t="str">
        <x:f>IFERROR(INDEX('Material routes'!$B$6:$B$1005,MATCH(U151,'Material routes'!$A$6:$A$1005,0)),"MISSING ID")</x:f>
        <x:v>design.branch.branch.sealing_sheet</x:v>
      </x:c>
      <x:c r="K151" s="4" t="str">
        <x:f>IFERROR(INDEX('Crafting recipes'!$C$6:$C$1005,MATCH(J151,'Crafting recipes'!$A$6:$A$1005,0)),"MISSING ID")</x:f>
        <x:v>Material refinement</x:v>
      </x:c>
      <x:c r="L151" s="4" t="str">
        <x:f>IFERROR(INDEX('Material routes'!$K$6:$K$1005,MATCH(U151,'Material routes'!$A$6:$A$1005,0)),"MISSING ID")</x:f>
        <x:v>Proposal</x:v>
      </x:c>
      <x:c r="M151" s="4" t="str">
        <x:f>IFERROR(INDEX('Material routes'!$M$6:$M$1005,MATCH(U151,'Material routes'!$A$6:$A$1005,0)),"MISSING ID")</x:f>
        <x:v>Partial proposal</x:v>
      </x:c>
      <x:c r="N151" s="4" t="str">
        <x:f>IF(IFERROR(INDEX('Material routes'!$I$6:$I$1005,MATCH(U151,'Material routes'!$A$6:$A$1005,0)),"MISSING ID")=0,"",IFERROR(INDEX('Material routes'!$I$6:$I$1005,MATCH(U151,'Material routes'!$A$6:$A$1005,0)),"MISSING ID"))</x:f>
      </x:c>
      <x:c r="O151" s="4" t="str">
        <x:f>IFERROR(INDEX('Material routes'!$J$6:$J$1005,MATCH(U151,'Material routes'!$A$6:$A$1005,0)),"MISSING ID")</x:f>
        <x:v>Unspecified</x:v>
      </x:c>
      <x:c r="P151" s="4" t="str">
        <x:f>IF(IFERROR(INDEX('Material routes'!$I$6:$I$1005,MATCH(V151,'Material routes'!$A$6:$A$1005,0)),"MISSING ID")=0,"",IFERROR(INDEX('Material routes'!$I$6:$I$1005,MATCH(V151,'Material routes'!$A$6:$A$1005,0)),"MISSING ID"))</x:f>
      </x:c>
      <x:c r="Q151" s="4" t="str">
        <x:f>IFERROR(INDEX('Material routes'!$J$6:$J$1005,MATCH(V151,'Material routes'!$A$6:$A$1005,0)),"MISSING ID")</x:f>
        <x:v>Unspecified</x:v>
      </x:c>
      <x:c r="R151" s="4" t="str">
        <x:f>IF(L151="Withheld","Withheld premise",IF(E151="Tool candidate","Reusable prerequisite",IF(K151="Raw entry preparation","Entry-resource preparation",IF(G151="Not applicable","Finished endpoint",IF(OR(IFERROR(INDEX('Crafting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routes'!$D$6:$D$1005,MATCH(U151,'Material routes'!$A$6:$A$1005,0)),"MISSING ID")</x:f>
        <x:v>proposal.branch.flex_bond</x:v>
      </x:c>
      <x:c r="T151" s="4" t="str">
        <x:f>IFERROR(INDEX('Material routes'!$D$6:$D$1005,MATCH(V151,'Material routes'!$A$6:$A$1005,0)),"MISSING ID")</x:f>
        <x:v>proposal.branch.sealing_sheet</x:v>
      </x:c>
      <x:c r="U151" s="4" t="str">
        <x:v>design.branch.branch.sealing_sheet.in.3</x:v>
      </x:c>
      <x:c r="V151" s="4" t="str">
        <x:v>design.branch.branch.sealing_sheet.out</x:v>
      </x:c>
    </x:row>
    <x:row r="152" ht="105" customHeight="1">
      <x:c r="A152" s="4" t="str">
        <x:f>IFERROR(INDEX('Material routes'!$E$6:$E$1005,MATCH(U152,'Material routes'!$A$6:$A$1005,0)),"MISSING ID")</x:f>
        <x:v>Husk-fiber paper</x:v>
      </x:c>
      <x:c r="B152" s="4" t="str">
        <x:f>IFERROR(INDEX('Material routes'!$F$6:$F$1005,MATCH(U152,'Material routes'!$A$6:$A$1005,0)),"MISSING ID")</x:f>
        <x:v>T2</x:v>
      </x:c>
      <x:c r="C152" s="4" t="str">
        <x:f>IFERROR(INDEX('Material routes'!$H$6:$H$1005,MATCH(U152,'Material routes'!$A$6:$A$1005,0)),"MISSING ID")</x:f>
        <x:v>Processed material</x:v>
      </x:c>
      <x:c r="D152" s="4" t="str">
        <x:f>IFERROR(INDEX('Material routes'!$G$6:$G$1005,MATCH(U152,'Material routes'!$A$6:$A$1005,0)),"MISSING ID")</x:f>
        <x:v>Crafting components</x:v>
      </x:c>
      <x:c r="E152" s="4" t="str">
        <x:f>IFERROR(INDEX('Material routes'!$C$6:$C$1005,MATCH(U152,'Material routes'!$A$6:$A$1005,0)),"MISSING ID")</x:f>
        <x:v>Ingredient candidate</x:v>
      </x:c>
      <x:c r="F152" s="4" t="str">
        <x:f>IFERROR(INDEX('Material routes'!$E$6:$E$1005,MATCH(V152,'Material routes'!$A$6:$A$1005,0)),"MISSING ID")</x:f>
        <x:v>Finished decorative husk stock</x:v>
      </x:c>
      <x:c r="G152" s="4" t="str">
        <x:f>IFERROR(INDEX('Material routes'!$F$6:$F$1005,MATCH(V152,'Material routes'!$A$6:$A$1005,0)),"MISSING ID")</x:f>
        <x:v>T3</x:v>
      </x:c>
      <x:c r="H152" s="4" t="str">
        <x:f>IFERROR(INDEX('Material routes'!$H$6:$H$1005,MATCH(V152,'Material routes'!$A$6:$A$1005,0)),"MISSING ID")</x:f>
        <x:v>Processed material</x:v>
      </x:c>
      <x:c r="I152" s="4" t="str">
        <x:f>IFERROR(INDEX('Material routes'!$G$6:$G$1005,MATCH(V152,'Material routes'!$A$6:$A$1005,0)),"MISSING ID")</x:f>
        <x:v>Resources</x:v>
      </x:c>
      <x:c r="J152" s="4" t="str">
        <x:f>IFERROR(INDEX('Material routes'!$B$6:$B$1005,MATCH(U152,'Material routes'!$A$6:$A$1005,0)),"MISSING ID")</x:f>
        <x:v>design.branch.branch.decorative_husk</x:v>
      </x:c>
      <x:c r="K152" s="4" t="str">
        <x:f>IFERROR(INDEX('Crafting recipes'!$C$6:$C$1005,MATCH(J152,'Crafting recipes'!$A$6:$A$1005,0)),"MISSING ID")</x:f>
        <x:v>Material refinement</x:v>
      </x:c>
      <x:c r="L152" s="4" t="str">
        <x:f>IFERROR(INDEX('Material routes'!$K$6:$K$1005,MATCH(U152,'Material routes'!$A$6:$A$1005,0)),"MISSING ID")</x:f>
        <x:v>Proposal</x:v>
      </x:c>
      <x:c r="M152" s="4" t="str">
        <x:f>IFERROR(INDEX('Material routes'!$M$6:$M$1005,MATCH(U152,'Material routes'!$A$6:$A$1005,0)),"MISSING ID")</x:f>
        <x:v>Partial proposal</x:v>
      </x:c>
      <x:c r="N152" s="4" t="str">
        <x:f>IF(IFERROR(INDEX('Material routes'!$I$6:$I$1005,MATCH(U152,'Material routes'!$A$6:$A$1005,0)),"MISSING ID")=0,"",IFERROR(INDEX('Material routes'!$I$6:$I$1005,MATCH(U152,'Material routes'!$A$6:$A$1005,0)),"MISSING ID"))</x:f>
      </x:c>
      <x:c r="O152" s="4" t="str">
        <x:f>IFERROR(INDEX('Material routes'!$J$6:$J$1005,MATCH(U152,'Material routes'!$A$6:$A$1005,0)),"MISSING ID")</x:f>
        <x:v>Unspecified</x:v>
      </x:c>
      <x:c r="P152" s="4" t="str">
        <x:f>IF(IFERROR(INDEX('Material routes'!$I$6:$I$1005,MATCH(V152,'Material routes'!$A$6:$A$1005,0)),"MISSING ID")=0,"",IFERROR(INDEX('Material routes'!$I$6:$I$1005,MATCH(V152,'Material routes'!$A$6:$A$1005,0)),"MISSING ID"))</x:f>
      </x:c>
      <x:c r="Q152" s="4" t="str">
        <x:f>IFERROR(INDEX('Material routes'!$J$6:$J$1005,MATCH(V152,'Material routes'!$A$6:$A$1005,0)),"MISSING ID")</x:f>
        <x:v>Unspecified</x:v>
      </x:c>
      <x:c r="R152" s="4" t="str">
        <x:f>IF(L152="Withheld","Withheld premise",IF(E152="Tool candidate","Reusable prerequisite",IF(K152="Raw entry preparation","Entry-resource preparation",IF(G152="Not applicable","Finished endpoint",IF(OR(IFERROR(INDEX('Crafting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routes'!$D$6:$D$1005,MATCH(U152,'Material routes'!$A$6:$A$1005,0)),"MISSING ID")</x:f>
        <x:v>proposal.bio.husk_paper</x:v>
      </x:c>
      <x:c r="T152" s="4" t="str">
        <x:f>IFERROR(INDEX('Material routes'!$D$6:$D$1005,MATCH(V152,'Material routes'!$A$6:$A$1005,0)),"MISSING ID")</x:f>
        <x:v>proposal.branch.decorative_husk</x:v>
      </x:c>
      <x:c r="U152" s="4" t="str">
        <x:v>design.branch.branch.decorative_husk.in.1</x:v>
      </x:c>
      <x:c r="V152" s="4" t="str">
        <x:v>design.branch.branch.decorative_husk.out</x:v>
      </x:c>
    </x:row>
    <x:row r="153" ht="105" customHeight="1">
      <x:c r="A153" s="4" t="str">
        <x:f>IFERROR(INDEX('Material routes'!$E$6:$E$1005,MATCH(U153,'Material routes'!$A$6:$A$1005,0)),"MISSING ID")</x:f>
        <x:v>Mineral pigment coating</x:v>
      </x:c>
      <x:c r="B153" s="4" t="str">
        <x:f>IFERROR(INDEX('Material routes'!$F$6:$F$1005,MATCH(U153,'Material routes'!$A$6:$A$1005,0)),"MISSING ID")</x:f>
        <x:v>T2</x:v>
      </x:c>
      <x:c r="C153" s="4" t="str">
        <x:f>IFERROR(INDEX('Material routes'!$H$6:$H$1005,MATCH(U153,'Material routes'!$A$6:$A$1005,0)),"MISSING ID")</x:f>
        <x:v>Processed material</x:v>
      </x:c>
      <x:c r="D153" s="4" t="str">
        <x:f>IFERROR(INDEX('Material routes'!$G$6:$G$1005,MATCH(U153,'Material routes'!$A$6:$A$1005,0)),"MISSING ID")</x:f>
        <x:v>Resources</x:v>
      </x:c>
      <x:c r="E153" s="4" t="str">
        <x:f>IFERROR(INDEX('Material routes'!$C$6:$C$1005,MATCH(U153,'Material routes'!$A$6:$A$1005,0)),"MISSING ID")</x:f>
        <x:v>Ingredient candidate</x:v>
      </x:c>
      <x:c r="F153" s="4" t="str">
        <x:f>IFERROR(INDEX('Material routes'!$E$6:$E$1005,MATCH(V153,'Material routes'!$A$6:$A$1005,0)),"MISSING ID")</x:f>
        <x:v>Finished decorative husk stock</x:v>
      </x:c>
      <x:c r="G153" s="4" t="str">
        <x:f>IFERROR(INDEX('Material routes'!$F$6:$F$1005,MATCH(V153,'Material routes'!$A$6:$A$1005,0)),"MISSING ID")</x:f>
        <x:v>T3</x:v>
      </x:c>
      <x:c r="H153" s="4" t="str">
        <x:f>IFERROR(INDEX('Material routes'!$H$6:$H$1005,MATCH(V153,'Material routes'!$A$6:$A$1005,0)),"MISSING ID")</x:f>
        <x:v>Processed material</x:v>
      </x:c>
      <x:c r="I153" s="4" t="str">
        <x:f>IFERROR(INDEX('Material routes'!$G$6:$G$1005,MATCH(V153,'Material routes'!$A$6:$A$1005,0)),"MISSING ID")</x:f>
        <x:v>Resources</x:v>
      </x:c>
      <x:c r="J153" s="4" t="str">
        <x:f>IFERROR(INDEX('Material routes'!$B$6:$B$1005,MATCH(U153,'Material routes'!$A$6:$A$1005,0)),"MISSING ID")</x:f>
        <x:v>design.branch.branch.decorative_husk</x:v>
      </x:c>
      <x:c r="K153" s="4" t="str">
        <x:f>IFERROR(INDEX('Crafting recipes'!$C$6:$C$1005,MATCH(J153,'Crafting recipes'!$A$6:$A$1005,0)),"MISSING ID")</x:f>
        <x:v>Material refinement</x:v>
      </x:c>
      <x:c r="L153" s="4" t="str">
        <x:f>IFERROR(INDEX('Material routes'!$K$6:$K$1005,MATCH(U153,'Material routes'!$A$6:$A$1005,0)),"MISSING ID")</x:f>
        <x:v>Proposal</x:v>
      </x:c>
      <x:c r="M153" s="4" t="str">
        <x:f>IFERROR(INDEX('Material routes'!$M$6:$M$1005,MATCH(U153,'Material routes'!$A$6:$A$1005,0)),"MISSING ID")</x:f>
        <x:v>Partial proposal</x:v>
      </x:c>
      <x:c r="N153" s="4" t="str">
        <x:f>IF(IFERROR(INDEX('Material routes'!$I$6:$I$1005,MATCH(U153,'Material routes'!$A$6:$A$1005,0)),"MISSING ID")=0,"",IFERROR(INDEX('Material routes'!$I$6:$I$1005,MATCH(U153,'Material routes'!$A$6:$A$1005,0)),"MISSING ID"))</x:f>
      </x:c>
      <x:c r="O153" s="4" t="str">
        <x:f>IFERROR(INDEX('Material routes'!$J$6:$J$1005,MATCH(U153,'Material routes'!$A$6:$A$1005,0)),"MISSING ID")</x:f>
        <x:v>Unspecified</x:v>
      </x:c>
      <x:c r="P153" s="4" t="str">
        <x:f>IF(IFERROR(INDEX('Material routes'!$I$6:$I$1005,MATCH(V153,'Material routes'!$A$6:$A$1005,0)),"MISSING ID")=0,"",IFERROR(INDEX('Material routes'!$I$6:$I$1005,MATCH(V153,'Material routes'!$A$6:$A$1005,0)),"MISSING ID"))</x:f>
      </x:c>
      <x:c r="Q153" s="4" t="str">
        <x:f>IFERROR(INDEX('Material routes'!$J$6:$J$1005,MATCH(V153,'Material routes'!$A$6:$A$1005,0)),"MISSING ID")</x:f>
        <x:v>Unspecified</x:v>
      </x:c>
      <x:c r="R153" s="4" t="str">
        <x:f>IF(L153="Withheld","Withheld premise",IF(E153="Tool candidate","Reusable prerequisite",IF(K153="Raw entry preparation","Entry-resource preparation",IF(G153="Not applicable","Finished endpoint",IF(OR(IFERROR(INDEX('Crafting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routes'!$D$6:$D$1005,MATCH(U153,'Material routes'!$A$6:$A$1005,0)),"MISSING ID")</x:f>
        <x:v>proposal.branch.pigment_coating</x:v>
      </x:c>
      <x:c r="T153" s="4" t="str">
        <x:f>IFERROR(INDEX('Material routes'!$D$6:$D$1005,MATCH(V153,'Material routes'!$A$6:$A$1005,0)),"MISSING ID")</x:f>
        <x:v>proposal.branch.decorative_husk</x:v>
      </x:c>
      <x:c r="U153" s="4" t="str">
        <x:v>design.branch.branch.decorative_husk.in.2</x:v>
      </x:c>
      <x:c r="V153" s="4" t="str">
        <x:v>design.branch.branch.decorative_husk.out</x:v>
      </x:c>
    </x:row>
    <x:row r="154" ht="105" customHeight="1">
      <x:c r="A154" s="4" t="str">
        <x:f>IFERROR(INDEX('Material routes'!$E$6:$E$1005,MATCH(U154,'Material routes'!$A$6:$A$1005,0)),"MISSING ID")</x:f>
        <x:v>Filled faunal seal compound</x:v>
      </x:c>
      <x:c r="B154" s="4" t="str">
        <x:f>IFERROR(INDEX('Material routes'!$F$6:$F$1005,MATCH(U154,'Material routes'!$A$6:$A$1005,0)),"MISSING ID")</x:f>
        <x:v>T2</x:v>
      </x:c>
      <x:c r="C154" s="4" t="str">
        <x:f>IFERROR(INDEX('Material routes'!$H$6:$H$1005,MATCH(U154,'Material routes'!$A$6:$A$1005,0)),"MISSING ID")</x:f>
        <x:v>Chemical material</x:v>
      </x:c>
      <x:c r="D154" s="4" t="str">
        <x:f>IFERROR(INDEX('Material routes'!$G$6:$G$1005,MATCH(U154,'Material routes'!$A$6:$A$1005,0)),"MISSING ID")</x:f>
        <x:v>Resources</x:v>
      </x:c>
      <x:c r="E154" s="4" t="str">
        <x:f>IFERROR(INDEX('Material routes'!$C$6:$C$1005,MATCH(U154,'Material routes'!$A$6:$A$1005,0)),"MISSING ID")</x:f>
        <x:v>Ingredient candidate</x:v>
      </x:c>
      <x:c r="F154" s="4" t="str">
        <x:f>IFERROR(INDEX('Material routes'!$E$6:$E$1005,MATCH(V154,'Material routes'!$A$6:$A$1005,0)),"MISSING ID")</x:f>
        <x:v>Canister joint sealant</x:v>
      </x:c>
      <x:c r="G154" s="4" t="str">
        <x:f>IFERROR(INDEX('Material routes'!$F$6:$F$1005,MATCH(V154,'Material routes'!$A$6:$A$1005,0)),"MISSING ID")</x:f>
        <x:v>T3</x:v>
      </x:c>
      <x:c r="H154" s="4" t="str">
        <x:f>IFERROR(INDEX('Material routes'!$H$6:$H$1005,MATCH(V154,'Material routes'!$A$6:$A$1005,0)),"MISSING ID")</x:f>
        <x:v>Chemical material</x:v>
      </x:c>
      <x:c r="I154" s="4" t="str">
        <x:f>IFERROR(INDEX('Material routes'!$G$6:$G$1005,MATCH(V154,'Material routes'!$A$6:$A$1005,0)),"MISSING ID")</x:f>
        <x:v>Crafting components</x:v>
      </x:c>
      <x:c r="J154" s="4" t="str">
        <x:f>IFERROR(INDEX('Material routes'!$B$6:$B$1005,MATCH(U154,'Material routes'!$A$6:$A$1005,0)),"MISSING ID")</x:f>
        <x:v>design.branch.canister.sealant</x:v>
      </x:c>
      <x:c r="K154" s="4" t="str">
        <x:f>IFERROR(INDEX('Crafting recipes'!$C$6:$C$1005,MATCH(J154,'Crafting recipes'!$A$6:$A$1005,0)),"MISSING ID")</x:f>
        <x:v>Material refinement</x:v>
      </x:c>
      <x:c r="L154" s="4" t="str">
        <x:f>IFERROR(INDEX('Material routes'!$K$6:$K$1005,MATCH(U154,'Material routes'!$A$6:$A$1005,0)),"MISSING ID")</x:f>
        <x:v>Proposal</x:v>
      </x:c>
      <x:c r="M154" s="4" t="str">
        <x:f>IFERROR(INDEX('Material routes'!$M$6:$M$1005,MATCH(U154,'Material routes'!$A$6:$A$1005,0)),"MISSING ID")</x:f>
        <x:v>Partial proposal</x:v>
      </x:c>
      <x:c r="N154" s="4" t="str">
        <x:f>IF(IFERROR(INDEX('Material routes'!$I$6:$I$1005,MATCH(U154,'Material routes'!$A$6:$A$1005,0)),"MISSING ID")=0,"",IFERROR(INDEX('Material routes'!$I$6:$I$1005,MATCH(U154,'Material routes'!$A$6:$A$1005,0)),"MISSING ID"))</x:f>
      </x:c>
      <x:c r="O154" s="4" t="str">
        <x:f>IFERROR(INDEX('Material routes'!$J$6:$J$1005,MATCH(U154,'Material routes'!$A$6:$A$1005,0)),"MISSING ID")</x:f>
        <x:v>Unspecified</x:v>
      </x:c>
      <x:c r="P154" s="4" t="str">
        <x:f>IF(IFERROR(INDEX('Material routes'!$I$6:$I$1005,MATCH(V154,'Material routes'!$A$6:$A$1005,0)),"MISSING ID")=0,"",IFERROR(INDEX('Material routes'!$I$6:$I$1005,MATCH(V154,'Material routes'!$A$6:$A$1005,0)),"MISSING ID"))</x:f>
      </x:c>
      <x:c r="Q154" s="4" t="str">
        <x:f>IFERROR(INDEX('Material routes'!$J$6:$J$1005,MATCH(V154,'Material routes'!$A$6:$A$1005,0)),"MISSING ID")</x:f>
        <x:v>Unspecified</x:v>
      </x:c>
      <x:c r="R154" s="4" t="str">
        <x:f>IF(L154="Withheld","Withheld premise",IF(E154="Tool candidate","Reusable prerequisite",IF(K154="Raw entry preparation","Entry-resource preparation",IF(G154="Not applicable","Finished endpoint",IF(OR(IFERROR(INDEX('Crafting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routes'!$D$6:$D$1005,MATCH(U154,'Material routes'!$A$6:$A$1005,0)),"MISSING ID")</x:f>
        <x:v>proposal.branch.filled_seal</x:v>
      </x:c>
      <x:c r="T154" s="4" t="str">
        <x:f>IFERROR(INDEX('Material routes'!$D$6:$D$1005,MATCH(V154,'Material routes'!$A$6:$A$1005,0)),"MISSING ID")</x:f>
        <x:v>proposal.canister.sealant</x:v>
      </x:c>
      <x:c r="U154" s="4" t="str">
        <x:v>design.branch.canister.sealant.in.1</x:v>
      </x:c>
      <x:c r="V154" s="4" t="str">
        <x:v>design.branch.canister.sealant.out</x:v>
      </x:c>
    </x:row>
    <x:row r="155" ht="105" customHeight="1">
      <x:c r="A155" s="4" t="str">
        <x:f>IFERROR(INDEX('Material routes'!$E$6:$E$1005,MATCH(U155,'Material routes'!$A$6:$A$1005,0)),"MISSING ID")</x:f>
        <x:v>Flexible membrane-bonding compound</x:v>
      </x:c>
      <x:c r="B155" s="4" t="str">
        <x:f>IFERROR(INDEX('Material routes'!$F$6:$F$1005,MATCH(U155,'Material routes'!$A$6:$A$1005,0)),"MISSING ID")</x:f>
        <x:v>T2</x:v>
      </x:c>
      <x:c r="C155" s="4" t="str">
        <x:f>IFERROR(INDEX('Material routes'!$H$6:$H$1005,MATCH(U155,'Material routes'!$A$6:$A$1005,0)),"MISSING ID")</x:f>
        <x:v>Chemical material</x:v>
      </x:c>
      <x:c r="D155" s="4" t="str">
        <x:f>IFERROR(INDEX('Material routes'!$G$6:$G$1005,MATCH(U155,'Material routes'!$A$6:$A$1005,0)),"MISSING ID")</x:f>
        <x:v>Resources</x:v>
      </x:c>
      <x:c r="E155" s="4" t="str">
        <x:f>IFERROR(INDEX('Material routes'!$C$6:$C$1005,MATCH(U155,'Material routes'!$A$6:$A$1005,0)),"MISSING ID")</x:f>
        <x:v>Ingredient candidate</x:v>
      </x:c>
      <x:c r="F155" s="4" t="str">
        <x:f>IFERROR(INDEX('Material routes'!$E$6:$E$1005,MATCH(V155,'Material routes'!$A$6:$A$1005,0)),"MISSING ID")</x:f>
        <x:v>Canister joint sealant</x:v>
      </x:c>
      <x:c r="G155" s="4" t="str">
        <x:f>IFERROR(INDEX('Material routes'!$F$6:$F$1005,MATCH(V155,'Material routes'!$A$6:$A$1005,0)),"MISSING ID")</x:f>
        <x:v>T3</x:v>
      </x:c>
      <x:c r="H155" s="4" t="str">
        <x:f>IFERROR(INDEX('Material routes'!$H$6:$H$1005,MATCH(V155,'Material routes'!$A$6:$A$1005,0)),"MISSING ID")</x:f>
        <x:v>Chemical material</x:v>
      </x:c>
      <x:c r="I155" s="4" t="str">
        <x:f>IFERROR(INDEX('Material routes'!$G$6:$G$1005,MATCH(V155,'Material routes'!$A$6:$A$1005,0)),"MISSING ID")</x:f>
        <x:v>Crafting components</x:v>
      </x:c>
      <x:c r="J155" s="4" t="str">
        <x:f>IFERROR(INDEX('Material routes'!$B$6:$B$1005,MATCH(U155,'Material routes'!$A$6:$A$1005,0)),"MISSING ID")</x:f>
        <x:v>design.branch.canister.sealant</x:v>
      </x:c>
      <x:c r="K155" s="4" t="str">
        <x:f>IFERROR(INDEX('Crafting recipes'!$C$6:$C$1005,MATCH(J155,'Crafting recipes'!$A$6:$A$1005,0)),"MISSING ID")</x:f>
        <x:v>Material refinement</x:v>
      </x:c>
      <x:c r="L155" s="4" t="str">
        <x:f>IFERROR(INDEX('Material routes'!$K$6:$K$1005,MATCH(U155,'Material routes'!$A$6:$A$1005,0)),"MISSING ID")</x:f>
        <x:v>Proposal</x:v>
      </x:c>
      <x:c r="M155" s="4" t="str">
        <x:f>IFERROR(INDEX('Material routes'!$M$6:$M$1005,MATCH(U155,'Material routes'!$A$6:$A$1005,0)),"MISSING ID")</x:f>
        <x:v>Partial proposal</x:v>
      </x:c>
      <x:c r="N155" s="4" t="str">
        <x:f>IF(IFERROR(INDEX('Material routes'!$I$6:$I$1005,MATCH(U155,'Material routes'!$A$6:$A$1005,0)),"MISSING ID")=0,"",IFERROR(INDEX('Material routes'!$I$6:$I$1005,MATCH(U155,'Material routes'!$A$6:$A$1005,0)),"MISSING ID"))</x:f>
      </x:c>
      <x:c r="O155" s="4" t="str">
        <x:f>IFERROR(INDEX('Material routes'!$J$6:$J$1005,MATCH(U155,'Material routes'!$A$6:$A$1005,0)),"MISSING ID")</x:f>
        <x:v>Unspecified</x:v>
      </x:c>
      <x:c r="P155" s="4" t="str">
        <x:f>IF(IFERROR(INDEX('Material routes'!$I$6:$I$1005,MATCH(V155,'Material routes'!$A$6:$A$1005,0)),"MISSING ID")=0,"",IFERROR(INDEX('Material routes'!$I$6:$I$1005,MATCH(V155,'Material routes'!$A$6:$A$1005,0)),"MISSING ID"))</x:f>
      </x:c>
      <x:c r="Q155" s="4" t="str">
        <x:f>IFERROR(INDEX('Material routes'!$J$6:$J$1005,MATCH(V155,'Material routes'!$A$6:$A$1005,0)),"MISSING ID")</x:f>
        <x:v>Unspecified</x:v>
      </x:c>
      <x:c r="R155" s="4" t="str">
        <x:f>IF(L155="Withheld","Withheld premise",IF(E155="Tool candidate","Reusable prerequisite",IF(K155="Raw entry preparation","Entry-resource preparation",IF(G155="Not applicable","Finished endpoint",IF(OR(IFERROR(INDEX('Crafting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routes'!$D$6:$D$1005,MATCH(U155,'Material routes'!$A$6:$A$1005,0)),"MISSING ID")</x:f>
        <x:v>proposal.branch.flex_bond</x:v>
      </x:c>
      <x:c r="T155" s="4" t="str">
        <x:f>IFERROR(INDEX('Material routes'!$D$6:$D$1005,MATCH(V155,'Material routes'!$A$6:$A$1005,0)),"MISSING ID")</x:f>
        <x:v>proposal.canister.sealant</x:v>
      </x:c>
      <x:c r="U155" s="4" t="str">
        <x:v>design.branch.canister.sealant.in.2</x:v>
      </x:c>
      <x:c r="V155" s="4" t="str">
        <x:v>design.branch.canister.sealant.out</x:v>
      </x:c>
    </x:row>
    <x:row r="156" ht="105" customHeight="1">
      <x:c r="A156" s="4" t="str">
        <x:f>IFERROR(INDEX('Material routes'!$E$6:$E$1005,MATCH(U156,'Material routes'!$A$6:$A$1005,0)),"MISSING ID")</x:f>
        <x:v>Steel-faced shell composite</x:v>
      </x:c>
      <x:c r="B156" s="4" t="str">
        <x:f>IFERROR(INDEX('Material routes'!$F$6:$F$1005,MATCH(U156,'Material routes'!$A$6:$A$1005,0)),"MISSING ID")</x:f>
        <x:v>T3</x:v>
      </x:c>
      <x:c r="C156" s="4" t="str">
        <x:f>IFERROR(INDEX('Material routes'!$H$6:$H$1005,MATCH(U156,'Material routes'!$A$6:$A$1005,0)),"MISSING ID")</x:f>
        <x:v>Processed material</x:v>
      </x:c>
      <x:c r="D156" s="4" t="str">
        <x:f>IFERROR(INDEX('Material routes'!$G$6:$G$1005,MATCH(U156,'Material routes'!$A$6:$A$1005,0)),"MISSING ID")</x:f>
        <x:v>Resources</x:v>
      </x:c>
      <x:c r="E156" s="4" t="str">
        <x:f>IFERROR(INDEX('Material routes'!$C$6:$C$1005,MATCH(U156,'Material routes'!$A$6:$A$1005,0)),"MISSING ID")</x:f>
        <x:v>Ingredient candidate</x:v>
      </x:c>
      <x:c r="F156" s="4" t="str">
        <x:f>IFERROR(INDEX('Material routes'!$E$6:$E$1005,MATCH(V156,'Material routes'!$A$6:$A$1005,0)),"MISSING ID")</x:f>
        <x:v>Layered protective composite stock</x:v>
      </x:c>
      <x:c r="G156" s="4" t="str">
        <x:f>IFERROR(INDEX('Material routes'!$F$6:$F$1005,MATCH(V156,'Material routes'!$A$6:$A$1005,0)),"MISSING ID")</x:f>
        <x:v>T4</x:v>
      </x:c>
      <x:c r="H156" s="4" t="str">
        <x:f>IFERROR(INDEX('Material routes'!$H$6:$H$1005,MATCH(V156,'Material routes'!$A$6:$A$1005,0)),"MISSING ID")</x:f>
        <x:v>Processed material</x:v>
      </x:c>
      <x:c r="I156" s="4" t="str">
        <x:f>IFERROR(INDEX('Material routes'!$G$6:$G$1005,MATCH(V156,'Material routes'!$A$6:$A$1005,0)),"MISSING ID")</x:f>
        <x:v>Resources</x:v>
      </x:c>
      <x:c r="J156" s="4" t="str">
        <x:f>IFERROR(INDEX('Material routes'!$B$6:$B$1005,MATCH(U156,'Material routes'!$A$6:$A$1005,0)),"MISSING ID")</x:f>
        <x:v>design.branch.branch.protective_stock</x:v>
      </x:c>
      <x:c r="K156" s="4" t="str">
        <x:f>IFERROR(INDEX('Crafting recipes'!$C$6:$C$1005,MATCH(J156,'Crafting recipes'!$A$6:$A$1005,0)),"MISSING ID")</x:f>
        <x:v>Material refinement</x:v>
      </x:c>
      <x:c r="L156" s="4" t="str">
        <x:f>IFERROR(INDEX('Material routes'!$K$6:$K$1005,MATCH(U156,'Material routes'!$A$6:$A$1005,0)),"MISSING ID")</x:f>
        <x:v>Proposal</x:v>
      </x:c>
      <x:c r="M156" s="4" t="str">
        <x:f>IFERROR(INDEX('Material routes'!$M$6:$M$1005,MATCH(U156,'Material routes'!$A$6:$A$1005,0)),"MISSING ID")</x:f>
        <x:v>Partial proposal</x:v>
      </x:c>
      <x:c r="N156" s="4" t="str">
        <x:f>IF(IFERROR(INDEX('Material routes'!$I$6:$I$1005,MATCH(U156,'Material routes'!$A$6:$A$1005,0)),"MISSING ID")=0,"",IFERROR(INDEX('Material routes'!$I$6:$I$1005,MATCH(U156,'Material routes'!$A$6:$A$1005,0)),"MISSING ID"))</x:f>
      </x:c>
      <x:c r="O156" s="4" t="str">
        <x:f>IFERROR(INDEX('Material routes'!$J$6:$J$1005,MATCH(U156,'Material routes'!$A$6:$A$1005,0)),"MISSING ID")</x:f>
        <x:v>Unspecified</x:v>
      </x:c>
      <x:c r="P156" s="4" t="str">
        <x:f>IF(IFERROR(INDEX('Material routes'!$I$6:$I$1005,MATCH(V156,'Material routes'!$A$6:$A$1005,0)),"MISSING ID")=0,"",IFERROR(INDEX('Material routes'!$I$6:$I$1005,MATCH(V156,'Material routes'!$A$6:$A$1005,0)),"MISSING ID"))</x:f>
      </x:c>
      <x:c r="Q156" s="4" t="str">
        <x:f>IFERROR(INDEX('Material routes'!$J$6:$J$1005,MATCH(V156,'Material routes'!$A$6:$A$1005,0)),"MISSING ID")</x:f>
        <x:v>Unspecified</x:v>
      </x:c>
      <x:c r="R156" s="4" t="str">
        <x:f>IF(L156="Withheld","Withheld premise",IF(E156="Tool candidate","Reusable prerequisite",IF(K156="Raw entry preparation","Entry-resource preparation",IF(G156="Not applicable","Finished endpoint",IF(OR(IFERROR(INDEX('Crafting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routes'!$D$6:$D$1005,MATCH(U156,'Material routes'!$A$6:$A$1005,0)),"MISSING ID")</x:f>
        <x:v>proposal.branch.steel_shell</x:v>
      </x:c>
      <x:c r="T156" s="4" t="str">
        <x:f>IFERROR(INDEX('Material routes'!$D$6:$D$1005,MATCH(V156,'Material routes'!$A$6:$A$1005,0)),"MISSING ID")</x:f>
        <x:v>proposal.branch.protective_stock</x:v>
      </x:c>
      <x:c r="U156" s="4" t="str">
        <x:v>design.branch.branch.protective_stock.in.1</x:v>
      </x:c>
      <x:c r="V156" s="4" t="str">
        <x:v>design.branch.branch.protective_stock.out</x:v>
      </x:c>
    </x:row>
    <x:row r="157" ht="105" customHeight="1">
      <x:c r="A157" s="4" t="str">
        <x:f>IFERROR(INDEX('Material routes'!$E$6:$E$1005,MATCH(U157,'Material routes'!$A$6:$A$1005,0)),"MISSING ID")</x:f>
        <x:v>Bonded ceramic-shell composite</x:v>
      </x:c>
      <x:c r="B157" s="4" t="str">
        <x:f>IFERROR(INDEX('Material routes'!$F$6:$F$1005,MATCH(U157,'Material routes'!$A$6:$A$1005,0)),"MISSING ID")</x:f>
        <x:v>T3</x:v>
      </x:c>
      <x:c r="C157" s="4" t="str">
        <x:f>IFERROR(INDEX('Material routes'!$H$6:$H$1005,MATCH(U157,'Material routes'!$A$6:$A$1005,0)),"MISSING ID")</x:f>
        <x:v>Processed material</x:v>
      </x:c>
      <x:c r="D157" s="4" t="str">
        <x:f>IFERROR(INDEX('Material routes'!$G$6:$G$1005,MATCH(U157,'Material routes'!$A$6:$A$1005,0)),"MISSING ID")</x:f>
        <x:v>Resources</x:v>
      </x:c>
      <x:c r="E157" s="4" t="str">
        <x:f>IFERROR(INDEX('Material routes'!$C$6:$C$1005,MATCH(U157,'Material routes'!$A$6:$A$1005,0)),"MISSING ID")</x:f>
        <x:v>Ingredient candidate</x:v>
      </x:c>
      <x:c r="F157" s="4" t="str">
        <x:f>IFERROR(INDEX('Material routes'!$E$6:$E$1005,MATCH(V157,'Material routes'!$A$6:$A$1005,0)),"MISSING ID")</x:f>
        <x:v>Layered protective composite stock</x:v>
      </x:c>
      <x:c r="G157" s="4" t="str">
        <x:f>IFERROR(INDEX('Material routes'!$F$6:$F$1005,MATCH(V157,'Material routes'!$A$6:$A$1005,0)),"MISSING ID")</x:f>
        <x:v>T4</x:v>
      </x:c>
      <x:c r="H157" s="4" t="str">
        <x:f>IFERROR(INDEX('Material routes'!$H$6:$H$1005,MATCH(V157,'Material routes'!$A$6:$A$1005,0)),"MISSING ID")</x:f>
        <x:v>Processed material</x:v>
      </x:c>
      <x:c r="I157" s="4" t="str">
        <x:f>IFERROR(INDEX('Material routes'!$G$6:$G$1005,MATCH(V157,'Material routes'!$A$6:$A$1005,0)),"MISSING ID")</x:f>
        <x:v>Resources</x:v>
      </x:c>
      <x:c r="J157" s="4" t="str">
        <x:f>IFERROR(INDEX('Material routes'!$B$6:$B$1005,MATCH(U157,'Material routes'!$A$6:$A$1005,0)),"MISSING ID")</x:f>
        <x:v>design.branch.branch.protective_stock</x:v>
      </x:c>
      <x:c r="K157" s="4" t="str">
        <x:f>IFERROR(INDEX('Crafting recipes'!$C$6:$C$1005,MATCH(J157,'Crafting recipes'!$A$6:$A$1005,0)),"MISSING ID")</x:f>
        <x:v>Material refinement</x:v>
      </x:c>
      <x:c r="L157" s="4" t="str">
        <x:f>IFERROR(INDEX('Material routes'!$K$6:$K$1005,MATCH(U157,'Material routes'!$A$6:$A$1005,0)),"MISSING ID")</x:f>
        <x:v>Proposal</x:v>
      </x:c>
      <x:c r="M157" s="4" t="str">
        <x:f>IFERROR(INDEX('Material routes'!$M$6:$M$1005,MATCH(U157,'Material routes'!$A$6:$A$1005,0)),"MISSING ID")</x:f>
        <x:v>Partial proposal</x:v>
      </x:c>
      <x:c r="N157" s="4" t="str">
        <x:f>IF(IFERROR(INDEX('Material routes'!$I$6:$I$1005,MATCH(U157,'Material routes'!$A$6:$A$1005,0)),"MISSING ID")=0,"",IFERROR(INDEX('Material routes'!$I$6:$I$1005,MATCH(U157,'Material routes'!$A$6:$A$1005,0)),"MISSING ID"))</x:f>
      </x:c>
      <x:c r="O157" s="4" t="str">
        <x:f>IFERROR(INDEX('Material routes'!$J$6:$J$1005,MATCH(U157,'Material routes'!$A$6:$A$1005,0)),"MISSING ID")</x:f>
        <x:v>Unspecified</x:v>
      </x:c>
      <x:c r="P157" s="4" t="str">
        <x:f>IF(IFERROR(INDEX('Material routes'!$I$6:$I$1005,MATCH(V157,'Material routes'!$A$6:$A$1005,0)),"MISSING ID")=0,"",IFERROR(INDEX('Material routes'!$I$6:$I$1005,MATCH(V157,'Material routes'!$A$6:$A$1005,0)),"MISSING ID"))</x:f>
      </x:c>
      <x:c r="Q157" s="4" t="str">
        <x:f>IFERROR(INDEX('Material routes'!$J$6:$J$1005,MATCH(V157,'Material routes'!$A$6:$A$1005,0)),"MISSING ID")</x:f>
        <x:v>Unspecified</x:v>
      </x:c>
      <x:c r="R157" s="4" t="str">
        <x:f>IF(L157="Withheld","Withheld premise",IF(E157="Tool candidate","Reusable prerequisite",IF(K157="Raw entry preparation","Entry-resource preparation",IF(G157="Not applicable","Finished endpoint",IF(OR(IFERROR(INDEX('Crafting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routes'!$D$6:$D$1005,MATCH(U157,'Material routes'!$A$6:$A$1005,0)),"MISSING ID")</x:f>
        <x:v>proposal.branch.ceramic_shell</x:v>
      </x:c>
      <x:c r="T157" s="4" t="str">
        <x:f>IFERROR(INDEX('Material routes'!$D$6:$D$1005,MATCH(V157,'Material routes'!$A$6:$A$1005,0)),"MISSING ID")</x:f>
        <x:v>proposal.branch.protective_stock</x:v>
      </x:c>
      <x:c r="U157" s="4" t="str">
        <x:v>design.branch.branch.protective_stock.in.2</x:v>
      </x:c>
      <x:c r="V157" s="4" t="str">
        <x:v>design.branch.branch.protective_stock.out</x:v>
      </x:c>
    </x:row>
    <x:row r="158" ht="105" customHeight="1">
      <x:c r="A158" s="4" t="str">
        <x:f>IFERROR(INDEX('Material routes'!$E$6:$E$1005,MATCH(U158,'Material routes'!$A$6:$A$1005,0)),"MISSING ID")</x:f>
        <x:v>Filled shell-binding compound</x:v>
      </x:c>
      <x:c r="B158" s="4" t="str">
        <x:f>IFERROR(INDEX('Material routes'!$F$6:$F$1005,MATCH(U158,'Material routes'!$A$6:$A$1005,0)),"MISSING ID")</x:f>
        <x:v>T2</x:v>
      </x:c>
      <x:c r="C158" s="4" t="str">
        <x:f>IFERROR(INDEX('Material routes'!$H$6:$H$1005,MATCH(U158,'Material routes'!$A$6:$A$1005,0)),"MISSING ID")</x:f>
        <x:v>Chemical material</x:v>
      </x:c>
      <x:c r="D158" s="4" t="str">
        <x:f>IFERROR(INDEX('Material routes'!$G$6:$G$1005,MATCH(U158,'Material routes'!$A$6:$A$1005,0)),"MISSING ID")</x:f>
        <x:v>Resources</x:v>
      </x:c>
      <x:c r="E158" s="4" t="str">
        <x:f>IFERROR(INDEX('Material routes'!$C$6:$C$1005,MATCH(U158,'Material routes'!$A$6:$A$1005,0)),"MISSING ID")</x:f>
        <x:v>Ingredient candidate</x:v>
      </x:c>
      <x:c r="F158" s="4" t="str">
        <x:f>IFERROR(INDEX('Material routes'!$E$6:$E$1005,MATCH(V158,'Material routes'!$A$6:$A$1005,0)),"MISSING ID")</x:f>
        <x:v>Layered protective composite stock</x:v>
      </x:c>
      <x:c r="G158" s="4" t="str">
        <x:f>IFERROR(INDEX('Material routes'!$F$6:$F$1005,MATCH(V158,'Material routes'!$A$6:$A$1005,0)),"MISSING ID")</x:f>
        <x:v>T4</x:v>
      </x:c>
      <x:c r="H158" s="4" t="str">
        <x:f>IFERROR(INDEX('Material routes'!$H$6:$H$1005,MATCH(V158,'Material routes'!$A$6:$A$1005,0)),"MISSING ID")</x:f>
        <x:v>Processed material</x:v>
      </x:c>
      <x:c r="I158" s="4" t="str">
        <x:f>IFERROR(INDEX('Material routes'!$G$6:$G$1005,MATCH(V158,'Material routes'!$A$6:$A$1005,0)),"MISSING ID")</x:f>
        <x:v>Resources</x:v>
      </x:c>
      <x:c r="J158" s="4" t="str">
        <x:f>IFERROR(INDEX('Material routes'!$B$6:$B$1005,MATCH(U158,'Material routes'!$A$6:$A$1005,0)),"MISSING ID")</x:f>
        <x:v>design.branch.branch.protective_stock</x:v>
      </x:c>
      <x:c r="K158" s="4" t="str">
        <x:f>IFERROR(INDEX('Crafting recipes'!$C$6:$C$1005,MATCH(J158,'Crafting recipes'!$A$6:$A$1005,0)),"MISSING ID")</x:f>
        <x:v>Material refinement</x:v>
      </x:c>
      <x:c r="L158" s="4" t="str">
        <x:f>IFERROR(INDEX('Material routes'!$K$6:$K$1005,MATCH(U158,'Material routes'!$A$6:$A$1005,0)),"MISSING ID")</x:f>
        <x:v>Proposal</x:v>
      </x:c>
      <x:c r="M158" s="4" t="str">
        <x:f>IFERROR(INDEX('Material routes'!$M$6:$M$1005,MATCH(U158,'Material routes'!$A$6:$A$1005,0)),"MISSING ID")</x:f>
        <x:v>Partial proposal</x:v>
      </x:c>
      <x:c r="N158" s="4" t="str">
        <x:f>IF(IFERROR(INDEX('Material routes'!$I$6:$I$1005,MATCH(U158,'Material routes'!$A$6:$A$1005,0)),"MISSING ID")=0,"",IFERROR(INDEX('Material routes'!$I$6:$I$1005,MATCH(U158,'Material routes'!$A$6:$A$1005,0)),"MISSING ID"))</x:f>
      </x:c>
      <x:c r="O158" s="4" t="str">
        <x:f>IFERROR(INDEX('Material routes'!$J$6:$J$1005,MATCH(U158,'Material routes'!$A$6:$A$1005,0)),"MISSING ID")</x:f>
        <x:v>Unspecified</x:v>
      </x:c>
      <x:c r="P158" s="4" t="str">
        <x:f>IF(IFERROR(INDEX('Material routes'!$I$6:$I$1005,MATCH(V158,'Material routes'!$A$6:$A$1005,0)),"MISSING ID")=0,"",IFERROR(INDEX('Material routes'!$I$6:$I$1005,MATCH(V158,'Material routes'!$A$6:$A$1005,0)),"MISSING ID"))</x:f>
      </x:c>
      <x:c r="Q158" s="4" t="str">
        <x:f>IFERROR(INDEX('Material routes'!$J$6:$J$1005,MATCH(V158,'Material routes'!$A$6:$A$1005,0)),"MISSING ID")</x:f>
        <x:v>Unspecified</x:v>
      </x:c>
      <x:c r="R158" s="4" t="str">
        <x:f>IF(L158="Withheld","Withheld premise",IF(E158="Tool candidate","Reusable prerequisite",IF(K158="Raw entry preparation","Entry-resource preparation",IF(G158="Not applicable","Finished endpoint",IF(OR(IFERROR(INDEX('Crafting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routes'!$D$6:$D$1005,MATCH(U158,'Material routes'!$A$6:$A$1005,0)),"MISSING ID")</x:f>
        <x:v>proposal.branch.filled_binder</x:v>
      </x:c>
      <x:c r="T158" s="4" t="str">
        <x:f>IFERROR(INDEX('Material routes'!$D$6:$D$1005,MATCH(V158,'Material routes'!$A$6:$A$1005,0)),"MISSING ID")</x:f>
        <x:v>proposal.branch.protective_stock</x:v>
      </x:c>
      <x:c r="U158" s="4" t="str">
        <x:v>design.branch.branch.protective_stock.in.3</x:v>
      </x:c>
      <x:c r="V158" s="4" t="str">
        <x:v>design.branch.branch.protective_stock.out</x:v>
      </x:c>
    </x:row>
    <x:row r="159" ht="105" customHeight="1">
      <x:c r="A159" s="4" t="str">
        <x:f>IFERROR(INDEX('Material routes'!$E$6:$E$1005,MATCH(U159,'Material routes'!$A$6:$A$1005,0)),"MISSING ID")</x:f>
        <x:v>Insulated conductor stock</x:v>
      </x:c>
      <x:c r="B159" s="4" t="str">
        <x:f>IFERROR(INDEX('Material routes'!$F$6:$F$1005,MATCH(U159,'Material routes'!$A$6:$A$1005,0)),"MISSING ID")</x:f>
        <x:v>T3</x:v>
      </x:c>
      <x:c r="C159" s="4" t="str">
        <x:f>IFERROR(INDEX('Material routes'!$H$6:$H$1005,MATCH(U159,'Material routes'!$A$6:$A$1005,0)),"MISSING ID")</x:f>
        <x:v>Processed material</x:v>
      </x:c>
      <x:c r="D159" s="4" t="str">
        <x:f>IFERROR(INDEX('Material routes'!$G$6:$G$1005,MATCH(U159,'Material routes'!$A$6:$A$1005,0)),"MISSING ID")</x:f>
        <x:v>Resources</x:v>
      </x:c>
      <x:c r="E159" s="4" t="str">
        <x:f>IFERROR(INDEX('Material routes'!$C$6:$C$1005,MATCH(U159,'Material routes'!$A$6:$A$1005,0)),"MISSING ID")</x:f>
        <x:v>Ingredient candidate</x:v>
      </x:c>
      <x:c r="F159" s="4" t="str">
        <x:f>IFERROR(INDEX('Material routes'!$E$6:$E$1005,MATCH(V159,'Material routes'!$A$6:$A$1005,0)),"MISSING ID")</x:f>
        <x:v>Encapsulated conductor stock</x:v>
      </x:c>
      <x:c r="G159" s="4" t="str">
        <x:f>IFERROR(INDEX('Material routes'!$F$6:$F$1005,MATCH(V159,'Material routes'!$A$6:$A$1005,0)),"MISSING ID")</x:f>
        <x:v>T4</x:v>
      </x:c>
      <x:c r="H159" s="4" t="str">
        <x:f>IFERROR(INDEX('Material routes'!$H$6:$H$1005,MATCH(V159,'Material routes'!$A$6:$A$1005,0)),"MISSING ID")</x:f>
        <x:v>Processed material</x:v>
      </x:c>
      <x:c r="I159" s="4" t="str">
        <x:f>IFERROR(INDEX('Material routes'!$G$6:$G$1005,MATCH(V159,'Material routes'!$A$6:$A$1005,0)),"MISSING ID")</x:f>
        <x:v>Resources</x:v>
      </x:c>
      <x:c r="J159" s="4" t="str">
        <x:f>IFERROR(INDEX('Material routes'!$B$6:$B$1005,MATCH(U159,'Material routes'!$A$6:$A$1005,0)),"MISSING ID")</x:f>
        <x:v>design.branch.branch.encapsulated_conductor</x:v>
      </x:c>
      <x:c r="K159" s="4" t="str">
        <x:f>IFERROR(INDEX('Crafting recipes'!$C$6:$C$1005,MATCH(J159,'Crafting recipes'!$A$6:$A$1005,0)),"MISSING ID")</x:f>
        <x:v>Material refinement</x:v>
      </x:c>
      <x:c r="L159" s="4" t="str">
        <x:f>IFERROR(INDEX('Material routes'!$K$6:$K$1005,MATCH(U159,'Material routes'!$A$6:$A$1005,0)),"MISSING ID")</x:f>
        <x:v>Proposal</x:v>
      </x:c>
      <x:c r="M159" s="4" t="str">
        <x:f>IFERROR(INDEX('Material routes'!$M$6:$M$1005,MATCH(U159,'Material routes'!$A$6:$A$1005,0)),"MISSING ID")</x:f>
        <x:v>Partial proposal</x:v>
      </x:c>
      <x:c r="N159" s="4" t="str">
        <x:f>IF(IFERROR(INDEX('Material routes'!$I$6:$I$1005,MATCH(U159,'Material routes'!$A$6:$A$1005,0)),"MISSING ID")=0,"",IFERROR(INDEX('Material routes'!$I$6:$I$1005,MATCH(U159,'Material routes'!$A$6:$A$1005,0)),"MISSING ID"))</x:f>
      </x:c>
      <x:c r="O159" s="4" t="str">
        <x:f>IFERROR(INDEX('Material routes'!$J$6:$J$1005,MATCH(U159,'Material routes'!$A$6:$A$1005,0)),"MISSING ID")</x:f>
        <x:v>Unspecified</x:v>
      </x:c>
      <x:c r="P159" s="4" t="str">
        <x:f>IF(IFERROR(INDEX('Material routes'!$I$6:$I$1005,MATCH(V159,'Material routes'!$A$6:$A$1005,0)),"MISSING ID")=0,"",IFERROR(INDEX('Material routes'!$I$6:$I$1005,MATCH(V159,'Material routes'!$A$6:$A$1005,0)),"MISSING ID"))</x:f>
      </x:c>
      <x:c r="Q159" s="4" t="str">
        <x:f>IFERROR(INDEX('Material routes'!$J$6:$J$1005,MATCH(V159,'Material routes'!$A$6:$A$1005,0)),"MISSING ID")</x:f>
        <x:v>Unspecified</x:v>
      </x:c>
      <x:c r="R159" s="4" t="str">
        <x:f>IF(L159="Withheld","Withheld premise",IF(E159="Tool candidate","Reusable prerequisite",IF(K159="Raw entry preparation","Entry-resource preparation",IF(G159="Not applicable","Finished endpoint",IF(OR(IFERROR(INDEX('Crafting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routes'!$D$6:$D$1005,MATCH(U159,'Material routes'!$A$6:$A$1005,0)),"MISSING ID")</x:f>
        <x:v>proposal.branch.insulated_conductor</x:v>
      </x:c>
      <x:c r="T159" s="4" t="str">
        <x:f>IFERROR(INDEX('Material routes'!$D$6:$D$1005,MATCH(V159,'Material routes'!$A$6:$A$1005,0)),"MISSING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routes'!$E$6:$E$1005,MATCH(U160,'Material routes'!$A$6:$A$1005,0)),"MISSING ID")</x:f>
        <x:v>Reinforced sealing sheet</x:v>
      </x:c>
      <x:c r="B160" s="4" t="str">
        <x:f>IFERROR(INDEX('Material routes'!$F$6:$F$1005,MATCH(U160,'Material routes'!$A$6:$A$1005,0)),"MISSING ID")</x:f>
        <x:v>T3</x:v>
      </x:c>
      <x:c r="C160" s="4" t="str">
        <x:f>IFERROR(INDEX('Material routes'!$H$6:$H$1005,MATCH(U160,'Material routes'!$A$6:$A$1005,0)),"MISSING ID")</x:f>
        <x:v>Processed material</x:v>
      </x:c>
      <x:c r="D160" s="4" t="str">
        <x:f>IFERROR(INDEX('Material routes'!$G$6:$G$1005,MATCH(U160,'Material routes'!$A$6:$A$1005,0)),"MISSING ID")</x:f>
        <x:v>Resources</x:v>
      </x:c>
      <x:c r="E160" s="4" t="str">
        <x:f>IFERROR(INDEX('Material routes'!$C$6:$C$1005,MATCH(U160,'Material routes'!$A$6:$A$1005,0)),"MISSING ID")</x:f>
        <x:v>Ingredient candidate</x:v>
      </x:c>
      <x:c r="F160" s="4" t="str">
        <x:f>IFERROR(INDEX('Material routes'!$E$6:$E$1005,MATCH(V160,'Material routes'!$A$6:$A$1005,0)),"MISSING ID")</x:f>
        <x:v>Encapsulated conductor stock</x:v>
      </x:c>
      <x:c r="G160" s="4" t="str">
        <x:f>IFERROR(INDEX('Material routes'!$F$6:$F$1005,MATCH(V160,'Material routes'!$A$6:$A$1005,0)),"MISSING ID")</x:f>
        <x:v>T4</x:v>
      </x:c>
      <x:c r="H160" s="4" t="str">
        <x:f>IFERROR(INDEX('Material routes'!$H$6:$H$1005,MATCH(V160,'Material routes'!$A$6:$A$1005,0)),"MISSING ID")</x:f>
        <x:v>Processed material</x:v>
      </x:c>
      <x:c r="I160" s="4" t="str">
        <x:f>IFERROR(INDEX('Material routes'!$G$6:$G$1005,MATCH(V160,'Material routes'!$A$6:$A$1005,0)),"MISSING ID")</x:f>
        <x:v>Resources</x:v>
      </x:c>
      <x:c r="J160" s="4" t="str">
        <x:f>IFERROR(INDEX('Material routes'!$B$6:$B$1005,MATCH(U160,'Material routes'!$A$6:$A$1005,0)),"MISSING ID")</x:f>
        <x:v>design.branch.branch.encapsulated_conductor</x:v>
      </x:c>
      <x:c r="K160" s="4" t="str">
        <x:f>IFERROR(INDEX('Crafting recipes'!$C$6:$C$1005,MATCH(J160,'Crafting recipes'!$A$6:$A$1005,0)),"MISSING ID")</x:f>
        <x:v>Material refinement</x:v>
      </x:c>
      <x:c r="L160" s="4" t="str">
        <x:f>IFERROR(INDEX('Material routes'!$K$6:$K$1005,MATCH(U160,'Material routes'!$A$6:$A$1005,0)),"MISSING ID")</x:f>
        <x:v>Proposal</x:v>
      </x:c>
      <x:c r="M160" s="4" t="str">
        <x:f>IFERROR(INDEX('Material routes'!$M$6:$M$1005,MATCH(U160,'Material routes'!$A$6:$A$1005,0)),"MISSING ID")</x:f>
        <x:v>Partial proposal</x:v>
      </x:c>
      <x:c r="N160" s="4" t="str">
        <x:f>IF(IFERROR(INDEX('Material routes'!$I$6:$I$1005,MATCH(U160,'Material routes'!$A$6:$A$1005,0)),"MISSING ID")=0,"",IFERROR(INDEX('Material routes'!$I$6:$I$1005,MATCH(U160,'Material routes'!$A$6:$A$1005,0)),"MISSING ID"))</x:f>
      </x:c>
      <x:c r="O160" s="4" t="str">
        <x:f>IFERROR(INDEX('Material routes'!$J$6:$J$1005,MATCH(U160,'Material routes'!$A$6:$A$1005,0)),"MISSING ID")</x:f>
        <x:v>Unspecified</x:v>
      </x:c>
      <x:c r="P160" s="4" t="str">
        <x:f>IF(IFERROR(INDEX('Material routes'!$I$6:$I$1005,MATCH(V160,'Material routes'!$A$6:$A$1005,0)),"MISSING ID")=0,"",IFERROR(INDEX('Material routes'!$I$6:$I$1005,MATCH(V160,'Material routes'!$A$6:$A$1005,0)),"MISSING ID"))</x:f>
      </x:c>
      <x:c r="Q160" s="4" t="str">
        <x:f>IFERROR(INDEX('Material routes'!$J$6:$J$1005,MATCH(V160,'Material routes'!$A$6:$A$1005,0)),"MISSING ID")</x:f>
        <x:v>Unspecified</x:v>
      </x:c>
      <x:c r="R160" s="4" t="str">
        <x:f>IF(L160="Withheld","Withheld premise",IF(E160="Tool candidate","Reusable prerequisite",IF(K160="Raw entry preparation","Entry-resource preparation",IF(G160="Not applicable","Finished endpoint",IF(OR(IFERROR(INDEX('Crafting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routes'!$D$6:$D$1005,MATCH(U160,'Material routes'!$A$6:$A$1005,0)),"MISSING ID")</x:f>
        <x:v>proposal.branch.sealing_sheet</x:v>
      </x:c>
      <x:c r="T160" s="4" t="str">
        <x:f>IFERROR(INDEX('Material routes'!$D$6:$D$1005,MATCH(V160,'Material routes'!$A$6:$A$1005,0)),"MISSING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routes'!$E$6:$E$1005,MATCH(U161,'Material routes'!$A$6:$A$1005,0)),"MISSING ID")</x:f>
        <x:v>Insulating ceramic blanks</x:v>
      </x:c>
      <x:c r="B161" s="4" t="str">
        <x:f>IFERROR(INDEX('Material routes'!$F$6:$F$1005,MATCH(U161,'Material routes'!$A$6:$A$1005,0)),"MISSING ID")</x:f>
        <x:v>T2</x:v>
      </x:c>
      <x:c r="C161" s="4" t="str">
        <x:f>IFERROR(INDEX('Material routes'!$H$6:$H$1005,MATCH(U161,'Material routes'!$A$6:$A$1005,0)),"MISSING ID")</x:f>
        <x:v>Processed material</x:v>
      </x:c>
      <x:c r="D161" s="4" t="str">
        <x:f>IFERROR(INDEX('Material routes'!$G$6:$G$1005,MATCH(U161,'Material routes'!$A$6:$A$1005,0)),"MISSING ID")</x:f>
        <x:v>Resources</x:v>
      </x:c>
      <x:c r="E161" s="4" t="str">
        <x:f>IFERROR(INDEX('Material routes'!$C$6:$C$1005,MATCH(U161,'Material routes'!$A$6:$A$1005,0)),"MISSING ID")</x:f>
        <x:v>Ingredient candidate</x:v>
      </x:c>
      <x:c r="F161" s="4" t="str">
        <x:f>IFERROR(INDEX('Material routes'!$E$6:$E$1005,MATCH(V161,'Material routes'!$A$6:$A$1005,0)),"MISSING ID")</x:f>
        <x:v>Encapsulated conductor stock</x:v>
      </x:c>
      <x:c r="G161" s="4" t="str">
        <x:f>IFERROR(INDEX('Material routes'!$F$6:$F$1005,MATCH(V161,'Material routes'!$A$6:$A$1005,0)),"MISSING ID")</x:f>
        <x:v>T4</x:v>
      </x:c>
      <x:c r="H161" s="4" t="str">
        <x:f>IFERROR(INDEX('Material routes'!$H$6:$H$1005,MATCH(V161,'Material routes'!$A$6:$A$1005,0)),"MISSING ID")</x:f>
        <x:v>Processed material</x:v>
      </x:c>
      <x:c r="I161" s="4" t="str">
        <x:f>IFERROR(INDEX('Material routes'!$G$6:$G$1005,MATCH(V161,'Material routes'!$A$6:$A$1005,0)),"MISSING ID")</x:f>
        <x:v>Resources</x:v>
      </x:c>
      <x:c r="J161" s="4" t="str">
        <x:f>IFERROR(INDEX('Material routes'!$B$6:$B$1005,MATCH(U161,'Material routes'!$A$6:$A$1005,0)),"MISSING ID")</x:f>
        <x:v>design.branch.branch.encapsulated_conductor</x:v>
      </x:c>
      <x:c r="K161" s="4" t="str">
        <x:f>IFERROR(INDEX('Crafting recipes'!$C$6:$C$1005,MATCH(J161,'Crafting recipes'!$A$6:$A$1005,0)),"MISSING ID")</x:f>
        <x:v>Material refinement</x:v>
      </x:c>
      <x:c r="L161" s="4" t="str">
        <x:f>IFERROR(INDEX('Material routes'!$K$6:$K$1005,MATCH(U161,'Material routes'!$A$6:$A$1005,0)),"MISSING ID")</x:f>
        <x:v>Proposal</x:v>
      </x:c>
      <x:c r="M161" s="4" t="str">
        <x:f>IFERROR(INDEX('Material routes'!$M$6:$M$1005,MATCH(U161,'Material routes'!$A$6:$A$1005,0)),"MISSING ID")</x:f>
        <x:v>Partial proposal</x:v>
      </x:c>
      <x:c r="N161" s="4" t="str">
        <x:f>IF(IFERROR(INDEX('Material routes'!$I$6:$I$1005,MATCH(U161,'Material routes'!$A$6:$A$1005,0)),"MISSING ID")=0,"",IFERROR(INDEX('Material routes'!$I$6:$I$1005,MATCH(U161,'Material routes'!$A$6:$A$1005,0)),"MISSING ID"))</x:f>
      </x:c>
      <x:c r="O161" s="4" t="str">
        <x:f>IFERROR(INDEX('Material routes'!$J$6:$J$1005,MATCH(U161,'Material routes'!$A$6:$A$1005,0)),"MISSING ID")</x:f>
        <x:v>Unspecified</x:v>
      </x:c>
      <x:c r="P161" s="4" t="str">
        <x:f>IF(IFERROR(INDEX('Material routes'!$I$6:$I$1005,MATCH(V161,'Material routes'!$A$6:$A$1005,0)),"MISSING ID")=0,"",IFERROR(INDEX('Material routes'!$I$6:$I$1005,MATCH(V161,'Material routes'!$A$6:$A$1005,0)),"MISSING ID"))</x:f>
      </x:c>
      <x:c r="Q161" s="4" t="str">
        <x:f>IFERROR(INDEX('Material routes'!$J$6:$J$1005,MATCH(V161,'Material routes'!$A$6:$A$1005,0)),"MISSING ID")</x:f>
        <x:v>Unspecified</x:v>
      </x:c>
      <x:c r="R161" s="4" t="str">
        <x:f>IF(L161="Withheld","Withheld premise",IF(E161="Tool candidate","Reusable prerequisite",IF(K161="Raw entry preparation","Entry-resource preparation",IF(G161="Not applicable","Finished endpoint",IF(OR(IFERROR(INDEX('Crafting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routes'!$D$6:$D$1005,MATCH(U161,'Material routes'!$A$6:$A$1005,0)),"MISSING ID")</x:f>
        <x:v>proposal.natural.ceramic</x:v>
      </x:c>
      <x:c r="T161" s="4" t="str">
        <x:f>IFERROR(INDEX('Material routes'!$D$6:$D$1005,MATCH(V161,'Material routes'!$A$6:$A$1005,0)),"MISSING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routes'!$E$6:$E$1005,MATCH(U162,'Material routes'!$A$6:$A$1005,0)),"MISSING ID")</x:f>
        <x:v>Ground optical glass stock</x:v>
      </x:c>
      <x:c r="B162" s="4" t="str">
        <x:f>IFERROR(INDEX('Material routes'!$F$6:$F$1005,MATCH(U162,'Material routes'!$A$6:$A$1005,0)),"MISSING ID")</x:f>
        <x:v>T3</x:v>
      </x:c>
      <x:c r="C162" s="4" t="str">
        <x:f>IFERROR(INDEX('Material routes'!$H$6:$H$1005,MATCH(U162,'Material routes'!$A$6:$A$1005,0)),"MISSING ID")</x:f>
        <x:v>Processed material</x:v>
      </x:c>
      <x:c r="D162" s="4" t="str">
        <x:f>IFERROR(INDEX('Material routes'!$G$6:$G$1005,MATCH(U162,'Material routes'!$A$6:$A$1005,0)),"MISSING ID")</x:f>
        <x:v>Resources</x:v>
      </x:c>
      <x:c r="E162" s="4" t="str">
        <x:f>IFERROR(INDEX('Material routes'!$C$6:$C$1005,MATCH(U162,'Material routes'!$A$6:$A$1005,0)),"MISSING ID")</x:f>
        <x:v>Ingredient candidate</x:v>
      </x:c>
      <x:c r="F162" s="4" t="str">
        <x:f>IFERROR(INDEX('Material routes'!$E$6:$E$1005,MATCH(V162,'Material routes'!$A$6:$A$1005,0)),"MISSING ID")</x:f>
        <x:v>Aligned optical subassembly</x:v>
      </x:c>
      <x:c r="G162" s="4" t="str">
        <x:f>IFERROR(INDEX('Material routes'!$F$6:$F$1005,MATCH(V162,'Material routes'!$A$6:$A$1005,0)),"MISSING ID")</x:f>
        <x:v>T4</x:v>
      </x:c>
      <x:c r="H162" s="4" t="str">
        <x:f>IFERROR(INDEX('Material routes'!$H$6:$H$1005,MATCH(V162,'Material routes'!$A$6:$A$1005,0)),"MISSING ID")</x:f>
        <x:v>Crafting component</x:v>
      </x:c>
      <x:c r="I162" s="4" t="str">
        <x:f>IFERROR(INDEX('Material routes'!$G$6:$G$1005,MATCH(V162,'Material routes'!$A$6:$A$1005,0)),"MISSING ID")</x:f>
        <x:v>Crafting components</x:v>
      </x:c>
      <x:c r="J162" s="4" t="str">
        <x:f>IFERROR(INDEX('Material routes'!$B$6:$B$1005,MATCH(U162,'Material routes'!$A$6:$A$1005,0)),"MISSING ID")</x:f>
        <x:v>design.branch.branch.optical_module</x:v>
      </x:c>
      <x:c r="K162" s="4" t="str">
        <x:f>IFERROR(INDEX('Crafting recipes'!$C$6:$C$1005,MATCH(J162,'Crafting recipes'!$A$6:$A$1005,0)),"MISSING ID")</x:f>
        <x:v>Material refinement</x:v>
      </x:c>
      <x:c r="L162" s="4" t="str">
        <x:f>IFERROR(INDEX('Material routes'!$K$6:$K$1005,MATCH(U162,'Material routes'!$A$6:$A$1005,0)),"MISSING ID")</x:f>
        <x:v>Proposal</x:v>
      </x:c>
      <x:c r="M162" s="4" t="str">
        <x:f>IFERROR(INDEX('Material routes'!$M$6:$M$1005,MATCH(U162,'Material routes'!$A$6:$A$1005,0)),"MISSING ID")</x:f>
        <x:v>Partial proposal</x:v>
      </x:c>
      <x:c r="N162" s="4" t="str">
        <x:f>IF(IFERROR(INDEX('Material routes'!$I$6:$I$1005,MATCH(U162,'Material routes'!$A$6:$A$1005,0)),"MISSING ID")=0,"",IFERROR(INDEX('Material routes'!$I$6:$I$1005,MATCH(U162,'Material routes'!$A$6:$A$1005,0)),"MISSING ID"))</x:f>
      </x:c>
      <x:c r="O162" s="4" t="str">
        <x:f>IFERROR(INDEX('Material routes'!$J$6:$J$1005,MATCH(U162,'Material routes'!$A$6:$A$1005,0)),"MISSING ID")</x:f>
        <x:v>Unspecified</x:v>
      </x:c>
      <x:c r="P162" s="4" t="str">
        <x:f>IF(IFERROR(INDEX('Material routes'!$I$6:$I$1005,MATCH(V162,'Material routes'!$A$6:$A$1005,0)),"MISSING ID")=0,"",IFERROR(INDEX('Material routes'!$I$6:$I$1005,MATCH(V162,'Material routes'!$A$6:$A$1005,0)),"MISSING ID"))</x:f>
      </x:c>
      <x:c r="Q162" s="4" t="str">
        <x:f>IFERROR(INDEX('Material routes'!$J$6:$J$1005,MATCH(V162,'Material routes'!$A$6:$A$1005,0)),"MISSING ID")</x:f>
        <x:v>Unspecified</x:v>
      </x:c>
      <x:c r="R162" s="4" t="str">
        <x:f>IF(L162="Withheld","Withheld premise",IF(E162="Tool candidate","Reusable prerequisite",IF(K162="Raw entry preparation","Entry-resource preparation",IF(G162="Not applicable","Finished endpoint",IF(OR(IFERROR(INDEX('Crafting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routes'!$D$6:$D$1005,MATCH(U162,'Material routes'!$A$6:$A$1005,0)),"MISSING ID")</x:f>
        <x:v>proposal.branch.optical_glass</x:v>
      </x:c>
      <x:c r="T162" s="4" t="str">
        <x:f>IFERROR(INDEX('Material routes'!$D$6:$D$1005,MATCH(V162,'Material routes'!$A$6:$A$1005,0)),"MISSING ID")</x:f>
        <x:v>proposal.branch.optical_module</x:v>
      </x:c>
      <x:c r="U162" s="4" t="str">
        <x:v>design.branch.branch.optical_module.in.1</x:v>
      </x:c>
      <x:c r="V162" s="4" t="str">
        <x:v>design.branch.branch.optical_module.out</x:v>
      </x:c>
    </x:row>
    <x:row r="163" ht="105" customHeight="1">
      <x:c r="A163" s="4" t="str">
        <x:f>IFERROR(INDEX('Material routes'!$E$6:$E$1005,MATCH(U163,'Material routes'!$A$6:$A$1005,0)),"MISSING ID")</x:f>
        <x:v>Spring-grade steel stock</x:v>
      </x:c>
      <x:c r="B163" s="4" t="str">
        <x:f>IFERROR(INDEX('Material routes'!$F$6:$F$1005,MATCH(U163,'Material routes'!$A$6:$A$1005,0)),"MISSING ID")</x:f>
        <x:v>T3</x:v>
      </x:c>
      <x:c r="C163" s="4" t="str">
        <x:f>IFERROR(INDEX('Material routes'!$H$6:$H$1005,MATCH(U163,'Material routes'!$A$6:$A$1005,0)),"MISSING ID")</x:f>
        <x:v>Processed material</x:v>
      </x:c>
      <x:c r="D163" s="4" t="str">
        <x:f>IFERROR(INDEX('Material routes'!$G$6:$G$1005,MATCH(U163,'Material routes'!$A$6:$A$1005,0)),"MISSING ID")</x:f>
        <x:v>Resources</x:v>
      </x:c>
      <x:c r="E163" s="4" t="str">
        <x:f>IFERROR(INDEX('Material routes'!$C$6:$C$1005,MATCH(U163,'Material routes'!$A$6:$A$1005,0)),"MISSING ID")</x:f>
        <x:v>Ingredient candidate</x:v>
      </x:c>
      <x:c r="F163" s="4" t="str">
        <x:f>IFERROR(INDEX('Material routes'!$E$6:$E$1005,MATCH(V163,'Material routes'!$A$6:$A$1005,0)),"MISSING ID")</x:f>
        <x:v>Aligned optical subassembly</x:v>
      </x:c>
      <x:c r="G163" s="4" t="str">
        <x:f>IFERROR(INDEX('Material routes'!$F$6:$F$1005,MATCH(V163,'Material routes'!$A$6:$A$1005,0)),"MISSING ID")</x:f>
        <x:v>T4</x:v>
      </x:c>
      <x:c r="H163" s="4" t="str">
        <x:f>IFERROR(INDEX('Material routes'!$H$6:$H$1005,MATCH(V163,'Material routes'!$A$6:$A$1005,0)),"MISSING ID")</x:f>
        <x:v>Crafting component</x:v>
      </x:c>
      <x:c r="I163" s="4" t="str">
        <x:f>IFERROR(INDEX('Material routes'!$G$6:$G$1005,MATCH(V163,'Material routes'!$A$6:$A$1005,0)),"MISSING ID")</x:f>
        <x:v>Crafting components</x:v>
      </x:c>
      <x:c r="J163" s="4" t="str">
        <x:f>IFERROR(INDEX('Material routes'!$B$6:$B$1005,MATCH(U163,'Material routes'!$A$6:$A$1005,0)),"MISSING ID")</x:f>
        <x:v>design.branch.branch.optical_module</x:v>
      </x:c>
      <x:c r="K163" s="4" t="str">
        <x:f>IFERROR(INDEX('Crafting recipes'!$C$6:$C$1005,MATCH(J163,'Crafting recipes'!$A$6:$A$1005,0)),"MISSING ID")</x:f>
        <x:v>Material refinement</x:v>
      </x:c>
      <x:c r="L163" s="4" t="str">
        <x:f>IFERROR(INDEX('Material routes'!$K$6:$K$1005,MATCH(U163,'Material routes'!$A$6:$A$1005,0)),"MISSING ID")</x:f>
        <x:v>Proposal</x:v>
      </x:c>
      <x:c r="M163" s="4" t="str">
        <x:f>IFERROR(INDEX('Material routes'!$M$6:$M$1005,MATCH(U163,'Material routes'!$A$6:$A$1005,0)),"MISSING ID")</x:f>
        <x:v>Partial proposal</x:v>
      </x:c>
      <x:c r="N163" s="4" t="str">
        <x:f>IF(IFERROR(INDEX('Material routes'!$I$6:$I$1005,MATCH(U163,'Material routes'!$A$6:$A$1005,0)),"MISSING ID")=0,"",IFERROR(INDEX('Material routes'!$I$6:$I$1005,MATCH(U163,'Material routes'!$A$6:$A$1005,0)),"MISSING ID"))</x:f>
      </x:c>
      <x:c r="O163" s="4" t="str">
        <x:f>IFERROR(INDEX('Material routes'!$J$6:$J$1005,MATCH(U163,'Material routes'!$A$6:$A$1005,0)),"MISSING ID")</x:f>
        <x:v>Unspecified</x:v>
      </x:c>
      <x:c r="P163" s="4" t="str">
        <x:f>IF(IFERROR(INDEX('Material routes'!$I$6:$I$1005,MATCH(V163,'Material routes'!$A$6:$A$1005,0)),"MISSING ID")=0,"",IFERROR(INDEX('Material routes'!$I$6:$I$1005,MATCH(V163,'Material routes'!$A$6:$A$1005,0)),"MISSING ID"))</x:f>
      </x:c>
      <x:c r="Q163" s="4" t="str">
        <x:f>IFERROR(INDEX('Material routes'!$J$6:$J$1005,MATCH(V163,'Material routes'!$A$6:$A$1005,0)),"MISSING ID")</x:f>
        <x:v>Unspecified</x:v>
      </x:c>
      <x:c r="R163" s="4" t="str">
        <x:f>IF(L163="Withheld","Withheld premise",IF(E163="Tool candidate","Reusable prerequisite",IF(K163="Raw entry preparation","Entry-resource preparation",IF(G163="Not applicable","Finished endpoint",IF(OR(IFERROR(INDEX('Crafting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routes'!$D$6:$D$1005,MATCH(U163,'Material routes'!$A$6:$A$1005,0)),"MISSING ID")</x:f>
        <x:v>proposal.branch.spring_steel</x:v>
      </x:c>
      <x:c r="T163" s="4" t="str">
        <x:f>IFERROR(INDEX('Material routes'!$D$6:$D$1005,MATCH(V163,'Material routes'!$A$6:$A$1005,0)),"MISSING ID")</x:f>
        <x:v>proposal.branch.optical_module</x:v>
      </x:c>
      <x:c r="U163" s="4" t="str">
        <x:v>design.branch.branch.optical_module.in.2</x:v>
      </x:c>
      <x:c r="V163" s="4" t="str">
        <x:v>design.branch.branch.optical_module.out</x:v>
      </x:c>
    </x:row>
    <x:row r="164" ht="105" customHeight="1">
      <x:c r="A164" s="4" t="str">
        <x:f>IFERROR(INDEX('Material routes'!$E$6:$E$1005,MATCH(U164,'Material routes'!$A$6:$A$1005,0)),"MISSING ID")</x:f>
        <x:v>Steel stock</x:v>
      </x:c>
      <x:c r="B164" s="4" t="str">
        <x:f>IFERROR(INDEX('Material routes'!$F$6:$F$1005,MATCH(U164,'Material routes'!$A$6:$A$1005,0)),"MISSING ID")</x:f>
        <x:v>T2</x:v>
      </x:c>
      <x:c r="C164" s="4" t="str">
        <x:f>IFERROR(INDEX('Material routes'!$H$6:$H$1005,MATCH(U164,'Material routes'!$A$6:$A$1005,0)),"MISSING ID")</x:f>
        <x:v>Processed material</x:v>
      </x:c>
      <x:c r="D164" s="4" t="str">
        <x:f>IFERROR(INDEX('Material routes'!$G$6:$G$1005,MATCH(U164,'Material routes'!$A$6:$A$1005,0)),"MISSING ID")</x:f>
        <x:v>Resources</x:v>
      </x:c>
      <x:c r="E164" s="4" t="str">
        <x:f>IFERROR(INDEX('Material routes'!$C$6:$C$1005,MATCH(U164,'Material routes'!$A$6:$A$1005,0)),"MISSING ID")</x:f>
        <x:v>Ingredient candidate</x:v>
      </x:c>
      <x:c r="F164" s="4" t="str">
        <x:f>IFERROR(INDEX('Material routes'!$E$6:$E$1005,MATCH(V164,'Material routes'!$A$6:$A$1005,0)),"MISSING ID")</x:f>
        <x:v>Aligned optical subassembly</x:v>
      </x:c>
      <x:c r="G164" s="4" t="str">
        <x:f>IFERROR(INDEX('Material routes'!$F$6:$F$1005,MATCH(V164,'Material routes'!$A$6:$A$1005,0)),"MISSING ID")</x:f>
        <x:v>T4</x:v>
      </x:c>
      <x:c r="H164" s="4" t="str">
        <x:f>IFERROR(INDEX('Material routes'!$H$6:$H$1005,MATCH(V164,'Material routes'!$A$6:$A$1005,0)),"MISSING ID")</x:f>
        <x:v>Crafting component</x:v>
      </x:c>
      <x:c r="I164" s="4" t="str">
        <x:f>IFERROR(INDEX('Material routes'!$G$6:$G$1005,MATCH(V164,'Material routes'!$A$6:$A$1005,0)),"MISSING ID")</x:f>
        <x:v>Crafting components</x:v>
      </x:c>
      <x:c r="J164" s="4" t="str">
        <x:f>IFERROR(INDEX('Material routes'!$B$6:$B$1005,MATCH(U164,'Material routes'!$A$6:$A$1005,0)),"MISSING ID")</x:f>
        <x:v>design.branch.branch.optical_module</x:v>
      </x:c>
      <x:c r="K164" s="4" t="str">
        <x:f>IFERROR(INDEX('Crafting recipes'!$C$6:$C$1005,MATCH(J164,'Crafting recipes'!$A$6:$A$1005,0)),"MISSING ID")</x:f>
        <x:v>Material refinement</x:v>
      </x:c>
      <x:c r="L164" s="4" t="str">
        <x:f>IFERROR(INDEX('Material routes'!$K$6:$K$1005,MATCH(U164,'Material routes'!$A$6:$A$1005,0)),"MISSING ID")</x:f>
        <x:v>Proposal</x:v>
      </x:c>
      <x:c r="M164" s="4" t="str">
        <x:f>IFERROR(INDEX('Material routes'!$M$6:$M$1005,MATCH(U164,'Material routes'!$A$6:$A$1005,0)),"MISSING ID")</x:f>
        <x:v>Partial proposal</x:v>
      </x:c>
      <x:c r="N164" s="4" t="str">
        <x:f>IF(IFERROR(INDEX('Material routes'!$I$6:$I$1005,MATCH(U164,'Material routes'!$A$6:$A$1005,0)),"MISSING ID")=0,"",IFERROR(INDEX('Material routes'!$I$6:$I$1005,MATCH(U164,'Material routes'!$A$6:$A$1005,0)),"MISSING ID"))</x:f>
      </x:c>
      <x:c r="O164" s="4" t="str">
        <x:f>IFERROR(INDEX('Material routes'!$J$6:$J$1005,MATCH(U164,'Material routes'!$A$6:$A$1005,0)),"MISSING ID")</x:f>
        <x:v>Unspecified</x:v>
      </x:c>
      <x:c r="P164" s="4" t="str">
        <x:f>IF(IFERROR(INDEX('Material routes'!$I$6:$I$1005,MATCH(V164,'Material routes'!$A$6:$A$1005,0)),"MISSING ID")=0,"",IFERROR(INDEX('Material routes'!$I$6:$I$1005,MATCH(V164,'Material routes'!$A$6:$A$1005,0)),"MISSING ID"))</x:f>
      </x:c>
      <x:c r="Q164" s="4" t="str">
        <x:f>IFERROR(INDEX('Material routes'!$J$6:$J$1005,MATCH(V164,'Material routes'!$A$6:$A$1005,0)),"MISSING ID")</x:f>
        <x:v>Unspecified</x:v>
      </x:c>
      <x:c r="R164" s="4" t="str">
        <x:f>IF(L164="Withheld","Withheld premise",IF(E164="Tool candidate","Reusable prerequisite",IF(K164="Raw entry preparation","Entry-resource preparation",IF(G164="Not applicable","Finished endpoint",IF(OR(IFERROR(INDEX('Crafting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routes'!$D$6:$D$1005,MATCH(U164,'Material routes'!$A$6:$A$1005,0)),"MISSING ID")</x:f>
        <x:v>author.metallurgy.steel_stock</x:v>
      </x:c>
      <x:c r="T164" s="4" t="str">
        <x:f>IFERROR(INDEX('Material routes'!$D$6:$D$1005,MATCH(V164,'Material routes'!$A$6:$A$1005,0)),"MISSING ID")</x:f>
        <x:v>proposal.branch.optical_module</x:v>
      </x:c>
      <x:c r="U164" s="4" t="str">
        <x:v>design.branch.branch.optical_module.in.3</x:v>
      </x:c>
      <x:c r="V164" s="4" t="str">
        <x:v>design.branch.branch.optical_module.out</x:v>
      </x:c>
    </x:row>
    <x:row r="165" ht="105" customHeight="1">
      <x:c r="A165" s="4" t="str">
        <x:f>IFERROR(INDEX('Material routes'!$E$6:$E$1005,MATCH(U165,'Material routes'!$A$6:$A$1005,0)),"MISSING ID")</x:f>
        <x:v>Layered husk composite stock</x:v>
      </x:c>
      <x:c r="B165" s="4" t="str">
        <x:f>IFERROR(INDEX('Material routes'!$F$6:$F$1005,MATCH(U165,'Material routes'!$A$6:$A$1005,0)),"MISSING ID")</x:f>
        <x:v>T3</x:v>
      </x:c>
      <x:c r="C165" s="4" t="str">
        <x:f>IFERROR(INDEX('Material routes'!$H$6:$H$1005,MATCH(U165,'Material routes'!$A$6:$A$1005,0)),"MISSING ID")</x:f>
        <x:v>Processed material</x:v>
      </x:c>
      <x:c r="D165" s="4" t="str">
        <x:f>IFERROR(INDEX('Material routes'!$G$6:$G$1005,MATCH(U165,'Material routes'!$A$6:$A$1005,0)),"MISSING ID")</x:f>
        <x:v>Resources</x:v>
      </x:c>
      <x:c r="E165" s="4" t="str">
        <x:f>IFERROR(INDEX('Material routes'!$C$6:$C$1005,MATCH(U165,'Material routes'!$A$6:$A$1005,0)),"MISSING ID")</x:f>
        <x:v>Ingredient candidate</x:v>
      </x:c>
      <x:c r="F165" s="4" t="str">
        <x:f>IFERROR(INDEX('Material routes'!$E$6:$E$1005,MATCH(V165,'Material routes'!$A$6:$A$1005,0)),"MISSING ID")</x:f>
        <x:v>Sealed composite casing stock</x:v>
      </x:c>
      <x:c r="G165" s="4" t="str">
        <x:f>IFERROR(INDEX('Material routes'!$F$6:$F$1005,MATCH(V165,'Material routes'!$A$6:$A$1005,0)),"MISSING ID")</x:f>
        <x:v>T4</x:v>
      </x:c>
      <x:c r="H165" s="4" t="str">
        <x:f>IFERROR(INDEX('Material routes'!$H$6:$H$1005,MATCH(V165,'Material routes'!$A$6:$A$1005,0)),"MISSING ID")</x:f>
        <x:v>Processed material</x:v>
      </x:c>
      <x:c r="I165" s="4" t="str">
        <x:f>IFERROR(INDEX('Material routes'!$G$6:$G$1005,MATCH(V165,'Material routes'!$A$6:$A$1005,0)),"MISSING ID")</x:f>
        <x:v>Resources</x:v>
      </x:c>
      <x:c r="J165" s="4" t="str">
        <x:f>IFERROR(INDEX('Material routes'!$B$6:$B$1005,MATCH(U165,'Material routes'!$A$6:$A$1005,0)),"MISSING ID")</x:f>
        <x:v>design.branch.branch.sealed_casing</x:v>
      </x:c>
      <x:c r="K165" s="4" t="str">
        <x:f>IFERROR(INDEX('Crafting recipes'!$C$6:$C$1005,MATCH(J165,'Crafting recipes'!$A$6:$A$1005,0)),"MISSING ID")</x:f>
        <x:v>Material refinement</x:v>
      </x:c>
      <x:c r="L165" s="4" t="str">
        <x:f>IFERROR(INDEX('Material routes'!$K$6:$K$1005,MATCH(U165,'Material routes'!$A$6:$A$1005,0)),"MISSING ID")</x:f>
        <x:v>Proposal</x:v>
      </x:c>
      <x:c r="M165" s="4" t="str">
        <x:f>IFERROR(INDEX('Material routes'!$M$6:$M$1005,MATCH(U165,'Material routes'!$A$6:$A$1005,0)),"MISSING ID")</x:f>
        <x:v>Partial proposal</x:v>
      </x:c>
      <x:c r="N165" s="4" t="str">
        <x:f>IF(IFERROR(INDEX('Material routes'!$I$6:$I$1005,MATCH(U165,'Material routes'!$A$6:$A$1005,0)),"MISSING ID")=0,"",IFERROR(INDEX('Material routes'!$I$6:$I$1005,MATCH(U165,'Material routes'!$A$6:$A$1005,0)),"MISSING ID"))</x:f>
      </x:c>
      <x:c r="O165" s="4" t="str">
        <x:f>IFERROR(INDEX('Material routes'!$J$6:$J$1005,MATCH(U165,'Material routes'!$A$6:$A$1005,0)),"MISSING ID")</x:f>
        <x:v>Unspecified</x:v>
      </x:c>
      <x:c r="P165" s="4" t="str">
        <x:f>IF(IFERROR(INDEX('Material routes'!$I$6:$I$1005,MATCH(V165,'Material routes'!$A$6:$A$1005,0)),"MISSING ID")=0,"",IFERROR(INDEX('Material routes'!$I$6:$I$1005,MATCH(V165,'Material routes'!$A$6:$A$1005,0)),"MISSING ID"))</x:f>
      </x:c>
      <x:c r="Q165" s="4" t="str">
        <x:f>IFERROR(INDEX('Material routes'!$J$6:$J$1005,MATCH(V165,'Material routes'!$A$6:$A$1005,0)),"MISSING ID")</x:f>
        <x:v>Unspecified</x:v>
      </x:c>
      <x:c r="R165" s="4" t="str">
        <x:f>IF(L165="Withheld","Withheld premise",IF(E165="Tool candidate","Reusable prerequisite",IF(K165="Raw entry preparation","Entry-resource preparation",IF(G165="Not applicable","Finished endpoint",IF(OR(IFERROR(INDEX('Crafting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routes'!$D$6:$D$1005,MATCH(U165,'Material routes'!$A$6:$A$1005,0)),"MISSING ID")</x:f>
        <x:v>proposal.branch.husk_composite</x:v>
      </x:c>
      <x:c r="T165" s="4" t="str">
        <x:f>IFERROR(INDEX('Material routes'!$D$6:$D$1005,MATCH(V165,'Material routes'!$A$6:$A$1005,0)),"MISSING ID")</x:f>
        <x:v>proposal.branch.sealed_casing</x:v>
      </x:c>
      <x:c r="U165" s="4" t="str">
        <x:v>design.branch.branch.sealed_casing.in.1</x:v>
      </x:c>
      <x:c r="V165" s="4" t="str">
        <x:v>design.branch.branch.sealed_casing.out</x:v>
      </x:c>
    </x:row>
    <x:row r="166" ht="105" customHeight="1">
      <x:c r="A166" s="4" t="str">
        <x:f>IFERROR(INDEX('Material routes'!$E$6:$E$1005,MATCH(U166,'Material routes'!$A$6:$A$1005,0)),"MISSING ID")</x:f>
        <x:v>Reinforced sealing sheet</x:v>
      </x:c>
      <x:c r="B166" s="4" t="str">
        <x:f>IFERROR(INDEX('Material routes'!$F$6:$F$1005,MATCH(U166,'Material routes'!$A$6:$A$1005,0)),"MISSING ID")</x:f>
        <x:v>T3</x:v>
      </x:c>
      <x:c r="C166" s="4" t="str">
        <x:f>IFERROR(INDEX('Material routes'!$H$6:$H$1005,MATCH(U166,'Material routes'!$A$6:$A$1005,0)),"MISSING ID")</x:f>
        <x:v>Processed material</x:v>
      </x:c>
      <x:c r="D166" s="4" t="str">
        <x:f>IFERROR(INDEX('Material routes'!$G$6:$G$1005,MATCH(U166,'Material routes'!$A$6:$A$1005,0)),"MISSING ID")</x:f>
        <x:v>Resources</x:v>
      </x:c>
      <x:c r="E166" s="4" t="str">
        <x:f>IFERROR(INDEX('Material routes'!$C$6:$C$1005,MATCH(U166,'Material routes'!$A$6:$A$1005,0)),"MISSING ID")</x:f>
        <x:v>Ingredient candidate</x:v>
      </x:c>
      <x:c r="F166" s="4" t="str">
        <x:f>IFERROR(INDEX('Material routes'!$E$6:$E$1005,MATCH(V166,'Material routes'!$A$6:$A$1005,0)),"MISSING ID")</x:f>
        <x:v>Sealed composite casing stock</x:v>
      </x:c>
      <x:c r="G166" s="4" t="str">
        <x:f>IFERROR(INDEX('Material routes'!$F$6:$F$1005,MATCH(V166,'Material routes'!$A$6:$A$1005,0)),"MISSING ID")</x:f>
        <x:v>T4</x:v>
      </x:c>
      <x:c r="H166" s="4" t="str">
        <x:f>IFERROR(INDEX('Material routes'!$H$6:$H$1005,MATCH(V166,'Material routes'!$A$6:$A$1005,0)),"MISSING ID")</x:f>
        <x:v>Processed material</x:v>
      </x:c>
      <x:c r="I166" s="4" t="str">
        <x:f>IFERROR(INDEX('Material routes'!$G$6:$G$1005,MATCH(V166,'Material routes'!$A$6:$A$1005,0)),"MISSING ID")</x:f>
        <x:v>Resources</x:v>
      </x:c>
      <x:c r="J166" s="4" t="str">
        <x:f>IFERROR(INDEX('Material routes'!$B$6:$B$1005,MATCH(U166,'Material routes'!$A$6:$A$1005,0)),"MISSING ID")</x:f>
        <x:v>design.branch.branch.sealed_casing</x:v>
      </x:c>
      <x:c r="K166" s="4" t="str">
        <x:f>IFERROR(INDEX('Crafting recipes'!$C$6:$C$1005,MATCH(J166,'Crafting recipes'!$A$6:$A$1005,0)),"MISSING ID")</x:f>
        <x:v>Material refinement</x:v>
      </x:c>
      <x:c r="L166" s="4" t="str">
        <x:f>IFERROR(INDEX('Material routes'!$K$6:$K$1005,MATCH(U166,'Material routes'!$A$6:$A$1005,0)),"MISSING ID")</x:f>
        <x:v>Proposal</x:v>
      </x:c>
      <x:c r="M166" s="4" t="str">
        <x:f>IFERROR(INDEX('Material routes'!$M$6:$M$1005,MATCH(U166,'Material routes'!$A$6:$A$1005,0)),"MISSING ID")</x:f>
        <x:v>Partial proposal</x:v>
      </x:c>
      <x:c r="N166" s="4" t="str">
        <x:f>IF(IFERROR(INDEX('Material routes'!$I$6:$I$1005,MATCH(U166,'Material routes'!$A$6:$A$1005,0)),"MISSING ID")=0,"",IFERROR(INDEX('Material routes'!$I$6:$I$1005,MATCH(U166,'Material routes'!$A$6:$A$1005,0)),"MISSING ID"))</x:f>
      </x:c>
      <x:c r="O166" s="4" t="str">
        <x:f>IFERROR(INDEX('Material routes'!$J$6:$J$1005,MATCH(U166,'Material routes'!$A$6:$A$1005,0)),"MISSING ID")</x:f>
        <x:v>Unspecified</x:v>
      </x:c>
      <x:c r="P166" s="4" t="str">
        <x:f>IF(IFERROR(INDEX('Material routes'!$I$6:$I$1005,MATCH(V166,'Material routes'!$A$6:$A$1005,0)),"MISSING ID")=0,"",IFERROR(INDEX('Material routes'!$I$6:$I$1005,MATCH(V166,'Material routes'!$A$6:$A$1005,0)),"MISSING ID"))</x:f>
      </x:c>
      <x:c r="Q166" s="4" t="str">
        <x:f>IFERROR(INDEX('Material routes'!$J$6:$J$1005,MATCH(V166,'Material routes'!$A$6:$A$1005,0)),"MISSING ID")</x:f>
        <x:v>Unspecified</x:v>
      </x:c>
      <x:c r="R166" s="4" t="str">
        <x:f>IF(L166="Withheld","Withheld premise",IF(E166="Tool candidate","Reusable prerequisite",IF(K166="Raw entry preparation","Entry-resource preparation",IF(G166="Not applicable","Finished endpoint",IF(OR(IFERROR(INDEX('Crafting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routes'!$D$6:$D$1005,MATCH(U166,'Material routes'!$A$6:$A$1005,0)),"MISSING ID")</x:f>
        <x:v>proposal.branch.sealing_sheet</x:v>
      </x:c>
      <x:c r="T166" s="4" t="str">
        <x:f>IFERROR(INDEX('Material routes'!$D$6:$D$1005,MATCH(V166,'Material routes'!$A$6:$A$1005,0)),"MISSING ID")</x:f>
        <x:v>proposal.branch.sealed_casing</x:v>
      </x:c>
      <x:c r="U166" s="4" t="str">
        <x:v>design.branch.branch.sealed_casing.in.2</x:v>
      </x:c>
      <x:c r="V166" s="4" t="str">
        <x:v>design.branch.branch.sealed_casing.out</x:v>
      </x:c>
    </x:row>
    <x:row r="167" ht="105" customHeight="1">
      <x:c r="A167" s="4" t="str">
        <x:f>IFERROR(INDEX('Material routes'!$E$6:$E$1005,MATCH(U167,'Material routes'!$A$6:$A$1005,0)),"MISSING ID")</x:f>
        <x:v>Spring-grade steel stock</x:v>
      </x:c>
      <x:c r="B167" s="4" t="str">
        <x:f>IFERROR(INDEX('Material routes'!$F$6:$F$1005,MATCH(U167,'Material routes'!$A$6:$A$1005,0)),"MISSING ID")</x:f>
        <x:v>T3</x:v>
      </x:c>
      <x:c r="C167" s="4" t="str">
        <x:f>IFERROR(INDEX('Material routes'!$H$6:$H$1005,MATCH(U167,'Material routes'!$A$6:$A$1005,0)),"MISSING ID")</x:f>
        <x:v>Processed material</x:v>
      </x:c>
      <x:c r="D167" s="4" t="str">
        <x:f>IFERROR(INDEX('Material routes'!$G$6:$G$1005,MATCH(U167,'Material routes'!$A$6:$A$1005,0)),"MISSING ID")</x:f>
        <x:v>Resources</x:v>
      </x:c>
      <x:c r="E167" s="4" t="str">
        <x:f>IFERROR(INDEX('Material routes'!$C$6:$C$1005,MATCH(U167,'Material routes'!$A$6:$A$1005,0)),"MISSING ID")</x:f>
        <x:v>Ingredient candidate</x:v>
      </x:c>
      <x:c r="F167" s="4" t="str">
        <x:f>IFERROR(INDEX('Material routes'!$E$6:$E$1005,MATCH(V167,'Material routes'!$A$6:$A$1005,0)),"MISSING ID")</x:f>
        <x:v>Preloaded spring subassembly</x:v>
      </x:c>
      <x:c r="G167" s="4" t="str">
        <x:f>IFERROR(INDEX('Material routes'!$F$6:$F$1005,MATCH(V167,'Material routes'!$A$6:$A$1005,0)),"MISSING ID")</x:f>
        <x:v>T4</x:v>
      </x:c>
      <x:c r="H167" s="4" t="str">
        <x:f>IFERROR(INDEX('Material routes'!$H$6:$H$1005,MATCH(V167,'Material routes'!$A$6:$A$1005,0)),"MISSING ID")</x:f>
        <x:v>Crafting component</x:v>
      </x:c>
      <x:c r="I167" s="4" t="str">
        <x:f>IFERROR(INDEX('Material routes'!$G$6:$G$1005,MATCH(V167,'Material routes'!$A$6:$A$1005,0)),"MISSING ID")</x:f>
        <x:v>Crafting components</x:v>
      </x:c>
      <x:c r="J167" s="4" t="str">
        <x:f>IFERROR(INDEX('Material routes'!$B$6:$B$1005,MATCH(U167,'Material routes'!$A$6:$A$1005,0)),"MISSING ID")</x:f>
        <x:v>design.branch.branch.spring_pack</x:v>
      </x:c>
      <x:c r="K167" s="4" t="str">
        <x:f>IFERROR(INDEX('Crafting recipes'!$C$6:$C$1005,MATCH(J167,'Crafting recipes'!$A$6:$A$1005,0)),"MISSING ID")</x:f>
        <x:v>Material refinement</x:v>
      </x:c>
      <x:c r="L167" s="4" t="str">
        <x:f>IFERROR(INDEX('Material routes'!$K$6:$K$1005,MATCH(U167,'Material routes'!$A$6:$A$1005,0)),"MISSING ID")</x:f>
        <x:v>Proposal</x:v>
      </x:c>
      <x:c r="M167" s="4" t="str">
        <x:f>IFERROR(INDEX('Material routes'!$M$6:$M$1005,MATCH(U167,'Material routes'!$A$6:$A$1005,0)),"MISSING ID")</x:f>
        <x:v>Partial proposal</x:v>
      </x:c>
      <x:c r="N167" s="4" t="str">
        <x:f>IF(IFERROR(INDEX('Material routes'!$I$6:$I$1005,MATCH(U167,'Material routes'!$A$6:$A$1005,0)),"MISSING ID")=0,"",IFERROR(INDEX('Material routes'!$I$6:$I$1005,MATCH(U167,'Material routes'!$A$6:$A$1005,0)),"MISSING ID"))</x:f>
      </x:c>
      <x:c r="O167" s="4" t="str">
        <x:f>IFERROR(INDEX('Material routes'!$J$6:$J$1005,MATCH(U167,'Material routes'!$A$6:$A$1005,0)),"MISSING ID")</x:f>
        <x:v>Unspecified</x:v>
      </x:c>
      <x:c r="P167" s="4" t="str">
        <x:f>IF(IFERROR(INDEX('Material routes'!$I$6:$I$1005,MATCH(V167,'Material routes'!$A$6:$A$1005,0)),"MISSING ID")=0,"",IFERROR(INDEX('Material routes'!$I$6:$I$1005,MATCH(V167,'Material routes'!$A$6:$A$1005,0)),"MISSING ID"))</x:f>
      </x:c>
      <x:c r="Q167" s="4" t="str">
        <x:f>IFERROR(INDEX('Material routes'!$J$6:$J$1005,MATCH(V167,'Material routes'!$A$6:$A$1005,0)),"MISSING ID")</x:f>
        <x:v>Unspecified</x:v>
      </x:c>
      <x:c r="R167" s="4" t="str">
        <x:f>IF(L167="Withheld","Withheld premise",IF(E167="Tool candidate","Reusable prerequisite",IF(K167="Raw entry preparation","Entry-resource preparation",IF(G167="Not applicable","Finished endpoint",IF(OR(IFERROR(INDEX('Crafting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routes'!$D$6:$D$1005,MATCH(U167,'Material routes'!$A$6:$A$1005,0)),"MISSING ID")</x:f>
        <x:v>proposal.branch.spring_steel</x:v>
      </x:c>
      <x:c r="T167" s="4" t="str">
        <x:f>IFERROR(INDEX('Material routes'!$D$6:$D$1005,MATCH(V167,'Material routes'!$A$6:$A$1005,0)),"MISSING ID")</x:f>
        <x:v>proposal.branch.spring_pack</x:v>
      </x:c>
      <x:c r="U167" s="4" t="str">
        <x:v>design.branch.branch.spring_pack.in.1</x:v>
      </x:c>
      <x:c r="V167" s="4" t="str">
        <x:v>design.branch.branch.spring_pack.out</x:v>
      </x:c>
    </x:row>
    <x:row r="168" ht="105" customHeight="1">
      <x:c r="A168" s="4" t="str">
        <x:f>IFERROR(INDEX('Material routes'!$E$6:$E$1005,MATCH(U168,'Material routes'!$A$6:$A$1005,0)),"MISSING ID")</x:f>
        <x:v>Steel stock</x:v>
      </x:c>
      <x:c r="B168" s="4" t="str">
        <x:f>IFERROR(INDEX('Material routes'!$F$6:$F$1005,MATCH(U168,'Material routes'!$A$6:$A$1005,0)),"MISSING ID")</x:f>
        <x:v>T2</x:v>
      </x:c>
      <x:c r="C168" s="4" t="str">
        <x:f>IFERROR(INDEX('Material routes'!$H$6:$H$1005,MATCH(U168,'Material routes'!$A$6:$A$1005,0)),"MISSING ID")</x:f>
        <x:v>Processed material</x:v>
      </x:c>
      <x:c r="D168" s="4" t="str">
        <x:f>IFERROR(INDEX('Material routes'!$G$6:$G$1005,MATCH(U168,'Material routes'!$A$6:$A$1005,0)),"MISSING ID")</x:f>
        <x:v>Resources</x:v>
      </x:c>
      <x:c r="E168" s="4" t="str">
        <x:f>IFERROR(INDEX('Material routes'!$C$6:$C$1005,MATCH(U168,'Material routes'!$A$6:$A$1005,0)),"MISSING ID")</x:f>
        <x:v>Ingredient candidate</x:v>
      </x:c>
      <x:c r="F168" s="4" t="str">
        <x:f>IFERROR(INDEX('Material routes'!$E$6:$E$1005,MATCH(V168,'Material routes'!$A$6:$A$1005,0)),"MISSING ID")</x:f>
        <x:v>Preloaded spring subassembly</x:v>
      </x:c>
      <x:c r="G168" s="4" t="str">
        <x:f>IFERROR(INDEX('Material routes'!$F$6:$F$1005,MATCH(V168,'Material routes'!$A$6:$A$1005,0)),"MISSING ID")</x:f>
        <x:v>T4</x:v>
      </x:c>
      <x:c r="H168" s="4" t="str">
        <x:f>IFERROR(INDEX('Material routes'!$H$6:$H$1005,MATCH(V168,'Material routes'!$A$6:$A$1005,0)),"MISSING ID")</x:f>
        <x:v>Crafting component</x:v>
      </x:c>
      <x:c r="I168" s="4" t="str">
        <x:f>IFERROR(INDEX('Material routes'!$G$6:$G$1005,MATCH(V168,'Material routes'!$A$6:$A$1005,0)),"MISSING ID")</x:f>
        <x:v>Crafting components</x:v>
      </x:c>
      <x:c r="J168" s="4" t="str">
        <x:f>IFERROR(INDEX('Material routes'!$B$6:$B$1005,MATCH(U168,'Material routes'!$A$6:$A$1005,0)),"MISSING ID")</x:f>
        <x:v>design.branch.branch.spring_pack</x:v>
      </x:c>
      <x:c r="K168" s="4" t="str">
        <x:f>IFERROR(INDEX('Crafting recipes'!$C$6:$C$1005,MATCH(J168,'Crafting recipes'!$A$6:$A$1005,0)),"MISSING ID")</x:f>
        <x:v>Material refinement</x:v>
      </x:c>
      <x:c r="L168" s="4" t="str">
        <x:f>IFERROR(INDEX('Material routes'!$K$6:$K$1005,MATCH(U168,'Material routes'!$A$6:$A$1005,0)),"MISSING ID")</x:f>
        <x:v>Proposal</x:v>
      </x:c>
      <x:c r="M168" s="4" t="str">
        <x:f>IFERROR(INDEX('Material routes'!$M$6:$M$1005,MATCH(U168,'Material routes'!$A$6:$A$1005,0)),"MISSING ID")</x:f>
        <x:v>Partial proposal</x:v>
      </x:c>
      <x:c r="N168" s="4" t="str">
        <x:f>IF(IFERROR(INDEX('Material routes'!$I$6:$I$1005,MATCH(U168,'Material routes'!$A$6:$A$1005,0)),"MISSING ID")=0,"",IFERROR(INDEX('Material routes'!$I$6:$I$1005,MATCH(U168,'Material routes'!$A$6:$A$1005,0)),"MISSING ID"))</x:f>
      </x:c>
      <x:c r="O168" s="4" t="str">
        <x:f>IFERROR(INDEX('Material routes'!$J$6:$J$1005,MATCH(U168,'Material routes'!$A$6:$A$1005,0)),"MISSING ID")</x:f>
        <x:v>Unspecified</x:v>
      </x:c>
      <x:c r="P168" s="4" t="str">
        <x:f>IF(IFERROR(INDEX('Material routes'!$I$6:$I$1005,MATCH(V168,'Material routes'!$A$6:$A$1005,0)),"MISSING ID")=0,"",IFERROR(INDEX('Material routes'!$I$6:$I$1005,MATCH(V168,'Material routes'!$A$6:$A$1005,0)),"MISSING ID"))</x:f>
      </x:c>
      <x:c r="Q168" s="4" t="str">
        <x:f>IFERROR(INDEX('Material routes'!$J$6:$J$1005,MATCH(V168,'Material routes'!$A$6:$A$1005,0)),"MISSING ID")</x:f>
        <x:v>Unspecified</x:v>
      </x:c>
      <x:c r="R168" s="4" t="str">
        <x:f>IF(L168="Withheld","Withheld premise",IF(E168="Tool candidate","Reusable prerequisite",IF(K168="Raw entry preparation","Entry-resource preparation",IF(G168="Not applicable","Finished endpoint",IF(OR(IFERROR(INDEX('Crafting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routes'!$D$6:$D$1005,MATCH(U168,'Material routes'!$A$6:$A$1005,0)),"MISSING ID")</x:f>
        <x:v>author.metallurgy.steel_stock</x:v>
      </x:c>
      <x:c r="T168" s="4" t="str">
        <x:f>IFERROR(INDEX('Material routes'!$D$6:$D$1005,MATCH(V168,'Material routes'!$A$6:$A$1005,0)),"MISSING ID")</x:f>
        <x:v>proposal.branch.spring_pack</x:v>
      </x:c>
      <x:c r="U168" s="4" t="str">
        <x:v>design.branch.branch.spring_pack.in.2</x:v>
      </x:c>
      <x:c r="V168" s="4" t="str">
        <x:v>design.branch.branch.spring_pack.out</x:v>
      </x:c>
    </x:row>
    <x:row r="169" ht="105" customHeight="1">
      <x:c r="A169" s="4" t="str">
        <x:f>IFERROR(INDEX('Material routes'!$E$6:$E$1005,MATCH(U169,'Material routes'!$A$6:$A$1005,0)),"MISSING ID")</x:f>
        <x:v>Fine mechanism oil</x:v>
      </x:c>
      <x:c r="B169" s="4" t="str">
        <x:f>IFERROR(INDEX('Material routes'!$F$6:$F$1005,MATCH(U169,'Material routes'!$A$6:$A$1005,0)),"MISSING ID")</x:f>
        <x:v>T2</x:v>
      </x:c>
      <x:c r="C169" s="4" t="str">
        <x:f>IFERROR(INDEX('Material routes'!$H$6:$H$1005,MATCH(U169,'Material routes'!$A$6:$A$1005,0)),"MISSING ID")</x:f>
        <x:v>Chemical material</x:v>
      </x:c>
      <x:c r="D169" s="4" t="str">
        <x:f>IFERROR(INDEX('Material routes'!$G$6:$G$1005,MATCH(U169,'Material routes'!$A$6:$A$1005,0)),"MISSING ID")</x:f>
        <x:v>Resources</x:v>
      </x:c>
      <x:c r="E169" s="4" t="str">
        <x:f>IFERROR(INDEX('Material routes'!$C$6:$C$1005,MATCH(U169,'Material routes'!$A$6:$A$1005,0)),"MISSING ID")</x:f>
        <x:v>Ingredient candidate</x:v>
      </x:c>
      <x:c r="F169" s="4" t="str">
        <x:f>IFERROR(INDEX('Material routes'!$E$6:$E$1005,MATCH(V169,'Material routes'!$A$6:$A$1005,0)),"MISSING ID")</x:f>
        <x:v>Preloaded spring subassembly</x:v>
      </x:c>
      <x:c r="G169" s="4" t="str">
        <x:f>IFERROR(INDEX('Material routes'!$F$6:$F$1005,MATCH(V169,'Material routes'!$A$6:$A$1005,0)),"MISSING ID")</x:f>
        <x:v>T4</x:v>
      </x:c>
      <x:c r="H169" s="4" t="str">
        <x:f>IFERROR(INDEX('Material routes'!$H$6:$H$1005,MATCH(V169,'Material routes'!$A$6:$A$1005,0)),"MISSING ID")</x:f>
        <x:v>Crafting component</x:v>
      </x:c>
      <x:c r="I169" s="4" t="str">
        <x:f>IFERROR(INDEX('Material routes'!$G$6:$G$1005,MATCH(V169,'Material routes'!$A$6:$A$1005,0)),"MISSING ID")</x:f>
        <x:v>Crafting components</x:v>
      </x:c>
      <x:c r="J169" s="4" t="str">
        <x:f>IFERROR(INDEX('Material routes'!$B$6:$B$1005,MATCH(U169,'Material routes'!$A$6:$A$1005,0)),"MISSING ID")</x:f>
        <x:v>design.branch.branch.spring_pack</x:v>
      </x:c>
      <x:c r="K169" s="4" t="str">
        <x:f>IFERROR(INDEX('Crafting recipes'!$C$6:$C$1005,MATCH(J169,'Crafting recipes'!$A$6:$A$1005,0)),"MISSING ID")</x:f>
        <x:v>Material refinement</x:v>
      </x:c>
      <x:c r="L169" s="4" t="str">
        <x:f>IFERROR(INDEX('Material routes'!$K$6:$K$1005,MATCH(U169,'Material routes'!$A$6:$A$1005,0)),"MISSING ID")</x:f>
        <x:v>Proposal</x:v>
      </x:c>
      <x:c r="M169" s="4" t="str">
        <x:f>IFERROR(INDEX('Material routes'!$M$6:$M$1005,MATCH(U169,'Material routes'!$A$6:$A$1005,0)),"MISSING ID")</x:f>
        <x:v>Partial proposal</x:v>
      </x:c>
      <x:c r="N169" s="4" t="str">
        <x:f>IF(IFERROR(INDEX('Material routes'!$I$6:$I$1005,MATCH(U169,'Material routes'!$A$6:$A$1005,0)),"MISSING ID")=0,"",IFERROR(INDEX('Material routes'!$I$6:$I$1005,MATCH(U169,'Material routes'!$A$6:$A$1005,0)),"MISSING ID"))</x:f>
      </x:c>
      <x:c r="O169" s="4" t="str">
        <x:f>IFERROR(INDEX('Material routes'!$J$6:$J$1005,MATCH(U169,'Material routes'!$A$6:$A$1005,0)),"MISSING ID")</x:f>
        <x:v>Unspecified</x:v>
      </x:c>
      <x:c r="P169" s="4" t="str">
        <x:f>IF(IFERROR(INDEX('Material routes'!$I$6:$I$1005,MATCH(V169,'Material routes'!$A$6:$A$1005,0)),"MISSING ID")=0,"",IFERROR(INDEX('Material routes'!$I$6:$I$1005,MATCH(V169,'Material routes'!$A$6:$A$1005,0)),"MISSING ID"))</x:f>
      </x:c>
      <x:c r="Q169" s="4" t="str">
        <x:f>IFERROR(INDEX('Material routes'!$J$6:$J$1005,MATCH(V169,'Material routes'!$A$6:$A$1005,0)),"MISSING ID")</x:f>
        <x:v>Unspecified</x:v>
      </x:c>
      <x:c r="R169" s="4" t="str">
        <x:f>IF(L169="Withheld","Withheld premise",IF(E169="Tool candidate","Reusable prerequisite",IF(K169="Raw entry preparation","Entry-resource preparation",IF(G169="Not applicable","Finished endpoint",IF(OR(IFERROR(INDEX('Crafting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routes'!$D$6:$D$1005,MATCH(U169,'Material routes'!$A$6:$A$1005,0)),"MISSING ID")</x:f>
        <x:v>proposal.lubricant.precision_oil</x:v>
      </x:c>
      <x:c r="T169" s="4" t="str">
        <x:f>IFERROR(INDEX('Material routes'!$D$6:$D$1005,MATCH(V169,'Material routes'!$A$6:$A$1005,0)),"MISSING ID")</x:f>
        <x:v>proposal.branch.spring_pack</x:v>
      </x:c>
      <x:c r="U169" s="4" t="str">
        <x:v>design.branch.branch.spring_pack.in.3</x:v>
      </x:c>
      <x:c r="V169" s="4" t="str">
        <x:v>design.branch.branch.spring_pack.out</x:v>
      </x:c>
    </x:row>
    <x:row r="170" ht="105" customHeight="1">
      <x:c r="A170" s="4" t="str">
        <x:f>IFERROR(INDEX('Material routes'!$E$6:$E$1005,MATCH(U170,'Material routes'!$A$6:$A$1005,0)),"MISSING ID")</x:f>
        <x:v>Refractory ceramic stock</x:v>
      </x:c>
      <x:c r="B170" s="4" t="str">
        <x:f>IFERROR(INDEX('Material routes'!$F$6:$F$1005,MATCH(U170,'Material routes'!$A$6:$A$1005,0)),"MISSING ID")</x:f>
        <x:v>T2</x:v>
      </x:c>
      <x:c r="C170" s="4" t="str">
        <x:f>IFERROR(INDEX('Material routes'!$H$6:$H$1005,MATCH(U170,'Material routes'!$A$6:$A$1005,0)),"MISSING ID")</x:f>
        <x:v>Processed material</x:v>
      </x:c>
      <x:c r="D170" s="4" t="str">
        <x:f>IFERROR(INDEX('Material routes'!$G$6:$G$1005,MATCH(U170,'Material routes'!$A$6:$A$1005,0)),"MISSING ID")</x:f>
        <x:v>Resources</x:v>
      </x:c>
      <x:c r="E170" s="4" t="str">
        <x:f>IFERROR(INDEX('Material routes'!$C$6:$C$1005,MATCH(U170,'Material routes'!$A$6:$A$1005,0)),"MISSING ID")</x:f>
        <x:v>Ingredient candidate</x:v>
      </x:c>
      <x:c r="F170" s="4" t="str">
        <x:f>IFERROR(INDEX('Material routes'!$E$6:$E$1005,MATCH(V170,'Material routes'!$A$6:$A$1005,0)),"MISSING ID")</x:f>
        <x:v>Ceramic crucible</x:v>
      </x:c>
      <x:c r="G170" s="4" t="str">
        <x:f>IFERROR(INDEX('Material routes'!$F$6:$F$1005,MATCH(V170,'Material routes'!$A$6:$A$1005,0)),"MISSING ID")</x:f>
        <x:v>Not applicable</x:v>
      </x:c>
      <x:c r="H170" s="4" t="str">
        <x:f>IFERROR(INDEX('Material routes'!$H$6:$H$1005,MATCH(V170,'Material routes'!$A$6:$A$1005,0)),"MISSING ID")</x:f>
        <x:v>Tool</x:v>
      </x:c>
      <x:c r="I170" s="4" t="str">
        <x:f>IFERROR(INDEX('Material routes'!$G$6:$G$1005,MATCH(V170,'Material routes'!$A$6:$A$1005,0)),"MISSING ID")</x:f>
        <x:v>Equipment</x:v>
      </x:c>
      <x:c r="J170" s="4" t="str">
        <x:f>IFERROR(INDEX('Material routes'!$B$6:$B$1005,MATCH(U170,'Material routes'!$A$6:$A$1005,0)),"MISSING ID")</x:f>
        <x:v>design.finished.refractory_crucible</x:v>
      </x:c>
      <x:c r="K170" s="4" t="str">
        <x:f>IFERROR(INDEX('Crafting recipes'!$C$6:$C$1005,MATCH(J170,'Crafting recipes'!$A$6:$A$1005,0)),"MISSING ID")</x:f>
        <x:v>Finished-item crafting</x:v>
      </x:c>
      <x:c r="L170" s="4" t="str">
        <x:f>IFERROR(INDEX('Material routes'!$K$6:$K$1005,MATCH(U170,'Material routes'!$A$6:$A$1005,0)),"MISSING ID")</x:f>
        <x:v>Proposal</x:v>
      </x:c>
      <x:c r="M170" s="4" t="str">
        <x:f>IFERROR(INDEX('Material routes'!$M$6:$M$1005,MATCH(U170,'Material routes'!$A$6:$A$1005,0)),"MISSING ID")</x:f>
        <x:v>Partial proposal</x:v>
      </x:c>
      <x:c r="N170" s="4" t="str">
        <x:f>IF(IFERROR(INDEX('Material routes'!$I$6:$I$1005,MATCH(U170,'Material routes'!$A$6:$A$1005,0)),"MISSING ID")=0,"",IFERROR(INDEX('Material routes'!$I$6:$I$1005,MATCH(U170,'Material routes'!$A$6:$A$1005,0)),"MISSING ID"))</x:f>
      </x:c>
      <x:c r="O170" s="4" t="str">
        <x:f>IFERROR(INDEX('Material routes'!$J$6:$J$1005,MATCH(U170,'Material routes'!$A$6:$A$1005,0)),"MISSING ID")</x:f>
        <x:v>Unspecified</x:v>
      </x:c>
      <x:c r="P170" s="4" t="str">
        <x:f>IF(IFERROR(INDEX('Material routes'!$I$6:$I$1005,MATCH(V170,'Material routes'!$A$6:$A$1005,0)),"MISSING ID")=0,"",IFERROR(INDEX('Material routes'!$I$6:$I$1005,MATCH(V170,'Material routes'!$A$6:$A$1005,0)),"MISSING ID"))</x:f>
      </x:c>
      <x:c r="Q170" s="4" t="str">
        <x:f>IFERROR(INDEX('Material routes'!$J$6:$J$1005,MATCH(V170,'Material routes'!$A$6:$A$1005,0)),"MISSING ID")</x:f>
        <x:v>Unspecified</x:v>
      </x:c>
      <x:c r="R170" s="4" t="str">
        <x:f>IF(L170="Withheld","Withheld premise",IF(E170="Tool candidate","Reusable prerequisite",IF(K170="Raw entry preparation","Entry-resource preparation",IF(G170="Not applicable","Finished endpoint",IF(OR(IFERROR(INDEX('Crafting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routes'!$D$6:$D$1005,MATCH(U170,'Material routes'!$A$6:$A$1005,0)),"MISSING ID")</x:f>
        <x:v>proposal.branch.refractory_ceramic</x:v>
      </x:c>
      <x:c r="T170" s="4" t="str">
        <x:f>IFERROR(INDEX('Material routes'!$D$6:$D$1005,MATCH(V170,'Material routes'!$A$6:$A$1005,0)),"MISSING ID")</x:f>
        <x:v>proposal.ceramic.crucible</x:v>
      </x:c>
      <x:c r="U170" s="4" t="str">
        <x:v>design.finished.refractory_crucible.in.1</x:v>
      </x:c>
      <x:c r="V170" s="4" t="str">
        <x:v>design.finished.refractory_crucible.out</x:v>
      </x:c>
    </x:row>
    <x:row r="171" ht="105" customHeight="1">
      <x:c r="A171" s="4" t="str">
        <x:f>IFERROR(INDEX('Material routes'!$E$6:$E$1005,MATCH(U171,'Material routes'!$A$6:$A$1005,0)),"MISSING ID")</x:f>
        <x:v>Mica composite sheet</x:v>
      </x:c>
      <x:c r="B171" s="4" t="str">
        <x:f>IFERROR(INDEX('Material routes'!$F$6:$F$1005,MATCH(U171,'Material routes'!$A$6:$A$1005,0)),"MISSING ID")</x:f>
        <x:v>T2</x:v>
      </x:c>
      <x:c r="C171" s="4" t="str">
        <x:f>IFERROR(INDEX('Material routes'!$H$6:$H$1005,MATCH(U171,'Material routes'!$A$6:$A$1005,0)),"MISSING ID")</x:f>
        <x:v>Processed material</x:v>
      </x:c>
      <x:c r="D171" s="4" t="str">
        <x:f>IFERROR(INDEX('Material routes'!$G$6:$G$1005,MATCH(U171,'Material routes'!$A$6:$A$1005,0)),"MISSING ID")</x:f>
        <x:v>Resources</x:v>
      </x:c>
      <x:c r="E171" s="4" t="str">
        <x:f>IFERROR(INDEX('Material routes'!$C$6:$C$1005,MATCH(U171,'Material routes'!$A$6:$A$1005,0)),"MISSING ID")</x:f>
        <x:v>Ingredient candidate</x:v>
      </x:c>
      <x:c r="F171" s="4" t="str">
        <x:f>IFERROR(INDEX('Material routes'!$E$6:$E$1005,MATCH(V171,'Material routes'!$A$6:$A$1005,0)),"MISSING ID")</x:f>
        <x:v>Electrical insulating gloves</x:v>
      </x:c>
      <x:c r="G171" s="4" t="str">
        <x:f>IFERROR(INDEX('Material routes'!$F$6:$F$1005,MATCH(V171,'Material routes'!$A$6:$A$1005,0)),"MISSING ID")</x:f>
        <x:v>Not applicable</x:v>
      </x:c>
      <x:c r="H171" s="4" t="str">
        <x:f>IFERROR(INDEX('Material routes'!$H$6:$H$1005,MATCH(V171,'Material routes'!$A$6:$A$1005,0)),"MISSING ID")</x:f>
        <x:v>Wearable</x:v>
      </x:c>
      <x:c r="I171" s="4" t="str">
        <x:f>IFERROR(INDEX('Material routes'!$G$6:$G$1005,MATCH(V171,'Material routes'!$A$6:$A$1005,0)),"MISSING ID")</x:f>
        <x:v>Equipment</x:v>
      </x:c>
      <x:c r="J171" s="4" t="str">
        <x:f>IFERROR(INDEX('Material routes'!$B$6:$B$1005,MATCH(U171,'Material routes'!$A$6:$A$1005,0)),"MISSING ID")</x:f>
        <x:v>design.finished.electrical_gloves</x:v>
      </x:c>
      <x:c r="K171" s="4" t="str">
        <x:f>IFERROR(INDEX('Crafting recipes'!$C$6:$C$1005,MATCH(J171,'Crafting recipes'!$A$6:$A$1005,0)),"MISSING ID")</x:f>
        <x:v>Finished-item crafting</x:v>
      </x:c>
      <x:c r="L171" s="4" t="str">
        <x:f>IFERROR(INDEX('Material routes'!$K$6:$K$1005,MATCH(U171,'Material routes'!$A$6:$A$1005,0)),"MISSING ID")</x:f>
        <x:v>Proposal</x:v>
      </x:c>
      <x:c r="M171" s="4" t="str">
        <x:f>IFERROR(INDEX('Material routes'!$M$6:$M$1005,MATCH(U171,'Material routes'!$A$6:$A$1005,0)),"MISSING ID")</x:f>
        <x:v>Partial proposal</x:v>
      </x:c>
      <x:c r="N171" s="4" t="str">
        <x:f>IF(IFERROR(INDEX('Material routes'!$I$6:$I$1005,MATCH(U171,'Material routes'!$A$6:$A$1005,0)),"MISSING ID")=0,"",IFERROR(INDEX('Material routes'!$I$6:$I$1005,MATCH(U171,'Material routes'!$A$6:$A$1005,0)),"MISSING ID"))</x:f>
      </x:c>
      <x:c r="O171" s="4" t="str">
        <x:f>IFERROR(INDEX('Material routes'!$J$6:$J$1005,MATCH(U171,'Material routes'!$A$6:$A$1005,0)),"MISSING ID")</x:f>
        <x:v>Unspecified</x:v>
      </x:c>
      <x:c r="P171" s="4" t="str">
        <x:f>IF(IFERROR(INDEX('Material routes'!$I$6:$I$1005,MATCH(V171,'Material routes'!$A$6:$A$1005,0)),"MISSING ID")=0,"",IFERROR(INDEX('Material routes'!$I$6:$I$1005,MATCH(V171,'Material routes'!$A$6:$A$1005,0)),"MISSING ID"))</x:f>
      </x:c>
      <x:c r="Q171" s="4" t="str">
        <x:f>IFERROR(INDEX('Material routes'!$J$6:$J$1005,MATCH(V171,'Material routes'!$A$6:$A$1005,0)),"MISSING ID")</x:f>
        <x:v>Unspecified</x:v>
      </x:c>
      <x:c r="R171" s="4" t="str">
        <x:f>IF(L171="Withheld","Withheld premise",IF(E171="Tool candidate","Reusable prerequisite",IF(K171="Raw entry preparation","Entry-resource preparation",IF(G171="Not applicable","Finished endpoint",IF(OR(IFERROR(INDEX('Crafting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routes'!$D$6:$D$1005,MATCH(U171,'Material routes'!$A$6:$A$1005,0)),"MISSING ID")</x:f>
        <x:v>proposal.branch.mica_sheet</x:v>
      </x:c>
      <x:c r="T171" s="4" t="str">
        <x:f>IFERROR(INDEX('Material routes'!$D$6:$D$1005,MATCH(V171,'Material routes'!$A$6:$A$1005,0)),"MISSING ID")</x:f>
        <x:v>author.electrical.insulated_gloves</x:v>
      </x:c>
      <x:c r="U171" s="4" t="str">
        <x:v>design.finished.electrical_gloves.in.1</x:v>
      </x:c>
      <x:c r="V171" s="4" t="str">
        <x:v>design.finished.electrical_gloves.out</x:v>
      </x:c>
    </x:row>
    <x:row r="172" ht="105" customHeight="1">
      <x:c r="A172" s="4" t="str">
        <x:f>IFERROR(INDEX('Material routes'!$E$6:$E$1005,MATCH(U172,'Material routes'!$A$6:$A$1005,0)),"MISSING ID")</x:f>
        <x:v>Flexible membrane-bonding compound</x:v>
      </x:c>
      <x:c r="B172" s="4" t="str">
        <x:f>IFERROR(INDEX('Material routes'!$F$6:$F$1005,MATCH(U172,'Material routes'!$A$6:$A$1005,0)),"MISSING ID")</x:f>
        <x:v>T2</x:v>
      </x:c>
      <x:c r="C172" s="4" t="str">
        <x:f>IFERROR(INDEX('Material routes'!$H$6:$H$1005,MATCH(U172,'Material routes'!$A$6:$A$1005,0)),"MISSING ID")</x:f>
        <x:v>Chemical material</x:v>
      </x:c>
      <x:c r="D172" s="4" t="str">
        <x:f>IFERROR(INDEX('Material routes'!$G$6:$G$1005,MATCH(U172,'Material routes'!$A$6:$A$1005,0)),"MISSING ID")</x:f>
        <x:v>Resources</x:v>
      </x:c>
      <x:c r="E172" s="4" t="str">
        <x:f>IFERROR(INDEX('Material routes'!$C$6:$C$1005,MATCH(U172,'Material routes'!$A$6:$A$1005,0)),"MISSING ID")</x:f>
        <x:v>Ingredient candidate</x:v>
      </x:c>
      <x:c r="F172" s="4" t="str">
        <x:f>IFERROR(INDEX('Material routes'!$E$6:$E$1005,MATCH(V172,'Material routes'!$A$6:$A$1005,0)),"MISSING ID")</x:f>
        <x:v>Electrical insulating gloves</x:v>
      </x:c>
      <x:c r="G172" s="4" t="str">
        <x:f>IFERROR(INDEX('Material routes'!$F$6:$F$1005,MATCH(V172,'Material routes'!$A$6:$A$1005,0)),"MISSING ID")</x:f>
        <x:v>Not applicable</x:v>
      </x:c>
      <x:c r="H172" s="4" t="str">
        <x:f>IFERROR(INDEX('Material routes'!$H$6:$H$1005,MATCH(V172,'Material routes'!$A$6:$A$1005,0)),"MISSING ID")</x:f>
        <x:v>Wearable</x:v>
      </x:c>
      <x:c r="I172" s="4" t="str">
        <x:f>IFERROR(INDEX('Material routes'!$G$6:$G$1005,MATCH(V172,'Material routes'!$A$6:$A$1005,0)),"MISSING ID")</x:f>
        <x:v>Equipment</x:v>
      </x:c>
      <x:c r="J172" s="4" t="str">
        <x:f>IFERROR(INDEX('Material routes'!$B$6:$B$1005,MATCH(U172,'Material routes'!$A$6:$A$1005,0)),"MISSING ID")</x:f>
        <x:v>design.finished.electrical_gloves</x:v>
      </x:c>
      <x:c r="K172" s="4" t="str">
        <x:f>IFERROR(INDEX('Crafting recipes'!$C$6:$C$1005,MATCH(J172,'Crafting recipes'!$A$6:$A$1005,0)),"MISSING ID")</x:f>
        <x:v>Finished-item crafting</x:v>
      </x:c>
      <x:c r="L172" s="4" t="str">
        <x:f>IFERROR(INDEX('Material routes'!$K$6:$K$1005,MATCH(U172,'Material routes'!$A$6:$A$1005,0)),"MISSING ID")</x:f>
        <x:v>Proposal</x:v>
      </x:c>
      <x:c r="M172" s="4" t="str">
        <x:f>IFERROR(INDEX('Material routes'!$M$6:$M$1005,MATCH(U172,'Material routes'!$A$6:$A$1005,0)),"MISSING ID")</x:f>
        <x:v>Partial proposal</x:v>
      </x:c>
      <x:c r="N172" s="4" t="str">
        <x:f>IF(IFERROR(INDEX('Material routes'!$I$6:$I$1005,MATCH(U172,'Material routes'!$A$6:$A$1005,0)),"MISSING ID")=0,"",IFERROR(INDEX('Material routes'!$I$6:$I$1005,MATCH(U172,'Material routes'!$A$6:$A$1005,0)),"MISSING ID"))</x:f>
      </x:c>
      <x:c r="O172" s="4" t="str">
        <x:f>IFERROR(INDEX('Material routes'!$J$6:$J$1005,MATCH(U172,'Material routes'!$A$6:$A$1005,0)),"MISSING ID")</x:f>
        <x:v>Unspecified</x:v>
      </x:c>
      <x:c r="P172" s="4" t="str">
        <x:f>IF(IFERROR(INDEX('Material routes'!$I$6:$I$1005,MATCH(V172,'Material routes'!$A$6:$A$1005,0)),"MISSING ID")=0,"",IFERROR(INDEX('Material routes'!$I$6:$I$1005,MATCH(V172,'Material routes'!$A$6:$A$1005,0)),"MISSING ID"))</x:f>
      </x:c>
      <x:c r="Q172" s="4" t="str">
        <x:f>IFERROR(INDEX('Material routes'!$J$6:$J$1005,MATCH(V172,'Material routes'!$A$6:$A$1005,0)),"MISSING ID")</x:f>
        <x:v>Unspecified</x:v>
      </x:c>
      <x:c r="R172" s="4" t="str">
        <x:f>IF(L172="Withheld","Withheld premise",IF(E172="Tool candidate","Reusable prerequisite",IF(K172="Raw entry preparation","Entry-resource preparation",IF(G172="Not applicable","Finished endpoint",IF(OR(IFERROR(INDEX('Crafting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routes'!$D$6:$D$1005,MATCH(U172,'Material routes'!$A$6:$A$1005,0)),"MISSING ID")</x:f>
        <x:v>proposal.branch.flex_bond</x:v>
      </x:c>
      <x:c r="T172" s="4" t="str">
        <x:f>IFERROR(INDEX('Material routes'!$D$6:$D$1005,MATCH(V172,'Material routes'!$A$6:$A$1005,0)),"MISSING ID")</x:f>
        <x:v>author.electrical.insulated_gloves</x:v>
      </x:c>
      <x:c r="U172" s="4" t="str">
        <x:v>design.finished.electrical_gloves.in.2</x:v>
      </x:c>
      <x:c r="V172" s="4" t="str">
        <x:v>design.finished.electrical_gloves.out</x:v>
      </x:c>
    </x:row>
    <x:row r="173" ht="105" customHeight="1">
      <x:c r="A173" s="4" t="str">
        <x:f>IFERROR(INDEX('Material routes'!$E$6:$E$1005,MATCH(U173,'Material routes'!$A$6:$A$1005,0)),"MISSING ID")</x:f>
        <x:v>Bonded husk sheet</x:v>
      </x:c>
      <x:c r="B173" s="4" t="str">
        <x:f>IFERROR(INDEX('Material routes'!$F$6:$F$1005,MATCH(U173,'Material routes'!$A$6:$A$1005,0)),"MISSING ID")</x:f>
        <x:v>T2</x:v>
      </x:c>
      <x:c r="C173" s="4" t="str">
        <x:f>IFERROR(INDEX('Material routes'!$H$6:$H$1005,MATCH(U173,'Material routes'!$A$6:$A$1005,0)),"MISSING ID")</x:f>
        <x:v>Processed material</x:v>
      </x:c>
      <x:c r="D173" s="4" t="str">
        <x:f>IFERROR(INDEX('Material routes'!$G$6:$G$1005,MATCH(U173,'Material routes'!$A$6:$A$1005,0)),"MISSING ID")</x:f>
        <x:v>Resources</x:v>
      </x:c>
      <x:c r="E173" s="4" t="str">
        <x:f>IFERROR(INDEX('Material routes'!$C$6:$C$1005,MATCH(U173,'Material routes'!$A$6:$A$1005,0)),"MISSING ID")</x:f>
        <x:v>Ingredient candidate</x:v>
      </x:c>
      <x:c r="F173" s="4" t="str">
        <x:f>IFERROR(INDEX('Material routes'!$E$6:$E$1005,MATCH(V173,'Material routes'!$A$6:$A$1005,0)),"MISSING ID")</x:f>
        <x:v>Electrical insulating gloves</x:v>
      </x:c>
      <x:c r="G173" s="4" t="str">
        <x:f>IFERROR(INDEX('Material routes'!$F$6:$F$1005,MATCH(V173,'Material routes'!$A$6:$A$1005,0)),"MISSING ID")</x:f>
        <x:v>Not applicable</x:v>
      </x:c>
      <x:c r="H173" s="4" t="str">
        <x:f>IFERROR(INDEX('Material routes'!$H$6:$H$1005,MATCH(V173,'Material routes'!$A$6:$A$1005,0)),"MISSING ID")</x:f>
        <x:v>Wearable</x:v>
      </x:c>
      <x:c r="I173" s="4" t="str">
        <x:f>IFERROR(INDEX('Material routes'!$G$6:$G$1005,MATCH(V173,'Material routes'!$A$6:$A$1005,0)),"MISSING ID")</x:f>
        <x:v>Equipment</x:v>
      </x:c>
      <x:c r="J173" s="4" t="str">
        <x:f>IFERROR(INDEX('Material routes'!$B$6:$B$1005,MATCH(U173,'Material routes'!$A$6:$A$1005,0)),"MISSING ID")</x:f>
        <x:v>design.finished.electrical_gloves</x:v>
      </x:c>
      <x:c r="K173" s="4" t="str">
        <x:f>IFERROR(INDEX('Crafting recipes'!$C$6:$C$1005,MATCH(J173,'Crafting recipes'!$A$6:$A$1005,0)),"MISSING ID")</x:f>
        <x:v>Finished-item crafting</x:v>
      </x:c>
      <x:c r="L173" s="4" t="str">
        <x:f>IFERROR(INDEX('Material routes'!$K$6:$K$1005,MATCH(U173,'Material routes'!$A$6:$A$1005,0)),"MISSING ID")</x:f>
        <x:v>Proposal</x:v>
      </x:c>
      <x:c r="M173" s="4" t="str">
        <x:f>IFERROR(INDEX('Material routes'!$M$6:$M$1005,MATCH(U173,'Material routes'!$A$6:$A$1005,0)),"MISSING ID")</x:f>
        <x:v>Partial proposal</x:v>
      </x:c>
      <x:c r="N173" s="4" t="str">
        <x:f>IF(IFERROR(INDEX('Material routes'!$I$6:$I$1005,MATCH(U173,'Material routes'!$A$6:$A$1005,0)),"MISSING ID")=0,"",IFERROR(INDEX('Material routes'!$I$6:$I$1005,MATCH(U173,'Material routes'!$A$6:$A$1005,0)),"MISSING ID"))</x:f>
      </x:c>
      <x:c r="O173" s="4" t="str">
        <x:f>IFERROR(INDEX('Material routes'!$J$6:$J$1005,MATCH(U173,'Material routes'!$A$6:$A$1005,0)),"MISSING ID")</x:f>
        <x:v>Unspecified</x:v>
      </x:c>
      <x:c r="P173" s="4" t="str">
        <x:f>IF(IFERROR(INDEX('Material routes'!$I$6:$I$1005,MATCH(V173,'Material routes'!$A$6:$A$1005,0)),"MISSING ID")=0,"",IFERROR(INDEX('Material routes'!$I$6:$I$1005,MATCH(V173,'Material routes'!$A$6:$A$1005,0)),"MISSING ID"))</x:f>
      </x:c>
      <x:c r="Q173" s="4" t="str">
        <x:f>IFERROR(INDEX('Material routes'!$J$6:$J$1005,MATCH(V173,'Material routes'!$A$6:$A$1005,0)),"MISSING ID")</x:f>
        <x:v>Unspecified</x:v>
      </x:c>
      <x:c r="R173" s="4" t="str">
        <x:f>IF(L173="Withheld","Withheld premise",IF(E173="Tool candidate","Reusable prerequisite",IF(K173="Raw entry preparation","Entry-resource preparation",IF(G173="Not applicable","Finished endpoint",IF(OR(IFERROR(INDEX('Crafting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routes'!$D$6:$D$1005,MATCH(U173,'Material routes'!$A$6:$A$1005,0)),"MISSING ID")</x:f>
        <x:v>proposal.branch.husk_sheet</x:v>
      </x:c>
      <x:c r="T173" s="4" t="str">
        <x:f>IFERROR(INDEX('Material routes'!$D$6:$D$1005,MATCH(V173,'Material routes'!$A$6:$A$1005,0)),"MISSING ID")</x:f>
        <x:v>author.electrical.insulated_gloves</x:v>
      </x:c>
      <x:c r="U173" s="4" t="str">
        <x:v>design.finished.electrical_gloves.in.3</x:v>
      </x:c>
      <x:c r="V173" s="4" t="str">
        <x:v>design.finished.electrical_gloves.out</x:v>
      </x:c>
    </x:row>
  </x:sheetData>
  <x:pageMargins left="0.7" right="0.7" top="0.75" bottom="0.75" header="0.3" footer="0.3"/>
  <x:tableParts count="1">
    <x:tablePart xmlns:r="http://schemas.openxmlformats.org/officeDocument/2006/relationships" r:id="Rd8ade68a3c7741b6"/>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135"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x:f>
        <x:v>Spring-grade steel stock; Steel-faced shell composite</x:v>
      </x:c>
      <x:c r="E6" s="4" t="str">
        <x:f>IFERROR(INDEX('Items'!$B$6:$B$1005,MATCH("proposal.branch.spring_pack",'Items'!$A$6:$A$1005,0)),"MISSING ID")&amp;"; "&amp;IFERROR(INDEX('Items'!$B$6:$B$1005,MATCH("proposal.branch.protective_stock",'Items'!$A$6:$A$1005,0)),"MISSING ID")</x:f>
        <x:v>Preloaded spring subassembly; Layered protective composite stock</x:v>
      </x:c>
      <x:c r="F6" s="4" t="str">
        <x:v>Forging tools, fitted protection, machinery parts</x:v>
      </x:c>
      <x:c r="G6" s="4" t="str">
        <x:v>Some products stop at T2 steel. Alloying and heat treatment need selected chemistry; no water-quench default.</x:v>
      </x:c>
      <x:c r="H6" s="4" t="str">
        <x:v>Proposal; partial routes</x:v>
      </x:c>
    </x:row>
    <x:row r="7" ht="135"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x:f>
        <x:v>Insulated conductor stock</x:v>
      </x:c>
      <x:c r="E7" s="4" t="str">
        <x:f>IFERROR(INDEX('Items'!$B$6:$B$1005,MATCH("proposal.branch.encapsulated_conductor",'Items'!$A$6:$A$1005,0)),"MISSING ID")</x:f>
        <x:v>Encapsulated conductor stock</x:v>
      </x:c>
      <x:c r="F7" s="4" t="str">
        <x:v>Electrical tools, radio components, field equipment</x:v>
      </x:c>
      <x:c r="G7" s="4" t="str">
        <x:v>Intended roles only; no electrical rating or ancient-machine reproduction is established.</x:v>
      </x:c>
      <x:c r="H7" s="4" t="str">
        <x:v>Proposal; partial routes</x:v>
      </x:c>
    </x:row>
    <x:row r="8" ht="135"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x:f>
        <x:v>Bonded ceramic-shell composite</x:v>
      </x:c>
      <x:c r="E8" s="4" t="str">
        <x:f>IFERROR(INDEX('Items'!$B$6:$B$1005,MATCH("proposal.branch.protective_stock",'Items'!$A$6:$A$1005,0)),"MISSING ID")</x:f>
        <x:v>Layered protective composite stock</x:v>
      </x:c>
      <x:c r="F8" s="4" t="str">
        <x:v>Pottery, insulators, workshop crucibles, fitted protection</x:v>
      </x:c>
      <x:c r="G8" s="4" t="str">
        <x:v>Electrical ceramics and refractory grades are separate services. Binder/firing qualification remains open.</x:v>
      </x:c>
      <x:c r="H8" s="4" t="str">
        <x:v>Proposal; partial routes</x:v>
      </x:c>
    </x:row>
    <x:row r="9" ht="135"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x:f>
        <x:v>Ground optical glass stock</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x:v>
      </x:c>
      <x:c r="H9" s="4" t="str">
        <x:v>Proposal; partial routes</x:v>
      </x:c>
    </x:row>
    <x:row r="10" ht="135"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x:f>
        <x:v>Layered husk composite stock; Finished decorative husk stock</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x:v>
      </x:c>
      <x:c r="H10" s="4" t="str">
        <x:v>Proposal; partial routes</x:v>
      </x:c>
    </x:row>
    <x:row r="11" ht="135"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x:f>
        <x:v>Steel-faced shell composite; Bonded ceramic-shell composite</x:v>
      </x:c>
      <x:c r="E11" s="4" t="str">
        <x:f>IFERROR(INDEX('Items'!$B$6:$B$1005,MATCH("proposal.branch.protective_stock",'Items'!$A$6:$A$1005,0)),"MISSING ID")</x:f>
        <x:v>Layered protective composite stock</x:v>
      </x:c>
      <x:c r="F11" s="4" t="str">
        <x:v>Armor plates, shields and machine covers</x:v>
      </x:c>
      <x:c r="G11" s="4" t="str">
        <x:v>Cheap raw shell can become costly qualified stock; no ballistic or universal performance guarantee.</x:v>
      </x:c>
      <x:c r="H11" s="4" t="str">
        <x:v>Proposal; partial routes</x:v>
      </x:c>
    </x:row>
    <x:row r="12" ht="135"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x:f>
        <x:v>Reinforced sealing sheet; Canister joint sealant</x:v>
      </x:c>
      <x:c r="E12" s="4" t="str">
        <x:f>IFERROR(INDEX('Items'!$B$6:$B$1005,MATCH("proposal.branch.sealed_casing",'Items'!$A$6:$A$1005,0)),"MISSING ID")&amp;"; "&amp;IFERROR(INDEX('Items'!$B$6:$B$1005,MATCH("proposal.branch.encapsulated_conductor",'Items'!$A$6:$A$1005,0)),"MISSING ID")</x:f>
        <x:v>Sealed composite casing stock; Encapsulated conductor stock</x:v>
      </x:c>
      <x:c r="F12" s="4" t="str">
        <x:v>Canister service, dust exclusion, mechanical maintenance</x:v>
      </x:c>
      <x:c r="G12" s="4" t="str">
        <x:v>Separate lubricant, adhesive and sealing functions. No raw-fat/wax assumption; canister grades need compatibility/pressure design.</x:v>
      </x:c>
      <x:c r="H12" s="4" t="str">
        <x:v>Proposal; partial routes</x:v>
      </x:c>
    </x:row>
    <x:row r="13" ht="135"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"No further stock proposed"</x:f>
        <x:v>No further stock proposed</x:v>
      </x:c>
      <x:c r="E13" s="4" t="str">
        <x:f>"No further stock proposed"</x:f>
        <x:v>No further stock proposed</x:v>
      </x:c>
      <x:c r="F13" s="4" t="str">
        <x:v>Handheld sails, vertical shades, wind devices</x:v>
      </x:c>
      <x:c r="G13" s="4" t="str">
        <x:v>This branch deliberately stops at T2 for current stock proposals; joining, frames and service limits are still needed for finished gear.</x:v>
      </x:c>
      <x:c r="H13" s="4" t="str">
        <x:v>Proposal; partial routes</x:v>
      </x:c>
    </x:row>
    <x:row r="14" ht="135"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"No further stock proposed"</x:f>
        <x:v>No further stock proposed</x:v>
      </x:c>
      <x:c r="E14" s="4" t="str">
        <x:f>"No further stock proposed"</x:f>
        <x:v>No further stock proposed</x:v>
      </x:c>
      <x:c r="F14" s="4" t="str">
        <x:v>Tuned wearables, fittings, inlays and rare display objects</x:v>
      </x:c>
      <x:c r="G14" s="4" t="str">
        <x:v>No automatic gem powers or invented national customs. Finished products can stop here.</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sheetData>
  <x:pageMargins left="0.7" right="0.7" top="0.75" bottom="0.75" header="0.3" footer="0.3"/>
  <x:tableParts count="1">
    <x:tablePart xmlns:r="http://schemas.openxmlformats.org/officeDocument/2006/relationships" r:id="R28dbd23c0cff4b53"/>
  </x:tableParts>
</x:worksheet>
</file>